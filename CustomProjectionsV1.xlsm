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s/Documents/School/R tinkering/custom-projections/Custom-Fantasy-Projections/"/>
    </mc:Choice>
  </mc:AlternateContent>
  <xr:revisionPtr revIDLastSave="0" documentId="13_ncr:1_{EA1F149E-B719-0D4A-A7A0-170FE51884DD}" xr6:coauthVersionLast="47" xr6:coauthVersionMax="47" xr10:uidLastSave="{00000000-0000-0000-0000-000000000000}"/>
  <bookViews>
    <workbookView xWindow="0" yWindow="0" windowWidth="33600" windowHeight="21000" tabRatio="891" xr2:uid="{00000000-000D-0000-FFFF-FFFF00000000}"/>
  </bookViews>
  <sheets>
    <sheet name="Admin" sheetId="33" r:id="rId1"/>
    <sheet name="ARI" sheetId="1" r:id="rId2"/>
    <sheet name="ATL" sheetId="2" r:id="rId3"/>
    <sheet name="BAL" sheetId="3" r:id="rId4"/>
    <sheet name="BUF" sheetId="4" r:id="rId5"/>
    <sheet name="CAR" sheetId="5" r:id="rId6"/>
    <sheet name="CHI" sheetId="6" r:id="rId7"/>
    <sheet name="CIN" sheetId="7" r:id="rId8"/>
    <sheet name="CLE" sheetId="8" r:id="rId9"/>
    <sheet name="DAL" sheetId="9" r:id="rId10"/>
    <sheet name="DEN" sheetId="10" r:id="rId11"/>
    <sheet name="DET" sheetId="11" r:id="rId12"/>
    <sheet name="GB" sheetId="12" r:id="rId13"/>
    <sheet name="HOU" sheetId="13" r:id="rId14"/>
    <sheet name="IND" sheetId="14" r:id="rId15"/>
    <sheet name="JAX" sheetId="15" r:id="rId16"/>
    <sheet name="KC" sheetId="16" r:id="rId17"/>
    <sheet name="LAC" sheetId="17" r:id="rId18"/>
    <sheet name="LAR" sheetId="18" r:id="rId19"/>
    <sheet name="LV" sheetId="19" r:id="rId20"/>
    <sheet name="MIA" sheetId="20" r:id="rId21"/>
    <sheet name="MIN" sheetId="21" r:id="rId22"/>
    <sheet name="NE" sheetId="22" r:id="rId23"/>
    <sheet name="NO" sheetId="23" r:id="rId24"/>
    <sheet name="NYG" sheetId="24" r:id="rId25"/>
    <sheet name="NYJ" sheetId="25" r:id="rId26"/>
    <sheet name="PHI" sheetId="26" r:id="rId27"/>
    <sheet name="PIT" sheetId="27" r:id="rId28"/>
    <sheet name="SEA" sheetId="28" r:id="rId29"/>
    <sheet name="SF" sheetId="29" r:id="rId30"/>
    <sheet name="TB" sheetId="30" r:id="rId31"/>
    <sheet name="TEN" sheetId="31" r:id="rId32"/>
    <sheet name="WAS" sheetId="32" r:id="rId33"/>
    <sheet name="Combined_QB" sheetId="34" r:id="rId34"/>
    <sheet name="Combined_RB" sheetId="35" r:id="rId35"/>
    <sheet name="Combined_WR" sheetId="36" r:id="rId36"/>
    <sheet name="Combined_TE" sheetId="37" r:id="rId37"/>
    <sheet name="Overall" sheetId="58" r:id="rId38"/>
  </sheets>
  <definedNames>
    <definedName name="Ccar">Admin!$C$8</definedName>
    <definedName name="Cfmb">Admin!$C$6</definedName>
    <definedName name="Cint">Admin!$C$5</definedName>
    <definedName name="Cp_td">Admin!$C$3</definedName>
    <definedName name="Cp_yd">Admin!$C$4</definedName>
    <definedName name="Cr_td">Admin!$C$10</definedName>
    <definedName name="Cr_yd">Admin!$C$9</definedName>
    <definedName name="Crec">Admin!$C$7</definedName>
    <definedName name="Crec_td">Admin!$C$12</definedName>
    <definedName name="Crec_yd">Admin!$C$11</definedName>
    <definedName name="Ctp_c">Admin!$C$13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6" i="1" l="1"/>
  <c r="AB776" i="58"/>
  <c r="AA776" i="58"/>
  <c r="Z776" i="58"/>
  <c r="Y776" i="58"/>
  <c r="X776" i="58"/>
  <c r="W776" i="58"/>
  <c r="V776" i="58"/>
  <c r="AB775" i="58"/>
  <c r="AA775" i="58"/>
  <c r="Z775" i="58"/>
  <c r="Y775" i="58"/>
  <c r="X775" i="58"/>
  <c r="W775" i="58"/>
  <c r="V775" i="58"/>
  <c r="AB774" i="58"/>
  <c r="AA774" i="58"/>
  <c r="Z774" i="58"/>
  <c r="Y774" i="58"/>
  <c r="X774" i="58"/>
  <c r="W774" i="58"/>
  <c r="V774" i="58"/>
  <c r="AB773" i="58"/>
  <c r="AA773" i="58"/>
  <c r="Z773" i="58"/>
  <c r="Y773" i="58"/>
  <c r="X773" i="58"/>
  <c r="W773" i="58"/>
  <c r="V773" i="58"/>
  <c r="AB772" i="58"/>
  <c r="AA772" i="58"/>
  <c r="Z772" i="58"/>
  <c r="Y772" i="58"/>
  <c r="X772" i="58"/>
  <c r="W772" i="58"/>
  <c r="V772" i="58"/>
  <c r="AB771" i="58"/>
  <c r="AA771" i="58"/>
  <c r="Z771" i="58"/>
  <c r="Y771" i="58"/>
  <c r="X771" i="58"/>
  <c r="W771" i="58"/>
  <c r="V771" i="58"/>
  <c r="AB770" i="58"/>
  <c r="AA770" i="58"/>
  <c r="Z770" i="58"/>
  <c r="Y770" i="58"/>
  <c r="X770" i="58"/>
  <c r="W770" i="58"/>
  <c r="V770" i="58"/>
  <c r="AB769" i="58"/>
  <c r="AA769" i="58"/>
  <c r="Z769" i="58"/>
  <c r="Y769" i="58"/>
  <c r="X769" i="58"/>
  <c r="W769" i="58"/>
  <c r="V769" i="58"/>
  <c r="AB768" i="58"/>
  <c r="AA768" i="58"/>
  <c r="Z768" i="58"/>
  <c r="Y768" i="58"/>
  <c r="X768" i="58"/>
  <c r="W768" i="58"/>
  <c r="V768" i="58"/>
  <c r="AB767" i="58"/>
  <c r="AA767" i="58"/>
  <c r="Z767" i="58"/>
  <c r="Y767" i="58"/>
  <c r="X767" i="58"/>
  <c r="W767" i="58"/>
  <c r="V767" i="58"/>
  <c r="AB766" i="58"/>
  <c r="AA766" i="58"/>
  <c r="Z766" i="58"/>
  <c r="Y766" i="58"/>
  <c r="X766" i="58"/>
  <c r="W766" i="58"/>
  <c r="V766" i="58"/>
  <c r="AB765" i="58"/>
  <c r="AA765" i="58"/>
  <c r="Z765" i="58"/>
  <c r="Y765" i="58"/>
  <c r="X765" i="58"/>
  <c r="W765" i="58"/>
  <c r="V765" i="58"/>
  <c r="AB764" i="58"/>
  <c r="AA764" i="58"/>
  <c r="Z764" i="58"/>
  <c r="Y764" i="58"/>
  <c r="X764" i="58"/>
  <c r="W764" i="58"/>
  <c r="V764" i="58"/>
  <c r="AB763" i="58"/>
  <c r="AA763" i="58"/>
  <c r="Z763" i="58"/>
  <c r="Y763" i="58"/>
  <c r="X763" i="58"/>
  <c r="W763" i="58"/>
  <c r="V763" i="58"/>
  <c r="AB762" i="58"/>
  <c r="AA762" i="58"/>
  <c r="Z762" i="58"/>
  <c r="Y762" i="58"/>
  <c r="X762" i="58"/>
  <c r="W762" i="58"/>
  <c r="V762" i="58"/>
  <c r="AB761" i="58"/>
  <c r="AA761" i="58"/>
  <c r="Z761" i="58"/>
  <c r="Y761" i="58"/>
  <c r="X761" i="58"/>
  <c r="W761" i="58"/>
  <c r="V761" i="58"/>
  <c r="AB760" i="58"/>
  <c r="AA760" i="58"/>
  <c r="Z760" i="58"/>
  <c r="Y760" i="58"/>
  <c r="X760" i="58"/>
  <c r="W760" i="58"/>
  <c r="V760" i="58"/>
  <c r="AB759" i="58"/>
  <c r="AA759" i="58"/>
  <c r="Z759" i="58"/>
  <c r="Y759" i="58"/>
  <c r="X759" i="58"/>
  <c r="W759" i="58"/>
  <c r="V759" i="58"/>
  <c r="AB758" i="58"/>
  <c r="AA758" i="58"/>
  <c r="Z758" i="58"/>
  <c r="Y758" i="58"/>
  <c r="X758" i="58"/>
  <c r="W758" i="58"/>
  <c r="V758" i="58"/>
  <c r="AB757" i="58"/>
  <c r="AA757" i="58"/>
  <c r="Z757" i="58"/>
  <c r="Y757" i="58"/>
  <c r="X757" i="58"/>
  <c r="W757" i="58"/>
  <c r="V757" i="58"/>
  <c r="AB756" i="58"/>
  <c r="AA756" i="58"/>
  <c r="Z756" i="58"/>
  <c r="Y756" i="58"/>
  <c r="X756" i="58"/>
  <c r="W756" i="58"/>
  <c r="V756" i="58"/>
  <c r="AB755" i="58"/>
  <c r="AA755" i="58"/>
  <c r="Z755" i="58"/>
  <c r="Y755" i="58"/>
  <c r="X755" i="58"/>
  <c r="W755" i="58"/>
  <c r="V755" i="58"/>
  <c r="AB754" i="58"/>
  <c r="AA754" i="58"/>
  <c r="Z754" i="58"/>
  <c r="Y754" i="58"/>
  <c r="X754" i="58"/>
  <c r="W754" i="58"/>
  <c r="V754" i="58"/>
  <c r="AB753" i="58"/>
  <c r="AA753" i="58"/>
  <c r="Z753" i="58"/>
  <c r="Y753" i="58"/>
  <c r="X753" i="58"/>
  <c r="W753" i="58"/>
  <c r="V753" i="58"/>
  <c r="AB752" i="58"/>
  <c r="AA752" i="58"/>
  <c r="Z752" i="58"/>
  <c r="Y752" i="58"/>
  <c r="X752" i="58"/>
  <c r="W752" i="58"/>
  <c r="V752" i="58"/>
  <c r="AB751" i="58"/>
  <c r="AA751" i="58"/>
  <c r="Z751" i="58"/>
  <c r="Y751" i="58"/>
  <c r="X751" i="58"/>
  <c r="W751" i="58"/>
  <c r="V751" i="58"/>
  <c r="AB750" i="58"/>
  <c r="AA750" i="58"/>
  <c r="Z750" i="58"/>
  <c r="Y750" i="58"/>
  <c r="X750" i="58"/>
  <c r="W750" i="58"/>
  <c r="V750" i="58"/>
  <c r="AB749" i="58"/>
  <c r="AA749" i="58"/>
  <c r="Z749" i="58"/>
  <c r="Y749" i="58"/>
  <c r="X749" i="58"/>
  <c r="W749" i="58"/>
  <c r="V749" i="58"/>
  <c r="AB748" i="58"/>
  <c r="AA748" i="58"/>
  <c r="Z748" i="58"/>
  <c r="Y748" i="58"/>
  <c r="X748" i="58"/>
  <c r="W748" i="58"/>
  <c r="V748" i="58"/>
  <c r="AB747" i="58"/>
  <c r="AA747" i="58"/>
  <c r="Z747" i="58"/>
  <c r="Y747" i="58"/>
  <c r="X747" i="58"/>
  <c r="W747" i="58"/>
  <c r="V747" i="58"/>
  <c r="AB746" i="58"/>
  <c r="AA746" i="58"/>
  <c r="Z746" i="58"/>
  <c r="Y746" i="58"/>
  <c r="X746" i="58"/>
  <c r="W746" i="58"/>
  <c r="V746" i="58"/>
  <c r="AB745" i="58"/>
  <c r="AA745" i="58"/>
  <c r="Z745" i="58"/>
  <c r="Y745" i="58"/>
  <c r="X745" i="58"/>
  <c r="W745" i="58"/>
  <c r="V745" i="58"/>
  <c r="AB744" i="58"/>
  <c r="AA744" i="58"/>
  <c r="Z744" i="58"/>
  <c r="Y744" i="58"/>
  <c r="X744" i="58"/>
  <c r="W744" i="58"/>
  <c r="V744" i="58"/>
  <c r="AB743" i="58"/>
  <c r="AA743" i="58"/>
  <c r="Z743" i="58"/>
  <c r="Y743" i="58"/>
  <c r="X743" i="58"/>
  <c r="W743" i="58"/>
  <c r="V743" i="58"/>
  <c r="AB742" i="58"/>
  <c r="AA742" i="58"/>
  <c r="Z742" i="58"/>
  <c r="Y742" i="58"/>
  <c r="X742" i="58"/>
  <c r="W742" i="58"/>
  <c r="V742" i="58"/>
  <c r="AB741" i="58"/>
  <c r="AA741" i="58"/>
  <c r="Z741" i="58"/>
  <c r="Y741" i="58"/>
  <c r="X741" i="58"/>
  <c r="W741" i="58"/>
  <c r="V741" i="58"/>
  <c r="AB740" i="58"/>
  <c r="AA740" i="58"/>
  <c r="Z740" i="58"/>
  <c r="Y740" i="58"/>
  <c r="X740" i="58"/>
  <c r="W740" i="58"/>
  <c r="V740" i="58"/>
  <c r="AB739" i="58"/>
  <c r="AA739" i="58"/>
  <c r="Z739" i="58"/>
  <c r="Y739" i="58"/>
  <c r="X739" i="58"/>
  <c r="W739" i="58"/>
  <c r="V739" i="58"/>
  <c r="AB738" i="58"/>
  <c r="AA738" i="58"/>
  <c r="Z738" i="58"/>
  <c r="Y738" i="58"/>
  <c r="X738" i="58"/>
  <c r="W738" i="58"/>
  <c r="V738" i="58"/>
  <c r="AB737" i="58"/>
  <c r="AA737" i="58"/>
  <c r="Z737" i="58"/>
  <c r="Y737" i="58"/>
  <c r="X737" i="58"/>
  <c r="W737" i="58"/>
  <c r="V737" i="58"/>
  <c r="AB736" i="58"/>
  <c r="AA736" i="58"/>
  <c r="Z736" i="58"/>
  <c r="Y736" i="58"/>
  <c r="X736" i="58"/>
  <c r="W736" i="58"/>
  <c r="V736" i="58"/>
  <c r="AB735" i="58"/>
  <c r="AA735" i="58"/>
  <c r="Z735" i="58"/>
  <c r="Y735" i="58"/>
  <c r="X735" i="58"/>
  <c r="W735" i="58"/>
  <c r="V735" i="58"/>
  <c r="AB734" i="58"/>
  <c r="AA734" i="58"/>
  <c r="Z734" i="58"/>
  <c r="Y734" i="58"/>
  <c r="X734" i="58"/>
  <c r="W734" i="58"/>
  <c r="V734" i="58"/>
  <c r="AB733" i="58"/>
  <c r="AA733" i="58"/>
  <c r="Z733" i="58"/>
  <c r="Y733" i="58"/>
  <c r="X733" i="58"/>
  <c r="W733" i="58"/>
  <c r="V733" i="58"/>
  <c r="AB732" i="58"/>
  <c r="AA732" i="58"/>
  <c r="Z732" i="58"/>
  <c r="Y732" i="58"/>
  <c r="X732" i="58"/>
  <c r="W732" i="58"/>
  <c r="V732" i="58"/>
  <c r="AB731" i="58"/>
  <c r="AA731" i="58"/>
  <c r="Z731" i="58"/>
  <c r="Y731" i="58"/>
  <c r="X731" i="58"/>
  <c r="W731" i="58"/>
  <c r="V731" i="58"/>
  <c r="AB730" i="58"/>
  <c r="AA730" i="58"/>
  <c r="Z730" i="58"/>
  <c r="Y730" i="58"/>
  <c r="X730" i="58"/>
  <c r="W730" i="58"/>
  <c r="V730" i="58"/>
  <c r="AB729" i="58"/>
  <c r="AA729" i="58"/>
  <c r="Z729" i="58"/>
  <c r="Y729" i="58"/>
  <c r="X729" i="58"/>
  <c r="W729" i="58"/>
  <c r="V729" i="58"/>
  <c r="AB728" i="58"/>
  <c r="AA728" i="58"/>
  <c r="Z728" i="58"/>
  <c r="Y728" i="58"/>
  <c r="X728" i="58"/>
  <c r="W728" i="58"/>
  <c r="V728" i="58"/>
  <c r="AB727" i="58"/>
  <c r="AA727" i="58"/>
  <c r="Z727" i="58"/>
  <c r="Y727" i="58"/>
  <c r="X727" i="58"/>
  <c r="W727" i="58"/>
  <c r="V727" i="58"/>
  <c r="AB726" i="58"/>
  <c r="AA726" i="58"/>
  <c r="Z726" i="58"/>
  <c r="Y726" i="58"/>
  <c r="X726" i="58"/>
  <c r="W726" i="58"/>
  <c r="V726" i="58"/>
  <c r="AB725" i="58"/>
  <c r="AA725" i="58"/>
  <c r="Z725" i="58"/>
  <c r="Y725" i="58"/>
  <c r="X725" i="58"/>
  <c r="W725" i="58"/>
  <c r="V725" i="58"/>
  <c r="AB724" i="58"/>
  <c r="AA724" i="58"/>
  <c r="Z724" i="58"/>
  <c r="Y724" i="58"/>
  <c r="X724" i="58"/>
  <c r="W724" i="58"/>
  <c r="V724" i="58"/>
  <c r="AB723" i="58"/>
  <c r="AA723" i="58"/>
  <c r="Z723" i="58"/>
  <c r="Y723" i="58"/>
  <c r="X723" i="58"/>
  <c r="W723" i="58"/>
  <c r="V723" i="58"/>
  <c r="AB722" i="58"/>
  <c r="AA722" i="58"/>
  <c r="Z722" i="58"/>
  <c r="Y722" i="58"/>
  <c r="X722" i="58"/>
  <c r="W722" i="58"/>
  <c r="V722" i="58"/>
  <c r="AB721" i="58"/>
  <c r="AA721" i="58"/>
  <c r="Z721" i="58"/>
  <c r="Y721" i="58"/>
  <c r="X721" i="58"/>
  <c r="W721" i="58"/>
  <c r="V721" i="58"/>
  <c r="AB720" i="58"/>
  <c r="AA720" i="58"/>
  <c r="Z720" i="58"/>
  <c r="Y720" i="58"/>
  <c r="X720" i="58"/>
  <c r="W720" i="58"/>
  <c r="V720" i="58"/>
  <c r="AB719" i="58"/>
  <c r="AA719" i="58"/>
  <c r="Z719" i="58"/>
  <c r="Y719" i="58"/>
  <c r="X719" i="58"/>
  <c r="W719" i="58"/>
  <c r="V719" i="58"/>
  <c r="AB718" i="58"/>
  <c r="AA718" i="58"/>
  <c r="Z718" i="58"/>
  <c r="Y718" i="58"/>
  <c r="X718" i="58"/>
  <c r="W718" i="58"/>
  <c r="V718" i="58"/>
  <c r="AB717" i="58"/>
  <c r="AA717" i="58"/>
  <c r="Z717" i="58"/>
  <c r="Y717" i="58"/>
  <c r="X717" i="58"/>
  <c r="W717" i="58"/>
  <c r="V717" i="58"/>
  <c r="AB716" i="58"/>
  <c r="AA716" i="58"/>
  <c r="Z716" i="58"/>
  <c r="Y716" i="58"/>
  <c r="X716" i="58"/>
  <c r="W716" i="58"/>
  <c r="V716" i="58"/>
  <c r="AB715" i="58"/>
  <c r="AA715" i="58"/>
  <c r="Z715" i="58"/>
  <c r="Y715" i="58"/>
  <c r="X715" i="58"/>
  <c r="W715" i="58"/>
  <c r="V715" i="58"/>
  <c r="AB714" i="58"/>
  <c r="AA714" i="58"/>
  <c r="Z714" i="58"/>
  <c r="Y714" i="58"/>
  <c r="X714" i="58"/>
  <c r="W714" i="58"/>
  <c r="V714" i="58"/>
  <c r="AB713" i="58"/>
  <c r="AA713" i="58"/>
  <c r="Z713" i="58"/>
  <c r="Y713" i="58"/>
  <c r="X713" i="58"/>
  <c r="W713" i="58"/>
  <c r="V713" i="58"/>
  <c r="AB712" i="58"/>
  <c r="AA712" i="58"/>
  <c r="Z712" i="58"/>
  <c r="Y712" i="58"/>
  <c r="X712" i="58"/>
  <c r="W712" i="58"/>
  <c r="V712" i="58"/>
  <c r="AB711" i="58"/>
  <c r="AA711" i="58"/>
  <c r="Z711" i="58"/>
  <c r="Y711" i="58"/>
  <c r="X711" i="58"/>
  <c r="W711" i="58"/>
  <c r="V711" i="58"/>
  <c r="AB710" i="58"/>
  <c r="AA710" i="58"/>
  <c r="Z710" i="58"/>
  <c r="Y710" i="58"/>
  <c r="X710" i="58"/>
  <c r="W710" i="58"/>
  <c r="V710" i="58"/>
  <c r="AB709" i="58"/>
  <c r="AA709" i="58"/>
  <c r="Z709" i="58"/>
  <c r="Y709" i="58"/>
  <c r="X709" i="58"/>
  <c r="W709" i="58"/>
  <c r="V709" i="58"/>
  <c r="AB708" i="58"/>
  <c r="AA708" i="58"/>
  <c r="Z708" i="58"/>
  <c r="Y708" i="58"/>
  <c r="X708" i="58"/>
  <c r="W708" i="58"/>
  <c r="V708" i="58"/>
  <c r="AB707" i="58"/>
  <c r="AA707" i="58"/>
  <c r="Z707" i="58"/>
  <c r="Y707" i="58"/>
  <c r="X707" i="58"/>
  <c r="W707" i="58"/>
  <c r="V707" i="58"/>
  <c r="AB706" i="58"/>
  <c r="AA706" i="58"/>
  <c r="Z706" i="58"/>
  <c r="Y706" i="58"/>
  <c r="X706" i="58"/>
  <c r="W706" i="58"/>
  <c r="V706" i="58"/>
  <c r="AB705" i="58"/>
  <c r="AA705" i="58"/>
  <c r="Z705" i="58"/>
  <c r="Y705" i="58"/>
  <c r="X705" i="58"/>
  <c r="W705" i="58"/>
  <c r="V705" i="58"/>
  <c r="AB704" i="58"/>
  <c r="AA704" i="58"/>
  <c r="Z704" i="58"/>
  <c r="Y704" i="58"/>
  <c r="X704" i="58"/>
  <c r="W704" i="58"/>
  <c r="V704" i="58"/>
  <c r="AB703" i="58"/>
  <c r="AA703" i="58"/>
  <c r="Z703" i="58"/>
  <c r="Y703" i="58"/>
  <c r="X703" i="58"/>
  <c r="W703" i="58"/>
  <c r="V703" i="58"/>
  <c r="AB702" i="58"/>
  <c r="AA702" i="58"/>
  <c r="Z702" i="58"/>
  <c r="Y702" i="58"/>
  <c r="X702" i="58"/>
  <c r="W702" i="58"/>
  <c r="V702" i="58"/>
  <c r="AB701" i="58"/>
  <c r="AA701" i="58"/>
  <c r="Z701" i="58"/>
  <c r="Y701" i="58"/>
  <c r="X701" i="58"/>
  <c r="W701" i="58"/>
  <c r="V701" i="58"/>
  <c r="AB700" i="58"/>
  <c r="AA700" i="58"/>
  <c r="Z700" i="58"/>
  <c r="Y700" i="58"/>
  <c r="X700" i="58"/>
  <c r="W700" i="58"/>
  <c r="V700" i="58"/>
  <c r="AB699" i="58"/>
  <c r="AA699" i="58"/>
  <c r="Z699" i="58"/>
  <c r="Y699" i="58"/>
  <c r="X699" i="58"/>
  <c r="W699" i="58"/>
  <c r="V699" i="58"/>
  <c r="AB698" i="58"/>
  <c r="AA698" i="58"/>
  <c r="Z698" i="58"/>
  <c r="Y698" i="58"/>
  <c r="X698" i="58"/>
  <c r="W698" i="58"/>
  <c r="V698" i="58"/>
  <c r="AB697" i="58"/>
  <c r="AA697" i="58"/>
  <c r="Z697" i="58"/>
  <c r="Y697" i="58"/>
  <c r="X697" i="58"/>
  <c r="W697" i="58"/>
  <c r="V697" i="58"/>
  <c r="AB696" i="58"/>
  <c r="AA696" i="58"/>
  <c r="Z696" i="58"/>
  <c r="Y696" i="58"/>
  <c r="X696" i="58"/>
  <c r="W696" i="58"/>
  <c r="V696" i="58"/>
  <c r="AB695" i="58"/>
  <c r="AA695" i="58"/>
  <c r="Z695" i="58"/>
  <c r="Y695" i="58"/>
  <c r="X695" i="58"/>
  <c r="W695" i="58"/>
  <c r="V695" i="58"/>
  <c r="AB694" i="58"/>
  <c r="AA694" i="58"/>
  <c r="Z694" i="58"/>
  <c r="Y694" i="58"/>
  <c r="X694" i="58"/>
  <c r="W694" i="58"/>
  <c r="V694" i="58"/>
  <c r="AB693" i="58"/>
  <c r="AA693" i="58"/>
  <c r="Z693" i="58"/>
  <c r="Y693" i="58"/>
  <c r="X693" i="58"/>
  <c r="W693" i="58"/>
  <c r="V693" i="58"/>
  <c r="AB692" i="58"/>
  <c r="AA692" i="58"/>
  <c r="Z692" i="58"/>
  <c r="Y692" i="58"/>
  <c r="X692" i="58"/>
  <c r="W692" i="58"/>
  <c r="V692" i="58"/>
  <c r="AB691" i="58"/>
  <c r="AA691" i="58"/>
  <c r="Z691" i="58"/>
  <c r="Y691" i="58"/>
  <c r="X691" i="58"/>
  <c r="W691" i="58"/>
  <c r="V691" i="58"/>
  <c r="AB690" i="58"/>
  <c r="AA690" i="58"/>
  <c r="Z690" i="58"/>
  <c r="Y690" i="58"/>
  <c r="X690" i="58"/>
  <c r="W690" i="58"/>
  <c r="V690" i="58"/>
  <c r="AB689" i="58"/>
  <c r="AA689" i="58"/>
  <c r="Z689" i="58"/>
  <c r="Y689" i="58"/>
  <c r="X689" i="58"/>
  <c r="W689" i="58"/>
  <c r="V689" i="58"/>
  <c r="AB688" i="58"/>
  <c r="AA688" i="58"/>
  <c r="Z688" i="58"/>
  <c r="Y688" i="58"/>
  <c r="X688" i="58"/>
  <c r="W688" i="58"/>
  <c r="V688" i="58"/>
  <c r="AB687" i="58"/>
  <c r="AA687" i="58"/>
  <c r="Z687" i="58"/>
  <c r="Y687" i="58"/>
  <c r="X687" i="58"/>
  <c r="W687" i="58"/>
  <c r="V687" i="58"/>
  <c r="AB686" i="58"/>
  <c r="AA686" i="58"/>
  <c r="Z686" i="58"/>
  <c r="Y686" i="58"/>
  <c r="X686" i="58"/>
  <c r="W686" i="58"/>
  <c r="V686" i="58"/>
  <c r="AB685" i="58"/>
  <c r="AA685" i="58"/>
  <c r="Z685" i="58"/>
  <c r="Y685" i="58"/>
  <c r="X685" i="58"/>
  <c r="W685" i="58"/>
  <c r="V685" i="58"/>
  <c r="AB684" i="58"/>
  <c r="AA684" i="58"/>
  <c r="Z684" i="58"/>
  <c r="Y684" i="58"/>
  <c r="X684" i="58"/>
  <c r="W684" i="58"/>
  <c r="V684" i="58"/>
  <c r="AB683" i="58"/>
  <c r="AA683" i="58"/>
  <c r="Z683" i="58"/>
  <c r="Y683" i="58"/>
  <c r="X683" i="58"/>
  <c r="W683" i="58"/>
  <c r="V683" i="58"/>
  <c r="AB682" i="58"/>
  <c r="AA682" i="58"/>
  <c r="Z682" i="58"/>
  <c r="Y682" i="58"/>
  <c r="X682" i="58"/>
  <c r="W682" i="58"/>
  <c r="V682" i="58"/>
  <c r="AB681" i="58"/>
  <c r="AA681" i="58"/>
  <c r="Z681" i="58"/>
  <c r="Y681" i="58"/>
  <c r="X681" i="58"/>
  <c r="W681" i="58"/>
  <c r="V681" i="58"/>
  <c r="AB680" i="58"/>
  <c r="AA680" i="58"/>
  <c r="Z680" i="58"/>
  <c r="Y680" i="58"/>
  <c r="X680" i="58"/>
  <c r="W680" i="58"/>
  <c r="V680" i="58"/>
  <c r="AB679" i="58"/>
  <c r="AA679" i="58"/>
  <c r="Z679" i="58"/>
  <c r="Y679" i="58"/>
  <c r="X679" i="58"/>
  <c r="W679" i="58"/>
  <c r="V679" i="58"/>
  <c r="AB678" i="58"/>
  <c r="AA678" i="58"/>
  <c r="Z678" i="58"/>
  <c r="Y678" i="58"/>
  <c r="X678" i="58"/>
  <c r="W678" i="58"/>
  <c r="V678" i="58"/>
  <c r="AB677" i="58"/>
  <c r="AA677" i="58"/>
  <c r="Z677" i="58"/>
  <c r="Y677" i="58"/>
  <c r="X677" i="58"/>
  <c r="W677" i="58"/>
  <c r="V677" i="58"/>
  <c r="AB676" i="58"/>
  <c r="AA676" i="58"/>
  <c r="Z676" i="58"/>
  <c r="Y676" i="58"/>
  <c r="X676" i="58"/>
  <c r="W676" i="58"/>
  <c r="V676" i="58"/>
  <c r="AB675" i="58"/>
  <c r="AA675" i="58"/>
  <c r="Z675" i="58"/>
  <c r="Y675" i="58"/>
  <c r="X675" i="58"/>
  <c r="W675" i="58"/>
  <c r="V675" i="58"/>
  <c r="AB674" i="58"/>
  <c r="AA674" i="58"/>
  <c r="Z674" i="58"/>
  <c r="Y674" i="58"/>
  <c r="X674" i="58"/>
  <c r="W674" i="58"/>
  <c r="V674" i="58"/>
  <c r="AB673" i="58"/>
  <c r="AA673" i="58"/>
  <c r="Z673" i="58"/>
  <c r="Y673" i="58"/>
  <c r="X673" i="58"/>
  <c r="W673" i="58"/>
  <c r="V673" i="58"/>
  <c r="AB672" i="58"/>
  <c r="AA672" i="58"/>
  <c r="Z672" i="58"/>
  <c r="Y672" i="58"/>
  <c r="X672" i="58"/>
  <c r="W672" i="58"/>
  <c r="V672" i="58"/>
  <c r="AB671" i="58"/>
  <c r="AA671" i="58"/>
  <c r="Z671" i="58"/>
  <c r="Y671" i="58"/>
  <c r="X671" i="58"/>
  <c r="W671" i="58"/>
  <c r="V671" i="58"/>
  <c r="AB670" i="58"/>
  <c r="AA670" i="58"/>
  <c r="Z670" i="58"/>
  <c r="Y670" i="58"/>
  <c r="X670" i="58"/>
  <c r="W670" i="58"/>
  <c r="V670" i="58"/>
  <c r="AB669" i="58"/>
  <c r="AA669" i="58"/>
  <c r="Z669" i="58"/>
  <c r="Y669" i="58"/>
  <c r="X669" i="58"/>
  <c r="W669" i="58"/>
  <c r="V669" i="58"/>
  <c r="AB668" i="58"/>
  <c r="AA668" i="58"/>
  <c r="Z668" i="58"/>
  <c r="Y668" i="58"/>
  <c r="X668" i="58"/>
  <c r="W668" i="58"/>
  <c r="V668" i="58"/>
  <c r="AB667" i="58"/>
  <c r="AA667" i="58"/>
  <c r="Z667" i="58"/>
  <c r="Y667" i="58"/>
  <c r="X667" i="58"/>
  <c r="W667" i="58"/>
  <c r="V667" i="58"/>
  <c r="AB666" i="58"/>
  <c r="AA666" i="58"/>
  <c r="Z666" i="58"/>
  <c r="Y666" i="58"/>
  <c r="X666" i="58"/>
  <c r="W666" i="58"/>
  <c r="V666" i="58"/>
  <c r="AB665" i="58"/>
  <c r="AA665" i="58"/>
  <c r="Z665" i="58"/>
  <c r="Y665" i="58"/>
  <c r="X665" i="58"/>
  <c r="W665" i="58"/>
  <c r="V665" i="58"/>
  <c r="AB664" i="58"/>
  <c r="AA664" i="58"/>
  <c r="Z664" i="58"/>
  <c r="Y664" i="58"/>
  <c r="X664" i="58"/>
  <c r="W664" i="58"/>
  <c r="V664" i="58"/>
  <c r="AB663" i="58"/>
  <c r="AA663" i="58"/>
  <c r="Z663" i="58"/>
  <c r="Y663" i="58"/>
  <c r="X663" i="58"/>
  <c r="W663" i="58"/>
  <c r="V663" i="58"/>
  <c r="AB662" i="58"/>
  <c r="AA662" i="58"/>
  <c r="Z662" i="58"/>
  <c r="Y662" i="58"/>
  <c r="X662" i="58"/>
  <c r="W662" i="58"/>
  <c r="V662" i="58"/>
  <c r="AB661" i="58"/>
  <c r="AA661" i="58"/>
  <c r="Z661" i="58"/>
  <c r="Y661" i="58"/>
  <c r="X661" i="58"/>
  <c r="W661" i="58"/>
  <c r="V661" i="58"/>
  <c r="AB660" i="58"/>
  <c r="AA660" i="58"/>
  <c r="Z660" i="58"/>
  <c r="Y660" i="58"/>
  <c r="X660" i="58"/>
  <c r="W660" i="58"/>
  <c r="V660" i="58"/>
  <c r="AB659" i="58"/>
  <c r="AA659" i="58"/>
  <c r="Z659" i="58"/>
  <c r="Y659" i="58"/>
  <c r="X659" i="58"/>
  <c r="W659" i="58"/>
  <c r="V659" i="58"/>
  <c r="AB658" i="58"/>
  <c r="AA658" i="58"/>
  <c r="Z658" i="58"/>
  <c r="Y658" i="58"/>
  <c r="X658" i="58"/>
  <c r="W658" i="58"/>
  <c r="V658" i="58"/>
  <c r="AB657" i="58"/>
  <c r="AA657" i="58"/>
  <c r="Z657" i="58"/>
  <c r="Y657" i="58"/>
  <c r="X657" i="58"/>
  <c r="W657" i="58"/>
  <c r="V657" i="58"/>
  <c r="AB656" i="58"/>
  <c r="AA656" i="58"/>
  <c r="Z656" i="58"/>
  <c r="Y656" i="58"/>
  <c r="X656" i="58"/>
  <c r="W656" i="58"/>
  <c r="V656" i="58"/>
  <c r="AB655" i="58"/>
  <c r="AA655" i="58"/>
  <c r="Z655" i="58"/>
  <c r="Y655" i="58"/>
  <c r="X655" i="58"/>
  <c r="W655" i="58"/>
  <c r="V655" i="58"/>
  <c r="AB654" i="58"/>
  <c r="AA654" i="58"/>
  <c r="Z654" i="58"/>
  <c r="Y654" i="58"/>
  <c r="X654" i="58"/>
  <c r="W654" i="58"/>
  <c r="V654" i="58"/>
  <c r="AB653" i="58"/>
  <c r="AA653" i="58"/>
  <c r="Z653" i="58"/>
  <c r="Y653" i="58"/>
  <c r="X653" i="58"/>
  <c r="W653" i="58"/>
  <c r="V653" i="58"/>
  <c r="AB652" i="58"/>
  <c r="AA652" i="58"/>
  <c r="Z652" i="58"/>
  <c r="Y652" i="58"/>
  <c r="X652" i="58"/>
  <c r="W652" i="58"/>
  <c r="V652" i="58"/>
  <c r="AB651" i="58"/>
  <c r="AA651" i="58"/>
  <c r="Z651" i="58"/>
  <c r="Y651" i="58"/>
  <c r="X651" i="58"/>
  <c r="W651" i="58"/>
  <c r="V651" i="58"/>
  <c r="AB650" i="58"/>
  <c r="AA650" i="58"/>
  <c r="Z650" i="58"/>
  <c r="Y650" i="58"/>
  <c r="X650" i="58"/>
  <c r="W650" i="58"/>
  <c r="V650" i="58"/>
  <c r="AB649" i="58"/>
  <c r="AA649" i="58"/>
  <c r="Z649" i="58"/>
  <c r="Y649" i="58"/>
  <c r="X649" i="58"/>
  <c r="W649" i="58"/>
  <c r="V649" i="58"/>
  <c r="AB648" i="58"/>
  <c r="AA648" i="58"/>
  <c r="Z648" i="58"/>
  <c r="Y648" i="58"/>
  <c r="X648" i="58"/>
  <c r="W648" i="58"/>
  <c r="V648" i="58"/>
  <c r="AB647" i="58"/>
  <c r="AA647" i="58"/>
  <c r="Z647" i="58"/>
  <c r="Y647" i="58"/>
  <c r="X647" i="58"/>
  <c r="W647" i="58"/>
  <c r="V647" i="58"/>
  <c r="AB646" i="58"/>
  <c r="AA646" i="58"/>
  <c r="Z646" i="58"/>
  <c r="Y646" i="58"/>
  <c r="X646" i="58"/>
  <c r="W646" i="58"/>
  <c r="V646" i="58"/>
  <c r="AB645" i="58"/>
  <c r="AA645" i="58"/>
  <c r="Z645" i="58"/>
  <c r="Y645" i="58"/>
  <c r="X645" i="58"/>
  <c r="W645" i="58"/>
  <c r="V645" i="58"/>
  <c r="AB644" i="58"/>
  <c r="AA644" i="58"/>
  <c r="Z644" i="58"/>
  <c r="Y644" i="58"/>
  <c r="X644" i="58"/>
  <c r="W644" i="58"/>
  <c r="V644" i="58"/>
  <c r="AB643" i="58"/>
  <c r="AA643" i="58"/>
  <c r="Z643" i="58"/>
  <c r="Y643" i="58"/>
  <c r="X643" i="58"/>
  <c r="W643" i="58"/>
  <c r="V643" i="58"/>
  <c r="AB642" i="58"/>
  <c r="AA642" i="58"/>
  <c r="Z642" i="58"/>
  <c r="Y642" i="58"/>
  <c r="X642" i="58"/>
  <c r="W642" i="58"/>
  <c r="V642" i="58"/>
  <c r="AB641" i="58"/>
  <c r="AA641" i="58"/>
  <c r="Z641" i="58"/>
  <c r="Y641" i="58"/>
  <c r="X641" i="58"/>
  <c r="W641" i="58"/>
  <c r="V641" i="58"/>
  <c r="AB640" i="58"/>
  <c r="AA640" i="58"/>
  <c r="Z640" i="58"/>
  <c r="Y640" i="58"/>
  <c r="X640" i="58"/>
  <c r="W640" i="58"/>
  <c r="V640" i="58"/>
  <c r="AB639" i="58"/>
  <c r="AA639" i="58"/>
  <c r="Z639" i="58"/>
  <c r="Y639" i="58"/>
  <c r="X639" i="58"/>
  <c r="W639" i="58"/>
  <c r="V639" i="58"/>
  <c r="AB638" i="58"/>
  <c r="AA638" i="58"/>
  <c r="Z638" i="58"/>
  <c r="Y638" i="58"/>
  <c r="X638" i="58"/>
  <c r="W638" i="58"/>
  <c r="V638" i="58"/>
  <c r="AB637" i="58"/>
  <c r="AA637" i="58"/>
  <c r="Z637" i="58"/>
  <c r="Y637" i="58"/>
  <c r="X637" i="58"/>
  <c r="W637" i="58"/>
  <c r="V637" i="58"/>
  <c r="AB636" i="58"/>
  <c r="AA636" i="58"/>
  <c r="Z636" i="58"/>
  <c r="Y636" i="58"/>
  <c r="X636" i="58"/>
  <c r="W636" i="58"/>
  <c r="V636" i="58"/>
  <c r="AB635" i="58"/>
  <c r="AA635" i="58"/>
  <c r="Z635" i="58"/>
  <c r="Y635" i="58"/>
  <c r="X635" i="58"/>
  <c r="W635" i="58"/>
  <c r="V635" i="58"/>
  <c r="AB634" i="58"/>
  <c r="AA634" i="58"/>
  <c r="Z634" i="58"/>
  <c r="Y634" i="58"/>
  <c r="X634" i="58"/>
  <c r="W634" i="58"/>
  <c r="V634" i="58"/>
  <c r="AB633" i="58"/>
  <c r="AA633" i="58"/>
  <c r="Z633" i="58"/>
  <c r="Y633" i="58"/>
  <c r="X633" i="58"/>
  <c r="W633" i="58"/>
  <c r="V633" i="58"/>
  <c r="AB632" i="58"/>
  <c r="AA632" i="58"/>
  <c r="Z632" i="58"/>
  <c r="Y632" i="58"/>
  <c r="X632" i="58"/>
  <c r="W632" i="58"/>
  <c r="V632" i="58"/>
  <c r="AB631" i="58"/>
  <c r="AA631" i="58"/>
  <c r="Z631" i="58"/>
  <c r="Y631" i="58"/>
  <c r="X631" i="58"/>
  <c r="W631" i="58"/>
  <c r="V631" i="58"/>
  <c r="AB630" i="58"/>
  <c r="AA630" i="58"/>
  <c r="Z630" i="58"/>
  <c r="Y630" i="58"/>
  <c r="X630" i="58"/>
  <c r="W630" i="58"/>
  <c r="V630" i="58"/>
  <c r="AB629" i="58"/>
  <c r="AA629" i="58"/>
  <c r="Z629" i="58"/>
  <c r="Y629" i="58"/>
  <c r="X629" i="58"/>
  <c r="W629" i="58"/>
  <c r="V629" i="58"/>
  <c r="AB628" i="58"/>
  <c r="AA628" i="58"/>
  <c r="Z628" i="58"/>
  <c r="Y628" i="58"/>
  <c r="X628" i="58"/>
  <c r="W628" i="58"/>
  <c r="V628" i="58"/>
  <c r="AB627" i="58"/>
  <c r="AA627" i="58"/>
  <c r="Z627" i="58"/>
  <c r="Y627" i="58"/>
  <c r="X627" i="58"/>
  <c r="W627" i="58"/>
  <c r="V627" i="58"/>
  <c r="AB626" i="58"/>
  <c r="AA626" i="58"/>
  <c r="Z626" i="58"/>
  <c r="Y626" i="58"/>
  <c r="X626" i="58"/>
  <c r="W626" i="58"/>
  <c r="V626" i="58"/>
  <c r="AB625" i="58"/>
  <c r="AA625" i="58"/>
  <c r="Z625" i="58"/>
  <c r="Y625" i="58"/>
  <c r="X625" i="58"/>
  <c r="W625" i="58"/>
  <c r="V625" i="58"/>
  <c r="AB624" i="58"/>
  <c r="AA624" i="58"/>
  <c r="Z624" i="58"/>
  <c r="Y624" i="58"/>
  <c r="X624" i="58"/>
  <c r="W624" i="58"/>
  <c r="V624" i="58"/>
  <c r="AB623" i="58"/>
  <c r="AA623" i="58"/>
  <c r="Z623" i="58"/>
  <c r="Y623" i="58"/>
  <c r="X623" i="58"/>
  <c r="W623" i="58"/>
  <c r="V623" i="58"/>
  <c r="AB622" i="58"/>
  <c r="AA622" i="58"/>
  <c r="Z622" i="58"/>
  <c r="Y622" i="58"/>
  <c r="X622" i="58"/>
  <c r="W622" i="58"/>
  <c r="V622" i="58"/>
  <c r="AB621" i="58"/>
  <c r="AA621" i="58"/>
  <c r="Z621" i="58"/>
  <c r="Y621" i="58"/>
  <c r="X621" i="58"/>
  <c r="W621" i="58"/>
  <c r="V621" i="58"/>
  <c r="AB620" i="58"/>
  <c r="AA620" i="58"/>
  <c r="Z620" i="58"/>
  <c r="Y620" i="58"/>
  <c r="X620" i="58"/>
  <c r="W620" i="58"/>
  <c r="V620" i="58"/>
  <c r="AB619" i="58"/>
  <c r="AA619" i="58"/>
  <c r="Z619" i="58"/>
  <c r="Y619" i="58"/>
  <c r="X619" i="58"/>
  <c r="W619" i="58"/>
  <c r="V619" i="58"/>
  <c r="AB618" i="58"/>
  <c r="AA618" i="58"/>
  <c r="Z618" i="58"/>
  <c r="Y618" i="58"/>
  <c r="X618" i="58"/>
  <c r="W618" i="58"/>
  <c r="V618" i="58"/>
  <c r="AB617" i="58"/>
  <c r="AA617" i="58"/>
  <c r="Z617" i="58"/>
  <c r="Y617" i="58"/>
  <c r="X617" i="58"/>
  <c r="W617" i="58"/>
  <c r="V617" i="58"/>
  <c r="AB616" i="58"/>
  <c r="AA616" i="58"/>
  <c r="Z616" i="58"/>
  <c r="Y616" i="58"/>
  <c r="X616" i="58"/>
  <c r="W616" i="58"/>
  <c r="V616" i="58"/>
  <c r="AB615" i="58"/>
  <c r="AA615" i="58"/>
  <c r="Z615" i="58"/>
  <c r="Y615" i="58"/>
  <c r="X615" i="58"/>
  <c r="W615" i="58"/>
  <c r="V615" i="58"/>
  <c r="AB614" i="58"/>
  <c r="AA614" i="58"/>
  <c r="Z614" i="58"/>
  <c r="Y614" i="58"/>
  <c r="X614" i="58"/>
  <c r="W614" i="58"/>
  <c r="V614" i="58"/>
  <c r="AB613" i="58"/>
  <c r="AA613" i="58"/>
  <c r="Z613" i="58"/>
  <c r="Y613" i="58"/>
  <c r="X613" i="58"/>
  <c r="W613" i="58"/>
  <c r="V613" i="58"/>
  <c r="AB612" i="58"/>
  <c r="AA612" i="58"/>
  <c r="Z612" i="58"/>
  <c r="Y612" i="58"/>
  <c r="X612" i="58"/>
  <c r="W612" i="58"/>
  <c r="V612" i="58"/>
  <c r="AB611" i="58"/>
  <c r="AA611" i="58"/>
  <c r="Z611" i="58"/>
  <c r="Y611" i="58"/>
  <c r="X611" i="58"/>
  <c r="W611" i="58"/>
  <c r="V611" i="58"/>
  <c r="AB610" i="58"/>
  <c r="AA610" i="58"/>
  <c r="Z610" i="58"/>
  <c r="Y610" i="58"/>
  <c r="X610" i="58"/>
  <c r="W610" i="58"/>
  <c r="V610" i="58"/>
  <c r="AB609" i="58"/>
  <c r="AA609" i="58"/>
  <c r="Z609" i="58"/>
  <c r="Y609" i="58"/>
  <c r="X609" i="58"/>
  <c r="W609" i="58"/>
  <c r="V609" i="58"/>
  <c r="AB608" i="58"/>
  <c r="AA608" i="58"/>
  <c r="Z608" i="58"/>
  <c r="Y608" i="58"/>
  <c r="X608" i="58"/>
  <c r="W608" i="58"/>
  <c r="V608" i="58"/>
  <c r="AB607" i="58"/>
  <c r="AA607" i="58"/>
  <c r="Z607" i="58"/>
  <c r="Y607" i="58"/>
  <c r="X607" i="58"/>
  <c r="W607" i="58"/>
  <c r="V607" i="58"/>
  <c r="AB606" i="58"/>
  <c r="AA606" i="58"/>
  <c r="Z606" i="58"/>
  <c r="Y606" i="58"/>
  <c r="X606" i="58"/>
  <c r="W606" i="58"/>
  <c r="V606" i="58"/>
  <c r="AB605" i="58"/>
  <c r="AA605" i="58"/>
  <c r="Z605" i="58"/>
  <c r="Y605" i="58"/>
  <c r="X605" i="58"/>
  <c r="W605" i="58"/>
  <c r="V605" i="58"/>
  <c r="AB604" i="58"/>
  <c r="AA604" i="58"/>
  <c r="Z604" i="58"/>
  <c r="Y604" i="58"/>
  <c r="X604" i="58"/>
  <c r="W604" i="58"/>
  <c r="V604" i="58"/>
  <c r="AB603" i="58"/>
  <c r="AA603" i="58"/>
  <c r="Z603" i="58"/>
  <c r="Y603" i="58"/>
  <c r="X603" i="58"/>
  <c r="W603" i="58"/>
  <c r="V603" i="58"/>
  <c r="AB602" i="58"/>
  <c r="AA602" i="58"/>
  <c r="Z602" i="58"/>
  <c r="Y602" i="58"/>
  <c r="X602" i="58"/>
  <c r="W602" i="58"/>
  <c r="V602" i="58"/>
  <c r="AB601" i="58"/>
  <c r="AA601" i="58"/>
  <c r="Z601" i="58"/>
  <c r="Y601" i="58"/>
  <c r="X601" i="58"/>
  <c r="W601" i="58"/>
  <c r="V601" i="58"/>
  <c r="AB600" i="58"/>
  <c r="AA600" i="58"/>
  <c r="Z600" i="58"/>
  <c r="Y600" i="58"/>
  <c r="X600" i="58"/>
  <c r="W600" i="58"/>
  <c r="V600" i="58"/>
  <c r="AB599" i="58"/>
  <c r="AA599" i="58"/>
  <c r="Z599" i="58"/>
  <c r="Y599" i="58"/>
  <c r="X599" i="58"/>
  <c r="W599" i="58"/>
  <c r="V599" i="58"/>
  <c r="AB598" i="58"/>
  <c r="AA598" i="58"/>
  <c r="Z598" i="58"/>
  <c r="Y598" i="58"/>
  <c r="X598" i="58"/>
  <c r="W598" i="58"/>
  <c r="V598" i="58"/>
  <c r="AB597" i="58"/>
  <c r="AA597" i="58"/>
  <c r="Z597" i="58"/>
  <c r="Y597" i="58"/>
  <c r="X597" i="58"/>
  <c r="W597" i="58"/>
  <c r="V597" i="58"/>
  <c r="AB596" i="58"/>
  <c r="AA596" i="58"/>
  <c r="Z596" i="58"/>
  <c r="Y596" i="58"/>
  <c r="X596" i="58"/>
  <c r="W596" i="58"/>
  <c r="V596" i="58"/>
  <c r="AB595" i="58"/>
  <c r="AA595" i="58"/>
  <c r="Z595" i="58"/>
  <c r="Y595" i="58"/>
  <c r="X595" i="58"/>
  <c r="W595" i="58"/>
  <c r="V595" i="58"/>
  <c r="AB594" i="58"/>
  <c r="AA594" i="58"/>
  <c r="Z594" i="58"/>
  <c r="Y594" i="58"/>
  <c r="X594" i="58"/>
  <c r="W594" i="58"/>
  <c r="V594" i="58"/>
  <c r="AB593" i="58"/>
  <c r="AA593" i="58"/>
  <c r="Z593" i="58"/>
  <c r="Y593" i="58"/>
  <c r="X593" i="58"/>
  <c r="W593" i="58"/>
  <c r="V593" i="58"/>
  <c r="AB592" i="58"/>
  <c r="AA592" i="58"/>
  <c r="Z592" i="58"/>
  <c r="Y592" i="58"/>
  <c r="X592" i="58"/>
  <c r="W592" i="58"/>
  <c r="V592" i="58"/>
  <c r="AB591" i="58"/>
  <c r="AA591" i="58"/>
  <c r="Z591" i="58"/>
  <c r="Y591" i="58"/>
  <c r="X591" i="58"/>
  <c r="W591" i="58"/>
  <c r="V591" i="58"/>
  <c r="AB590" i="58"/>
  <c r="AA590" i="58"/>
  <c r="Z590" i="58"/>
  <c r="Y590" i="58"/>
  <c r="X590" i="58"/>
  <c r="W590" i="58"/>
  <c r="V590" i="58"/>
  <c r="AB589" i="58"/>
  <c r="AA589" i="58"/>
  <c r="Z589" i="58"/>
  <c r="Y589" i="58"/>
  <c r="X589" i="58"/>
  <c r="W589" i="58"/>
  <c r="V589" i="58"/>
  <c r="AB588" i="58"/>
  <c r="AA588" i="58"/>
  <c r="Z588" i="58"/>
  <c r="Y588" i="58"/>
  <c r="X588" i="58"/>
  <c r="W588" i="58"/>
  <c r="V588" i="58"/>
  <c r="AB587" i="58"/>
  <c r="AA587" i="58"/>
  <c r="Z587" i="58"/>
  <c r="Y587" i="58"/>
  <c r="X587" i="58"/>
  <c r="W587" i="58"/>
  <c r="V587" i="58"/>
  <c r="AB586" i="58"/>
  <c r="AA586" i="58"/>
  <c r="Z586" i="58"/>
  <c r="Y586" i="58"/>
  <c r="X586" i="58"/>
  <c r="W586" i="58"/>
  <c r="V586" i="58"/>
  <c r="AB585" i="58"/>
  <c r="AA585" i="58"/>
  <c r="Z585" i="58"/>
  <c r="Y585" i="58"/>
  <c r="X585" i="58"/>
  <c r="W585" i="58"/>
  <c r="V585" i="58"/>
  <c r="AB584" i="58"/>
  <c r="AA584" i="58"/>
  <c r="Z584" i="58"/>
  <c r="Y584" i="58"/>
  <c r="X584" i="58"/>
  <c r="W584" i="58"/>
  <c r="V584" i="58"/>
  <c r="AB583" i="58"/>
  <c r="AA583" i="58"/>
  <c r="Z583" i="58"/>
  <c r="Y583" i="58"/>
  <c r="X583" i="58"/>
  <c r="W583" i="58"/>
  <c r="V583" i="58"/>
  <c r="AB582" i="58"/>
  <c r="AA582" i="58"/>
  <c r="Z582" i="58"/>
  <c r="Y582" i="58"/>
  <c r="X582" i="58"/>
  <c r="W582" i="58"/>
  <c r="V582" i="58"/>
  <c r="AB581" i="58"/>
  <c r="AA581" i="58"/>
  <c r="Z581" i="58"/>
  <c r="Y581" i="58"/>
  <c r="X581" i="58"/>
  <c r="W581" i="58"/>
  <c r="V581" i="58"/>
  <c r="AB580" i="58"/>
  <c r="AA580" i="58"/>
  <c r="Z580" i="58"/>
  <c r="Y580" i="58"/>
  <c r="X580" i="58"/>
  <c r="W580" i="58"/>
  <c r="V580" i="58"/>
  <c r="AB579" i="58"/>
  <c r="AA579" i="58"/>
  <c r="Z579" i="58"/>
  <c r="Y579" i="58"/>
  <c r="X579" i="58"/>
  <c r="W579" i="58"/>
  <c r="V579" i="58"/>
  <c r="AB578" i="58"/>
  <c r="AA578" i="58"/>
  <c r="Z578" i="58"/>
  <c r="Y578" i="58"/>
  <c r="X578" i="58"/>
  <c r="W578" i="58"/>
  <c r="V578" i="58"/>
  <c r="AB577" i="58"/>
  <c r="AA577" i="58"/>
  <c r="Z577" i="58"/>
  <c r="Y577" i="58"/>
  <c r="X577" i="58"/>
  <c r="W577" i="58"/>
  <c r="V577" i="58"/>
  <c r="AB576" i="58"/>
  <c r="AA576" i="58"/>
  <c r="Z576" i="58"/>
  <c r="Y576" i="58"/>
  <c r="X576" i="58"/>
  <c r="W576" i="58"/>
  <c r="V576" i="58"/>
  <c r="AB575" i="58"/>
  <c r="AA575" i="58"/>
  <c r="Z575" i="58"/>
  <c r="Y575" i="58"/>
  <c r="X575" i="58"/>
  <c r="W575" i="58"/>
  <c r="V575" i="58"/>
  <c r="AB574" i="58"/>
  <c r="AA574" i="58"/>
  <c r="Z574" i="58"/>
  <c r="Y574" i="58"/>
  <c r="X574" i="58"/>
  <c r="W574" i="58"/>
  <c r="V574" i="58"/>
  <c r="AB573" i="58"/>
  <c r="AA573" i="58"/>
  <c r="Z573" i="58"/>
  <c r="Y573" i="58"/>
  <c r="X573" i="58"/>
  <c r="W573" i="58"/>
  <c r="V573" i="58"/>
  <c r="AB572" i="58"/>
  <c r="AA572" i="58"/>
  <c r="Z572" i="58"/>
  <c r="Y572" i="58"/>
  <c r="X572" i="58"/>
  <c r="W572" i="58"/>
  <c r="V572" i="58"/>
  <c r="AB571" i="58"/>
  <c r="AA571" i="58"/>
  <c r="Z571" i="58"/>
  <c r="Y571" i="58"/>
  <c r="X571" i="58"/>
  <c r="W571" i="58"/>
  <c r="V571" i="58"/>
  <c r="AB570" i="58"/>
  <c r="AA570" i="58"/>
  <c r="Z570" i="58"/>
  <c r="Y570" i="58"/>
  <c r="X570" i="58"/>
  <c r="W570" i="58"/>
  <c r="V570" i="58"/>
  <c r="AB569" i="58"/>
  <c r="AA569" i="58"/>
  <c r="Z569" i="58"/>
  <c r="Y569" i="58"/>
  <c r="X569" i="58"/>
  <c r="W569" i="58"/>
  <c r="V569" i="58"/>
  <c r="AB568" i="58"/>
  <c r="AA568" i="58"/>
  <c r="Z568" i="58"/>
  <c r="Y568" i="58"/>
  <c r="X568" i="58"/>
  <c r="W568" i="58"/>
  <c r="V568" i="58"/>
  <c r="AB567" i="58"/>
  <c r="AA567" i="58"/>
  <c r="Z567" i="58"/>
  <c r="Y567" i="58"/>
  <c r="X567" i="58"/>
  <c r="W567" i="58"/>
  <c r="V567" i="58"/>
  <c r="AB566" i="58"/>
  <c r="AA566" i="58"/>
  <c r="Z566" i="58"/>
  <c r="Y566" i="58"/>
  <c r="X566" i="58"/>
  <c r="W566" i="58"/>
  <c r="V566" i="58"/>
  <c r="AB565" i="58"/>
  <c r="AA565" i="58"/>
  <c r="Z565" i="58"/>
  <c r="Y565" i="58"/>
  <c r="X565" i="58"/>
  <c r="W565" i="58"/>
  <c r="V565" i="58"/>
  <c r="AB564" i="58"/>
  <c r="AA564" i="58"/>
  <c r="Z564" i="58"/>
  <c r="Y564" i="58"/>
  <c r="X564" i="58"/>
  <c r="W564" i="58"/>
  <c r="V564" i="58"/>
  <c r="AB563" i="58"/>
  <c r="AA563" i="58"/>
  <c r="Z563" i="58"/>
  <c r="Y563" i="58"/>
  <c r="X563" i="58"/>
  <c r="W563" i="58"/>
  <c r="V563" i="58"/>
  <c r="AB562" i="58"/>
  <c r="AA562" i="58"/>
  <c r="Z562" i="58"/>
  <c r="Y562" i="58"/>
  <c r="X562" i="58"/>
  <c r="W562" i="58"/>
  <c r="V562" i="58"/>
  <c r="AB561" i="58"/>
  <c r="AA561" i="58"/>
  <c r="Z561" i="58"/>
  <c r="Y561" i="58"/>
  <c r="X561" i="58"/>
  <c r="W561" i="58"/>
  <c r="V561" i="58"/>
  <c r="AB560" i="58"/>
  <c r="AA560" i="58"/>
  <c r="Z560" i="58"/>
  <c r="Y560" i="58"/>
  <c r="X560" i="58"/>
  <c r="W560" i="58"/>
  <c r="V560" i="58"/>
  <c r="AB559" i="58"/>
  <c r="AA559" i="58"/>
  <c r="Z559" i="58"/>
  <c r="Y559" i="58"/>
  <c r="X559" i="58"/>
  <c r="W559" i="58"/>
  <c r="V559" i="58"/>
  <c r="AB558" i="58"/>
  <c r="AA558" i="58"/>
  <c r="Z558" i="58"/>
  <c r="Y558" i="58"/>
  <c r="X558" i="58"/>
  <c r="W558" i="58"/>
  <c r="V558" i="58"/>
  <c r="AB557" i="58"/>
  <c r="AA557" i="58"/>
  <c r="Z557" i="58"/>
  <c r="Y557" i="58"/>
  <c r="X557" i="58"/>
  <c r="W557" i="58"/>
  <c r="V557" i="58"/>
  <c r="AB556" i="58"/>
  <c r="AA556" i="58"/>
  <c r="Z556" i="58"/>
  <c r="Y556" i="58"/>
  <c r="X556" i="58"/>
  <c r="W556" i="58"/>
  <c r="V556" i="58"/>
  <c r="AB555" i="58"/>
  <c r="AA555" i="58"/>
  <c r="Z555" i="58"/>
  <c r="Y555" i="58"/>
  <c r="X555" i="58"/>
  <c r="W555" i="58"/>
  <c r="V555" i="58"/>
  <c r="AB554" i="58"/>
  <c r="AA554" i="58"/>
  <c r="Z554" i="58"/>
  <c r="Y554" i="58"/>
  <c r="X554" i="58"/>
  <c r="W554" i="58"/>
  <c r="V554" i="58"/>
  <c r="AB553" i="58"/>
  <c r="AA553" i="58"/>
  <c r="Z553" i="58"/>
  <c r="Y553" i="58"/>
  <c r="X553" i="58"/>
  <c r="W553" i="58"/>
  <c r="V553" i="58"/>
  <c r="AB552" i="58"/>
  <c r="AA552" i="58"/>
  <c r="Z552" i="58"/>
  <c r="Y552" i="58"/>
  <c r="X552" i="58"/>
  <c r="W552" i="58"/>
  <c r="V552" i="58"/>
  <c r="AB551" i="58"/>
  <c r="AA551" i="58"/>
  <c r="Z551" i="58"/>
  <c r="Y551" i="58"/>
  <c r="X551" i="58"/>
  <c r="W551" i="58"/>
  <c r="V551" i="58"/>
  <c r="AB550" i="58"/>
  <c r="AA550" i="58"/>
  <c r="Z550" i="58"/>
  <c r="Y550" i="58"/>
  <c r="X550" i="58"/>
  <c r="W550" i="58"/>
  <c r="V550" i="58"/>
  <c r="AB549" i="58"/>
  <c r="AA549" i="58"/>
  <c r="Z549" i="58"/>
  <c r="Y549" i="58"/>
  <c r="X549" i="58"/>
  <c r="W549" i="58"/>
  <c r="V549" i="58"/>
  <c r="AB548" i="58"/>
  <c r="AA548" i="58"/>
  <c r="Z548" i="58"/>
  <c r="Y548" i="58"/>
  <c r="X548" i="58"/>
  <c r="W548" i="58"/>
  <c r="V548" i="58"/>
  <c r="AB547" i="58"/>
  <c r="AA547" i="58"/>
  <c r="Z547" i="58"/>
  <c r="Y547" i="58"/>
  <c r="X547" i="58"/>
  <c r="W547" i="58"/>
  <c r="V547" i="58"/>
  <c r="AB546" i="58"/>
  <c r="AA546" i="58"/>
  <c r="Z546" i="58"/>
  <c r="Y546" i="58"/>
  <c r="X546" i="58"/>
  <c r="W546" i="58"/>
  <c r="V546" i="58"/>
  <c r="AB545" i="58"/>
  <c r="AA545" i="58"/>
  <c r="Z545" i="58"/>
  <c r="Y545" i="58"/>
  <c r="X545" i="58"/>
  <c r="W545" i="58"/>
  <c r="V545" i="58"/>
  <c r="AB544" i="58"/>
  <c r="AA544" i="58"/>
  <c r="Z544" i="58"/>
  <c r="Y544" i="58"/>
  <c r="X544" i="58"/>
  <c r="W544" i="58"/>
  <c r="V544" i="58"/>
  <c r="AB543" i="58"/>
  <c r="AA543" i="58"/>
  <c r="Z543" i="58"/>
  <c r="Y543" i="58"/>
  <c r="X543" i="58"/>
  <c r="W543" i="58"/>
  <c r="V543" i="58"/>
  <c r="AB542" i="58"/>
  <c r="AA542" i="58"/>
  <c r="Z542" i="58"/>
  <c r="Y542" i="58"/>
  <c r="X542" i="58"/>
  <c r="W542" i="58"/>
  <c r="V542" i="58"/>
  <c r="AB541" i="58"/>
  <c r="AA541" i="58"/>
  <c r="Z541" i="58"/>
  <c r="Y541" i="58"/>
  <c r="X541" i="58"/>
  <c r="W541" i="58"/>
  <c r="V541" i="58"/>
  <c r="AB540" i="58"/>
  <c r="AA540" i="58"/>
  <c r="Z540" i="58"/>
  <c r="Y540" i="58"/>
  <c r="X540" i="58"/>
  <c r="W540" i="58"/>
  <c r="V540" i="58"/>
  <c r="AB539" i="58"/>
  <c r="AA539" i="58"/>
  <c r="Z539" i="58"/>
  <c r="Y539" i="58"/>
  <c r="X539" i="58"/>
  <c r="W539" i="58"/>
  <c r="V539" i="58"/>
  <c r="AB538" i="58"/>
  <c r="AA538" i="58"/>
  <c r="Z538" i="58"/>
  <c r="Y538" i="58"/>
  <c r="X538" i="58"/>
  <c r="W538" i="58"/>
  <c r="V538" i="58"/>
  <c r="AB537" i="58"/>
  <c r="AA537" i="58"/>
  <c r="Z537" i="58"/>
  <c r="Y537" i="58"/>
  <c r="X537" i="58"/>
  <c r="W537" i="58"/>
  <c r="V537" i="58"/>
  <c r="AB536" i="58"/>
  <c r="AA536" i="58"/>
  <c r="Z536" i="58"/>
  <c r="Y536" i="58"/>
  <c r="X536" i="58"/>
  <c r="W536" i="58"/>
  <c r="V536" i="58"/>
  <c r="AB535" i="58"/>
  <c r="AA535" i="58"/>
  <c r="Z535" i="58"/>
  <c r="Y535" i="58"/>
  <c r="X535" i="58"/>
  <c r="W535" i="58"/>
  <c r="V535" i="58"/>
  <c r="AB534" i="58"/>
  <c r="AA534" i="58"/>
  <c r="Z534" i="58"/>
  <c r="Y534" i="58"/>
  <c r="X534" i="58"/>
  <c r="W534" i="58"/>
  <c r="V534" i="58"/>
  <c r="AB533" i="58"/>
  <c r="AA533" i="58"/>
  <c r="Z533" i="58"/>
  <c r="Y533" i="58"/>
  <c r="X533" i="58"/>
  <c r="W533" i="58"/>
  <c r="V533" i="58"/>
  <c r="AB532" i="58"/>
  <c r="AA532" i="58"/>
  <c r="Z532" i="58"/>
  <c r="Y532" i="58"/>
  <c r="X532" i="58"/>
  <c r="W532" i="58"/>
  <c r="V532" i="58"/>
  <c r="AB531" i="58"/>
  <c r="AA531" i="58"/>
  <c r="Z531" i="58"/>
  <c r="Y531" i="58"/>
  <c r="X531" i="58"/>
  <c r="W531" i="58"/>
  <c r="V531" i="58"/>
  <c r="AB530" i="58"/>
  <c r="AA530" i="58"/>
  <c r="Z530" i="58"/>
  <c r="Y530" i="58"/>
  <c r="X530" i="58"/>
  <c r="W530" i="58"/>
  <c r="V530" i="58"/>
  <c r="AB529" i="58"/>
  <c r="AA529" i="58"/>
  <c r="Z529" i="58"/>
  <c r="Y529" i="58"/>
  <c r="X529" i="58"/>
  <c r="W529" i="58"/>
  <c r="V529" i="58"/>
  <c r="AB528" i="58"/>
  <c r="AA528" i="58"/>
  <c r="Z528" i="58"/>
  <c r="Y528" i="58"/>
  <c r="X528" i="58"/>
  <c r="W528" i="58"/>
  <c r="V528" i="58"/>
  <c r="AB527" i="58"/>
  <c r="AA527" i="58"/>
  <c r="Z527" i="58"/>
  <c r="Y527" i="58"/>
  <c r="X527" i="58"/>
  <c r="W527" i="58"/>
  <c r="V527" i="58"/>
  <c r="AB526" i="58"/>
  <c r="AA526" i="58"/>
  <c r="Z526" i="58"/>
  <c r="Y526" i="58"/>
  <c r="X526" i="58"/>
  <c r="W526" i="58"/>
  <c r="V526" i="58"/>
  <c r="AB525" i="58"/>
  <c r="AA525" i="58"/>
  <c r="Z525" i="58"/>
  <c r="Y525" i="58"/>
  <c r="X525" i="58"/>
  <c r="W525" i="58"/>
  <c r="V525" i="58"/>
  <c r="AB524" i="58"/>
  <c r="AA524" i="58"/>
  <c r="Z524" i="58"/>
  <c r="Y524" i="58"/>
  <c r="X524" i="58"/>
  <c r="W524" i="58"/>
  <c r="V524" i="58"/>
  <c r="AB523" i="58"/>
  <c r="AA523" i="58"/>
  <c r="Z523" i="58"/>
  <c r="Y523" i="58"/>
  <c r="X523" i="58"/>
  <c r="W523" i="58"/>
  <c r="V523" i="58"/>
  <c r="AB522" i="58"/>
  <c r="AA522" i="58"/>
  <c r="Z522" i="58"/>
  <c r="Y522" i="58"/>
  <c r="X522" i="58"/>
  <c r="W522" i="58"/>
  <c r="V522" i="58"/>
  <c r="AB521" i="58"/>
  <c r="AA521" i="58"/>
  <c r="Z521" i="58"/>
  <c r="Y521" i="58"/>
  <c r="X521" i="58"/>
  <c r="W521" i="58"/>
  <c r="V521" i="58"/>
  <c r="AB520" i="58"/>
  <c r="AA520" i="58"/>
  <c r="Z520" i="58"/>
  <c r="Y520" i="58"/>
  <c r="X520" i="58"/>
  <c r="W520" i="58"/>
  <c r="V520" i="58"/>
  <c r="AB519" i="58"/>
  <c r="AA519" i="58"/>
  <c r="Z519" i="58"/>
  <c r="Y519" i="58"/>
  <c r="X519" i="58"/>
  <c r="W519" i="58"/>
  <c r="V519" i="58"/>
  <c r="AB518" i="58"/>
  <c r="AA518" i="58"/>
  <c r="Z518" i="58"/>
  <c r="Y518" i="58"/>
  <c r="X518" i="58"/>
  <c r="W518" i="58"/>
  <c r="V518" i="58"/>
  <c r="AB517" i="58"/>
  <c r="AA517" i="58"/>
  <c r="Z517" i="58"/>
  <c r="Y517" i="58"/>
  <c r="X517" i="58"/>
  <c r="W517" i="58"/>
  <c r="V517" i="58"/>
  <c r="AB516" i="58"/>
  <c r="AA516" i="58"/>
  <c r="Z516" i="58"/>
  <c r="Y516" i="58"/>
  <c r="X516" i="58"/>
  <c r="W516" i="58"/>
  <c r="V516" i="58"/>
  <c r="AB515" i="58"/>
  <c r="AA515" i="58"/>
  <c r="Z515" i="58"/>
  <c r="Y515" i="58"/>
  <c r="X515" i="58"/>
  <c r="W515" i="58"/>
  <c r="V515" i="58"/>
  <c r="AB514" i="58"/>
  <c r="AA514" i="58"/>
  <c r="Z514" i="58"/>
  <c r="Y514" i="58"/>
  <c r="X514" i="58"/>
  <c r="W514" i="58"/>
  <c r="V514" i="58"/>
  <c r="AB513" i="58"/>
  <c r="AA513" i="58"/>
  <c r="Z513" i="58"/>
  <c r="Y513" i="58"/>
  <c r="X513" i="58"/>
  <c r="W513" i="58"/>
  <c r="V513" i="58"/>
  <c r="AB512" i="58"/>
  <c r="AA512" i="58"/>
  <c r="Z512" i="58"/>
  <c r="Y512" i="58"/>
  <c r="X512" i="58"/>
  <c r="W512" i="58"/>
  <c r="V512" i="58"/>
  <c r="AB511" i="58"/>
  <c r="AA511" i="58"/>
  <c r="Z511" i="58"/>
  <c r="Y511" i="58"/>
  <c r="X511" i="58"/>
  <c r="W511" i="58"/>
  <c r="V511" i="58"/>
  <c r="AB510" i="58"/>
  <c r="AA510" i="58"/>
  <c r="Z510" i="58"/>
  <c r="Y510" i="58"/>
  <c r="X510" i="58"/>
  <c r="W510" i="58"/>
  <c r="V510" i="58"/>
  <c r="AB509" i="58"/>
  <c r="AA509" i="58"/>
  <c r="Z509" i="58"/>
  <c r="Y509" i="58"/>
  <c r="X509" i="58"/>
  <c r="W509" i="58"/>
  <c r="V509" i="58"/>
  <c r="AB508" i="58"/>
  <c r="AA508" i="58"/>
  <c r="Z508" i="58"/>
  <c r="Y508" i="58"/>
  <c r="X508" i="58"/>
  <c r="W508" i="58"/>
  <c r="V508" i="58"/>
  <c r="AB507" i="58"/>
  <c r="AA507" i="58"/>
  <c r="Z507" i="58"/>
  <c r="Y507" i="58"/>
  <c r="X507" i="58"/>
  <c r="W507" i="58"/>
  <c r="V507" i="58"/>
  <c r="AB506" i="58"/>
  <c r="AA506" i="58"/>
  <c r="Z506" i="58"/>
  <c r="Y506" i="58"/>
  <c r="X506" i="58"/>
  <c r="W506" i="58"/>
  <c r="V506" i="58"/>
  <c r="AB505" i="58"/>
  <c r="AA505" i="58"/>
  <c r="Z505" i="58"/>
  <c r="Y505" i="58"/>
  <c r="X505" i="58"/>
  <c r="W505" i="58"/>
  <c r="V505" i="58"/>
  <c r="AB504" i="58"/>
  <c r="AA504" i="58"/>
  <c r="Z504" i="58"/>
  <c r="Y504" i="58"/>
  <c r="X504" i="58"/>
  <c r="W504" i="58"/>
  <c r="V504" i="58"/>
  <c r="AB503" i="58"/>
  <c r="AA503" i="58"/>
  <c r="Z503" i="58"/>
  <c r="Y503" i="58"/>
  <c r="X503" i="58"/>
  <c r="W503" i="58"/>
  <c r="V503" i="58"/>
  <c r="AB502" i="58"/>
  <c r="AA502" i="58"/>
  <c r="Z502" i="58"/>
  <c r="Y502" i="58"/>
  <c r="X502" i="58"/>
  <c r="W502" i="58"/>
  <c r="V502" i="58"/>
  <c r="AB501" i="58"/>
  <c r="AA501" i="58"/>
  <c r="Z501" i="58"/>
  <c r="Y501" i="58"/>
  <c r="X501" i="58"/>
  <c r="W501" i="58"/>
  <c r="V501" i="58"/>
  <c r="AB500" i="58"/>
  <c r="AA500" i="58"/>
  <c r="Z500" i="58"/>
  <c r="Y500" i="58"/>
  <c r="X500" i="58"/>
  <c r="W500" i="58"/>
  <c r="V500" i="58"/>
  <c r="AB499" i="58"/>
  <c r="AA499" i="58"/>
  <c r="Z499" i="58"/>
  <c r="Y499" i="58"/>
  <c r="X499" i="58"/>
  <c r="W499" i="58"/>
  <c r="V499" i="58"/>
  <c r="AB498" i="58"/>
  <c r="AA498" i="58"/>
  <c r="Z498" i="58"/>
  <c r="Y498" i="58"/>
  <c r="X498" i="58"/>
  <c r="W498" i="58"/>
  <c r="V498" i="58"/>
  <c r="AB497" i="58"/>
  <c r="AA497" i="58"/>
  <c r="Z497" i="58"/>
  <c r="Y497" i="58"/>
  <c r="X497" i="58"/>
  <c r="W497" i="58"/>
  <c r="V497" i="58"/>
  <c r="AB496" i="58"/>
  <c r="AA496" i="58"/>
  <c r="Z496" i="58"/>
  <c r="Y496" i="58"/>
  <c r="X496" i="58"/>
  <c r="W496" i="58"/>
  <c r="V496" i="58"/>
  <c r="AB495" i="58"/>
  <c r="AA495" i="58"/>
  <c r="Z495" i="58"/>
  <c r="Y495" i="58"/>
  <c r="X495" i="58"/>
  <c r="W495" i="58"/>
  <c r="V495" i="58"/>
  <c r="AB494" i="58"/>
  <c r="AA494" i="58"/>
  <c r="Z494" i="58"/>
  <c r="Y494" i="58"/>
  <c r="X494" i="58"/>
  <c r="W494" i="58"/>
  <c r="V494" i="58"/>
  <c r="AB493" i="58"/>
  <c r="AA493" i="58"/>
  <c r="Z493" i="58"/>
  <c r="Y493" i="58"/>
  <c r="X493" i="58"/>
  <c r="W493" i="58"/>
  <c r="V493" i="58"/>
  <c r="AB492" i="58"/>
  <c r="AA492" i="58"/>
  <c r="Z492" i="58"/>
  <c r="Y492" i="58"/>
  <c r="X492" i="58"/>
  <c r="W492" i="58"/>
  <c r="V492" i="58"/>
  <c r="AB491" i="58"/>
  <c r="AA491" i="58"/>
  <c r="Z491" i="58"/>
  <c r="Y491" i="58"/>
  <c r="X491" i="58"/>
  <c r="W491" i="58"/>
  <c r="V491" i="58"/>
  <c r="AB490" i="58"/>
  <c r="AA490" i="58"/>
  <c r="Z490" i="58"/>
  <c r="Y490" i="58"/>
  <c r="X490" i="58"/>
  <c r="W490" i="58"/>
  <c r="V490" i="58"/>
  <c r="AB489" i="58"/>
  <c r="AA489" i="58"/>
  <c r="Z489" i="58"/>
  <c r="Y489" i="58"/>
  <c r="X489" i="58"/>
  <c r="W489" i="58"/>
  <c r="V489" i="58"/>
  <c r="AB488" i="58"/>
  <c r="AA488" i="58"/>
  <c r="Z488" i="58"/>
  <c r="Y488" i="58"/>
  <c r="X488" i="58"/>
  <c r="W488" i="58"/>
  <c r="V488" i="58"/>
  <c r="AB487" i="58"/>
  <c r="AA487" i="58"/>
  <c r="Z487" i="58"/>
  <c r="Y487" i="58"/>
  <c r="X487" i="58"/>
  <c r="W487" i="58"/>
  <c r="V487" i="58"/>
  <c r="AB486" i="58"/>
  <c r="AA486" i="58"/>
  <c r="Z486" i="58"/>
  <c r="Y486" i="58"/>
  <c r="X486" i="58"/>
  <c r="W486" i="58"/>
  <c r="V486" i="58"/>
  <c r="AB485" i="58"/>
  <c r="AA485" i="58"/>
  <c r="Z485" i="58"/>
  <c r="Y485" i="58"/>
  <c r="X485" i="58"/>
  <c r="W485" i="58"/>
  <c r="V485" i="58"/>
  <c r="AB484" i="58"/>
  <c r="AA484" i="58"/>
  <c r="Z484" i="58"/>
  <c r="Y484" i="58"/>
  <c r="X484" i="58"/>
  <c r="W484" i="58"/>
  <c r="V484" i="58"/>
  <c r="AB483" i="58"/>
  <c r="AA483" i="58"/>
  <c r="Z483" i="58"/>
  <c r="Y483" i="58"/>
  <c r="X483" i="58"/>
  <c r="W483" i="58"/>
  <c r="V483" i="58"/>
  <c r="AB482" i="58"/>
  <c r="AA482" i="58"/>
  <c r="Z482" i="58"/>
  <c r="Y482" i="58"/>
  <c r="X482" i="58"/>
  <c r="W482" i="58"/>
  <c r="V482" i="58"/>
  <c r="AB481" i="58"/>
  <c r="AA481" i="58"/>
  <c r="Z481" i="58"/>
  <c r="Y481" i="58"/>
  <c r="X481" i="58"/>
  <c r="W481" i="58"/>
  <c r="V481" i="58"/>
  <c r="AB480" i="58"/>
  <c r="AA480" i="58"/>
  <c r="Z480" i="58"/>
  <c r="Y480" i="58"/>
  <c r="X480" i="58"/>
  <c r="W480" i="58"/>
  <c r="V480" i="58"/>
  <c r="AB479" i="58"/>
  <c r="AA479" i="58"/>
  <c r="Z479" i="58"/>
  <c r="Y479" i="58"/>
  <c r="X479" i="58"/>
  <c r="W479" i="58"/>
  <c r="V479" i="58"/>
  <c r="AB478" i="58"/>
  <c r="AA478" i="58"/>
  <c r="Z478" i="58"/>
  <c r="Y478" i="58"/>
  <c r="X478" i="58"/>
  <c r="W478" i="58"/>
  <c r="V478" i="58"/>
  <c r="AB477" i="58"/>
  <c r="AA477" i="58"/>
  <c r="Z477" i="58"/>
  <c r="Y477" i="58"/>
  <c r="X477" i="58"/>
  <c r="W477" i="58"/>
  <c r="V477" i="58"/>
  <c r="AB476" i="58"/>
  <c r="AA476" i="58"/>
  <c r="Z476" i="58"/>
  <c r="Y476" i="58"/>
  <c r="X476" i="58"/>
  <c r="W476" i="58"/>
  <c r="V476" i="58"/>
  <c r="AB475" i="58"/>
  <c r="AA475" i="58"/>
  <c r="Z475" i="58"/>
  <c r="Y475" i="58"/>
  <c r="X475" i="58"/>
  <c r="W475" i="58"/>
  <c r="V475" i="58"/>
  <c r="AB474" i="58"/>
  <c r="AA474" i="58"/>
  <c r="Z474" i="58"/>
  <c r="Y474" i="58"/>
  <c r="X474" i="58"/>
  <c r="W474" i="58"/>
  <c r="V474" i="58"/>
  <c r="AB473" i="58"/>
  <c r="AA473" i="58"/>
  <c r="Z473" i="58"/>
  <c r="Y473" i="58"/>
  <c r="X473" i="58"/>
  <c r="W473" i="58"/>
  <c r="V473" i="58"/>
  <c r="AB472" i="58"/>
  <c r="AA472" i="58"/>
  <c r="Z472" i="58"/>
  <c r="Y472" i="58"/>
  <c r="X472" i="58"/>
  <c r="W472" i="58"/>
  <c r="V472" i="58"/>
  <c r="AB471" i="58"/>
  <c r="AA471" i="58"/>
  <c r="Z471" i="58"/>
  <c r="Y471" i="58"/>
  <c r="X471" i="58"/>
  <c r="W471" i="58"/>
  <c r="V471" i="58"/>
  <c r="AB470" i="58"/>
  <c r="AA470" i="58"/>
  <c r="Z470" i="58"/>
  <c r="Y470" i="58"/>
  <c r="X470" i="58"/>
  <c r="W470" i="58"/>
  <c r="V470" i="58"/>
  <c r="AB469" i="58"/>
  <c r="AA469" i="58"/>
  <c r="Z469" i="58"/>
  <c r="Y469" i="58"/>
  <c r="X469" i="58"/>
  <c r="W469" i="58"/>
  <c r="V469" i="58"/>
  <c r="AB468" i="58"/>
  <c r="AA468" i="58"/>
  <c r="Z468" i="58"/>
  <c r="Y468" i="58"/>
  <c r="X468" i="58"/>
  <c r="W468" i="58"/>
  <c r="V468" i="58"/>
  <c r="AB467" i="58"/>
  <c r="AA467" i="58"/>
  <c r="Z467" i="58"/>
  <c r="Y467" i="58"/>
  <c r="X467" i="58"/>
  <c r="W467" i="58"/>
  <c r="V467" i="58"/>
  <c r="AB466" i="58"/>
  <c r="AA466" i="58"/>
  <c r="Z466" i="58"/>
  <c r="Y466" i="58"/>
  <c r="X466" i="58"/>
  <c r="W466" i="58"/>
  <c r="V466" i="58"/>
  <c r="AB465" i="58"/>
  <c r="AA465" i="58"/>
  <c r="Z465" i="58"/>
  <c r="Y465" i="58"/>
  <c r="X465" i="58"/>
  <c r="W465" i="58"/>
  <c r="V465" i="58"/>
  <c r="AB464" i="58"/>
  <c r="AA464" i="58"/>
  <c r="Z464" i="58"/>
  <c r="Y464" i="58"/>
  <c r="X464" i="58"/>
  <c r="W464" i="58"/>
  <c r="V464" i="58"/>
  <c r="AB463" i="58"/>
  <c r="AA463" i="58"/>
  <c r="Z463" i="58"/>
  <c r="Y463" i="58"/>
  <c r="X463" i="58"/>
  <c r="W463" i="58"/>
  <c r="V463" i="58"/>
  <c r="AB462" i="58"/>
  <c r="AA462" i="58"/>
  <c r="Z462" i="58"/>
  <c r="Y462" i="58"/>
  <c r="X462" i="58"/>
  <c r="W462" i="58"/>
  <c r="V462" i="58"/>
  <c r="AB461" i="58"/>
  <c r="AA461" i="58"/>
  <c r="Z461" i="58"/>
  <c r="Y461" i="58"/>
  <c r="X461" i="58"/>
  <c r="W461" i="58"/>
  <c r="V461" i="58"/>
  <c r="AB460" i="58"/>
  <c r="AA460" i="58"/>
  <c r="Z460" i="58"/>
  <c r="Y460" i="58"/>
  <c r="X460" i="58"/>
  <c r="W460" i="58"/>
  <c r="V460" i="58"/>
  <c r="AB459" i="58"/>
  <c r="AA459" i="58"/>
  <c r="Z459" i="58"/>
  <c r="Y459" i="58"/>
  <c r="X459" i="58"/>
  <c r="W459" i="58"/>
  <c r="V459" i="58"/>
  <c r="AB458" i="58"/>
  <c r="AA458" i="58"/>
  <c r="Z458" i="58"/>
  <c r="Y458" i="58"/>
  <c r="X458" i="58"/>
  <c r="W458" i="58"/>
  <c r="V458" i="58"/>
  <c r="AB457" i="58"/>
  <c r="AA457" i="58"/>
  <c r="Z457" i="58"/>
  <c r="Y457" i="58"/>
  <c r="X457" i="58"/>
  <c r="W457" i="58"/>
  <c r="V457" i="58"/>
  <c r="AB456" i="58"/>
  <c r="AA456" i="58"/>
  <c r="Z456" i="58"/>
  <c r="Y456" i="58"/>
  <c r="X456" i="58"/>
  <c r="W456" i="58"/>
  <c r="V456" i="58"/>
  <c r="AB455" i="58"/>
  <c r="AA455" i="58"/>
  <c r="Z455" i="58"/>
  <c r="Y455" i="58"/>
  <c r="X455" i="58"/>
  <c r="W455" i="58"/>
  <c r="V455" i="58"/>
  <c r="AB454" i="58"/>
  <c r="AA454" i="58"/>
  <c r="Z454" i="58"/>
  <c r="Y454" i="58"/>
  <c r="X454" i="58"/>
  <c r="W454" i="58"/>
  <c r="V454" i="58"/>
  <c r="AB453" i="58"/>
  <c r="AA453" i="58"/>
  <c r="Z453" i="58"/>
  <c r="Y453" i="58"/>
  <c r="X453" i="58"/>
  <c r="W453" i="58"/>
  <c r="V453" i="58"/>
  <c r="AB452" i="58"/>
  <c r="AA452" i="58"/>
  <c r="Z452" i="58"/>
  <c r="Y452" i="58"/>
  <c r="X452" i="58"/>
  <c r="W452" i="58"/>
  <c r="V452" i="58"/>
  <c r="AB451" i="58"/>
  <c r="AA451" i="58"/>
  <c r="Z451" i="58"/>
  <c r="Y451" i="58"/>
  <c r="X451" i="58"/>
  <c r="W451" i="58"/>
  <c r="V451" i="58"/>
  <c r="AB450" i="58"/>
  <c r="AA450" i="58"/>
  <c r="Z450" i="58"/>
  <c r="Y450" i="58"/>
  <c r="X450" i="58"/>
  <c r="W450" i="58"/>
  <c r="V450" i="58"/>
  <c r="AB449" i="58"/>
  <c r="AA449" i="58"/>
  <c r="Z449" i="58"/>
  <c r="Y449" i="58"/>
  <c r="X449" i="58"/>
  <c r="W449" i="58"/>
  <c r="V449" i="58"/>
  <c r="AB448" i="58"/>
  <c r="AA448" i="58"/>
  <c r="Z448" i="58"/>
  <c r="Y448" i="58"/>
  <c r="X448" i="58"/>
  <c r="W448" i="58"/>
  <c r="V448" i="58"/>
  <c r="AB447" i="58"/>
  <c r="AA447" i="58"/>
  <c r="Z447" i="58"/>
  <c r="Y447" i="58"/>
  <c r="X447" i="58"/>
  <c r="W447" i="58"/>
  <c r="V447" i="58"/>
  <c r="AB446" i="58"/>
  <c r="AA446" i="58"/>
  <c r="Z446" i="58"/>
  <c r="Y446" i="58"/>
  <c r="X446" i="58"/>
  <c r="W446" i="58"/>
  <c r="V446" i="58"/>
  <c r="AB445" i="58"/>
  <c r="AA445" i="58"/>
  <c r="Z445" i="58"/>
  <c r="Y445" i="58"/>
  <c r="X445" i="58"/>
  <c r="W445" i="58"/>
  <c r="V445" i="58"/>
  <c r="AB444" i="58"/>
  <c r="AA444" i="58"/>
  <c r="Z444" i="58"/>
  <c r="Y444" i="58"/>
  <c r="X444" i="58"/>
  <c r="W444" i="58"/>
  <c r="V444" i="58"/>
  <c r="AB443" i="58"/>
  <c r="AA443" i="58"/>
  <c r="Z443" i="58"/>
  <c r="Y443" i="58"/>
  <c r="X443" i="58"/>
  <c r="W443" i="58"/>
  <c r="V443" i="58"/>
  <c r="AB442" i="58"/>
  <c r="AA442" i="58"/>
  <c r="Z442" i="58"/>
  <c r="Y442" i="58"/>
  <c r="X442" i="58"/>
  <c r="W442" i="58"/>
  <c r="V442" i="58"/>
  <c r="AB441" i="58"/>
  <c r="AA441" i="58"/>
  <c r="Z441" i="58"/>
  <c r="Y441" i="58"/>
  <c r="X441" i="58"/>
  <c r="W441" i="58"/>
  <c r="V441" i="58"/>
  <c r="AB440" i="58"/>
  <c r="AA440" i="58"/>
  <c r="Z440" i="58"/>
  <c r="Y440" i="58"/>
  <c r="X440" i="58"/>
  <c r="W440" i="58"/>
  <c r="V440" i="58"/>
  <c r="AB439" i="58"/>
  <c r="AA439" i="58"/>
  <c r="Z439" i="58"/>
  <c r="Y439" i="58"/>
  <c r="X439" i="58"/>
  <c r="W439" i="58"/>
  <c r="V439" i="58"/>
  <c r="AB438" i="58"/>
  <c r="AA438" i="58"/>
  <c r="Z438" i="58"/>
  <c r="Y438" i="58"/>
  <c r="X438" i="58"/>
  <c r="W438" i="58"/>
  <c r="V438" i="58"/>
  <c r="AB437" i="58"/>
  <c r="AA437" i="58"/>
  <c r="Z437" i="58"/>
  <c r="Y437" i="58"/>
  <c r="X437" i="58"/>
  <c r="W437" i="58"/>
  <c r="V437" i="58"/>
  <c r="AB436" i="58"/>
  <c r="AA436" i="58"/>
  <c r="Z436" i="58"/>
  <c r="Y436" i="58"/>
  <c r="X436" i="58"/>
  <c r="W436" i="58"/>
  <c r="V436" i="58"/>
  <c r="AB435" i="58"/>
  <c r="AA435" i="58"/>
  <c r="Z435" i="58"/>
  <c r="Y435" i="58"/>
  <c r="X435" i="58"/>
  <c r="W435" i="58"/>
  <c r="V435" i="58"/>
  <c r="AB434" i="58"/>
  <c r="AA434" i="58"/>
  <c r="Z434" i="58"/>
  <c r="Y434" i="58"/>
  <c r="X434" i="58"/>
  <c r="W434" i="58"/>
  <c r="V434" i="58"/>
  <c r="AB433" i="58"/>
  <c r="AA433" i="58"/>
  <c r="Z433" i="58"/>
  <c r="Y433" i="58"/>
  <c r="X433" i="58"/>
  <c r="W433" i="58"/>
  <c r="V433" i="58"/>
  <c r="AB432" i="58"/>
  <c r="AA432" i="58"/>
  <c r="Z432" i="58"/>
  <c r="Y432" i="58"/>
  <c r="X432" i="58"/>
  <c r="W432" i="58"/>
  <c r="V432" i="58"/>
  <c r="AB431" i="58"/>
  <c r="AA431" i="58"/>
  <c r="Z431" i="58"/>
  <c r="Y431" i="58"/>
  <c r="X431" i="58"/>
  <c r="W431" i="58"/>
  <c r="V431" i="58"/>
  <c r="AB430" i="58"/>
  <c r="AA430" i="58"/>
  <c r="Z430" i="58"/>
  <c r="Y430" i="58"/>
  <c r="X430" i="58"/>
  <c r="W430" i="58"/>
  <c r="V430" i="58"/>
  <c r="AB429" i="58"/>
  <c r="AA429" i="58"/>
  <c r="Z429" i="58"/>
  <c r="Y429" i="58"/>
  <c r="X429" i="58"/>
  <c r="W429" i="58"/>
  <c r="V429" i="58"/>
  <c r="AB428" i="58"/>
  <c r="AA428" i="58"/>
  <c r="Z428" i="58"/>
  <c r="Y428" i="58"/>
  <c r="X428" i="58"/>
  <c r="W428" i="58"/>
  <c r="V428" i="58"/>
  <c r="AB427" i="58"/>
  <c r="AA427" i="58"/>
  <c r="Z427" i="58"/>
  <c r="Y427" i="58"/>
  <c r="X427" i="58"/>
  <c r="W427" i="58"/>
  <c r="V427" i="58"/>
  <c r="AB426" i="58"/>
  <c r="AA426" i="58"/>
  <c r="Z426" i="58"/>
  <c r="Y426" i="58"/>
  <c r="X426" i="58"/>
  <c r="W426" i="58"/>
  <c r="V426" i="58"/>
  <c r="AB425" i="58"/>
  <c r="AA425" i="58"/>
  <c r="Z425" i="58"/>
  <c r="Y425" i="58"/>
  <c r="X425" i="58"/>
  <c r="W425" i="58"/>
  <c r="V425" i="58"/>
  <c r="AB424" i="58"/>
  <c r="AA424" i="58"/>
  <c r="Z424" i="58"/>
  <c r="Y424" i="58"/>
  <c r="X424" i="58"/>
  <c r="W424" i="58"/>
  <c r="V424" i="58"/>
  <c r="AB423" i="58"/>
  <c r="AA423" i="58"/>
  <c r="Z423" i="58"/>
  <c r="Y423" i="58"/>
  <c r="X423" i="58"/>
  <c r="W423" i="58"/>
  <c r="V423" i="58"/>
  <c r="AB422" i="58"/>
  <c r="AA422" i="58"/>
  <c r="Z422" i="58"/>
  <c r="Y422" i="58"/>
  <c r="X422" i="58"/>
  <c r="W422" i="58"/>
  <c r="V422" i="58"/>
  <c r="AB421" i="58"/>
  <c r="AA421" i="58"/>
  <c r="Z421" i="58"/>
  <c r="Y421" i="58"/>
  <c r="X421" i="58"/>
  <c r="W421" i="58"/>
  <c r="V421" i="58"/>
  <c r="AB420" i="58"/>
  <c r="AA420" i="58"/>
  <c r="Z420" i="58"/>
  <c r="Y420" i="58"/>
  <c r="X420" i="58"/>
  <c r="W420" i="58"/>
  <c r="V420" i="58"/>
  <c r="AB419" i="58"/>
  <c r="AA419" i="58"/>
  <c r="Z419" i="58"/>
  <c r="Y419" i="58"/>
  <c r="X419" i="58"/>
  <c r="W419" i="58"/>
  <c r="V419" i="58"/>
  <c r="AB418" i="58"/>
  <c r="AA418" i="58"/>
  <c r="Z418" i="58"/>
  <c r="Y418" i="58"/>
  <c r="X418" i="58"/>
  <c r="W418" i="58"/>
  <c r="V418" i="58"/>
  <c r="AB417" i="58"/>
  <c r="AA417" i="58"/>
  <c r="Z417" i="58"/>
  <c r="Y417" i="58"/>
  <c r="X417" i="58"/>
  <c r="W417" i="58"/>
  <c r="V417" i="58"/>
  <c r="AB416" i="58"/>
  <c r="AA416" i="58"/>
  <c r="Z416" i="58"/>
  <c r="Y416" i="58"/>
  <c r="X416" i="58"/>
  <c r="W416" i="58"/>
  <c r="V416" i="58"/>
  <c r="AB415" i="58"/>
  <c r="AA415" i="58"/>
  <c r="Z415" i="58"/>
  <c r="Y415" i="58"/>
  <c r="X415" i="58"/>
  <c r="W415" i="58"/>
  <c r="V415" i="58"/>
  <c r="AB414" i="58"/>
  <c r="AA414" i="58"/>
  <c r="Z414" i="58"/>
  <c r="Y414" i="58"/>
  <c r="X414" i="58"/>
  <c r="W414" i="58"/>
  <c r="V414" i="58"/>
  <c r="AB413" i="58"/>
  <c r="AA413" i="58"/>
  <c r="Z413" i="58"/>
  <c r="Y413" i="58"/>
  <c r="X413" i="58"/>
  <c r="W413" i="58"/>
  <c r="V413" i="58"/>
  <c r="AB412" i="58"/>
  <c r="AA412" i="58"/>
  <c r="Z412" i="58"/>
  <c r="Y412" i="58"/>
  <c r="X412" i="58"/>
  <c r="W412" i="58"/>
  <c r="V412" i="58"/>
  <c r="AB411" i="58"/>
  <c r="AA411" i="58"/>
  <c r="Z411" i="58"/>
  <c r="Y411" i="58"/>
  <c r="X411" i="58"/>
  <c r="W411" i="58"/>
  <c r="V411" i="58"/>
  <c r="AB410" i="58"/>
  <c r="AA410" i="58"/>
  <c r="Z410" i="58"/>
  <c r="Y410" i="58"/>
  <c r="X410" i="58"/>
  <c r="W410" i="58"/>
  <c r="V410" i="58"/>
  <c r="AB409" i="58"/>
  <c r="AA409" i="58"/>
  <c r="Z409" i="58"/>
  <c r="Y409" i="58"/>
  <c r="X409" i="58"/>
  <c r="W409" i="58"/>
  <c r="V409" i="58"/>
  <c r="AB408" i="58"/>
  <c r="AA408" i="58"/>
  <c r="Z408" i="58"/>
  <c r="Y408" i="58"/>
  <c r="X408" i="58"/>
  <c r="W408" i="58"/>
  <c r="V408" i="58"/>
  <c r="AB407" i="58"/>
  <c r="AA407" i="58"/>
  <c r="Z407" i="58"/>
  <c r="Y407" i="58"/>
  <c r="X407" i="58"/>
  <c r="W407" i="58"/>
  <c r="V407" i="58"/>
  <c r="AB406" i="58"/>
  <c r="AA406" i="58"/>
  <c r="Z406" i="58"/>
  <c r="Y406" i="58"/>
  <c r="X406" i="58"/>
  <c r="W406" i="58"/>
  <c r="V406" i="58"/>
  <c r="AB405" i="58"/>
  <c r="AA405" i="58"/>
  <c r="Z405" i="58"/>
  <c r="Y405" i="58"/>
  <c r="X405" i="58"/>
  <c r="W405" i="58"/>
  <c r="V405" i="58"/>
  <c r="AB404" i="58"/>
  <c r="AA404" i="58"/>
  <c r="Z404" i="58"/>
  <c r="Y404" i="58"/>
  <c r="X404" i="58"/>
  <c r="W404" i="58"/>
  <c r="V404" i="58"/>
  <c r="AB403" i="58"/>
  <c r="AA403" i="58"/>
  <c r="Z403" i="58"/>
  <c r="Y403" i="58"/>
  <c r="X403" i="58"/>
  <c r="W403" i="58"/>
  <c r="V403" i="58"/>
  <c r="AB402" i="58"/>
  <c r="AA402" i="58"/>
  <c r="Z402" i="58"/>
  <c r="Y402" i="58"/>
  <c r="X402" i="58"/>
  <c r="W402" i="58"/>
  <c r="V402" i="58"/>
  <c r="AB401" i="58"/>
  <c r="AA401" i="58"/>
  <c r="Z401" i="58"/>
  <c r="Y401" i="58"/>
  <c r="X401" i="58"/>
  <c r="W401" i="58"/>
  <c r="V401" i="58"/>
  <c r="AB400" i="58"/>
  <c r="AA400" i="58"/>
  <c r="Z400" i="58"/>
  <c r="Y400" i="58"/>
  <c r="X400" i="58"/>
  <c r="W400" i="58"/>
  <c r="V400" i="58"/>
  <c r="AB399" i="58"/>
  <c r="AA399" i="58"/>
  <c r="Z399" i="58"/>
  <c r="Y399" i="58"/>
  <c r="X399" i="58"/>
  <c r="W399" i="58"/>
  <c r="V399" i="58"/>
  <c r="AB398" i="58"/>
  <c r="AA398" i="58"/>
  <c r="Z398" i="58"/>
  <c r="Y398" i="58"/>
  <c r="X398" i="58"/>
  <c r="W398" i="58"/>
  <c r="V398" i="58"/>
  <c r="AB397" i="58"/>
  <c r="AA397" i="58"/>
  <c r="Z397" i="58"/>
  <c r="Y397" i="58"/>
  <c r="X397" i="58"/>
  <c r="W397" i="58"/>
  <c r="V397" i="58"/>
  <c r="AB396" i="58"/>
  <c r="AA396" i="58"/>
  <c r="Z396" i="58"/>
  <c r="Y396" i="58"/>
  <c r="X396" i="58"/>
  <c r="W396" i="58"/>
  <c r="V396" i="58"/>
  <c r="AB395" i="58"/>
  <c r="AA395" i="58"/>
  <c r="Z395" i="58"/>
  <c r="Y395" i="58"/>
  <c r="X395" i="58"/>
  <c r="W395" i="58"/>
  <c r="V395" i="58"/>
  <c r="AB394" i="58"/>
  <c r="AA394" i="58"/>
  <c r="Z394" i="58"/>
  <c r="Y394" i="58"/>
  <c r="X394" i="58"/>
  <c r="W394" i="58"/>
  <c r="V394" i="58"/>
  <c r="AB393" i="58"/>
  <c r="AA393" i="58"/>
  <c r="Z393" i="58"/>
  <c r="Y393" i="58"/>
  <c r="X393" i="58"/>
  <c r="W393" i="58"/>
  <c r="V393" i="58"/>
  <c r="AB392" i="58"/>
  <c r="AA392" i="58"/>
  <c r="Z392" i="58"/>
  <c r="Y392" i="58"/>
  <c r="X392" i="58"/>
  <c r="W392" i="58"/>
  <c r="V392" i="58"/>
  <c r="AB391" i="58"/>
  <c r="AA391" i="58"/>
  <c r="Z391" i="58"/>
  <c r="Y391" i="58"/>
  <c r="X391" i="58"/>
  <c r="W391" i="58"/>
  <c r="V391" i="58"/>
  <c r="AB390" i="58"/>
  <c r="AA390" i="58"/>
  <c r="Z390" i="58"/>
  <c r="Y390" i="58"/>
  <c r="X390" i="58"/>
  <c r="W390" i="58"/>
  <c r="V390" i="58"/>
  <c r="AB389" i="58"/>
  <c r="AA389" i="58"/>
  <c r="Z389" i="58"/>
  <c r="Y389" i="58"/>
  <c r="X389" i="58"/>
  <c r="W389" i="58"/>
  <c r="V389" i="58"/>
  <c r="AB388" i="58"/>
  <c r="AA388" i="58"/>
  <c r="Z388" i="58"/>
  <c r="Y388" i="58"/>
  <c r="X388" i="58"/>
  <c r="W388" i="58"/>
  <c r="V388" i="58"/>
  <c r="AB387" i="58"/>
  <c r="AA387" i="58"/>
  <c r="Z387" i="58"/>
  <c r="Y387" i="58"/>
  <c r="X387" i="58"/>
  <c r="W387" i="58"/>
  <c r="V387" i="58"/>
  <c r="AB386" i="58"/>
  <c r="AA386" i="58"/>
  <c r="Z386" i="58"/>
  <c r="Y386" i="58"/>
  <c r="X386" i="58"/>
  <c r="W386" i="58"/>
  <c r="V386" i="58"/>
  <c r="AB385" i="58"/>
  <c r="AA385" i="58"/>
  <c r="Z385" i="58"/>
  <c r="Y385" i="58"/>
  <c r="X385" i="58"/>
  <c r="W385" i="58"/>
  <c r="V385" i="58"/>
  <c r="AB384" i="58"/>
  <c r="AA384" i="58"/>
  <c r="Z384" i="58"/>
  <c r="Y384" i="58"/>
  <c r="X384" i="58"/>
  <c r="W384" i="58"/>
  <c r="V384" i="58"/>
  <c r="AB383" i="58"/>
  <c r="AA383" i="58"/>
  <c r="Z383" i="58"/>
  <c r="Y383" i="58"/>
  <c r="X383" i="58"/>
  <c r="W383" i="58"/>
  <c r="V383" i="58"/>
  <c r="AB382" i="58"/>
  <c r="AA382" i="58"/>
  <c r="Z382" i="58"/>
  <c r="Y382" i="58"/>
  <c r="X382" i="58"/>
  <c r="W382" i="58"/>
  <c r="V382" i="58"/>
  <c r="AB381" i="58"/>
  <c r="AA381" i="58"/>
  <c r="Z381" i="58"/>
  <c r="Y381" i="58"/>
  <c r="X381" i="58"/>
  <c r="W381" i="58"/>
  <c r="V381" i="58"/>
  <c r="AB380" i="58"/>
  <c r="AA380" i="58"/>
  <c r="Z380" i="58"/>
  <c r="Y380" i="58"/>
  <c r="X380" i="58"/>
  <c r="W380" i="58"/>
  <c r="V380" i="58"/>
  <c r="AB379" i="58"/>
  <c r="AA379" i="58"/>
  <c r="Z379" i="58"/>
  <c r="Y379" i="58"/>
  <c r="X379" i="58"/>
  <c r="W379" i="58"/>
  <c r="V379" i="58"/>
  <c r="AB378" i="58"/>
  <c r="AA378" i="58"/>
  <c r="Z378" i="58"/>
  <c r="Y378" i="58"/>
  <c r="X378" i="58"/>
  <c r="W378" i="58"/>
  <c r="V378" i="58"/>
  <c r="AB377" i="58"/>
  <c r="AA377" i="58"/>
  <c r="Z377" i="58"/>
  <c r="Y377" i="58"/>
  <c r="X377" i="58"/>
  <c r="W377" i="58"/>
  <c r="V377" i="58"/>
  <c r="AB376" i="58"/>
  <c r="AA376" i="58"/>
  <c r="Z376" i="58"/>
  <c r="Y376" i="58"/>
  <c r="X376" i="58"/>
  <c r="W376" i="58"/>
  <c r="V376" i="58"/>
  <c r="AB375" i="58"/>
  <c r="AA375" i="58"/>
  <c r="Z375" i="58"/>
  <c r="Y375" i="58"/>
  <c r="X375" i="58"/>
  <c r="W375" i="58"/>
  <c r="V375" i="58"/>
  <c r="AB374" i="58"/>
  <c r="AA374" i="58"/>
  <c r="Z374" i="58"/>
  <c r="Y374" i="58"/>
  <c r="X374" i="58"/>
  <c r="W374" i="58"/>
  <c r="V374" i="58"/>
  <c r="AB373" i="58"/>
  <c r="AA373" i="58"/>
  <c r="Z373" i="58"/>
  <c r="Y373" i="58"/>
  <c r="X373" i="58"/>
  <c r="W373" i="58"/>
  <c r="V373" i="58"/>
  <c r="AB372" i="58"/>
  <c r="AA372" i="58"/>
  <c r="Z372" i="58"/>
  <c r="Y372" i="58"/>
  <c r="X372" i="58"/>
  <c r="W372" i="58"/>
  <c r="V372" i="58"/>
  <c r="AB371" i="58"/>
  <c r="AA371" i="58"/>
  <c r="Z371" i="58"/>
  <c r="Y371" i="58"/>
  <c r="X371" i="58"/>
  <c r="W371" i="58"/>
  <c r="V371" i="58"/>
  <c r="AB370" i="58"/>
  <c r="AA370" i="58"/>
  <c r="Z370" i="58"/>
  <c r="Y370" i="58"/>
  <c r="X370" i="58"/>
  <c r="W370" i="58"/>
  <c r="V370" i="58"/>
  <c r="AB369" i="58"/>
  <c r="AA369" i="58"/>
  <c r="Z369" i="58"/>
  <c r="Y369" i="58"/>
  <c r="X369" i="58"/>
  <c r="W369" i="58"/>
  <c r="V369" i="58"/>
  <c r="AB368" i="58"/>
  <c r="AA368" i="58"/>
  <c r="Z368" i="58"/>
  <c r="Y368" i="58"/>
  <c r="X368" i="58"/>
  <c r="W368" i="58"/>
  <c r="V368" i="58"/>
  <c r="AB367" i="58"/>
  <c r="AA367" i="58"/>
  <c r="Z367" i="58"/>
  <c r="Y367" i="58"/>
  <c r="X367" i="58"/>
  <c r="W367" i="58"/>
  <c r="V367" i="58"/>
  <c r="AB366" i="58"/>
  <c r="AA366" i="58"/>
  <c r="Z366" i="58"/>
  <c r="Y366" i="58"/>
  <c r="X366" i="58"/>
  <c r="W366" i="58"/>
  <c r="V366" i="58"/>
  <c r="AB365" i="58"/>
  <c r="AA365" i="58"/>
  <c r="Z365" i="58"/>
  <c r="Y365" i="58"/>
  <c r="X365" i="58"/>
  <c r="W365" i="58"/>
  <c r="V365" i="58"/>
  <c r="AB364" i="58"/>
  <c r="AA364" i="58"/>
  <c r="Z364" i="58"/>
  <c r="Y364" i="58"/>
  <c r="X364" i="58"/>
  <c r="W364" i="58"/>
  <c r="V364" i="58"/>
  <c r="AB363" i="58"/>
  <c r="AA363" i="58"/>
  <c r="Z363" i="58"/>
  <c r="Y363" i="58"/>
  <c r="X363" i="58"/>
  <c r="W363" i="58"/>
  <c r="V363" i="58"/>
  <c r="AB362" i="58"/>
  <c r="AA362" i="58"/>
  <c r="Z362" i="58"/>
  <c r="Y362" i="58"/>
  <c r="X362" i="58"/>
  <c r="W362" i="58"/>
  <c r="V362" i="58"/>
  <c r="AB361" i="58"/>
  <c r="AA361" i="58"/>
  <c r="Z361" i="58"/>
  <c r="Y361" i="58"/>
  <c r="X361" i="58"/>
  <c r="W361" i="58"/>
  <c r="V361" i="58"/>
  <c r="AB360" i="58"/>
  <c r="AA360" i="58"/>
  <c r="Z360" i="58"/>
  <c r="Y360" i="58"/>
  <c r="X360" i="58"/>
  <c r="W360" i="58"/>
  <c r="V360" i="58"/>
  <c r="AB359" i="58"/>
  <c r="AA359" i="58"/>
  <c r="Z359" i="58"/>
  <c r="Y359" i="58"/>
  <c r="X359" i="58"/>
  <c r="W359" i="58"/>
  <c r="V359" i="58"/>
  <c r="AB358" i="58"/>
  <c r="AA358" i="58"/>
  <c r="Z358" i="58"/>
  <c r="Y358" i="58"/>
  <c r="X358" i="58"/>
  <c r="W358" i="58"/>
  <c r="V358" i="58"/>
  <c r="AB357" i="58"/>
  <c r="AA357" i="58"/>
  <c r="Z357" i="58"/>
  <c r="Y357" i="58"/>
  <c r="X357" i="58"/>
  <c r="W357" i="58"/>
  <c r="V357" i="58"/>
  <c r="AB356" i="58"/>
  <c r="AA356" i="58"/>
  <c r="Z356" i="58"/>
  <c r="Y356" i="58"/>
  <c r="X356" i="58"/>
  <c r="W356" i="58"/>
  <c r="V356" i="58"/>
  <c r="AB355" i="58"/>
  <c r="AA355" i="58"/>
  <c r="Z355" i="58"/>
  <c r="Y355" i="58"/>
  <c r="X355" i="58"/>
  <c r="W355" i="58"/>
  <c r="V355" i="58"/>
  <c r="AB354" i="58"/>
  <c r="AA354" i="58"/>
  <c r="Z354" i="58"/>
  <c r="Y354" i="58"/>
  <c r="X354" i="58"/>
  <c r="W354" i="58"/>
  <c r="V354" i="58"/>
  <c r="AB353" i="58"/>
  <c r="AA353" i="58"/>
  <c r="Z353" i="58"/>
  <c r="Y353" i="58"/>
  <c r="X353" i="58"/>
  <c r="W353" i="58"/>
  <c r="V353" i="58"/>
  <c r="AB352" i="58"/>
  <c r="AA352" i="58"/>
  <c r="Z352" i="58"/>
  <c r="Y352" i="58"/>
  <c r="X352" i="58"/>
  <c r="W352" i="58"/>
  <c r="V352" i="58"/>
  <c r="AB351" i="58"/>
  <c r="AA351" i="58"/>
  <c r="Z351" i="58"/>
  <c r="Y351" i="58"/>
  <c r="X351" i="58"/>
  <c r="W351" i="58"/>
  <c r="V351" i="58"/>
  <c r="AB350" i="58"/>
  <c r="AA350" i="58"/>
  <c r="Z350" i="58"/>
  <c r="Y350" i="58"/>
  <c r="X350" i="58"/>
  <c r="W350" i="58"/>
  <c r="V350" i="58"/>
  <c r="AB349" i="58"/>
  <c r="AA349" i="58"/>
  <c r="Z349" i="58"/>
  <c r="Y349" i="58"/>
  <c r="X349" i="58"/>
  <c r="W349" i="58"/>
  <c r="V349" i="58"/>
  <c r="AB348" i="58"/>
  <c r="AA348" i="58"/>
  <c r="Z348" i="58"/>
  <c r="Y348" i="58"/>
  <c r="X348" i="58"/>
  <c r="W348" i="58"/>
  <c r="V348" i="58"/>
  <c r="AB347" i="58"/>
  <c r="AA347" i="58"/>
  <c r="Z347" i="58"/>
  <c r="Y347" i="58"/>
  <c r="X347" i="58"/>
  <c r="W347" i="58"/>
  <c r="V347" i="58"/>
  <c r="AB346" i="58"/>
  <c r="AA346" i="58"/>
  <c r="Z346" i="58"/>
  <c r="Y346" i="58"/>
  <c r="X346" i="58"/>
  <c r="W346" i="58"/>
  <c r="V346" i="58"/>
  <c r="AB345" i="58"/>
  <c r="AA345" i="58"/>
  <c r="Z345" i="58"/>
  <c r="Y345" i="58"/>
  <c r="X345" i="58"/>
  <c r="W345" i="58"/>
  <c r="V345" i="58"/>
  <c r="AB344" i="58"/>
  <c r="AA344" i="58"/>
  <c r="Z344" i="58"/>
  <c r="Y344" i="58"/>
  <c r="X344" i="58"/>
  <c r="W344" i="58"/>
  <c r="V344" i="58"/>
  <c r="AB343" i="58"/>
  <c r="AA343" i="58"/>
  <c r="Z343" i="58"/>
  <c r="Y343" i="58"/>
  <c r="X343" i="58"/>
  <c r="W343" i="58"/>
  <c r="V343" i="58"/>
  <c r="AB342" i="58"/>
  <c r="AA342" i="58"/>
  <c r="Z342" i="58"/>
  <c r="Y342" i="58"/>
  <c r="X342" i="58"/>
  <c r="W342" i="58"/>
  <c r="V342" i="58"/>
  <c r="AB341" i="58"/>
  <c r="AA341" i="58"/>
  <c r="Z341" i="58"/>
  <c r="Y341" i="58"/>
  <c r="X341" i="58"/>
  <c r="W341" i="58"/>
  <c r="V341" i="58"/>
  <c r="AB340" i="58"/>
  <c r="AA340" i="58"/>
  <c r="Z340" i="58"/>
  <c r="Y340" i="58"/>
  <c r="X340" i="58"/>
  <c r="W340" i="58"/>
  <c r="V340" i="58"/>
  <c r="AB339" i="58"/>
  <c r="AA339" i="58"/>
  <c r="Z339" i="58"/>
  <c r="Y339" i="58"/>
  <c r="X339" i="58"/>
  <c r="W339" i="58"/>
  <c r="V339" i="58"/>
  <c r="AB338" i="58"/>
  <c r="AA338" i="58"/>
  <c r="Z338" i="58"/>
  <c r="Y338" i="58"/>
  <c r="X338" i="58"/>
  <c r="W338" i="58"/>
  <c r="V338" i="58"/>
  <c r="AB337" i="58"/>
  <c r="AA337" i="58"/>
  <c r="Z337" i="58"/>
  <c r="Y337" i="58"/>
  <c r="X337" i="58"/>
  <c r="W337" i="58"/>
  <c r="V337" i="58"/>
  <c r="AB336" i="58"/>
  <c r="AA336" i="58"/>
  <c r="Z336" i="58"/>
  <c r="Y336" i="58"/>
  <c r="X336" i="58"/>
  <c r="W336" i="58"/>
  <c r="V336" i="58"/>
  <c r="AB335" i="58"/>
  <c r="AA335" i="58"/>
  <c r="Z335" i="58"/>
  <c r="Y335" i="58"/>
  <c r="X335" i="58"/>
  <c r="W335" i="58"/>
  <c r="V335" i="58"/>
  <c r="AB334" i="58"/>
  <c r="AA334" i="58"/>
  <c r="Z334" i="58"/>
  <c r="Y334" i="58"/>
  <c r="X334" i="58"/>
  <c r="W334" i="58"/>
  <c r="V334" i="58"/>
  <c r="AB333" i="58"/>
  <c r="AA333" i="58"/>
  <c r="Z333" i="58"/>
  <c r="Y333" i="58"/>
  <c r="X333" i="58"/>
  <c r="W333" i="58"/>
  <c r="V333" i="58"/>
  <c r="AB332" i="58"/>
  <c r="AA332" i="58"/>
  <c r="Z332" i="58"/>
  <c r="Y332" i="58"/>
  <c r="X332" i="58"/>
  <c r="W332" i="58"/>
  <c r="V332" i="58"/>
  <c r="AB331" i="58"/>
  <c r="AA331" i="58"/>
  <c r="Z331" i="58"/>
  <c r="Y331" i="58"/>
  <c r="X331" i="58"/>
  <c r="W331" i="58"/>
  <c r="V331" i="58"/>
  <c r="AB330" i="58"/>
  <c r="AA330" i="58"/>
  <c r="Z330" i="58"/>
  <c r="Y330" i="58"/>
  <c r="X330" i="58"/>
  <c r="W330" i="58"/>
  <c r="V330" i="58"/>
  <c r="AB329" i="58"/>
  <c r="AA329" i="58"/>
  <c r="Z329" i="58"/>
  <c r="Y329" i="58"/>
  <c r="X329" i="58"/>
  <c r="W329" i="58"/>
  <c r="V329" i="58"/>
  <c r="AB328" i="58"/>
  <c r="AA328" i="58"/>
  <c r="Z328" i="58"/>
  <c r="Y328" i="58"/>
  <c r="X328" i="58"/>
  <c r="W328" i="58"/>
  <c r="V328" i="58"/>
  <c r="AB327" i="58"/>
  <c r="AA327" i="58"/>
  <c r="Z327" i="58"/>
  <c r="Y327" i="58"/>
  <c r="X327" i="58"/>
  <c r="W327" i="58"/>
  <c r="V327" i="58"/>
  <c r="AB326" i="58"/>
  <c r="AA326" i="58"/>
  <c r="Z326" i="58"/>
  <c r="Y326" i="58"/>
  <c r="X326" i="58"/>
  <c r="W326" i="58"/>
  <c r="V326" i="58"/>
  <c r="AB325" i="58"/>
  <c r="AA325" i="58"/>
  <c r="Z325" i="58"/>
  <c r="Y325" i="58"/>
  <c r="X325" i="58"/>
  <c r="W325" i="58"/>
  <c r="V325" i="58"/>
  <c r="AB324" i="58"/>
  <c r="AA324" i="58"/>
  <c r="Z324" i="58"/>
  <c r="Y324" i="58"/>
  <c r="X324" i="58"/>
  <c r="W324" i="58"/>
  <c r="V324" i="58"/>
  <c r="AB323" i="58"/>
  <c r="AA323" i="58"/>
  <c r="Z323" i="58"/>
  <c r="Y323" i="58"/>
  <c r="X323" i="58"/>
  <c r="W323" i="58"/>
  <c r="V323" i="58"/>
  <c r="AB322" i="58"/>
  <c r="AA322" i="58"/>
  <c r="Z322" i="58"/>
  <c r="Y322" i="58"/>
  <c r="X322" i="58"/>
  <c r="W322" i="58"/>
  <c r="V322" i="58"/>
  <c r="AB321" i="58"/>
  <c r="AA321" i="58"/>
  <c r="Z321" i="58"/>
  <c r="Y321" i="58"/>
  <c r="X321" i="58"/>
  <c r="W321" i="58"/>
  <c r="V321" i="58"/>
  <c r="AB320" i="58"/>
  <c r="AA320" i="58"/>
  <c r="Z320" i="58"/>
  <c r="Y320" i="58"/>
  <c r="X320" i="58"/>
  <c r="W320" i="58"/>
  <c r="V320" i="58"/>
  <c r="AB319" i="58"/>
  <c r="AA319" i="58"/>
  <c r="Z319" i="58"/>
  <c r="Y319" i="58"/>
  <c r="X319" i="58"/>
  <c r="W319" i="58"/>
  <c r="V319" i="58"/>
  <c r="AB318" i="58"/>
  <c r="AA318" i="58"/>
  <c r="Z318" i="58"/>
  <c r="Y318" i="58"/>
  <c r="X318" i="58"/>
  <c r="W318" i="58"/>
  <c r="V318" i="58"/>
  <c r="AB317" i="58"/>
  <c r="AA317" i="58"/>
  <c r="Z317" i="58"/>
  <c r="Y317" i="58"/>
  <c r="X317" i="58"/>
  <c r="W317" i="58"/>
  <c r="V317" i="58"/>
  <c r="AB316" i="58"/>
  <c r="AA316" i="58"/>
  <c r="Z316" i="58"/>
  <c r="Y316" i="58"/>
  <c r="X316" i="58"/>
  <c r="W316" i="58"/>
  <c r="V316" i="58"/>
  <c r="AB315" i="58"/>
  <c r="AA315" i="58"/>
  <c r="Z315" i="58"/>
  <c r="Y315" i="58"/>
  <c r="X315" i="58"/>
  <c r="W315" i="58"/>
  <c r="V315" i="58"/>
  <c r="AB314" i="58"/>
  <c r="AA314" i="58"/>
  <c r="Z314" i="58"/>
  <c r="Y314" i="58"/>
  <c r="X314" i="58"/>
  <c r="W314" i="58"/>
  <c r="V314" i="58"/>
  <c r="AB313" i="58"/>
  <c r="AA313" i="58"/>
  <c r="Z313" i="58"/>
  <c r="Y313" i="58"/>
  <c r="X313" i="58"/>
  <c r="W313" i="58"/>
  <c r="V313" i="58"/>
  <c r="AB312" i="58"/>
  <c r="AA312" i="58"/>
  <c r="Z312" i="58"/>
  <c r="Y312" i="58"/>
  <c r="X312" i="58"/>
  <c r="W312" i="58"/>
  <c r="V312" i="58"/>
  <c r="AB311" i="58"/>
  <c r="AA311" i="58"/>
  <c r="Z311" i="58"/>
  <c r="Y311" i="58"/>
  <c r="X311" i="58"/>
  <c r="W311" i="58"/>
  <c r="V311" i="58"/>
  <c r="AB310" i="58"/>
  <c r="AA310" i="58"/>
  <c r="Z310" i="58"/>
  <c r="Y310" i="58"/>
  <c r="X310" i="58"/>
  <c r="W310" i="58"/>
  <c r="V310" i="58"/>
  <c r="AB309" i="58"/>
  <c r="AA309" i="58"/>
  <c r="Z309" i="58"/>
  <c r="Y309" i="58"/>
  <c r="X309" i="58"/>
  <c r="W309" i="58"/>
  <c r="V309" i="58"/>
  <c r="AB308" i="58"/>
  <c r="AA308" i="58"/>
  <c r="Z308" i="58"/>
  <c r="Y308" i="58"/>
  <c r="X308" i="58"/>
  <c r="W308" i="58"/>
  <c r="V308" i="58"/>
  <c r="AB307" i="58"/>
  <c r="AA307" i="58"/>
  <c r="Z307" i="58"/>
  <c r="Y307" i="58"/>
  <c r="X307" i="58"/>
  <c r="W307" i="58"/>
  <c r="V307" i="58"/>
  <c r="AB306" i="58"/>
  <c r="AA306" i="58"/>
  <c r="Z306" i="58"/>
  <c r="Y306" i="58"/>
  <c r="X306" i="58"/>
  <c r="W306" i="58"/>
  <c r="V306" i="58"/>
  <c r="AB305" i="58"/>
  <c r="AA305" i="58"/>
  <c r="Z305" i="58"/>
  <c r="Y305" i="58"/>
  <c r="X305" i="58"/>
  <c r="W305" i="58"/>
  <c r="V305" i="58"/>
  <c r="AB304" i="58"/>
  <c r="AA304" i="58"/>
  <c r="Z304" i="58"/>
  <c r="Y304" i="58"/>
  <c r="X304" i="58"/>
  <c r="W304" i="58"/>
  <c r="V304" i="58"/>
  <c r="AB303" i="58"/>
  <c r="AA303" i="58"/>
  <c r="Z303" i="58"/>
  <c r="Y303" i="58"/>
  <c r="X303" i="58"/>
  <c r="W303" i="58"/>
  <c r="V303" i="58"/>
  <c r="AB302" i="58"/>
  <c r="AA302" i="58"/>
  <c r="Z302" i="58"/>
  <c r="Y302" i="58"/>
  <c r="X302" i="58"/>
  <c r="W302" i="58"/>
  <c r="V302" i="58"/>
  <c r="AB301" i="58"/>
  <c r="AA301" i="58"/>
  <c r="Z301" i="58"/>
  <c r="Y301" i="58"/>
  <c r="X301" i="58"/>
  <c r="W301" i="58"/>
  <c r="V301" i="58"/>
  <c r="AB300" i="58"/>
  <c r="AA300" i="58"/>
  <c r="Z300" i="58"/>
  <c r="Y300" i="58"/>
  <c r="X300" i="58"/>
  <c r="W300" i="58"/>
  <c r="V300" i="58"/>
  <c r="AB299" i="58"/>
  <c r="AA299" i="58"/>
  <c r="Z299" i="58"/>
  <c r="Y299" i="58"/>
  <c r="X299" i="58"/>
  <c r="W299" i="58"/>
  <c r="V299" i="58"/>
  <c r="AB298" i="58"/>
  <c r="AA298" i="58"/>
  <c r="Z298" i="58"/>
  <c r="Y298" i="58"/>
  <c r="X298" i="58"/>
  <c r="W298" i="58"/>
  <c r="V298" i="58"/>
  <c r="AB297" i="58"/>
  <c r="AA297" i="58"/>
  <c r="Z297" i="58"/>
  <c r="Y297" i="58"/>
  <c r="X297" i="58"/>
  <c r="W297" i="58"/>
  <c r="V297" i="58"/>
  <c r="AB296" i="58"/>
  <c r="AA296" i="58"/>
  <c r="Z296" i="58"/>
  <c r="Y296" i="58"/>
  <c r="X296" i="58"/>
  <c r="W296" i="58"/>
  <c r="V296" i="58"/>
  <c r="AB295" i="58"/>
  <c r="AA295" i="58"/>
  <c r="Z295" i="58"/>
  <c r="Y295" i="58"/>
  <c r="X295" i="58"/>
  <c r="W295" i="58"/>
  <c r="V295" i="58"/>
  <c r="AB294" i="58"/>
  <c r="AA294" i="58"/>
  <c r="Z294" i="58"/>
  <c r="Y294" i="58"/>
  <c r="X294" i="58"/>
  <c r="W294" i="58"/>
  <c r="V294" i="58"/>
  <c r="AB293" i="58"/>
  <c r="AA293" i="58"/>
  <c r="Z293" i="58"/>
  <c r="Y293" i="58"/>
  <c r="X293" i="58"/>
  <c r="W293" i="58"/>
  <c r="V293" i="58"/>
  <c r="AB292" i="58"/>
  <c r="AA292" i="58"/>
  <c r="Z292" i="58"/>
  <c r="Y292" i="58"/>
  <c r="X292" i="58"/>
  <c r="W292" i="58"/>
  <c r="V292" i="58"/>
  <c r="AB291" i="58"/>
  <c r="AA291" i="58"/>
  <c r="Z291" i="58"/>
  <c r="Y291" i="58"/>
  <c r="X291" i="58"/>
  <c r="W291" i="58"/>
  <c r="V291" i="58"/>
  <c r="AB290" i="58"/>
  <c r="AA290" i="58"/>
  <c r="Z290" i="58"/>
  <c r="Y290" i="58"/>
  <c r="X290" i="58"/>
  <c r="W290" i="58"/>
  <c r="V290" i="58"/>
  <c r="AB289" i="58"/>
  <c r="AA289" i="58"/>
  <c r="Z289" i="58"/>
  <c r="Y289" i="58"/>
  <c r="X289" i="58"/>
  <c r="W289" i="58"/>
  <c r="V289" i="58"/>
  <c r="AB288" i="58"/>
  <c r="AA288" i="58"/>
  <c r="Z288" i="58"/>
  <c r="Y288" i="58"/>
  <c r="X288" i="58"/>
  <c r="W288" i="58"/>
  <c r="V288" i="58"/>
  <c r="AB287" i="58"/>
  <c r="AA287" i="58"/>
  <c r="Z287" i="58"/>
  <c r="Y287" i="58"/>
  <c r="X287" i="58"/>
  <c r="W287" i="58"/>
  <c r="V287" i="58"/>
  <c r="AB286" i="58"/>
  <c r="AA286" i="58"/>
  <c r="Z286" i="58"/>
  <c r="Y286" i="58"/>
  <c r="X286" i="58"/>
  <c r="W286" i="58"/>
  <c r="V286" i="58"/>
  <c r="AB285" i="58"/>
  <c r="AA285" i="58"/>
  <c r="Z285" i="58"/>
  <c r="Y285" i="58"/>
  <c r="X285" i="58"/>
  <c r="W285" i="58"/>
  <c r="V285" i="58"/>
  <c r="AB284" i="58"/>
  <c r="AA284" i="58"/>
  <c r="Z284" i="58"/>
  <c r="Y284" i="58"/>
  <c r="X284" i="58"/>
  <c r="W284" i="58"/>
  <c r="V284" i="58"/>
  <c r="AB283" i="58"/>
  <c r="AA283" i="58"/>
  <c r="Z283" i="58"/>
  <c r="Y283" i="58"/>
  <c r="X283" i="58"/>
  <c r="W283" i="58"/>
  <c r="V283" i="58"/>
  <c r="AB282" i="58"/>
  <c r="AA282" i="58"/>
  <c r="Z282" i="58"/>
  <c r="Y282" i="58"/>
  <c r="X282" i="58"/>
  <c r="W282" i="58"/>
  <c r="V282" i="58"/>
  <c r="AB281" i="58"/>
  <c r="AA281" i="58"/>
  <c r="Z281" i="58"/>
  <c r="Y281" i="58"/>
  <c r="X281" i="58"/>
  <c r="W281" i="58"/>
  <c r="V281" i="58"/>
  <c r="AB280" i="58"/>
  <c r="AA280" i="58"/>
  <c r="Z280" i="58"/>
  <c r="Y280" i="58"/>
  <c r="X280" i="58"/>
  <c r="W280" i="58"/>
  <c r="V280" i="58"/>
  <c r="AB279" i="58"/>
  <c r="AA279" i="58"/>
  <c r="Z279" i="58"/>
  <c r="Y279" i="58"/>
  <c r="X279" i="58"/>
  <c r="W279" i="58"/>
  <c r="V279" i="58"/>
  <c r="AB278" i="58"/>
  <c r="AA278" i="58"/>
  <c r="Z278" i="58"/>
  <c r="Y278" i="58"/>
  <c r="X278" i="58"/>
  <c r="W278" i="58"/>
  <c r="V278" i="58"/>
  <c r="AB277" i="58"/>
  <c r="AA277" i="58"/>
  <c r="Z277" i="58"/>
  <c r="Y277" i="58"/>
  <c r="X277" i="58"/>
  <c r="W277" i="58"/>
  <c r="V277" i="58"/>
  <c r="AB276" i="58"/>
  <c r="AA276" i="58"/>
  <c r="Z276" i="58"/>
  <c r="Y276" i="58"/>
  <c r="X276" i="58"/>
  <c r="W276" i="58"/>
  <c r="V276" i="58"/>
  <c r="AB275" i="58"/>
  <c r="AA275" i="58"/>
  <c r="Z275" i="58"/>
  <c r="Y275" i="58"/>
  <c r="X275" i="58"/>
  <c r="W275" i="58"/>
  <c r="V275" i="58"/>
  <c r="AB274" i="58"/>
  <c r="AA274" i="58"/>
  <c r="Z274" i="58"/>
  <c r="Y274" i="58"/>
  <c r="X274" i="58"/>
  <c r="W274" i="58"/>
  <c r="V274" i="58"/>
  <c r="AB273" i="58"/>
  <c r="AA273" i="58"/>
  <c r="Z273" i="58"/>
  <c r="Y273" i="58"/>
  <c r="X273" i="58"/>
  <c r="W273" i="58"/>
  <c r="V273" i="58"/>
  <c r="AB272" i="58"/>
  <c r="AA272" i="58"/>
  <c r="Z272" i="58"/>
  <c r="Y272" i="58"/>
  <c r="X272" i="58"/>
  <c r="W272" i="58"/>
  <c r="V272" i="58"/>
  <c r="AB271" i="58"/>
  <c r="AA271" i="58"/>
  <c r="Z271" i="58"/>
  <c r="Y271" i="58"/>
  <c r="X271" i="58"/>
  <c r="W271" i="58"/>
  <c r="V271" i="58"/>
  <c r="AB270" i="58"/>
  <c r="AA270" i="58"/>
  <c r="Z270" i="58"/>
  <c r="Y270" i="58"/>
  <c r="X270" i="58"/>
  <c r="W270" i="58"/>
  <c r="V270" i="58"/>
  <c r="AB269" i="58"/>
  <c r="AA269" i="58"/>
  <c r="Z269" i="58"/>
  <c r="Y269" i="58"/>
  <c r="X269" i="58"/>
  <c r="W269" i="58"/>
  <c r="V269" i="58"/>
  <c r="AB268" i="58"/>
  <c r="AA268" i="58"/>
  <c r="Z268" i="58"/>
  <c r="Y268" i="58"/>
  <c r="X268" i="58"/>
  <c r="W268" i="58"/>
  <c r="V268" i="58"/>
  <c r="AB267" i="58"/>
  <c r="AA267" i="58"/>
  <c r="Z267" i="58"/>
  <c r="Y267" i="58"/>
  <c r="X267" i="58"/>
  <c r="W267" i="58"/>
  <c r="V267" i="58"/>
  <c r="AB266" i="58"/>
  <c r="AA266" i="58"/>
  <c r="Z266" i="58"/>
  <c r="Y266" i="58"/>
  <c r="X266" i="58"/>
  <c r="W266" i="58"/>
  <c r="V266" i="58"/>
  <c r="AB265" i="58"/>
  <c r="AA265" i="58"/>
  <c r="Z265" i="58"/>
  <c r="Y265" i="58"/>
  <c r="X265" i="58"/>
  <c r="W265" i="58"/>
  <c r="V265" i="58"/>
  <c r="AB264" i="58"/>
  <c r="AA264" i="58"/>
  <c r="Z264" i="58"/>
  <c r="Y264" i="58"/>
  <c r="X264" i="58"/>
  <c r="W264" i="58"/>
  <c r="V264" i="58"/>
  <c r="AB263" i="58"/>
  <c r="AA263" i="58"/>
  <c r="Z263" i="58"/>
  <c r="Y263" i="58"/>
  <c r="X263" i="58"/>
  <c r="W263" i="58"/>
  <c r="V263" i="58"/>
  <c r="AB262" i="58"/>
  <c r="AA262" i="58"/>
  <c r="Z262" i="58"/>
  <c r="Y262" i="58"/>
  <c r="X262" i="58"/>
  <c r="W262" i="58"/>
  <c r="V262" i="58"/>
  <c r="AB261" i="58"/>
  <c r="AA261" i="58"/>
  <c r="Z261" i="58"/>
  <c r="Y261" i="58"/>
  <c r="X261" i="58"/>
  <c r="W261" i="58"/>
  <c r="V261" i="58"/>
  <c r="AB260" i="58"/>
  <c r="AA260" i="58"/>
  <c r="Z260" i="58"/>
  <c r="Y260" i="58"/>
  <c r="X260" i="58"/>
  <c r="W260" i="58"/>
  <c r="V260" i="58"/>
  <c r="AB259" i="58"/>
  <c r="AA259" i="58"/>
  <c r="Z259" i="58"/>
  <c r="Y259" i="58"/>
  <c r="X259" i="58"/>
  <c r="W259" i="58"/>
  <c r="V259" i="58"/>
  <c r="AB258" i="58"/>
  <c r="AA258" i="58"/>
  <c r="Z258" i="58"/>
  <c r="Y258" i="58"/>
  <c r="X258" i="58"/>
  <c r="W258" i="58"/>
  <c r="V258" i="58"/>
  <c r="AB257" i="58"/>
  <c r="AA257" i="58"/>
  <c r="Z257" i="58"/>
  <c r="Y257" i="58"/>
  <c r="X257" i="58"/>
  <c r="W257" i="58"/>
  <c r="V257" i="58"/>
  <c r="AB256" i="58"/>
  <c r="AA256" i="58"/>
  <c r="Z256" i="58"/>
  <c r="Y256" i="58"/>
  <c r="X256" i="58"/>
  <c r="W256" i="58"/>
  <c r="V256" i="58"/>
  <c r="AB255" i="58"/>
  <c r="AA255" i="58"/>
  <c r="Z255" i="58"/>
  <c r="Y255" i="58"/>
  <c r="X255" i="58"/>
  <c r="W255" i="58"/>
  <c r="V255" i="58"/>
  <c r="AB254" i="58"/>
  <c r="AA254" i="58"/>
  <c r="Z254" i="58"/>
  <c r="Y254" i="58"/>
  <c r="X254" i="58"/>
  <c r="W254" i="58"/>
  <c r="V254" i="58"/>
  <c r="AB253" i="58"/>
  <c r="AA253" i="58"/>
  <c r="Z253" i="58"/>
  <c r="Y253" i="58"/>
  <c r="X253" i="58"/>
  <c r="W253" i="58"/>
  <c r="V253" i="58"/>
  <c r="AB252" i="58"/>
  <c r="AA252" i="58"/>
  <c r="Z252" i="58"/>
  <c r="Y252" i="58"/>
  <c r="X252" i="58"/>
  <c r="W252" i="58"/>
  <c r="V252" i="58"/>
  <c r="AB251" i="58"/>
  <c r="AA251" i="58"/>
  <c r="Z251" i="58"/>
  <c r="Y251" i="58"/>
  <c r="X251" i="58"/>
  <c r="W251" i="58"/>
  <c r="V251" i="58"/>
  <c r="AB250" i="58"/>
  <c r="AA250" i="58"/>
  <c r="Z250" i="58"/>
  <c r="Y250" i="58"/>
  <c r="X250" i="58"/>
  <c r="W250" i="58"/>
  <c r="V250" i="58"/>
  <c r="AB249" i="58"/>
  <c r="AA249" i="58"/>
  <c r="Z249" i="58"/>
  <c r="Y249" i="58"/>
  <c r="X249" i="58"/>
  <c r="W249" i="58"/>
  <c r="V249" i="58"/>
  <c r="AB248" i="58"/>
  <c r="AA248" i="58"/>
  <c r="Z248" i="58"/>
  <c r="Y248" i="58"/>
  <c r="X248" i="58"/>
  <c r="W248" i="58"/>
  <c r="V248" i="58"/>
  <c r="AB247" i="58"/>
  <c r="AA247" i="58"/>
  <c r="Z247" i="58"/>
  <c r="Y247" i="58"/>
  <c r="X247" i="58"/>
  <c r="W247" i="58"/>
  <c r="V247" i="58"/>
  <c r="AB246" i="58"/>
  <c r="AA246" i="58"/>
  <c r="Z246" i="58"/>
  <c r="Y246" i="58"/>
  <c r="X246" i="58"/>
  <c r="W246" i="58"/>
  <c r="V246" i="58"/>
  <c r="AB245" i="58"/>
  <c r="AA245" i="58"/>
  <c r="Z245" i="58"/>
  <c r="Y245" i="58"/>
  <c r="X245" i="58"/>
  <c r="W245" i="58"/>
  <c r="V245" i="58"/>
  <c r="AB244" i="58"/>
  <c r="AA244" i="58"/>
  <c r="Z244" i="58"/>
  <c r="Y244" i="58"/>
  <c r="X244" i="58"/>
  <c r="W244" i="58"/>
  <c r="V244" i="58"/>
  <c r="AB243" i="58"/>
  <c r="AA243" i="58"/>
  <c r="Z243" i="58"/>
  <c r="Y243" i="58"/>
  <c r="X243" i="58"/>
  <c r="W243" i="58"/>
  <c r="V243" i="58"/>
  <c r="AB242" i="58"/>
  <c r="AA242" i="58"/>
  <c r="Z242" i="58"/>
  <c r="Y242" i="58"/>
  <c r="X242" i="58"/>
  <c r="W242" i="58"/>
  <c r="V242" i="58"/>
  <c r="AB241" i="58"/>
  <c r="AA241" i="58"/>
  <c r="Z241" i="58"/>
  <c r="Y241" i="58"/>
  <c r="X241" i="58"/>
  <c r="W241" i="58"/>
  <c r="V241" i="58"/>
  <c r="AB240" i="58"/>
  <c r="AA240" i="58"/>
  <c r="Z240" i="58"/>
  <c r="Y240" i="58"/>
  <c r="X240" i="58"/>
  <c r="W240" i="58"/>
  <c r="V240" i="58"/>
  <c r="AB239" i="58"/>
  <c r="AA239" i="58"/>
  <c r="Z239" i="58"/>
  <c r="Y239" i="58"/>
  <c r="X239" i="58"/>
  <c r="W239" i="58"/>
  <c r="V239" i="58"/>
  <c r="AB238" i="58"/>
  <c r="AA238" i="58"/>
  <c r="Z238" i="58"/>
  <c r="Y238" i="58"/>
  <c r="X238" i="58"/>
  <c r="W238" i="58"/>
  <c r="V238" i="58"/>
  <c r="AB237" i="58"/>
  <c r="AA237" i="58"/>
  <c r="Z237" i="58"/>
  <c r="Y237" i="58"/>
  <c r="X237" i="58"/>
  <c r="W237" i="58"/>
  <c r="V237" i="58"/>
  <c r="AB236" i="58"/>
  <c r="AA236" i="58"/>
  <c r="Z236" i="58"/>
  <c r="Y236" i="58"/>
  <c r="X236" i="58"/>
  <c r="W236" i="58"/>
  <c r="V236" i="58"/>
  <c r="AB235" i="58"/>
  <c r="AA235" i="58"/>
  <c r="Z235" i="58"/>
  <c r="Y235" i="58"/>
  <c r="X235" i="58"/>
  <c r="W235" i="58"/>
  <c r="V235" i="58"/>
  <c r="AB234" i="58"/>
  <c r="AA234" i="58"/>
  <c r="Z234" i="58"/>
  <c r="Y234" i="58"/>
  <c r="X234" i="58"/>
  <c r="W234" i="58"/>
  <c r="V234" i="58"/>
  <c r="AB233" i="58"/>
  <c r="AA233" i="58"/>
  <c r="Z233" i="58"/>
  <c r="Y233" i="58"/>
  <c r="X233" i="58"/>
  <c r="W233" i="58"/>
  <c r="V233" i="58"/>
  <c r="AB232" i="58"/>
  <c r="AA232" i="58"/>
  <c r="Z232" i="58"/>
  <c r="Y232" i="58"/>
  <c r="X232" i="58"/>
  <c r="W232" i="58"/>
  <c r="V232" i="58"/>
  <c r="AB231" i="58"/>
  <c r="AA231" i="58"/>
  <c r="Z231" i="58"/>
  <c r="Y231" i="58"/>
  <c r="X231" i="58"/>
  <c r="W231" i="58"/>
  <c r="V231" i="58"/>
  <c r="AB230" i="58"/>
  <c r="AA230" i="58"/>
  <c r="Z230" i="58"/>
  <c r="Y230" i="58"/>
  <c r="X230" i="58"/>
  <c r="W230" i="58"/>
  <c r="V230" i="58"/>
  <c r="AB229" i="58"/>
  <c r="AA229" i="58"/>
  <c r="Z229" i="58"/>
  <c r="Y229" i="58"/>
  <c r="X229" i="58"/>
  <c r="W229" i="58"/>
  <c r="V229" i="58"/>
  <c r="AB228" i="58"/>
  <c r="AA228" i="58"/>
  <c r="Z228" i="58"/>
  <c r="Y228" i="58"/>
  <c r="X228" i="58"/>
  <c r="W228" i="58"/>
  <c r="V228" i="58"/>
  <c r="AB227" i="58"/>
  <c r="AA227" i="58"/>
  <c r="Z227" i="58"/>
  <c r="Y227" i="58"/>
  <c r="X227" i="58"/>
  <c r="W227" i="58"/>
  <c r="V227" i="58"/>
  <c r="AB226" i="58"/>
  <c r="AA226" i="58"/>
  <c r="Z226" i="58"/>
  <c r="Y226" i="58"/>
  <c r="X226" i="58"/>
  <c r="W226" i="58"/>
  <c r="V226" i="58"/>
  <c r="AB225" i="58"/>
  <c r="AA225" i="58"/>
  <c r="Z225" i="58"/>
  <c r="Y225" i="58"/>
  <c r="X225" i="58"/>
  <c r="W225" i="58"/>
  <c r="V225" i="58"/>
  <c r="AB224" i="58"/>
  <c r="AA224" i="58"/>
  <c r="Z224" i="58"/>
  <c r="Y224" i="58"/>
  <c r="X224" i="58"/>
  <c r="W224" i="58"/>
  <c r="V224" i="58"/>
  <c r="AB223" i="58"/>
  <c r="AA223" i="58"/>
  <c r="Z223" i="58"/>
  <c r="Y223" i="58"/>
  <c r="X223" i="58"/>
  <c r="W223" i="58"/>
  <c r="V223" i="58"/>
  <c r="AB222" i="58"/>
  <c r="AA222" i="58"/>
  <c r="Z222" i="58"/>
  <c r="Y222" i="58"/>
  <c r="X222" i="58"/>
  <c r="W222" i="58"/>
  <c r="V222" i="58"/>
  <c r="AB221" i="58"/>
  <c r="AA221" i="58"/>
  <c r="Z221" i="58"/>
  <c r="Y221" i="58"/>
  <c r="X221" i="58"/>
  <c r="W221" i="58"/>
  <c r="V221" i="58"/>
  <c r="AB220" i="58"/>
  <c r="AA220" i="58"/>
  <c r="Z220" i="58"/>
  <c r="Y220" i="58"/>
  <c r="X220" i="58"/>
  <c r="W220" i="58"/>
  <c r="V220" i="58"/>
  <c r="AB219" i="58"/>
  <c r="AA219" i="58"/>
  <c r="Z219" i="58"/>
  <c r="Y219" i="58"/>
  <c r="X219" i="58"/>
  <c r="W219" i="58"/>
  <c r="V219" i="58"/>
  <c r="AB218" i="58"/>
  <c r="AA218" i="58"/>
  <c r="Z218" i="58"/>
  <c r="Y218" i="58"/>
  <c r="X218" i="58"/>
  <c r="W218" i="58"/>
  <c r="V218" i="58"/>
  <c r="AB217" i="58"/>
  <c r="AA217" i="58"/>
  <c r="Z217" i="58"/>
  <c r="Y217" i="58"/>
  <c r="X217" i="58"/>
  <c r="W217" i="58"/>
  <c r="V217" i="58"/>
  <c r="AB216" i="58"/>
  <c r="AA216" i="58"/>
  <c r="Z216" i="58"/>
  <c r="Y216" i="58"/>
  <c r="X216" i="58"/>
  <c r="W216" i="58"/>
  <c r="V216" i="58"/>
  <c r="AB215" i="58"/>
  <c r="AA215" i="58"/>
  <c r="Z215" i="58"/>
  <c r="Y215" i="58"/>
  <c r="X215" i="58"/>
  <c r="W215" i="58"/>
  <c r="V215" i="58"/>
  <c r="AB214" i="58"/>
  <c r="AA214" i="58"/>
  <c r="Z214" i="58"/>
  <c r="Y214" i="58"/>
  <c r="X214" i="58"/>
  <c r="W214" i="58"/>
  <c r="V214" i="58"/>
  <c r="AB213" i="58"/>
  <c r="AA213" i="58"/>
  <c r="Z213" i="58"/>
  <c r="Y213" i="58"/>
  <c r="X213" i="58"/>
  <c r="W213" i="58"/>
  <c r="V213" i="58"/>
  <c r="AB212" i="58"/>
  <c r="AA212" i="58"/>
  <c r="Z212" i="58"/>
  <c r="Y212" i="58"/>
  <c r="X212" i="58"/>
  <c r="W212" i="58"/>
  <c r="V212" i="58"/>
  <c r="AB211" i="58"/>
  <c r="AA211" i="58"/>
  <c r="Z211" i="58"/>
  <c r="Y211" i="58"/>
  <c r="X211" i="58"/>
  <c r="W211" i="58"/>
  <c r="V211" i="58"/>
  <c r="AB210" i="58"/>
  <c r="AA210" i="58"/>
  <c r="Z210" i="58"/>
  <c r="Y210" i="58"/>
  <c r="X210" i="58"/>
  <c r="W210" i="58"/>
  <c r="V210" i="58"/>
  <c r="AB209" i="58"/>
  <c r="AA209" i="58"/>
  <c r="Z209" i="58"/>
  <c r="Y209" i="58"/>
  <c r="X209" i="58"/>
  <c r="W209" i="58"/>
  <c r="V209" i="58"/>
  <c r="AB208" i="58"/>
  <c r="AA208" i="58"/>
  <c r="Z208" i="58"/>
  <c r="Y208" i="58"/>
  <c r="X208" i="58"/>
  <c r="W208" i="58"/>
  <c r="V208" i="58"/>
  <c r="AB207" i="58"/>
  <c r="AA207" i="58"/>
  <c r="Z207" i="58"/>
  <c r="Y207" i="58"/>
  <c r="X207" i="58"/>
  <c r="W207" i="58"/>
  <c r="V207" i="58"/>
  <c r="AB206" i="58"/>
  <c r="AA206" i="58"/>
  <c r="Z206" i="58"/>
  <c r="Y206" i="58"/>
  <c r="X206" i="58"/>
  <c r="W206" i="58"/>
  <c r="V206" i="58"/>
  <c r="AB205" i="58"/>
  <c r="AA205" i="58"/>
  <c r="Z205" i="58"/>
  <c r="Y205" i="58"/>
  <c r="X205" i="58"/>
  <c r="W205" i="58"/>
  <c r="V205" i="58"/>
  <c r="AB204" i="58"/>
  <c r="AA204" i="58"/>
  <c r="Z204" i="58"/>
  <c r="Y204" i="58"/>
  <c r="X204" i="58"/>
  <c r="W204" i="58"/>
  <c r="V204" i="58"/>
  <c r="AB203" i="58"/>
  <c r="AA203" i="58"/>
  <c r="Z203" i="58"/>
  <c r="Y203" i="58"/>
  <c r="X203" i="58"/>
  <c r="W203" i="58"/>
  <c r="V203" i="58"/>
  <c r="AB202" i="58"/>
  <c r="AA202" i="58"/>
  <c r="Z202" i="58"/>
  <c r="Y202" i="58"/>
  <c r="X202" i="58"/>
  <c r="W202" i="58"/>
  <c r="V202" i="58"/>
  <c r="AB201" i="58"/>
  <c r="AA201" i="58"/>
  <c r="Z201" i="58"/>
  <c r="Y201" i="58"/>
  <c r="X201" i="58"/>
  <c r="W201" i="58"/>
  <c r="V201" i="58"/>
  <c r="AB200" i="58"/>
  <c r="AA200" i="58"/>
  <c r="Z200" i="58"/>
  <c r="Y200" i="58"/>
  <c r="X200" i="58"/>
  <c r="W200" i="58"/>
  <c r="V200" i="58"/>
  <c r="AB199" i="58"/>
  <c r="AA199" i="58"/>
  <c r="Z199" i="58"/>
  <c r="Y199" i="58"/>
  <c r="X199" i="58"/>
  <c r="W199" i="58"/>
  <c r="V199" i="58"/>
  <c r="AB198" i="58"/>
  <c r="AA198" i="58"/>
  <c r="Z198" i="58"/>
  <c r="Y198" i="58"/>
  <c r="X198" i="58"/>
  <c r="W198" i="58"/>
  <c r="V198" i="58"/>
  <c r="AB197" i="58"/>
  <c r="AA197" i="58"/>
  <c r="Z197" i="58"/>
  <c r="Y197" i="58"/>
  <c r="X197" i="58"/>
  <c r="W197" i="58"/>
  <c r="V197" i="58"/>
  <c r="AB196" i="58"/>
  <c r="AA196" i="58"/>
  <c r="Z196" i="58"/>
  <c r="Y196" i="58"/>
  <c r="X196" i="58"/>
  <c r="W196" i="58"/>
  <c r="V196" i="58"/>
  <c r="AB195" i="58"/>
  <c r="AA195" i="58"/>
  <c r="Z195" i="58"/>
  <c r="Y195" i="58"/>
  <c r="X195" i="58"/>
  <c r="W195" i="58"/>
  <c r="V195" i="58"/>
  <c r="AB194" i="58"/>
  <c r="AA194" i="58"/>
  <c r="Z194" i="58"/>
  <c r="Y194" i="58"/>
  <c r="X194" i="58"/>
  <c r="W194" i="58"/>
  <c r="V194" i="58"/>
  <c r="AB193" i="58"/>
  <c r="AA193" i="58"/>
  <c r="Z193" i="58"/>
  <c r="Y193" i="58"/>
  <c r="X193" i="58"/>
  <c r="W193" i="58"/>
  <c r="V193" i="58"/>
  <c r="AB192" i="58"/>
  <c r="AA192" i="58"/>
  <c r="Z192" i="58"/>
  <c r="Y192" i="58"/>
  <c r="X192" i="58"/>
  <c r="W192" i="58"/>
  <c r="V192" i="58"/>
  <c r="AB191" i="58"/>
  <c r="AA191" i="58"/>
  <c r="Z191" i="58"/>
  <c r="Y191" i="58"/>
  <c r="X191" i="58"/>
  <c r="W191" i="58"/>
  <c r="V191" i="58"/>
  <c r="AB190" i="58"/>
  <c r="AA190" i="58"/>
  <c r="Z190" i="58"/>
  <c r="Y190" i="58"/>
  <c r="X190" i="58"/>
  <c r="W190" i="58"/>
  <c r="V190" i="58"/>
  <c r="AB189" i="58"/>
  <c r="AA189" i="58"/>
  <c r="Z189" i="58"/>
  <c r="Y189" i="58"/>
  <c r="X189" i="58"/>
  <c r="W189" i="58"/>
  <c r="V189" i="58"/>
  <c r="AB188" i="58"/>
  <c r="AA188" i="58"/>
  <c r="Z188" i="58"/>
  <c r="Y188" i="58"/>
  <c r="X188" i="58"/>
  <c r="W188" i="58"/>
  <c r="V188" i="58"/>
  <c r="AB187" i="58"/>
  <c r="AA187" i="58"/>
  <c r="Z187" i="58"/>
  <c r="Y187" i="58"/>
  <c r="X187" i="58"/>
  <c r="W187" i="58"/>
  <c r="V187" i="58"/>
  <c r="AB186" i="58"/>
  <c r="AA186" i="58"/>
  <c r="Z186" i="58"/>
  <c r="Y186" i="58"/>
  <c r="X186" i="58"/>
  <c r="W186" i="58"/>
  <c r="V186" i="58"/>
  <c r="AB185" i="58"/>
  <c r="AA185" i="58"/>
  <c r="Z185" i="58"/>
  <c r="Y185" i="58"/>
  <c r="X185" i="58"/>
  <c r="W185" i="58"/>
  <c r="V185" i="58"/>
  <c r="AB184" i="58"/>
  <c r="AA184" i="58"/>
  <c r="Z184" i="58"/>
  <c r="Y184" i="58"/>
  <c r="X184" i="58"/>
  <c r="W184" i="58"/>
  <c r="V184" i="58"/>
  <c r="AB183" i="58"/>
  <c r="AA183" i="58"/>
  <c r="Z183" i="58"/>
  <c r="Y183" i="58"/>
  <c r="X183" i="58"/>
  <c r="W183" i="58"/>
  <c r="V183" i="58"/>
  <c r="AB182" i="58"/>
  <c r="AA182" i="58"/>
  <c r="Z182" i="58"/>
  <c r="Y182" i="58"/>
  <c r="X182" i="58"/>
  <c r="W182" i="58"/>
  <c r="V182" i="58"/>
  <c r="AB181" i="58"/>
  <c r="AA181" i="58"/>
  <c r="Z181" i="58"/>
  <c r="Y181" i="58"/>
  <c r="X181" i="58"/>
  <c r="W181" i="58"/>
  <c r="V181" i="58"/>
  <c r="AB180" i="58"/>
  <c r="AA180" i="58"/>
  <c r="Z180" i="58"/>
  <c r="Y180" i="58"/>
  <c r="X180" i="58"/>
  <c r="W180" i="58"/>
  <c r="V180" i="58"/>
  <c r="AB179" i="58"/>
  <c r="AA179" i="58"/>
  <c r="Z179" i="58"/>
  <c r="Y179" i="58"/>
  <c r="X179" i="58"/>
  <c r="W179" i="58"/>
  <c r="V179" i="58"/>
  <c r="AB178" i="58"/>
  <c r="AA178" i="58"/>
  <c r="Z178" i="58"/>
  <c r="Y178" i="58"/>
  <c r="X178" i="58"/>
  <c r="W178" i="58"/>
  <c r="V178" i="58"/>
  <c r="AB177" i="58"/>
  <c r="AA177" i="58"/>
  <c r="Z177" i="58"/>
  <c r="Y177" i="58"/>
  <c r="X177" i="58"/>
  <c r="W177" i="58"/>
  <c r="V177" i="58"/>
  <c r="AB176" i="58"/>
  <c r="AA176" i="58"/>
  <c r="Z176" i="58"/>
  <c r="Y176" i="58"/>
  <c r="X176" i="58"/>
  <c r="W176" i="58"/>
  <c r="V176" i="58"/>
  <c r="AB175" i="58"/>
  <c r="AA175" i="58"/>
  <c r="Z175" i="58"/>
  <c r="Y175" i="58"/>
  <c r="X175" i="58"/>
  <c r="W175" i="58"/>
  <c r="V175" i="58"/>
  <c r="AB174" i="58"/>
  <c r="AA174" i="58"/>
  <c r="Z174" i="58"/>
  <c r="Y174" i="58"/>
  <c r="X174" i="58"/>
  <c r="W174" i="58"/>
  <c r="V174" i="58"/>
  <c r="AB173" i="58"/>
  <c r="AA173" i="58"/>
  <c r="Z173" i="58"/>
  <c r="Y173" i="58"/>
  <c r="X173" i="58"/>
  <c r="W173" i="58"/>
  <c r="V173" i="58"/>
  <c r="AB172" i="58"/>
  <c r="AA172" i="58"/>
  <c r="Z172" i="58"/>
  <c r="Y172" i="58"/>
  <c r="X172" i="58"/>
  <c r="W172" i="58"/>
  <c r="V172" i="58"/>
  <c r="AB171" i="58"/>
  <c r="AA171" i="58"/>
  <c r="Z171" i="58"/>
  <c r="Y171" i="58"/>
  <c r="X171" i="58"/>
  <c r="W171" i="58"/>
  <c r="V171" i="58"/>
  <c r="AB170" i="58"/>
  <c r="AA170" i="58"/>
  <c r="Z170" i="58"/>
  <c r="Y170" i="58"/>
  <c r="X170" i="58"/>
  <c r="W170" i="58"/>
  <c r="V170" i="58"/>
  <c r="AB169" i="58"/>
  <c r="AA169" i="58"/>
  <c r="Z169" i="58"/>
  <c r="Y169" i="58"/>
  <c r="X169" i="58"/>
  <c r="W169" i="58"/>
  <c r="V169" i="58"/>
  <c r="AB168" i="58"/>
  <c r="AA168" i="58"/>
  <c r="Z168" i="58"/>
  <c r="Y168" i="58"/>
  <c r="X168" i="58"/>
  <c r="W168" i="58"/>
  <c r="V168" i="58"/>
  <c r="AB167" i="58"/>
  <c r="AA167" i="58"/>
  <c r="Z167" i="58"/>
  <c r="Y167" i="58"/>
  <c r="X167" i="58"/>
  <c r="W167" i="58"/>
  <c r="V167" i="58"/>
  <c r="AB166" i="58"/>
  <c r="AA166" i="58"/>
  <c r="Z166" i="58"/>
  <c r="Y166" i="58"/>
  <c r="X166" i="58"/>
  <c r="W166" i="58"/>
  <c r="V166" i="58"/>
  <c r="AB165" i="58"/>
  <c r="AA165" i="58"/>
  <c r="Z165" i="58"/>
  <c r="Y165" i="58"/>
  <c r="X165" i="58"/>
  <c r="W165" i="58"/>
  <c r="V165" i="58"/>
  <c r="AB164" i="58"/>
  <c r="AA164" i="58"/>
  <c r="Z164" i="58"/>
  <c r="Y164" i="58"/>
  <c r="X164" i="58"/>
  <c r="W164" i="58"/>
  <c r="V164" i="58"/>
  <c r="AB163" i="58"/>
  <c r="AA163" i="58"/>
  <c r="Z163" i="58"/>
  <c r="Y163" i="58"/>
  <c r="X163" i="58"/>
  <c r="W163" i="58"/>
  <c r="V163" i="58"/>
  <c r="AB162" i="58"/>
  <c r="AA162" i="58"/>
  <c r="Z162" i="58"/>
  <c r="Y162" i="58"/>
  <c r="X162" i="58"/>
  <c r="W162" i="58"/>
  <c r="V162" i="58"/>
  <c r="AB161" i="58"/>
  <c r="AA161" i="58"/>
  <c r="Z161" i="58"/>
  <c r="Y161" i="58"/>
  <c r="X161" i="58"/>
  <c r="W161" i="58"/>
  <c r="V161" i="58"/>
  <c r="AB160" i="58"/>
  <c r="AA160" i="58"/>
  <c r="Z160" i="58"/>
  <c r="Y160" i="58"/>
  <c r="X160" i="58"/>
  <c r="W160" i="58"/>
  <c r="V160" i="58"/>
  <c r="AB159" i="58"/>
  <c r="AA159" i="58"/>
  <c r="Z159" i="58"/>
  <c r="Y159" i="58"/>
  <c r="X159" i="58"/>
  <c r="W159" i="58"/>
  <c r="V159" i="58"/>
  <c r="AB158" i="58"/>
  <c r="AA158" i="58"/>
  <c r="Z158" i="58"/>
  <c r="Y158" i="58"/>
  <c r="X158" i="58"/>
  <c r="W158" i="58"/>
  <c r="V158" i="58"/>
  <c r="AB157" i="58"/>
  <c r="AA157" i="58"/>
  <c r="Z157" i="58"/>
  <c r="Y157" i="58"/>
  <c r="X157" i="58"/>
  <c r="W157" i="58"/>
  <c r="V157" i="58"/>
  <c r="AB156" i="58"/>
  <c r="AA156" i="58"/>
  <c r="Z156" i="58"/>
  <c r="Y156" i="58"/>
  <c r="X156" i="58"/>
  <c r="W156" i="58"/>
  <c r="V156" i="58"/>
  <c r="AB155" i="58"/>
  <c r="AA155" i="58"/>
  <c r="Z155" i="58"/>
  <c r="Y155" i="58"/>
  <c r="X155" i="58"/>
  <c r="W155" i="58"/>
  <c r="V155" i="58"/>
  <c r="AB154" i="58"/>
  <c r="AA154" i="58"/>
  <c r="Z154" i="58"/>
  <c r="Y154" i="58"/>
  <c r="X154" i="58"/>
  <c r="W154" i="58"/>
  <c r="V154" i="58"/>
  <c r="AB153" i="58"/>
  <c r="AA153" i="58"/>
  <c r="Z153" i="58"/>
  <c r="Y153" i="58"/>
  <c r="X153" i="58"/>
  <c r="W153" i="58"/>
  <c r="V153" i="58"/>
  <c r="AB152" i="58"/>
  <c r="AA152" i="58"/>
  <c r="Z152" i="58"/>
  <c r="Y152" i="58"/>
  <c r="X152" i="58"/>
  <c r="W152" i="58"/>
  <c r="V152" i="58"/>
  <c r="AB151" i="58"/>
  <c r="AA151" i="58"/>
  <c r="Z151" i="58"/>
  <c r="Y151" i="58"/>
  <c r="X151" i="58"/>
  <c r="W151" i="58"/>
  <c r="V151" i="58"/>
  <c r="AB150" i="58"/>
  <c r="AA150" i="58"/>
  <c r="Z150" i="58"/>
  <c r="Y150" i="58"/>
  <c r="X150" i="58"/>
  <c r="W150" i="58"/>
  <c r="V150" i="58"/>
  <c r="AB149" i="58"/>
  <c r="AA149" i="58"/>
  <c r="Z149" i="58"/>
  <c r="Y149" i="58"/>
  <c r="X149" i="58"/>
  <c r="W149" i="58"/>
  <c r="V149" i="58"/>
  <c r="AB148" i="58"/>
  <c r="AA148" i="58"/>
  <c r="Z148" i="58"/>
  <c r="Y148" i="58"/>
  <c r="X148" i="58"/>
  <c r="W148" i="58"/>
  <c r="V148" i="58"/>
  <c r="AB147" i="58"/>
  <c r="AA147" i="58"/>
  <c r="Z147" i="58"/>
  <c r="Y147" i="58"/>
  <c r="X147" i="58"/>
  <c r="W147" i="58"/>
  <c r="V147" i="58"/>
  <c r="AB146" i="58"/>
  <c r="AA146" i="58"/>
  <c r="Z146" i="58"/>
  <c r="Y146" i="58"/>
  <c r="X146" i="58"/>
  <c r="W146" i="58"/>
  <c r="V146" i="58"/>
  <c r="AB145" i="58"/>
  <c r="AA145" i="58"/>
  <c r="Z145" i="58"/>
  <c r="Y145" i="58"/>
  <c r="X145" i="58"/>
  <c r="W145" i="58"/>
  <c r="V145" i="58"/>
  <c r="AB144" i="58"/>
  <c r="AA144" i="58"/>
  <c r="Z144" i="58"/>
  <c r="Y144" i="58"/>
  <c r="X144" i="58"/>
  <c r="W144" i="58"/>
  <c r="V144" i="58"/>
  <c r="AB143" i="58"/>
  <c r="AA143" i="58"/>
  <c r="Z143" i="58"/>
  <c r="Y143" i="58"/>
  <c r="X143" i="58"/>
  <c r="W143" i="58"/>
  <c r="V143" i="58"/>
  <c r="AB142" i="58"/>
  <c r="AA142" i="58"/>
  <c r="Z142" i="58"/>
  <c r="Y142" i="58"/>
  <c r="X142" i="58"/>
  <c r="W142" i="58"/>
  <c r="V142" i="58"/>
  <c r="AB141" i="58"/>
  <c r="AA141" i="58"/>
  <c r="Z141" i="58"/>
  <c r="Y141" i="58"/>
  <c r="X141" i="58"/>
  <c r="W141" i="58"/>
  <c r="V141" i="58"/>
  <c r="AB140" i="58"/>
  <c r="AA140" i="58"/>
  <c r="Z140" i="58"/>
  <c r="Y140" i="58"/>
  <c r="X140" i="58"/>
  <c r="W140" i="58"/>
  <c r="V140" i="58"/>
  <c r="AB139" i="58"/>
  <c r="AA139" i="58"/>
  <c r="Z139" i="58"/>
  <c r="Y139" i="58"/>
  <c r="X139" i="58"/>
  <c r="W139" i="58"/>
  <c r="V139" i="58"/>
  <c r="AB138" i="58"/>
  <c r="AA138" i="58"/>
  <c r="Z138" i="58"/>
  <c r="Y138" i="58"/>
  <c r="X138" i="58"/>
  <c r="W138" i="58"/>
  <c r="V138" i="58"/>
  <c r="AB137" i="58"/>
  <c r="AA137" i="58"/>
  <c r="Z137" i="58"/>
  <c r="Y137" i="58"/>
  <c r="X137" i="58"/>
  <c r="W137" i="58"/>
  <c r="V137" i="58"/>
  <c r="AB136" i="58"/>
  <c r="AA136" i="58"/>
  <c r="Z136" i="58"/>
  <c r="Y136" i="58"/>
  <c r="X136" i="58"/>
  <c r="W136" i="58"/>
  <c r="V136" i="58"/>
  <c r="AB135" i="58"/>
  <c r="AA135" i="58"/>
  <c r="Z135" i="58"/>
  <c r="Y135" i="58"/>
  <c r="X135" i="58"/>
  <c r="W135" i="58"/>
  <c r="V135" i="58"/>
  <c r="AB134" i="58"/>
  <c r="AA134" i="58"/>
  <c r="Z134" i="58"/>
  <c r="Y134" i="58"/>
  <c r="X134" i="58"/>
  <c r="W134" i="58"/>
  <c r="V134" i="58"/>
  <c r="AB133" i="58"/>
  <c r="AA133" i="58"/>
  <c r="Z133" i="58"/>
  <c r="Y133" i="58"/>
  <c r="X133" i="58"/>
  <c r="W133" i="58"/>
  <c r="V133" i="58"/>
  <c r="AB132" i="58"/>
  <c r="AA132" i="58"/>
  <c r="Z132" i="58"/>
  <c r="Y132" i="58"/>
  <c r="X132" i="58"/>
  <c r="W132" i="58"/>
  <c r="V132" i="58"/>
  <c r="AB131" i="58"/>
  <c r="AA131" i="58"/>
  <c r="Z131" i="58"/>
  <c r="Y131" i="58"/>
  <c r="X131" i="58"/>
  <c r="W131" i="58"/>
  <c r="V131" i="58"/>
  <c r="AB130" i="58"/>
  <c r="AA130" i="58"/>
  <c r="Z130" i="58"/>
  <c r="Y130" i="58"/>
  <c r="X130" i="58"/>
  <c r="W130" i="58"/>
  <c r="V130" i="58"/>
  <c r="AB129" i="58"/>
  <c r="AA129" i="58"/>
  <c r="Z129" i="58"/>
  <c r="Y129" i="58"/>
  <c r="X129" i="58"/>
  <c r="W129" i="58"/>
  <c r="V129" i="58"/>
  <c r="AB128" i="58"/>
  <c r="AA128" i="58"/>
  <c r="Z128" i="58"/>
  <c r="Y128" i="58"/>
  <c r="X128" i="58"/>
  <c r="W128" i="58"/>
  <c r="V128" i="58"/>
  <c r="AB127" i="58"/>
  <c r="AA127" i="58"/>
  <c r="Z127" i="58"/>
  <c r="Y127" i="58"/>
  <c r="X127" i="58"/>
  <c r="W127" i="58"/>
  <c r="V127" i="58"/>
  <c r="AB126" i="58"/>
  <c r="AA126" i="58"/>
  <c r="Z126" i="58"/>
  <c r="Y126" i="58"/>
  <c r="X126" i="58"/>
  <c r="W126" i="58"/>
  <c r="V126" i="58"/>
  <c r="AB125" i="58"/>
  <c r="AA125" i="58"/>
  <c r="Z125" i="58"/>
  <c r="Y125" i="58"/>
  <c r="X125" i="58"/>
  <c r="W125" i="58"/>
  <c r="V125" i="58"/>
  <c r="AB124" i="58"/>
  <c r="AA124" i="58"/>
  <c r="Z124" i="58"/>
  <c r="Y124" i="58"/>
  <c r="X124" i="58"/>
  <c r="W124" i="58"/>
  <c r="V124" i="58"/>
  <c r="AB123" i="58"/>
  <c r="AA123" i="58"/>
  <c r="Z123" i="58"/>
  <c r="Y123" i="58"/>
  <c r="X123" i="58"/>
  <c r="W123" i="58"/>
  <c r="V123" i="58"/>
  <c r="AB122" i="58"/>
  <c r="AA122" i="58"/>
  <c r="Z122" i="58"/>
  <c r="Y122" i="58"/>
  <c r="X122" i="58"/>
  <c r="W122" i="58"/>
  <c r="V122" i="58"/>
  <c r="AB121" i="58"/>
  <c r="AA121" i="58"/>
  <c r="Z121" i="58"/>
  <c r="Y121" i="58"/>
  <c r="X121" i="58"/>
  <c r="W121" i="58"/>
  <c r="V121" i="58"/>
  <c r="AB120" i="58"/>
  <c r="AA120" i="58"/>
  <c r="Z120" i="58"/>
  <c r="Y120" i="58"/>
  <c r="X120" i="58"/>
  <c r="W120" i="58"/>
  <c r="V120" i="58"/>
  <c r="AB119" i="58"/>
  <c r="AA119" i="58"/>
  <c r="Z119" i="58"/>
  <c r="Y119" i="58"/>
  <c r="X119" i="58"/>
  <c r="W119" i="58"/>
  <c r="V119" i="58"/>
  <c r="AB118" i="58"/>
  <c r="AA118" i="58"/>
  <c r="Z118" i="58"/>
  <c r="Y118" i="58"/>
  <c r="X118" i="58"/>
  <c r="W118" i="58"/>
  <c r="V118" i="58"/>
  <c r="AB117" i="58"/>
  <c r="AA117" i="58"/>
  <c r="Z117" i="58"/>
  <c r="Y117" i="58"/>
  <c r="X117" i="58"/>
  <c r="W117" i="58"/>
  <c r="V117" i="58"/>
  <c r="AB116" i="58"/>
  <c r="AA116" i="58"/>
  <c r="Z116" i="58"/>
  <c r="Y116" i="58"/>
  <c r="X116" i="58"/>
  <c r="W116" i="58"/>
  <c r="V116" i="58"/>
  <c r="AB115" i="58"/>
  <c r="AA115" i="58"/>
  <c r="Z115" i="58"/>
  <c r="Y115" i="58"/>
  <c r="X115" i="58"/>
  <c r="W115" i="58"/>
  <c r="V115" i="58"/>
  <c r="AB114" i="58"/>
  <c r="AA114" i="58"/>
  <c r="Z114" i="58"/>
  <c r="Y114" i="58"/>
  <c r="X114" i="58"/>
  <c r="W114" i="58"/>
  <c r="V114" i="58"/>
  <c r="AB113" i="58"/>
  <c r="AA113" i="58"/>
  <c r="Z113" i="58"/>
  <c r="Y113" i="58"/>
  <c r="X113" i="58"/>
  <c r="W113" i="58"/>
  <c r="V113" i="58"/>
  <c r="AB112" i="58"/>
  <c r="AA112" i="58"/>
  <c r="Z112" i="58"/>
  <c r="Y112" i="58"/>
  <c r="X112" i="58"/>
  <c r="W112" i="58"/>
  <c r="V112" i="58"/>
  <c r="AB111" i="58"/>
  <c r="AA111" i="58"/>
  <c r="Z111" i="58"/>
  <c r="Y111" i="58"/>
  <c r="X111" i="58"/>
  <c r="W111" i="58"/>
  <c r="V111" i="58"/>
  <c r="AB110" i="58"/>
  <c r="AA110" i="58"/>
  <c r="Z110" i="58"/>
  <c r="Y110" i="58"/>
  <c r="X110" i="58"/>
  <c r="W110" i="58"/>
  <c r="V110" i="58"/>
  <c r="AB109" i="58"/>
  <c r="AA109" i="58"/>
  <c r="Z109" i="58"/>
  <c r="Y109" i="58"/>
  <c r="X109" i="58"/>
  <c r="W109" i="58"/>
  <c r="V109" i="58"/>
  <c r="AB108" i="58"/>
  <c r="AA108" i="58"/>
  <c r="Z108" i="58"/>
  <c r="Y108" i="58"/>
  <c r="X108" i="58"/>
  <c r="W108" i="58"/>
  <c r="V108" i="58"/>
  <c r="AB107" i="58"/>
  <c r="AA107" i="58"/>
  <c r="Z107" i="58"/>
  <c r="Y107" i="58"/>
  <c r="X107" i="58"/>
  <c r="W107" i="58"/>
  <c r="V107" i="58"/>
  <c r="AB106" i="58"/>
  <c r="AA106" i="58"/>
  <c r="Z106" i="58"/>
  <c r="Y106" i="58"/>
  <c r="X106" i="58"/>
  <c r="W106" i="58"/>
  <c r="V106" i="58"/>
  <c r="AB105" i="58"/>
  <c r="AA105" i="58"/>
  <c r="Z105" i="58"/>
  <c r="Y105" i="58"/>
  <c r="X105" i="58"/>
  <c r="W105" i="58"/>
  <c r="V105" i="58"/>
  <c r="AB104" i="58"/>
  <c r="AA104" i="58"/>
  <c r="Z104" i="58"/>
  <c r="Y104" i="58"/>
  <c r="X104" i="58"/>
  <c r="W104" i="58"/>
  <c r="V104" i="58"/>
  <c r="AB103" i="58"/>
  <c r="AA103" i="58"/>
  <c r="Z103" i="58"/>
  <c r="Y103" i="58"/>
  <c r="X103" i="58"/>
  <c r="W103" i="58"/>
  <c r="V103" i="58"/>
  <c r="AB102" i="58"/>
  <c r="AA102" i="58"/>
  <c r="Z102" i="58"/>
  <c r="Y102" i="58"/>
  <c r="X102" i="58"/>
  <c r="W102" i="58"/>
  <c r="V102" i="58"/>
  <c r="AB101" i="58"/>
  <c r="AA101" i="58"/>
  <c r="Z101" i="58"/>
  <c r="Y101" i="58"/>
  <c r="X101" i="58"/>
  <c r="W101" i="58"/>
  <c r="V101" i="58"/>
  <c r="AB100" i="58"/>
  <c r="AA100" i="58"/>
  <c r="Z100" i="58"/>
  <c r="Y100" i="58"/>
  <c r="X100" i="58"/>
  <c r="W100" i="58"/>
  <c r="V100" i="58"/>
  <c r="AB99" i="58"/>
  <c r="AA99" i="58"/>
  <c r="Z99" i="58"/>
  <c r="Y99" i="58"/>
  <c r="X99" i="58"/>
  <c r="W99" i="58"/>
  <c r="V99" i="58"/>
  <c r="AB98" i="58"/>
  <c r="AA98" i="58"/>
  <c r="Z98" i="58"/>
  <c r="Y98" i="58"/>
  <c r="X98" i="58"/>
  <c r="W98" i="58"/>
  <c r="V98" i="58"/>
  <c r="AB97" i="58"/>
  <c r="AA97" i="58"/>
  <c r="Z97" i="58"/>
  <c r="Y97" i="58"/>
  <c r="X97" i="58"/>
  <c r="W97" i="58"/>
  <c r="V97" i="58"/>
  <c r="AB96" i="58"/>
  <c r="AA96" i="58"/>
  <c r="Z96" i="58"/>
  <c r="Y96" i="58"/>
  <c r="X96" i="58"/>
  <c r="W96" i="58"/>
  <c r="V96" i="58"/>
  <c r="AB95" i="58"/>
  <c r="AA95" i="58"/>
  <c r="Z95" i="58"/>
  <c r="Y95" i="58"/>
  <c r="X95" i="58"/>
  <c r="W95" i="58"/>
  <c r="V95" i="58"/>
  <c r="AB94" i="58"/>
  <c r="AA94" i="58"/>
  <c r="Z94" i="58"/>
  <c r="Y94" i="58"/>
  <c r="X94" i="58"/>
  <c r="W94" i="58"/>
  <c r="V94" i="58"/>
  <c r="AB93" i="58"/>
  <c r="AA93" i="58"/>
  <c r="Z93" i="58"/>
  <c r="Y93" i="58"/>
  <c r="X93" i="58"/>
  <c r="W93" i="58"/>
  <c r="V93" i="58"/>
  <c r="AB92" i="58"/>
  <c r="AA92" i="58"/>
  <c r="Z92" i="58"/>
  <c r="Y92" i="58"/>
  <c r="X92" i="58"/>
  <c r="W92" i="58"/>
  <c r="V92" i="58"/>
  <c r="AB91" i="58"/>
  <c r="AA91" i="58"/>
  <c r="Z91" i="58"/>
  <c r="Y91" i="58"/>
  <c r="X91" i="58"/>
  <c r="W91" i="58"/>
  <c r="V91" i="58"/>
  <c r="AB90" i="58"/>
  <c r="AA90" i="58"/>
  <c r="Z90" i="58"/>
  <c r="Y90" i="58"/>
  <c r="X90" i="58"/>
  <c r="W90" i="58"/>
  <c r="V90" i="58"/>
  <c r="AB89" i="58"/>
  <c r="AA89" i="58"/>
  <c r="Z89" i="58"/>
  <c r="Y89" i="58"/>
  <c r="X89" i="58"/>
  <c r="W89" i="58"/>
  <c r="V89" i="58"/>
  <c r="AB88" i="58"/>
  <c r="AA88" i="58"/>
  <c r="Z88" i="58"/>
  <c r="Y88" i="58"/>
  <c r="X88" i="58"/>
  <c r="W88" i="58"/>
  <c r="V88" i="58"/>
  <c r="AB87" i="58"/>
  <c r="AA87" i="58"/>
  <c r="Z87" i="58"/>
  <c r="Y87" i="58"/>
  <c r="X87" i="58"/>
  <c r="W87" i="58"/>
  <c r="V87" i="58"/>
  <c r="AB86" i="58"/>
  <c r="AA86" i="58"/>
  <c r="Z86" i="58"/>
  <c r="Y86" i="58"/>
  <c r="X86" i="58"/>
  <c r="W86" i="58"/>
  <c r="V86" i="58"/>
  <c r="AB85" i="58"/>
  <c r="AA85" i="58"/>
  <c r="Z85" i="58"/>
  <c r="Y85" i="58"/>
  <c r="X85" i="58"/>
  <c r="W85" i="58"/>
  <c r="V85" i="58"/>
  <c r="AB84" i="58"/>
  <c r="AA84" i="58"/>
  <c r="Z84" i="58"/>
  <c r="Y84" i="58"/>
  <c r="X84" i="58"/>
  <c r="W84" i="58"/>
  <c r="V84" i="58"/>
  <c r="AB83" i="58"/>
  <c r="AA83" i="58"/>
  <c r="Z83" i="58"/>
  <c r="Y83" i="58"/>
  <c r="X83" i="58"/>
  <c r="W83" i="58"/>
  <c r="V83" i="58"/>
  <c r="AB82" i="58"/>
  <c r="AA82" i="58"/>
  <c r="Z82" i="58"/>
  <c r="Y82" i="58"/>
  <c r="X82" i="58"/>
  <c r="W82" i="58"/>
  <c r="V82" i="58"/>
  <c r="AB81" i="58"/>
  <c r="AA81" i="58"/>
  <c r="Z81" i="58"/>
  <c r="Y81" i="58"/>
  <c r="X81" i="58"/>
  <c r="W81" i="58"/>
  <c r="V81" i="58"/>
  <c r="AB80" i="58"/>
  <c r="AA80" i="58"/>
  <c r="Z80" i="58"/>
  <c r="Y80" i="58"/>
  <c r="X80" i="58"/>
  <c r="W80" i="58"/>
  <c r="V80" i="58"/>
  <c r="AB79" i="58"/>
  <c r="AA79" i="58"/>
  <c r="Z79" i="58"/>
  <c r="Y79" i="58"/>
  <c r="X79" i="58"/>
  <c r="W79" i="58"/>
  <c r="V79" i="58"/>
  <c r="AB78" i="58"/>
  <c r="AA78" i="58"/>
  <c r="Z78" i="58"/>
  <c r="Y78" i="58"/>
  <c r="X78" i="58"/>
  <c r="W78" i="58"/>
  <c r="V78" i="58"/>
  <c r="AB77" i="58"/>
  <c r="AA77" i="58"/>
  <c r="Z77" i="58"/>
  <c r="Y77" i="58"/>
  <c r="X77" i="58"/>
  <c r="W77" i="58"/>
  <c r="V77" i="58"/>
  <c r="AB76" i="58"/>
  <c r="AA76" i="58"/>
  <c r="Z76" i="58"/>
  <c r="Y76" i="58"/>
  <c r="X76" i="58"/>
  <c r="W76" i="58"/>
  <c r="V76" i="58"/>
  <c r="AB75" i="58"/>
  <c r="AA75" i="58"/>
  <c r="Z75" i="58"/>
  <c r="Y75" i="58"/>
  <c r="X75" i="58"/>
  <c r="W75" i="58"/>
  <c r="V75" i="58"/>
  <c r="AB74" i="58"/>
  <c r="AA74" i="58"/>
  <c r="Z74" i="58"/>
  <c r="Y74" i="58"/>
  <c r="X74" i="58"/>
  <c r="W74" i="58"/>
  <c r="V74" i="58"/>
  <c r="AB73" i="58"/>
  <c r="AA73" i="58"/>
  <c r="Z73" i="58"/>
  <c r="Y73" i="58"/>
  <c r="X73" i="58"/>
  <c r="W73" i="58"/>
  <c r="V73" i="58"/>
  <c r="AB72" i="58"/>
  <c r="AA72" i="58"/>
  <c r="Z72" i="58"/>
  <c r="Y72" i="58"/>
  <c r="X72" i="58"/>
  <c r="W72" i="58"/>
  <c r="V72" i="58"/>
  <c r="AB71" i="58"/>
  <c r="AA71" i="58"/>
  <c r="Z71" i="58"/>
  <c r="Y71" i="58"/>
  <c r="X71" i="58"/>
  <c r="W71" i="58"/>
  <c r="V71" i="58"/>
  <c r="AB70" i="58"/>
  <c r="AA70" i="58"/>
  <c r="Z70" i="58"/>
  <c r="Y70" i="58"/>
  <c r="X70" i="58"/>
  <c r="W70" i="58"/>
  <c r="V70" i="58"/>
  <c r="AB69" i="58"/>
  <c r="AA69" i="58"/>
  <c r="Z69" i="58"/>
  <c r="Y69" i="58"/>
  <c r="X69" i="58"/>
  <c r="W69" i="58"/>
  <c r="V69" i="58"/>
  <c r="AB68" i="58"/>
  <c r="AA68" i="58"/>
  <c r="Z68" i="58"/>
  <c r="Y68" i="58"/>
  <c r="X68" i="58"/>
  <c r="W68" i="58"/>
  <c r="V68" i="58"/>
  <c r="AB67" i="58"/>
  <c r="AA67" i="58"/>
  <c r="Z67" i="58"/>
  <c r="Y67" i="58"/>
  <c r="X67" i="58"/>
  <c r="W67" i="58"/>
  <c r="V67" i="58"/>
  <c r="AB66" i="58"/>
  <c r="AA66" i="58"/>
  <c r="Z66" i="58"/>
  <c r="Y66" i="58"/>
  <c r="X66" i="58"/>
  <c r="W66" i="58"/>
  <c r="V66" i="58"/>
  <c r="AB65" i="58"/>
  <c r="AA65" i="58"/>
  <c r="Z65" i="58"/>
  <c r="Y65" i="58"/>
  <c r="X65" i="58"/>
  <c r="W65" i="58"/>
  <c r="V65" i="58"/>
  <c r="AB64" i="58"/>
  <c r="AA64" i="58"/>
  <c r="Z64" i="58"/>
  <c r="Y64" i="58"/>
  <c r="X64" i="58"/>
  <c r="W64" i="58"/>
  <c r="V64" i="58"/>
  <c r="AB63" i="58"/>
  <c r="AA63" i="58"/>
  <c r="Z63" i="58"/>
  <c r="Y63" i="58"/>
  <c r="X63" i="58"/>
  <c r="W63" i="58"/>
  <c r="V63" i="58"/>
  <c r="AB62" i="58"/>
  <c r="AA62" i="58"/>
  <c r="Z62" i="58"/>
  <c r="Y62" i="58"/>
  <c r="X62" i="58"/>
  <c r="W62" i="58"/>
  <c r="V62" i="58"/>
  <c r="AB61" i="58"/>
  <c r="AA61" i="58"/>
  <c r="Z61" i="58"/>
  <c r="Y61" i="58"/>
  <c r="X61" i="58"/>
  <c r="W61" i="58"/>
  <c r="V61" i="58"/>
  <c r="AB60" i="58"/>
  <c r="AA60" i="58"/>
  <c r="Z60" i="58"/>
  <c r="Y60" i="58"/>
  <c r="X60" i="58"/>
  <c r="W60" i="58"/>
  <c r="V60" i="58"/>
  <c r="AB59" i="58"/>
  <c r="AA59" i="58"/>
  <c r="Z59" i="58"/>
  <c r="Y59" i="58"/>
  <c r="X59" i="58"/>
  <c r="W59" i="58"/>
  <c r="V59" i="58"/>
  <c r="AB58" i="58"/>
  <c r="AA58" i="58"/>
  <c r="Z58" i="58"/>
  <c r="Y58" i="58"/>
  <c r="X58" i="58"/>
  <c r="W58" i="58"/>
  <c r="V58" i="58"/>
  <c r="AB57" i="58"/>
  <c r="AA57" i="58"/>
  <c r="Z57" i="58"/>
  <c r="Y57" i="58"/>
  <c r="X57" i="58"/>
  <c r="W57" i="58"/>
  <c r="V57" i="58"/>
  <c r="AB56" i="58"/>
  <c r="AA56" i="58"/>
  <c r="Z56" i="58"/>
  <c r="Y56" i="58"/>
  <c r="X56" i="58"/>
  <c r="W56" i="58"/>
  <c r="V56" i="58"/>
  <c r="AB55" i="58"/>
  <c r="AA55" i="58"/>
  <c r="Z55" i="58"/>
  <c r="Y55" i="58"/>
  <c r="X55" i="58"/>
  <c r="W55" i="58"/>
  <c r="V55" i="58"/>
  <c r="AB54" i="58"/>
  <c r="AA54" i="58"/>
  <c r="Z54" i="58"/>
  <c r="Y54" i="58"/>
  <c r="X54" i="58"/>
  <c r="W54" i="58"/>
  <c r="V54" i="58"/>
  <c r="AB53" i="58"/>
  <c r="AA53" i="58"/>
  <c r="Z53" i="58"/>
  <c r="Y53" i="58"/>
  <c r="X53" i="58"/>
  <c r="W53" i="58"/>
  <c r="V53" i="58"/>
  <c r="AB52" i="58"/>
  <c r="AA52" i="58"/>
  <c r="Z52" i="58"/>
  <c r="Y52" i="58"/>
  <c r="X52" i="58"/>
  <c r="W52" i="58"/>
  <c r="V52" i="58"/>
  <c r="AB51" i="58"/>
  <c r="AA51" i="58"/>
  <c r="Z51" i="58"/>
  <c r="Y51" i="58"/>
  <c r="X51" i="58"/>
  <c r="W51" i="58"/>
  <c r="V51" i="58"/>
  <c r="AB50" i="58"/>
  <c r="AA50" i="58"/>
  <c r="Z50" i="58"/>
  <c r="Y50" i="58"/>
  <c r="X50" i="58"/>
  <c r="W50" i="58"/>
  <c r="V50" i="58"/>
  <c r="AB49" i="58"/>
  <c r="AA49" i="58"/>
  <c r="Z49" i="58"/>
  <c r="Y49" i="58"/>
  <c r="X49" i="58"/>
  <c r="W49" i="58"/>
  <c r="V49" i="58"/>
  <c r="AB48" i="58"/>
  <c r="AA48" i="58"/>
  <c r="Z48" i="58"/>
  <c r="Y48" i="58"/>
  <c r="X48" i="58"/>
  <c r="W48" i="58"/>
  <c r="V48" i="58"/>
  <c r="AB47" i="58"/>
  <c r="AA47" i="58"/>
  <c r="Z47" i="58"/>
  <c r="Y47" i="58"/>
  <c r="X47" i="58"/>
  <c r="W47" i="58"/>
  <c r="V47" i="58"/>
  <c r="AB46" i="58"/>
  <c r="AA46" i="58"/>
  <c r="Z46" i="58"/>
  <c r="Y46" i="58"/>
  <c r="X46" i="58"/>
  <c r="W46" i="58"/>
  <c r="V46" i="58"/>
  <c r="AB45" i="58"/>
  <c r="AA45" i="58"/>
  <c r="Z45" i="58"/>
  <c r="Y45" i="58"/>
  <c r="X45" i="58"/>
  <c r="W45" i="58"/>
  <c r="V45" i="58"/>
  <c r="AB44" i="58"/>
  <c r="AA44" i="58"/>
  <c r="Z44" i="58"/>
  <c r="Y44" i="58"/>
  <c r="X44" i="58"/>
  <c r="W44" i="58"/>
  <c r="V44" i="58"/>
  <c r="AB43" i="58"/>
  <c r="AA43" i="58"/>
  <c r="Z43" i="58"/>
  <c r="Y43" i="58"/>
  <c r="X43" i="58"/>
  <c r="W43" i="58"/>
  <c r="V43" i="58"/>
  <c r="AB42" i="58"/>
  <c r="AA42" i="58"/>
  <c r="Z42" i="58"/>
  <c r="Y42" i="58"/>
  <c r="X42" i="58"/>
  <c r="W42" i="58"/>
  <c r="V42" i="58"/>
  <c r="AB41" i="58"/>
  <c r="AA41" i="58"/>
  <c r="Z41" i="58"/>
  <c r="Y41" i="58"/>
  <c r="X41" i="58"/>
  <c r="W41" i="58"/>
  <c r="V41" i="58"/>
  <c r="AB40" i="58"/>
  <c r="AA40" i="58"/>
  <c r="Z40" i="58"/>
  <c r="Y40" i="58"/>
  <c r="X40" i="58"/>
  <c r="W40" i="58"/>
  <c r="V40" i="58"/>
  <c r="AB39" i="58"/>
  <c r="AA39" i="58"/>
  <c r="Z39" i="58"/>
  <c r="Y39" i="58"/>
  <c r="X39" i="58"/>
  <c r="W39" i="58"/>
  <c r="V39" i="58"/>
  <c r="AB38" i="58"/>
  <c r="AA38" i="58"/>
  <c r="Z38" i="58"/>
  <c r="Y38" i="58"/>
  <c r="X38" i="58"/>
  <c r="W38" i="58"/>
  <c r="V38" i="58"/>
  <c r="AB37" i="58"/>
  <c r="AA37" i="58"/>
  <c r="Z37" i="58"/>
  <c r="Y37" i="58"/>
  <c r="X37" i="58"/>
  <c r="W37" i="58"/>
  <c r="V37" i="58"/>
  <c r="AB36" i="58"/>
  <c r="AA36" i="58"/>
  <c r="Z36" i="58"/>
  <c r="Y36" i="58"/>
  <c r="X36" i="58"/>
  <c r="W36" i="58"/>
  <c r="V36" i="58"/>
  <c r="AB35" i="58"/>
  <c r="AA35" i="58"/>
  <c r="Z35" i="58"/>
  <c r="Y35" i="58"/>
  <c r="X35" i="58"/>
  <c r="W35" i="58"/>
  <c r="V35" i="58"/>
  <c r="AB34" i="58"/>
  <c r="AA34" i="58"/>
  <c r="Z34" i="58"/>
  <c r="Y34" i="58"/>
  <c r="X34" i="58"/>
  <c r="W34" i="58"/>
  <c r="V34" i="58"/>
  <c r="AB33" i="58"/>
  <c r="AA33" i="58"/>
  <c r="Z33" i="58"/>
  <c r="Y33" i="58"/>
  <c r="X33" i="58"/>
  <c r="W33" i="58"/>
  <c r="V33" i="58"/>
  <c r="AB32" i="58"/>
  <c r="AA32" i="58"/>
  <c r="Z32" i="58"/>
  <c r="Y32" i="58"/>
  <c r="X32" i="58"/>
  <c r="W32" i="58"/>
  <c r="V32" i="58"/>
  <c r="AB31" i="58"/>
  <c r="AA31" i="58"/>
  <c r="Z31" i="58"/>
  <c r="Y31" i="58"/>
  <c r="X31" i="58"/>
  <c r="W31" i="58"/>
  <c r="V31" i="58"/>
  <c r="AB30" i="58"/>
  <c r="AA30" i="58"/>
  <c r="Z30" i="58"/>
  <c r="Y30" i="58"/>
  <c r="X30" i="58"/>
  <c r="W30" i="58"/>
  <c r="V30" i="58"/>
  <c r="AB29" i="58"/>
  <c r="AA29" i="58"/>
  <c r="Z29" i="58"/>
  <c r="Y29" i="58"/>
  <c r="X29" i="58"/>
  <c r="W29" i="58"/>
  <c r="V29" i="58"/>
  <c r="AB28" i="58"/>
  <c r="AA28" i="58"/>
  <c r="Z28" i="58"/>
  <c r="Y28" i="58"/>
  <c r="X28" i="58"/>
  <c r="W28" i="58"/>
  <c r="V28" i="58"/>
  <c r="AB27" i="58"/>
  <c r="AA27" i="58"/>
  <c r="Z27" i="58"/>
  <c r="Y27" i="58"/>
  <c r="X27" i="58"/>
  <c r="W27" i="58"/>
  <c r="V27" i="58"/>
  <c r="AB26" i="58"/>
  <c r="AA26" i="58"/>
  <c r="Z26" i="58"/>
  <c r="Y26" i="58"/>
  <c r="X26" i="58"/>
  <c r="W26" i="58"/>
  <c r="V26" i="58"/>
  <c r="AB25" i="58"/>
  <c r="AA25" i="58"/>
  <c r="Z25" i="58"/>
  <c r="Y25" i="58"/>
  <c r="X25" i="58"/>
  <c r="W25" i="58"/>
  <c r="V25" i="58"/>
  <c r="AB24" i="58"/>
  <c r="AA24" i="58"/>
  <c r="Z24" i="58"/>
  <c r="Y24" i="58"/>
  <c r="X24" i="58"/>
  <c r="W24" i="58"/>
  <c r="V24" i="58"/>
  <c r="AB23" i="58"/>
  <c r="AA23" i="58"/>
  <c r="Z23" i="58"/>
  <c r="Y23" i="58"/>
  <c r="X23" i="58"/>
  <c r="W23" i="58"/>
  <c r="V23" i="58"/>
  <c r="AB22" i="58"/>
  <c r="AA22" i="58"/>
  <c r="Z22" i="58"/>
  <c r="Y22" i="58"/>
  <c r="X22" i="58"/>
  <c r="W22" i="58"/>
  <c r="V22" i="58"/>
  <c r="AB21" i="58"/>
  <c r="AA21" i="58"/>
  <c r="Z21" i="58"/>
  <c r="Y21" i="58"/>
  <c r="X21" i="58"/>
  <c r="W21" i="58"/>
  <c r="V21" i="58"/>
  <c r="AB20" i="58"/>
  <c r="AA20" i="58"/>
  <c r="Z20" i="58"/>
  <c r="Y20" i="58"/>
  <c r="X20" i="58"/>
  <c r="W20" i="58"/>
  <c r="V20" i="58"/>
  <c r="AB19" i="58"/>
  <c r="AA19" i="58"/>
  <c r="Z19" i="58"/>
  <c r="Y19" i="58"/>
  <c r="X19" i="58"/>
  <c r="W19" i="58"/>
  <c r="V19" i="58"/>
  <c r="AB18" i="58"/>
  <c r="AA18" i="58"/>
  <c r="Z18" i="58"/>
  <c r="Y18" i="58"/>
  <c r="X18" i="58"/>
  <c r="W18" i="58"/>
  <c r="V18" i="58"/>
  <c r="AB17" i="58"/>
  <c r="AA17" i="58"/>
  <c r="Z17" i="58"/>
  <c r="Y17" i="58"/>
  <c r="X17" i="58"/>
  <c r="W17" i="58"/>
  <c r="V17" i="58"/>
  <c r="AB16" i="58"/>
  <c r="AA16" i="58"/>
  <c r="Z16" i="58"/>
  <c r="Y16" i="58"/>
  <c r="X16" i="58"/>
  <c r="W16" i="58"/>
  <c r="V16" i="58"/>
  <c r="AB15" i="58"/>
  <c r="AA15" i="58"/>
  <c r="Z15" i="58"/>
  <c r="Y15" i="58"/>
  <c r="X15" i="58"/>
  <c r="W15" i="58"/>
  <c r="V15" i="58"/>
  <c r="AB14" i="58"/>
  <c r="AA14" i="58"/>
  <c r="Z14" i="58"/>
  <c r="Y14" i="58"/>
  <c r="X14" i="58"/>
  <c r="W14" i="58"/>
  <c r="V14" i="58"/>
  <c r="AB13" i="58"/>
  <c r="AA13" i="58"/>
  <c r="Z13" i="58"/>
  <c r="Y13" i="58"/>
  <c r="X13" i="58"/>
  <c r="W13" i="58"/>
  <c r="V13" i="58"/>
  <c r="AB12" i="58"/>
  <c r="AA12" i="58"/>
  <c r="Z12" i="58"/>
  <c r="Y12" i="58"/>
  <c r="X12" i="58"/>
  <c r="W12" i="58"/>
  <c r="V12" i="58"/>
  <c r="AB11" i="58"/>
  <c r="AA11" i="58"/>
  <c r="Z11" i="58"/>
  <c r="Y11" i="58"/>
  <c r="X11" i="58"/>
  <c r="W11" i="58"/>
  <c r="V11" i="58"/>
  <c r="AB10" i="58"/>
  <c r="AA10" i="58"/>
  <c r="Z10" i="58"/>
  <c r="Y10" i="58"/>
  <c r="X10" i="58"/>
  <c r="W10" i="58"/>
  <c r="V10" i="58"/>
  <c r="AB9" i="58"/>
  <c r="AA9" i="58"/>
  <c r="Z9" i="58"/>
  <c r="Y9" i="58"/>
  <c r="X9" i="58"/>
  <c r="W9" i="58"/>
  <c r="V9" i="58"/>
  <c r="AB8" i="58"/>
  <c r="AA8" i="58"/>
  <c r="Z8" i="58"/>
  <c r="Y8" i="58"/>
  <c r="X8" i="58"/>
  <c r="W8" i="58"/>
  <c r="V8" i="58"/>
  <c r="AB7" i="58"/>
  <c r="AA7" i="58"/>
  <c r="Z7" i="58"/>
  <c r="Y7" i="58"/>
  <c r="X7" i="58"/>
  <c r="W7" i="58"/>
  <c r="V7" i="58"/>
  <c r="AB6" i="58"/>
  <c r="AA6" i="58"/>
  <c r="Z6" i="58"/>
  <c r="Y6" i="58"/>
  <c r="X6" i="58"/>
  <c r="W6" i="58"/>
  <c r="V6" i="58"/>
  <c r="AB5" i="58"/>
  <c r="AA5" i="58"/>
  <c r="Z5" i="58"/>
  <c r="Y5" i="58"/>
  <c r="X5" i="58"/>
  <c r="W5" i="58"/>
  <c r="V5" i="58"/>
  <c r="AB4" i="58"/>
  <c r="AA4" i="58"/>
  <c r="Z4" i="58"/>
  <c r="Y4" i="58"/>
  <c r="X4" i="58"/>
  <c r="W4" i="58"/>
  <c r="V4" i="58"/>
  <c r="AB3" i="58"/>
  <c r="AA3" i="58"/>
  <c r="Z3" i="58"/>
  <c r="Y3" i="58"/>
  <c r="X3" i="58"/>
  <c r="W3" i="58"/>
  <c r="V3" i="58"/>
  <c r="AB2" i="58"/>
  <c r="AA2" i="58"/>
  <c r="Z2" i="58"/>
  <c r="Y2" i="58"/>
  <c r="X2" i="58"/>
  <c r="W2" i="58"/>
  <c r="V2" i="58"/>
  <c r="AB167" i="37"/>
  <c r="AA167" i="37"/>
  <c r="Z167" i="37"/>
  <c r="Y167" i="37"/>
  <c r="X167" i="37"/>
  <c r="W167" i="37"/>
  <c r="V167" i="37"/>
  <c r="AB166" i="37"/>
  <c r="AA166" i="37"/>
  <c r="Z166" i="37"/>
  <c r="Y166" i="37"/>
  <c r="X166" i="37"/>
  <c r="W166" i="37"/>
  <c r="V166" i="37"/>
  <c r="AB165" i="37"/>
  <c r="AA165" i="37"/>
  <c r="Z165" i="37"/>
  <c r="Y165" i="37"/>
  <c r="X165" i="37"/>
  <c r="W165" i="37"/>
  <c r="V165" i="37"/>
  <c r="AB164" i="37"/>
  <c r="AA164" i="37"/>
  <c r="Z164" i="37"/>
  <c r="Y164" i="37"/>
  <c r="X164" i="37"/>
  <c r="W164" i="37"/>
  <c r="V164" i="37"/>
  <c r="AB163" i="37"/>
  <c r="AA163" i="37"/>
  <c r="Z163" i="37"/>
  <c r="Y163" i="37"/>
  <c r="X163" i="37"/>
  <c r="W163" i="37"/>
  <c r="V163" i="37"/>
  <c r="AB162" i="37"/>
  <c r="AA162" i="37"/>
  <c r="Z162" i="37"/>
  <c r="Y162" i="37"/>
  <c r="X162" i="37"/>
  <c r="W162" i="37"/>
  <c r="V162" i="37"/>
  <c r="AB161" i="37"/>
  <c r="AA161" i="37"/>
  <c r="Z161" i="37"/>
  <c r="Y161" i="37"/>
  <c r="X161" i="37"/>
  <c r="W161" i="37"/>
  <c r="V161" i="37"/>
  <c r="AB160" i="37"/>
  <c r="AA160" i="37"/>
  <c r="Z160" i="37"/>
  <c r="Y160" i="37"/>
  <c r="X160" i="37"/>
  <c r="W160" i="37"/>
  <c r="V160" i="37"/>
  <c r="AB159" i="37"/>
  <c r="AA159" i="37"/>
  <c r="Z159" i="37"/>
  <c r="Y159" i="37"/>
  <c r="X159" i="37"/>
  <c r="W159" i="37"/>
  <c r="V159" i="37"/>
  <c r="AB158" i="37"/>
  <c r="AA158" i="37"/>
  <c r="Z158" i="37"/>
  <c r="Y158" i="37"/>
  <c r="X158" i="37"/>
  <c r="W158" i="37"/>
  <c r="V158" i="37"/>
  <c r="AB157" i="37"/>
  <c r="AA157" i="37"/>
  <c r="Z157" i="37"/>
  <c r="Y157" i="37"/>
  <c r="X157" i="37"/>
  <c r="W157" i="37"/>
  <c r="V157" i="37"/>
  <c r="AB156" i="37"/>
  <c r="AA156" i="37"/>
  <c r="Z156" i="37"/>
  <c r="Y156" i="37"/>
  <c r="X156" i="37"/>
  <c r="W156" i="37"/>
  <c r="V156" i="37"/>
  <c r="AB155" i="37"/>
  <c r="AA155" i="37"/>
  <c r="Z155" i="37"/>
  <c r="Y155" i="37"/>
  <c r="X155" i="37"/>
  <c r="W155" i="37"/>
  <c r="V155" i="37"/>
  <c r="AB154" i="37"/>
  <c r="AA154" i="37"/>
  <c r="Z154" i="37"/>
  <c r="Y154" i="37"/>
  <c r="X154" i="37"/>
  <c r="W154" i="37"/>
  <c r="V154" i="37"/>
  <c r="AB153" i="37"/>
  <c r="AA153" i="37"/>
  <c r="Z153" i="37"/>
  <c r="Y153" i="37"/>
  <c r="X153" i="37"/>
  <c r="W153" i="37"/>
  <c r="V153" i="37"/>
  <c r="AB152" i="37"/>
  <c r="AA152" i="37"/>
  <c r="Z152" i="37"/>
  <c r="Y152" i="37"/>
  <c r="X152" i="37"/>
  <c r="W152" i="37"/>
  <c r="V152" i="37"/>
  <c r="AB151" i="37"/>
  <c r="AA151" i="37"/>
  <c r="Z151" i="37"/>
  <c r="Y151" i="37"/>
  <c r="X151" i="37"/>
  <c r="W151" i="37"/>
  <c r="V151" i="37"/>
  <c r="AB150" i="37"/>
  <c r="AA150" i="37"/>
  <c r="Z150" i="37"/>
  <c r="Y150" i="37"/>
  <c r="X150" i="37"/>
  <c r="W150" i="37"/>
  <c r="V150" i="37"/>
  <c r="AB149" i="37"/>
  <c r="AA149" i="37"/>
  <c r="Z149" i="37"/>
  <c r="Y149" i="37"/>
  <c r="X149" i="37"/>
  <c r="W149" i="37"/>
  <c r="V149" i="37"/>
  <c r="AB148" i="37"/>
  <c r="AA148" i="37"/>
  <c r="Z148" i="37"/>
  <c r="Y148" i="37"/>
  <c r="X148" i="37"/>
  <c r="W148" i="37"/>
  <c r="V148" i="37"/>
  <c r="AB147" i="37"/>
  <c r="AA147" i="37"/>
  <c r="Z147" i="37"/>
  <c r="Y147" i="37"/>
  <c r="X147" i="37"/>
  <c r="W147" i="37"/>
  <c r="V147" i="37"/>
  <c r="AB146" i="37"/>
  <c r="AA146" i="37"/>
  <c r="Z146" i="37"/>
  <c r="Y146" i="37"/>
  <c r="X146" i="37"/>
  <c r="W146" i="37"/>
  <c r="V146" i="37"/>
  <c r="AB145" i="37"/>
  <c r="AA145" i="37"/>
  <c r="Z145" i="37"/>
  <c r="Y145" i="37"/>
  <c r="X145" i="37"/>
  <c r="W145" i="37"/>
  <c r="V145" i="37"/>
  <c r="AB144" i="37"/>
  <c r="AA144" i="37"/>
  <c r="Z144" i="37"/>
  <c r="Y144" i="37"/>
  <c r="X144" i="37"/>
  <c r="W144" i="37"/>
  <c r="V144" i="37"/>
  <c r="AB143" i="37"/>
  <c r="AA143" i="37"/>
  <c r="Z143" i="37"/>
  <c r="Y143" i="37"/>
  <c r="X143" i="37"/>
  <c r="W143" i="37"/>
  <c r="V143" i="37"/>
  <c r="AB142" i="37"/>
  <c r="AA142" i="37"/>
  <c r="Z142" i="37"/>
  <c r="Y142" i="37"/>
  <c r="X142" i="37"/>
  <c r="W142" i="37"/>
  <c r="V142" i="37"/>
  <c r="AB141" i="37"/>
  <c r="AA141" i="37"/>
  <c r="Z141" i="37"/>
  <c r="Y141" i="37"/>
  <c r="X141" i="37"/>
  <c r="W141" i="37"/>
  <c r="V141" i="37"/>
  <c r="AB140" i="37"/>
  <c r="AA140" i="37"/>
  <c r="Z140" i="37"/>
  <c r="Y140" i="37"/>
  <c r="X140" i="37"/>
  <c r="W140" i="37"/>
  <c r="V140" i="37"/>
  <c r="AB139" i="37"/>
  <c r="AA139" i="37"/>
  <c r="Z139" i="37"/>
  <c r="Y139" i="37"/>
  <c r="X139" i="37"/>
  <c r="W139" i="37"/>
  <c r="V139" i="37"/>
  <c r="AB138" i="37"/>
  <c r="AA138" i="37"/>
  <c r="Z138" i="37"/>
  <c r="Y138" i="37"/>
  <c r="X138" i="37"/>
  <c r="W138" i="37"/>
  <c r="V138" i="37"/>
  <c r="AB137" i="37"/>
  <c r="AA137" i="37"/>
  <c r="Z137" i="37"/>
  <c r="Y137" i="37"/>
  <c r="X137" i="37"/>
  <c r="W137" i="37"/>
  <c r="V137" i="37"/>
  <c r="AB136" i="37"/>
  <c r="AA136" i="37"/>
  <c r="Z136" i="37"/>
  <c r="Y136" i="37"/>
  <c r="X136" i="37"/>
  <c r="W136" i="37"/>
  <c r="V136" i="37"/>
  <c r="AB135" i="37"/>
  <c r="AA135" i="37"/>
  <c r="Z135" i="37"/>
  <c r="Y135" i="37"/>
  <c r="X135" i="37"/>
  <c r="W135" i="37"/>
  <c r="V135" i="37"/>
  <c r="AB134" i="37"/>
  <c r="AA134" i="37"/>
  <c r="Z134" i="37"/>
  <c r="Y134" i="37"/>
  <c r="X134" i="37"/>
  <c r="W134" i="37"/>
  <c r="V134" i="37"/>
  <c r="AB133" i="37"/>
  <c r="AA133" i="37"/>
  <c r="Z133" i="37"/>
  <c r="Y133" i="37"/>
  <c r="X133" i="37"/>
  <c r="W133" i="37"/>
  <c r="V133" i="37"/>
  <c r="AB132" i="37"/>
  <c r="AA132" i="37"/>
  <c r="Z132" i="37"/>
  <c r="Y132" i="37"/>
  <c r="X132" i="37"/>
  <c r="W132" i="37"/>
  <c r="V132" i="37"/>
  <c r="AB131" i="37"/>
  <c r="AA131" i="37"/>
  <c r="Z131" i="37"/>
  <c r="Y131" i="37"/>
  <c r="X131" i="37"/>
  <c r="W131" i="37"/>
  <c r="V131" i="37"/>
  <c r="AB130" i="37"/>
  <c r="AA130" i="37"/>
  <c r="Z130" i="37"/>
  <c r="Y130" i="37"/>
  <c r="X130" i="37"/>
  <c r="W130" i="37"/>
  <c r="V130" i="37"/>
  <c r="AB129" i="37"/>
  <c r="AA129" i="37"/>
  <c r="Z129" i="37"/>
  <c r="Y129" i="37"/>
  <c r="X129" i="37"/>
  <c r="W129" i="37"/>
  <c r="V129" i="37"/>
  <c r="AB128" i="37"/>
  <c r="AA128" i="37"/>
  <c r="Z128" i="37"/>
  <c r="Y128" i="37"/>
  <c r="X128" i="37"/>
  <c r="W128" i="37"/>
  <c r="V128" i="37"/>
  <c r="AB127" i="37"/>
  <c r="AA127" i="37"/>
  <c r="Z127" i="37"/>
  <c r="Y127" i="37"/>
  <c r="X127" i="37"/>
  <c r="W127" i="37"/>
  <c r="V127" i="37"/>
  <c r="AB126" i="37"/>
  <c r="AA126" i="37"/>
  <c r="Z126" i="37"/>
  <c r="Y126" i="37"/>
  <c r="X126" i="37"/>
  <c r="W126" i="37"/>
  <c r="V126" i="37"/>
  <c r="AB125" i="37"/>
  <c r="AA125" i="37"/>
  <c r="Z125" i="37"/>
  <c r="Y125" i="37"/>
  <c r="X125" i="37"/>
  <c r="W125" i="37"/>
  <c r="V125" i="37"/>
  <c r="AB124" i="37"/>
  <c r="AA124" i="37"/>
  <c r="Z124" i="37"/>
  <c r="Y124" i="37"/>
  <c r="X124" i="37"/>
  <c r="W124" i="37"/>
  <c r="V124" i="37"/>
  <c r="AB123" i="37"/>
  <c r="AA123" i="37"/>
  <c r="Z123" i="37"/>
  <c r="Y123" i="37"/>
  <c r="X123" i="37"/>
  <c r="W123" i="37"/>
  <c r="V123" i="37"/>
  <c r="AB122" i="37"/>
  <c r="AA122" i="37"/>
  <c r="Z122" i="37"/>
  <c r="Y122" i="37"/>
  <c r="X122" i="37"/>
  <c r="W122" i="37"/>
  <c r="V122" i="37"/>
  <c r="AB121" i="37"/>
  <c r="AA121" i="37"/>
  <c r="Z121" i="37"/>
  <c r="Y121" i="37"/>
  <c r="X121" i="37"/>
  <c r="W121" i="37"/>
  <c r="V121" i="37"/>
  <c r="AB120" i="37"/>
  <c r="AA120" i="37"/>
  <c r="Z120" i="37"/>
  <c r="Y120" i="37"/>
  <c r="X120" i="37"/>
  <c r="W120" i="37"/>
  <c r="V120" i="37"/>
  <c r="AB119" i="37"/>
  <c r="AA119" i="37"/>
  <c r="Z119" i="37"/>
  <c r="Y119" i="37"/>
  <c r="X119" i="37"/>
  <c r="W119" i="37"/>
  <c r="V119" i="37"/>
  <c r="AB118" i="37"/>
  <c r="AA118" i="37"/>
  <c r="Z118" i="37"/>
  <c r="Y118" i="37"/>
  <c r="X118" i="37"/>
  <c r="W118" i="37"/>
  <c r="V118" i="37"/>
  <c r="AB117" i="37"/>
  <c r="AA117" i="37"/>
  <c r="Z117" i="37"/>
  <c r="Y117" i="37"/>
  <c r="X117" i="37"/>
  <c r="W117" i="37"/>
  <c r="V117" i="37"/>
  <c r="AB116" i="37"/>
  <c r="AA116" i="37"/>
  <c r="Z116" i="37"/>
  <c r="Y116" i="37"/>
  <c r="X116" i="37"/>
  <c r="W116" i="37"/>
  <c r="V116" i="37"/>
  <c r="AB115" i="37"/>
  <c r="AA115" i="37"/>
  <c r="Z115" i="37"/>
  <c r="Y115" i="37"/>
  <c r="X115" i="37"/>
  <c r="W115" i="37"/>
  <c r="V115" i="37"/>
  <c r="AB114" i="37"/>
  <c r="AA114" i="37"/>
  <c r="Z114" i="37"/>
  <c r="Y114" i="37"/>
  <c r="X114" i="37"/>
  <c r="W114" i="37"/>
  <c r="V114" i="37"/>
  <c r="AB113" i="37"/>
  <c r="AA113" i="37"/>
  <c r="Z113" i="37"/>
  <c r="Y113" i="37"/>
  <c r="X113" i="37"/>
  <c r="W113" i="37"/>
  <c r="V113" i="37"/>
  <c r="AB112" i="37"/>
  <c r="AA112" i="37"/>
  <c r="Z112" i="37"/>
  <c r="Y112" i="37"/>
  <c r="X112" i="37"/>
  <c r="W112" i="37"/>
  <c r="V112" i="37"/>
  <c r="AB111" i="37"/>
  <c r="AA111" i="37"/>
  <c r="Z111" i="37"/>
  <c r="Y111" i="37"/>
  <c r="X111" i="37"/>
  <c r="W111" i="37"/>
  <c r="V111" i="37"/>
  <c r="AB110" i="37"/>
  <c r="AA110" i="37"/>
  <c r="Z110" i="37"/>
  <c r="Y110" i="37"/>
  <c r="X110" i="37"/>
  <c r="W110" i="37"/>
  <c r="V110" i="37"/>
  <c r="AB109" i="37"/>
  <c r="AA109" i="37"/>
  <c r="Z109" i="37"/>
  <c r="Y109" i="37"/>
  <c r="X109" i="37"/>
  <c r="W109" i="37"/>
  <c r="V109" i="37"/>
  <c r="AB108" i="37"/>
  <c r="AA108" i="37"/>
  <c r="Z108" i="37"/>
  <c r="Y108" i="37"/>
  <c r="X108" i="37"/>
  <c r="W108" i="37"/>
  <c r="V108" i="37"/>
  <c r="AB107" i="37"/>
  <c r="AA107" i="37"/>
  <c r="Z107" i="37"/>
  <c r="Y107" i="37"/>
  <c r="X107" i="37"/>
  <c r="W107" i="37"/>
  <c r="V107" i="37"/>
  <c r="AB106" i="37"/>
  <c r="AA106" i="37"/>
  <c r="Z106" i="37"/>
  <c r="Y106" i="37"/>
  <c r="X106" i="37"/>
  <c r="W106" i="37"/>
  <c r="V106" i="37"/>
  <c r="AB105" i="37"/>
  <c r="AA105" i="37"/>
  <c r="Z105" i="37"/>
  <c r="Y105" i="37"/>
  <c r="X105" i="37"/>
  <c r="W105" i="37"/>
  <c r="V105" i="37"/>
  <c r="AB104" i="37"/>
  <c r="AA104" i="37"/>
  <c r="Z104" i="37"/>
  <c r="Y104" i="37"/>
  <c r="X104" i="37"/>
  <c r="W104" i="37"/>
  <c r="V104" i="37"/>
  <c r="AB103" i="37"/>
  <c r="AA103" i="37"/>
  <c r="Z103" i="37"/>
  <c r="Y103" i="37"/>
  <c r="X103" i="37"/>
  <c r="W103" i="37"/>
  <c r="V103" i="37"/>
  <c r="AB102" i="37"/>
  <c r="AA102" i="37"/>
  <c r="Z102" i="37"/>
  <c r="Y102" i="37"/>
  <c r="X102" i="37"/>
  <c r="W102" i="37"/>
  <c r="V102" i="37"/>
  <c r="AB101" i="37"/>
  <c r="AA101" i="37"/>
  <c r="Z101" i="37"/>
  <c r="Y101" i="37"/>
  <c r="X101" i="37"/>
  <c r="W101" i="37"/>
  <c r="V101" i="37"/>
  <c r="AB100" i="37"/>
  <c r="AA100" i="37"/>
  <c r="Z100" i="37"/>
  <c r="Y100" i="37"/>
  <c r="X100" i="37"/>
  <c r="W100" i="37"/>
  <c r="V100" i="37"/>
  <c r="AB99" i="37"/>
  <c r="AA99" i="37"/>
  <c r="Z99" i="37"/>
  <c r="Y99" i="37"/>
  <c r="X99" i="37"/>
  <c r="W99" i="37"/>
  <c r="V99" i="37"/>
  <c r="AB98" i="37"/>
  <c r="AA98" i="37"/>
  <c r="Z98" i="37"/>
  <c r="Y98" i="37"/>
  <c r="X98" i="37"/>
  <c r="W98" i="37"/>
  <c r="V98" i="37"/>
  <c r="AB97" i="37"/>
  <c r="AA97" i="37"/>
  <c r="Z97" i="37"/>
  <c r="Y97" i="37"/>
  <c r="X97" i="37"/>
  <c r="W97" i="37"/>
  <c r="V97" i="37"/>
  <c r="AB96" i="37"/>
  <c r="AA96" i="37"/>
  <c r="Z96" i="37"/>
  <c r="Y96" i="37"/>
  <c r="X96" i="37"/>
  <c r="W96" i="37"/>
  <c r="V96" i="37"/>
  <c r="AB95" i="37"/>
  <c r="AA95" i="37"/>
  <c r="Z95" i="37"/>
  <c r="Y95" i="37"/>
  <c r="X95" i="37"/>
  <c r="W95" i="37"/>
  <c r="V95" i="37"/>
  <c r="AB94" i="37"/>
  <c r="AA94" i="37"/>
  <c r="Z94" i="37"/>
  <c r="Y94" i="37"/>
  <c r="X94" i="37"/>
  <c r="W94" i="37"/>
  <c r="V94" i="37"/>
  <c r="AB93" i="37"/>
  <c r="AA93" i="37"/>
  <c r="Z93" i="37"/>
  <c r="Y93" i="37"/>
  <c r="X93" i="37"/>
  <c r="W93" i="37"/>
  <c r="V93" i="37"/>
  <c r="AB92" i="37"/>
  <c r="AA92" i="37"/>
  <c r="Z92" i="37"/>
  <c r="Y92" i="37"/>
  <c r="X92" i="37"/>
  <c r="W92" i="37"/>
  <c r="V92" i="37"/>
  <c r="AB91" i="37"/>
  <c r="AA91" i="37"/>
  <c r="Z91" i="37"/>
  <c r="Y91" i="37"/>
  <c r="X91" i="37"/>
  <c r="W91" i="37"/>
  <c r="V91" i="37"/>
  <c r="AB90" i="37"/>
  <c r="AA90" i="37"/>
  <c r="Z90" i="37"/>
  <c r="Y90" i="37"/>
  <c r="X90" i="37"/>
  <c r="W90" i="37"/>
  <c r="V90" i="37"/>
  <c r="AB89" i="37"/>
  <c r="AA89" i="37"/>
  <c r="Z89" i="37"/>
  <c r="Y89" i="37"/>
  <c r="X89" i="37"/>
  <c r="W89" i="37"/>
  <c r="V89" i="37"/>
  <c r="AB88" i="37"/>
  <c r="AA88" i="37"/>
  <c r="Z88" i="37"/>
  <c r="Y88" i="37"/>
  <c r="X88" i="37"/>
  <c r="W88" i="37"/>
  <c r="V88" i="37"/>
  <c r="AB87" i="37"/>
  <c r="AA87" i="37"/>
  <c r="Z87" i="37"/>
  <c r="Y87" i="37"/>
  <c r="X87" i="37"/>
  <c r="W87" i="37"/>
  <c r="V87" i="37"/>
  <c r="AB86" i="37"/>
  <c r="AA86" i="37"/>
  <c r="Z86" i="37"/>
  <c r="Y86" i="37"/>
  <c r="X86" i="37"/>
  <c r="W86" i="37"/>
  <c r="V86" i="37"/>
  <c r="AB85" i="37"/>
  <c r="AA85" i="37"/>
  <c r="Z85" i="37"/>
  <c r="Y85" i="37"/>
  <c r="X85" i="37"/>
  <c r="W85" i="37"/>
  <c r="V85" i="37"/>
  <c r="AB84" i="37"/>
  <c r="AA84" i="37"/>
  <c r="Z84" i="37"/>
  <c r="Y84" i="37"/>
  <c r="X84" i="37"/>
  <c r="W84" i="37"/>
  <c r="V84" i="37"/>
  <c r="AB83" i="37"/>
  <c r="AA83" i="37"/>
  <c r="Z83" i="37"/>
  <c r="Y83" i="37"/>
  <c r="X83" i="37"/>
  <c r="W83" i="37"/>
  <c r="V83" i="37"/>
  <c r="AB82" i="37"/>
  <c r="AA82" i="37"/>
  <c r="Z82" i="37"/>
  <c r="Y82" i="37"/>
  <c r="X82" i="37"/>
  <c r="W82" i="37"/>
  <c r="V82" i="37"/>
  <c r="AB81" i="37"/>
  <c r="AA81" i="37"/>
  <c r="Z81" i="37"/>
  <c r="Y81" i="37"/>
  <c r="X81" i="37"/>
  <c r="W81" i="37"/>
  <c r="V81" i="37"/>
  <c r="AB80" i="37"/>
  <c r="AA80" i="37"/>
  <c r="Z80" i="37"/>
  <c r="Y80" i="37"/>
  <c r="X80" i="37"/>
  <c r="W80" i="37"/>
  <c r="V80" i="37"/>
  <c r="AB79" i="37"/>
  <c r="AA79" i="37"/>
  <c r="Z79" i="37"/>
  <c r="Y79" i="37"/>
  <c r="X79" i="37"/>
  <c r="W79" i="37"/>
  <c r="V79" i="37"/>
  <c r="AB78" i="37"/>
  <c r="AA78" i="37"/>
  <c r="Z78" i="37"/>
  <c r="Y78" i="37"/>
  <c r="X78" i="37"/>
  <c r="W78" i="37"/>
  <c r="V78" i="37"/>
  <c r="AB77" i="37"/>
  <c r="AA77" i="37"/>
  <c r="Z77" i="37"/>
  <c r="Y77" i="37"/>
  <c r="X77" i="37"/>
  <c r="W77" i="37"/>
  <c r="V77" i="37"/>
  <c r="AB76" i="37"/>
  <c r="AA76" i="37"/>
  <c r="Z76" i="37"/>
  <c r="Y76" i="37"/>
  <c r="X76" i="37"/>
  <c r="W76" i="37"/>
  <c r="V76" i="37"/>
  <c r="AB75" i="37"/>
  <c r="AA75" i="37"/>
  <c r="Z75" i="37"/>
  <c r="Y75" i="37"/>
  <c r="X75" i="37"/>
  <c r="W75" i="37"/>
  <c r="V75" i="37"/>
  <c r="AB74" i="37"/>
  <c r="AA74" i="37"/>
  <c r="Z74" i="37"/>
  <c r="Y74" i="37"/>
  <c r="X74" i="37"/>
  <c r="W74" i="37"/>
  <c r="V74" i="37"/>
  <c r="AB73" i="37"/>
  <c r="AA73" i="37"/>
  <c r="Z73" i="37"/>
  <c r="Y73" i="37"/>
  <c r="X73" i="37"/>
  <c r="W73" i="37"/>
  <c r="V73" i="37"/>
  <c r="AB72" i="37"/>
  <c r="AA72" i="37"/>
  <c r="Z72" i="37"/>
  <c r="Y72" i="37"/>
  <c r="X72" i="37"/>
  <c r="W72" i="37"/>
  <c r="V72" i="37"/>
  <c r="AB71" i="37"/>
  <c r="AA71" i="37"/>
  <c r="Z71" i="37"/>
  <c r="Y71" i="37"/>
  <c r="X71" i="37"/>
  <c r="W71" i="37"/>
  <c r="V71" i="37"/>
  <c r="AB70" i="37"/>
  <c r="AA70" i="37"/>
  <c r="Z70" i="37"/>
  <c r="Y70" i="37"/>
  <c r="X70" i="37"/>
  <c r="W70" i="37"/>
  <c r="V70" i="37"/>
  <c r="AB69" i="37"/>
  <c r="AA69" i="37"/>
  <c r="Z69" i="37"/>
  <c r="Y69" i="37"/>
  <c r="X69" i="37"/>
  <c r="W69" i="37"/>
  <c r="V69" i="37"/>
  <c r="AB68" i="37"/>
  <c r="AA68" i="37"/>
  <c r="Z68" i="37"/>
  <c r="Y68" i="37"/>
  <c r="X68" i="37"/>
  <c r="W68" i="37"/>
  <c r="V68" i="37"/>
  <c r="AB67" i="37"/>
  <c r="AA67" i="37"/>
  <c r="Z67" i="37"/>
  <c r="Y67" i="37"/>
  <c r="X67" i="37"/>
  <c r="W67" i="37"/>
  <c r="V67" i="37"/>
  <c r="AB66" i="37"/>
  <c r="AA66" i="37"/>
  <c r="Z66" i="37"/>
  <c r="Y66" i="37"/>
  <c r="X66" i="37"/>
  <c r="W66" i="37"/>
  <c r="V66" i="37"/>
  <c r="AB65" i="37"/>
  <c r="AA65" i="37"/>
  <c r="Z65" i="37"/>
  <c r="Y65" i="37"/>
  <c r="X65" i="37"/>
  <c r="W65" i="37"/>
  <c r="V65" i="37"/>
  <c r="AB64" i="37"/>
  <c r="AA64" i="37"/>
  <c r="Z64" i="37"/>
  <c r="Y64" i="37"/>
  <c r="X64" i="37"/>
  <c r="W64" i="37"/>
  <c r="V64" i="37"/>
  <c r="AB63" i="37"/>
  <c r="AA63" i="37"/>
  <c r="Z63" i="37"/>
  <c r="Y63" i="37"/>
  <c r="X63" i="37"/>
  <c r="W63" i="37"/>
  <c r="V63" i="37"/>
  <c r="AB62" i="37"/>
  <c r="AA62" i="37"/>
  <c r="Z62" i="37"/>
  <c r="Y62" i="37"/>
  <c r="X62" i="37"/>
  <c r="W62" i="37"/>
  <c r="V62" i="37"/>
  <c r="AB61" i="37"/>
  <c r="AA61" i="37"/>
  <c r="Z61" i="37"/>
  <c r="Y61" i="37"/>
  <c r="X61" i="37"/>
  <c r="W61" i="37"/>
  <c r="V61" i="37"/>
  <c r="AB60" i="37"/>
  <c r="AA60" i="37"/>
  <c r="Z60" i="37"/>
  <c r="Y60" i="37"/>
  <c r="X60" i="37"/>
  <c r="W60" i="37"/>
  <c r="V60" i="37"/>
  <c r="AB59" i="37"/>
  <c r="AA59" i="37"/>
  <c r="Z59" i="37"/>
  <c r="Y59" i="37"/>
  <c r="X59" i="37"/>
  <c r="W59" i="37"/>
  <c r="V59" i="37"/>
  <c r="AB58" i="37"/>
  <c r="AA58" i="37"/>
  <c r="Z58" i="37"/>
  <c r="Y58" i="37"/>
  <c r="X58" i="37"/>
  <c r="W58" i="37"/>
  <c r="V58" i="37"/>
  <c r="AB57" i="37"/>
  <c r="AA57" i="37"/>
  <c r="Z57" i="37"/>
  <c r="Y57" i="37"/>
  <c r="X57" i="37"/>
  <c r="W57" i="37"/>
  <c r="V57" i="37"/>
  <c r="AB56" i="37"/>
  <c r="AA56" i="37"/>
  <c r="Z56" i="37"/>
  <c r="Y56" i="37"/>
  <c r="X56" i="37"/>
  <c r="W56" i="37"/>
  <c r="V56" i="37"/>
  <c r="AB55" i="37"/>
  <c r="AA55" i="37"/>
  <c r="Z55" i="37"/>
  <c r="Y55" i="37"/>
  <c r="X55" i="37"/>
  <c r="W55" i="37"/>
  <c r="V55" i="37"/>
  <c r="AB54" i="37"/>
  <c r="AA54" i="37"/>
  <c r="Z54" i="37"/>
  <c r="Y54" i="37"/>
  <c r="X54" i="37"/>
  <c r="W54" i="37"/>
  <c r="V54" i="37"/>
  <c r="AB53" i="37"/>
  <c r="AA53" i="37"/>
  <c r="Z53" i="37"/>
  <c r="Y53" i="37"/>
  <c r="X53" i="37"/>
  <c r="W53" i="37"/>
  <c r="V53" i="37"/>
  <c r="AB52" i="37"/>
  <c r="AA52" i="37"/>
  <c r="Z52" i="37"/>
  <c r="Y52" i="37"/>
  <c r="X52" i="37"/>
  <c r="W52" i="37"/>
  <c r="V52" i="37"/>
  <c r="AB51" i="37"/>
  <c r="AA51" i="37"/>
  <c r="Z51" i="37"/>
  <c r="Y51" i="37"/>
  <c r="X51" i="37"/>
  <c r="W51" i="37"/>
  <c r="V51" i="37"/>
  <c r="AB50" i="37"/>
  <c r="AA50" i="37"/>
  <c r="Z50" i="37"/>
  <c r="Y50" i="37"/>
  <c r="X50" i="37"/>
  <c r="W50" i="37"/>
  <c r="V50" i="37"/>
  <c r="AB49" i="37"/>
  <c r="AA49" i="37"/>
  <c r="Z49" i="37"/>
  <c r="Y49" i="37"/>
  <c r="X49" i="37"/>
  <c r="W49" i="37"/>
  <c r="V49" i="37"/>
  <c r="AB48" i="37"/>
  <c r="AA48" i="37"/>
  <c r="Z48" i="37"/>
  <c r="Y48" i="37"/>
  <c r="X48" i="37"/>
  <c r="W48" i="37"/>
  <c r="V48" i="37"/>
  <c r="AB47" i="37"/>
  <c r="AA47" i="37"/>
  <c r="Z47" i="37"/>
  <c r="Y47" i="37"/>
  <c r="X47" i="37"/>
  <c r="W47" i="37"/>
  <c r="V47" i="37"/>
  <c r="AB46" i="37"/>
  <c r="AA46" i="37"/>
  <c r="Z46" i="37"/>
  <c r="Y46" i="37"/>
  <c r="X46" i="37"/>
  <c r="W46" i="37"/>
  <c r="V46" i="37"/>
  <c r="AB45" i="37"/>
  <c r="AA45" i="37"/>
  <c r="Z45" i="37"/>
  <c r="Y45" i="37"/>
  <c r="X45" i="37"/>
  <c r="W45" i="37"/>
  <c r="V45" i="37"/>
  <c r="AB44" i="37"/>
  <c r="AA44" i="37"/>
  <c r="Z44" i="37"/>
  <c r="Y44" i="37"/>
  <c r="X44" i="37"/>
  <c r="W44" i="37"/>
  <c r="V44" i="37"/>
  <c r="AB43" i="37"/>
  <c r="AA43" i="37"/>
  <c r="Z43" i="37"/>
  <c r="Y43" i="37"/>
  <c r="X43" i="37"/>
  <c r="W43" i="37"/>
  <c r="V43" i="37"/>
  <c r="AB42" i="37"/>
  <c r="AA42" i="37"/>
  <c r="Z42" i="37"/>
  <c r="Y42" i="37"/>
  <c r="X42" i="37"/>
  <c r="W42" i="37"/>
  <c r="V42" i="37"/>
  <c r="AB41" i="37"/>
  <c r="AA41" i="37"/>
  <c r="Z41" i="37"/>
  <c r="Y41" i="37"/>
  <c r="X41" i="37"/>
  <c r="W41" i="37"/>
  <c r="V41" i="37"/>
  <c r="AB40" i="37"/>
  <c r="AA40" i="37"/>
  <c r="Z40" i="37"/>
  <c r="Y40" i="37"/>
  <c r="X40" i="37"/>
  <c r="W40" i="37"/>
  <c r="V40" i="37"/>
  <c r="AB39" i="37"/>
  <c r="AA39" i="37"/>
  <c r="Z39" i="37"/>
  <c r="Y39" i="37"/>
  <c r="X39" i="37"/>
  <c r="W39" i="37"/>
  <c r="V39" i="37"/>
  <c r="AB38" i="37"/>
  <c r="AA38" i="37"/>
  <c r="Z38" i="37"/>
  <c r="Y38" i="37"/>
  <c r="X38" i="37"/>
  <c r="W38" i="37"/>
  <c r="V38" i="37"/>
  <c r="AB37" i="37"/>
  <c r="AA37" i="37"/>
  <c r="Z37" i="37"/>
  <c r="Y37" i="37"/>
  <c r="X37" i="37"/>
  <c r="W37" i="37"/>
  <c r="V37" i="37"/>
  <c r="AB36" i="37"/>
  <c r="AA36" i="37"/>
  <c r="Z36" i="37"/>
  <c r="Y36" i="37"/>
  <c r="X36" i="37"/>
  <c r="W36" i="37"/>
  <c r="V36" i="37"/>
  <c r="AB35" i="37"/>
  <c r="AA35" i="37"/>
  <c r="Z35" i="37"/>
  <c r="Y35" i="37"/>
  <c r="X35" i="37"/>
  <c r="W35" i="37"/>
  <c r="V35" i="37"/>
  <c r="AB34" i="37"/>
  <c r="AA34" i="37"/>
  <c r="Z34" i="37"/>
  <c r="Y34" i="37"/>
  <c r="X34" i="37"/>
  <c r="W34" i="37"/>
  <c r="V34" i="37"/>
  <c r="AB33" i="37"/>
  <c r="AA33" i="37"/>
  <c r="Z33" i="37"/>
  <c r="Y33" i="37"/>
  <c r="X33" i="37"/>
  <c r="W33" i="37"/>
  <c r="V33" i="37"/>
  <c r="AB32" i="37"/>
  <c r="AA32" i="37"/>
  <c r="Z32" i="37"/>
  <c r="Y32" i="37"/>
  <c r="X32" i="37"/>
  <c r="W32" i="37"/>
  <c r="V32" i="37"/>
  <c r="AB31" i="37"/>
  <c r="AA31" i="37"/>
  <c r="Z31" i="37"/>
  <c r="Y31" i="37"/>
  <c r="X31" i="37"/>
  <c r="W31" i="37"/>
  <c r="V31" i="37"/>
  <c r="AB30" i="37"/>
  <c r="AA30" i="37"/>
  <c r="Z30" i="37"/>
  <c r="Y30" i="37"/>
  <c r="X30" i="37"/>
  <c r="W30" i="37"/>
  <c r="V30" i="37"/>
  <c r="AB29" i="37"/>
  <c r="AA29" i="37"/>
  <c r="Z29" i="37"/>
  <c r="Y29" i="37"/>
  <c r="X29" i="37"/>
  <c r="W29" i="37"/>
  <c r="V29" i="37"/>
  <c r="AB28" i="37"/>
  <c r="AA28" i="37"/>
  <c r="Z28" i="37"/>
  <c r="Y28" i="37"/>
  <c r="X28" i="37"/>
  <c r="W28" i="37"/>
  <c r="V28" i="37"/>
  <c r="AB27" i="37"/>
  <c r="AA27" i="37"/>
  <c r="Z27" i="37"/>
  <c r="Y27" i="37"/>
  <c r="X27" i="37"/>
  <c r="W27" i="37"/>
  <c r="V27" i="37"/>
  <c r="AB26" i="37"/>
  <c r="AA26" i="37"/>
  <c r="Z26" i="37"/>
  <c r="Y26" i="37"/>
  <c r="X26" i="37"/>
  <c r="W26" i="37"/>
  <c r="V26" i="37"/>
  <c r="AB25" i="37"/>
  <c r="AA25" i="37"/>
  <c r="Z25" i="37"/>
  <c r="Y25" i="37"/>
  <c r="X25" i="37"/>
  <c r="W25" i="37"/>
  <c r="V25" i="37"/>
  <c r="AB24" i="37"/>
  <c r="AA24" i="37"/>
  <c r="Z24" i="37"/>
  <c r="Y24" i="37"/>
  <c r="X24" i="37"/>
  <c r="W24" i="37"/>
  <c r="V24" i="37"/>
  <c r="AB23" i="37"/>
  <c r="AA23" i="37"/>
  <c r="Z23" i="37"/>
  <c r="Y23" i="37"/>
  <c r="X23" i="37"/>
  <c r="W23" i="37"/>
  <c r="V23" i="37"/>
  <c r="AB22" i="37"/>
  <c r="AA22" i="37"/>
  <c r="Z22" i="37"/>
  <c r="Y22" i="37"/>
  <c r="X22" i="37"/>
  <c r="W22" i="37"/>
  <c r="V22" i="37"/>
  <c r="AB21" i="37"/>
  <c r="AA21" i="37"/>
  <c r="Z21" i="37"/>
  <c r="Y21" i="37"/>
  <c r="X21" i="37"/>
  <c r="W21" i="37"/>
  <c r="V21" i="37"/>
  <c r="AB20" i="37"/>
  <c r="AA20" i="37"/>
  <c r="Z20" i="37"/>
  <c r="Y20" i="37"/>
  <c r="X20" i="37"/>
  <c r="W20" i="37"/>
  <c r="V20" i="37"/>
  <c r="AB19" i="37"/>
  <c r="AA19" i="37"/>
  <c r="Z19" i="37"/>
  <c r="Y19" i="37"/>
  <c r="X19" i="37"/>
  <c r="W19" i="37"/>
  <c r="V19" i="37"/>
  <c r="AB18" i="37"/>
  <c r="AA18" i="37"/>
  <c r="Z18" i="37"/>
  <c r="Y18" i="37"/>
  <c r="X18" i="37"/>
  <c r="W18" i="37"/>
  <c r="V18" i="37"/>
  <c r="AB17" i="37"/>
  <c r="AA17" i="37"/>
  <c r="Z17" i="37"/>
  <c r="Y17" i="37"/>
  <c r="X17" i="37"/>
  <c r="W17" i="37"/>
  <c r="V17" i="37"/>
  <c r="AB16" i="37"/>
  <c r="AA16" i="37"/>
  <c r="Z16" i="37"/>
  <c r="Y16" i="37"/>
  <c r="X16" i="37"/>
  <c r="W16" i="37"/>
  <c r="V16" i="37"/>
  <c r="AB15" i="37"/>
  <c r="AA15" i="37"/>
  <c r="Z15" i="37"/>
  <c r="Y15" i="37"/>
  <c r="X15" i="37"/>
  <c r="W15" i="37"/>
  <c r="V15" i="37"/>
  <c r="AB14" i="37"/>
  <c r="AA14" i="37"/>
  <c r="Z14" i="37"/>
  <c r="Y14" i="37"/>
  <c r="X14" i="37"/>
  <c r="W14" i="37"/>
  <c r="V14" i="37"/>
  <c r="AB13" i="37"/>
  <c r="AA13" i="37"/>
  <c r="Z13" i="37"/>
  <c r="Y13" i="37"/>
  <c r="X13" i="37"/>
  <c r="W13" i="37"/>
  <c r="V13" i="37"/>
  <c r="AB12" i="37"/>
  <c r="AA12" i="37"/>
  <c r="Z12" i="37"/>
  <c r="Y12" i="37"/>
  <c r="X12" i="37"/>
  <c r="W12" i="37"/>
  <c r="V12" i="37"/>
  <c r="AB11" i="37"/>
  <c r="AA11" i="37"/>
  <c r="Z11" i="37"/>
  <c r="Y11" i="37"/>
  <c r="X11" i="37"/>
  <c r="W11" i="37"/>
  <c r="V11" i="37"/>
  <c r="AB10" i="37"/>
  <c r="AA10" i="37"/>
  <c r="Z10" i="37"/>
  <c r="Y10" i="37"/>
  <c r="X10" i="37"/>
  <c r="W10" i="37"/>
  <c r="V10" i="37"/>
  <c r="AB9" i="37"/>
  <c r="AA9" i="37"/>
  <c r="Z9" i="37"/>
  <c r="Y9" i="37"/>
  <c r="X9" i="37"/>
  <c r="W9" i="37"/>
  <c r="V9" i="37"/>
  <c r="AB8" i="37"/>
  <c r="AA8" i="37"/>
  <c r="Z8" i="37"/>
  <c r="Y8" i="37"/>
  <c r="X8" i="37"/>
  <c r="W8" i="37"/>
  <c r="V8" i="37"/>
  <c r="AB7" i="37"/>
  <c r="AA7" i="37"/>
  <c r="Z7" i="37"/>
  <c r="Y7" i="37"/>
  <c r="X7" i="37"/>
  <c r="W7" i="37"/>
  <c r="V7" i="37"/>
  <c r="AB6" i="37"/>
  <c r="AA6" i="37"/>
  <c r="Z6" i="37"/>
  <c r="Y6" i="37"/>
  <c r="X6" i="37"/>
  <c r="W6" i="37"/>
  <c r="V6" i="37"/>
  <c r="AB5" i="37"/>
  <c r="AA5" i="37"/>
  <c r="Z5" i="37"/>
  <c r="Y5" i="37"/>
  <c r="X5" i="37"/>
  <c r="W5" i="37"/>
  <c r="V5" i="37"/>
  <c r="AB4" i="37"/>
  <c r="AA4" i="37"/>
  <c r="Z4" i="37"/>
  <c r="Y4" i="37"/>
  <c r="X4" i="37"/>
  <c r="W4" i="37"/>
  <c r="V4" i="37"/>
  <c r="AB3" i="37"/>
  <c r="AA3" i="37"/>
  <c r="Z3" i="37"/>
  <c r="Y3" i="37"/>
  <c r="X3" i="37"/>
  <c r="W3" i="37"/>
  <c r="V3" i="37"/>
  <c r="AB2" i="37"/>
  <c r="AA2" i="37"/>
  <c r="Z2" i="37"/>
  <c r="Y2" i="37"/>
  <c r="X2" i="37"/>
  <c r="W2" i="37"/>
  <c r="V2" i="37"/>
  <c r="AB365" i="36"/>
  <c r="AA365" i="36"/>
  <c r="Z365" i="36"/>
  <c r="Y365" i="36"/>
  <c r="X365" i="36"/>
  <c r="W365" i="36"/>
  <c r="V365" i="36"/>
  <c r="AB364" i="36"/>
  <c r="AA364" i="36"/>
  <c r="Z364" i="36"/>
  <c r="Y364" i="36"/>
  <c r="X364" i="36"/>
  <c r="W364" i="36"/>
  <c r="V364" i="36"/>
  <c r="AB363" i="36"/>
  <c r="AA363" i="36"/>
  <c r="Z363" i="36"/>
  <c r="Y363" i="36"/>
  <c r="X363" i="36"/>
  <c r="W363" i="36"/>
  <c r="V363" i="36"/>
  <c r="AB362" i="36"/>
  <c r="AA362" i="36"/>
  <c r="Z362" i="36"/>
  <c r="Y362" i="36"/>
  <c r="X362" i="36"/>
  <c r="W362" i="36"/>
  <c r="V362" i="36"/>
  <c r="AB361" i="36"/>
  <c r="AA361" i="36"/>
  <c r="Z361" i="36"/>
  <c r="Y361" i="36"/>
  <c r="X361" i="36"/>
  <c r="W361" i="36"/>
  <c r="V361" i="36"/>
  <c r="AB360" i="36"/>
  <c r="AA360" i="36"/>
  <c r="Z360" i="36"/>
  <c r="Y360" i="36"/>
  <c r="X360" i="36"/>
  <c r="W360" i="36"/>
  <c r="V360" i="36"/>
  <c r="AB359" i="36"/>
  <c r="AA359" i="36"/>
  <c r="Z359" i="36"/>
  <c r="Y359" i="36"/>
  <c r="X359" i="36"/>
  <c r="W359" i="36"/>
  <c r="V359" i="36"/>
  <c r="AB358" i="36"/>
  <c r="AA358" i="36"/>
  <c r="Z358" i="36"/>
  <c r="Y358" i="36"/>
  <c r="X358" i="36"/>
  <c r="W358" i="36"/>
  <c r="V358" i="36"/>
  <c r="AB357" i="36"/>
  <c r="AA357" i="36"/>
  <c r="Z357" i="36"/>
  <c r="Y357" i="36"/>
  <c r="X357" i="36"/>
  <c r="W357" i="36"/>
  <c r="V357" i="36"/>
  <c r="AB356" i="36"/>
  <c r="AA356" i="36"/>
  <c r="Z356" i="36"/>
  <c r="Y356" i="36"/>
  <c r="X356" i="36"/>
  <c r="W356" i="36"/>
  <c r="V356" i="36"/>
  <c r="AB355" i="36"/>
  <c r="AA355" i="36"/>
  <c r="Z355" i="36"/>
  <c r="Y355" i="36"/>
  <c r="X355" i="36"/>
  <c r="W355" i="36"/>
  <c r="V355" i="36"/>
  <c r="AB354" i="36"/>
  <c r="AA354" i="36"/>
  <c r="Z354" i="36"/>
  <c r="Y354" i="36"/>
  <c r="X354" i="36"/>
  <c r="W354" i="36"/>
  <c r="V354" i="36"/>
  <c r="AB353" i="36"/>
  <c r="AA353" i="36"/>
  <c r="Z353" i="36"/>
  <c r="Y353" i="36"/>
  <c r="X353" i="36"/>
  <c r="W353" i="36"/>
  <c r="V353" i="36"/>
  <c r="AB352" i="36"/>
  <c r="AA352" i="36"/>
  <c r="Z352" i="36"/>
  <c r="Y352" i="36"/>
  <c r="X352" i="36"/>
  <c r="W352" i="36"/>
  <c r="V352" i="36"/>
  <c r="AB351" i="36"/>
  <c r="AA351" i="36"/>
  <c r="Z351" i="36"/>
  <c r="Y351" i="36"/>
  <c r="X351" i="36"/>
  <c r="W351" i="36"/>
  <c r="V351" i="36"/>
  <c r="AB350" i="36"/>
  <c r="AA350" i="36"/>
  <c r="Z350" i="36"/>
  <c r="Y350" i="36"/>
  <c r="X350" i="36"/>
  <c r="W350" i="36"/>
  <c r="V350" i="36"/>
  <c r="AB349" i="36"/>
  <c r="AA349" i="36"/>
  <c r="Z349" i="36"/>
  <c r="Y349" i="36"/>
  <c r="X349" i="36"/>
  <c r="W349" i="36"/>
  <c r="V349" i="36"/>
  <c r="AB348" i="36"/>
  <c r="AA348" i="36"/>
  <c r="Z348" i="36"/>
  <c r="Y348" i="36"/>
  <c r="X348" i="36"/>
  <c r="W348" i="36"/>
  <c r="V348" i="36"/>
  <c r="AB347" i="36"/>
  <c r="AA347" i="36"/>
  <c r="Z347" i="36"/>
  <c r="Y347" i="36"/>
  <c r="X347" i="36"/>
  <c r="W347" i="36"/>
  <c r="V347" i="36"/>
  <c r="AB346" i="36"/>
  <c r="AA346" i="36"/>
  <c r="Z346" i="36"/>
  <c r="Y346" i="36"/>
  <c r="X346" i="36"/>
  <c r="W346" i="36"/>
  <c r="V346" i="36"/>
  <c r="AB345" i="36"/>
  <c r="AA345" i="36"/>
  <c r="Z345" i="36"/>
  <c r="Y345" i="36"/>
  <c r="X345" i="36"/>
  <c r="W345" i="36"/>
  <c r="V345" i="36"/>
  <c r="AB344" i="36"/>
  <c r="AA344" i="36"/>
  <c r="Z344" i="36"/>
  <c r="Y344" i="36"/>
  <c r="X344" i="36"/>
  <c r="W344" i="36"/>
  <c r="V344" i="36"/>
  <c r="AB343" i="36"/>
  <c r="AA343" i="36"/>
  <c r="Z343" i="36"/>
  <c r="Y343" i="36"/>
  <c r="X343" i="36"/>
  <c r="W343" i="36"/>
  <c r="V343" i="36"/>
  <c r="AB342" i="36"/>
  <c r="AA342" i="36"/>
  <c r="Z342" i="36"/>
  <c r="Y342" i="36"/>
  <c r="X342" i="36"/>
  <c r="W342" i="36"/>
  <c r="V342" i="36"/>
  <c r="AB341" i="36"/>
  <c r="AA341" i="36"/>
  <c r="Z341" i="36"/>
  <c r="Y341" i="36"/>
  <c r="X341" i="36"/>
  <c r="W341" i="36"/>
  <c r="V341" i="36"/>
  <c r="AB340" i="36"/>
  <c r="AA340" i="36"/>
  <c r="Z340" i="36"/>
  <c r="Y340" i="36"/>
  <c r="X340" i="36"/>
  <c r="W340" i="36"/>
  <c r="V340" i="36"/>
  <c r="AB339" i="36"/>
  <c r="AA339" i="36"/>
  <c r="Z339" i="36"/>
  <c r="Y339" i="36"/>
  <c r="X339" i="36"/>
  <c r="W339" i="36"/>
  <c r="V339" i="36"/>
  <c r="AB338" i="36"/>
  <c r="AA338" i="36"/>
  <c r="Z338" i="36"/>
  <c r="Y338" i="36"/>
  <c r="X338" i="36"/>
  <c r="W338" i="36"/>
  <c r="V338" i="36"/>
  <c r="AB337" i="36"/>
  <c r="AA337" i="36"/>
  <c r="Z337" i="36"/>
  <c r="Y337" i="36"/>
  <c r="X337" i="36"/>
  <c r="W337" i="36"/>
  <c r="V337" i="36"/>
  <c r="AB336" i="36"/>
  <c r="AA336" i="36"/>
  <c r="Z336" i="36"/>
  <c r="Y336" i="36"/>
  <c r="X336" i="36"/>
  <c r="W336" i="36"/>
  <c r="V336" i="36"/>
  <c r="AB335" i="36"/>
  <c r="AA335" i="36"/>
  <c r="Z335" i="36"/>
  <c r="Y335" i="36"/>
  <c r="X335" i="36"/>
  <c r="W335" i="36"/>
  <c r="V335" i="36"/>
  <c r="AB334" i="36"/>
  <c r="AA334" i="36"/>
  <c r="Z334" i="36"/>
  <c r="Y334" i="36"/>
  <c r="X334" i="36"/>
  <c r="W334" i="36"/>
  <c r="V334" i="36"/>
  <c r="AB333" i="36"/>
  <c r="AA333" i="36"/>
  <c r="Z333" i="36"/>
  <c r="Y333" i="36"/>
  <c r="X333" i="36"/>
  <c r="W333" i="36"/>
  <c r="V333" i="36"/>
  <c r="AB332" i="36"/>
  <c r="AA332" i="36"/>
  <c r="Z332" i="36"/>
  <c r="Y332" i="36"/>
  <c r="X332" i="36"/>
  <c r="W332" i="36"/>
  <c r="V332" i="36"/>
  <c r="AB331" i="36"/>
  <c r="AA331" i="36"/>
  <c r="Z331" i="36"/>
  <c r="Y331" i="36"/>
  <c r="X331" i="36"/>
  <c r="W331" i="36"/>
  <c r="V331" i="36"/>
  <c r="AB330" i="36"/>
  <c r="AA330" i="36"/>
  <c r="Z330" i="36"/>
  <c r="Y330" i="36"/>
  <c r="X330" i="36"/>
  <c r="W330" i="36"/>
  <c r="V330" i="36"/>
  <c r="AB329" i="36"/>
  <c r="AA329" i="36"/>
  <c r="Z329" i="36"/>
  <c r="Y329" i="36"/>
  <c r="X329" i="36"/>
  <c r="W329" i="36"/>
  <c r="V329" i="36"/>
  <c r="AB328" i="36"/>
  <c r="AA328" i="36"/>
  <c r="Z328" i="36"/>
  <c r="Y328" i="36"/>
  <c r="X328" i="36"/>
  <c r="W328" i="36"/>
  <c r="V328" i="36"/>
  <c r="AB327" i="36"/>
  <c r="AA327" i="36"/>
  <c r="Z327" i="36"/>
  <c r="Y327" i="36"/>
  <c r="X327" i="36"/>
  <c r="W327" i="36"/>
  <c r="V327" i="36"/>
  <c r="AB326" i="36"/>
  <c r="AA326" i="36"/>
  <c r="Z326" i="36"/>
  <c r="Y326" i="36"/>
  <c r="X326" i="36"/>
  <c r="W326" i="36"/>
  <c r="V326" i="36"/>
  <c r="AB325" i="36"/>
  <c r="AA325" i="36"/>
  <c r="Z325" i="36"/>
  <c r="Y325" i="36"/>
  <c r="X325" i="36"/>
  <c r="W325" i="36"/>
  <c r="V325" i="36"/>
  <c r="AB324" i="36"/>
  <c r="AA324" i="36"/>
  <c r="Z324" i="36"/>
  <c r="Y324" i="36"/>
  <c r="X324" i="36"/>
  <c r="W324" i="36"/>
  <c r="V324" i="36"/>
  <c r="AB323" i="36"/>
  <c r="AA323" i="36"/>
  <c r="Z323" i="36"/>
  <c r="Y323" i="36"/>
  <c r="X323" i="36"/>
  <c r="W323" i="36"/>
  <c r="V323" i="36"/>
  <c r="AB322" i="36"/>
  <c r="AA322" i="36"/>
  <c r="Z322" i="36"/>
  <c r="Y322" i="36"/>
  <c r="X322" i="36"/>
  <c r="W322" i="36"/>
  <c r="V322" i="36"/>
  <c r="AB321" i="36"/>
  <c r="AA321" i="36"/>
  <c r="Z321" i="36"/>
  <c r="Y321" i="36"/>
  <c r="X321" i="36"/>
  <c r="W321" i="36"/>
  <c r="V321" i="36"/>
  <c r="AB320" i="36"/>
  <c r="AA320" i="36"/>
  <c r="Z320" i="36"/>
  <c r="Y320" i="36"/>
  <c r="X320" i="36"/>
  <c r="W320" i="36"/>
  <c r="V320" i="36"/>
  <c r="AB319" i="36"/>
  <c r="AA319" i="36"/>
  <c r="Z319" i="36"/>
  <c r="Y319" i="36"/>
  <c r="X319" i="36"/>
  <c r="W319" i="36"/>
  <c r="V319" i="36"/>
  <c r="AB318" i="36"/>
  <c r="AA318" i="36"/>
  <c r="Z318" i="36"/>
  <c r="Y318" i="36"/>
  <c r="X318" i="36"/>
  <c r="W318" i="36"/>
  <c r="V318" i="36"/>
  <c r="AB317" i="36"/>
  <c r="AA317" i="36"/>
  <c r="Z317" i="36"/>
  <c r="Y317" i="36"/>
  <c r="X317" i="36"/>
  <c r="W317" i="36"/>
  <c r="V317" i="36"/>
  <c r="AB316" i="36"/>
  <c r="AA316" i="36"/>
  <c r="Z316" i="36"/>
  <c r="Y316" i="36"/>
  <c r="X316" i="36"/>
  <c r="W316" i="36"/>
  <c r="V316" i="36"/>
  <c r="AB315" i="36"/>
  <c r="AA315" i="36"/>
  <c r="Z315" i="36"/>
  <c r="Y315" i="36"/>
  <c r="X315" i="36"/>
  <c r="W315" i="36"/>
  <c r="V315" i="36"/>
  <c r="AB314" i="36"/>
  <c r="AA314" i="36"/>
  <c r="Z314" i="36"/>
  <c r="Y314" i="36"/>
  <c r="X314" i="36"/>
  <c r="W314" i="36"/>
  <c r="V314" i="36"/>
  <c r="AB313" i="36"/>
  <c r="AA313" i="36"/>
  <c r="Z313" i="36"/>
  <c r="Y313" i="36"/>
  <c r="X313" i="36"/>
  <c r="W313" i="36"/>
  <c r="V313" i="36"/>
  <c r="AB312" i="36"/>
  <c r="AA312" i="36"/>
  <c r="Z312" i="36"/>
  <c r="Y312" i="36"/>
  <c r="X312" i="36"/>
  <c r="W312" i="36"/>
  <c r="V312" i="36"/>
  <c r="AB311" i="36"/>
  <c r="AA311" i="36"/>
  <c r="Z311" i="36"/>
  <c r="Y311" i="36"/>
  <c r="X311" i="36"/>
  <c r="W311" i="36"/>
  <c r="V311" i="36"/>
  <c r="AB310" i="36"/>
  <c r="AA310" i="36"/>
  <c r="Z310" i="36"/>
  <c r="Y310" i="36"/>
  <c r="X310" i="36"/>
  <c r="W310" i="36"/>
  <c r="V310" i="36"/>
  <c r="AB309" i="36"/>
  <c r="AA309" i="36"/>
  <c r="Z309" i="36"/>
  <c r="Y309" i="36"/>
  <c r="X309" i="36"/>
  <c r="W309" i="36"/>
  <c r="V309" i="36"/>
  <c r="AB308" i="36"/>
  <c r="AA308" i="36"/>
  <c r="Z308" i="36"/>
  <c r="Y308" i="36"/>
  <c r="X308" i="36"/>
  <c r="W308" i="36"/>
  <c r="V308" i="36"/>
  <c r="AB307" i="36"/>
  <c r="AA307" i="36"/>
  <c r="Z307" i="36"/>
  <c r="Y307" i="36"/>
  <c r="X307" i="36"/>
  <c r="W307" i="36"/>
  <c r="V307" i="36"/>
  <c r="AB306" i="36"/>
  <c r="AA306" i="36"/>
  <c r="Z306" i="36"/>
  <c r="Y306" i="36"/>
  <c r="X306" i="36"/>
  <c r="W306" i="36"/>
  <c r="V306" i="36"/>
  <c r="AB305" i="36"/>
  <c r="AA305" i="36"/>
  <c r="Z305" i="36"/>
  <c r="Y305" i="36"/>
  <c r="X305" i="36"/>
  <c r="W305" i="36"/>
  <c r="V305" i="36"/>
  <c r="AB304" i="36"/>
  <c r="AA304" i="36"/>
  <c r="Z304" i="36"/>
  <c r="Y304" i="36"/>
  <c r="X304" i="36"/>
  <c r="W304" i="36"/>
  <c r="V304" i="36"/>
  <c r="AB303" i="36"/>
  <c r="AA303" i="36"/>
  <c r="Z303" i="36"/>
  <c r="Y303" i="36"/>
  <c r="X303" i="36"/>
  <c r="W303" i="36"/>
  <c r="V303" i="36"/>
  <c r="AB302" i="36"/>
  <c r="AA302" i="36"/>
  <c r="Z302" i="36"/>
  <c r="Y302" i="36"/>
  <c r="X302" i="36"/>
  <c r="W302" i="36"/>
  <c r="V302" i="36"/>
  <c r="AB301" i="36"/>
  <c r="AA301" i="36"/>
  <c r="Z301" i="36"/>
  <c r="Y301" i="36"/>
  <c r="X301" i="36"/>
  <c r="W301" i="36"/>
  <c r="V301" i="36"/>
  <c r="AB300" i="36"/>
  <c r="AA300" i="36"/>
  <c r="Z300" i="36"/>
  <c r="Y300" i="36"/>
  <c r="X300" i="36"/>
  <c r="W300" i="36"/>
  <c r="V300" i="36"/>
  <c r="AB299" i="36"/>
  <c r="AA299" i="36"/>
  <c r="Z299" i="36"/>
  <c r="Y299" i="36"/>
  <c r="X299" i="36"/>
  <c r="W299" i="36"/>
  <c r="V299" i="36"/>
  <c r="AB298" i="36"/>
  <c r="AA298" i="36"/>
  <c r="Z298" i="36"/>
  <c r="Y298" i="36"/>
  <c r="X298" i="36"/>
  <c r="W298" i="36"/>
  <c r="V298" i="36"/>
  <c r="AB297" i="36"/>
  <c r="AA297" i="36"/>
  <c r="Z297" i="36"/>
  <c r="Y297" i="36"/>
  <c r="X297" i="36"/>
  <c r="W297" i="36"/>
  <c r="V297" i="36"/>
  <c r="AB296" i="36"/>
  <c r="AA296" i="36"/>
  <c r="Z296" i="36"/>
  <c r="Y296" i="36"/>
  <c r="X296" i="36"/>
  <c r="W296" i="36"/>
  <c r="V296" i="36"/>
  <c r="AB295" i="36"/>
  <c r="AA295" i="36"/>
  <c r="Z295" i="36"/>
  <c r="Y295" i="36"/>
  <c r="X295" i="36"/>
  <c r="W295" i="36"/>
  <c r="V295" i="36"/>
  <c r="AB294" i="36"/>
  <c r="AA294" i="36"/>
  <c r="Z294" i="36"/>
  <c r="Y294" i="36"/>
  <c r="X294" i="36"/>
  <c r="W294" i="36"/>
  <c r="V294" i="36"/>
  <c r="AB293" i="36"/>
  <c r="AA293" i="36"/>
  <c r="Z293" i="36"/>
  <c r="Y293" i="36"/>
  <c r="X293" i="36"/>
  <c r="W293" i="36"/>
  <c r="V293" i="36"/>
  <c r="AB292" i="36"/>
  <c r="AA292" i="36"/>
  <c r="Z292" i="36"/>
  <c r="Y292" i="36"/>
  <c r="X292" i="36"/>
  <c r="W292" i="36"/>
  <c r="V292" i="36"/>
  <c r="AB291" i="36"/>
  <c r="AA291" i="36"/>
  <c r="Z291" i="36"/>
  <c r="Y291" i="36"/>
  <c r="X291" i="36"/>
  <c r="W291" i="36"/>
  <c r="V291" i="36"/>
  <c r="AB290" i="36"/>
  <c r="AA290" i="36"/>
  <c r="Z290" i="36"/>
  <c r="Y290" i="36"/>
  <c r="X290" i="36"/>
  <c r="W290" i="36"/>
  <c r="V290" i="36"/>
  <c r="AB289" i="36"/>
  <c r="AA289" i="36"/>
  <c r="Z289" i="36"/>
  <c r="Y289" i="36"/>
  <c r="X289" i="36"/>
  <c r="W289" i="36"/>
  <c r="V289" i="36"/>
  <c r="AB288" i="36"/>
  <c r="AA288" i="36"/>
  <c r="Z288" i="36"/>
  <c r="Y288" i="36"/>
  <c r="X288" i="36"/>
  <c r="W288" i="36"/>
  <c r="V288" i="36"/>
  <c r="AB287" i="36"/>
  <c r="AA287" i="36"/>
  <c r="Z287" i="36"/>
  <c r="Y287" i="36"/>
  <c r="X287" i="36"/>
  <c r="W287" i="36"/>
  <c r="V287" i="36"/>
  <c r="AB286" i="36"/>
  <c r="AA286" i="36"/>
  <c r="Z286" i="36"/>
  <c r="Y286" i="36"/>
  <c r="X286" i="36"/>
  <c r="W286" i="36"/>
  <c r="V286" i="36"/>
  <c r="AB285" i="36"/>
  <c r="AA285" i="36"/>
  <c r="Z285" i="36"/>
  <c r="Y285" i="36"/>
  <c r="X285" i="36"/>
  <c r="W285" i="36"/>
  <c r="V285" i="36"/>
  <c r="AB284" i="36"/>
  <c r="AA284" i="36"/>
  <c r="Z284" i="36"/>
  <c r="Y284" i="36"/>
  <c r="X284" i="36"/>
  <c r="W284" i="36"/>
  <c r="V284" i="36"/>
  <c r="AB283" i="36"/>
  <c r="AA283" i="36"/>
  <c r="Z283" i="36"/>
  <c r="Y283" i="36"/>
  <c r="X283" i="36"/>
  <c r="W283" i="36"/>
  <c r="V283" i="36"/>
  <c r="AB282" i="36"/>
  <c r="AA282" i="36"/>
  <c r="Z282" i="36"/>
  <c r="Y282" i="36"/>
  <c r="X282" i="36"/>
  <c r="W282" i="36"/>
  <c r="V282" i="36"/>
  <c r="AB281" i="36"/>
  <c r="AA281" i="36"/>
  <c r="Z281" i="36"/>
  <c r="Y281" i="36"/>
  <c r="X281" i="36"/>
  <c r="W281" i="36"/>
  <c r="V281" i="36"/>
  <c r="AB280" i="36"/>
  <c r="AA280" i="36"/>
  <c r="Z280" i="36"/>
  <c r="Y280" i="36"/>
  <c r="X280" i="36"/>
  <c r="W280" i="36"/>
  <c r="V280" i="36"/>
  <c r="AB279" i="36"/>
  <c r="AA279" i="36"/>
  <c r="Z279" i="36"/>
  <c r="Y279" i="36"/>
  <c r="X279" i="36"/>
  <c r="W279" i="36"/>
  <c r="V279" i="36"/>
  <c r="AB278" i="36"/>
  <c r="AA278" i="36"/>
  <c r="Z278" i="36"/>
  <c r="Y278" i="36"/>
  <c r="X278" i="36"/>
  <c r="W278" i="36"/>
  <c r="V278" i="36"/>
  <c r="AB277" i="36"/>
  <c r="AA277" i="36"/>
  <c r="Z277" i="36"/>
  <c r="Y277" i="36"/>
  <c r="X277" i="36"/>
  <c r="W277" i="36"/>
  <c r="V277" i="36"/>
  <c r="AB276" i="36"/>
  <c r="AA276" i="36"/>
  <c r="Z276" i="36"/>
  <c r="Y276" i="36"/>
  <c r="X276" i="36"/>
  <c r="W276" i="36"/>
  <c r="V276" i="36"/>
  <c r="AB275" i="36"/>
  <c r="AA275" i="36"/>
  <c r="Z275" i="36"/>
  <c r="Y275" i="36"/>
  <c r="X275" i="36"/>
  <c r="W275" i="36"/>
  <c r="V275" i="36"/>
  <c r="AB274" i="36"/>
  <c r="AA274" i="36"/>
  <c r="Z274" i="36"/>
  <c r="Y274" i="36"/>
  <c r="X274" i="36"/>
  <c r="W274" i="36"/>
  <c r="V274" i="36"/>
  <c r="AB273" i="36"/>
  <c r="AA273" i="36"/>
  <c r="Z273" i="36"/>
  <c r="Y273" i="36"/>
  <c r="X273" i="36"/>
  <c r="W273" i="36"/>
  <c r="V273" i="36"/>
  <c r="AB272" i="36"/>
  <c r="AA272" i="36"/>
  <c r="Z272" i="36"/>
  <c r="Y272" i="36"/>
  <c r="X272" i="36"/>
  <c r="W272" i="36"/>
  <c r="V272" i="36"/>
  <c r="AB271" i="36"/>
  <c r="AA271" i="36"/>
  <c r="Z271" i="36"/>
  <c r="Y271" i="36"/>
  <c r="X271" i="36"/>
  <c r="W271" i="36"/>
  <c r="V271" i="36"/>
  <c r="AB270" i="36"/>
  <c r="AA270" i="36"/>
  <c r="Z270" i="36"/>
  <c r="Y270" i="36"/>
  <c r="X270" i="36"/>
  <c r="W270" i="36"/>
  <c r="V270" i="36"/>
  <c r="AB269" i="36"/>
  <c r="AA269" i="36"/>
  <c r="Z269" i="36"/>
  <c r="Y269" i="36"/>
  <c r="X269" i="36"/>
  <c r="W269" i="36"/>
  <c r="V269" i="36"/>
  <c r="AB268" i="36"/>
  <c r="AA268" i="36"/>
  <c r="Z268" i="36"/>
  <c r="Y268" i="36"/>
  <c r="X268" i="36"/>
  <c r="W268" i="36"/>
  <c r="V268" i="36"/>
  <c r="AB267" i="36"/>
  <c r="AA267" i="36"/>
  <c r="Z267" i="36"/>
  <c r="Y267" i="36"/>
  <c r="X267" i="36"/>
  <c r="W267" i="36"/>
  <c r="V267" i="36"/>
  <c r="AB266" i="36"/>
  <c r="AA266" i="36"/>
  <c r="Z266" i="36"/>
  <c r="Y266" i="36"/>
  <c r="X266" i="36"/>
  <c r="W266" i="36"/>
  <c r="V266" i="36"/>
  <c r="AB265" i="36"/>
  <c r="AA265" i="36"/>
  <c r="Z265" i="36"/>
  <c r="Y265" i="36"/>
  <c r="X265" i="36"/>
  <c r="W265" i="36"/>
  <c r="V265" i="36"/>
  <c r="AB264" i="36"/>
  <c r="AA264" i="36"/>
  <c r="Z264" i="36"/>
  <c r="Y264" i="36"/>
  <c r="X264" i="36"/>
  <c r="W264" i="36"/>
  <c r="V264" i="36"/>
  <c r="AB263" i="36"/>
  <c r="AA263" i="36"/>
  <c r="Z263" i="36"/>
  <c r="Y263" i="36"/>
  <c r="X263" i="36"/>
  <c r="W263" i="36"/>
  <c r="V263" i="36"/>
  <c r="AB262" i="36"/>
  <c r="AA262" i="36"/>
  <c r="Z262" i="36"/>
  <c r="Y262" i="36"/>
  <c r="X262" i="36"/>
  <c r="W262" i="36"/>
  <c r="V262" i="36"/>
  <c r="AB261" i="36"/>
  <c r="AA261" i="36"/>
  <c r="Z261" i="36"/>
  <c r="Y261" i="36"/>
  <c r="X261" i="36"/>
  <c r="W261" i="36"/>
  <c r="V261" i="36"/>
  <c r="AB260" i="36"/>
  <c r="AA260" i="36"/>
  <c r="Z260" i="36"/>
  <c r="Y260" i="36"/>
  <c r="X260" i="36"/>
  <c r="W260" i="36"/>
  <c r="V260" i="36"/>
  <c r="AB259" i="36"/>
  <c r="AA259" i="36"/>
  <c r="Z259" i="36"/>
  <c r="Y259" i="36"/>
  <c r="X259" i="36"/>
  <c r="W259" i="36"/>
  <c r="V259" i="36"/>
  <c r="AB258" i="36"/>
  <c r="AA258" i="36"/>
  <c r="Z258" i="36"/>
  <c r="Y258" i="36"/>
  <c r="X258" i="36"/>
  <c r="W258" i="36"/>
  <c r="V258" i="36"/>
  <c r="AB257" i="36"/>
  <c r="AA257" i="36"/>
  <c r="Z257" i="36"/>
  <c r="Y257" i="36"/>
  <c r="X257" i="36"/>
  <c r="W257" i="36"/>
  <c r="V257" i="36"/>
  <c r="AB256" i="36"/>
  <c r="AA256" i="36"/>
  <c r="Z256" i="36"/>
  <c r="Y256" i="36"/>
  <c r="X256" i="36"/>
  <c r="W256" i="36"/>
  <c r="V256" i="36"/>
  <c r="AB255" i="36"/>
  <c r="AA255" i="36"/>
  <c r="Z255" i="36"/>
  <c r="Y255" i="36"/>
  <c r="X255" i="36"/>
  <c r="W255" i="36"/>
  <c r="V255" i="36"/>
  <c r="AB254" i="36"/>
  <c r="AA254" i="36"/>
  <c r="Z254" i="36"/>
  <c r="Y254" i="36"/>
  <c r="X254" i="36"/>
  <c r="W254" i="36"/>
  <c r="V254" i="36"/>
  <c r="AB253" i="36"/>
  <c r="AA253" i="36"/>
  <c r="Z253" i="36"/>
  <c r="Y253" i="36"/>
  <c r="X253" i="36"/>
  <c r="W253" i="36"/>
  <c r="V253" i="36"/>
  <c r="AB252" i="36"/>
  <c r="AA252" i="36"/>
  <c r="Z252" i="36"/>
  <c r="Y252" i="36"/>
  <c r="X252" i="36"/>
  <c r="W252" i="36"/>
  <c r="V252" i="36"/>
  <c r="AB251" i="36"/>
  <c r="AA251" i="36"/>
  <c r="Z251" i="36"/>
  <c r="Y251" i="36"/>
  <c r="X251" i="36"/>
  <c r="W251" i="36"/>
  <c r="V251" i="36"/>
  <c r="AB250" i="36"/>
  <c r="AA250" i="36"/>
  <c r="Z250" i="36"/>
  <c r="Y250" i="36"/>
  <c r="X250" i="36"/>
  <c r="W250" i="36"/>
  <c r="V250" i="36"/>
  <c r="AB249" i="36"/>
  <c r="AA249" i="36"/>
  <c r="Z249" i="36"/>
  <c r="Y249" i="36"/>
  <c r="X249" i="36"/>
  <c r="W249" i="36"/>
  <c r="V249" i="36"/>
  <c r="AB248" i="36"/>
  <c r="AA248" i="36"/>
  <c r="Z248" i="36"/>
  <c r="Y248" i="36"/>
  <c r="X248" i="36"/>
  <c r="W248" i="36"/>
  <c r="V248" i="36"/>
  <c r="AB247" i="36"/>
  <c r="AA247" i="36"/>
  <c r="Z247" i="36"/>
  <c r="Y247" i="36"/>
  <c r="X247" i="36"/>
  <c r="W247" i="36"/>
  <c r="V247" i="36"/>
  <c r="AB246" i="36"/>
  <c r="AA246" i="36"/>
  <c r="Z246" i="36"/>
  <c r="Y246" i="36"/>
  <c r="X246" i="36"/>
  <c r="W246" i="36"/>
  <c r="V246" i="36"/>
  <c r="AB245" i="36"/>
  <c r="AA245" i="36"/>
  <c r="Z245" i="36"/>
  <c r="Y245" i="36"/>
  <c r="X245" i="36"/>
  <c r="W245" i="36"/>
  <c r="V245" i="36"/>
  <c r="AB244" i="36"/>
  <c r="AA244" i="36"/>
  <c r="Z244" i="36"/>
  <c r="Y244" i="36"/>
  <c r="X244" i="36"/>
  <c r="W244" i="36"/>
  <c r="V244" i="36"/>
  <c r="AB243" i="36"/>
  <c r="AA243" i="36"/>
  <c r="Z243" i="36"/>
  <c r="Y243" i="36"/>
  <c r="X243" i="36"/>
  <c r="W243" i="36"/>
  <c r="V243" i="36"/>
  <c r="AB242" i="36"/>
  <c r="AA242" i="36"/>
  <c r="Z242" i="36"/>
  <c r="Y242" i="36"/>
  <c r="X242" i="36"/>
  <c r="W242" i="36"/>
  <c r="V242" i="36"/>
  <c r="AB241" i="36"/>
  <c r="AA241" i="36"/>
  <c r="Z241" i="36"/>
  <c r="Y241" i="36"/>
  <c r="X241" i="36"/>
  <c r="W241" i="36"/>
  <c r="V241" i="36"/>
  <c r="AB240" i="36"/>
  <c r="AA240" i="36"/>
  <c r="Z240" i="36"/>
  <c r="Y240" i="36"/>
  <c r="X240" i="36"/>
  <c r="W240" i="36"/>
  <c r="V240" i="36"/>
  <c r="AB239" i="36"/>
  <c r="AA239" i="36"/>
  <c r="Z239" i="36"/>
  <c r="Y239" i="36"/>
  <c r="X239" i="36"/>
  <c r="W239" i="36"/>
  <c r="V239" i="36"/>
  <c r="AB238" i="36"/>
  <c r="AA238" i="36"/>
  <c r="Z238" i="36"/>
  <c r="Y238" i="36"/>
  <c r="X238" i="36"/>
  <c r="W238" i="36"/>
  <c r="V238" i="36"/>
  <c r="AB237" i="36"/>
  <c r="AA237" i="36"/>
  <c r="Z237" i="36"/>
  <c r="Y237" i="36"/>
  <c r="X237" i="36"/>
  <c r="W237" i="36"/>
  <c r="V237" i="36"/>
  <c r="AB236" i="36"/>
  <c r="AA236" i="36"/>
  <c r="Z236" i="36"/>
  <c r="Y236" i="36"/>
  <c r="X236" i="36"/>
  <c r="W236" i="36"/>
  <c r="V236" i="36"/>
  <c r="AB235" i="36"/>
  <c r="AA235" i="36"/>
  <c r="Z235" i="36"/>
  <c r="Y235" i="36"/>
  <c r="X235" i="36"/>
  <c r="W235" i="36"/>
  <c r="V235" i="36"/>
  <c r="AB234" i="36"/>
  <c r="AA234" i="36"/>
  <c r="Z234" i="36"/>
  <c r="Y234" i="36"/>
  <c r="X234" i="36"/>
  <c r="W234" i="36"/>
  <c r="V234" i="36"/>
  <c r="AB233" i="36"/>
  <c r="AA233" i="36"/>
  <c r="Z233" i="36"/>
  <c r="Y233" i="36"/>
  <c r="X233" i="36"/>
  <c r="W233" i="36"/>
  <c r="V233" i="36"/>
  <c r="AB232" i="36"/>
  <c r="AA232" i="36"/>
  <c r="Z232" i="36"/>
  <c r="Y232" i="36"/>
  <c r="X232" i="36"/>
  <c r="W232" i="36"/>
  <c r="V232" i="36"/>
  <c r="AB231" i="36"/>
  <c r="AA231" i="36"/>
  <c r="Z231" i="36"/>
  <c r="Y231" i="36"/>
  <c r="X231" i="36"/>
  <c r="W231" i="36"/>
  <c r="V231" i="36"/>
  <c r="AB230" i="36"/>
  <c r="AA230" i="36"/>
  <c r="Z230" i="36"/>
  <c r="Y230" i="36"/>
  <c r="X230" i="36"/>
  <c r="W230" i="36"/>
  <c r="V230" i="36"/>
  <c r="AB229" i="36"/>
  <c r="AA229" i="36"/>
  <c r="Z229" i="36"/>
  <c r="Y229" i="36"/>
  <c r="X229" i="36"/>
  <c r="W229" i="36"/>
  <c r="V229" i="36"/>
  <c r="AB228" i="36"/>
  <c r="AA228" i="36"/>
  <c r="Z228" i="36"/>
  <c r="Y228" i="36"/>
  <c r="X228" i="36"/>
  <c r="W228" i="36"/>
  <c r="V228" i="36"/>
  <c r="AB227" i="36"/>
  <c r="AA227" i="36"/>
  <c r="Z227" i="36"/>
  <c r="Y227" i="36"/>
  <c r="X227" i="36"/>
  <c r="W227" i="36"/>
  <c r="V227" i="36"/>
  <c r="AB226" i="36"/>
  <c r="AA226" i="36"/>
  <c r="Z226" i="36"/>
  <c r="Y226" i="36"/>
  <c r="X226" i="36"/>
  <c r="W226" i="36"/>
  <c r="V226" i="36"/>
  <c r="AB225" i="36"/>
  <c r="AA225" i="36"/>
  <c r="Z225" i="36"/>
  <c r="Y225" i="36"/>
  <c r="X225" i="36"/>
  <c r="W225" i="36"/>
  <c r="V225" i="36"/>
  <c r="AB224" i="36"/>
  <c r="AA224" i="36"/>
  <c r="Z224" i="36"/>
  <c r="Y224" i="36"/>
  <c r="X224" i="36"/>
  <c r="W224" i="36"/>
  <c r="V224" i="36"/>
  <c r="AB223" i="36"/>
  <c r="AA223" i="36"/>
  <c r="Z223" i="36"/>
  <c r="Y223" i="36"/>
  <c r="X223" i="36"/>
  <c r="W223" i="36"/>
  <c r="V223" i="36"/>
  <c r="AB222" i="36"/>
  <c r="AA222" i="36"/>
  <c r="Z222" i="36"/>
  <c r="Y222" i="36"/>
  <c r="X222" i="36"/>
  <c r="W222" i="36"/>
  <c r="V222" i="36"/>
  <c r="AB221" i="36"/>
  <c r="AA221" i="36"/>
  <c r="Z221" i="36"/>
  <c r="Y221" i="36"/>
  <c r="X221" i="36"/>
  <c r="W221" i="36"/>
  <c r="V221" i="36"/>
  <c r="AB220" i="36"/>
  <c r="AA220" i="36"/>
  <c r="Z220" i="36"/>
  <c r="Y220" i="36"/>
  <c r="X220" i="36"/>
  <c r="W220" i="36"/>
  <c r="V220" i="36"/>
  <c r="AB219" i="36"/>
  <c r="AA219" i="36"/>
  <c r="Z219" i="36"/>
  <c r="Y219" i="36"/>
  <c r="X219" i="36"/>
  <c r="W219" i="36"/>
  <c r="V219" i="36"/>
  <c r="AB218" i="36"/>
  <c r="AA218" i="36"/>
  <c r="Z218" i="36"/>
  <c r="Y218" i="36"/>
  <c r="X218" i="36"/>
  <c r="W218" i="36"/>
  <c r="V218" i="36"/>
  <c r="AB217" i="36"/>
  <c r="AA217" i="36"/>
  <c r="Z217" i="36"/>
  <c r="Y217" i="36"/>
  <c r="X217" i="36"/>
  <c r="W217" i="36"/>
  <c r="V217" i="36"/>
  <c r="AB216" i="36"/>
  <c r="AA216" i="36"/>
  <c r="Z216" i="36"/>
  <c r="Y216" i="36"/>
  <c r="X216" i="36"/>
  <c r="W216" i="36"/>
  <c r="V216" i="36"/>
  <c r="AB215" i="36"/>
  <c r="AA215" i="36"/>
  <c r="Z215" i="36"/>
  <c r="Y215" i="36"/>
  <c r="X215" i="36"/>
  <c r="W215" i="36"/>
  <c r="V215" i="36"/>
  <c r="AB214" i="36"/>
  <c r="AA214" i="36"/>
  <c r="Z214" i="36"/>
  <c r="Y214" i="36"/>
  <c r="X214" i="36"/>
  <c r="W214" i="36"/>
  <c r="V214" i="36"/>
  <c r="AB213" i="36"/>
  <c r="AA213" i="36"/>
  <c r="Z213" i="36"/>
  <c r="Y213" i="36"/>
  <c r="X213" i="36"/>
  <c r="W213" i="36"/>
  <c r="V213" i="36"/>
  <c r="AB212" i="36"/>
  <c r="AA212" i="36"/>
  <c r="Z212" i="36"/>
  <c r="Y212" i="36"/>
  <c r="X212" i="36"/>
  <c r="W212" i="36"/>
  <c r="V212" i="36"/>
  <c r="AB211" i="36"/>
  <c r="AA211" i="36"/>
  <c r="Z211" i="36"/>
  <c r="Y211" i="36"/>
  <c r="X211" i="36"/>
  <c r="W211" i="36"/>
  <c r="V211" i="36"/>
  <c r="AB210" i="36"/>
  <c r="AA210" i="36"/>
  <c r="Z210" i="36"/>
  <c r="Y210" i="36"/>
  <c r="X210" i="36"/>
  <c r="W210" i="36"/>
  <c r="V210" i="36"/>
  <c r="AB209" i="36"/>
  <c r="AA209" i="36"/>
  <c r="Z209" i="36"/>
  <c r="Y209" i="36"/>
  <c r="X209" i="36"/>
  <c r="W209" i="36"/>
  <c r="V209" i="36"/>
  <c r="AB208" i="36"/>
  <c r="AA208" i="36"/>
  <c r="Z208" i="36"/>
  <c r="Y208" i="36"/>
  <c r="X208" i="36"/>
  <c r="W208" i="36"/>
  <c r="V208" i="36"/>
  <c r="AB207" i="36"/>
  <c r="AA207" i="36"/>
  <c r="Z207" i="36"/>
  <c r="Y207" i="36"/>
  <c r="X207" i="36"/>
  <c r="W207" i="36"/>
  <c r="V207" i="36"/>
  <c r="AB206" i="36"/>
  <c r="AA206" i="36"/>
  <c r="Z206" i="36"/>
  <c r="Y206" i="36"/>
  <c r="X206" i="36"/>
  <c r="W206" i="36"/>
  <c r="V206" i="36"/>
  <c r="AB205" i="36"/>
  <c r="AA205" i="36"/>
  <c r="Z205" i="36"/>
  <c r="Y205" i="36"/>
  <c r="X205" i="36"/>
  <c r="W205" i="36"/>
  <c r="V205" i="36"/>
  <c r="AB204" i="36"/>
  <c r="AA204" i="36"/>
  <c r="Z204" i="36"/>
  <c r="Y204" i="36"/>
  <c r="X204" i="36"/>
  <c r="W204" i="36"/>
  <c r="V204" i="36"/>
  <c r="AB203" i="36"/>
  <c r="AA203" i="36"/>
  <c r="Z203" i="36"/>
  <c r="Y203" i="36"/>
  <c r="X203" i="36"/>
  <c r="W203" i="36"/>
  <c r="V203" i="36"/>
  <c r="AB202" i="36"/>
  <c r="AA202" i="36"/>
  <c r="Z202" i="36"/>
  <c r="Y202" i="36"/>
  <c r="X202" i="36"/>
  <c r="W202" i="36"/>
  <c r="V202" i="36"/>
  <c r="AB201" i="36"/>
  <c r="AA201" i="36"/>
  <c r="Z201" i="36"/>
  <c r="Y201" i="36"/>
  <c r="X201" i="36"/>
  <c r="W201" i="36"/>
  <c r="V201" i="36"/>
  <c r="AB200" i="36"/>
  <c r="AA200" i="36"/>
  <c r="Z200" i="36"/>
  <c r="Y200" i="36"/>
  <c r="X200" i="36"/>
  <c r="W200" i="36"/>
  <c r="V200" i="36"/>
  <c r="AB199" i="36"/>
  <c r="AA199" i="36"/>
  <c r="Z199" i="36"/>
  <c r="Y199" i="36"/>
  <c r="X199" i="36"/>
  <c r="W199" i="36"/>
  <c r="V199" i="36"/>
  <c r="AB198" i="36"/>
  <c r="AA198" i="36"/>
  <c r="Z198" i="36"/>
  <c r="Y198" i="36"/>
  <c r="X198" i="36"/>
  <c r="W198" i="36"/>
  <c r="V198" i="36"/>
  <c r="AB197" i="36"/>
  <c r="AA197" i="36"/>
  <c r="Z197" i="36"/>
  <c r="Y197" i="36"/>
  <c r="X197" i="36"/>
  <c r="W197" i="36"/>
  <c r="V197" i="36"/>
  <c r="AB196" i="36"/>
  <c r="AA196" i="36"/>
  <c r="Z196" i="36"/>
  <c r="Y196" i="36"/>
  <c r="X196" i="36"/>
  <c r="W196" i="36"/>
  <c r="V196" i="36"/>
  <c r="AB195" i="36"/>
  <c r="AA195" i="36"/>
  <c r="Z195" i="36"/>
  <c r="Y195" i="36"/>
  <c r="X195" i="36"/>
  <c r="W195" i="36"/>
  <c r="V195" i="36"/>
  <c r="AB194" i="36"/>
  <c r="AA194" i="36"/>
  <c r="Z194" i="36"/>
  <c r="Y194" i="36"/>
  <c r="X194" i="36"/>
  <c r="W194" i="36"/>
  <c r="V194" i="36"/>
  <c r="AB193" i="36"/>
  <c r="AA193" i="36"/>
  <c r="Z193" i="36"/>
  <c r="Y193" i="36"/>
  <c r="X193" i="36"/>
  <c r="W193" i="36"/>
  <c r="V193" i="36"/>
  <c r="AB192" i="36"/>
  <c r="AA192" i="36"/>
  <c r="Z192" i="36"/>
  <c r="Y192" i="36"/>
  <c r="X192" i="36"/>
  <c r="W192" i="36"/>
  <c r="V192" i="36"/>
  <c r="AB191" i="36"/>
  <c r="AA191" i="36"/>
  <c r="Z191" i="36"/>
  <c r="Y191" i="36"/>
  <c r="X191" i="36"/>
  <c r="W191" i="36"/>
  <c r="V191" i="36"/>
  <c r="AB190" i="36"/>
  <c r="AA190" i="36"/>
  <c r="Z190" i="36"/>
  <c r="Y190" i="36"/>
  <c r="X190" i="36"/>
  <c r="W190" i="36"/>
  <c r="V190" i="36"/>
  <c r="AB189" i="36"/>
  <c r="AA189" i="36"/>
  <c r="Z189" i="36"/>
  <c r="Y189" i="36"/>
  <c r="X189" i="36"/>
  <c r="W189" i="36"/>
  <c r="V189" i="36"/>
  <c r="AB188" i="36"/>
  <c r="AA188" i="36"/>
  <c r="Z188" i="36"/>
  <c r="Y188" i="36"/>
  <c r="X188" i="36"/>
  <c r="W188" i="36"/>
  <c r="V188" i="36"/>
  <c r="AB187" i="36"/>
  <c r="AA187" i="36"/>
  <c r="Z187" i="36"/>
  <c r="Y187" i="36"/>
  <c r="X187" i="36"/>
  <c r="W187" i="36"/>
  <c r="V187" i="36"/>
  <c r="AB186" i="36"/>
  <c r="AA186" i="36"/>
  <c r="Z186" i="36"/>
  <c r="Y186" i="36"/>
  <c r="X186" i="36"/>
  <c r="W186" i="36"/>
  <c r="V186" i="36"/>
  <c r="AB185" i="36"/>
  <c r="AA185" i="36"/>
  <c r="Z185" i="36"/>
  <c r="Y185" i="36"/>
  <c r="X185" i="36"/>
  <c r="W185" i="36"/>
  <c r="V185" i="36"/>
  <c r="AB184" i="36"/>
  <c r="AA184" i="36"/>
  <c r="Z184" i="36"/>
  <c r="Y184" i="36"/>
  <c r="X184" i="36"/>
  <c r="W184" i="36"/>
  <c r="V184" i="36"/>
  <c r="AB183" i="36"/>
  <c r="AA183" i="36"/>
  <c r="Z183" i="36"/>
  <c r="Y183" i="36"/>
  <c r="X183" i="36"/>
  <c r="W183" i="36"/>
  <c r="V183" i="36"/>
  <c r="AB182" i="36"/>
  <c r="AA182" i="36"/>
  <c r="Z182" i="36"/>
  <c r="Y182" i="36"/>
  <c r="X182" i="36"/>
  <c r="W182" i="36"/>
  <c r="V182" i="36"/>
  <c r="AB181" i="36"/>
  <c r="AA181" i="36"/>
  <c r="Z181" i="36"/>
  <c r="Y181" i="36"/>
  <c r="X181" i="36"/>
  <c r="W181" i="36"/>
  <c r="V181" i="36"/>
  <c r="AB180" i="36"/>
  <c r="AA180" i="36"/>
  <c r="Z180" i="36"/>
  <c r="Y180" i="36"/>
  <c r="X180" i="36"/>
  <c r="W180" i="36"/>
  <c r="V180" i="36"/>
  <c r="AB179" i="36"/>
  <c r="AA179" i="36"/>
  <c r="Z179" i="36"/>
  <c r="Y179" i="36"/>
  <c r="X179" i="36"/>
  <c r="W179" i="36"/>
  <c r="V179" i="36"/>
  <c r="AB178" i="36"/>
  <c r="AA178" i="36"/>
  <c r="Z178" i="36"/>
  <c r="Y178" i="36"/>
  <c r="X178" i="36"/>
  <c r="W178" i="36"/>
  <c r="V178" i="36"/>
  <c r="AB177" i="36"/>
  <c r="AA177" i="36"/>
  <c r="Z177" i="36"/>
  <c r="Y177" i="36"/>
  <c r="X177" i="36"/>
  <c r="W177" i="36"/>
  <c r="V177" i="36"/>
  <c r="AB176" i="36"/>
  <c r="AA176" i="36"/>
  <c r="Z176" i="36"/>
  <c r="Y176" i="36"/>
  <c r="X176" i="36"/>
  <c r="W176" i="36"/>
  <c r="V176" i="36"/>
  <c r="AB175" i="36"/>
  <c r="AA175" i="36"/>
  <c r="Z175" i="36"/>
  <c r="Y175" i="36"/>
  <c r="X175" i="36"/>
  <c r="W175" i="36"/>
  <c r="V175" i="36"/>
  <c r="AB174" i="36"/>
  <c r="AA174" i="36"/>
  <c r="Z174" i="36"/>
  <c r="Y174" i="36"/>
  <c r="X174" i="36"/>
  <c r="W174" i="36"/>
  <c r="V174" i="36"/>
  <c r="AB173" i="36"/>
  <c r="AA173" i="36"/>
  <c r="Z173" i="36"/>
  <c r="Y173" i="36"/>
  <c r="X173" i="36"/>
  <c r="W173" i="36"/>
  <c r="V173" i="36"/>
  <c r="AB172" i="36"/>
  <c r="AA172" i="36"/>
  <c r="Z172" i="36"/>
  <c r="Y172" i="36"/>
  <c r="X172" i="36"/>
  <c r="W172" i="36"/>
  <c r="V172" i="36"/>
  <c r="AB171" i="36"/>
  <c r="AA171" i="36"/>
  <c r="Z171" i="36"/>
  <c r="Y171" i="36"/>
  <c r="X171" i="36"/>
  <c r="W171" i="36"/>
  <c r="V171" i="36"/>
  <c r="AB170" i="36"/>
  <c r="AA170" i="36"/>
  <c r="Z170" i="36"/>
  <c r="Y170" i="36"/>
  <c r="X170" i="36"/>
  <c r="W170" i="36"/>
  <c r="V170" i="36"/>
  <c r="AB169" i="36"/>
  <c r="AA169" i="36"/>
  <c r="Z169" i="36"/>
  <c r="Y169" i="36"/>
  <c r="X169" i="36"/>
  <c r="W169" i="36"/>
  <c r="V169" i="36"/>
  <c r="AB168" i="36"/>
  <c r="AA168" i="36"/>
  <c r="Z168" i="36"/>
  <c r="Y168" i="36"/>
  <c r="X168" i="36"/>
  <c r="W168" i="36"/>
  <c r="V168" i="36"/>
  <c r="AB167" i="36"/>
  <c r="AA167" i="36"/>
  <c r="Z167" i="36"/>
  <c r="Y167" i="36"/>
  <c r="X167" i="36"/>
  <c r="W167" i="36"/>
  <c r="V167" i="36"/>
  <c r="AB166" i="36"/>
  <c r="AA166" i="36"/>
  <c r="Z166" i="36"/>
  <c r="Y166" i="36"/>
  <c r="X166" i="36"/>
  <c r="W166" i="36"/>
  <c r="V166" i="36"/>
  <c r="AB165" i="36"/>
  <c r="AA165" i="36"/>
  <c r="Z165" i="36"/>
  <c r="Y165" i="36"/>
  <c r="X165" i="36"/>
  <c r="W165" i="36"/>
  <c r="V165" i="36"/>
  <c r="AB164" i="36"/>
  <c r="AA164" i="36"/>
  <c r="Z164" i="36"/>
  <c r="Y164" i="36"/>
  <c r="X164" i="36"/>
  <c r="W164" i="36"/>
  <c r="V164" i="36"/>
  <c r="AB163" i="36"/>
  <c r="AA163" i="36"/>
  <c r="Z163" i="36"/>
  <c r="Y163" i="36"/>
  <c r="X163" i="36"/>
  <c r="W163" i="36"/>
  <c r="V163" i="36"/>
  <c r="AB162" i="36"/>
  <c r="AA162" i="36"/>
  <c r="Z162" i="36"/>
  <c r="Y162" i="36"/>
  <c r="X162" i="36"/>
  <c r="W162" i="36"/>
  <c r="V162" i="36"/>
  <c r="AB161" i="36"/>
  <c r="AA161" i="36"/>
  <c r="Z161" i="36"/>
  <c r="Y161" i="36"/>
  <c r="X161" i="36"/>
  <c r="W161" i="36"/>
  <c r="V161" i="36"/>
  <c r="AB160" i="36"/>
  <c r="AA160" i="36"/>
  <c r="Z160" i="36"/>
  <c r="Y160" i="36"/>
  <c r="X160" i="36"/>
  <c r="W160" i="36"/>
  <c r="V160" i="36"/>
  <c r="AB159" i="36"/>
  <c r="AA159" i="36"/>
  <c r="Z159" i="36"/>
  <c r="Y159" i="36"/>
  <c r="X159" i="36"/>
  <c r="W159" i="36"/>
  <c r="V159" i="36"/>
  <c r="AB158" i="36"/>
  <c r="AA158" i="36"/>
  <c r="Z158" i="36"/>
  <c r="Y158" i="36"/>
  <c r="X158" i="36"/>
  <c r="W158" i="36"/>
  <c r="V158" i="36"/>
  <c r="AB157" i="36"/>
  <c r="AA157" i="36"/>
  <c r="Z157" i="36"/>
  <c r="Y157" i="36"/>
  <c r="X157" i="36"/>
  <c r="W157" i="36"/>
  <c r="V157" i="36"/>
  <c r="AB156" i="36"/>
  <c r="AA156" i="36"/>
  <c r="Z156" i="36"/>
  <c r="Y156" i="36"/>
  <c r="X156" i="36"/>
  <c r="W156" i="36"/>
  <c r="V156" i="36"/>
  <c r="AB155" i="36"/>
  <c r="AA155" i="36"/>
  <c r="Z155" i="36"/>
  <c r="Y155" i="36"/>
  <c r="X155" i="36"/>
  <c r="W155" i="36"/>
  <c r="V155" i="36"/>
  <c r="AB154" i="36"/>
  <c r="AA154" i="36"/>
  <c r="Z154" i="36"/>
  <c r="Y154" i="36"/>
  <c r="X154" i="36"/>
  <c r="W154" i="36"/>
  <c r="V154" i="36"/>
  <c r="AB153" i="36"/>
  <c r="AA153" i="36"/>
  <c r="Z153" i="36"/>
  <c r="Y153" i="36"/>
  <c r="X153" i="36"/>
  <c r="W153" i="36"/>
  <c r="V153" i="36"/>
  <c r="AB152" i="36"/>
  <c r="AA152" i="36"/>
  <c r="Z152" i="36"/>
  <c r="Y152" i="36"/>
  <c r="X152" i="36"/>
  <c r="W152" i="36"/>
  <c r="V152" i="36"/>
  <c r="AB151" i="36"/>
  <c r="AA151" i="36"/>
  <c r="Z151" i="36"/>
  <c r="Y151" i="36"/>
  <c r="X151" i="36"/>
  <c r="W151" i="36"/>
  <c r="V151" i="36"/>
  <c r="AB150" i="36"/>
  <c r="AA150" i="36"/>
  <c r="Z150" i="36"/>
  <c r="Y150" i="36"/>
  <c r="X150" i="36"/>
  <c r="W150" i="36"/>
  <c r="V150" i="36"/>
  <c r="AB149" i="36"/>
  <c r="AA149" i="36"/>
  <c r="Z149" i="36"/>
  <c r="Y149" i="36"/>
  <c r="X149" i="36"/>
  <c r="W149" i="36"/>
  <c r="V149" i="36"/>
  <c r="AB148" i="36"/>
  <c r="AA148" i="36"/>
  <c r="Z148" i="36"/>
  <c r="Y148" i="36"/>
  <c r="X148" i="36"/>
  <c r="W148" i="36"/>
  <c r="V148" i="36"/>
  <c r="AB147" i="36"/>
  <c r="AA147" i="36"/>
  <c r="Z147" i="36"/>
  <c r="Y147" i="36"/>
  <c r="X147" i="36"/>
  <c r="W147" i="36"/>
  <c r="V147" i="36"/>
  <c r="AB146" i="36"/>
  <c r="AA146" i="36"/>
  <c r="Z146" i="36"/>
  <c r="Y146" i="36"/>
  <c r="X146" i="36"/>
  <c r="W146" i="36"/>
  <c r="V146" i="36"/>
  <c r="AB145" i="36"/>
  <c r="AA145" i="36"/>
  <c r="Z145" i="36"/>
  <c r="Y145" i="36"/>
  <c r="X145" i="36"/>
  <c r="W145" i="36"/>
  <c r="V145" i="36"/>
  <c r="AB144" i="36"/>
  <c r="AA144" i="36"/>
  <c r="Z144" i="36"/>
  <c r="Y144" i="36"/>
  <c r="X144" i="36"/>
  <c r="W144" i="36"/>
  <c r="V144" i="36"/>
  <c r="AB143" i="36"/>
  <c r="AA143" i="36"/>
  <c r="Z143" i="36"/>
  <c r="Y143" i="36"/>
  <c r="X143" i="36"/>
  <c r="W143" i="36"/>
  <c r="V143" i="36"/>
  <c r="AB142" i="36"/>
  <c r="AA142" i="36"/>
  <c r="Z142" i="36"/>
  <c r="Y142" i="36"/>
  <c r="X142" i="36"/>
  <c r="W142" i="36"/>
  <c r="V142" i="36"/>
  <c r="AB141" i="36"/>
  <c r="AA141" i="36"/>
  <c r="Z141" i="36"/>
  <c r="Y141" i="36"/>
  <c r="X141" i="36"/>
  <c r="W141" i="36"/>
  <c r="V141" i="36"/>
  <c r="AB140" i="36"/>
  <c r="AA140" i="36"/>
  <c r="Z140" i="36"/>
  <c r="Y140" i="36"/>
  <c r="X140" i="36"/>
  <c r="W140" i="36"/>
  <c r="V140" i="36"/>
  <c r="AB139" i="36"/>
  <c r="AA139" i="36"/>
  <c r="Z139" i="36"/>
  <c r="Y139" i="36"/>
  <c r="X139" i="36"/>
  <c r="W139" i="36"/>
  <c r="V139" i="36"/>
  <c r="AB138" i="36"/>
  <c r="AA138" i="36"/>
  <c r="Z138" i="36"/>
  <c r="Y138" i="36"/>
  <c r="X138" i="36"/>
  <c r="W138" i="36"/>
  <c r="V138" i="36"/>
  <c r="AB137" i="36"/>
  <c r="AA137" i="36"/>
  <c r="Z137" i="36"/>
  <c r="Y137" i="36"/>
  <c r="X137" i="36"/>
  <c r="W137" i="36"/>
  <c r="V137" i="36"/>
  <c r="AB136" i="36"/>
  <c r="AA136" i="36"/>
  <c r="Z136" i="36"/>
  <c r="Y136" i="36"/>
  <c r="X136" i="36"/>
  <c r="W136" i="36"/>
  <c r="V136" i="36"/>
  <c r="AB135" i="36"/>
  <c r="AA135" i="36"/>
  <c r="Z135" i="36"/>
  <c r="Y135" i="36"/>
  <c r="X135" i="36"/>
  <c r="W135" i="36"/>
  <c r="V135" i="36"/>
  <c r="AB134" i="36"/>
  <c r="AA134" i="36"/>
  <c r="Z134" i="36"/>
  <c r="Y134" i="36"/>
  <c r="X134" i="36"/>
  <c r="W134" i="36"/>
  <c r="V134" i="36"/>
  <c r="AB133" i="36"/>
  <c r="AA133" i="36"/>
  <c r="Z133" i="36"/>
  <c r="Y133" i="36"/>
  <c r="X133" i="36"/>
  <c r="W133" i="36"/>
  <c r="V133" i="36"/>
  <c r="AB132" i="36"/>
  <c r="AA132" i="36"/>
  <c r="Z132" i="36"/>
  <c r="Y132" i="36"/>
  <c r="X132" i="36"/>
  <c r="W132" i="36"/>
  <c r="V132" i="36"/>
  <c r="AB131" i="36"/>
  <c r="AA131" i="36"/>
  <c r="Z131" i="36"/>
  <c r="Y131" i="36"/>
  <c r="X131" i="36"/>
  <c r="W131" i="36"/>
  <c r="V131" i="36"/>
  <c r="AB130" i="36"/>
  <c r="AA130" i="36"/>
  <c r="Z130" i="36"/>
  <c r="Y130" i="36"/>
  <c r="X130" i="36"/>
  <c r="W130" i="36"/>
  <c r="V130" i="36"/>
  <c r="AB129" i="36"/>
  <c r="AA129" i="36"/>
  <c r="Z129" i="36"/>
  <c r="Y129" i="36"/>
  <c r="X129" i="36"/>
  <c r="W129" i="36"/>
  <c r="V129" i="36"/>
  <c r="AB128" i="36"/>
  <c r="AA128" i="36"/>
  <c r="Z128" i="36"/>
  <c r="Y128" i="36"/>
  <c r="X128" i="36"/>
  <c r="W128" i="36"/>
  <c r="V128" i="36"/>
  <c r="AB127" i="36"/>
  <c r="AA127" i="36"/>
  <c r="Z127" i="36"/>
  <c r="Y127" i="36"/>
  <c r="X127" i="36"/>
  <c r="W127" i="36"/>
  <c r="V127" i="36"/>
  <c r="AB126" i="36"/>
  <c r="AA126" i="36"/>
  <c r="Z126" i="36"/>
  <c r="Y126" i="36"/>
  <c r="X126" i="36"/>
  <c r="W126" i="36"/>
  <c r="V126" i="36"/>
  <c r="AB125" i="36"/>
  <c r="AA125" i="36"/>
  <c r="Z125" i="36"/>
  <c r="Y125" i="36"/>
  <c r="X125" i="36"/>
  <c r="W125" i="36"/>
  <c r="V125" i="36"/>
  <c r="AB124" i="36"/>
  <c r="AA124" i="36"/>
  <c r="Z124" i="36"/>
  <c r="Y124" i="36"/>
  <c r="X124" i="36"/>
  <c r="W124" i="36"/>
  <c r="V124" i="36"/>
  <c r="AB123" i="36"/>
  <c r="AA123" i="36"/>
  <c r="Z123" i="36"/>
  <c r="Y123" i="36"/>
  <c r="X123" i="36"/>
  <c r="W123" i="36"/>
  <c r="V123" i="36"/>
  <c r="AB122" i="36"/>
  <c r="AA122" i="36"/>
  <c r="Z122" i="36"/>
  <c r="Y122" i="36"/>
  <c r="X122" i="36"/>
  <c r="W122" i="36"/>
  <c r="V122" i="36"/>
  <c r="AB121" i="36"/>
  <c r="AA121" i="36"/>
  <c r="Z121" i="36"/>
  <c r="Y121" i="36"/>
  <c r="X121" i="36"/>
  <c r="W121" i="36"/>
  <c r="V121" i="36"/>
  <c r="AB120" i="36"/>
  <c r="AA120" i="36"/>
  <c r="Z120" i="36"/>
  <c r="Y120" i="36"/>
  <c r="X120" i="36"/>
  <c r="W120" i="36"/>
  <c r="V120" i="36"/>
  <c r="AB119" i="36"/>
  <c r="AA119" i="36"/>
  <c r="Z119" i="36"/>
  <c r="Y119" i="36"/>
  <c r="X119" i="36"/>
  <c r="W119" i="36"/>
  <c r="V119" i="36"/>
  <c r="AB118" i="36"/>
  <c r="AA118" i="36"/>
  <c r="Z118" i="36"/>
  <c r="Y118" i="36"/>
  <c r="X118" i="36"/>
  <c r="W118" i="36"/>
  <c r="V118" i="36"/>
  <c r="AB117" i="36"/>
  <c r="AA117" i="36"/>
  <c r="Z117" i="36"/>
  <c r="Y117" i="36"/>
  <c r="X117" i="36"/>
  <c r="W117" i="36"/>
  <c r="V117" i="36"/>
  <c r="AB116" i="36"/>
  <c r="AA116" i="36"/>
  <c r="Z116" i="36"/>
  <c r="Y116" i="36"/>
  <c r="X116" i="36"/>
  <c r="W116" i="36"/>
  <c r="V116" i="36"/>
  <c r="AB115" i="36"/>
  <c r="AA115" i="36"/>
  <c r="Z115" i="36"/>
  <c r="Y115" i="36"/>
  <c r="X115" i="36"/>
  <c r="W115" i="36"/>
  <c r="V115" i="36"/>
  <c r="AB114" i="36"/>
  <c r="AA114" i="36"/>
  <c r="Z114" i="36"/>
  <c r="Y114" i="36"/>
  <c r="X114" i="36"/>
  <c r="W114" i="36"/>
  <c r="V114" i="36"/>
  <c r="AB113" i="36"/>
  <c r="AA113" i="36"/>
  <c r="Z113" i="36"/>
  <c r="Y113" i="36"/>
  <c r="X113" i="36"/>
  <c r="W113" i="36"/>
  <c r="V113" i="36"/>
  <c r="AB112" i="36"/>
  <c r="AA112" i="36"/>
  <c r="Z112" i="36"/>
  <c r="Y112" i="36"/>
  <c r="X112" i="36"/>
  <c r="W112" i="36"/>
  <c r="V112" i="36"/>
  <c r="AB111" i="36"/>
  <c r="AA111" i="36"/>
  <c r="Z111" i="36"/>
  <c r="Y111" i="36"/>
  <c r="X111" i="36"/>
  <c r="W111" i="36"/>
  <c r="V111" i="36"/>
  <c r="AB110" i="36"/>
  <c r="AA110" i="36"/>
  <c r="Z110" i="36"/>
  <c r="Y110" i="36"/>
  <c r="X110" i="36"/>
  <c r="W110" i="36"/>
  <c r="V110" i="36"/>
  <c r="AB109" i="36"/>
  <c r="AA109" i="36"/>
  <c r="Z109" i="36"/>
  <c r="Y109" i="36"/>
  <c r="X109" i="36"/>
  <c r="W109" i="36"/>
  <c r="V109" i="36"/>
  <c r="AB108" i="36"/>
  <c r="AA108" i="36"/>
  <c r="Z108" i="36"/>
  <c r="Y108" i="36"/>
  <c r="X108" i="36"/>
  <c r="W108" i="36"/>
  <c r="V108" i="36"/>
  <c r="AB107" i="36"/>
  <c r="AA107" i="36"/>
  <c r="Z107" i="36"/>
  <c r="Y107" i="36"/>
  <c r="X107" i="36"/>
  <c r="W107" i="36"/>
  <c r="V107" i="36"/>
  <c r="AB106" i="36"/>
  <c r="AA106" i="36"/>
  <c r="Z106" i="36"/>
  <c r="Y106" i="36"/>
  <c r="X106" i="36"/>
  <c r="W106" i="36"/>
  <c r="V106" i="36"/>
  <c r="AB105" i="36"/>
  <c r="AA105" i="36"/>
  <c r="Z105" i="36"/>
  <c r="Y105" i="36"/>
  <c r="X105" i="36"/>
  <c r="W105" i="36"/>
  <c r="V105" i="36"/>
  <c r="AB104" i="36"/>
  <c r="AA104" i="36"/>
  <c r="Z104" i="36"/>
  <c r="Y104" i="36"/>
  <c r="X104" i="36"/>
  <c r="W104" i="36"/>
  <c r="V104" i="36"/>
  <c r="AB103" i="36"/>
  <c r="AA103" i="36"/>
  <c r="Z103" i="36"/>
  <c r="Y103" i="36"/>
  <c r="X103" i="36"/>
  <c r="W103" i="36"/>
  <c r="V103" i="36"/>
  <c r="AB102" i="36"/>
  <c r="AA102" i="36"/>
  <c r="Z102" i="36"/>
  <c r="Y102" i="36"/>
  <c r="X102" i="36"/>
  <c r="W102" i="36"/>
  <c r="V102" i="36"/>
  <c r="AB101" i="36"/>
  <c r="AA101" i="36"/>
  <c r="Z101" i="36"/>
  <c r="Y101" i="36"/>
  <c r="X101" i="36"/>
  <c r="W101" i="36"/>
  <c r="V101" i="36"/>
  <c r="AB100" i="36"/>
  <c r="AA100" i="36"/>
  <c r="Z100" i="36"/>
  <c r="Y100" i="36"/>
  <c r="X100" i="36"/>
  <c r="W100" i="36"/>
  <c r="V100" i="36"/>
  <c r="AB99" i="36"/>
  <c r="AA99" i="36"/>
  <c r="Z99" i="36"/>
  <c r="Y99" i="36"/>
  <c r="X99" i="36"/>
  <c r="W99" i="36"/>
  <c r="V99" i="36"/>
  <c r="AB98" i="36"/>
  <c r="AA98" i="36"/>
  <c r="Z98" i="36"/>
  <c r="Y98" i="36"/>
  <c r="X98" i="36"/>
  <c r="W98" i="36"/>
  <c r="V98" i="36"/>
  <c r="AB97" i="36"/>
  <c r="AA97" i="36"/>
  <c r="Z97" i="36"/>
  <c r="Y97" i="36"/>
  <c r="X97" i="36"/>
  <c r="W97" i="36"/>
  <c r="V97" i="36"/>
  <c r="AB96" i="36"/>
  <c r="AA96" i="36"/>
  <c r="Z96" i="36"/>
  <c r="Y96" i="36"/>
  <c r="X96" i="36"/>
  <c r="W96" i="36"/>
  <c r="V96" i="36"/>
  <c r="AB95" i="36"/>
  <c r="AA95" i="36"/>
  <c r="Z95" i="36"/>
  <c r="Y95" i="36"/>
  <c r="X95" i="36"/>
  <c r="W95" i="36"/>
  <c r="V95" i="36"/>
  <c r="AB94" i="36"/>
  <c r="AA94" i="36"/>
  <c r="Z94" i="36"/>
  <c r="Y94" i="36"/>
  <c r="X94" i="36"/>
  <c r="W94" i="36"/>
  <c r="V94" i="36"/>
  <c r="AB93" i="36"/>
  <c r="AA93" i="36"/>
  <c r="Z93" i="36"/>
  <c r="Y93" i="36"/>
  <c r="X93" i="36"/>
  <c r="W93" i="36"/>
  <c r="V93" i="36"/>
  <c r="AB92" i="36"/>
  <c r="AA92" i="36"/>
  <c r="Z92" i="36"/>
  <c r="Y92" i="36"/>
  <c r="X92" i="36"/>
  <c r="W92" i="36"/>
  <c r="V92" i="36"/>
  <c r="AB91" i="36"/>
  <c r="AA91" i="36"/>
  <c r="Z91" i="36"/>
  <c r="Y91" i="36"/>
  <c r="X91" i="36"/>
  <c r="W91" i="36"/>
  <c r="V91" i="36"/>
  <c r="AB90" i="36"/>
  <c r="AA90" i="36"/>
  <c r="Z90" i="36"/>
  <c r="Y90" i="36"/>
  <c r="X90" i="36"/>
  <c r="W90" i="36"/>
  <c r="V90" i="36"/>
  <c r="AB89" i="36"/>
  <c r="AA89" i="36"/>
  <c r="Z89" i="36"/>
  <c r="Y89" i="36"/>
  <c r="X89" i="36"/>
  <c r="W89" i="36"/>
  <c r="V89" i="36"/>
  <c r="AB88" i="36"/>
  <c r="AA88" i="36"/>
  <c r="Z88" i="36"/>
  <c r="Y88" i="36"/>
  <c r="X88" i="36"/>
  <c r="W88" i="36"/>
  <c r="V88" i="36"/>
  <c r="AB87" i="36"/>
  <c r="AA87" i="36"/>
  <c r="Z87" i="36"/>
  <c r="Y87" i="36"/>
  <c r="X87" i="36"/>
  <c r="W87" i="36"/>
  <c r="V87" i="36"/>
  <c r="AB86" i="36"/>
  <c r="AA86" i="36"/>
  <c r="Z86" i="36"/>
  <c r="Y86" i="36"/>
  <c r="X86" i="36"/>
  <c r="W86" i="36"/>
  <c r="V86" i="36"/>
  <c r="AB85" i="36"/>
  <c r="AA85" i="36"/>
  <c r="Z85" i="36"/>
  <c r="Y85" i="36"/>
  <c r="X85" i="36"/>
  <c r="W85" i="36"/>
  <c r="V85" i="36"/>
  <c r="AB84" i="36"/>
  <c r="AA84" i="36"/>
  <c r="Z84" i="36"/>
  <c r="Y84" i="36"/>
  <c r="X84" i="36"/>
  <c r="W84" i="36"/>
  <c r="V84" i="36"/>
  <c r="AB83" i="36"/>
  <c r="AA83" i="36"/>
  <c r="Z83" i="36"/>
  <c r="Y83" i="36"/>
  <c r="X83" i="36"/>
  <c r="W83" i="36"/>
  <c r="V83" i="36"/>
  <c r="AB82" i="36"/>
  <c r="AA82" i="36"/>
  <c r="Z82" i="36"/>
  <c r="Y82" i="36"/>
  <c r="X82" i="36"/>
  <c r="W82" i="36"/>
  <c r="V82" i="36"/>
  <c r="AB81" i="36"/>
  <c r="AA81" i="36"/>
  <c r="Z81" i="36"/>
  <c r="Y81" i="36"/>
  <c r="X81" i="36"/>
  <c r="W81" i="36"/>
  <c r="V81" i="36"/>
  <c r="AB80" i="36"/>
  <c r="AA80" i="36"/>
  <c r="Z80" i="36"/>
  <c r="Y80" i="36"/>
  <c r="X80" i="36"/>
  <c r="W80" i="36"/>
  <c r="V80" i="36"/>
  <c r="AB79" i="36"/>
  <c r="AA79" i="36"/>
  <c r="Z79" i="36"/>
  <c r="Y79" i="36"/>
  <c r="X79" i="36"/>
  <c r="W79" i="36"/>
  <c r="V79" i="36"/>
  <c r="AB78" i="36"/>
  <c r="AA78" i="36"/>
  <c r="Z78" i="36"/>
  <c r="Y78" i="36"/>
  <c r="X78" i="36"/>
  <c r="W78" i="36"/>
  <c r="V78" i="36"/>
  <c r="AB77" i="36"/>
  <c r="AA77" i="36"/>
  <c r="Z77" i="36"/>
  <c r="Y77" i="36"/>
  <c r="X77" i="36"/>
  <c r="W77" i="36"/>
  <c r="V77" i="36"/>
  <c r="AB76" i="36"/>
  <c r="AA76" i="36"/>
  <c r="Z76" i="36"/>
  <c r="Y76" i="36"/>
  <c r="X76" i="36"/>
  <c r="W76" i="36"/>
  <c r="V76" i="36"/>
  <c r="AB75" i="36"/>
  <c r="AA75" i="36"/>
  <c r="Z75" i="36"/>
  <c r="Y75" i="36"/>
  <c r="X75" i="36"/>
  <c r="W75" i="36"/>
  <c r="V75" i="36"/>
  <c r="AB74" i="36"/>
  <c r="AA74" i="36"/>
  <c r="Z74" i="36"/>
  <c r="Y74" i="36"/>
  <c r="X74" i="36"/>
  <c r="W74" i="36"/>
  <c r="V74" i="36"/>
  <c r="AB73" i="36"/>
  <c r="AA73" i="36"/>
  <c r="Z73" i="36"/>
  <c r="Y73" i="36"/>
  <c r="X73" i="36"/>
  <c r="W73" i="36"/>
  <c r="V73" i="36"/>
  <c r="AB72" i="36"/>
  <c r="AA72" i="36"/>
  <c r="Z72" i="36"/>
  <c r="Y72" i="36"/>
  <c r="X72" i="36"/>
  <c r="W72" i="36"/>
  <c r="V72" i="36"/>
  <c r="AB71" i="36"/>
  <c r="AA71" i="36"/>
  <c r="Z71" i="36"/>
  <c r="Y71" i="36"/>
  <c r="X71" i="36"/>
  <c r="W71" i="36"/>
  <c r="V71" i="36"/>
  <c r="AB70" i="36"/>
  <c r="AA70" i="36"/>
  <c r="Z70" i="36"/>
  <c r="Y70" i="36"/>
  <c r="X70" i="36"/>
  <c r="W70" i="36"/>
  <c r="V70" i="36"/>
  <c r="AB69" i="36"/>
  <c r="AA69" i="36"/>
  <c r="Z69" i="36"/>
  <c r="Y69" i="36"/>
  <c r="X69" i="36"/>
  <c r="W69" i="36"/>
  <c r="V69" i="36"/>
  <c r="AB68" i="36"/>
  <c r="AA68" i="36"/>
  <c r="Z68" i="36"/>
  <c r="Y68" i="36"/>
  <c r="X68" i="36"/>
  <c r="W68" i="36"/>
  <c r="V68" i="36"/>
  <c r="AB67" i="36"/>
  <c r="AA67" i="36"/>
  <c r="Z67" i="36"/>
  <c r="Y67" i="36"/>
  <c r="X67" i="36"/>
  <c r="W67" i="36"/>
  <c r="V67" i="36"/>
  <c r="AB66" i="36"/>
  <c r="AA66" i="36"/>
  <c r="Z66" i="36"/>
  <c r="Y66" i="36"/>
  <c r="X66" i="36"/>
  <c r="W66" i="36"/>
  <c r="V66" i="36"/>
  <c r="AB65" i="36"/>
  <c r="AA65" i="36"/>
  <c r="Z65" i="36"/>
  <c r="Y65" i="36"/>
  <c r="X65" i="36"/>
  <c r="W65" i="36"/>
  <c r="V65" i="36"/>
  <c r="AB64" i="36"/>
  <c r="AA64" i="36"/>
  <c r="Z64" i="36"/>
  <c r="Y64" i="36"/>
  <c r="X64" i="36"/>
  <c r="W64" i="36"/>
  <c r="V64" i="36"/>
  <c r="AB63" i="36"/>
  <c r="AA63" i="36"/>
  <c r="Z63" i="36"/>
  <c r="Y63" i="36"/>
  <c r="X63" i="36"/>
  <c r="W63" i="36"/>
  <c r="V63" i="36"/>
  <c r="AB62" i="36"/>
  <c r="AA62" i="36"/>
  <c r="Z62" i="36"/>
  <c r="Y62" i="36"/>
  <c r="X62" i="36"/>
  <c r="W62" i="36"/>
  <c r="V62" i="36"/>
  <c r="AB61" i="36"/>
  <c r="AA61" i="36"/>
  <c r="Z61" i="36"/>
  <c r="Y61" i="36"/>
  <c r="X61" i="36"/>
  <c r="W61" i="36"/>
  <c r="V61" i="36"/>
  <c r="AB60" i="36"/>
  <c r="AA60" i="36"/>
  <c r="Z60" i="36"/>
  <c r="Y60" i="36"/>
  <c r="X60" i="36"/>
  <c r="W60" i="36"/>
  <c r="V60" i="36"/>
  <c r="AB59" i="36"/>
  <c r="AA59" i="36"/>
  <c r="Z59" i="36"/>
  <c r="Y59" i="36"/>
  <c r="X59" i="36"/>
  <c r="W59" i="36"/>
  <c r="V59" i="36"/>
  <c r="AB58" i="36"/>
  <c r="AA58" i="36"/>
  <c r="Z58" i="36"/>
  <c r="Y58" i="36"/>
  <c r="X58" i="36"/>
  <c r="W58" i="36"/>
  <c r="V58" i="36"/>
  <c r="AB57" i="36"/>
  <c r="AA57" i="36"/>
  <c r="Z57" i="36"/>
  <c r="Y57" i="36"/>
  <c r="X57" i="36"/>
  <c r="W57" i="36"/>
  <c r="V57" i="36"/>
  <c r="AB56" i="36"/>
  <c r="AA56" i="36"/>
  <c r="Z56" i="36"/>
  <c r="Y56" i="36"/>
  <c r="X56" i="36"/>
  <c r="W56" i="36"/>
  <c r="V56" i="36"/>
  <c r="AB55" i="36"/>
  <c r="AA55" i="36"/>
  <c r="Z55" i="36"/>
  <c r="Y55" i="36"/>
  <c r="X55" i="36"/>
  <c r="W55" i="36"/>
  <c r="V55" i="36"/>
  <c r="AB54" i="36"/>
  <c r="AA54" i="36"/>
  <c r="Z54" i="36"/>
  <c r="Y54" i="36"/>
  <c r="X54" i="36"/>
  <c r="W54" i="36"/>
  <c r="V54" i="36"/>
  <c r="AB53" i="36"/>
  <c r="AA53" i="36"/>
  <c r="Z53" i="36"/>
  <c r="Y53" i="36"/>
  <c r="X53" i="36"/>
  <c r="W53" i="36"/>
  <c r="V53" i="36"/>
  <c r="AB52" i="36"/>
  <c r="AA52" i="36"/>
  <c r="Z52" i="36"/>
  <c r="Y52" i="36"/>
  <c r="X52" i="36"/>
  <c r="W52" i="36"/>
  <c r="V52" i="36"/>
  <c r="AB51" i="36"/>
  <c r="AA51" i="36"/>
  <c r="Z51" i="36"/>
  <c r="Y51" i="36"/>
  <c r="X51" i="36"/>
  <c r="W51" i="36"/>
  <c r="V51" i="36"/>
  <c r="AB50" i="36"/>
  <c r="AA50" i="36"/>
  <c r="Z50" i="36"/>
  <c r="Y50" i="36"/>
  <c r="X50" i="36"/>
  <c r="W50" i="36"/>
  <c r="V50" i="36"/>
  <c r="AB49" i="36"/>
  <c r="AA49" i="36"/>
  <c r="Z49" i="36"/>
  <c r="Y49" i="36"/>
  <c r="X49" i="36"/>
  <c r="W49" i="36"/>
  <c r="V49" i="36"/>
  <c r="AB48" i="36"/>
  <c r="AA48" i="36"/>
  <c r="Z48" i="36"/>
  <c r="Y48" i="36"/>
  <c r="X48" i="36"/>
  <c r="W48" i="36"/>
  <c r="V48" i="36"/>
  <c r="AB47" i="36"/>
  <c r="AA47" i="36"/>
  <c r="Z47" i="36"/>
  <c r="Y47" i="36"/>
  <c r="X47" i="36"/>
  <c r="W47" i="36"/>
  <c r="V47" i="36"/>
  <c r="AB46" i="36"/>
  <c r="AA46" i="36"/>
  <c r="Z46" i="36"/>
  <c r="Y46" i="36"/>
  <c r="X46" i="36"/>
  <c r="W46" i="36"/>
  <c r="V46" i="36"/>
  <c r="AB45" i="36"/>
  <c r="AA45" i="36"/>
  <c r="Z45" i="36"/>
  <c r="Y45" i="36"/>
  <c r="X45" i="36"/>
  <c r="W45" i="36"/>
  <c r="V45" i="36"/>
  <c r="AB44" i="36"/>
  <c r="AA44" i="36"/>
  <c r="Z44" i="36"/>
  <c r="Y44" i="36"/>
  <c r="X44" i="36"/>
  <c r="W44" i="36"/>
  <c r="V44" i="36"/>
  <c r="AB43" i="36"/>
  <c r="AA43" i="36"/>
  <c r="Z43" i="36"/>
  <c r="Y43" i="36"/>
  <c r="X43" i="36"/>
  <c r="W43" i="36"/>
  <c r="V43" i="36"/>
  <c r="AB42" i="36"/>
  <c r="AA42" i="36"/>
  <c r="Z42" i="36"/>
  <c r="Y42" i="36"/>
  <c r="X42" i="36"/>
  <c r="W42" i="36"/>
  <c r="V42" i="36"/>
  <c r="AB41" i="36"/>
  <c r="AA41" i="36"/>
  <c r="Z41" i="36"/>
  <c r="Y41" i="36"/>
  <c r="X41" i="36"/>
  <c r="W41" i="36"/>
  <c r="V41" i="36"/>
  <c r="AB40" i="36"/>
  <c r="AA40" i="36"/>
  <c r="Z40" i="36"/>
  <c r="Y40" i="36"/>
  <c r="X40" i="36"/>
  <c r="W40" i="36"/>
  <c r="V40" i="36"/>
  <c r="AB39" i="36"/>
  <c r="AA39" i="36"/>
  <c r="Z39" i="36"/>
  <c r="Y39" i="36"/>
  <c r="X39" i="36"/>
  <c r="W39" i="36"/>
  <c r="V39" i="36"/>
  <c r="AB38" i="36"/>
  <c r="AA38" i="36"/>
  <c r="Z38" i="36"/>
  <c r="Y38" i="36"/>
  <c r="X38" i="36"/>
  <c r="W38" i="36"/>
  <c r="V38" i="36"/>
  <c r="AB37" i="36"/>
  <c r="AA37" i="36"/>
  <c r="Z37" i="36"/>
  <c r="Y37" i="36"/>
  <c r="X37" i="36"/>
  <c r="W37" i="36"/>
  <c r="V37" i="36"/>
  <c r="AB36" i="36"/>
  <c r="AA36" i="36"/>
  <c r="Z36" i="36"/>
  <c r="Y36" i="36"/>
  <c r="X36" i="36"/>
  <c r="W36" i="36"/>
  <c r="V36" i="36"/>
  <c r="AB35" i="36"/>
  <c r="AA35" i="36"/>
  <c r="Z35" i="36"/>
  <c r="Y35" i="36"/>
  <c r="X35" i="36"/>
  <c r="W35" i="36"/>
  <c r="V35" i="36"/>
  <c r="AB34" i="36"/>
  <c r="AA34" i="36"/>
  <c r="Z34" i="36"/>
  <c r="Y34" i="36"/>
  <c r="X34" i="36"/>
  <c r="W34" i="36"/>
  <c r="V34" i="36"/>
  <c r="AB33" i="36"/>
  <c r="AA33" i="36"/>
  <c r="Z33" i="36"/>
  <c r="Y33" i="36"/>
  <c r="X33" i="36"/>
  <c r="W33" i="36"/>
  <c r="V33" i="36"/>
  <c r="AB32" i="36"/>
  <c r="AA32" i="36"/>
  <c r="Z32" i="36"/>
  <c r="Y32" i="36"/>
  <c r="X32" i="36"/>
  <c r="W32" i="36"/>
  <c r="V32" i="36"/>
  <c r="AB31" i="36"/>
  <c r="AA31" i="36"/>
  <c r="Z31" i="36"/>
  <c r="Y31" i="36"/>
  <c r="X31" i="36"/>
  <c r="W31" i="36"/>
  <c r="V31" i="36"/>
  <c r="AB30" i="36"/>
  <c r="AA30" i="36"/>
  <c r="Z30" i="36"/>
  <c r="Y30" i="36"/>
  <c r="X30" i="36"/>
  <c r="W30" i="36"/>
  <c r="V30" i="36"/>
  <c r="AB29" i="36"/>
  <c r="AA29" i="36"/>
  <c r="Z29" i="36"/>
  <c r="Y29" i="36"/>
  <c r="X29" i="36"/>
  <c r="W29" i="36"/>
  <c r="V29" i="36"/>
  <c r="AB28" i="36"/>
  <c r="AA28" i="36"/>
  <c r="Z28" i="36"/>
  <c r="Y28" i="36"/>
  <c r="X28" i="36"/>
  <c r="W28" i="36"/>
  <c r="V28" i="36"/>
  <c r="AB27" i="36"/>
  <c r="AA27" i="36"/>
  <c r="Z27" i="36"/>
  <c r="Y27" i="36"/>
  <c r="X27" i="36"/>
  <c r="W27" i="36"/>
  <c r="V27" i="36"/>
  <c r="AB26" i="36"/>
  <c r="AA26" i="36"/>
  <c r="Z26" i="36"/>
  <c r="Y26" i="36"/>
  <c r="X26" i="36"/>
  <c r="W26" i="36"/>
  <c r="V26" i="36"/>
  <c r="AB25" i="36"/>
  <c r="AA25" i="36"/>
  <c r="Z25" i="36"/>
  <c r="Y25" i="36"/>
  <c r="X25" i="36"/>
  <c r="W25" i="36"/>
  <c r="V25" i="36"/>
  <c r="AB24" i="36"/>
  <c r="AA24" i="36"/>
  <c r="Z24" i="36"/>
  <c r="Y24" i="36"/>
  <c r="X24" i="36"/>
  <c r="W24" i="36"/>
  <c r="V24" i="36"/>
  <c r="AB23" i="36"/>
  <c r="AA23" i="36"/>
  <c r="Z23" i="36"/>
  <c r="Y23" i="36"/>
  <c r="X23" i="36"/>
  <c r="W23" i="36"/>
  <c r="V23" i="36"/>
  <c r="AB22" i="36"/>
  <c r="AA22" i="36"/>
  <c r="Z22" i="36"/>
  <c r="Y22" i="36"/>
  <c r="X22" i="36"/>
  <c r="W22" i="36"/>
  <c r="V22" i="36"/>
  <c r="AB21" i="36"/>
  <c r="AA21" i="36"/>
  <c r="Z21" i="36"/>
  <c r="Y21" i="36"/>
  <c r="X21" i="36"/>
  <c r="W21" i="36"/>
  <c r="V21" i="36"/>
  <c r="AB20" i="36"/>
  <c r="AA20" i="36"/>
  <c r="Z20" i="36"/>
  <c r="Y20" i="36"/>
  <c r="X20" i="36"/>
  <c r="W20" i="36"/>
  <c r="V20" i="36"/>
  <c r="AB19" i="36"/>
  <c r="AA19" i="36"/>
  <c r="Z19" i="36"/>
  <c r="Y19" i="36"/>
  <c r="X19" i="36"/>
  <c r="W19" i="36"/>
  <c r="V19" i="36"/>
  <c r="AB18" i="36"/>
  <c r="AA18" i="36"/>
  <c r="Z18" i="36"/>
  <c r="Y18" i="36"/>
  <c r="X18" i="36"/>
  <c r="W18" i="36"/>
  <c r="V18" i="36"/>
  <c r="AB17" i="36"/>
  <c r="AA17" i="36"/>
  <c r="Z17" i="36"/>
  <c r="Y17" i="36"/>
  <c r="X17" i="36"/>
  <c r="W17" i="36"/>
  <c r="V17" i="36"/>
  <c r="AB16" i="36"/>
  <c r="AA16" i="36"/>
  <c r="Z16" i="36"/>
  <c r="Y16" i="36"/>
  <c r="X16" i="36"/>
  <c r="W16" i="36"/>
  <c r="V16" i="36"/>
  <c r="AB15" i="36"/>
  <c r="AA15" i="36"/>
  <c r="Z15" i="36"/>
  <c r="Y15" i="36"/>
  <c r="X15" i="36"/>
  <c r="W15" i="36"/>
  <c r="V15" i="36"/>
  <c r="AB14" i="36"/>
  <c r="AA14" i="36"/>
  <c r="Z14" i="36"/>
  <c r="Y14" i="36"/>
  <c r="X14" i="36"/>
  <c r="W14" i="36"/>
  <c r="V14" i="36"/>
  <c r="AB13" i="36"/>
  <c r="AA13" i="36"/>
  <c r="Z13" i="36"/>
  <c r="Y13" i="36"/>
  <c r="X13" i="36"/>
  <c r="W13" i="36"/>
  <c r="V13" i="36"/>
  <c r="AB12" i="36"/>
  <c r="AA12" i="36"/>
  <c r="Z12" i="36"/>
  <c r="Y12" i="36"/>
  <c r="X12" i="36"/>
  <c r="W12" i="36"/>
  <c r="V12" i="36"/>
  <c r="AB11" i="36"/>
  <c r="AA11" i="36"/>
  <c r="Z11" i="36"/>
  <c r="Y11" i="36"/>
  <c r="X11" i="36"/>
  <c r="W11" i="36"/>
  <c r="V11" i="36"/>
  <c r="AB10" i="36"/>
  <c r="AA10" i="36"/>
  <c r="Z10" i="36"/>
  <c r="Y10" i="36"/>
  <c r="X10" i="36"/>
  <c r="W10" i="36"/>
  <c r="V10" i="36"/>
  <c r="AB9" i="36"/>
  <c r="AA9" i="36"/>
  <c r="Z9" i="36"/>
  <c r="Y9" i="36"/>
  <c r="X9" i="36"/>
  <c r="W9" i="36"/>
  <c r="V9" i="36"/>
  <c r="AB8" i="36"/>
  <c r="AA8" i="36"/>
  <c r="Z8" i="36"/>
  <c r="Y8" i="36"/>
  <c r="X8" i="36"/>
  <c r="W8" i="36"/>
  <c r="V8" i="36"/>
  <c r="AB7" i="36"/>
  <c r="AA7" i="36"/>
  <c r="Z7" i="36"/>
  <c r="Y7" i="36"/>
  <c r="X7" i="36"/>
  <c r="W7" i="36"/>
  <c r="V7" i="36"/>
  <c r="AB6" i="36"/>
  <c r="AA6" i="36"/>
  <c r="Z6" i="36"/>
  <c r="Y6" i="36"/>
  <c r="X6" i="36"/>
  <c r="W6" i="36"/>
  <c r="V6" i="36"/>
  <c r="AB5" i="36"/>
  <c r="AA5" i="36"/>
  <c r="Z5" i="36"/>
  <c r="Y5" i="36"/>
  <c r="X5" i="36"/>
  <c r="W5" i="36"/>
  <c r="V5" i="36"/>
  <c r="AB4" i="36"/>
  <c r="AA4" i="36"/>
  <c r="Z4" i="36"/>
  <c r="Y4" i="36"/>
  <c r="X4" i="36"/>
  <c r="W4" i="36"/>
  <c r="V4" i="36"/>
  <c r="AB3" i="36"/>
  <c r="AA3" i="36"/>
  <c r="Z3" i="36"/>
  <c r="Y3" i="36"/>
  <c r="X3" i="36"/>
  <c r="W3" i="36"/>
  <c r="V3" i="36"/>
  <c r="AB2" i="36"/>
  <c r="AA2" i="36"/>
  <c r="Z2" i="36"/>
  <c r="Y2" i="36"/>
  <c r="X2" i="36"/>
  <c r="W2" i="36"/>
  <c r="V2" i="36"/>
  <c r="AB167" i="35"/>
  <c r="AA167" i="35"/>
  <c r="Z167" i="35"/>
  <c r="Y167" i="35"/>
  <c r="X167" i="35"/>
  <c r="W167" i="35"/>
  <c r="V167" i="35"/>
  <c r="AB166" i="35"/>
  <c r="AA166" i="35"/>
  <c r="Z166" i="35"/>
  <c r="Y166" i="35"/>
  <c r="X166" i="35"/>
  <c r="W166" i="35"/>
  <c r="V166" i="35"/>
  <c r="AB165" i="35"/>
  <c r="AA165" i="35"/>
  <c r="Z165" i="35"/>
  <c r="Y165" i="35"/>
  <c r="X165" i="35"/>
  <c r="W165" i="35"/>
  <c r="V165" i="35"/>
  <c r="AB164" i="35"/>
  <c r="AA164" i="35"/>
  <c r="Z164" i="35"/>
  <c r="Y164" i="35"/>
  <c r="X164" i="35"/>
  <c r="W164" i="35"/>
  <c r="V164" i="35"/>
  <c r="AB163" i="35"/>
  <c r="AA163" i="35"/>
  <c r="Z163" i="35"/>
  <c r="Y163" i="35"/>
  <c r="X163" i="35"/>
  <c r="W163" i="35"/>
  <c r="V163" i="35"/>
  <c r="AB162" i="35"/>
  <c r="AA162" i="35"/>
  <c r="Z162" i="35"/>
  <c r="Y162" i="35"/>
  <c r="X162" i="35"/>
  <c r="W162" i="35"/>
  <c r="V162" i="35"/>
  <c r="AB161" i="35"/>
  <c r="AA161" i="35"/>
  <c r="Z161" i="35"/>
  <c r="Y161" i="35"/>
  <c r="X161" i="35"/>
  <c r="W161" i="35"/>
  <c r="V161" i="35"/>
  <c r="AB160" i="35"/>
  <c r="AA160" i="35"/>
  <c r="Z160" i="35"/>
  <c r="Y160" i="35"/>
  <c r="X160" i="35"/>
  <c r="W160" i="35"/>
  <c r="V160" i="35"/>
  <c r="AB159" i="35"/>
  <c r="AA159" i="35"/>
  <c r="Z159" i="35"/>
  <c r="Y159" i="35"/>
  <c r="X159" i="35"/>
  <c r="W159" i="35"/>
  <c r="V159" i="35"/>
  <c r="AB158" i="35"/>
  <c r="AA158" i="35"/>
  <c r="Z158" i="35"/>
  <c r="Y158" i="35"/>
  <c r="X158" i="35"/>
  <c r="W158" i="35"/>
  <c r="V158" i="35"/>
  <c r="AB157" i="35"/>
  <c r="AA157" i="35"/>
  <c r="Z157" i="35"/>
  <c r="Y157" i="35"/>
  <c r="X157" i="35"/>
  <c r="W157" i="35"/>
  <c r="V157" i="35"/>
  <c r="AB156" i="35"/>
  <c r="AA156" i="35"/>
  <c r="Z156" i="35"/>
  <c r="Y156" i="35"/>
  <c r="X156" i="35"/>
  <c r="W156" i="35"/>
  <c r="V156" i="35"/>
  <c r="AB155" i="35"/>
  <c r="AA155" i="35"/>
  <c r="Z155" i="35"/>
  <c r="Y155" i="35"/>
  <c r="X155" i="35"/>
  <c r="W155" i="35"/>
  <c r="V155" i="35"/>
  <c r="AB154" i="35"/>
  <c r="AA154" i="35"/>
  <c r="Z154" i="35"/>
  <c r="Y154" i="35"/>
  <c r="X154" i="35"/>
  <c r="W154" i="35"/>
  <c r="V154" i="35"/>
  <c r="AB153" i="35"/>
  <c r="AA153" i="35"/>
  <c r="Z153" i="35"/>
  <c r="Y153" i="35"/>
  <c r="X153" i="35"/>
  <c r="W153" i="35"/>
  <c r="V153" i="35"/>
  <c r="AB152" i="35"/>
  <c r="AA152" i="35"/>
  <c r="Z152" i="35"/>
  <c r="Y152" i="35"/>
  <c r="X152" i="35"/>
  <c r="W152" i="35"/>
  <c r="V152" i="35"/>
  <c r="AB151" i="35"/>
  <c r="AA151" i="35"/>
  <c r="Z151" i="35"/>
  <c r="Y151" i="35"/>
  <c r="X151" i="35"/>
  <c r="W151" i="35"/>
  <c r="V151" i="35"/>
  <c r="AB150" i="35"/>
  <c r="AA150" i="35"/>
  <c r="Z150" i="35"/>
  <c r="Y150" i="35"/>
  <c r="X150" i="35"/>
  <c r="W150" i="35"/>
  <c r="V150" i="35"/>
  <c r="AB149" i="35"/>
  <c r="AA149" i="35"/>
  <c r="Z149" i="35"/>
  <c r="Y149" i="35"/>
  <c r="X149" i="35"/>
  <c r="W149" i="35"/>
  <c r="V149" i="35"/>
  <c r="AB148" i="35"/>
  <c r="AA148" i="35"/>
  <c r="Z148" i="35"/>
  <c r="Y148" i="35"/>
  <c r="X148" i="35"/>
  <c r="W148" i="35"/>
  <c r="V148" i="35"/>
  <c r="AB147" i="35"/>
  <c r="AA147" i="35"/>
  <c r="Z147" i="35"/>
  <c r="Y147" i="35"/>
  <c r="X147" i="35"/>
  <c r="W147" i="35"/>
  <c r="V147" i="35"/>
  <c r="AB146" i="35"/>
  <c r="AA146" i="35"/>
  <c r="Z146" i="35"/>
  <c r="Y146" i="35"/>
  <c r="X146" i="35"/>
  <c r="W146" i="35"/>
  <c r="V146" i="35"/>
  <c r="AB145" i="35"/>
  <c r="AA145" i="35"/>
  <c r="Z145" i="35"/>
  <c r="Y145" i="35"/>
  <c r="X145" i="35"/>
  <c r="W145" i="35"/>
  <c r="V145" i="35"/>
  <c r="AB144" i="35"/>
  <c r="AA144" i="35"/>
  <c r="Z144" i="35"/>
  <c r="Y144" i="35"/>
  <c r="X144" i="35"/>
  <c r="W144" i="35"/>
  <c r="V144" i="35"/>
  <c r="AB143" i="35"/>
  <c r="AA143" i="35"/>
  <c r="Z143" i="35"/>
  <c r="Y143" i="35"/>
  <c r="X143" i="35"/>
  <c r="W143" i="35"/>
  <c r="V143" i="35"/>
  <c r="AB142" i="35"/>
  <c r="AA142" i="35"/>
  <c r="Z142" i="35"/>
  <c r="Y142" i="35"/>
  <c r="X142" i="35"/>
  <c r="W142" i="35"/>
  <c r="V142" i="35"/>
  <c r="AB141" i="35"/>
  <c r="AA141" i="35"/>
  <c r="Z141" i="35"/>
  <c r="Y141" i="35"/>
  <c r="X141" i="35"/>
  <c r="W141" i="35"/>
  <c r="V141" i="35"/>
  <c r="AB140" i="35"/>
  <c r="AA140" i="35"/>
  <c r="Z140" i="35"/>
  <c r="Y140" i="35"/>
  <c r="X140" i="35"/>
  <c r="W140" i="35"/>
  <c r="V140" i="35"/>
  <c r="AB139" i="35"/>
  <c r="AA139" i="35"/>
  <c r="Z139" i="35"/>
  <c r="Y139" i="35"/>
  <c r="X139" i="35"/>
  <c r="W139" i="35"/>
  <c r="V139" i="35"/>
  <c r="AB138" i="35"/>
  <c r="AA138" i="35"/>
  <c r="Z138" i="35"/>
  <c r="Y138" i="35"/>
  <c r="X138" i="35"/>
  <c r="W138" i="35"/>
  <c r="V138" i="35"/>
  <c r="AB137" i="35"/>
  <c r="AA137" i="35"/>
  <c r="Z137" i="35"/>
  <c r="Y137" i="35"/>
  <c r="X137" i="35"/>
  <c r="W137" i="35"/>
  <c r="V137" i="35"/>
  <c r="AB136" i="35"/>
  <c r="AA136" i="35"/>
  <c r="Z136" i="35"/>
  <c r="Y136" i="35"/>
  <c r="X136" i="35"/>
  <c r="W136" i="35"/>
  <c r="V136" i="35"/>
  <c r="AB135" i="35"/>
  <c r="AA135" i="35"/>
  <c r="Z135" i="35"/>
  <c r="Y135" i="35"/>
  <c r="X135" i="35"/>
  <c r="W135" i="35"/>
  <c r="V135" i="35"/>
  <c r="AB134" i="35"/>
  <c r="AA134" i="35"/>
  <c r="Z134" i="35"/>
  <c r="Y134" i="35"/>
  <c r="X134" i="35"/>
  <c r="W134" i="35"/>
  <c r="V134" i="35"/>
  <c r="AB133" i="35"/>
  <c r="AA133" i="35"/>
  <c r="Z133" i="35"/>
  <c r="Y133" i="35"/>
  <c r="X133" i="35"/>
  <c r="W133" i="35"/>
  <c r="V133" i="35"/>
  <c r="AB132" i="35"/>
  <c r="AA132" i="35"/>
  <c r="Z132" i="35"/>
  <c r="Y132" i="35"/>
  <c r="X132" i="35"/>
  <c r="W132" i="35"/>
  <c r="V132" i="35"/>
  <c r="AB131" i="35"/>
  <c r="AA131" i="35"/>
  <c r="Z131" i="35"/>
  <c r="Y131" i="35"/>
  <c r="X131" i="35"/>
  <c r="W131" i="35"/>
  <c r="V131" i="35"/>
  <c r="AB130" i="35"/>
  <c r="AA130" i="35"/>
  <c r="Z130" i="35"/>
  <c r="Y130" i="35"/>
  <c r="X130" i="35"/>
  <c r="W130" i="35"/>
  <c r="V130" i="35"/>
  <c r="AB129" i="35"/>
  <c r="AA129" i="35"/>
  <c r="Z129" i="35"/>
  <c r="Y129" i="35"/>
  <c r="X129" i="35"/>
  <c r="W129" i="35"/>
  <c r="V129" i="35"/>
  <c r="AB128" i="35"/>
  <c r="AA128" i="35"/>
  <c r="Z128" i="35"/>
  <c r="Y128" i="35"/>
  <c r="X128" i="35"/>
  <c r="W128" i="35"/>
  <c r="V128" i="35"/>
  <c r="AB127" i="35"/>
  <c r="AA127" i="35"/>
  <c r="Z127" i="35"/>
  <c r="Y127" i="35"/>
  <c r="X127" i="35"/>
  <c r="W127" i="35"/>
  <c r="V127" i="35"/>
  <c r="AB126" i="35"/>
  <c r="AA126" i="35"/>
  <c r="Z126" i="35"/>
  <c r="Y126" i="35"/>
  <c r="X126" i="35"/>
  <c r="W126" i="35"/>
  <c r="V126" i="35"/>
  <c r="AB125" i="35"/>
  <c r="AA125" i="35"/>
  <c r="Z125" i="35"/>
  <c r="Y125" i="35"/>
  <c r="X125" i="35"/>
  <c r="W125" i="35"/>
  <c r="V125" i="35"/>
  <c r="AB124" i="35"/>
  <c r="AA124" i="35"/>
  <c r="Z124" i="35"/>
  <c r="Y124" i="35"/>
  <c r="X124" i="35"/>
  <c r="W124" i="35"/>
  <c r="V124" i="35"/>
  <c r="AB123" i="35"/>
  <c r="AA123" i="35"/>
  <c r="Z123" i="35"/>
  <c r="Y123" i="35"/>
  <c r="X123" i="35"/>
  <c r="W123" i="35"/>
  <c r="V123" i="35"/>
  <c r="AB122" i="35"/>
  <c r="AA122" i="35"/>
  <c r="Z122" i="35"/>
  <c r="Y122" i="35"/>
  <c r="X122" i="35"/>
  <c r="W122" i="35"/>
  <c r="V122" i="35"/>
  <c r="AB121" i="35"/>
  <c r="AA121" i="35"/>
  <c r="Z121" i="35"/>
  <c r="Y121" i="35"/>
  <c r="X121" i="35"/>
  <c r="W121" i="35"/>
  <c r="V121" i="35"/>
  <c r="AB120" i="35"/>
  <c r="AA120" i="35"/>
  <c r="Z120" i="35"/>
  <c r="Y120" i="35"/>
  <c r="X120" i="35"/>
  <c r="W120" i="35"/>
  <c r="V120" i="35"/>
  <c r="AB119" i="35"/>
  <c r="AA119" i="35"/>
  <c r="Z119" i="35"/>
  <c r="Y119" i="35"/>
  <c r="X119" i="35"/>
  <c r="W119" i="35"/>
  <c r="V119" i="35"/>
  <c r="AB118" i="35"/>
  <c r="AA118" i="35"/>
  <c r="Z118" i="35"/>
  <c r="Y118" i="35"/>
  <c r="X118" i="35"/>
  <c r="W118" i="35"/>
  <c r="V118" i="35"/>
  <c r="AB117" i="35"/>
  <c r="AA117" i="35"/>
  <c r="Z117" i="35"/>
  <c r="Y117" i="35"/>
  <c r="X117" i="35"/>
  <c r="W117" i="35"/>
  <c r="V117" i="35"/>
  <c r="AB116" i="35"/>
  <c r="AA116" i="35"/>
  <c r="Z116" i="35"/>
  <c r="Y116" i="35"/>
  <c r="X116" i="35"/>
  <c r="W116" i="35"/>
  <c r="V116" i="35"/>
  <c r="AB115" i="35"/>
  <c r="AA115" i="35"/>
  <c r="Z115" i="35"/>
  <c r="Y115" i="35"/>
  <c r="X115" i="35"/>
  <c r="W115" i="35"/>
  <c r="V115" i="35"/>
  <c r="AB114" i="35"/>
  <c r="AA114" i="35"/>
  <c r="Z114" i="35"/>
  <c r="Y114" i="35"/>
  <c r="X114" i="35"/>
  <c r="W114" i="35"/>
  <c r="V114" i="35"/>
  <c r="AB113" i="35"/>
  <c r="AA113" i="35"/>
  <c r="Z113" i="35"/>
  <c r="Y113" i="35"/>
  <c r="X113" i="35"/>
  <c r="W113" i="35"/>
  <c r="V113" i="35"/>
  <c r="AB112" i="35"/>
  <c r="AA112" i="35"/>
  <c r="Z112" i="35"/>
  <c r="Y112" i="35"/>
  <c r="X112" i="35"/>
  <c r="W112" i="35"/>
  <c r="V112" i="35"/>
  <c r="AB111" i="35"/>
  <c r="AA111" i="35"/>
  <c r="Z111" i="35"/>
  <c r="Y111" i="35"/>
  <c r="X111" i="35"/>
  <c r="W111" i="35"/>
  <c r="V111" i="35"/>
  <c r="AB110" i="35"/>
  <c r="AA110" i="35"/>
  <c r="Z110" i="35"/>
  <c r="Y110" i="35"/>
  <c r="X110" i="35"/>
  <c r="W110" i="35"/>
  <c r="V110" i="35"/>
  <c r="AB109" i="35"/>
  <c r="AA109" i="35"/>
  <c r="Z109" i="35"/>
  <c r="Y109" i="35"/>
  <c r="X109" i="35"/>
  <c r="W109" i="35"/>
  <c r="V109" i="35"/>
  <c r="AB108" i="35"/>
  <c r="AA108" i="35"/>
  <c r="Z108" i="35"/>
  <c r="Y108" i="35"/>
  <c r="X108" i="35"/>
  <c r="W108" i="35"/>
  <c r="V108" i="35"/>
  <c r="AB107" i="35"/>
  <c r="AA107" i="35"/>
  <c r="Z107" i="35"/>
  <c r="Y107" i="35"/>
  <c r="X107" i="35"/>
  <c r="W107" i="35"/>
  <c r="V107" i="35"/>
  <c r="AB106" i="35"/>
  <c r="AA106" i="35"/>
  <c r="Z106" i="35"/>
  <c r="Y106" i="35"/>
  <c r="X106" i="35"/>
  <c r="W106" i="35"/>
  <c r="V106" i="35"/>
  <c r="AB105" i="35"/>
  <c r="AA105" i="35"/>
  <c r="Z105" i="35"/>
  <c r="Y105" i="35"/>
  <c r="X105" i="35"/>
  <c r="W105" i="35"/>
  <c r="V105" i="35"/>
  <c r="AB104" i="35"/>
  <c r="AA104" i="35"/>
  <c r="Z104" i="35"/>
  <c r="Y104" i="35"/>
  <c r="X104" i="35"/>
  <c r="W104" i="35"/>
  <c r="V104" i="35"/>
  <c r="AB103" i="35"/>
  <c r="AA103" i="35"/>
  <c r="Z103" i="35"/>
  <c r="Y103" i="35"/>
  <c r="X103" i="35"/>
  <c r="W103" i="35"/>
  <c r="V103" i="35"/>
  <c r="AB102" i="35"/>
  <c r="AA102" i="35"/>
  <c r="Z102" i="35"/>
  <c r="Y102" i="35"/>
  <c r="X102" i="35"/>
  <c r="W102" i="35"/>
  <c r="V102" i="35"/>
  <c r="AB101" i="35"/>
  <c r="AA101" i="35"/>
  <c r="Z101" i="35"/>
  <c r="Y101" i="35"/>
  <c r="X101" i="35"/>
  <c r="W101" i="35"/>
  <c r="V101" i="35"/>
  <c r="AB100" i="35"/>
  <c r="AA100" i="35"/>
  <c r="Z100" i="35"/>
  <c r="Y100" i="35"/>
  <c r="X100" i="35"/>
  <c r="W100" i="35"/>
  <c r="V100" i="35"/>
  <c r="AB99" i="35"/>
  <c r="AA99" i="35"/>
  <c r="Z99" i="35"/>
  <c r="Y99" i="35"/>
  <c r="X99" i="35"/>
  <c r="W99" i="35"/>
  <c r="V99" i="35"/>
  <c r="AB98" i="35"/>
  <c r="AA98" i="35"/>
  <c r="Z98" i="35"/>
  <c r="Y98" i="35"/>
  <c r="X98" i="35"/>
  <c r="W98" i="35"/>
  <c r="V98" i="35"/>
  <c r="AB97" i="35"/>
  <c r="AA97" i="35"/>
  <c r="Z97" i="35"/>
  <c r="Y97" i="35"/>
  <c r="X97" i="35"/>
  <c r="W97" i="35"/>
  <c r="V97" i="35"/>
  <c r="AB96" i="35"/>
  <c r="AA96" i="35"/>
  <c r="Z96" i="35"/>
  <c r="Y96" i="35"/>
  <c r="X96" i="35"/>
  <c r="W96" i="35"/>
  <c r="V96" i="35"/>
  <c r="AB95" i="35"/>
  <c r="AA95" i="35"/>
  <c r="Z95" i="35"/>
  <c r="Y95" i="35"/>
  <c r="X95" i="35"/>
  <c r="W95" i="35"/>
  <c r="V95" i="35"/>
  <c r="AB94" i="35"/>
  <c r="AA94" i="35"/>
  <c r="Z94" i="35"/>
  <c r="Y94" i="35"/>
  <c r="X94" i="35"/>
  <c r="W94" i="35"/>
  <c r="V94" i="35"/>
  <c r="AB93" i="35"/>
  <c r="AA93" i="35"/>
  <c r="Z93" i="35"/>
  <c r="Y93" i="35"/>
  <c r="X93" i="35"/>
  <c r="W93" i="35"/>
  <c r="V93" i="35"/>
  <c r="AB92" i="35"/>
  <c r="AA92" i="35"/>
  <c r="Z92" i="35"/>
  <c r="Y92" i="35"/>
  <c r="X92" i="35"/>
  <c r="W92" i="35"/>
  <c r="V92" i="35"/>
  <c r="AB91" i="35"/>
  <c r="AA91" i="35"/>
  <c r="Z91" i="35"/>
  <c r="Y91" i="35"/>
  <c r="X91" i="35"/>
  <c r="W91" i="35"/>
  <c r="V91" i="35"/>
  <c r="AB90" i="35"/>
  <c r="AA90" i="35"/>
  <c r="Z90" i="35"/>
  <c r="Y90" i="35"/>
  <c r="X90" i="35"/>
  <c r="W90" i="35"/>
  <c r="V90" i="35"/>
  <c r="AB89" i="35"/>
  <c r="AA89" i="35"/>
  <c r="Z89" i="35"/>
  <c r="Y89" i="35"/>
  <c r="X89" i="35"/>
  <c r="W89" i="35"/>
  <c r="V89" i="35"/>
  <c r="AB88" i="35"/>
  <c r="AA88" i="35"/>
  <c r="Z88" i="35"/>
  <c r="Y88" i="35"/>
  <c r="X88" i="35"/>
  <c r="W88" i="35"/>
  <c r="V88" i="35"/>
  <c r="AB87" i="35"/>
  <c r="AA87" i="35"/>
  <c r="Z87" i="35"/>
  <c r="Y87" i="35"/>
  <c r="X87" i="35"/>
  <c r="W87" i="35"/>
  <c r="V87" i="35"/>
  <c r="AB86" i="35"/>
  <c r="AA86" i="35"/>
  <c r="Z86" i="35"/>
  <c r="Y86" i="35"/>
  <c r="X86" i="35"/>
  <c r="W86" i="35"/>
  <c r="V86" i="35"/>
  <c r="AB85" i="35"/>
  <c r="AA85" i="35"/>
  <c r="Z85" i="35"/>
  <c r="Y85" i="35"/>
  <c r="X85" i="35"/>
  <c r="W85" i="35"/>
  <c r="V85" i="35"/>
  <c r="AB84" i="35"/>
  <c r="AA84" i="35"/>
  <c r="Z84" i="35"/>
  <c r="Y84" i="35"/>
  <c r="X84" i="35"/>
  <c r="W84" i="35"/>
  <c r="V84" i="35"/>
  <c r="AB83" i="35"/>
  <c r="AA83" i="35"/>
  <c r="Z83" i="35"/>
  <c r="Y83" i="35"/>
  <c r="X83" i="35"/>
  <c r="W83" i="35"/>
  <c r="V83" i="35"/>
  <c r="AB82" i="35"/>
  <c r="AA82" i="35"/>
  <c r="Z82" i="35"/>
  <c r="Y82" i="35"/>
  <c r="X82" i="35"/>
  <c r="W82" i="35"/>
  <c r="V82" i="35"/>
  <c r="AB81" i="35"/>
  <c r="AA81" i="35"/>
  <c r="Z81" i="35"/>
  <c r="Y81" i="35"/>
  <c r="X81" i="35"/>
  <c r="W81" i="35"/>
  <c r="V81" i="35"/>
  <c r="AB80" i="35"/>
  <c r="AA80" i="35"/>
  <c r="Z80" i="35"/>
  <c r="Y80" i="35"/>
  <c r="X80" i="35"/>
  <c r="W80" i="35"/>
  <c r="V80" i="35"/>
  <c r="AB79" i="35"/>
  <c r="AA79" i="35"/>
  <c r="Z79" i="35"/>
  <c r="Y79" i="35"/>
  <c r="X79" i="35"/>
  <c r="W79" i="35"/>
  <c r="V79" i="35"/>
  <c r="AB78" i="35"/>
  <c r="AA78" i="35"/>
  <c r="Z78" i="35"/>
  <c r="Y78" i="35"/>
  <c r="X78" i="35"/>
  <c r="W78" i="35"/>
  <c r="V78" i="35"/>
  <c r="AB77" i="35"/>
  <c r="AA77" i="35"/>
  <c r="Z77" i="35"/>
  <c r="Y77" i="35"/>
  <c r="X77" i="35"/>
  <c r="W77" i="35"/>
  <c r="V77" i="35"/>
  <c r="AB76" i="35"/>
  <c r="AA76" i="35"/>
  <c r="Z76" i="35"/>
  <c r="Y76" i="35"/>
  <c r="X76" i="35"/>
  <c r="W76" i="35"/>
  <c r="V76" i="35"/>
  <c r="AB75" i="35"/>
  <c r="AA75" i="35"/>
  <c r="Z75" i="35"/>
  <c r="Y75" i="35"/>
  <c r="X75" i="35"/>
  <c r="W75" i="35"/>
  <c r="V75" i="35"/>
  <c r="AB74" i="35"/>
  <c r="AA74" i="35"/>
  <c r="Z74" i="35"/>
  <c r="Y74" i="35"/>
  <c r="X74" i="35"/>
  <c r="W74" i="35"/>
  <c r="V74" i="35"/>
  <c r="AB73" i="35"/>
  <c r="AA73" i="35"/>
  <c r="Z73" i="35"/>
  <c r="Y73" i="35"/>
  <c r="X73" i="35"/>
  <c r="W73" i="35"/>
  <c r="V73" i="35"/>
  <c r="AB72" i="35"/>
  <c r="AA72" i="35"/>
  <c r="Z72" i="35"/>
  <c r="Y72" i="35"/>
  <c r="X72" i="35"/>
  <c r="W72" i="35"/>
  <c r="V72" i="35"/>
  <c r="AB71" i="35"/>
  <c r="AA71" i="35"/>
  <c r="Z71" i="35"/>
  <c r="Y71" i="35"/>
  <c r="X71" i="35"/>
  <c r="W71" i="35"/>
  <c r="V71" i="35"/>
  <c r="AB70" i="35"/>
  <c r="AA70" i="35"/>
  <c r="Z70" i="35"/>
  <c r="Y70" i="35"/>
  <c r="X70" i="35"/>
  <c r="W70" i="35"/>
  <c r="V70" i="35"/>
  <c r="AB69" i="35"/>
  <c r="AA69" i="35"/>
  <c r="Z69" i="35"/>
  <c r="Y69" i="35"/>
  <c r="X69" i="35"/>
  <c r="W69" i="35"/>
  <c r="V69" i="35"/>
  <c r="AB68" i="35"/>
  <c r="AA68" i="35"/>
  <c r="Z68" i="35"/>
  <c r="Y68" i="35"/>
  <c r="X68" i="35"/>
  <c r="W68" i="35"/>
  <c r="V68" i="35"/>
  <c r="AB67" i="35"/>
  <c r="AA67" i="35"/>
  <c r="Z67" i="35"/>
  <c r="Y67" i="35"/>
  <c r="X67" i="35"/>
  <c r="W67" i="35"/>
  <c r="V67" i="35"/>
  <c r="AB66" i="35"/>
  <c r="AA66" i="35"/>
  <c r="Z66" i="35"/>
  <c r="Y66" i="35"/>
  <c r="X66" i="35"/>
  <c r="W66" i="35"/>
  <c r="V66" i="35"/>
  <c r="AB65" i="35"/>
  <c r="AA65" i="35"/>
  <c r="Z65" i="35"/>
  <c r="Y65" i="35"/>
  <c r="X65" i="35"/>
  <c r="W65" i="35"/>
  <c r="V65" i="35"/>
  <c r="AB64" i="35"/>
  <c r="AA64" i="35"/>
  <c r="Z64" i="35"/>
  <c r="Y64" i="35"/>
  <c r="X64" i="35"/>
  <c r="W64" i="35"/>
  <c r="V64" i="35"/>
  <c r="AB63" i="35"/>
  <c r="AA63" i="35"/>
  <c r="Z63" i="35"/>
  <c r="Y63" i="35"/>
  <c r="X63" i="35"/>
  <c r="W63" i="35"/>
  <c r="V63" i="35"/>
  <c r="AB62" i="35"/>
  <c r="AA62" i="35"/>
  <c r="Z62" i="35"/>
  <c r="Y62" i="35"/>
  <c r="X62" i="35"/>
  <c r="W62" i="35"/>
  <c r="V62" i="35"/>
  <c r="AB61" i="35"/>
  <c r="AA61" i="35"/>
  <c r="Z61" i="35"/>
  <c r="Y61" i="35"/>
  <c r="X61" i="35"/>
  <c r="W61" i="35"/>
  <c r="V61" i="35"/>
  <c r="AB60" i="35"/>
  <c r="AA60" i="35"/>
  <c r="Z60" i="35"/>
  <c r="Y60" i="35"/>
  <c r="X60" i="35"/>
  <c r="W60" i="35"/>
  <c r="V60" i="35"/>
  <c r="AB59" i="35"/>
  <c r="AA59" i="35"/>
  <c r="Z59" i="35"/>
  <c r="Y59" i="35"/>
  <c r="X59" i="35"/>
  <c r="W59" i="35"/>
  <c r="V59" i="35"/>
  <c r="AB58" i="35"/>
  <c r="AA58" i="35"/>
  <c r="Z58" i="35"/>
  <c r="Y58" i="35"/>
  <c r="X58" i="35"/>
  <c r="W58" i="35"/>
  <c r="V58" i="35"/>
  <c r="AB57" i="35"/>
  <c r="AA57" i="35"/>
  <c r="Z57" i="35"/>
  <c r="Y57" i="35"/>
  <c r="X57" i="35"/>
  <c r="W57" i="35"/>
  <c r="V57" i="35"/>
  <c r="AB56" i="35"/>
  <c r="AA56" i="35"/>
  <c r="Z56" i="35"/>
  <c r="Y56" i="35"/>
  <c r="X56" i="35"/>
  <c r="W56" i="35"/>
  <c r="V56" i="35"/>
  <c r="AB55" i="35"/>
  <c r="AA55" i="35"/>
  <c r="Z55" i="35"/>
  <c r="Y55" i="35"/>
  <c r="X55" i="35"/>
  <c r="W55" i="35"/>
  <c r="V55" i="35"/>
  <c r="AB54" i="35"/>
  <c r="AA54" i="35"/>
  <c r="Z54" i="35"/>
  <c r="Y54" i="35"/>
  <c r="X54" i="35"/>
  <c r="W54" i="35"/>
  <c r="V54" i="35"/>
  <c r="AB53" i="35"/>
  <c r="AA53" i="35"/>
  <c r="Z53" i="35"/>
  <c r="Y53" i="35"/>
  <c r="X53" i="35"/>
  <c r="W53" i="35"/>
  <c r="V53" i="35"/>
  <c r="AB52" i="35"/>
  <c r="AA52" i="35"/>
  <c r="Z52" i="35"/>
  <c r="Y52" i="35"/>
  <c r="X52" i="35"/>
  <c r="W52" i="35"/>
  <c r="V52" i="35"/>
  <c r="AB51" i="35"/>
  <c r="AA51" i="35"/>
  <c r="Z51" i="35"/>
  <c r="Y51" i="35"/>
  <c r="X51" i="35"/>
  <c r="W51" i="35"/>
  <c r="V51" i="35"/>
  <c r="AB50" i="35"/>
  <c r="AA50" i="35"/>
  <c r="Z50" i="35"/>
  <c r="Y50" i="35"/>
  <c r="X50" i="35"/>
  <c r="W50" i="35"/>
  <c r="V50" i="35"/>
  <c r="AB49" i="35"/>
  <c r="AA49" i="35"/>
  <c r="Z49" i="35"/>
  <c r="Y49" i="35"/>
  <c r="X49" i="35"/>
  <c r="W49" i="35"/>
  <c r="V49" i="35"/>
  <c r="AB48" i="35"/>
  <c r="AA48" i="35"/>
  <c r="Z48" i="35"/>
  <c r="Y48" i="35"/>
  <c r="X48" i="35"/>
  <c r="W48" i="35"/>
  <c r="V48" i="35"/>
  <c r="AB47" i="35"/>
  <c r="AA47" i="35"/>
  <c r="Z47" i="35"/>
  <c r="Y47" i="35"/>
  <c r="X47" i="35"/>
  <c r="W47" i="35"/>
  <c r="V47" i="35"/>
  <c r="AB46" i="35"/>
  <c r="AA46" i="35"/>
  <c r="Z46" i="35"/>
  <c r="Y46" i="35"/>
  <c r="X46" i="35"/>
  <c r="W46" i="35"/>
  <c r="V46" i="35"/>
  <c r="AB45" i="35"/>
  <c r="AA45" i="35"/>
  <c r="Z45" i="35"/>
  <c r="Y45" i="35"/>
  <c r="X45" i="35"/>
  <c r="W45" i="35"/>
  <c r="V45" i="35"/>
  <c r="AB44" i="35"/>
  <c r="AA44" i="35"/>
  <c r="Z44" i="35"/>
  <c r="Y44" i="35"/>
  <c r="X44" i="35"/>
  <c r="W44" i="35"/>
  <c r="V44" i="35"/>
  <c r="AB43" i="35"/>
  <c r="AA43" i="35"/>
  <c r="Z43" i="35"/>
  <c r="Y43" i="35"/>
  <c r="X43" i="35"/>
  <c r="W43" i="35"/>
  <c r="V43" i="35"/>
  <c r="AB42" i="35"/>
  <c r="AA42" i="35"/>
  <c r="Z42" i="35"/>
  <c r="Y42" i="35"/>
  <c r="X42" i="35"/>
  <c r="W42" i="35"/>
  <c r="V42" i="35"/>
  <c r="AB41" i="35"/>
  <c r="AA41" i="35"/>
  <c r="Z41" i="35"/>
  <c r="Y41" i="35"/>
  <c r="X41" i="35"/>
  <c r="W41" i="35"/>
  <c r="V41" i="35"/>
  <c r="AB40" i="35"/>
  <c r="AA40" i="35"/>
  <c r="Z40" i="35"/>
  <c r="Y40" i="35"/>
  <c r="X40" i="35"/>
  <c r="W40" i="35"/>
  <c r="V40" i="35"/>
  <c r="AB39" i="35"/>
  <c r="AA39" i="35"/>
  <c r="Z39" i="35"/>
  <c r="Y39" i="35"/>
  <c r="X39" i="35"/>
  <c r="W39" i="35"/>
  <c r="V39" i="35"/>
  <c r="AB38" i="35"/>
  <c r="AA38" i="35"/>
  <c r="Z38" i="35"/>
  <c r="Y38" i="35"/>
  <c r="X38" i="35"/>
  <c r="W38" i="35"/>
  <c r="V38" i="35"/>
  <c r="AB37" i="35"/>
  <c r="AA37" i="35"/>
  <c r="Z37" i="35"/>
  <c r="Y37" i="35"/>
  <c r="X37" i="35"/>
  <c r="W37" i="35"/>
  <c r="V37" i="35"/>
  <c r="AB36" i="35"/>
  <c r="AA36" i="35"/>
  <c r="Z36" i="35"/>
  <c r="Y36" i="35"/>
  <c r="X36" i="35"/>
  <c r="W36" i="35"/>
  <c r="V36" i="35"/>
  <c r="AB35" i="35"/>
  <c r="AA35" i="35"/>
  <c r="Z35" i="35"/>
  <c r="Y35" i="35"/>
  <c r="X35" i="35"/>
  <c r="W35" i="35"/>
  <c r="V35" i="35"/>
  <c r="AB34" i="35"/>
  <c r="AA34" i="35"/>
  <c r="Z34" i="35"/>
  <c r="Y34" i="35"/>
  <c r="X34" i="35"/>
  <c r="W34" i="35"/>
  <c r="V34" i="35"/>
  <c r="AB33" i="35"/>
  <c r="AA33" i="35"/>
  <c r="Z33" i="35"/>
  <c r="Y33" i="35"/>
  <c r="X33" i="35"/>
  <c r="W33" i="35"/>
  <c r="V33" i="35"/>
  <c r="AB32" i="35"/>
  <c r="AA32" i="35"/>
  <c r="Z32" i="35"/>
  <c r="Y32" i="35"/>
  <c r="X32" i="35"/>
  <c r="W32" i="35"/>
  <c r="V32" i="35"/>
  <c r="AB31" i="35"/>
  <c r="AA31" i="35"/>
  <c r="Z31" i="35"/>
  <c r="Y31" i="35"/>
  <c r="X31" i="35"/>
  <c r="W31" i="35"/>
  <c r="V31" i="35"/>
  <c r="AB30" i="35"/>
  <c r="AA30" i="35"/>
  <c r="Z30" i="35"/>
  <c r="Y30" i="35"/>
  <c r="X30" i="35"/>
  <c r="W30" i="35"/>
  <c r="V30" i="35"/>
  <c r="AB29" i="35"/>
  <c r="AA29" i="35"/>
  <c r="Z29" i="35"/>
  <c r="Y29" i="35"/>
  <c r="X29" i="35"/>
  <c r="W29" i="35"/>
  <c r="V29" i="35"/>
  <c r="AB28" i="35"/>
  <c r="AA28" i="35"/>
  <c r="Z28" i="35"/>
  <c r="Y28" i="35"/>
  <c r="X28" i="35"/>
  <c r="W28" i="35"/>
  <c r="V28" i="35"/>
  <c r="AB27" i="35"/>
  <c r="AA27" i="35"/>
  <c r="Z27" i="35"/>
  <c r="Y27" i="35"/>
  <c r="X27" i="35"/>
  <c r="W27" i="35"/>
  <c r="V27" i="35"/>
  <c r="AB26" i="35"/>
  <c r="AA26" i="35"/>
  <c r="Z26" i="35"/>
  <c r="Y26" i="35"/>
  <c r="X26" i="35"/>
  <c r="W26" i="35"/>
  <c r="V26" i="35"/>
  <c r="AB25" i="35"/>
  <c r="AA25" i="35"/>
  <c r="Z25" i="35"/>
  <c r="Y25" i="35"/>
  <c r="X25" i="35"/>
  <c r="W25" i="35"/>
  <c r="V25" i="35"/>
  <c r="AB24" i="35"/>
  <c r="AA24" i="35"/>
  <c r="Z24" i="35"/>
  <c r="Y24" i="35"/>
  <c r="X24" i="35"/>
  <c r="W24" i="35"/>
  <c r="V24" i="35"/>
  <c r="AB23" i="35"/>
  <c r="AA23" i="35"/>
  <c r="Z23" i="35"/>
  <c r="Y23" i="35"/>
  <c r="X23" i="35"/>
  <c r="W23" i="35"/>
  <c r="V23" i="35"/>
  <c r="AB22" i="35"/>
  <c r="AA22" i="35"/>
  <c r="Z22" i="35"/>
  <c r="Y22" i="35"/>
  <c r="X22" i="35"/>
  <c r="W22" i="35"/>
  <c r="V22" i="35"/>
  <c r="AB21" i="35"/>
  <c r="AA21" i="35"/>
  <c r="Z21" i="35"/>
  <c r="Y21" i="35"/>
  <c r="X21" i="35"/>
  <c r="W21" i="35"/>
  <c r="V21" i="35"/>
  <c r="AB20" i="35"/>
  <c r="AA20" i="35"/>
  <c r="Z20" i="35"/>
  <c r="Y20" i="35"/>
  <c r="X20" i="35"/>
  <c r="W20" i="35"/>
  <c r="V20" i="35"/>
  <c r="AB19" i="35"/>
  <c r="AA19" i="35"/>
  <c r="Z19" i="35"/>
  <c r="Y19" i="35"/>
  <c r="X19" i="35"/>
  <c r="W19" i="35"/>
  <c r="V19" i="35"/>
  <c r="AB18" i="35"/>
  <c r="AA18" i="35"/>
  <c r="Z18" i="35"/>
  <c r="Y18" i="35"/>
  <c r="X18" i="35"/>
  <c r="W18" i="35"/>
  <c r="V18" i="35"/>
  <c r="AB17" i="35"/>
  <c r="AA17" i="35"/>
  <c r="Z17" i="35"/>
  <c r="Y17" i="35"/>
  <c r="X17" i="35"/>
  <c r="W17" i="35"/>
  <c r="V17" i="35"/>
  <c r="AB16" i="35"/>
  <c r="AA16" i="35"/>
  <c r="Z16" i="35"/>
  <c r="Y16" i="35"/>
  <c r="X16" i="35"/>
  <c r="W16" i="35"/>
  <c r="V16" i="35"/>
  <c r="AB15" i="35"/>
  <c r="AA15" i="35"/>
  <c r="Z15" i="35"/>
  <c r="Y15" i="35"/>
  <c r="X15" i="35"/>
  <c r="W15" i="35"/>
  <c r="V15" i="35"/>
  <c r="AB14" i="35"/>
  <c r="AA14" i="35"/>
  <c r="Z14" i="35"/>
  <c r="Y14" i="35"/>
  <c r="X14" i="35"/>
  <c r="W14" i="35"/>
  <c r="V14" i="35"/>
  <c r="AB13" i="35"/>
  <c r="AA13" i="35"/>
  <c r="Z13" i="35"/>
  <c r="Y13" i="35"/>
  <c r="X13" i="35"/>
  <c r="W13" i="35"/>
  <c r="V13" i="35"/>
  <c r="AB12" i="35"/>
  <c r="AA12" i="35"/>
  <c r="Z12" i="35"/>
  <c r="Y12" i="35"/>
  <c r="X12" i="35"/>
  <c r="W12" i="35"/>
  <c r="V12" i="35"/>
  <c r="AB11" i="35"/>
  <c r="AA11" i="35"/>
  <c r="Z11" i="35"/>
  <c r="Y11" i="35"/>
  <c r="X11" i="35"/>
  <c r="W11" i="35"/>
  <c r="V11" i="35"/>
  <c r="AB10" i="35"/>
  <c r="AA10" i="35"/>
  <c r="Z10" i="35"/>
  <c r="Y10" i="35"/>
  <c r="X10" i="35"/>
  <c r="W10" i="35"/>
  <c r="V10" i="35"/>
  <c r="AB9" i="35"/>
  <c r="AA9" i="35"/>
  <c r="Z9" i="35"/>
  <c r="Y9" i="35"/>
  <c r="X9" i="35"/>
  <c r="W9" i="35"/>
  <c r="V9" i="35"/>
  <c r="AB8" i="35"/>
  <c r="AA8" i="35"/>
  <c r="Z8" i="35"/>
  <c r="Y8" i="35"/>
  <c r="X8" i="35"/>
  <c r="W8" i="35"/>
  <c r="V8" i="35"/>
  <c r="AB7" i="35"/>
  <c r="AA7" i="35"/>
  <c r="Z7" i="35"/>
  <c r="Y7" i="35"/>
  <c r="X7" i="35"/>
  <c r="W7" i="35"/>
  <c r="V7" i="35"/>
  <c r="AB6" i="35"/>
  <c r="AA6" i="35"/>
  <c r="Z6" i="35"/>
  <c r="Y6" i="35"/>
  <c r="X6" i="35"/>
  <c r="W6" i="35"/>
  <c r="V6" i="35"/>
  <c r="AB5" i="35"/>
  <c r="AA5" i="35"/>
  <c r="Z5" i="35"/>
  <c r="Y5" i="35"/>
  <c r="X5" i="35"/>
  <c r="W5" i="35"/>
  <c r="V5" i="35"/>
  <c r="AB4" i="35"/>
  <c r="AA4" i="35"/>
  <c r="Z4" i="35"/>
  <c r="Y4" i="35"/>
  <c r="X4" i="35"/>
  <c r="W4" i="35"/>
  <c r="V4" i="35"/>
  <c r="AB3" i="35"/>
  <c r="AA3" i="35"/>
  <c r="Z3" i="35"/>
  <c r="Y3" i="35"/>
  <c r="X3" i="35"/>
  <c r="W3" i="35"/>
  <c r="V3" i="35"/>
  <c r="AB2" i="35"/>
  <c r="AA2" i="35"/>
  <c r="Z2" i="35"/>
  <c r="Y2" i="35"/>
  <c r="X2" i="35"/>
  <c r="W2" i="35"/>
  <c r="V2" i="35"/>
  <c r="AB83" i="34"/>
  <c r="AA83" i="34"/>
  <c r="Z83" i="34"/>
  <c r="Y83" i="34"/>
  <c r="X83" i="34"/>
  <c r="W83" i="34"/>
  <c r="V83" i="34"/>
  <c r="AB82" i="34"/>
  <c r="AA82" i="34"/>
  <c r="Z82" i="34"/>
  <c r="Y82" i="34"/>
  <c r="X82" i="34"/>
  <c r="W82" i="34"/>
  <c r="V82" i="34"/>
  <c r="AB81" i="34"/>
  <c r="AA81" i="34"/>
  <c r="Z81" i="34"/>
  <c r="Y81" i="34"/>
  <c r="X81" i="34"/>
  <c r="W81" i="34"/>
  <c r="V81" i="34"/>
  <c r="AB80" i="34"/>
  <c r="AA80" i="34"/>
  <c r="Z80" i="34"/>
  <c r="Y80" i="34"/>
  <c r="X80" i="34"/>
  <c r="W80" i="34"/>
  <c r="V80" i="34"/>
  <c r="AB79" i="34"/>
  <c r="AA79" i="34"/>
  <c r="Z79" i="34"/>
  <c r="Y79" i="34"/>
  <c r="X79" i="34"/>
  <c r="W79" i="34"/>
  <c r="V79" i="34"/>
  <c r="AB78" i="34"/>
  <c r="AA78" i="34"/>
  <c r="Z78" i="34"/>
  <c r="Y78" i="34"/>
  <c r="X78" i="34"/>
  <c r="W78" i="34"/>
  <c r="V78" i="34"/>
  <c r="AB77" i="34"/>
  <c r="AA77" i="34"/>
  <c r="Z77" i="34"/>
  <c r="Y77" i="34"/>
  <c r="X77" i="34"/>
  <c r="W77" i="34"/>
  <c r="V77" i="34"/>
  <c r="AB76" i="34"/>
  <c r="AA76" i="34"/>
  <c r="Z76" i="34"/>
  <c r="Y76" i="34"/>
  <c r="X76" i="34"/>
  <c r="W76" i="34"/>
  <c r="V76" i="34"/>
  <c r="AB75" i="34"/>
  <c r="AA75" i="34"/>
  <c r="Z75" i="34"/>
  <c r="Y75" i="34"/>
  <c r="X75" i="34"/>
  <c r="W75" i="34"/>
  <c r="V75" i="34"/>
  <c r="AB74" i="34"/>
  <c r="AA74" i="34"/>
  <c r="Z74" i="34"/>
  <c r="Y74" i="34"/>
  <c r="X74" i="34"/>
  <c r="W74" i="34"/>
  <c r="V74" i="34"/>
  <c r="AB73" i="34"/>
  <c r="AA73" i="34"/>
  <c r="Z73" i="34"/>
  <c r="Y73" i="34"/>
  <c r="X73" i="34"/>
  <c r="W73" i="34"/>
  <c r="V73" i="34"/>
  <c r="AB72" i="34"/>
  <c r="AA72" i="34"/>
  <c r="Z72" i="34"/>
  <c r="Y72" i="34"/>
  <c r="X72" i="34"/>
  <c r="W72" i="34"/>
  <c r="V72" i="34"/>
  <c r="AB71" i="34"/>
  <c r="AA71" i="34"/>
  <c r="Z71" i="34"/>
  <c r="Y71" i="34"/>
  <c r="X71" i="34"/>
  <c r="W71" i="34"/>
  <c r="V71" i="34"/>
  <c r="AB70" i="34"/>
  <c r="AA70" i="34"/>
  <c r="Z70" i="34"/>
  <c r="Y70" i="34"/>
  <c r="X70" i="34"/>
  <c r="W70" i="34"/>
  <c r="V70" i="34"/>
  <c r="AB69" i="34"/>
  <c r="AA69" i="34"/>
  <c r="Z69" i="34"/>
  <c r="Y69" i="34"/>
  <c r="X69" i="34"/>
  <c r="W69" i="34"/>
  <c r="V69" i="34"/>
  <c r="AB68" i="34"/>
  <c r="AA68" i="34"/>
  <c r="Z68" i="34"/>
  <c r="Y68" i="34"/>
  <c r="X68" i="34"/>
  <c r="W68" i="34"/>
  <c r="V68" i="34"/>
  <c r="AB67" i="34"/>
  <c r="AA67" i="34"/>
  <c r="Z67" i="34"/>
  <c r="Y67" i="34"/>
  <c r="X67" i="34"/>
  <c r="W67" i="34"/>
  <c r="V67" i="34"/>
  <c r="AB66" i="34"/>
  <c r="AA66" i="34"/>
  <c r="Z66" i="34"/>
  <c r="Y66" i="34"/>
  <c r="X66" i="34"/>
  <c r="W66" i="34"/>
  <c r="V66" i="34"/>
  <c r="AB65" i="34"/>
  <c r="AA65" i="34"/>
  <c r="Z65" i="34"/>
  <c r="Y65" i="34"/>
  <c r="X65" i="34"/>
  <c r="W65" i="34"/>
  <c r="V65" i="34"/>
  <c r="AB64" i="34"/>
  <c r="AA64" i="34"/>
  <c r="Z64" i="34"/>
  <c r="Y64" i="34"/>
  <c r="X64" i="34"/>
  <c r="W64" i="34"/>
  <c r="V64" i="34"/>
  <c r="AB63" i="34"/>
  <c r="AA63" i="34"/>
  <c r="Z63" i="34"/>
  <c r="Y63" i="34"/>
  <c r="X63" i="34"/>
  <c r="W63" i="34"/>
  <c r="V63" i="34"/>
  <c r="AB62" i="34"/>
  <c r="AA62" i="34"/>
  <c r="Z62" i="34"/>
  <c r="Y62" i="34"/>
  <c r="X62" i="34"/>
  <c r="W62" i="34"/>
  <c r="V62" i="34"/>
  <c r="AB61" i="34"/>
  <c r="AA61" i="34"/>
  <c r="Z61" i="34"/>
  <c r="Y61" i="34"/>
  <c r="X61" i="34"/>
  <c r="W61" i="34"/>
  <c r="V61" i="34"/>
  <c r="AB60" i="34"/>
  <c r="AA60" i="34"/>
  <c r="Z60" i="34"/>
  <c r="Y60" i="34"/>
  <c r="X60" i="34"/>
  <c r="W60" i="34"/>
  <c r="V60" i="34"/>
  <c r="AB59" i="34"/>
  <c r="AA59" i="34"/>
  <c r="Z59" i="34"/>
  <c r="Y59" i="34"/>
  <c r="X59" i="34"/>
  <c r="W59" i="34"/>
  <c r="V59" i="34"/>
  <c r="AB58" i="34"/>
  <c r="AA58" i="34"/>
  <c r="Z58" i="34"/>
  <c r="Y58" i="34"/>
  <c r="X58" i="34"/>
  <c r="W58" i="34"/>
  <c r="V58" i="34"/>
  <c r="AB57" i="34"/>
  <c r="AA57" i="34"/>
  <c r="Z57" i="34"/>
  <c r="Y57" i="34"/>
  <c r="X57" i="34"/>
  <c r="W57" i="34"/>
  <c r="V57" i="34"/>
  <c r="AB56" i="34"/>
  <c r="AA56" i="34"/>
  <c r="Z56" i="34"/>
  <c r="Y56" i="34"/>
  <c r="X56" i="34"/>
  <c r="W56" i="34"/>
  <c r="V56" i="34"/>
  <c r="AB55" i="34"/>
  <c r="AA55" i="34"/>
  <c r="Z55" i="34"/>
  <c r="Y55" i="34"/>
  <c r="X55" i="34"/>
  <c r="W55" i="34"/>
  <c r="V55" i="34"/>
  <c r="AB54" i="34"/>
  <c r="AA54" i="34"/>
  <c r="Z54" i="34"/>
  <c r="Y54" i="34"/>
  <c r="X54" i="34"/>
  <c r="W54" i="34"/>
  <c r="V54" i="34"/>
  <c r="AB53" i="34"/>
  <c r="AA53" i="34"/>
  <c r="Z53" i="34"/>
  <c r="Y53" i="34"/>
  <c r="X53" i="34"/>
  <c r="W53" i="34"/>
  <c r="V53" i="34"/>
  <c r="AB52" i="34"/>
  <c r="AA52" i="34"/>
  <c r="Z52" i="34"/>
  <c r="Y52" i="34"/>
  <c r="X52" i="34"/>
  <c r="W52" i="34"/>
  <c r="V52" i="34"/>
  <c r="AB51" i="34"/>
  <c r="AA51" i="34"/>
  <c r="Z51" i="34"/>
  <c r="Y51" i="34"/>
  <c r="X51" i="34"/>
  <c r="W51" i="34"/>
  <c r="V51" i="34"/>
  <c r="AB50" i="34"/>
  <c r="AA50" i="34"/>
  <c r="Z50" i="34"/>
  <c r="Y50" i="34"/>
  <c r="X50" i="34"/>
  <c r="W50" i="34"/>
  <c r="V50" i="34"/>
  <c r="AB49" i="34"/>
  <c r="AA49" i="34"/>
  <c r="Z49" i="34"/>
  <c r="Y49" i="34"/>
  <c r="X49" i="34"/>
  <c r="W49" i="34"/>
  <c r="V49" i="34"/>
  <c r="AB48" i="34"/>
  <c r="AA48" i="34"/>
  <c r="Z48" i="34"/>
  <c r="Y48" i="34"/>
  <c r="X48" i="34"/>
  <c r="W48" i="34"/>
  <c r="V48" i="34"/>
  <c r="AB47" i="34"/>
  <c r="AA47" i="34"/>
  <c r="Z47" i="34"/>
  <c r="Y47" i="34"/>
  <c r="X47" i="34"/>
  <c r="W47" i="34"/>
  <c r="V47" i="34"/>
  <c r="AB46" i="34"/>
  <c r="AA46" i="34"/>
  <c r="Z46" i="34"/>
  <c r="Y46" i="34"/>
  <c r="X46" i="34"/>
  <c r="W46" i="34"/>
  <c r="V46" i="34"/>
  <c r="AB45" i="34"/>
  <c r="AA45" i="34"/>
  <c r="Z45" i="34"/>
  <c r="Y45" i="34"/>
  <c r="X45" i="34"/>
  <c r="W45" i="34"/>
  <c r="V45" i="34"/>
  <c r="AB44" i="34"/>
  <c r="AA44" i="34"/>
  <c r="Z44" i="34"/>
  <c r="Y44" i="34"/>
  <c r="X44" i="34"/>
  <c r="W44" i="34"/>
  <c r="V44" i="34"/>
  <c r="AB43" i="34"/>
  <c r="AA43" i="34"/>
  <c r="Z43" i="34"/>
  <c r="Y43" i="34"/>
  <c r="X43" i="34"/>
  <c r="W43" i="34"/>
  <c r="V43" i="34"/>
  <c r="AB42" i="34"/>
  <c r="AA42" i="34"/>
  <c r="Z42" i="34"/>
  <c r="Y42" i="34"/>
  <c r="X42" i="34"/>
  <c r="W42" i="34"/>
  <c r="V42" i="34"/>
  <c r="AB41" i="34"/>
  <c r="AA41" i="34"/>
  <c r="Z41" i="34"/>
  <c r="Y41" i="34"/>
  <c r="X41" i="34"/>
  <c r="W41" i="34"/>
  <c r="V41" i="34"/>
  <c r="AB40" i="34"/>
  <c r="AA40" i="34"/>
  <c r="Z40" i="34"/>
  <c r="Y40" i="34"/>
  <c r="X40" i="34"/>
  <c r="W40" i="34"/>
  <c r="V40" i="34"/>
  <c r="AB39" i="34"/>
  <c r="AA39" i="34"/>
  <c r="Z39" i="34"/>
  <c r="Y39" i="34"/>
  <c r="X39" i="34"/>
  <c r="W39" i="34"/>
  <c r="V39" i="34"/>
  <c r="AB38" i="34"/>
  <c r="AA38" i="34"/>
  <c r="Z38" i="34"/>
  <c r="Y38" i="34"/>
  <c r="X38" i="34"/>
  <c r="W38" i="34"/>
  <c r="V38" i="34"/>
  <c r="AB37" i="34"/>
  <c r="AA37" i="34"/>
  <c r="Z37" i="34"/>
  <c r="Y37" i="34"/>
  <c r="X37" i="34"/>
  <c r="W37" i="34"/>
  <c r="V37" i="34"/>
  <c r="AB36" i="34"/>
  <c r="AA36" i="34"/>
  <c r="Z36" i="34"/>
  <c r="Y36" i="34"/>
  <c r="X36" i="34"/>
  <c r="W36" i="34"/>
  <c r="V36" i="34"/>
  <c r="AB35" i="34"/>
  <c r="AA35" i="34"/>
  <c r="Z35" i="34"/>
  <c r="Y35" i="34"/>
  <c r="X35" i="34"/>
  <c r="W35" i="34"/>
  <c r="V35" i="34"/>
  <c r="AB34" i="34"/>
  <c r="AA34" i="34"/>
  <c r="Z34" i="34"/>
  <c r="Y34" i="34"/>
  <c r="X34" i="34"/>
  <c r="W34" i="34"/>
  <c r="V34" i="34"/>
  <c r="AB33" i="34"/>
  <c r="AA33" i="34"/>
  <c r="Z33" i="34"/>
  <c r="Y33" i="34"/>
  <c r="X33" i="34"/>
  <c r="W33" i="34"/>
  <c r="V33" i="34"/>
  <c r="AB32" i="34"/>
  <c r="AA32" i="34"/>
  <c r="Z32" i="34"/>
  <c r="Y32" i="34"/>
  <c r="X32" i="34"/>
  <c r="W32" i="34"/>
  <c r="V32" i="34"/>
  <c r="AB31" i="34"/>
  <c r="AA31" i="34"/>
  <c r="Z31" i="34"/>
  <c r="Y31" i="34"/>
  <c r="X31" i="34"/>
  <c r="W31" i="34"/>
  <c r="V31" i="34"/>
  <c r="AB30" i="34"/>
  <c r="AA30" i="34"/>
  <c r="Z30" i="34"/>
  <c r="Y30" i="34"/>
  <c r="X30" i="34"/>
  <c r="W30" i="34"/>
  <c r="V30" i="34"/>
  <c r="AB29" i="34"/>
  <c r="AA29" i="34"/>
  <c r="Z29" i="34"/>
  <c r="Y29" i="34"/>
  <c r="X29" i="34"/>
  <c r="W29" i="34"/>
  <c r="V29" i="34"/>
  <c r="AB28" i="34"/>
  <c r="AA28" i="34"/>
  <c r="Z28" i="34"/>
  <c r="Y28" i="34"/>
  <c r="X28" i="34"/>
  <c r="W28" i="34"/>
  <c r="V28" i="34"/>
  <c r="AB27" i="34"/>
  <c r="AA27" i="34"/>
  <c r="Z27" i="34"/>
  <c r="Y27" i="34"/>
  <c r="X27" i="34"/>
  <c r="W27" i="34"/>
  <c r="V27" i="34"/>
  <c r="AB26" i="34"/>
  <c r="AA26" i="34"/>
  <c r="Z26" i="34"/>
  <c r="Y26" i="34"/>
  <c r="X26" i="34"/>
  <c r="W26" i="34"/>
  <c r="V26" i="34"/>
  <c r="AB25" i="34"/>
  <c r="AA25" i="34"/>
  <c r="Z25" i="34"/>
  <c r="Y25" i="34"/>
  <c r="X25" i="34"/>
  <c r="W25" i="34"/>
  <c r="V25" i="34"/>
  <c r="AB24" i="34"/>
  <c r="AA24" i="34"/>
  <c r="Z24" i="34"/>
  <c r="Y24" i="34"/>
  <c r="X24" i="34"/>
  <c r="W24" i="34"/>
  <c r="V24" i="34"/>
  <c r="AB23" i="34"/>
  <c r="AA23" i="34"/>
  <c r="Z23" i="34"/>
  <c r="Y23" i="34"/>
  <c r="X23" i="34"/>
  <c r="W23" i="34"/>
  <c r="V23" i="34"/>
  <c r="AB22" i="34"/>
  <c r="AA22" i="34"/>
  <c r="Z22" i="34"/>
  <c r="Y22" i="34"/>
  <c r="X22" i="34"/>
  <c r="W22" i="34"/>
  <c r="V22" i="34"/>
  <c r="AB21" i="34"/>
  <c r="AA21" i="34"/>
  <c r="Z21" i="34"/>
  <c r="Y21" i="34"/>
  <c r="X21" i="34"/>
  <c r="W21" i="34"/>
  <c r="V21" i="34"/>
  <c r="AB20" i="34"/>
  <c r="AA20" i="34"/>
  <c r="Z20" i="34"/>
  <c r="Y20" i="34"/>
  <c r="X20" i="34"/>
  <c r="W20" i="34"/>
  <c r="V20" i="34"/>
  <c r="AB19" i="34"/>
  <c r="AA19" i="34"/>
  <c r="Z19" i="34"/>
  <c r="Y19" i="34"/>
  <c r="X19" i="34"/>
  <c r="W19" i="34"/>
  <c r="V19" i="34"/>
  <c r="AB18" i="34"/>
  <c r="AA18" i="34"/>
  <c r="Z18" i="34"/>
  <c r="Y18" i="34"/>
  <c r="X18" i="34"/>
  <c r="W18" i="34"/>
  <c r="V18" i="34"/>
  <c r="AB17" i="34"/>
  <c r="AA17" i="34"/>
  <c r="Z17" i="34"/>
  <c r="Y17" i="34"/>
  <c r="X17" i="34"/>
  <c r="W17" i="34"/>
  <c r="V17" i="34"/>
  <c r="AB16" i="34"/>
  <c r="AA16" i="34"/>
  <c r="Z16" i="34"/>
  <c r="Y16" i="34"/>
  <c r="X16" i="34"/>
  <c r="W16" i="34"/>
  <c r="V16" i="34"/>
  <c r="AB15" i="34"/>
  <c r="AA15" i="34"/>
  <c r="Z15" i="34"/>
  <c r="Y15" i="34"/>
  <c r="X15" i="34"/>
  <c r="W15" i="34"/>
  <c r="V15" i="34"/>
  <c r="AB14" i="34"/>
  <c r="AA14" i="34"/>
  <c r="Z14" i="34"/>
  <c r="Y14" i="34"/>
  <c r="X14" i="34"/>
  <c r="W14" i="34"/>
  <c r="V14" i="34"/>
  <c r="AB13" i="34"/>
  <c r="AA13" i="34"/>
  <c r="Z13" i="34"/>
  <c r="Y13" i="34"/>
  <c r="X13" i="34"/>
  <c r="W13" i="34"/>
  <c r="V13" i="34"/>
  <c r="AB12" i="34"/>
  <c r="AA12" i="34"/>
  <c r="Z12" i="34"/>
  <c r="Y12" i="34"/>
  <c r="X12" i="34"/>
  <c r="W12" i="34"/>
  <c r="V12" i="34"/>
  <c r="AB11" i="34"/>
  <c r="AA11" i="34"/>
  <c r="Z11" i="34"/>
  <c r="Y11" i="34"/>
  <c r="X11" i="34"/>
  <c r="W11" i="34"/>
  <c r="V11" i="34"/>
  <c r="AB10" i="34"/>
  <c r="AA10" i="34"/>
  <c r="Z10" i="34"/>
  <c r="Y10" i="34"/>
  <c r="X10" i="34"/>
  <c r="W10" i="34"/>
  <c r="V10" i="34"/>
  <c r="AB9" i="34"/>
  <c r="AA9" i="34"/>
  <c r="Z9" i="34"/>
  <c r="Y9" i="34"/>
  <c r="X9" i="34"/>
  <c r="W9" i="34"/>
  <c r="V9" i="34"/>
  <c r="AB8" i="34"/>
  <c r="AA8" i="34"/>
  <c r="Z8" i="34"/>
  <c r="Y8" i="34"/>
  <c r="X8" i="34"/>
  <c r="W8" i="34"/>
  <c r="V8" i="34"/>
  <c r="AB7" i="34"/>
  <c r="AA7" i="34"/>
  <c r="Z7" i="34"/>
  <c r="Y7" i="34"/>
  <c r="X7" i="34"/>
  <c r="W7" i="34"/>
  <c r="V7" i="34"/>
  <c r="AB6" i="34"/>
  <c r="AA6" i="34"/>
  <c r="Z6" i="34"/>
  <c r="Y6" i="34"/>
  <c r="X6" i="34"/>
  <c r="W6" i="34"/>
  <c r="V6" i="34"/>
  <c r="AB5" i="34"/>
  <c r="AA5" i="34"/>
  <c r="Z5" i="34"/>
  <c r="Y5" i="34"/>
  <c r="X5" i="34"/>
  <c r="W5" i="34"/>
  <c r="V5" i="34"/>
  <c r="AB4" i="34"/>
  <c r="AA4" i="34"/>
  <c r="Z4" i="34"/>
  <c r="Y4" i="34"/>
  <c r="X4" i="34"/>
  <c r="W4" i="34"/>
  <c r="V4" i="34"/>
  <c r="AB3" i="34"/>
  <c r="AA3" i="34"/>
  <c r="Z3" i="34"/>
  <c r="Y3" i="34"/>
  <c r="X3" i="34"/>
  <c r="W3" i="34"/>
  <c r="V3" i="34"/>
  <c r="AB2" i="34"/>
  <c r="AA2" i="34"/>
  <c r="Z2" i="34"/>
  <c r="Y2" i="34"/>
  <c r="X2" i="34"/>
  <c r="W2" i="34"/>
  <c r="V2" i="34"/>
  <c r="AA81" i="32"/>
  <c r="AA80" i="32"/>
  <c r="AA79" i="32"/>
  <c r="AA78" i="32"/>
  <c r="AA77" i="32"/>
  <c r="AA76" i="32"/>
  <c r="AA73" i="32"/>
  <c r="AA72" i="32"/>
  <c r="AA71" i="32"/>
  <c r="AA70" i="32"/>
  <c r="AA69" i="32"/>
  <c r="AA68" i="32"/>
  <c r="AA67" i="32"/>
  <c r="AA66" i="32"/>
  <c r="AA65" i="32"/>
  <c r="AA64" i="32"/>
  <c r="AA63" i="32"/>
  <c r="AA62" i="32"/>
  <c r="AA61" i="32"/>
  <c r="AA52" i="32"/>
  <c r="AA51" i="32"/>
  <c r="AA50" i="32"/>
  <c r="AA49" i="32"/>
  <c r="AA48" i="32"/>
  <c r="AA47" i="32"/>
  <c r="AA46" i="32"/>
  <c r="AA38" i="32"/>
  <c r="AA37" i="32"/>
  <c r="AA36" i="32"/>
  <c r="AA82" i="31"/>
  <c r="AA81" i="31"/>
  <c r="AA80" i="31"/>
  <c r="AA79" i="31"/>
  <c r="AA78" i="31"/>
  <c r="AA77" i="31"/>
  <c r="AA76" i="31"/>
  <c r="AA72" i="31"/>
  <c r="AA71" i="31"/>
  <c r="AA70" i="31"/>
  <c r="AA69" i="31"/>
  <c r="AA68" i="31"/>
  <c r="AA67" i="31"/>
  <c r="AA66" i="31"/>
  <c r="AA65" i="31"/>
  <c r="AA64" i="31"/>
  <c r="AA63" i="31"/>
  <c r="AA62" i="31"/>
  <c r="AA61" i="31"/>
  <c r="AA51" i="31"/>
  <c r="AA50" i="31"/>
  <c r="AA49" i="31"/>
  <c r="AA48" i="31"/>
  <c r="AA47" i="31"/>
  <c r="AA46" i="31"/>
  <c r="AA38" i="31"/>
  <c r="AA37" i="31"/>
  <c r="AA36" i="31"/>
  <c r="AA81" i="30"/>
  <c r="AA80" i="30"/>
  <c r="AA79" i="30"/>
  <c r="AA78" i="30"/>
  <c r="AA77" i="30"/>
  <c r="AA76" i="30"/>
  <c r="AA72" i="30"/>
  <c r="AA71" i="30"/>
  <c r="AA70" i="30"/>
  <c r="AA69" i="30"/>
  <c r="AA68" i="30"/>
  <c r="AA67" i="30"/>
  <c r="AA66" i="30"/>
  <c r="AA65" i="30"/>
  <c r="AA64" i="30"/>
  <c r="AA63" i="30"/>
  <c r="AA62" i="30"/>
  <c r="AA61" i="30"/>
  <c r="AA51" i="30"/>
  <c r="AA50" i="30"/>
  <c r="AA49" i="30"/>
  <c r="AA48" i="30"/>
  <c r="AA47" i="30"/>
  <c r="AA46" i="30"/>
  <c r="AA38" i="30"/>
  <c r="AA37" i="30"/>
  <c r="AA36" i="30"/>
  <c r="AA81" i="29"/>
  <c r="AA80" i="29"/>
  <c r="AA79" i="29"/>
  <c r="AA78" i="29"/>
  <c r="AA77" i="29"/>
  <c r="AA76" i="29"/>
  <c r="AA71" i="29"/>
  <c r="AA70" i="29"/>
  <c r="AA69" i="29"/>
  <c r="AA68" i="29"/>
  <c r="AA67" i="29"/>
  <c r="AA66" i="29"/>
  <c r="AA65" i="29"/>
  <c r="AA64" i="29"/>
  <c r="AA63" i="29"/>
  <c r="AA62" i="29"/>
  <c r="AA61" i="29"/>
  <c r="AA51" i="29"/>
  <c r="AA50" i="29"/>
  <c r="AA49" i="29"/>
  <c r="AA48" i="29"/>
  <c r="AA47" i="29"/>
  <c r="AA46" i="29"/>
  <c r="AA39" i="29"/>
  <c r="AA38" i="29"/>
  <c r="AA37" i="29"/>
  <c r="AA36" i="29"/>
  <c r="AA80" i="28"/>
  <c r="AA79" i="28"/>
  <c r="AA78" i="28"/>
  <c r="AA77" i="28"/>
  <c r="AA76" i="28"/>
  <c r="AA73" i="28"/>
  <c r="AA72" i="28"/>
  <c r="AA71" i="28"/>
  <c r="AA70" i="28"/>
  <c r="AA69" i="28"/>
  <c r="AA68" i="28"/>
  <c r="AA67" i="28"/>
  <c r="AA66" i="28"/>
  <c r="AA65" i="28"/>
  <c r="AA64" i="28"/>
  <c r="AA63" i="28"/>
  <c r="AA62" i="28"/>
  <c r="AA61" i="28"/>
  <c r="AA52" i="28"/>
  <c r="AA51" i="28"/>
  <c r="AA50" i="28"/>
  <c r="AA49" i="28"/>
  <c r="AA48" i="28"/>
  <c r="AA47" i="28"/>
  <c r="AA46" i="28"/>
  <c r="AA38" i="28"/>
  <c r="AA37" i="28"/>
  <c r="AA36" i="28"/>
  <c r="AA80" i="27"/>
  <c r="AA79" i="27"/>
  <c r="AA78" i="27"/>
  <c r="AA77" i="27"/>
  <c r="AA76" i="27"/>
  <c r="AA71" i="27"/>
  <c r="AA70" i="27"/>
  <c r="AA69" i="27"/>
  <c r="AA68" i="27"/>
  <c r="AA67" i="27"/>
  <c r="AA66" i="27"/>
  <c r="AA65" i="27"/>
  <c r="AA64" i="27"/>
  <c r="AA63" i="27"/>
  <c r="AA62" i="27"/>
  <c r="AA61" i="27"/>
  <c r="AA52" i="27"/>
  <c r="AA51" i="27"/>
  <c r="AA50" i="27"/>
  <c r="AA49" i="27"/>
  <c r="AA48" i="27"/>
  <c r="AA47" i="27"/>
  <c r="AA46" i="27"/>
  <c r="AA39" i="27"/>
  <c r="AA38" i="27"/>
  <c r="AA37" i="27"/>
  <c r="AA36" i="27"/>
  <c r="AA81" i="26"/>
  <c r="AA80" i="26"/>
  <c r="AA79" i="26"/>
  <c r="AA78" i="26"/>
  <c r="AA77" i="26"/>
  <c r="AA76" i="26"/>
  <c r="AA73" i="26"/>
  <c r="AA72" i="26"/>
  <c r="AA71" i="26"/>
  <c r="AA70" i="26"/>
  <c r="AA69" i="26"/>
  <c r="AA68" i="26"/>
  <c r="AA67" i="26"/>
  <c r="AA66" i="26"/>
  <c r="AA65" i="26"/>
  <c r="AA64" i="26"/>
  <c r="AA63" i="26"/>
  <c r="AA62" i="26"/>
  <c r="AA61" i="26"/>
  <c r="AA51" i="26"/>
  <c r="AA50" i="26"/>
  <c r="AA49" i="26"/>
  <c r="AA48" i="26"/>
  <c r="AA47" i="26"/>
  <c r="AA46" i="26"/>
  <c r="AA39" i="26"/>
  <c r="AA38" i="26"/>
  <c r="AA37" i="26"/>
  <c r="AA36" i="26"/>
  <c r="AA81" i="25"/>
  <c r="AA80" i="25"/>
  <c r="AA79" i="25"/>
  <c r="AA78" i="25"/>
  <c r="AA77" i="25"/>
  <c r="AA76" i="25"/>
  <c r="AA72" i="25"/>
  <c r="AA71" i="25"/>
  <c r="AA70" i="25"/>
  <c r="AA69" i="25"/>
  <c r="AA68" i="25"/>
  <c r="AA67" i="25"/>
  <c r="AA66" i="25"/>
  <c r="AA65" i="25"/>
  <c r="AA64" i="25"/>
  <c r="AA63" i="25"/>
  <c r="AA62" i="25"/>
  <c r="AA61" i="25"/>
  <c r="AA51" i="25"/>
  <c r="AA50" i="25"/>
  <c r="AA49" i="25"/>
  <c r="AA48" i="25"/>
  <c r="AA47" i="25"/>
  <c r="AA46" i="25"/>
  <c r="AA38" i="25"/>
  <c r="AA37" i="25"/>
  <c r="AA36" i="25"/>
  <c r="AA76" i="24"/>
  <c r="AA77" i="24"/>
  <c r="AA78" i="24"/>
  <c r="AA79" i="24"/>
  <c r="AA80" i="24"/>
  <c r="Z36" i="25"/>
  <c r="Z37" i="25"/>
  <c r="Z38" i="25"/>
  <c r="Z46" i="25"/>
  <c r="Z47" i="25"/>
  <c r="Z48" i="25"/>
  <c r="Z49" i="25"/>
  <c r="Z50" i="25"/>
  <c r="Z51" i="25"/>
  <c r="Z61" i="25"/>
  <c r="Z62" i="25"/>
  <c r="Z63" i="25"/>
  <c r="Z64" i="25"/>
  <c r="Z65" i="25"/>
  <c r="Z66" i="25"/>
  <c r="Z67" i="25"/>
  <c r="Z68" i="25"/>
  <c r="Z69" i="25"/>
  <c r="Z70" i="25"/>
  <c r="Z71" i="25"/>
  <c r="Z72" i="25"/>
  <c r="AA73" i="24"/>
  <c r="AA72" i="24"/>
  <c r="AA71" i="24"/>
  <c r="AA70" i="24"/>
  <c r="AA69" i="24"/>
  <c r="AA68" i="24"/>
  <c r="AA67" i="24"/>
  <c r="AA66" i="24"/>
  <c r="AA65" i="24"/>
  <c r="AA64" i="24"/>
  <c r="AA63" i="24"/>
  <c r="AA62" i="24"/>
  <c r="AA61" i="24"/>
  <c r="AA51" i="24"/>
  <c r="AA50" i="24"/>
  <c r="AA49" i="24"/>
  <c r="AA48" i="24"/>
  <c r="AA47" i="24"/>
  <c r="AA46" i="24"/>
  <c r="AA38" i="24"/>
  <c r="AA37" i="24"/>
  <c r="AA36" i="24"/>
  <c r="AA82" i="23"/>
  <c r="AA81" i="23"/>
  <c r="AA80" i="23"/>
  <c r="AA79" i="23"/>
  <c r="AA78" i="23"/>
  <c r="AA77" i="23"/>
  <c r="AA76" i="23"/>
  <c r="AA72" i="23"/>
  <c r="AA71" i="23"/>
  <c r="AA70" i="23"/>
  <c r="AA69" i="23"/>
  <c r="AA68" i="23"/>
  <c r="AA67" i="23"/>
  <c r="AA66" i="23"/>
  <c r="AA65" i="23"/>
  <c r="AA64" i="23"/>
  <c r="AA63" i="23"/>
  <c r="AA62" i="23"/>
  <c r="AA61" i="23"/>
  <c r="AA52" i="23"/>
  <c r="AA51" i="23"/>
  <c r="AA50" i="23"/>
  <c r="AA49" i="23"/>
  <c r="AA48" i="23"/>
  <c r="AA47" i="23"/>
  <c r="AA46" i="23"/>
  <c r="AA38" i="23"/>
  <c r="AA37" i="23"/>
  <c r="AA36" i="23"/>
  <c r="AA81" i="22"/>
  <c r="AA80" i="22"/>
  <c r="AA79" i="22"/>
  <c r="AA78" i="22"/>
  <c r="AA77" i="22"/>
  <c r="AA76" i="22"/>
  <c r="AA72" i="22"/>
  <c r="AA71" i="22"/>
  <c r="AA70" i="22"/>
  <c r="AA69" i="22"/>
  <c r="AA68" i="22"/>
  <c r="AA67" i="22"/>
  <c r="AA66" i="22"/>
  <c r="AA65" i="22"/>
  <c r="AA64" i="22"/>
  <c r="AA63" i="22"/>
  <c r="AA62" i="22"/>
  <c r="AA61" i="22"/>
  <c r="AA51" i="22"/>
  <c r="AA50" i="22"/>
  <c r="AA49" i="22"/>
  <c r="AA48" i="22"/>
  <c r="AA47" i="22"/>
  <c r="AA46" i="22"/>
  <c r="AA39" i="22"/>
  <c r="AA38" i="22"/>
  <c r="AA37" i="22"/>
  <c r="AA36" i="22"/>
  <c r="AA81" i="21"/>
  <c r="AA80" i="21"/>
  <c r="AA79" i="21"/>
  <c r="AA78" i="21"/>
  <c r="AA77" i="21"/>
  <c r="AA76" i="21"/>
  <c r="AA73" i="21"/>
  <c r="AA72" i="21"/>
  <c r="AA71" i="21"/>
  <c r="AA70" i="21"/>
  <c r="AA69" i="21"/>
  <c r="AA68" i="21"/>
  <c r="AA67" i="21"/>
  <c r="AA66" i="21"/>
  <c r="AA65" i="21"/>
  <c r="AA64" i="21"/>
  <c r="AA63" i="21"/>
  <c r="AA62" i="21"/>
  <c r="AA61" i="21"/>
  <c r="AA51" i="21"/>
  <c r="AA50" i="21"/>
  <c r="AA49" i="21"/>
  <c r="AA48" i="21"/>
  <c r="AA47" i="21"/>
  <c r="AA46" i="21"/>
  <c r="AA38" i="21"/>
  <c r="AA37" i="21"/>
  <c r="AA36" i="21"/>
  <c r="AA81" i="20"/>
  <c r="AA80" i="20"/>
  <c r="AA79" i="20"/>
  <c r="AA78" i="20"/>
  <c r="AA77" i="20"/>
  <c r="AA76" i="20"/>
  <c r="AA71" i="20"/>
  <c r="AA70" i="20"/>
  <c r="AA69" i="20"/>
  <c r="AA68" i="20"/>
  <c r="AA67" i="20"/>
  <c r="AA66" i="20"/>
  <c r="AA65" i="20"/>
  <c r="AA64" i="20"/>
  <c r="AA63" i="20"/>
  <c r="AA62" i="20"/>
  <c r="AA61" i="20"/>
  <c r="AA51" i="20"/>
  <c r="AA50" i="20"/>
  <c r="AA49" i="20"/>
  <c r="AA48" i="20"/>
  <c r="AA47" i="20"/>
  <c r="AA46" i="20"/>
  <c r="AA38" i="20"/>
  <c r="AA37" i="20"/>
  <c r="AA36" i="20"/>
  <c r="AA81" i="19"/>
  <c r="AA80" i="19"/>
  <c r="AA79" i="19"/>
  <c r="AA78" i="19"/>
  <c r="AA77" i="19"/>
  <c r="AA76" i="19"/>
  <c r="AA71" i="19"/>
  <c r="AA70" i="19"/>
  <c r="AA69" i="19"/>
  <c r="AA68" i="19"/>
  <c r="AA67" i="19"/>
  <c r="AA66" i="19"/>
  <c r="AA65" i="19"/>
  <c r="AA64" i="19"/>
  <c r="AA63" i="19"/>
  <c r="AA62" i="19"/>
  <c r="AA61" i="19"/>
  <c r="AA54" i="19"/>
  <c r="AA53" i="19"/>
  <c r="AA52" i="19"/>
  <c r="AA51" i="19"/>
  <c r="AA50" i="19"/>
  <c r="AA49" i="19"/>
  <c r="AA48" i="19"/>
  <c r="AA47" i="19"/>
  <c r="AA46" i="19"/>
  <c r="AA39" i="19"/>
  <c r="AA38" i="19"/>
  <c r="AA37" i="19"/>
  <c r="AA36" i="19"/>
  <c r="AA82" i="18"/>
  <c r="AA81" i="18"/>
  <c r="AA80" i="18"/>
  <c r="AA79" i="18"/>
  <c r="AA78" i="18"/>
  <c r="AA77" i="18"/>
  <c r="AA76" i="18"/>
  <c r="AA72" i="18"/>
  <c r="AA71" i="18"/>
  <c r="AA70" i="18"/>
  <c r="AA69" i="18"/>
  <c r="AA68" i="18"/>
  <c r="AA67" i="18"/>
  <c r="AA66" i="18"/>
  <c r="AA65" i="18"/>
  <c r="AA64" i="18"/>
  <c r="AA63" i="18"/>
  <c r="AA62" i="18"/>
  <c r="AA61" i="18"/>
  <c r="AA50" i="18"/>
  <c r="AA49" i="18"/>
  <c r="AA48" i="18"/>
  <c r="AA47" i="18"/>
  <c r="AA46" i="18"/>
  <c r="AA39" i="18"/>
  <c r="AA38" i="18"/>
  <c r="AA37" i="18"/>
  <c r="AA36" i="18"/>
  <c r="AA81" i="17"/>
  <c r="AA80" i="17"/>
  <c r="AA79" i="17"/>
  <c r="AA78" i="17"/>
  <c r="AA77" i="17"/>
  <c r="AA76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51" i="17"/>
  <c r="AA50" i="17"/>
  <c r="AA49" i="17"/>
  <c r="AA48" i="17"/>
  <c r="AA47" i="17"/>
  <c r="AA46" i="17"/>
  <c r="AA38" i="17"/>
  <c r="AA37" i="17"/>
  <c r="AA36" i="17"/>
  <c r="AA82" i="16"/>
  <c r="AA81" i="16"/>
  <c r="AA80" i="16"/>
  <c r="AA79" i="16"/>
  <c r="AA78" i="16"/>
  <c r="AA77" i="16"/>
  <c r="AA76" i="16"/>
  <c r="AA74" i="16"/>
  <c r="AA73" i="16"/>
  <c r="AA72" i="16"/>
  <c r="AA71" i="16"/>
  <c r="AA70" i="16"/>
  <c r="AA69" i="16"/>
  <c r="AA68" i="16"/>
  <c r="AA67" i="16"/>
  <c r="AA66" i="16"/>
  <c r="AA65" i="16"/>
  <c r="AA64" i="16"/>
  <c r="AA63" i="16"/>
  <c r="AA62" i="16"/>
  <c r="AA61" i="16"/>
  <c r="AA50" i="16"/>
  <c r="AA49" i="16"/>
  <c r="AA48" i="16"/>
  <c r="AA47" i="16"/>
  <c r="AA46" i="16"/>
  <c r="AA39" i="16"/>
  <c r="AA38" i="16"/>
  <c r="AA37" i="16"/>
  <c r="AA36" i="16"/>
  <c r="AA82" i="15"/>
  <c r="AA81" i="15"/>
  <c r="AA80" i="15"/>
  <c r="AA79" i="15"/>
  <c r="AA78" i="15"/>
  <c r="AA77" i="15"/>
  <c r="AA76" i="15"/>
  <c r="AA73" i="15"/>
  <c r="AA72" i="15"/>
  <c r="AA71" i="15"/>
  <c r="AA70" i="15"/>
  <c r="AA69" i="15"/>
  <c r="AA68" i="15"/>
  <c r="AA67" i="15"/>
  <c r="AA66" i="15"/>
  <c r="AA65" i="15"/>
  <c r="AA64" i="15"/>
  <c r="AA63" i="15"/>
  <c r="AA62" i="15"/>
  <c r="AA61" i="15"/>
  <c r="AA51" i="15"/>
  <c r="AA50" i="15"/>
  <c r="AA49" i="15"/>
  <c r="AA48" i="15"/>
  <c r="AA47" i="15"/>
  <c r="AA46" i="15"/>
  <c r="AA38" i="15"/>
  <c r="AA37" i="15"/>
  <c r="AA36" i="15"/>
  <c r="AA84" i="14"/>
  <c r="AA83" i="14"/>
  <c r="AA82" i="14"/>
  <c r="AA81" i="14"/>
  <c r="AA80" i="14"/>
  <c r="AA79" i="14"/>
  <c r="AA78" i="14"/>
  <c r="AA77" i="14"/>
  <c r="AA76" i="14"/>
  <c r="AA73" i="14"/>
  <c r="AA72" i="14"/>
  <c r="AA71" i="14"/>
  <c r="AA70" i="14"/>
  <c r="AA69" i="14"/>
  <c r="AA68" i="14"/>
  <c r="AA67" i="14"/>
  <c r="AA66" i="14"/>
  <c r="AA65" i="14"/>
  <c r="AA64" i="14"/>
  <c r="AA63" i="14"/>
  <c r="AA62" i="14"/>
  <c r="AA61" i="14"/>
  <c r="AA52" i="14"/>
  <c r="AA51" i="14"/>
  <c r="AA50" i="14"/>
  <c r="AA49" i="14"/>
  <c r="AA48" i="14"/>
  <c r="AA47" i="14"/>
  <c r="AA46" i="14"/>
  <c r="AA38" i="14"/>
  <c r="AA37" i="14"/>
  <c r="AA36" i="14"/>
  <c r="AA83" i="13"/>
  <c r="AA82" i="13"/>
  <c r="AA81" i="13"/>
  <c r="AA80" i="13"/>
  <c r="AA79" i="13"/>
  <c r="AA78" i="13"/>
  <c r="AA77" i="13"/>
  <c r="AA76" i="13"/>
  <c r="AA73" i="13"/>
  <c r="AA72" i="13"/>
  <c r="AA71" i="13"/>
  <c r="AA70" i="13"/>
  <c r="AA69" i="13"/>
  <c r="AA68" i="13"/>
  <c r="AA67" i="13"/>
  <c r="AA66" i="13"/>
  <c r="AA65" i="13"/>
  <c r="AA64" i="13"/>
  <c r="AA63" i="13"/>
  <c r="AA62" i="13"/>
  <c r="AA61" i="13"/>
  <c r="AA50" i="13"/>
  <c r="AA49" i="13"/>
  <c r="AA48" i="13"/>
  <c r="AA47" i="13"/>
  <c r="AA46" i="13"/>
  <c r="AA39" i="13"/>
  <c r="AA38" i="13"/>
  <c r="AA37" i="13"/>
  <c r="AA36" i="13"/>
  <c r="AA80" i="12"/>
  <c r="AA79" i="12"/>
  <c r="AA78" i="12"/>
  <c r="AA77" i="12"/>
  <c r="AA76" i="12"/>
  <c r="AA72" i="12"/>
  <c r="AA71" i="12"/>
  <c r="AA70" i="12"/>
  <c r="AA69" i="12"/>
  <c r="AA68" i="12"/>
  <c r="AA67" i="12"/>
  <c r="AA66" i="12"/>
  <c r="AA65" i="12"/>
  <c r="AA64" i="12"/>
  <c r="AA63" i="12"/>
  <c r="AA62" i="12"/>
  <c r="AA61" i="12"/>
  <c r="AA52" i="12"/>
  <c r="AA51" i="12"/>
  <c r="AA50" i="12"/>
  <c r="AA49" i="12"/>
  <c r="AA48" i="12"/>
  <c r="AA47" i="12"/>
  <c r="AA46" i="12"/>
  <c r="AA38" i="12"/>
  <c r="AA37" i="12"/>
  <c r="AA36" i="12"/>
  <c r="AA81" i="11"/>
  <c r="AA80" i="11"/>
  <c r="AA79" i="11"/>
  <c r="AA78" i="11"/>
  <c r="AA77" i="11"/>
  <c r="AA76" i="11"/>
  <c r="AA73" i="11"/>
  <c r="AA72" i="11"/>
  <c r="AA71" i="11"/>
  <c r="AA70" i="11"/>
  <c r="AA69" i="11"/>
  <c r="AA68" i="11"/>
  <c r="AA67" i="11"/>
  <c r="AA66" i="11"/>
  <c r="AA65" i="11"/>
  <c r="AA64" i="11"/>
  <c r="AA63" i="11"/>
  <c r="AA62" i="11"/>
  <c r="AA61" i="11"/>
  <c r="AA53" i="11"/>
  <c r="AA52" i="11"/>
  <c r="AA51" i="11"/>
  <c r="AA50" i="11"/>
  <c r="AA49" i="11"/>
  <c r="AA48" i="11"/>
  <c r="AA47" i="11"/>
  <c r="AA46" i="11"/>
  <c r="AA40" i="11"/>
  <c r="AA39" i="11"/>
  <c r="AA38" i="11"/>
  <c r="AA37" i="11"/>
  <c r="AA36" i="11"/>
  <c r="AA81" i="10"/>
  <c r="AA80" i="10"/>
  <c r="AA79" i="10"/>
  <c r="AA78" i="10"/>
  <c r="AA77" i="10"/>
  <c r="AA76" i="10"/>
  <c r="AA74" i="10"/>
  <c r="AA73" i="10"/>
  <c r="AA72" i="10"/>
  <c r="AA71" i="10"/>
  <c r="AA70" i="10"/>
  <c r="AA69" i="10"/>
  <c r="AA68" i="10"/>
  <c r="AA67" i="10"/>
  <c r="AA66" i="10"/>
  <c r="AA65" i="10"/>
  <c r="AA64" i="10"/>
  <c r="AA63" i="10"/>
  <c r="AA62" i="10"/>
  <c r="AA61" i="10"/>
  <c r="Y46" i="10"/>
  <c r="AA51" i="10"/>
  <c r="AA50" i="10"/>
  <c r="AA49" i="10"/>
  <c r="AA48" i="10"/>
  <c r="AA47" i="10"/>
  <c r="AA46" i="10"/>
  <c r="AA38" i="10"/>
  <c r="AA37" i="10"/>
  <c r="AA36" i="10"/>
  <c r="AA81" i="9"/>
  <c r="AA80" i="9"/>
  <c r="AA79" i="9"/>
  <c r="AA78" i="9"/>
  <c r="AA77" i="9"/>
  <c r="AA76" i="9"/>
  <c r="AA74" i="9"/>
  <c r="AA73" i="9"/>
  <c r="AA72" i="9"/>
  <c r="AA71" i="9"/>
  <c r="AA70" i="9"/>
  <c r="AA69" i="9"/>
  <c r="AA68" i="9"/>
  <c r="AA67" i="9"/>
  <c r="AA66" i="9"/>
  <c r="AA65" i="9"/>
  <c r="AA64" i="9"/>
  <c r="AA63" i="9"/>
  <c r="AA62" i="9"/>
  <c r="AA61" i="9"/>
  <c r="AA51" i="9"/>
  <c r="AA50" i="9"/>
  <c r="AA49" i="9"/>
  <c r="AA48" i="9"/>
  <c r="AA47" i="9"/>
  <c r="AA46" i="9"/>
  <c r="AA38" i="9"/>
  <c r="AA37" i="9"/>
  <c r="AA36" i="9"/>
  <c r="AA81" i="8"/>
  <c r="AA80" i="8"/>
  <c r="AA79" i="8"/>
  <c r="AA78" i="8"/>
  <c r="AA77" i="8"/>
  <c r="AA76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51" i="8"/>
  <c r="AA50" i="8"/>
  <c r="AA49" i="8"/>
  <c r="AA48" i="8"/>
  <c r="AA47" i="8"/>
  <c r="AA46" i="8"/>
  <c r="AA39" i="8"/>
  <c r="AA38" i="8"/>
  <c r="AA37" i="8"/>
  <c r="AA36" i="8"/>
  <c r="AA82" i="7"/>
  <c r="AA81" i="7"/>
  <c r="AA80" i="7"/>
  <c r="AA79" i="7"/>
  <c r="AA78" i="7"/>
  <c r="AA77" i="7"/>
  <c r="AA76" i="7"/>
  <c r="AA72" i="7"/>
  <c r="AA71" i="7"/>
  <c r="AA70" i="7"/>
  <c r="AA69" i="7"/>
  <c r="AA68" i="7"/>
  <c r="AA67" i="7"/>
  <c r="AA66" i="7"/>
  <c r="AA65" i="7"/>
  <c r="AA64" i="7"/>
  <c r="AA63" i="7"/>
  <c r="AA62" i="7"/>
  <c r="AA61" i="7"/>
  <c r="AA51" i="7"/>
  <c r="AA50" i="7"/>
  <c r="AA49" i="7"/>
  <c r="AA48" i="7"/>
  <c r="AA47" i="7"/>
  <c r="AA46" i="7"/>
  <c r="AA39" i="7"/>
  <c r="AA38" i="7"/>
  <c r="AA37" i="7"/>
  <c r="AA36" i="7"/>
  <c r="AA81" i="6"/>
  <c r="AA80" i="6"/>
  <c r="AA79" i="6"/>
  <c r="AA78" i="6"/>
  <c r="AA77" i="6"/>
  <c r="AA76" i="6"/>
  <c r="AA71" i="6"/>
  <c r="AA70" i="6"/>
  <c r="AA69" i="6"/>
  <c r="AA68" i="6"/>
  <c r="AA67" i="6"/>
  <c r="AA66" i="6"/>
  <c r="AA65" i="6"/>
  <c r="AA64" i="6"/>
  <c r="AA63" i="6"/>
  <c r="AA62" i="6"/>
  <c r="AA61" i="6"/>
  <c r="AA50" i="6"/>
  <c r="AA49" i="6"/>
  <c r="AA48" i="6"/>
  <c r="AA47" i="6"/>
  <c r="AA46" i="6"/>
  <c r="AA39" i="6"/>
  <c r="AA38" i="6"/>
  <c r="AA37" i="6"/>
  <c r="AA36" i="6"/>
  <c r="AA80" i="5"/>
  <c r="AA79" i="5"/>
  <c r="AA78" i="5"/>
  <c r="AA77" i="5"/>
  <c r="AA76" i="5"/>
  <c r="AA72" i="5"/>
  <c r="AA71" i="5"/>
  <c r="AA70" i="5"/>
  <c r="AA69" i="5"/>
  <c r="AA68" i="5"/>
  <c r="AA67" i="5"/>
  <c r="AA66" i="5"/>
  <c r="AA65" i="5"/>
  <c r="AA64" i="5"/>
  <c r="AA63" i="5"/>
  <c r="AA62" i="5"/>
  <c r="AA61" i="5"/>
  <c r="AA50" i="5"/>
  <c r="AA49" i="5"/>
  <c r="AA48" i="5"/>
  <c r="AA47" i="5"/>
  <c r="AA46" i="5"/>
  <c r="AA39" i="5"/>
  <c r="AA38" i="5"/>
  <c r="AA37" i="5"/>
  <c r="AA36" i="5"/>
  <c r="AA80" i="4"/>
  <c r="AA79" i="4"/>
  <c r="AA78" i="4"/>
  <c r="AA77" i="4"/>
  <c r="AA76" i="4"/>
  <c r="AA73" i="4"/>
  <c r="AA72" i="4"/>
  <c r="AA71" i="4"/>
  <c r="AA70" i="4"/>
  <c r="AA69" i="4"/>
  <c r="AA68" i="4"/>
  <c r="AA67" i="4"/>
  <c r="AA66" i="4"/>
  <c r="AA65" i="4"/>
  <c r="AA64" i="4"/>
  <c r="AA63" i="4"/>
  <c r="AA62" i="4"/>
  <c r="AA61" i="4"/>
  <c r="AA50" i="4"/>
  <c r="AA49" i="4"/>
  <c r="AA48" i="4"/>
  <c r="AA47" i="4"/>
  <c r="AA46" i="4"/>
  <c r="AA38" i="4"/>
  <c r="AA37" i="4"/>
  <c r="AA36" i="4"/>
  <c r="AA36" i="3"/>
  <c r="AA51" i="3"/>
  <c r="AA50" i="3"/>
  <c r="AA49" i="3"/>
  <c r="AA48" i="3"/>
  <c r="AA47" i="3"/>
  <c r="AA46" i="3"/>
  <c r="AA39" i="3"/>
  <c r="AA38" i="3"/>
  <c r="AA37" i="3"/>
  <c r="AA82" i="2"/>
  <c r="AA81" i="2"/>
  <c r="AA80" i="2"/>
  <c r="AA79" i="2"/>
  <c r="AA78" i="2"/>
  <c r="AA77" i="2"/>
  <c r="AA76" i="2"/>
  <c r="AA72" i="2"/>
  <c r="AA71" i="2"/>
  <c r="AA70" i="2"/>
  <c r="AA69" i="2"/>
  <c r="AA68" i="2"/>
  <c r="AA67" i="2"/>
  <c r="AA66" i="2"/>
  <c r="AA65" i="2"/>
  <c r="AA64" i="2"/>
  <c r="AA63" i="2"/>
  <c r="AA62" i="2"/>
  <c r="AA61" i="2"/>
  <c r="AA51" i="2"/>
  <c r="AA50" i="2"/>
  <c r="AA49" i="2"/>
  <c r="AA48" i="2"/>
  <c r="AA47" i="2"/>
  <c r="AA46" i="2"/>
  <c r="AA38" i="2"/>
  <c r="AA37" i="2"/>
  <c r="AA36" i="2"/>
  <c r="AA81" i="1"/>
  <c r="AA82" i="1"/>
  <c r="AA80" i="1"/>
  <c r="AA79" i="1"/>
  <c r="AA78" i="1"/>
  <c r="AA77" i="1"/>
  <c r="AA76" i="1"/>
  <c r="AA71" i="1"/>
  <c r="AA70" i="1"/>
  <c r="AA69" i="1"/>
  <c r="AA68" i="1"/>
  <c r="AA67" i="1"/>
  <c r="AA66" i="1"/>
  <c r="AA65" i="1"/>
  <c r="AA64" i="1"/>
  <c r="AA63" i="1"/>
  <c r="AA62" i="1"/>
  <c r="AA61" i="1"/>
  <c r="AA51" i="1"/>
  <c r="AA50" i="1"/>
  <c r="AA49" i="1"/>
  <c r="AA48" i="1"/>
  <c r="AA47" i="1"/>
  <c r="AA46" i="1"/>
  <c r="AA40" i="1"/>
  <c r="AA39" i="1"/>
  <c r="AA38" i="1"/>
  <c r="AA37" i="1"/>
  <c r="AB81" i="32"/>
  <c r="AB80" i="32"/>
  <c r="AB79" i="32"/>
  <c r="AB78" i="32"/>
  <c r="AB77" i="32"/>
  <c r="AB76" i="32"/>
  <c r="AB73" i="32"/>
  <c r="AB72" i="32"/>
  <c r="AB71" i="32"/>
  <c r="AB70" i="32"/>
  <c r="AB69" i="32"/>
  <c r="AB68" i="32"/>
  <c r="AB67" i="32"/>
  <c r="AB66" i="32"/>
  <c r="AB65" i="32"/>
  <c r="AB64" i="32"/>
  <c r="AB63" i="32"/>
  <c r="AB62" i="32"/>
  <c r="AB61" i="32"/>
  <c r="AB52" i="32"/>
  <c r="AB51" i="32"/>
  <c r="AB50" i="32"/>
  <c r="AB49" i="32"/>
  <c r="AB48" i="32"/>
  <c r="AB47" i="32"/>
  <c r="AB46" i="32"/>
  <c r="AB38" i="32"/>
  <c r="AB37" i="32"/>
  <c r="AB36" i="32"/>
  <c r="AB82" i="31"/>
  <c r="AB81" i="31"/>
  <c r="AB80" i="31"/>
  <c r="AB79" i="31"/>
  <c r="AB78" i="31"/>
  <c r="AB77" i="31"/>
  <c r="AB76" i="31"/>
  <c r="AB72" i="31"/>
  <c r="AB71" i="31"/>
  <c r="AB70" i="31"/>
  <c r="AB69" i="31"/>
  <c r="AB68" i="31"/>
  <c r="AB67" i="31"/>
  <c r="AB66" i="31"/>
  <c r="AB65" i="31"/>
  <c r="AB64" i="31"/>
  <c r="AB63" i="31"/>
  <c r="AB62" i="31"/>
  <c r="AB61" i="31"/>
  <c r="AB51" i="31"/>
  <c r="AB50" i="31"/>
  <c r="AB49" i="31"/>
  <c r="AB48" i="31"/>
  <c r="AB47" i="31"/>
  <c r="AB46" i="31"/>
  <c r="AB38" i="31"/>
  <c r="AB37" i="31"/>
  <c r="AB36" i="31"/>
  <c r="AB81" i="30"/>
  <c r="AB80" i="30"/>
  <c r="AB79" i="30"/>
  <c r="AB78" i="30"/>
  <c r="AB77" i="30"/>
  <c r="AB76" i="30"/>
  <c r="AB72" i="30"/>
  <c r="AB71" i="30"/>
  <c r="AB70" i="30"/>
  <c r="AB69" i="30"/>
  <c r="AB68" i="30"/>
  <c r="AB67" i="30"/>
  <c r="AB66" i="30"/>
  <c r="AB65" i="30"/>
  <c r="AB64" i="30"/>
  <c r="AB63" i="30"/>
  <c r="AB62" i="30"/>
  <c r="AB61" i="30"/>
  <c r="AB51" i="30"/>
  <c r="AB50" i="30"/>
  <c r="AB49" i="30"/>
  <c r="AB48" i="30"/>
  <c r="AB47" i="30"/>
  <c r="AB46" i="30"/>
  <c r="AB38" i="30"/>
  <c r="AB37" i="30"/>
  <c r="AB36" i="30"/>
  <c r="AB81" i="29"/>
  <c r="AB80" i="29"/>
  <c r="AB79" i="29"/>
  <c r="AB78" i="29"/>
  <c r="AB77" i="29"/>
  <c r="AB76" i="29"/>
  <c r="AB71" i="29"/>
  <c r="AB70" i="29"/>
  <c r="AB69" i="29"/>
  <c r="AB68" i="29"/>
  <c r="AB67" i="29"/>
  <c r="AB66" i="29"/>
  <c r="AB65" i="29"/>
  <c r="AB64" i="29"/>
  <c r="AB63" i="29"/>
  <c r="AB62" i="29"/>
  <c r="AB61" i="29"/>
  <c r="AB51" i="29"/>
  <c r="AB50" i="29"/>
  <c r="AB49" i="29"/>
  <c r="AB48" i="29"/>
  <c r="AB47" i="29"/>
  <c r="AB46" i="29"/>
  <c r="AB39" i="29"/>
  <c r="AB38" i="29"/>
  <c r="AB37" i="29"/>
  <c r="AB36" i="29"/>
  <c r="AB80" i="28"/>
  <c r="AB79" i="28"/>
  <c r="AB78" i="28"/>
  <c r="AB77" i="28"/>
  <c r="AB76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52" i="28"/>
  <c r="AB51" i="28"/>
  <c r="AB50" i="28"/>
  <c r="AB49" i="28"/>
  <c r="AB48" i="28"/>
  <c r="AB47" i="28"/>
  <c r="AB46" i="28"/>
  <c r="AB38" i="28"/>
  <c r="AB37" i="28"/>
  <c r="AB36" i="28"/>
  <c r="AB80" i="27"/>
  <c r="AB79" i="27"/>
  <c r="AB78" i="27"/>
  <c r="AB77" i="27"/>
  <c r="AB76" i="27"/>
  <c r="AB71" i="27"/>
  <c r="AB70" i="27"/>
  <c r="AB69" i="27"/>
  <c r="AB68" i="27"/>
  <c r="AB67" i="27"/>
  <c r="AB66" i="27"/>
  <c r="AB65" i="27"/>
  <c r="AB64" i="27"/>
  <c r="AB63" i="27"/>
  <c r="AB62" i="27"/>
  <c r="AB61" i="27"/>
  <c r="AB52" i="27"/>
  <c r="AB51" i="27"/>
  <c r="AB50" i="27"/>
  <c r="AB49" i="27"/>
  <c r="AB48" i="27"/>
  <c r="AB47" i="27"/>
  <c r="AB46" i="27"/>
  <c r="AB39" i="27"/>
  <c r="AB38" i="27"/>
  <c r="AB37" i="27"/>
  <c r="AB36" i="27"/>
  <c r="AB81" i="26"/>
  <c r="AB80" i="26"/>
  <c r="AB79" i="26"/>
  <c r="AB78" i="26"/>
  <c r="AB77" i="26"/>
  <c r="AB76" i="26"/>
  <c r="AB73" i="26"/>
  <c r="AB72" i="26"/>
  <c r="AB71" i="26"/>
  <c r="AB70" i="26"/>
  <c r="AB69" i="26"/>
  <c r="AB68" i="26"/>
  <c r="AB67" i="26"/>
  <c r="AB66" i="26"/>
  <c r="AB65" i="26"/>
  <c r="AB64" i="26"/>
  <c r="AB63" i="26"/>
  <c r="AB62" i="26"/>
  <c r="AB61" i="26"/>
  <c r="AB51" i="26"/>
  <c r="AB50" i="26"/>
  <c r="AB49" i="26"/>
  <c r="AB48" i="26"/>
  <c r="AB47" i="26"/>
  <c r="AB46" i="26"/>
  <c r="AB39" i="26"/>
  <c r="AB38" i="26"/>
  <c r="AB37" i="26"/>
  <c r="AB36" i="26"/>
  <c r="AB81" i="25"/>
  <c r="AB80" i="25"/>
  <c r="AB79" i="25"/>
  <c r="AB78" i="25"/>
  <c r="AB77" i="25"/>
  <c r="AB76" i="25"/>
  <c r="AB72" i="25"/>
  <c r="AB71" i="25"/>
  <c r="AB70" i="25"/>
  <c r="AB69" i="25"/>
  <c r="AB68" i="25"/>
  <c r="AB67" i="25"/>
  <c r="AB66" i="25"/>
  <c r="AB65" i="25"/>
  <c r="AB64" i="25"/>
  <c r="AB63" i="25"/>
  <c r="AB62" i="25"/>
  <c r="AB61" i="25"/>
  <c r="AB51" i="25"/>
  <c r="AB50" i="25"/>
  <c r="AB49" i="25"/>
  <c r="AB48" i="25"/>
  <c r="AB47" i="25"/>
  <c r="AB46" i="25"/>
  <c r="AB38" i="25"/>
  <c r="AB37" i="25"/>
  <c r="AB36" i="25"/>
  <c r="AB80" i="24"/>
  <c r="AB79" i="24"/>
  <c r="AB78" i="24"/>
  <c r="AB77" i="24"/>
  <c r="AB76" i="24"/>
  <c r="AB73" i="24"/>
  <c r="AB72" i="24"/>
  <c r="AB71" i="24"/>
  <c r="AB70" i="24"/>
  <c r="AB69" i="24"/>
  <c r="AB68" i="24"/>
  <c r="AB67" i="24"/>
  <c r="AB66" i="24"/>
  <c r="AB65" i="24"/>
  <c r="AB64" i="24"/>
  <c r="AB63" i="24"/>
  <c r="AB62" i="24"/>
  <c r="AB61" i="24"/>
  <c r="AB51" i="24"/>
  <c r="AB50" i="24"/>
  <c r="AB49" i="24"/>
  <c r="AB48" i="24"/>
  <c r="AB47" i="24"/>
  <c r="AB46" i="24"/>
  <c r="AB38" i="24"/>
  <c r="AB37" i="24"/>
  <c r="AB36" i="24"/>
  <c r="AB82" i="23"/>
  <c r="AB81" i="23"/>
  <c r="AB80" i="23"/>
  <c r="AB79" i="23"/>
  <c r="AB78" i="23"/>
  <c r="AB77" i="23"/>
  <c r="AB76" i="23"/>
  <c r="AB72" i="23"/>
  <c r="AB71" i="23"/>
  <c r="AB70" i="23"/>
  <c r="AB69" i="23"/>
  <c r="AB68" i="23"/>
  <c r="AB67" i="23"/>
  <c r="AB66" i="23"/>
  <c r="AB65" i="23"/>
  <c r="AB64" i="23"/>
  <c r="AB63" i="23"/>
  <c r="AB62" i="23"/>
  <c r="AB61" i="23"/>
  <c r="AB52" i="23"/>
  <c r="AB51" i="23"/>
  <c r="AB50" i="23"/>
  <c r="AB49" i="23"/>
  <c r="AB48" i="23"/>
  <c r="AB47" i="23"/>
  <c r="AB46" i="23"/>
  <c r="AB38" i="23"/>
  <c r="AB37" i="23"/>
  <c r="AB36" i="23"/>
  <c r="AB81" i="22"/>
  <c r="AB80" i="22"/>
  <c r="AB79" i="22"/>
  <c r="AB78" i="22"/>
  <c r="AB77" i="22"/>
  <c r="AB76" i="22"/>
  <c r="AB72" i="22"/>
  <c r="AB71" i="22"/>
  <c r="AB70" i="22"/>
  <c r="AB69" i="22"/>
  <c r="AB68" i="22"/>
  <c r="AB67" i="22"/>
  <c r="AB66" i="22"/>
  <c r="AB65" i="22"/>
  <c r="AB64" i="22"/>
  <c r="AB63" i="22"/>
  <c r="AB62" i="22"/>
  <c r="AB61" i="22"/>
  <c r="AB51" i="22"/>
  <c r="AB50" i="22"/>
  <c r="AB49" i="22"/>
  <c r="AB48" i="22"/>
  <c r="AB47" i="22"/>
  <c r="AB46" i="22"/>
  <c r="AB39" i="22"/>
  <c r="AB38" i="22"/>
  <c r="AB37" i="22"/>
  <c r="AB36" i="22"/>
  <c r="AB81" i="21"/>
  <c r="AB80" i="21"/>
  <c r="AB79" i="21"/>
  <c r="AB78" i="21"/>
  <c r="AB77" i="21"/>
  <c r="AB76" i="21"/>
  <c r="AB73" i="21"/>
  <c r="AB72" i="21"/>
  <c r="AB71" i="21"/>
  <c r="AB70" i="21"/>
  <c r="AB69" i="21"/>
  <c r="AB68" i="21"/>
  <c r="AB67" i="21"/>
  <c r="AB66" i="21"/>
  <c r="AB65" i="21"/>
  <c r="AB64" i="21"/>
  <c r="AB63" i="21"/>
  <c r="AB62" i="21"/>
  <c r="AB61" i="21"/>
  <c r="AB51" i="21"/>
  <c r="AB50" i="21"/>
  <c r="AB49" i="21"/>
  <c r="AB48" i="21"/>
  <c r="AB47" i="21"/>
  <c r="AB46" i="21"/>
  <c r="AB38" i="21"/>
  <c r="AB37" i="21"/>
  <c r="AB36" i="21"/>
  <c r="AB81" i="20"/>
  <c r="AB80" i="20"/>
  <c r="AB79" i="20"/>
  <c r="AB78" i="20"/>
  <c r="AB77" i="20"/>
  <c r="AB76" i="20"/>
  <c r="AB71" i="20"/>
  <c r="AB70" i="20"/>
  <c r="AB69" i="20"/>
  <c r="AB68" i="20"/>
  <c r="AB67" i="20"/>
  <c r="AB66" i="20"/>
  <c r="AB65" i="20"/>
  <c r="AB64" i="20"/>
  <c r="AB63" i="20"/>
  <c r="AB62" i="20"/>
  <c r="AB61" i="20"/>
  <c r="AB51" i="20"/>
  <c r="AB50" i="20"/>
  <c r="AB49" i="20"/>
  <c r="AB48" i="20"/>
  <c r="AB47" i="20"/>
  <c r="AB46" i="20"/>
  <c r="AB38" i="20"/>
  <c r="AB37" i="20"/>
  <c r="AB36" i="20"/>
  <c r="AB81" i="19"/>
  <c r="AB80" i="19"/>
  <c r="AB79" i="19"/>
  <c r="AB78" i="19"/>
  <c r="AB77" i="19"/>
  <c r="AB76" i="19"/>
  <c r="AB71" i="19"/>
  <c r="AB70" i="19"/>
  <c r="AB69" i="19"/>
  <c r="AB68" i="19"/>
  <c r="AB67" i="19"/>
  <c r="AB66" i="19"/>
  <c r="AB65" i="19"/>
  <c r="AB64" i="19"/>
  <c r="AB63" i="19"/>
  <c r="AB62" i="19"/>
  <c r="AB61" i="19"/>
  <c r="AB54" i="19"/>
  <c r="AB53" i="19"/>
  <c r="AB52" i="19"/>
  <c r="AB51" i="19"/>
  <c r="AB50" i="19"/>
  <c r="AB49" i="19"/>
  <c r="AB48" i="19"/>
  <c r="AB47" i="19"/>
  <c r="AB46" i="19"/>
  <c r="AB39" i="19"/>
  <c r="AB38" i="19"/>
  <c r="AB37" i="19"/>
  <c r="AB36" i="19"/>
  <c r="AB82" i="18"/>
  <c r="AB81" i="18"/>
  <c r="AB80" i="18"/>
  <c r="AB79" i="18"/>
  <c r="AB78" i="18"/>
  <c r="AB77" i="18"/>
  <c r="AB76" i="18"/>
  <c r="AB72" i="18"/>
  <c r="AB71" i="18"/>
  <c r="AB70" i="18"/>
  <c r="AB69" i="18"/>
  <c r="AB68" i="18"/>
  <c r="AB67" i="18"/>
  <c r="AB66" i="18"/>
  <c r="AB65" i="18"/>
  <c r="AB64" i="18"/>
  <c r="AB63" i="18"/>
  <c r="AB62" i="18"/>
  <c r="AB61" i="18"/>
  <c r="AB50" i="18"/>
  <c r="AB49" i="18"/>
  <c r="AB48" i="18"/>
  <c r="AB47" i="18"/>
  <c r="AB46" i="18"/>
  <c r="AB39" i="18"/>
  <c r="AB38" i="18"/>
  <c r="AB37" i="18"/>
  <c r="AB36" i="18"/>
  <c r="AB81" i="17"/>
  <c r="AB80" i="17"/>
  <c r="AB79" i="17"/>
  <c r="AB78" i="17"/>
  <c r="AB77" i="17"/>
  <c r="AB76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51" i="17"/>
  <c r="AB50" i="17"/>
  <c r="AB49" i="17"/>
  <c r="AB48" i="17"/>
  <c r="AB47" i="17"/>
  <c r="AB46" i="17"/>
  <c r="AB38" i="17"/>
  <c r="AB37" i="17"/>
  <c r="AB36" i="17"/>
  <c r="AB82" i="16"/>
  <c r="AB81" i="16"/>
  <c r="AB80" i="16"/>
  <c r="AB79" i="16"/>
  <c r="AB78" i="16"/>
  <c r="AB77" i="16"/>
  <c r="AB76" i="16"/>
  <c r="AB74" i="16"/>
  <c r="AB73" i="16"/>
  <c r="AB72" i="16"/>
  <c r="AB71" i="16"/>
  <c r="AB70" i="16"/>
  <c r="AB69" i="16"/>
  <c r="AB68" i="16"/>
  <c r="AB67" i="16"/>
  <c r="AB66" i="16"/>
  <c r="AB65" i="16"/>
  <c r="AB64" i="16"/>
  <c r="AB63" i="16"/>
  <c r="AB62" i="16"/>
  <c r="AB61" i="16"/>
  <c r="AB50" i="16"/>
  <c r="AB49" i="16"/>
  <c r="AB48" i="16"/>
  <c r="AB47" i="16"/>
  <c r="AB46" i="16"/>
  <c r="AB82" i="15"/>
  <c r="AB81" i="15"/>
  <c r="AB80" i="15"/>
  <c r="AB79" i="15"/>
  <c r="AB78" i="15"/>
  <c r="AB77" i="15"/>
  <c r="AB76" i="15"/>
  <c r="AB73" i="15"/>
  <c r="AB72" i="15"/>
  <c r="AB71" i="15"/>
  <c r="AB70" i="15"/>
  <c r="AB69" i="15"/>
  <c r="AB68" i="15"/>
  <c r="AB67" i="15"/>
  <c r="AB66" i="15"/>
  <c r="AB65" i="15"/>
  <c r="AB64" i="15"/>
  <c r="AB63" i="15"/>
  <c r="AB62" i="15"/>
  <c r="AB61" i="15"/>
  <c r="AB51" i="15"/>
  <c r="AB50" i="15"/>
  <c r="AB49" i="15"/>
  <c r="AB48" i="15"/>
  <c r="AB47" i="15"/>
  <c r="AB46" i="15"/>
  <c r="AB38" i="15"/>
  <c r="AB37" i="15"/>
  <c r="AB36" i="15"/>
  <c r="AB84" i="14"/>
  <c r="AB83" i="14"/>
  <c r="AB82" i="14"/>
  <c r="AB81" i="14"/>
  <c r="AB80" i="14"/>
  <c r="AB79" i="14"/>
  <c r="AB78" i="14"/>
  <c r="AB77" i="14"/>
  <c r="AB76" i="14"/>
  <c r="AB73" i="14"/>
  <c r="AB72" i="14"/>
  <c r="AB71" i="14"/>
  <c r="AB70" i="14"/>
  <c r="AB69" i="14"/>
  <c r="AB68" i="14"/>
  <c r="AB67" i="14"/>
  <c r="AB66" i="14"/>
  <c r="AB65" i="14"/>
  <c r="AB64" i="14"/>
  <c r="AB63" i="14"/>
  <c r="AB62" i="14"/>
  <c r="AB61" i="14"/>
  <c r="AB52" i="14"/>
  <c r="AB51" i="14"/>
  <c r="AB50" i="14"/>
  <c r="AB49" i="14"/>
  <c r="AB48" i="14"/>
  <c r="AB47" i="14"/>
  <c r="AB46" i="14"/>
  <c r="AB38" i="14"/>
  <c r="AB37" i="14"/>
  <c r="AB36" i="14"/>
  <c r="AB83" i="13"/>
  <c r="AB82" i="13"/>
  <c r="AB81" i="13"/>
  <c r="AB80" i="13"/>
  <c r="AB79" i="13"/>
  <c r="AB78" i="13"/>
  <c r="AB77" i="13"/>
  <c r="AB76" i="13"/>
  <c r="AB73" i="13"/>
  <c r="AB72" i="13"/>
  <c r="AB71" i="13"/>
  <c r="AB70" i="13"/>
  <c r="AB69" i="13"/>
  <c r="AB68" i="13"/>
  <c r="AB67" i="13"/>
  <c r="AB66" i="13"/>
  <c r="AB65" i="13"/>
  <c r="AB64" i="13"/>
  <c r="AB63" i="13"/>
  <c r="AB62" i="13"/>
  <c r="AB61" i="13"/>
  <c r="AB50" i="13"/>
  <c r="AB49" i="13"/>
  <c r="AB48" i="13"/>
  <c r="AB47" i="13"/>
  <c r="AB46" i="13"/>
  <c r="AB39" i="13"/>
  <c r="AB38" i="13"/>
  <c r="AB37" i="13"/>
  <c r="AB36" i="13"/>
  <c r="AB80" i="12"/>
  <c r="AB79" i="12"/>
  <c r="AB78" i="12"/>
  <c r="AB77" i="12"/>
  <c r="AB76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52" i="12"/>
  <c r="AB51" i="12"/>
  <c r="AB50" i="12"/>
  <c r="AB49" i="12"/>
  <c r="AB48" i="12"/>
  <c r="AB47" i="12"/>
  <c r="AB46" i="12"/>
  <c r="AB38" i="12"/>
  <c r="AB37" i="12"/>
  <c r="AB36" i="12"/>
  <c r="AB81" i="11"/>
  <c r="AB80" i="11"/>
  <c r="AB79" i="11"/>
  <c r="AB78" i="11"/>
  <c r="AB77" i="11"/>
  <c r="AB76" i="11"/>
  <c r="AB73" i="11"/>
  <c r="AB72" i="11"/>
  <c r="AB71" i="11"/>
  <c r="AB70" i="11"/>
  <c r="AB69" i="11"/>
  <c r="AB68" i="11"/>
  <c r="AB67" i="11"/>
  <c r="AB66" i="11"/>
  <c r="AB65" i="11"/>
  <c r="AB64" i="11"/>
  <c r="AB63" i="11"/>
  <c r="AB62" i="11"/>
  <c r="AB61" i="11"/>
  <c r="AB53" i="11"/>
  <c r="AB52" i="11"/>
  <c r="AB51" i="11"/>
  <c r="AB50" i="11"/>
  <c r="AB49" i="11"/>
  <c r="AB48" i="11"/>
  <c r="AB47" i="11"/>
  <c r="AB46" i="11"/>
  <c r="AB40" i="11"/>
  <c r="AB39" i="11"/>
  <c r="AB38" i="11"/>
  <c r="AB37" i="11"/>
  <c r="AB36" i="11"/>
  <c r="AB81" i="10"/>
  <c r="AB80" i="10"/>
  <c r="AB79" i="10"/>
  <c r="AB78" i="10"/>
  <c r="AB77" i="10"/>
  <c r="AB76" i="10"/>
  <c r="AB74" i="10"/>
  <c r="AB73" i="10"/>
  <c r="AB72" i="10"/>
  <c r="AB71" i="10"/>
  <c r="AB70" i="10"/>
  <c r="AB69" i="10"/>
  <c r="AB68" i="10"/>
  <c r="AB67" i="10"/>
  <c r="AB66" i="10"/>
  <c r="AB65" i="10"/>
  <c r="AB64" i="10"/>
  <c r="AB63" i="10"/>
  <c r="AB62" i="10"/>
  <c r="AB61" i="10"/>
  <c r="AB51" i="10"/>
  <c r="AB50" i="10"/>
  <c r="AB49" i="10"/>
  <c r="AB48" i="10"/>
  <c r="AB47" i="10"/>
  <c r="AB46" i="10"/>
  <c r="AB38" i="10"/>
  <c r="AB37" i="10"/>
  <c r="AB36" i="10"/>
  <c r="AB81" i="9"/>
  <c r="AB80" i="9"/>
  <c r="AB79" i="9"/>
  <c r="AB78" i="9"/>
  <c r="AB77" i="9"/>
  <c r="AB76" i="9"/>
  <c r="AB74" i="9"/>
  <c r="AB73" i="9"/>
  <c r="AB72" i="9"/>
  <c r="AB71" i="9"/>
  <c r="AB70" i="9"/>
  <c r="AB69" i="9"/>
  <c r="AB68" i="9"/>
  <c r="AB67" i="9"/>
  <c r="AB66" i="9"/>
  <c r="AB65" i="9"/>
  <c r="AB64" i="9"/>
  <c r="AB63" i="9"/>
  <c r="AB62" i="9"/>
  <c r="AB61" i="9"/>
  <c r="AB51" i="9"/>
  <c r="AB50" i="9"/>
  <c r="AB49" i="9"/>
  <c r="AB48" i="9"/>
  <c r="AB47" i="9"/>
  <c r="AB46" i="9"/>
  <c r="AB38" i="9"/>
  <c r="AB37" i="9"/>
  <c r="AB36" i="9"/>
  <c r="AB81" i="8"/>
  <c r="AB80" i="8"/>
  <c r="AB79" i="8"/>
  <c r="AB78" i="8"/>
  <c r="AB77" i="8"/>
  <c r="AB76" i="8"/>
  <c r="AB73" i="8"/>
  <c r="AB72" i="8"/>
  <c r="AB71" i="8"/>
  <c r="AB70" i="8"/>
  <c r="AB69" i="8"/>
  <c r="AB68" i="8"/>
  <c r="AB67" i="8"/>
  <c r="AB66" i="8"/>
  <c r="AB65" i="8"/>
  <c r="AB64" i="8"/>
  <c r="AB63" i="8"/>
  <c r="AB62" i="8"/>
  <c r="AB61" i="8"/>
  <c r="AB51" i="8"/>
  <c r="AB50" i="8"/>
  <c r="AB49" i="8"/>
  <c r="AB48" i="8"/>
  <c r="AB47" i="8"/>
  <c r="AB46" i="8"/>
  <c r="AB39" i="8"/>
  <c r="AB38" i="8"/>
  <c r="AB37" i="8"/>
  <c r="AB36" i="8"/>
  <c r="AB82" i="7"/>
  <c r="AB81" i="7"/>
  <c r="AB80" i="7"/>
  <c r="AB79" i="7"/>
  <c r="AB78" i="7"/>
  <c r="AB77" i="7"/>
  <c r="AB76" i="7"/>
  <c r="AB72" i="7"/>
  <c r="AB71" i="7"/>
  <c r="AB70" i="7"/>
  <c r="AB69" i="7"/>
  <c r="AB68" i="7"/>
  <c r="AB67" i="7"/>
  <c r="AB66" i="7"/>
  <c r="AB65" i="7"/>
  <c r="AB64" i="7"/>
  <c r="AB63" i="7"/>
  <c r="AB62" i="7"/>
  <c r="AB61" i="7"/>
  <c r="AB51" i="7"/>
  <c r="AB50" i="7"/>
  <c r="AB49" i="7"/>
  <c r="AB48" i="7"/>
  <c r="AB47" i="7"/>
  <c r="AB46" i="7"/>
  <c r="AB39" i="7"/>
  <c r="AB38" i="7"/>
  <c r="AB37" i="7"/>
  <c r="AB36" i="7"/>
  <c r="AB81" i="6"/>
  <c r="AB80" i="6"/>
  <c r="AB79" i="6"/>
  <c r="AB78" i="6"/>
  <c r="AB77" i="6"/>
  <c r="AB76" i="6"/>
  <c r="AB71" i="6"/>
  <c r="AB70" i="6"/>
  <c r="AB69" i="6"/>
  <c r="AB68" i="6"/>
  <c r="AB67" i="6"/>
  <c r="AB66" i="6"/>
  <c r="AB65" i="6"/>
  <c r="AB64" i="6"/>
  <c r="AB63" i="6"/>
  <c r="AB62" i="6"/>
  <c r="AB61" i="6"/>
  <c r="AB50" i="6"/>
  <c r="AB49" i="6"/>
  <c r="AB48" i="6"/>
  <c r="AB47" i="6"/>
  <c r="AB46" i="6"/>
  <c r="AB39" i="6"/>
  <c r="AB38" i="6"/>
  <c r="AB37" i="6"/>
  <c r="AB36" i="6"/>
  <c r="AB80" i="5"/>
  <c r="AB79" i="5"/>
  <c r="AB78" i="5"/>
  <c r="AB77" i="5"/>
  <c r="AB76" i="5"/>
  <c r="AB72" i="5"/>
  <c r="AB71" i="5"/>
  <c r="AB70" i="5"/>
  <c r="AB69" i="5"/>
  <c r="AB68" i="5"/>
  <c r="AB67" i="5"/>
  <c r="AB66" i="5"/>
  <c r="AB65" i="5"/>
  <c r="AB64" i="5"/>
  <c r="AB63" i="5"/>
  <c r="AB62" i="5"/>
  <c r="AB61" i="5"/>
  <c r="AB50" i="5"/>
  <c r="AB49" i="5"/>
  <c r="AB48" i="5"/>
  <c r="AB47" i="5"/>
  <c r="AB46" i="5"/>
  <c r="AB39" i="5"/>
  <c r="AB38" i="5"/>
  <c r="AB37" i="5"/>
  <c r="AB36" i="5"/>
  <c r="AB80" i="4"/>
  <c r="AB79" i="4"/>
  <c r="AB78" i="4"/>
  <c r="AB77" i="4"/>
  <c r="AB76" i="4"/>
  <c r="AB73" i="4"/>
  <c r="AB72" i="4"/>
  <c r="AB71" i="4"/>
  <c r="AB70" i="4"/>
  <c r="AB69" i="4"/>
  <c r="AB68" i="4"/>
  <c r="AB67" i="4"/>
  <c r="AB66" i="4"/>
  <c r="AB65" i="4"/>
  <c r="AB64" i="4"/>
  <c r="AB63" i="4"/>
  <c r="AB62" i="4"/>
  <c r="AB61" i="4"/>
  <c r="AB50" i="4"/>
  <c r="AB49" i="4"/>
  <c r="AB48" i="4"/>
  <c r="AB47" i="4"/>
  <c r="AB46" i="4"/>
  <c r="AB38" i="4"/>
  <c r="AB37" i="4"/>
  <c r="AB36" i="4"/>
  <c r="AB79" i="3"/>
  <c r="AB78" i="3"/>
  <c r="AB77" i="3"/>
  <c r="AB76" i="3"/>
  <c r="AB72" i="3"/>
  <c r="AB71" i="3"/>
  <c r="AB70" i="3"/>
  <c r="AB69" i="3"/>
  <c r="AB68" i="3"/>
  <c r="AB67" i="3"/>
  <c r="AB66" i="3"/>
  <c r="AB65" i="3"/>
  <c r="AB64" i="3"/>
  <c r="AB63" i="3"/>
  <c r="AB62" i="3"/>
  <c r="AB61" i="3"/>
  <c r="AB51" i="3"/>
  <c r="AB50" i="3"/>
  <c r="AB49" i="3"/>
  <c r="AB48" i="3"/>
  <c r="AB47" i="3"/>
  <c r="AB46" i="3"/>
  <c r="AB39" i="3"/>
  <c r="AB38" i="3"/>
  <c r="AB37" i="3"/>
  <c r="AB36" i="3"/>
  <c r="AB82" i="2"/>
  <c r="AB81" i="2"/>
  <c r="AB80" i="2"/>
  <c r="AB79" i="2"/>
  <c r="AB78" i="2"/>
  <c r="AB77" i="2"/>
  <c r="AB76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51" i="2"/>
  <c r="AB50" i="2"/>
  <c r="AB49" i="2"/>
  <c r="AB48" i="2"/>
  <c r="AB47" i="2"/>
  <c r="AB46" i="2"/>
  <c r="AB38" i="2"/>
  <c r="AB37" i="2"/>
  <c r="AB36" i="2"/>
  <c r="AB82" i="1"/>
  <c r="AB81" i="1"/>
  <c r="AB80" i="1"/>
  <c r="AB79" i="1"/>
  <c r="AB78" i="1"/>
  <c r="AB77" i="1"/>
  <c r="AB76" i="1"/>
  <c r="AB71" i="1"/>
  <c r="AB70" i="1"/>
  <c r="AB69" i="1"/>
  <c r="AB68" i="1"/>
  <c r="AB67" i="1"/>
  <c r="AB66" i="1"/>
  <c r="AB65" i="1"/>
  <c r="AB64" i="1"/>
  <c r="AB63" i="1"/>
  <c r="AB62" i="1"/>
  <c r="AB61" i="1"/>
  <c r="AB51" i="1"/>
  <c r="AB50" i="1"/>
  <c r="AB49" i="1"/>
  <c r="AB48" i="1"/>
  <c r="AB47" i="1"/>
  <c r="AB46" i="1"/>
  <c r="AB40" i="1"/>
  <c r="AB39" i="1"/>
  <c r="AB38" i="1"/>
  <c r="AB37" i="1"/>
  <c r="AB36" i="1"/>
  <c r="Y36" i="1"/>
  <c r="Y20" i="32"/>
  <c r="Y19" i="32"/>
  <c r="Y18" i="32"/>
  <c r="Y17" i="32"/>
  <c r="Y16" i="32"/>
  <c r="Y15" i="32"/>
  <c r="Y14" i="32"/>
  <c r="Y13" i="32"/>
  <c r="Y12" i="32"/>
  <c r="Y11" i="32"/>
  <c r="Y10" i="32"/>
  <c r="Y9" i="32"/>
  <c r="Y8" i="32"/>
  <c r="Y7" i="32"/>
  <c r="Y6" i="32"/>
  <c r="Y5" i="32"/>
  <c r="Y4" i="32"/>
  <c r="Y3" i="32"/>
  <c r="Y2" i="32"/>
  <c r="Y22" i="31"/>
  <c r="Y21" i="31"/>
  <c r="Y20" i="31"/>
  <c r="Y19" i="31"/>
  <c r="Y18" i="31"/>
  <c r="Y17" i="31"/>
  <c r="Y16" i="31"/>
  <c r="Y15" i="31"/>
  <c r="Y14" i="31"/>
  <c r="Y13" i="31"/>
  <c r="Y12" i="31"/>
  <c r="Y11" i="31"/>
  <c r="Y10" i="31"/>
  <c r="Y9" i="31"/>
  <c r="Y8" i="31"/>
  <c r="Y7" i="31"/>
  <c r="Y6" i="31"/>
  <c r="Y5" i="31"/>
  <c r="Y4" i="31"/>
  <c r="Y3" i="31"/>
  <c r="Y2" i="31"/>
  <c r="Y21" i="30"/>
  <c r="Y20" i="30"/>
  <c r="Y19" i="30"/>
  <c r="Y18" i="30"/>
  <c r="Y17" i="30"/>
  <c r="Y16" i="30"/>
  <c r="Y15" i="30"/>
  <c r="Y14" i="30"/>
  <c r="Y13" i="30"/>
  <c r="Y12" i="30"/>
  <c r="Y11" i="30"/>
  <c r="Y10" i="30"/>
  <c r="Y9" i="30"/>
  <c r="Y8" i="30"/>
  <c r="Y7" i="30"/>
  <c r="Y6" i="30"/>
  <c r="Y5" i="30"/>
  <c r="Y4" i="30"/>
  <c r="Y3" i="30"/>
  <c r="Y2" i="30"/>
  <c r="Y21" i="29"/>
  <c r="Y20" i="29"/>
  <c r="Y19" i="29"/>
  <c r="Y18" i="29"/>
  <c r="Y17" i="29"/>
  <c r="Y16" i="29"/>
  <c r="Y15" i="29"/>
  <c r="Y14" i="29"/>
  <c r="Y13" i="29"/>
  <c r="Y12" i="29"/>
  <c r="Y11" i="29"/>
  <c r="Y10" i="29"/>
  <c r="Y9" i="29"/>
  <c r="Y8" i="29"/>
  <c r="Y7" i="29"/>
  <c r="Y6" i="29"/>
  <c r="Y5" i="29"/>
  <c r="Y4" i="29"/>
  <c r="Y3" i="29"/>
  <c r="Y2" i="29"/>
  <c r="Y20" i="28"/>
  <c r="Y19" i="28"/>
  <c r="Y18" i="28"/>
  <c r="Y17" i="28"/>
  <c r="Y16" i="28"/>
  <c r="Y15" i="28"/>
  <c r="Y14" i="28"/>
  <c r="Y13" i="28"/>
  <c r="Y12" i="28"/>
  <c r="Y11" i="28"/>
  <c r="Y10" i="28"/>
  <c r="Y9" i="28"/>
  <c r="Y8" i="28"/>
  <c r="Y7" i="28"/>
  <c r="Y6" i="28"/>
  <c r="Y5" i="28"/>
  <c r="Y4" i="28"/>
  <c r="Y3" i="28"/>
  <c r="Y2" i="28"/>
  <c r="Y18" i="27"/>
  <c r="Y17" i="27"/>
  <c r="Y16" i="27"/>
  <c r="Y15" i="27"/>
  <c r="Y14" i="27"/>
  <c r="Y13" i="27"/>
  <c r="Y12" i="27"/>
  <c r="Y11" i="27"/>
  <c r="Y10" i="27"/>
  <c r="Y9" i="27"/>
  <c r="Y8" i="27"/>
  <c r="Y7" i="27"/>
  <c r="Y6" i="27"/>
  <c r="Y5" i="27"/>
  <c r="Y4" i="27"/>
  <c r="Y3" i="27"/>
  <c r="Y2" i="27"/>
  <c r="Y15" i="26"/>
  <c r="Y14" i="26"/>
  <c r="Y13" i="26"/>
  <c r="Y12" i="26"/>
  <c r="Y11" i="26"/>
  <c r="Y10" i="26"/>
  <c r="Y9" i="26"/>
  <c r="Y8" i="26"/>
  <c r="Y7" i="26"/>
  <c r="Y6" i="26"/>
  <c r="Y5" i="26"/>
  <c r="Y4" i="26"/>
  <c r="Y3" i="26"/>
  <c r="Y2" i="26"/>
  <c r="Y20" i="25"/>
  <c r="Y19" i="25"/>
  <c r="Y18" i="25"/>
  <c r="Y17" i="25"/>
  <c r="Y16" i="25"/>
  <c r="Y15" i="25"/>
  <c r="Y14" i="25"/>
  <c r="Y13" i="25"/>
  <c r="Y12" i="25"/>
  <c r="Y11" i="25"/>
  <c r="Y10" i="25"/>
  <c r="Y9" i="25"/>
  <c r="Y8" i="25"/>
  <c r="Y7" i="25"/>
  <c r="Y6" i="25"/>
  <c r="Y5" i="25"/>
  <c r="Y4" i="25"/>
  <c r="Y3" i="25"/>
  <c r="Y2" i="25"/>
  <c r="Y21" i="24"/>
  <c r="Y20" i="24"/>
  <c r="Y19" i="24"/>
  <c r="Y18" i="24"/>
  <c r="Y17" i="24"/>
  <c r="Y16" i="24"/>
  <c r="Y15" i="24"/>
  <c r="Y14" i="24"/>
  <c r="Y13" i="24"/>
  <c r="Y12" i="24"/>
  <c r="Y11" i="24"/>
  <c r="Y10" i="24"/>
  <c r="Y9" i="24"/>
  <c r="Y8" i="24"/>
  <c r="Y7" i="24"/>
  <c r="Y6" i="24"/>
  <c r="Y5" i="24"/>
  <c r="Y4" i="24"/>
  <c r="Y3" i="24"/>
  <c r="Y2" i="24"/>
  <c r="Y25" i="23"/>
  <c r="Y24" i="23"/>
  <c r="Y23" i="23"/>
  <c r="Y22" i="23"/>
  <c r="Y21" i="23"/>
  <c r="Y20" i="23"/>
  <c r="Y19" i="23"/>
  <c r="Y18" i="23"/>
  <c r="Y17" i="23"/>
  <c r="Y16" i="23"/>
  <c r="Y15" i="23"/>
  <c r="Y14" i="23"/>
  <c r="Y13" i="23"/>
  <c r="Y12" i="23"/>
  <c r="Y11" i="23"/>
  <c r="Y10" i="23"/>
  <c r="Y9" i="23"/>
  <c r="Y8" i="23"/>
  <c r="Y7" i="23"/>
  <c r="Y6" i="23"/>
  <c r="Y5" i="23"/>
  <c r="Y4" i="23"/>
  <c r="Y3" i="23"/>
  <c r="Y2" i="23"/>
  <c r="Y18" i="22"/>
  <c r="Y17" i="22"/>
  <c r="Y16" i="22"/>
  <c r="Y15" i="22"/>
  <c r="Y14" i="22"/>
  <c r="Y13" i="22"/>
  <c r="Y12" i="22"/>
  <c r="Y11" i="22"/>
  <c r="Y10" i="22"/>
  <c r="Y9" i="22"/>
  <c r="Y8" i="22"/>
  <c r="Y7" i="22"/>
  <c r="Y6" i="22"/>
  <c r="Y5" i="22"/>
  <c r="Y4" i="22"/>
  <c r="Y3" i="22"/>
  <c r="Y2" i="22"/>
  <c r="Y17" i="21"/>
  <c r="Y16" i="21"/>
  <c r="Y15" i="21"/>
  <c r="Y14" i="21"/>
  <c r="Y13" i="21"/>
  <c r="Y12" i="21"/>
  <c r="Y11" i="21"/>
  <c r="Y10" i="21"/>
  <c r="Y9" i="21"/>
  <c r="Y8" i="21"/>
  <c r="Y7" i="21"/>
  <c r="Y6" i="21"/>
  <c r="Y5" i="21"/>
  <c r="Y4" i="21"/>
  <c r="Y3" i="21"/>
  <c r="Y2" i="21"/>
  <c r="Y20" i="20"/>
  <c r="Y19" i="20"/>
  <c r="Y18" i="20"/>
  <c r="Y17" i="20"/>
  <c r="Y16" i="20"/>
  <c r="Y15" i="20"/>
  <c r="Y14" i="20"/>
  <c r="Y13" i="20"/>
  <c r="Y12" i="20"/>
  <c r="Y11" i="20"/>
  <c r="Y10" i="20"/>
  <c r="Y9" i="20"/>
  <c r="Y8" i="20"/>
  <c r="Y7" i="20"/>
  <c r="Y6" i="20"/>
  <c r="Y5" i="20"/>
  <c r="Y4" i="20"/>
  <c r="Y3" i="20"/>
  <c r="Y2" i="20"/>
  <c r="Y16" i="19"/>
  <c r="Y15" i="19"/>
  <c r="Y14" i="19"/>
  <c r="Y13" i="19"/>
  <c r="Y12" i="19"/>
  <c r="Y11" i="19"/>
  <c r="Y10" i="19"/>
  <c r="Y9" i="19"/>
  <c r="Y8" i="19"/>
  <c r="Y7" i="19"/>
  <c r="Y6" i="19"/>
  <c r="Y5" i="19"/>
  <c r="Y4" i="19"/>
  <c r="Y3" i="19"/>
  <c r="Y2" i="19"/>
  <c r="Y22" i="18"/>
  <c r="Y21" i="18"/>
  <c r="Y20" i="18"/>
  <c r="Y19" i="18"/>
  <c r="Y18" i="18"/>
  <c r="Y17" i="18"/>
  <c r="Y16" i="18"/>
  <c r="Y15" i="18"/>
  <c r="Y14" i="18"/>
  <c r="Y13" i="18"/>
  <c r="Y12" i="18"/>
  <c r="Y11" i="18"/>
  <c r="Y10" i="18"/>
  <c r="Y9" i="18"/>
  <c r="Y8" i="18"/>
  <c r="Y7" i="18"/>
  <c r="Y6" i="18"/>
  <c r="Y5" i="18"/>
  <c r="Y4" i="18"/>
  <c r="Y3" i="18"/>
  <c r="Y2" i="18"/>
  <c r="Y21" i="17"/>
  <c r="Y20" i="17"/>
  <c r="Y19" i="17"/>
  <c r="Y18" i="17"/>
  <c r="Y17" i="17"/>
  <c r="Y16" i="17"/>
  <c r="Y15" i="17"/>
  <c r="Y14" i="17"/>
  <c r="Y13" i="17"/>
  <c r="Y12" i="17"/>
  <c r="Y11" i="17"/>
  <c r="Y10" i="17"/>
  <c r="Y9" i="17"/>
  <c r="Y8" i="17"/>
  <c r="Y7" i="17"/>
  <c r="Y6" i="17"/>
  <c r="Y5" i="17"/>
  <c r="Y4" i="17"/>
  <c r="Y3" i="17"/>
  <c r="Y2" i="17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Y16" i="15"/>
  <c r="Y15" i="15"/>
  <c r="Y14" i="15"/>
  <c r="Y13" i="15"/>
  <c r="Y12" i="15"/>
  <c r="Y11" i="15"/>
  <c r="Y10" i="15"/>
  <c r="Y9" i="15"/>
  <c r="Y8" i="15"/>
  <c r="Y7" i="15"/>
  <c r="Y6" i="15"/>
  <c r="Y5" i="15"/>
  <c r="Y4" i="15"/>
  <c r="Y3" i="15"/>
  <c r="Y2" i="15"/>
  <c r="Y20" i="14"/>
  <c r="Y19" i="14"/>
  <c r="Y18" i="14"/>
  <c r="Y17" i="14"/>
  <c r="Y16" i="14"/>
  <c r="Y15" i="14"/>
  <c r="Y14" i="14"/>
  <c r="Y13" i="14"/>
  <c r="Y12" i="14"/>
  <c r="Y11" i="14"/>
  <c r="Y10" i="14"/>
  <c r="Y9" i="14"/>
  <c r="Y8" i="14"/>
  <c r="Y7" i="14"/>
  <c r="Y6" i="14"/>
  <c r="Y5" i="14"/>
  <c r="Y4" i="14"/>
  <c r="Y3" i="14"/>
  <c r="Y2" i="14"/>
  <c r="Y24" i="13"/>
  <c r="Y23" i="13"/>
  <c r="Y22" i="13"/>
  <c r="Y21" i="13"/>
  <c r="Y20" i="13"/>
  <c r="Y19" i="13"/>
  <c r="Y18" i="13"/>
  <c r="Y17" i="13"/>
  <c r="Y16" i="13"/>
  <c r="Y15" i="13"/>
  <c r="Y14" i="13"/>
  <c r="Y13" i="13"/>
  <c r="Y12" i="13"/>
  <c r="Y11" i="13"/>
  <c r="Y10" i="13"/>
  <c r="Y9" i="13"/>
  <c r="Y8" i="13"/>
  <c r="Y7" i="13"/>
  <c r="Y6" i="13"/>
  <c r="Y5" i="13"/>
  <c r="Y4" i="13"/>
  <c r="Y3" i="13"/>
  <c r="Y2" i="13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Y6" i="12"/>
  <c r="Y5" i="12"/>
  <c r="Y4" i="12"/>
  <c r="Y3" i="12"/>
  <c r="Y2" i="12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Y6" i="11"/>
  <c r="Y5" i="11"/>
  <c r="Y4" i="11"/>
  <c r="Y3" i="11"/>
  <c r="Y2" i="11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Y6" i="10"/>
  <c r="Y5" i="10"/>
  <c r="Y4" i="10"/>
  <c r="Y3" i="10"/>
  <c r="Y2" i="10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Y6" i="9"/>
  <c r="Y5" i="9"/>
  <c r="Y4" i="9"/>
  <c r="Y3" i="9"/>
  <c r="Y2" i="9"/>
  <c r="Y18" i="8"/>
  <c r="Y17" i="8"/>
  <c r="Y16" i="8"/>
  <c r="Y15" i="8"/>
  <c r="Y14" i="8"/>
  <c r="Y13" i="8"/>
  <c r="Y12" i="8"/>
  <c r="Y11" i="8"/>
  <c r="Y10" i="8"/>
  <c r="Y9" i="8"/>
  <c r="Y8" i="8"/>
  <c r="Y7" i="8"/>
  <c r="Y6" i="8"/>
  <c r="Y5" i="8"/>
  <c r="Y4" i="8"/>
  <c r="Y3" i="8"/>
  <c r="Y2" i="8"/>
  <c r="Y18" i="7"/>
  <c r="Y17" i="7"/>
  <c r="Y16" i="7"/>
  <c r="Y15" i="7"/>
  <c r="Y14" i="7"/>
  <c r="Y13" i="7"/>
  <c r="Y12" i="7"/>
  <c r="Y11" i="7"/>
  <c r="Y10" i="7"/>
  <c r="Y9" i="7"/>
  <c r="Y8" i="7"/>
  <c r="Y7" i="7"/>
  <c r="Y6" i="7"/>
  <c r="Y5" i="7"/>
  <c r="Y4" i="7"/>
  <c r="Y3" i="7"/>
  <c r="Y2" i="7"/>
  <c r="Y23" i="6"/>
  <c r="Y22" i="6"/>
  <c r="Y21" i="6"/>
  <c r="Y20" i="6"/>
  <c r="Y19" i="6"/>
  <c r="Y18" i="6"/>
  <c r="Y17" i="6"/>
  <c r="Y16" i="6"/>
  <c r="Y15" i="6"/>
  <c r="Y14" i="6"/>
  <c r="Y13" i="6"/>
  <c r="Y12" i="6"/>
  <c r="Y11" i="6"/>
  <c r="Y10" i="6"/>
  <c r="Y9" i="6"/>
  <c r="Y8" i="6"/>
  <c r="Y7" i="6"/>
  <c r="Y6" i="6"/>
  <c r="Y5" i="6"/>
  <c r="Y4" i="6"/>
  <c r="Y3" i="6"/>
  <c r="Y2" i="6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Y3" i="5"/>
  <c r="Y2" i="5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Y6" i="4"/>
  <c r="Y5" i="4"/>
  <c r="Y4" i="4"/>
  <c r="Y3" i="4"/>
  <c r="Y2" i="4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Y2" i="2"/>
  <c r="Y2" i="1"/>
  <c r="Z81" i="6"/>
  <c r="Y81" i="6"/>
  <c r="X81" i="6"/>
  <c r="V81" i="6"/>
  <c r="Z80" i="6"/>
  <c r="Y80" i="6"/>
  <c r="X80" i="6"/>
  <c r="V80" i="6"/>
  <c r="Z79" i="6"/>
  <c r="Y79" i="6"/>
  <c r="X79" i="6"/>
  <c r="V79" i="6"/>
  <c r="Z78" i="6"/>
  <c r="Y78" i="6"/>
  <c r="X78" i="6"/>
  <c r="V78" i="6"/>
  <c r="Z77" i="6"/>
  <c r="Y77" i="6"/>
  <c r="X77" i="6"/>
  <c r="V77" i="6"/>
  <c r="Z76" i="6"/>
  <c r="Y76" i="6"/>
  <c r="X76" i="6"/>
  <c r="V76" i="6"/>
  <c r="Z81" i="32"/>
  <c r="Y81" i="32"/>
  <c r="X81" i="32"/>
  <c r="V81" i="32"/>
  <c r="Z80" i="32"/>
  <c r="Y80" i="32"/>
  <c r="X80" i="32"/>
  <c r="V80" i="32"/>
  <c r="Z79" i="32"/>
  <c r="Y79" i="32"/>
  <c r="X79" i="32"/>
  <c r="V79" i="32"/>
  <c r="Z78" i="32"/>
  <c r="Y78" i="32"/>
  <c r="X78" i="32"/>
  <c r="V78" i="32"/>
  <c r="Z77" i="32"/>
  <c r="Y77" i="32"/>
  <c r="X77" i="32"/>
  <c r="V77" i="32"/>
  <c r="Z76" i="32"/>
  <c r="Y76" i="32"/>
  <c r="X76" i="32"/>
  <c r="V76" i="32"/>
  <c r="Z73" i="32"/>
  <c r="Y73" i="32"/>
  <c r="X73" i="32"/>
  <c r="V73" i="32"/>
  <c r="Z72" i="32"/>
  <c r="Y72" i="32"/>
  <c r="X72" i="32"/>
  <c r="V72" i="32"/>
  <c r="Z71" i="32"/>
  <c r="Y71" i="32"/>
  <c r="X71" i="32"/>
  <c r="V71" i="32"/>
  <c r="Z70" i="32"/>
  <c r="Y70" i="32"/>
  <c r="X70" i="32"/>
  <c r="V70" i="32"/>
  <c r="Z69" i="32"/>
  <c r="Y69" i="32"/>
  <c r="X69" i="32"/>
  <c r="V69" i="32"/>
  <c r="Z68" i="32"/>
  <c r="Y68" i="32"/>
  <c r="X68" i="32"/>
  <c r="V68" i="32"/>
  <c r="Z67" i="32"/>
  <c r="Y67" i="32"/>
  <c r="X67" i="32"/>
  <c r="V67" i="32"/>
  <c r="Z66" i="32"/>
  <c r="Y66" i="32"/>
  <c r="X66" i="32"/>
  <c r="V66" i="32"/>
  <c r="Z65" i="32"/>
  <c r="Y65" i="32"/>
  <c r="X65" i="32"/>
  <c r="V65" i="32"/>
  <c r="Z64" i="32"/>
  <c r="Y64" i="32"/>
  <c r="X64" i="32"/>
  <c r="V64" i="32"/>
  <c r="Z63" i="32"/>
  <c r="Y63" i="32"/>
  <c r="X63" i="32"/>
  <c r="V63" i="32"/>
  <c r="Z62" i="32"/>
  <c r="Y62" i="32"/>
  <c r="X62" i="32"/>
  <c r="V62" i="32"/>
  <c r="Z61" i="32"/>
  <c r="Y61" i="32"/>
  <c r="X61" i="32"/>
  <c r="V61" i="32"/>
  <c r="Z52" i="32"/>
  <c r="Y52" i="32"/>
  <c r="X52" i="32"/>
  <c r="V52" i="32"/>
  <c r="Z51" i="32"/>
  <c r="Y51" i="32"/>
  <c r="X51" i="32"/>
  <c r="V51" i="32"/>
  <c r="Z50" i="32"/>
  <c r="Y50" i="32"/>
  <c r="X50" i="32"/>
  <c r="V50" i="32"/>
  <c r="Z49" i="32"/>
  <c r="Y49" i="32"/>
  <c r="X49" i="32"/>
  <c r="V49" i="32"/>
  <c r="Z48" i="32"/>
  <c r="Y48" i="32"/>
  <c r="X48" i="32"/>
  <c r="V48" i="32"/>
  <c r="Z47" i="32"/>
  <c r="Y47" i="32"/>
  <c r="X47" i="32"/>
  <c r="V47" i="32"/>
  <c r="Z46" i="32"/>
  <c r="Y46" i="32"/>
  <c r="X46" i="32"/>
  <c r="V46" i="32"/>
  <c r="Z38" i="32"/>
  <c r="Y38" i="32"/>
  <c r="X38" i="32"/>
  <c r="V38" i="32"/>
  <c r="Z37" i="32"/>
  <c r="Y37" i="32"/>
  <c r="X37" i="32"/>
  <c r="V37" i="32"/>
  <c r="Z36" i="32"/>
  <c r="Y36" i="32"/>
  <c r="X36" i="32"/>
  <c r="V36" i="32"/>
  <c r="Z82" i="31"/>
  <c r="Y82" i="31"/>
  <c r="X82" i="31"/>
  <c r="V82" i="31"/>
  <c r="Z81" i="31"/>
  <c r="Y81" i="31"/>
  <c r="X81" i="31"/>
  <c r="V81" i="31"/>
  <c r="Z80" i="31"/>
  <c r="Y80" i="31"/>
  <c r="X80" i="31"/>
  <c r="V80" i="31"/>
  <c r="Z79" i="31"/>
  <c r="Y79" i="31"/>
  <c r="X79" i="31"/>
  <c r="V79" i="31"/>
  <c r="Z78" i="31"/>
  <c r="Y78" i="31"/>
  <c r="X78" i="31"/>
  <c r="V78" i="31"/>
  <c r="Z77" i="31"/>
  <c r="Y77" i="31"/>
  <c r="X77" i="31"/>
  <c r="V77" i="31"/>
  <c r="Z76" i="31"/>
  <c r="Y76" i="31"/>
  <c r="X76" i="31"/>
  <c r="V76" i="31"/>
  <c r="Z72" i="31"/>
  <c r="Y72" i="31"/>
  <c r="X72" i="31"/>
  <c r="V72" i="31"/>
  <c r="Z71" i="31"/>
  <c r="Y71" i="31"/>
  <c r="X71" i="31"/>
  <c r="V71" i="31"/>
  <c r="Z70" i="31"/>
  <c r="Y70" i="31"/>
  <c r="X70" i="31"/>
  <c r="V70" i="31"/>
  <c r="Z69" i="31"/>
  <c r="Y69" i="31"/>
  <c r="X69" i="31"/>
  <c r="V69" i="31"/>
  <c r="Z68" i="31"/>
  <c r="Y68" i="31"/>
  <c r="X68" i="31"/>
  <c r="V68" i="31"/>
  <c r="Z67" i="31"/>
  <c r="Y67" i="31"/>
  <c r="X67" i="31"/>
  <c r="V67" i="31"/>
  <c r="Z66" i="31"/>
  <c r="Y66" i="31"/>
  <c r="X66" i="31"/>
  <c r="V66" i="31"/>
  <c r="Z65" i="31"/>
  <c r="Y65" i="31"/>
  <c r="X65" i="31"/>
  <c r="V65" i="31"/>
  <c r="Z64" i="31"/>
  <c r="Y64" i="31"/>
  <c r="X64" i="31"/>
  <c r="V64" i="31"/>
  <c r="Z63" i="31"/>
  <c r="Y63" i="31"/>
  <c r="X63" i="31"/>
  <c r="V63" i="31"/>
  <c r="Z62" i="31"/>
  <c r="Y62" i="31"/>
  <c r="X62" i="31"/>
  <c r="V62" i="31"/>
  <c r="Z61" i="31"/>
  <c r="Y61" i="31"/>
  <c r="X61" i="31"/>
  <c r="V61" i="31"/>
  <c r="Z51" i="31"/>
  <c r="Y51" i="31"/>
  <c r="X51" i="31"/>
  <c r="V51" i="31"/>
  <c r="Z50" i="31"/>
  <c r="Y50" i="31"/>
  <c r="X50" i="31"/>
  <c r="V50" i="31"/>
  <c r="Z49" i="31"/>
  <c r="Y49" i="31"/>
  <c r="X49" i="31"/>
  <c r="V49" i="31"/>
  <c r="Z48" i="31"/>
  <c r="Y48" i="31"/>
  <c r="X48" i="31"/>
  <c r="V48" i="31"/>
  <c r="Z47" i="31"/>
  <c r="Y47" i="31"/>
  <c r="X47" i="31"/>
  <c r="V47" i="31"/>
  <c r="Z46" i="31"/>
  <c r="Y46" i="31"/>
  <c r="X46" i="31"/>
  <c r="V46" i="31"/>
  <c r="Z38" i="31"/>
  <c r="Y38" i="31"/>
  <c r="X38" i="31"/>
  <c r="V38" i="31"/>
  <c r="Z37" i="31"/>
  <c r="Y37" i="31"/>
  <c r="X37" i="31"/>
  <c r="V37" i="31"/>
  <c r="Z36" i="31"/>
  <c r="Y36" i="31"/>
  <c r="X36" i="31"/>
  <c r="V36" i="31"/>
  <c r="Z81" i="30"/>
  <c r="Y81" i="30"/>
  <c r="X81" i="30"/>
  <c r="V81" i="30"/>
  <c r="Z80" i="30"/>
  <c r="Y80" i="30"/>
  <c r="X80" i="30"/>
  <c r="V80" i="30"/>
  <c r="Z79" i="30"/>
  <c r="Y79" i="30"/>
  <c r="X79" i="30"/>
  <c r="V79" i="30"/>
  <c r="Z78" i="30"/>
  <c r="Y78" i="30"/>
  <c r="X78" i="30"/>
  <c r="V78" i="30"/>
  <c r="Z77" i="30"/>
  <c r="Y77" i="30"/>
  <c r="X77" i="30"/>
  <c r="V77" i="30"/>
  <c r="Z76" i="30"/>
  <c r="Y76" i="30"/>
  <c r="X76" i="30"/>
  <c r="V76" i="30"/>
  <c r="Z72" i="30"/>
  <c r="Y72" i="30"/>
  <c r="X72" i="30"/>
  <c r="V72" i="30"/>
  <c r="Z71" i="30"/>
  <c r="Y71" i="30"/>
  <c r="X71" i="30"/>
  <c r="V71" i="30"/>
  <c r="Z70" i="30"/>
  <c r="Y70" i="30"/>
  <c r="X70" i="30"/>
  <c r="V70" i="30"/>
  <c r="Z69" i="30"/>
  <c r="Y69" i="30"/>
  <c r="X69" i="30"/>
  <c r="V69" i="30"/>
  <c r="Z68" i="30"/>
  <c r="Y68" i="30"/>
  <c r="X68" i="30"/>
  <c r="V68" i="30"/>
  <c r="Z67" i="30"/>
  <c r="Y67" i="30"/>
  <c r="X67" i="30"/>
  <c r="V67" i="30"/>
  <c r="Z66" i="30"/>
  <c r="Y66" i="30"/>
  <c r="X66" i="30"/>
  <c r="V66" i="30"/>
  <c r="Z65" i="30"/>
  <c r="Y65" i="30"/>
  <c r="X65" i="30"/>
  <c r="V65" i="30"/>
  <c r="Z64" i="30"/>
  <c r="Y64" i="30"/>
  <c r="X64" i="30"/>
  <c r="V64" i="30"/>
  <c r="Z63" i="30"/>
  <c r="Y63" i="30"/>
  <c r="X63" i="30"/>
  <c r="V63" i="30"/>
  <c r="Z62" i="30"/>
  <c r="Y62" i="30"/>
  <c r="X62" i="30"/>
  <c r="V62" i="30"/>
  <c r="Z61" i="30"/>
  <c r="Y61" i="30"/>
  <c r="X61" i="30"/>
  <c r="V61" i="30"/>
  <c r="Z51" i="30"/>
  <c r="Y51" i="30"/>
  <c r="X51" i="30"/>
  <c r="V51" i="30"/>
  <c r="Z50" i="30"/>
  <c r="Y50" i="30"/>
  <c r="X50" i="30"/>
  <c r="V50" i="30"/>
  <c r="Z49" i="30"/>
  <c r="Y49" i="30"/>
  <c r="X49" i="30"/>
  <c r="V49" i="30"/>
  <c r="Z48" i="30"/>
  <c r="Y48" i="30"/>
  <c r="X48" i="30"/>
  <c r="V48" i="30"/>
  <c r="Z47" i="30"/>
  <c r="Y47" i="30"/>
  <c r="X47" i="30"/>
  <c r="V47" i="30"/>
  <c r="Z46" i="30"/>
  <c r="Y46" i="30"/>
  <c r="X46" i="30"/>
  <c r="V46" i="30"/>
  <c r="Z38" i="30"/>
  <c r="Y38" i="30"/>
  <c r="X38" i="30"/>
  <c r="V38" i="30"/>
  <c r="Z37" i="30"/>
  <c r="Y37" i="30"/>
  <c r="X37" i="30"/>
  <c r="V37" i="30"/>
  <c r="Z36" i="30"/>
  <c r="Y36" i="30"/>
  <c r="X36" i="30"/>
  <c r="V36" i="30"/>
  <c r="Z81" i="29"/>
  <c r="Y81" i="29"/>
  <c r="X81" i="29"/>
  <c r="V81" i="29"/>
  <c r="Z80" i="29"/>
  <c r="Y80" i="29"/>
  <c r="X80" i="29"/>
  <c r="V80" i="29"/>
  <c r="Z79" i="29"/>
  <c r="Y79" i="29"/>
  <c r="X79" i="29"/>
  <c r="V79" i="29"/>
  <c r="Z78" i="29"/>
  <c r="Y78" i="29"/>
  <c r="X78" i="29"/>
  <c r="V78" i="29"/>
  <c r="Z77" i="29"/>
  <c r="Y77" i="29"/>
  <c r="X77" i="29"/>
  <c r="V77" i="29"/>
  <c r="Z76" i="29"/>
  <c r="Y76" i="29"/>
  <c r="X76" i="29"/>
  <c r="V76" i="29"/>
  <c r="Z71" i="29"/>
  <c r="Y71" i="29"/>
  <c r="X71" i="29"/>
  <c r="V71" i="29"/>
  <c r="Z70" i="29"/>
  <c r="Y70" i="29"/>
  <c r="X70" i="29"/>
  <c r="V70" i="29"/>
  <c r="Z69" i="29"/>
  <c r="Y69" i="29"/>
  <c r="X69" i="29"/>
  <c r="V69" i="29"/>
  <c r="Z68" i="29"/>
  <c r="Y68" i="29"/>
  <c r="X68" i="29"/>
  <c r="V68" i="29"/>
  <c r="Z67" i="29"/>
  <c r="Y67" i="29"/>
  <c r="X67" i="29"/>
  <c r="V67" i="29"/>
  <c r="Z66" i="29"/>
  <c r="Y66" i="29"/>
  <c r="X66" i="29"/>
  <c r="V66" i="29"/>
  <c r="Z65" i="29"/>
  <c r="Y65" i="29"/>
  <c r="X65" i="29"/>
  <c r="V65" i="29"/>
  <c r="Z64" i="29"/>
  <c r="Y64" i="29"/>
  <c r="X64" i="29"/>
  <c r="V64" i="29"/>
  <c r="Z63" i="29"/>
  <c r="Y63" i="29"/>
  <c r="X63" i="29"/>
  <c r="V63" i="29"/>
  <c r="Z62" i="29"/>
  <c r="Y62" i="29"/>
  <c r="X62" i="29"/>
  <c r="V62" i="29"/>
  <c r="Z61" i="29"/>
  <c r="Y61" i="29"/>
  <c r="X61" i="29"/>
  <c r="V61" i="29"/>
  <c r="Z51" i="29"/>
  <c r="Y51" i="29"/>
  <c r="X51" i="29"/>
  <c r="V51" i="29"/>
  <c r="Z50" i="29"/>
  <c r="Y50" i="29"/>
  <c r="X50" i="29"/>
  <c r="V50" i="29"/>
  <c r="Z49" i="29"/>
  <c r="Y49" i="29"/>
  <c r="X49" i="29"/>
  <c r="V49" i="29"/>
  <c r="Z48" i="29"/>
  <c r="Y48" i="29"/>
  <c r="X48" i="29"/>
  <c r="V48" i="29"/>
  <c r="Z47" i="29"/>
  <c r="Y47" i="29"/>
  <c r="X47" i="29"/>
  <c r="V47" i="29"/>
  <c r="Z46" i="29"/>
  <c r="Y46" i="29"/>
  <c r="X46" i="29"/>
  <c r="V46" i="29"/>
  <c r="Z39" i="29"/>
  <c r="Y39" i="29"/>
  <c r="X39" i="29"/>
  <c r="V39" i="29"/>
  <c r="Z38" i="29"/>
  <c r="Y38" i="29"/>
  <c r="X38" i="29"/>
  <c r="V38" i="29"/>
  <c r="Z37" i="29"/>
  <c r="Y37" i="29"/>
  <c r="X37" i="29"/>
  <c r="V37" i="29"/>
  <c r="Z36" i="29"/>
  <c r="Y36" i="29"/>
  <c r="X36" i="29"/>
  <c r="V36" i="29"/>
  <c r="Z80" i="28"/>
  <c r="Y80" i="28"/>
  <c r="X80" i="28"/>
  <c r="V80" i="28"/>
  <c r="Z79" i="28"/>
  <c r="Y79" i="28"/>
  <c r="X79" i="28"/>
  <c r="V79" i="28"/>
  <c r="Z78" i="28"/>
  <c r="Y78" i="28"/>
  <c r="X78" i="28"/>
  <c r="V78" i="28"/>
  <c r="Z77" i="28"/>
  <c r="Y77" i="28"/>
  <c r="X77" i="28"/>
  <c r="V77" i="28"/>
  <c r="Z76" i="28"/>
  <c r="Y76" i="28"/>
  <c r="X76" i="28"/>
  <c r="V76" i="28"/>
  <c r="Z73" i="28"/>
  <c r="Y73" i="28"/>
  <c r="X73" i="28"/>
  <c r="V73" i="28"/>
  <c r="Z72" i="28"/>
  <c r="Y72" i="28"/>
  <c r="X72" i="28"/>
  <c r="V72" i="28"/>
  <c r="Z71" i="28"/>
  <c r="Y71" i="28"/>
  <c r="X71" i="28"/>
  <c r="V71" i="28"/>
  <c r="Z70" i="28"/>
  <c r="Y70" i="28"/>
  <c r="X70" i="28"/>
  <c r="V70" i="28"/>
  <c r="Z69" i="28"/>
  <c r="Y69" i="28"/>
  <c r="X69" i="28"/>
  <c r="V69" i="28"/>
  <c r="Z68" i="28"/>
  <c r="Y68" i="28"/>
  <c r="X68" i="28"/>
  <c r="V68" i="28"/>
  <c r="Z67" i="28"/>
  <c r="Y67" i="28"/>
  <c r="X67" i="28"/>
  <c r="V67" i="28"/>
  <c r="Z66" i="28"/>
  <c r="Y66" i="28"/>
  <c r="X66" i="28"/>
  <c r="V66" i="28"/>
  <c r="Z65" i="28"/>
  <c r="Y65" i="28"/>
  <c r="X65" i="28"/>
  <c r="V65" i="28"/>
  <c r="Z64" i="28"/>
  <c r="Y64" i="28"/>
  <c r="X64" i="28"/>
  <c r="V64" i="28"/>
  <c r="Z63" i="28"/>
  <c r="Y63" i="28"/>
  <c r="X63" i="28"/>
  <c r="V63" i="28"/>
  <c r="Z62" i="28"/>
  <c r="Y62" i="28"/>
  <c r="X62" i="28"/>
  <c r="V62" i="28"/>
  <c r="Z61" i="28"/>
  <c r="Y61" i="28"/>
  <c r="X61" i="28"/>
  <c r="V61" i="28"/>
  <c r="Z52" i="28"/>
  <c r="Y52" i="28"/>
  <c r="X52" i="28"/>
  <c r="V52" i="28"/>
  <c r="Z51" i="28"/>
  <c r="Y51" i="28"/>
  <c r="X51" i="28"/>
  <c r="V51" i="28"/>
  <c r="Z50" i="28"/>
  <c r="Y50" i="28"/>
  <c r="X50" i="28"/>
  <c r="V50" i="28"/>
  <c r="Z49" i="28"/>
  <c r="Y49" i="28"/>
  <c r="X49" i="28"/>
  <c r="V49" i="28"/>
  <c r="Z48" i="28"/>
  <c r="Y48" i="28"/>
  <c r="X48" i="28"/>
  <c r="V48" i="28"/>
  <c r="Z47" i="28"/>
  <c r="Y47" i="28"/>
  <c r="X47" i="28"/>
  <c r="V47" i="28"/>
  <c r="Z46" i="28"/>
  <c r="Y46" i="28"/>
  <c r="X46" i="28"/>
  <c r="V46" i="28"/>
  <c r="Z38" i="28"/>
  <c r="Y38" i="28"/>
  <c r="X38" i="28"/>
  <c r="V38" i="28"/>
  <c r="Z37" i="28"/>
  <c r="Y37" i="28"/>
  <c r="X37" i="28"/>
  <c r="V37" i="28"/>
  <c r="Z36" i="28"/>
  <c r="Y36" i="28"/>
  <c r="X36" i="28"/>
  <c r="V36" i="28"/>
  <c r="Z80" i="27"/>
  <c r="Y80" i="27"/>
  <c r="X80" i="27"/>
  <c r="V80" i="27"/>
  <c r="Z79" i="27"/>
  <c r="Y79" i="27"/>
  <c r="X79" i="27"/>
  <c r="V79" i="27"/>
  <c r="Z78" i="27"/>
  <c r="Y78" i="27"/>
  <c r="X78" i="27"/>
  <c r="V78" i="27"/>
  <c r="Z77" i="27"/>
  <c r="Y77" i="27"/>
  <c r="X77" i="27"/>
  <c r="V77" i="27"/>
  <c r="Z76" i="27"/>
  <c r="Y76" i="27"/>
  <c r="X76" i="27"/>
  <c r="V76" i="27"/>
  <c r="Z71" i="27"/>
  <c r="Y71" i="27"/>
  <c r="X71" i="27"/>
  <c r="V71" i="27"/>
  <c r="Z70" i="27"/>
  <c r="Y70" i="27"/>
  <c r="X70" i="27"/>
  <c r="V70" i="27"/>
  <c r="Z69" i="27"/>
  <c r="Y69" i="27"/>
  <c r="X69" i="27"/>
  <c r="V69" i="27"/>
  <c r="Z68" i="27"/>
  <c r="Y68" i="27"/>
  <c r="X68" i="27"/>
  <c r="V68" i="27"/>
  <c r="Z67" i="27"/>
  <c r="Y67" i="27"/>
  <c r="X67" i="27"/>
  <c r="V67" i="27"/>
  <c r="Z66" i="27"/>
  <c r="Y66" i="27"/>
  <c r="X66" i="27"/>
  <c r="V66" i="27"/>
  <c r="Z65" i="27"/>
  <c r="Y65" i="27"/>
  <c r="X65" i="27"/>
  <c r="V65" i="27"/>
  <c r="Z64" i="27"/>
  <c r="Y64" i="27"/>
  <c r="X64" i="27"/>
  <c r="V64" i="27"/>
  <c r="Z63" i="27"/>
  <c r="Y63" i="27"/>
  <c r="X63" i="27"/>
  <c r="V63" i="27"/>
  <c r="Z62" i="27"/>
  <c r="Y62" i="27"/>
  <c r="X62" i="27"/>
  <c r="V62" i="27"/>
  <c r="Z61" i="27"/>
  <c r="Y61" i="27"/>
  <c r="X61" i="27"/>
  <c r="V61" i="27"/>
  <c r="Z52" i="27"/>
  <c r="Y52" i="27"/>
  <c r="X52" i="27"/>
  <c r="V52" i="27"/>
  <c r="Z51" i="27"/>
  <c r="Y51" i="27"/>
  <c r="X51" i="27"/>
  <c r="V51" i="27"/>
  <c r="Z50" i="27"/>
  <c r="Y50" i="27"/>
  <c r="X50" i="27"/>
  <c r="V50" i="27"/>
  <c r="Z49" i="27"/>
  <c r="Y49" i="27"/>
  <c r="X49" i="27"/>
  <c r="V49" i="27"/>
  <c r="Z48" i="27"/>
  <c r="Y48" i="27"/>
  <c r="X48" i="27"/>
  <c r="V48" i="27"/>
  <c r="Z47" i="27"/>
  <c r="Y47" i="27"/>
  <c r="X47" i="27"/>
  <c r="V47" i="27"/>
  <c r="Z46" i="27"/>
  <c r="Y46" i="27"/>
  <c r="X46" i="27"/>
  <c r="V46" i="27"/>
  <c r="Z39" i="27"/>
  <c r="Y39" i="27"/>
  <c r="X39" i="27"/>
  <c r="V39" i="27"/>
  <c r="Z38" i="27"/>
  <c r="Y38" i="27"/>
  <c r="X38" i="27"/>
  <c r="V38" i="27"/>
  <c r="Z37" i="27"/>
  <c r="Y37" i="27"/>
  <c r="X37" i="27"/>
  <c r="V37" i="27"/>
  <c r="Z36" i="27"/>
  <c r="Y36" i="27"/>
  <c r="X36" i="27"/>
  <c r="V36" i="27"/>
  <c r="Z81" i="26"/>
  <c r="Y81" i="26"/>
  <c r="X81" i="26"/>
  <c r="V81" i="26"/>
  <c r="Z80" i="26"/>
  <c r="Y80" i="26"/>
  <c r="X80" i="26"/>
  <c r="V80" i="26"/>
  <c r="Z79" i="26"/>
  <c r="Y79" i="26"/>
  <c r="X79" i="26"/>
  <c r="V79" i="26"/>
  <c r="Z78" i="26"/>
  <c r="Y78" i="26"/>
  <c r="X78" i="26"/>
  <c r="V78" i="26"/>
  <c r="Z77" i="26"/>
  <c r="Y77" i="26"/>
  <c r="X77" i="26"/>
  <c r="V77" i="26"/>
  <c r="Z76" i="26"/>
  <c r="Y76" i="26"/>
  <c r="X76" i="26"/>
  <c r="V76" i="26"/>
  <c r="Z73" i="26"/>
  <c r="Y73" i="26"/>
  <c r="X73" i="26"/>
  <c r="V73" i="26"/>
  <c r="Z72" i="26"/>
  <c r="Y72" i="26"/>
  <c r="X72" i="26"/>
  <c r="V72" i="26"/>
  <c r="Z71" i="26"/>
  <c r="Y71" i="26"/>
  <c r="X71" i="26"/>
  <c r="V71" i="26"/>
  <c r="Z70" i="26"/>
  <c r="Y70" i="26"/>
  <c r="X70" i="26"/>
  <c r="V70" i="26"/>
  <c r="Z69" i="26"/>
  <c r="Y69" i="26"/>
  <c r="X69" i="26"/>
  <c r="V69" i="26"/>
  <c r="Z68" i="26"/>
  <c r="Y68" i="26"/>
  <c r="X68" i="26"/>
  <c r="V68" i="26"/>
  <c r="Z67" i="26"/>
  <c r="Y67" i="26"/>
  <c r="X67" i="26"/>
  <c r="V67" i="26"/>
  <c r="Z66" i="26"/>
  <c r="Y66" i="26"/>
  <c r="X66" i="26"/>
  <c r="V66" i="26"/>
  <c r="Z65" i="26"/>
  <c r="Y65" i="26"/>
  <c r="X65" i="26"/>
  <c r="V65" i="26"/>
  <c r="Z64" i="26"/>
  <c r="Y64" i="26"/>
  <c r="X64" i="26"/>
  <c r="V64" i="26"/>
  <c r="Z63" i="26"/>
  <c r="Y63" i="26"/>
  <c r="X63" i="26"/>
  <c r="V63" i="26"/>
  <c r="Z62" i="26"/>
  <c r="Y62" i="26"/>
  <c r="X62" i="26"/>
  <c r="V62" i="26"/>
  <c r="Z61" i="26"/>
  <c r="Y61" i="26"/>
  <c r="X61" i="26"/>
  <c r="V61" i="26"/>
  <c r="Z51" i="26"/>
  <c r="Y51" i="26"/>
  <c r="X51" i="26"/>
  <c r="V51" i="26"/>
  <c r="Z50" i="26"/>
  <c r="Y50" i="26"/>
  <c r="X50" i="26"/>
  <c r="V50" i="26"/>
  <c r="Z49" i="26"/>
  <c r="Y49" i="26"/>
  <c r="X49" i="26"/>
  <c r="V49" i="26"/>
  <c r="Z48" i="26"/>
  <c r="Y48" i="26"/>
  <c r="X48" i="26"/>
  <c r="V48" i="26"/>
  <c r="Z47" i="26"/>
  <c r="Y47" i="26"/>
  <c r="X47" i="26"/>
  <c r="V47" i="26"/>
  <c r="Z46" i="26"/>
  <c r="Y46" i="26"/>
  <c r="X46" i="26"/>
  <c r="V46" i="26"/>
  <c r="Z39" i="26"/>
  <c r="Y39" i="26"/>
  <c r="X39" i="26"/>
  <c r="V39" i="26"/>
  <c r="Z38" i="26"/>
  <c r="Y38" i="26"/>
  <c r="X38" i="26"/>
  <c r="V38" i="26"/>
  <c r="Z37" i="26"/>
  <c r="Y37" i="26"/>
  <c r="X37" i="26"/>
  <c r="V37" i="26"/>
  <c r="Z36" i="26"/>
  <c r="Y36" i="26"/>
  <c r="X36" i="26"/>
  <c r="V36" i="26"/>
  <c r="Z81" i="25"/>
  <c r="Y81" i="25"/>
  <c r="X81" i="25"/>
  <c r="V81" i="25"/>
  <c r="Z80" i="25"/>
  <c r="Y80" i="25"/>
  <c r="X80" i="25"/>
  <c r="V80" i="25"/>
  <c r="Z79" i="25"/>
  <c r="Y79" i="25"/>
  <c r="X79" i="25"/>
  <c r="V79" i="25"/>
  <c r="Z78" i="25"/>
  <c r="Y78" i="25"/>
  <c r="X78" i="25"/>
  <c r="V78" i="25"/>
  <c r="Z77" i="25"/>
  <c r="Y77" i="25"/>
  <c r="X77" i="25"/>
  <c r="V77" i="25"/>
  <c r="Z76" i="25"/>
  <c r="Y76" i="25"/>
  <c r="X76" i="25"/>
  <c r="V76" i="25"/>
  <c r="Y72" i="25"/>
  <c r="X72" i="25"/>
  <c r="V72" i="25"/>
  <c r="Y71" i="25"/>
  <c r="X71" i="25"/>
  <c r="V71" i="25"/>
  <c r="Y70" i="25"/>
  <c r="X70" i="25"/>
  <c r="V70" i="25"/>
  <c r="Y69" i="25"/>
  <c r="X69" i="25"/>
  <c r="V69" i="25"/>
  <c r="Y68" i="25"/>
  <c r="X68" i="25"/>
  <c r="V68" i="25"/>
  <c r="Y67" i="25"/>
  <c r="X67" i="25"/>
  <c r="V67" i="25"/>
  <c r="Y66" i="25"/>
  <c r="X66" i="25"/>
  <c r="V66" i="25"/>
  <c r="Y65" i="25"/>
  <c r="X65" i="25"/>
  <c r="V65" i="25"/>
  <c r="Y64" i="25"/>
  <c r="X64" i="25"/>
  <c r="V64" i="25"/>
  <c r="Y63" i="25"/>
  <c r="X63" i="25"/>
  <c r="V63" i="25"/>
  <c r="Y62" i="25"/>
  <c r="X62" i="25"/>
  <c r="V62" i="25"/>
  <c r="Y61" i="25"/>
  <c r="X61" i="25"/>
  <c r="V61" i="25"/>
  <c r="Y51" i="25"/>
  <c r="X51" i="25"/>
  <c r="V51" i="25"/>
  <c r="Y50" i="25"/>
  <c r="X50" i="25"/>
  <c r="V50" i="25"/>
  <c r="Y49" i="25"/>
  <c r="X49" i="25"/>
  <c r="V49" i="25"/>
  <c r="Y48" i="25"/>
  <c r="X48" i="25"/>
  <c r="V48" i="25"/>
  <c r="Y47" i="25"/>
  <c r="X47" i="25"/>
  <c r="V47" i="25"/>
  <c r="Y46" i="25"/>
  <c r="X46" i="25"/>
  <c r="V46" i="25"/>
  <c r="Y38" i="25"/>
  <c r="X38" i="25"/>
  <c r="V38" i="25"/>
  <c r="Y37" i="25"/>
  <c r="X37" i="25"/>
  <c r="V37" i="25"/>
  <c r="Y36" i="25"/>
  <c r="X36" i="25"/>
  <c r="V36" i="25"/>
  <c r="Z38" i="24"/>
  <c r="Y38" i="24"/>
  <c r="X38" i="24"/>
  <c r="V38" i="24"/>
  <c r="Z37" i="24"/>
  <c r="Y37" i="24"/>
  <c r="X37" i="24"/>
  <c r="V37" i="24"/>
  <c r="Z36" i="24"/>
  <c r="Y36" i="24"/>
  <c r="X36" i="24"/>
  <c r="V36" i="24"/>
  <c r="Z51" i="24"/>
  <c r="Y51" i="24"/>
  <c r="X51" i="24"/>
  <c r="V51" i="24"/>
  <c r="Z50" i="24"/>
  <c r="Y50" i="24"/>
  <c r="X50" i="24"/>
  <c r="V50" i="24"/>
  <c r="Z49" i="24"/>
  <c r="Y49" i="24"/>
  <c r="X49" i="24"/>
  <c r="V49" i="24"/>
  <c r="Z48" i="24"/>
  <c r="Y48" i="24"/>
  <c r="X48" i="24"/>
  <c r="V48" i="24"/>
  <c r="Z47" i="24"/>
  <c r="Y47" i="24"/>
  <c r="X47" i="24"/>
  <c r="V47" i="24"/>
  <c r="Z46" i="24"/>
  <c r="Y46" i="24"/>
  <c r="X46" i="24"/>
  <c r="V46" i="24"/>
  <c r="Z80" i="24"/>
  <c r="Y80" i="24"/>
  <c r="X80" i="24"/>
  <c r="V80" i="24"/>
  <c r="Z79" i="24"/>
  <c r="Y79" i="24"/>
  <c r="X79" i="24"/>
  <c r="V79" i="24"/>
  <c r="Z78" i="24"/>
  <c r="Y78" i="24"/>
  <c r="X78" i="24"/>
  <c r="V78" i="24"/>
  <c r="Z77" i="24"/>
  <c r="Y77" i="24"/>
  <c r="X77" i="24"/>
  <c r="V77" i="24"/>
  <c r="Z76" i="24"/>
  <c r="Y76" i="24"/>
  <c r="X76" i="24"/>
  <c r="V76" i="24"/>
  <c r="Z73" i="24"/>
  <c r="Y73" i="24"/>
  <c r="X73" i="24"/>
  <c r="V73" i="24"/>
  <c r="Z72" i="24"/>
  <c r="Y72" i="24"/>
  <c r="X72" i="24"/>
  <c r="V72" i="24"/>
  <c r="Z71" i="24"/>
  <c r="Y71" i="24"/>
  <c r="X71" i="24"/>
  <c r="V71" i="24"/>
  <c r="Z70" i="24"/>
  <c r="Y70" i="24"/>
  <c r="X70" i="24"/>
  <c r="V70" i="24"/>
  <c r="Z69" i="24"/>
  <c r="Y69" i="24"/>
  <c r="X69" i="24"/>
  <c r="V69" i="24"/>
  <c r="Z68" i="24"/>
  <c r="Y68" i="24"/>
  <c r="X68" i="24"/>
  <c r="V68" i="24"/>
  <c r="Z67" i="24"/>
  <c r="Y67" i="24"/>
  <c r="X67" i="24"/>
  <c r="V67" i="24"/>
  <c r="Z66" i="24"/>
  <c r="Y66" i="24"/>
  <c r="X66" i="24"/>
  <c r="V66" i="24"/>
  <c r="Z65" i="24"/>
  <c r="Y65" i="24"/>
  <c r="X65" i="24"/>
  <c r="V65" i="24"/>
  <c r="Z64" i="24"/>
  <c r="Y64" i="24"/>
  <c r="X64" i="24"/>
  <c r="V64" i="24"/>
  <c r="Z63" i="24"/>
  <c r="Y63" i="24"/>
  <c r="X63" i="24"/>
  <c r="V63" i="24"/>
  <c r="Z62" i="24"/>
  <c r="Y62" i="24"/>
  <c r="X62" i="24"/>
  <c r="V62" i="24"/>
  <c r="Z61" i="24"/>
  <c r="Y61" i="24"/>
  <c r="X61" i="24"/>
  <c r="V61" i="24"/>
  <c r="Z82" i="23"/>
  <c r="Y82" i="23"/>
  <c r="X82" i="23"/>
  <c r="V82" i="23"/>
  <c r="Z81" i="23"/>
  <c r="Y81" i="23"/>
  <c r="X81" i="23"/>
  <c r="V81" i="23"/>
  <c r="Z80" i="23"/>
  <c r="Y80" i="23"/>
  <c r="X80" i="23"/>
  <c r="V80" i="23"/>
  <c r="Z79" i="23"/>
  <c r="Y79" i="23"/>
  <c r="X79" i="23"/>
  <c r="V79" i="23"/>
  <c r="Z78" i="23"/>
  <c r="Y78" i="23"/>
  <c r="X78" i="23"/>
  <c r="V78" i="23"/>
  <c r="Z77" i="23"/>
  <c r="Y77" i="23"/>
  <c r="X77" i="23"/>
  <c r="V77" i="23"/>
  <c r="Z76" i="23"/>
  <c r="Y76" i="23"/>
  <c r="X76" i="23"/>
  <c r="V76" i="23"/>
  <c r="Z72" i="23"/>
  <c r="Y72" i="23"/>
  <c r="X72" i="23"/>
  <c r="V72" i="23"/>
  <c r="Z71" i="23"/>
  <c r="Y71" i="23"/>
  <c r="X71" i="23"/>
  <c r="V71" i="23"/>
  <c r="Z70" i="23"/>
  <c r="Y70" i="23"/>
  <c r="X70" i="23"/>
  <c r="V70" i="23"/>
  <c r="Z69" i="23"/>
  <c r="Y69" i="23"/>
  <c r="X69" i="23"/>
  <c r="V69" i="23"/>
  <c r="Z68" i="23"/>
  <c r="Y68" i="23"/>
  <c r="X68" i="23"/>
  <c r="V68" i="23"/>
  <c r="Z67" i="23"/>
  <c r="Y67" i="23"/>
  <c r="X67" i="23"/>
  <c r="V67" i="23"/>
  <c r="Z66" i="23"/>
  <c r="Y66" i="23"/>
  <c r="X66" i="23"/>
  <c r="V66" i="23"/>
  <c r="Z65" i="23"/>
  <c r="Y65" i="23"/>
  <c r="X65" i="23"/>
  <c r="V65" i="23"/>
  <c r="Z64" i="23"/>
  <c r="Y64" i="23"/>
  <c r="X64" i="23"/>
  <c r="V64" i="23"/>
  <c r="Z63" i="23"/>
  <c r="Y63" i="23"/>
  <c r="X63" i="23"/>
  <c r="V63" i="23"/>
  <c r="Z62" i="23"/>
  <c r="Y62" i="23"/>
  <c r="X62" i="23"/>
  <c r="V62" i="23"/>
  <c r="Z61" i="23"/>
  <c r="Y61" i="23"/>
  <c r="X61" i="23"/>
  <c r="V61" i="23"/>
  <c r="Z52" i="23"/>
  <c r="Y52" i="23"/>
  <c r="X52" i="23"/>
  <c r="V52" i="23"/>
  <c r="Z51" i="23"/>
  <c r="Y51" i="23"/>
  <c r="X51" i="23"/>
  <c r="V51" i="23"/>
  <c r="Z50" i="23"/>
  <c r="Y50" i="23"/>
  <c r="X50" i="23"/>
  <c r="V50" i="23"/>
  <c r="Z49" i="23"/>
  <c r="Y49" i="23"/>
  <c r="X49" i="23"/>
  <c r="V49" i="23"/>
  <c r="Z48" i="23"/>
  <c r="Y48" i="23"/>
  <c r="X48" i="23"/>
  <c r="V48" i="23"/>
  <c r="Z47" i="23"/>
  <c r="Y47" i="23"/>
  <c r="X47" i="23"/>
  <c r="V47" i="23"/>
  <c r="Z46" i="23"/>
  <c r="Y46" i="23"/>
  <c r="X46" i="23"/>
  <c r="V46" i="23"/>
  <c r="Z38" i="23"/>
  <c r="Y38" i="23"/>
  <c r="X38" i="23"/>
  <c r="V38" i="23"/>
  <c r="Z37" i="23"/>
  <c r="Y37" i="23"/>
  <c r="X37" i="23"/>
  <c r="V37" i="23"/>
  <c r="Z36" i="23"/>
  <c r="Y36" i="23"/>
  <c r="X36" i="23"/>
  <c r="V36" i="23"/>
  <c r="Z81" i="22"/>
  <c r="Y81" i="22"/>
  <c r="X81" i="22"/>
  <c r="V81" i="22"/>
  <c r="Z80" i="22"/>
  <c r="Y80" i="22"/>
  <c r="X80" i="22"/>
  <c r="V80" i="22"/>
  <c r="Z79" i="22"/>
  <c r="Y79" i="22"/>
  <c r="X79" i="22"/>
  <c r="V79" i="22"/>
  <c r="Z78" i="22"/>
  <c r="Y78" i="22"/>
  <c r="X78" i="22"/>
  <c r="V78" i="22"/>
  <c r="Z77" i="22"/>
  <c r="Y77" i="22"/>
  <c r="X77" i="22"/>
  <c r="V77" i="22"/>
  <c r="Z76" i="22"/>
  <c r="Y76" i="22"/>
  <c r="X76" i="22"/>
  <c r="V76" i="22"/>
  <c r="Z72" i="22"/>
  <c r="Y72" i="22"/>
  <c r="X72" i="22"/>
  <c r="V72" i="22"/>
  <c r="Z71" i="22"/>
  <c r="Y71" i="22"/>
  <c r="X71" i="22"/>
  <c r="V71" i="22"/>
  <c r="Z70" i="22"/>
  <c r="Y70" i="22"/>
  <c r="X70" i="22"/>
  <c r="V70" i="22"/>
  <c r="Z69" i="22"/>
  <c r="Y69" i="22"/>
  <c r="X69" i="22"/>
  <c r="V69" i="22"/>
  <c r="Z68" i="22"/>
  <c r="Y68" i="22"/>
  <c r="X68" i="22"/>
  <c r="V68" i="22"/>
  <c r="Z67" i="22"/>
  <c r="Y67" i="22"/>
  <c r="X67" i="22"/>
  <c r="V67" i="22"/>
  <c r="Z66" i="22"/>
  <c r="Y66" i="22"/>
  <c r="X66" i="22"/>
  <c r="V66" i="22"/>
  <c r="Z65" i="22"/>
  <c r="Y65" i="22"/>
  <c r="X65" i="22"/>
  <c r="V65" i="22"/>
  <c r="Z64" i="22"/>
  <c r="Y64" i="22"/>
  <c r="X64" i="22"/>
  <c r="V64" i="22"/>
  <c r="Z63" i="22"/>
  <c r="Y63" i="22"/>
  <c r="X63" i="22"/>
  <c r="V63" i="22"/>
  <c r="Z62" i="22"/>
  <c r="Y62" i="22"/>
  <c r="X62" i="22"/>
  <c r="V62" i="22"/>
  <c r="Z61" i="22"/>
  <c r="Y61" i="22"/>
  <c r="X61" i="22"/>
  <c r="V61" i="22"/>
  <c r="Z51" i="22"/>
  <c r="Y51" i="22"/>
  <c r="X51" i="22"/>
  <c r="V51" i="22"/>
  <c r="Z50" i="22"/>
  <c r="Y50" i="22"/>
  <c r="X50" i="22"/>
  <c r="V50" i="22"/>
  <c r="Z49" i="22"/>
  <c r="Y49" i="22"/>
  <c r="X49" i="22"/>
  <c r="V49" i="22"/>
  <c r="Z48" i="22"/>
  <c r="Y48" i="22"/>
  <c r="X48" i="22"/>
  <c r="V48" i="22"/>
  <c r="Z47" i="22"/>
  <c r="Y47" i="22"/>
  <c r="X47" i="22"/>
  <c r="V47" i="22"/>
  <c r="Z46" i="22"/>
  <c r="Y46" i="22"/>
  <c r="X46" i="22"/>
  <c r="V46" i="22"/>
  <c r="Z39" i="22"/>
  <c r="Y39" i="22"/>
  <c r="X39" i="22"/>
  <c r="V39" i="22"/>
  <c r="Z38" i="22"/>
  <c r="Y38" i="22"/>
  <c r="X38" i="22"/>
  <c r="V38" i="22"/>
  <c r="Z37" i="22"/>
  <c r="Y37" i="22"/>
  <c r="X37" i="22"/>
  <c r="V37" i="22"/>
  <c r="Z36" i="22"/>
  <c r="Y36" i="22"/>
  <c r="X36" i="22"/>
  <c r="V36" i="22"/>
  <c r="Z81" i="21"/>
  <c r="Y81" i="21"/>
  <c r="X81" i="21"/>
  <c r="V81" i="21"/>
  <c r="Z80" i="21"/>
  <c r="Y80" i="21"/>
  <c r="X80" i="21"/>
  <c r="V80" i="21"/>
  <c r="Z79" i="21"/>
  <c r="Y79" i="21"/>
  <c r="X79" i="21"/>
  <c r="V79" i="21"/>
  <c r="Z78" i="21"/>
  <c r="Y78" i="21"/>
  <c r="X78" i="21"/>
  <c r="V78" i="21"/>
  <c r="Z77" i="21"/>
  <c r="Y77" i="21"/>
  <c r="X77" i="21"/>
  <c r="V77" i="21"/>
  <c r="Z76" i="21"/>
  <c r="Y76" i="21"/>
  <c r="X76" i="21"/>
  <c r="V76" i="21"/>
  <c r="Z73" i="21"/>
  <c r="Y73" i="21"/>
  <c r="X73" i="21"/>
  <c r="V73" i="21"/>
  <c r="Z72" i="21"/>
  <c r="Y72" i="21"/>
  <c r="X72" i="21"/>
  <c r="V72" i="21"/>
  <c r="Z71" i="21"/>
  <c r="Y71" i="21"/>
  <c r="X71" i="21"/>
  <c r="V71" i="21"/>
  <c r="Z70" i="21"/>
  <c r="Y70" i="21"/>
  <c r="X70" i="21"/>
  <c r="V70" i="21"/>
  <c r="Z69" i="21"/>
  <c r="Y69" i="21"/>
  <c r="X69" i="21"/>
  <c r="V69" i="21"/>
  <c r="Z68" i="21"/>
  <c r="Y68" i="21"/>
  <c r="X68" i="21"/>
  <c r="V68" i="21"/>
  <c r="Z67" i="21"/>
  <c r="Y67" i="21"/>
  <c r="X67" i="21"/>
  <c r="V67" i="21"/>
  <c r="Z66" i="21"/>
  <c r="Y66" i="21"/>
  <c r="X66" i="21"/>
  <c r="V66" i="21"/>
  <c r="Z65" i="21"/>
  <c r="Y65" i="21"/>
  <c r="X65" i="21"/>
  <c r="V65" i="21"/>
  <c r="Z64" i="21"/>
  <c r="Y64" i="21"/>
  <c r="X64" i="21"/>
  <c r="V64" i="21"/>
  <c r="Z63" i="21"/>
  <c r="Y63" i="21"/>
  <c r="X63" i="21"/>
  <c r="V63" i="21"/>
  <c r="Z62" i="21"/>
  <c r="Y62" i="21"/>
  <c r="X62" i="21"/>
  <c r="V62" i="21"/>
  <c r="Z61" i="21"/>
  <c r="Y61" i="21"/>
  <c r="X61" i="21"/>
  <c r="V61" i="21"/>
  <c r="Z51" i="21"/>
  <c r="Y51" i="21"/>
  <c r="X51" i="21"/>
  <c r="V51" i="21"/>
  <c r="Z50" i="21"/>
  <c r="Y50" i="21"/>
  <c r="X50" i="21"/>
  <c r="V50" i="21"/>
  <c r="Z49" i="21"/>
  <c r="Y49" i="21"/>
  <c r="X49" i="21"/>
  <c r="V49" i="21"/>
  <c r="Z48" i="21"/>
  <c r="Y48" i="21"/>
  <c r="X48" i="21"/>
  <c r="V48" i="21"/>
  <c r="Z47" i="21"/>
  <c r="Y47" i="21"/>
  <c r="X47" i="21"/>
  <c r="V47" i="21"/>
  <c r="Z46" i="21"/>
  <c r="Y46" i="21"/>
  <c r="X46" i="21"/>
  <c r="V46" i="21"/>
  <c r="Z38" i="21"/>
  <c r="Y38" i="21"/>
  <c r="X38" i="21"/>
  <c r="V38" i="21"/>
  <c r="Z37" i="21"/>
  <c r="Y37" i="21"/>
  <c r="X37" i="21"/>
  <c r="V37" i="21"/>
  <c r="Z36" i="21"/>
  <c r="Y36" i="21"/>
  <c r="X36" i="21"/>
  <c r="V36" i="21"/>
  <c r="Z81" i="20"/>
  <c r="Y81" i="20"/>
  <c r="X81" i="20"/>
  <c r="V81" i="20"/>
  <c r="Z80" i="20"/>
  <c r="Y80" i="20"/>
  <c r="X80" i="20"/>
  <c r="V80" i="20"/>
  <c r="Z79" i="20"/>
  <c r="Y79" i="20"/>
  <c r="X79" i="20"/>
  <c r="V79" i="20"/>
  <c r="Z78" i="20"/>
  <c r="Y78" i="20"/>
  <c r="X78" i="20"/>
  <c r="V78" i="20"/>
  <c r="Z77" i="20"/>
  <c r="Y77" i="20"/>
  <c r="X77" i="20"/>
  <c r="V77" i="20"/>
  <c r="Z76" i="20"/>
  <c r="Y76" i="20"/>
  <c r="X76" i="20"/>
  <c r="V76" i="20"/>
  <c r="Z71" i="20"/>
  <c r="Y71" i="20"/>
  <c r="X71" i="20"/>
  <c r="V71" i="20"/>
  <c r="Z70" i="20"/>
  <c r="Y70" i="20"/>
  <c r="X70" i="20"/>
  <c r="V70" i="20"/>
  <c r="Z69" i="20"/>
  <c r="Y69" i="20"/>
  <c r="X69" i="20"/>
  <c r="V69" i="20"/>
  <c r="Z68" i="20"/>
  <c r="Y68" i="20"/>
  <c r="X68" i="20"/>
  <c r="V68" i="20"/>
  <c r="Z67" i="20"/>
  <c r="Y67" i="20"/>
  <c r="X67" i="20"/>
  <c r="V67" i="20"/>
  <c r="Z66" i="20"/>
  <c r="Y66" i="20"/>
  <c r="X66" i="20"/>
  <c r="V66" i="20"/>
  <c r="Z65" i="20"/>
  <c r="Y65" i="20"/>
  <c r="X65" i="20"/>
  <c r="V65" i="20"/>
  <c r="Z64" i="20"/>
  <c r="Y64" i="20"/>
  <c r="X64" i="20"/>
  <c r="V64" i="20"/>
  <c r="Z63" i="20"/>
  <c r="Y63" i="20"/>
  <c r="X63" i="20"/>
  <c r="V63" i="20"/>
  <c r="Z62" i="20"/>
  <c r="Y62" i="20"/>
  <c r="X62" i="20"/>
  <c r="V62" i="20"/>
  <c r="Z61" i="20"/>
  <c r="Y61" i="20"/>
  <c r="X61" i="20"/>
  <c r="V61" i="20"/>
  <c r="Z51" i="20"/>
  <c r="Y51" i="20"/>
  <c r="X51" i="20"/>
  <c r="V51" i="20"/>
  <c r="Z50" i="20"/>
  <c r="Y50" i="20"/>
  <c r="X50" i="20"/>
  <c r="V50" i="20"/>
  <c r="Z49" i="20"/>
  <c r="Y49" i="20"/>
  <c r="X49" i="20"/>
  <c r="V49" i="20"/>
  <c r="Z48" i="20"/>
  <c r="Y48" i="20"/>
  <c r="X48" i="20"/>
  <c r="V48" i="20"/>
  <c r="Z47" i="20"/>
  <c r="Y47" i="20"/>
  <c r="X47" i="20"/>
  <c r="V47" i="20"/>
  <c r="Z46" i="20"/>
  <c r="Y46" i="20"/>
  <c r="X46" i="20"/>
  <c r="V46" i="20"/>
  <c r="Z38" i="20"/>
  <c r="Y38" i="20"/>
  <c r="X38" i="20"/>
  <c r="V38" i="20"/>
  <c r="Z37" i="20"/>
  <c r="Y37" i="20"/>
  <c r="X37" i="20"/>
  <c r="V37" i="20"/>
  <c r="Z36" i="20"/>
  <c r="Y36" i="20"/>
  <c r="X36" i="20"/>
  <c r="V36" i="20"/>
  <c r="Z81" i="19"/>
  <c r="Y81" i="19"/>
  <c r="X81" i="19"/>
  <c r="V81" i="19"/>
  <c r="Z80" i="19"/>
  <c r="Y80" i="19"/>
  <c r="X80" i="19"/>
  <c r="V80" i="19"/>
  <c r="Z79" i="19"/>
  <c r="Y79" i="19"/>
  <c r="X79" i="19"/>
  <c r="V79" i="19"/>
  <c r="Z78" i="19"/>
  <c r="Y78" i="19"/>
  <c r="X78" i="19"/>
  <c r="V78" i="19"/>
  <c r="Z77" i="19"/>
  <c r="Y77" i="19"/>
  <c r="X77" i="19"/>
  <c r="V77" i="19"/>
  <c r="Z76" i="19"/>
  <c r="Y76" i="19"/>
  <c r="X76" i="19"/>
  <c r="V76" i="19"/>
  <c r="Z71" i="19"/>
  <c r="Y71" i="19"/>
  <c r="X71" i="19"/>
  <c r="V71" i="19"/>
  <c r="Z70" i="19"/>
  <c r="Y70" i="19"/>
  <c r="X70" i="19"/>
  <c r="V70" i="19"/>
  <c r="Z69" i="19"/>
  <c r="Y69" i="19"/>
  <c r="X69" i="19"/>
  <c r="V69" i="19"/>
  <c r="Z68" i="19"/>
  <c r="Y68" i="19"/>
  <c r="X68" i="19"/>
  <c r="V68" i="19"/>
  <c r="Z67" i="19"/>
  <c r="Y67" i="19"/>
  <c r="X67" i="19"/>
  <c r="V67" i="19"/>
  <c r="Z66" i="19"/>
  <c r="Y66" i="19"/>
  <c r="X66" i="19"/>
  <c r="V66" i="19"/>
  <c r="Z65" i="19"/>
  <c r="Y65" i="19"/>
  <c r="X65" i="19"/>
  <c r="V65" i="19"/>
  <c r="Z64" i="19"/>
  <c r="Y64" i="19"/>
  <c r="X64" i="19"/>
  <c r="V64" i="19"/>
  <c r="Z63" i="19"/>
  <c r="Y63" i="19"/>
  <c r="X63" i="19"/>
  <c r="V63" i="19"/>
  <c r="Z62" i="19"/>
  <c r="Y62" i="19"/>
  <c r="X62" i="19"/>
  <c r="V62" i="19"/>
  <c r="Z61" i="19"/>
  <c r="Y61" i="19"/>
  <c r="X61" i="19"/>
  <c r="V61" i="19"/>
  <c r="Z54" i="19"/>
  <c r="Y54" i="19"/>
  <c r="X54" i="19"/>
  <c r="V54" i="19"/>
  <c r="Z53" i="19"/>
  <c r="Y53" i="19"/>
  <c r="X53" i="19"/>
  <c r="V53" i="19"/>
  <c r="Z52" i="19"/>
  <c r="Y52" i="19"/>
  <c r="X52" i="19"/>
  <c r="V52" i="19"/>
  <c r="Z51" i="19"/>
  <c r="Y51" i="19"/>
  <c r="X51" i="19"/>
  <c r="V51" i="19"/>
  <c r="Z50" i="19"/>
  <c r="Y50" i="19"/>
  <c r="X50" i="19"/>
  <c r="V50" i="19"/>
  <c r="Z49" i="19"/>
  <c r="Y49" i="19"/>
  <c r="X49" i="19"/>
  <c r="V49" i="19"/>
  <c r="Z48" i="19"/>
  <c r="Y48" i="19"/>
  <c r="X48" i="19"/>
  <c r="V48" i="19"/>
  <c r="Z47" i="19"/>
  <c r="Y47" i="19"/>
  <c r="X47" i="19"/>
  <c r="V47" i="19"/>
  <c r="Z46" i="19"/>
  <c r="Y46" i="19"/>
  <c r="X46" i="19"/>
  <c r="V46" i="19"/>
  <c r="Z39" i="19"/>
  <c r="Y39" i="19"/>
  <c r="X39" i="19"/>
  <c r="V39" i="19"/>
  <c r="Z38" i="19"/>
  <c r="Y38" i="19"/>
  <c r="X38" i="19"/>
  <c r="V38" i="19"/>
  <c r="Z37" i="19"/>
  <c r="Y37" i="19"/>
  <c r="X37" i="19"/>
  <c r="V37" i="19"/>
  <c r="Z36" i="19"/>
  <c r="Y36" i="19"/>
  <c r="X36" i="19"/>
  <c r="V36" i="19"/>
  <c r="Z82" i="18"/>
  <c r="Y82" i="18"/>
  <c r="X82" i="18"/>
  <c r="V82" i="18"/>
  <c r="Z81" i="18"/>
  <c r="Y81" i="18"/>
  <c r="X81" i="18"/>
  <c r="V81" i="18"/>
  <c r="Z80" i="18"/>
  <c r="Y80" i="18"/>
  <c r="X80" i="18"/>
  <c r="V80" i="18"/>
  <c r="Z79" i="18"/>
  <c r="Y79" i="18"/>
  <c r="X79" i="18"/>
  <c r="V79" i="18"/>
  <c r="Z78" i="18"/>
  <c r="Y78" i="18"/>
  <c r="X78" i="18"/>
  <c r="V78" i="18"/>
  <c r="Z77" i="18"/>
  <c r="Y77" i="18"/>
  <c r="X77" i="18"/>
  <c r="V77" i="18"/>
  <c r="Z76" i="18"/>
  <c r="Y76" i="18"/>
  <c r="X76" i="18"/>
  <c r="V76" i="18"/>
  <c r="Z72" i="18"/>
  <c r="Y72" i="18"/>
  <c r="X72" i="18"/>
  <c r="V72" i="18"/>
  <c r="Z71" i="18"/>
  <c r="Y71" i="18"/>
  <c r="X71" i="18"/>
  <c r="V71" i="18"/>
  <c r="Z70" i="18"/>
  <c r="Y70" i="18"/>
  <c r="X70" i="18"/>
  <c r="V70" i="18"/>
  <c r="Z69" i="18"/>
  <c r="Y69" i="18"/>
  <c r="X69" i="18"/>
  <c r="V69" i="18"/>
  <c r="Z68" i="18"/>
  <c r="Y68" i="18"/>
  <c r="X68" i="18"/>
  <c r="V68" i="18"/>
  <c r="Z67" i="18"/>
  <c r="Y67" i="18"/>
  <c r="X67" i="18"/>
  <c r="V67" i="18"/>
  <c r="Z66" i="18"/>
  <c r="Y66" i="18"/>
  <c r="X66" i="18"/>
  <c r="V66" i="18"/>
  <c r="Z65" i="18"/>
  <c r="Y65" i="18"/>
  <c r="X65" i="18"/>
  <c r="V65" i="18"/>
  <c r="Z64" i="18"/>
  <c r="Y64" i="18"/>
  <c r="X64" i="18"/>
  <c r="V64" i="18"/>
  <c r="Z63" i="18"/>
  <c r="Y63" i="18"/>
  <c r="X63" i="18"/>
  <c r="V63" i="18"/>
  <c r="Z62" i="18"/>
  <c r="Y62" i="18"/>
  <c r="X62" i="18"/>
  <c r="V62" i="18"/>
  <c r="Z61" i="18"/>
  <c r="Y61" i="18"/>
  <c r="X61" i="18"/>
  <c r="V61" i="18"/>
  <c r="Z50" i="18"/>
  <c r="Y50" i="18"/>
  <c r="X50" i="18"/>
  <c r="V50" i="18"/>
  <c r="Z49" i="18"/>
  <c r="Y49" i="18"/>
  <c r="X49" i="18"/>
  <c r="V49" i="18"/>
  <c r="Z48" i="18"/>
  <c r="Y48" i="18"/>
  <c r="X48" i="18"/>
  <c r="V48" i="18"/>
  <c r="Z47" i="18"/>
  <c r="Y47" i="18"/>
  <c r="X47" i="18"/>
  <c r="V47" i="18"/>
  <c r="Z46" i="18"/>
  <c r="Y46" i="18"/>
  <c r="X46" i="18"/>
  <c r="V46" i="18"/>
  <c r="Z39" i="18"/>
  <c r="Y39" i="18"/>
  <c r="X39" i="18"/>
  <c r="V39" i="18"/>
  <c r="Z38" i="18"/>
  <c r="Y38" i="18"/>
  <c r="X38" i="18"/>
  <c r="V38" i="18"/>
  <c r="Z37" i="18"/>
  <c r="Y37" i="18"/>
  <c r="X37" i="18"/>
  <c r="V37" i="18"/>
  <c r="Z36" i="18"/>
  <c r="Y36" i="18"/>
  <c r="X36" i="18"/>
  <c r="V36" i="18"/>
  <c r="Z81" i="17"/>
  <c r="Y81" i="17"/>
  <c r="X81" i="17"/>
  <c r="V81" i="17"/>
  <c r="Z80" i="17"/>
  <c r="Y80" i="17"/>
  <c r="X80" i="17"/>
  <c r="V80" i="17"/>
  <c r="Z79" i="17"/>
  <c r="Y79" i="17"/>
  <c r="X79" i="17"/>
  <c r="V79" i="17"/>
  <c r="Z78" i="17"/>
  <c r="Y78" i="17"/>
  <c r="X78" i="17"/>
  <c r="V78" i="17"/>
  <c r="Z77" i="17"/>
  <c r="Y77" i="17"/>
  <c r="X77" i="17"/>
  <c r="V77" i="17"/>
  <c r="Z76" i="17"/>
  <c r="Y76" i="17"/>
  <c r="X76" i="17"/>
  <c r="V76" i="17"/>
  <c r="Z72" i="17"/>
  <c r="Y72" i="17"/>
  <c r="X72" i="17"/>
  <c r="V72" i="17"/>
  <c r="Z71" i="17"/>
  <c r="Y71" i="17"/>
  <c r="X71" i="17"/>
  <c r="V71" i="17"/>
  <c r="Z70" i="17"/>
  <c r="Y70" i="17"/>
  <c r="X70" i="17"/>
  <c r="V70" i="17"/>
  <c r="Z69" i="17"/>
  <c r="Y69" i="17"/>
  <c r="X69" i="17"/>
  <c r="V69" i="17"/>
  <c r="Z68" i="17"/>
  <c r="Y68" i="17"/>
  <c r="X68" i="17"/>
  <c r="V68" i="17"/>
  <c r="Z67" i="17"/>
  <c r="Y67" i="17"/>
  <c r="X67" i="17"/>
  <c r="V67" i="17"/>
  <c r="Z66" i="17"/>
  <c r="Y66" i="17"/>
  <c r="X66" i="17"/>
  <c r="V66" i="17"/>
  <c r="Z65" i="17"/>
  <c r="Y65" i="17"/>
  <c r="X65" i="17"/>
  <c r="V65" i="17"/>
  <c r="Z64" i="17"/>
  <c r="Y64" i="17"/>
  <c r="X64" i="17"/>
  <c r="V64" i="17"/>
  <c r="Z63" i="17"/>
  <c r="Y63" i="17"/>
  <c r="X63" i="17"/>
  <c r="V63" i="17"/>
  <c r="Z62" i="17"/>
  <c r="Y62" i="17"/>
  <c r="X62" i="17"/>
  <c r="V62" i="17"/>
  <c r="Z61" i="17"/>
  <c r="Y61" i="17"/>
  <c r="X61" i="17"/>
  <c r="V61" i="17"/>
  <c r="Z51" i="17"/>
  <c r="Y51" i="17"/>
  <c r="X51" i="17"/>
  <c r="V51" i="17"/>
  <c r="Z50" i="17"/>
  <c r="Y50" i="17"/>
  <c r="X50" i="17"/>
  <c r="V50" i="17"/>
  <c r="Z49" i="17"/>
  <c r="Y49" i="17"/>
  <c r="X49" i="17"/>
  <c r="V49" i="17"/>
  <c r="Z48" i="17"/>
  <c r="Y48" i="17"/>
  <c r="X48" i="17"/>
  <c r="V48" i="17"/>
  <c r="Z47" i="17"/>
  <c r="Y47" i="17"/>
  <c r="X47" i="17"/>
  <c r="V47" i="17"/>
  <c r="Z46" i="17"/>
  <c r="Y46" i="17"/>
  <c r="X46" i="17"/>
  <c r="V46" i="17"/>
  <c r="Z38" i="17"/>
  <c r="Y38" i="17"/>
  <c r="X38" i="17"/>
  <c r="V38" i="17"/>
  <c r="Z37" i="17"/>
  <c r="Y37" i="17"/>
  <c r="X37" i="17"/>
  <c r="V37" i="17"/>
  <c r="Z36" i="17"/>
  <c r="Y36" i="17"/>
  <c r="X36" i="17"/>
  <c r="V36" i="17"/>
  <c r="Z82" i="16"/>
  <c r="Y82" i="16"/>
  <c r="X82" i="16"/>
  <c r="V82" i="16"/>
  <c r="Z81" i="16"/>
  <c r="Y81" i="16"/>
  <c r="X81" i="16"/>
  <c r="V81" i="16"/>
  <c r="Z80" i="16"/>
  <c r="Y80" i="16"/>
  <c r="X80" i="16"/>
  <c r="V80" i="16"/>
  <c r="Z79" i="16"/>
  <c r="Y79" i="16"/>
  <c r="X79" i="16"/>
  <c r="V79" i="16"/>
  <c r="Z78" i="16"/>
  <c r="Y78" i="16"/>
  <c r="X78" i="16"/>
  <c r="V78" i="16"/>
  <c r="Z77" i="16"/>
  <c r="Y77" i="16"/>
  <c r="X77" i="16"/>
  <c r="V77" i="16"/>
  <c r="Z76" i="16"/>
  <c r="Y76" i="16"/>
  <c r="X76" i="16"/>
  <c r="V76" i="16"/>
  <c r="Z74" i="16"/>
  <c r="Y74" i="16"/>
  <c r="X74" i="16"/>
  <c r="V74" i="16"/>
  <c r="Z73" i="16"/>
  <c r="Y73" i="16"/>
  <c r="X73" i="16"/>
  <c r="V73" i="16"/>
  <c r="Z72" i="16"/>
  <c r="Y72" i="16"/>
  <c r="X72" i="16"/>
  <c r="V72" i="16"/>
  <c r="Z71" i="16"/>
  <c r="Y71" i="16"/>
  <c r="X71" i="16"/>
  <c r="V71" i="16"/>
  <c r="Z70" i="16"/>
  <c r="Y70" i="16"/>
  <c r="X70" i="16"/>
  <c r="V70" i="16"/>
  <c r="Z69" i="16"/>
  <c r="Y69" i="16"/>
  <c r="X69" i="16"/>
  <c r="V69" i="16"/>
  <c r="Z68" i="16"/>
  <c r="Y68" i="16"/>
  <c r="X68" i="16"/>
  <c r="V68" i="16"/>
  <c r="Z67" i="16"/>
  <c r="Y67" i="16"/>
  <c r="X67" i="16"/>
  <c r="V67" i="16"/>
  <c r="Z66" i="16"/>
  <c r="Y66" i="16"/>
  <c r="X66" i="16"/>
  <c r="V66" i="16"/>
  <c r="Z65" i="16"/>
  <c r="Y65" i="16"/>
  <c r="X65" i="16"/>
  <c r="V65" i="16"/>
  <c r="Z64" i="16"/>
  <c r="Y64" i="16"/>
  <c r="X64" i="16"/>
  <c r="V64" i="16"/>
  <c r="Z63" i="16"/>
  <c r="Y63" i="16"/>
  <c r="X63" i="16"/>
  <c r="V63" i="16"/>
  <c r="Z62" i="16"/>
  <c r="Y62" i="16"/>
  <c r="X62" i="16"/>
  <c r="V62" i="16"/>
  <c r="Z61" i="16"/>
  <c r="Y61" i="16"/>
  <c r="X61" i="16"/>
  <c r="V61" i="16"/>
  <c r="Z50" i="16"/>
  <c r="Y50" i="16"/>
  <c r="X50" i="16"/>
  <c r="V50" i="16"/>
  <c r="Z49" i="16"/>
  <c r="Y49" i="16"/>
  <c r="X49" i="16"/>
  <c r="V49" i="16"/>
  <c r="Z48" i="16"/>
  <c r="Y48" i="16"/>
  <c r="X48" i="16"/>
  <c r="V48" i="16"/>
  <c r="Z47" i="16"/>
  <c r="Y47" i="16"/>
  <c r="X47" i="16"/>
  <c r="V47" i="16"/>
  <c r="Z46" i="16"/>
  <c r="Y46" i="16"/>
  <c r="X46" i="16"/>
  <c r="V46" i="16"/>
  <c r="AB39" i="16"/>
  <c r="Z39" i="16"/>
  <c r="Y39" i="16"/>
  <c r="X39" i="16"/>
  <c r="V39" i="16"/>
  <c r="AB38" i="16"/>
  <c r="Z38" i="16"/>
  <c r="Y38" i="16"/>
  <c r="X38" i="16"/>
  <c r="V38" i="16"/>
  <c r="AB37" i="16"/>
  <c r="Z37" i="16"/>
  <c r="Y37" i="16"/>
  <c r="X37" i="16"/>
  <c r="V37" i="16"/>
  <c r="AB36" i="16"/>
  <c r="Z36" i="16"/>
  <c r="Y36" i="16"/>
  <c r="X36" i="16"/>
  <c r="V36" i="16"/>
  <c r="Z82" i="15"/>
  <c r="Y82" i="15"/>
  <c r="X82" i="15"/>
  <c r="V82" i="15"/>
  <c r="Z81" i="15"/>
  <c r="Y81" i="15"/>
  <c r="X81" i="15"/>
  <c r="V81" i="15"/>
  <c r="Z80" i="15"/>
  <c r="Y80" i="15"/>
  <c r="X80" i="15"/>
  <c r="V80" i="15"/>
  <c r="Z79" i="15"/>
  <c r="Y79" i="15"/>
  <c r="X79" i="15"/>
  <c r="V79" i="15"/>
  <c r="Z78" i="15"/>
  <c r="Y78" i="15"/>
  <c r="X78" i="15"/>
  <c r="V78" i="15"/>
  <c r="Z77" i="15"/>
  <c r="Y77" i="15"/>
  <c r="X77" i="15"/>
  <c r="V77" i="15"/>
  <c r="Z76" i="15"/>
  <c r="Y76" i="15"/>
  <c r="X76" i="15"/>
  <c r="V76" i="15"/>
  <c r="Z73" i="15"/>
  <c r="Y73" i="15"/>
  <c r="X73" i="15"/>
  <c r="V73" i="15"/>
  <c r="Z72" i="15"/>
  <c r="Y72" i="15"/>
  <c r="X72" i="15"/>
  <c r="V72" i="15"/>
  <c r="Z71" i="15"/>
  <c r="Y71" i="15"/>
  <c r="X71" i="15"/>
  <c r="V71" i="15"/>
  <c r="Z70" i="15"/>
  <c r="Y70" i="15"/>
  <c r="X70" i="15"/>
  <c r="V70" i="15"/>
  <c r="Z69" i="15"/>
  <c r="Y69" i="15"/>
  <c r="X69" i="15"/>
  <c r="V69" i="15"/>
  <c r="Z68" i="15"/>
  <c r="Y68" i="15"/>
  <c r="X68" i="15"/>
  <c r="V68" i="15"/>
  <c r="Z67" i="15"/>
  <c r="Y67" i="15"/>
  <c r="X67" i="15"/>
  <c r="V67" i="15"/>
  <c r="Z66" i="15"/>
  <c r="Y66" i="15"/>
  <c r="X66" i="15"/>
  <c r="V66" i="15"/>
  <c r="Z65" i="15"/>
  <c r="Y65" i="15"/>
  <c r="X65" i="15"/>
  <c r="V65" i="15"/>
  <c r="Z64" i="15"/>
  <c r="Y64" i="15"/>
  <c r="X64" i="15"/>
  <c r="V64" i="15"/>
  <c r="Z63" i="15"/>
  <c r="Y63" i="15"/>
  <c r="X63" i="15"/>
  <c r="V63" i="15"/>
  <c r="Z62" i="15"/>
  <c r="Y62" i="15"/>
  <c r="X62" i="15"/>
  <c r="V62" i="15"/>
  <c r="Z61" i="15"/>
  <c r="Y61" i="15"/>
  <c r="X61" i="15"/>
  <c r="V61" i="15"/>
  <c r="Z51" i="15"/>
  <c r="Y51" i="15"/>
  <c r="X51" i="15"/>
  <c r="V51" i="15"/>
  <c r="Z50" i="15"/>
  <c r="Y50" i="15"/>
  <c r="X50" i="15"/>
  <c r="V50" i="15"/>
  <c r="Z49" i="15"/>
  <c r="Y49" i="15"/>
  <c r="X49" i="15"/>
  <c r="V49" i="15"/>
  <c r="Z48" i="15"/>
  <c r="Y48" i="15"/>
  <c r="X48" i="15"/>
  <c r="V48" i="15"/>
  <c r="Z47" i="15"/>
  <c r="Y47" i="15"/>
  <c r="X47" i="15"/>
  <c r="V47" i="15"/>
  <c r="Z46" i="15"/>
  <c r="Y46" i="15"/>
  <c r="X46" i="15"/>
  <c r="V46" i="15"/>
  <c r="Z38" i="15"/>
  <c r="Y38" i="15"/>
  <c r="X38" i="15"/>
  <c r="V38" i="15"/>
  <c r="Z37" i="15"/>
  <c r="Y37" i="15"/>
  <c r="X37" i="15"/>
  <c r="V37" i="15"/>
  <c r="Z36" i="15"/>
  <c r="Y36" i="15"/>
  <c r="X36" i="15"/>
  <c r="V36" i="15"/>
  <c r="Z84" i="14"/>
  <c r="Y84" i="14"/>
  <c r="X84" i="14"/>
  <c r="V84" i="14"/>
  <c r="Z83" i="14"/>
  <c r="Y83" i="14"/>
  <c r="X83" i="14"/>
  <c r="V83" i="14"/>
  <c r="Z82" i="14"/>
  <c r="Y82" i="14"/>
  <c r="X82" i="14"/>
  <c r="V82" i="14"/>
  <c r="Z81" i="14"/>
  <c r="Y81" i="14"/>
  <c r="X81" i="14"/>
  <c r="V81" i="14"/>
  <c r="Z80" i="14"/>
  <c r="Y80" i="14"/>
  <c r="X80" i="14"/>
  <c r="V80" i="14"/>
  <c r="Z79" i="14"/>
  <c r="Y79" i="14"/>
  <c r="X79" i="14"/>
  <c r="V79" i="14"/>
  <c r="Z78" i="14"/>
  <c r="Y78" i="14"/>
  <c r="X78" i="14"/>
  <c r="V78" i="14"/>
  <c r="Z77" i="14"/>
  <c r="Y77" i="14"/>
  <c r="X77" i="14"/>
  <c r="V77" i="14"/>
  <c r="Z76" i="14"/>
  <c r="Y76" i="14"/>
  <c r="X76" i="14"/>
  <c r="V76" i="14"/>
  <c r="Z73" i="14"/>
  <c r="Y73" i="14"/>
  <c r="X73" i="14"/>
  <c r="V73" i="14"/>
  <c r="Z72" i="14"/>
  <c r="Y72" i="14"/>
  <c r="X72" i="14"/>
  <c r="V72" i="14"/>
  <c r="Z71" i="14"/>
  <c r="Y71" i="14"/>
  <c r="X71" i="14"/>
  <c r="V71" i="14"/>
  <c r="Z70" i="14"/>
  <c r="Y70" i="14"/>
  <c r="X70" i="14"/>
  <c r="V70" i="14"/>
  <c r="Z69" i="14"/>
  <c r="Y69" i="14"/>
  <c r="X69" i="14"/>
  <c r="V69" i="14"/>
  <c r="Z68" i="14"/>
  <c r="Y68" i="14"/>
  <c r="X68" i="14"/>
  <c r="V68" i="14"/>
  <c r="Z67" i="14"/>
  <c r="Y67" i="14"/>
  <c r="X67" i="14"/>
  <c r="V67" i="14"/>
  <c r="Z66" i="14"/>
  <c r="Y66" i="14"/>
  <c r="X66" i="14"/>
  <c r="V66" i="14"/>
  <c r="Z65" i="14"/>
  <c r="Y65" i="14"/>
  <c r="X65" i="14"/>
  <c r="V65" i="14"/>
  <c r="Z64" i="14"/>
  <c r="Y64" i="14"/>
  <c r="X64" i="14"/>
  <c r="V64" i="14"/>
  <c r="Z63" i="14"/>
  <c r="Y63" i="14"/>
  <c r="X63" i="14"/>
  <c r="V63" i="14"/>
  <c r="Z62" i="14"/>
  <c r="Y62" i="14"/>
  <c r="X62" i="14"/>
  <c r="V62" i="14"/>
  <c r="Z61" i="14"/>
  <c r="Y61" i="14"/>
  <c r="X61" i="14"/>
  <c r="V61" i="14"/>
  <c r="Z52" i="14"/>
  <c r="Y52" i="14"/>
  <c r="X52" i="14"/>
  <c r="V52" i="14"/>
  <c r="Z51" i="14"/>
  <c r="Y51" i="14"/>
  <c r="X51" i="14"/>
  <c r="V51" i="14"/>
  <c r="Z50" i="14"/>
  <c r="Y50" i="14"/>
  <c r="X50" i="14"/>
  <c r="V50" i="14"/>
  <c r="Z49" i="14"/>
  <c r="Y49" i="14"/>
  <c r="X49" i="14"/>
  <c r="V49" i="14"/>
  <c r="Z48" i="14"/>
  <c r="Y48" i="14"/>
  <c r="X48" i="14"/>
  <c r="V48" i="14"/>
  <c r="Z47" i="14"/>
  <c r="Y47" i="14"/>
  <c r="X47" i="14"/>
  <c r="V47" i="14"/>
  <c r="Z46" i="14"/>
  <c r="Y46" i="14"/>
  <c r="X46" i="14"/>
  <c r="V46" i="14"/>
  <c r="Z38" i="14"/>
  <c r="Y38" i="14"/>
  <c r="X38" i="14"/>
  <c r="V38" i="14"/>
  <c r="Z37" i="14"/>
  <c r="Y37" i="14"/>
  <c r="X37" i="14"/>
  <c r="V37" i="14"/>
  <c r="Z36" i="14"/>
  <c r="Y36" i="14"/>
  <c r="X36" i="14"/>
  <c r="V36" i="14"/>
  <c r="Z83" i="13"/>
  <c r="Y83" i="13"/>
  <c r="X83" i="13"/>
  <c r="V83" i="13"/>
  <c r="Z82" i="13"/>
  <c r="Y82" i="13"/>
  <c r="X82" i="13"/>
  <c r="V82" i="13"/>
  <c r="Z81" i="13"/>
  <c r="Y81" i="13"/>
  <c r="X81" i="13"/>
  <c r="V81" i="13"/>
  <c r="Z80" i="13"/>
  <c r="Y80" i="13"/>
  <c r="X80" i="13"/>
  <c r="V80" i="13"/>
  <c r="Z79" i="13"/>
  <c r="Y79" i="13"/>
  <c r="X79" i="13"/>
  <c r="V79" i="13"/>
  <c r="Z78" i="13"/>
  <c r="Y78" i="13"/>
  <c r="X78" i="13"/>
  <c r="V78" i="13"/>
  <c r="Z77" i="13"/>
  <c r="Y77" i="13"/>
  <c r="X77" i="13"/>
  <c r="V77" i="13"/>
  <c r="Z76" i="13"/>
  <c r="Y76" i="13"/>
  <c r="X76" i="13"/>
  <c r="V76" i="13"/>
  <c r="Z73" i="13"/>
  <c r="Y73" i="13"/>
  <c r="X73" i="13"/>
  <c r="V73" i="13"/>
  <c r="Z72" i="13"/>
  <c r="Y72" i="13"/>
  <c r="X72" i="13"/>
  <c r="V72" i="13"/>
  <c r="Z71" i="13"/>
  <c r="Y71" i="13"/>
  <c r="X71" i="13"/>
  <c r="V71" i="13"/>
  <c r="Z70" i="13"/>
  <c r="Y70" i="13"/>
  <c r="X70" i="13"/>
  <c r="V70" i="13"/>
  <c r="Z69" i="13"/>
  <c r="Y69" i="13"/>
  <c r="X69" i="13"/>
  <c r="V69" i="13"/>
  <c r="Z68" i="13"/>
  <c r="Y68" i="13"/>
  <c r="X68" i="13"/>
  <c r="V68" i="13"/>
  <c r="Z67" i="13"/>
  <c r="Y67" i="13"/>
  <c r="X67" i="13"/>
  <c r="V67" i="13"/>
  <c r="Z66" i="13"/>
  <c r="Y66" i="13"/>
  <c r="X66" i="13"/>
  <c r="V66" i="13"/>
  <c r="Z65" i="13"/>
  <c r="Y65" i="13"/>
  <c r="X65" i="13"/>
  <c r="V65" i="13"/>
  <c r="Z64" i="13"/>
  <c r="Y64" i="13"/>
  <c r="X64" i="13"/>
  <c r="V64" i="13"/>
  <c r="Z63" i="13"/>
  <c r="Y63" i="13"/>
  <c r="X63" i="13"/>
  <c r="V63" i="13"/>
  <c r="Z62" i="13"/>
  <c r="Y62" i="13"/>
  <c r="X62" i="13"/>
  <c r="V62" i="13"/>
  <c r="Z61" i="13"/>
  <c r="Y61" i="13"/>
  <c r="X61" i="13"/>
  <c r="V61" i="13"/>
  <c r="Z50" i="13"/>
  <c r="Y50" i="13"/>
  <c r="X50" i="13"/>
  <c r="V50" i="13"/>
  <c r="Z49" i="13"/>
  <c r="Y49" i="13"/>
  <c r="X49" i="13"/>
  <c r="V49" i="13"/>
  <c r="Z48" i="13"/>
  <c r="Y48" i="13"/>
  <c r="X48" i="13"/>
  <c r="V48" i="13"/>
  <c r="Z47" i="13"/>
  <c r="Y47" i="13"/>
  <c r="X47" i="13"/>
  <c r="V47" i="13"/>
  <c r="Z46" i="13"/>
  <c r="Y46" i="13"/>
  <c r="X46" i="13"/>
  <c r="V46" i="13"/>
  <c r="Z39" i="13"/>
  <c r="Y39" i="13"/>
  <c r="X39" i="13"/>
  <c r="V39" i="13"/>
  <c r="Z38" i="13"/>
  <c r="Y38" i="13"/>
  <c r="X38" i="13"/>
  <c r="V38" i="13"/>
  <c r="Z37" i="13"/>
  <c r="Y37" i="13"/>
  <c r="X37" i="13"/>
  <c r="V37" i="13"/>
  <c r="Z36" i="13"/>
  <c r="Y36" i="13"/>
  <c r="X36" i="13"/>
  <c r="V36" i="13"/>
  <c r="Z80" i="12"/>
  <c r="Y80" i="12"/>
  <c r="X80" i="12"/>
  <c r="V80" i="12"/>
  <c r="Z79" i="12"/>
  <c r="Y79" i="12"/>
  <c r="X79" i="12"/>
  <c r="V79" i="12"/>
  <c r="Z78" i="12"/>
  <c r="Y78" i="12"/>
  <c r="X78" i="12"/>
  <c r="V78" i="12"/>
  <c r="Z77" i="12"/>
  <c r="Y77" i="12"/>
  <c r="X77" i="12"/>
  <c r="V77" i="12"/>
  <c r="Z76" i="12"/>
  <c r="Y76" i="12"/>
  <c r="X76" i="12"/>
  <c r="V76" i="12"/>
  <c r="Z72" i="12"/>
  <c r="Y72" i="12"/>
  <c r="X72" i="12"/>
  <c r="V72" i="12"/>
  <c r="Z71" i="12"/>
  <c r="Y71" i="12"/>
  <c r="X71" i="12"/>
  <c r="V71" i="12"/>
  <c r="Z70" i="12"/>
  <c r="Y70" i="12"/>
  <c r="X70" i="12"/>
  <c r="V70" i="12"/>
  <c r="Z69" i="12"/>
  <c r="Y69" i="12"/>
  <c r="X69" i="12"/>
  <c r="V69" i="12"/>
  <c r="Z68" i="12"/>
  <c r="Y68" i="12"/>
  <c r="X68" i="12"/>
  <c r="V68" i="12"/>
  <c r="Z67" i="12"/>
  <c r="Y67" i="12"/>
  <c r="X67" i="12"/>
  <c r="V67" i="12"/>
  <c r="Z66" i="12"/>
  <c r="Y66" i="12"/>
  <c r="X66" i="12"/>
  <c r="V66" i="12"/>
  <c r="Z65" i="12"/>
  <c r="Y65" i="12"/>
  <c r="X65" i="12"/>
  <c r="V65" i="12"/>
  <c r="Z64" i="12"/>
  <c r="Y64" i="12"/>
  <c r="X64" i="12"/>
  <c r="V64" i="12"/>
  <c r="Z63" i="12"/>
  <c r="Y63" i="12"/>
  <c r="X63" i="12"/>
  <c r="V63" i="12"/>
  <c r="Z62" i="12"/>
  <c r="Y62" i="12"/>
  <c r="X62" i="12"/>
  <c r="V62" i="12"/>
  <c r="Z61" i="12"/>
  <c r="Y61" i="12"/>
  <c r="X61" i="12"/>
  <c r="V61" i="12"/>
  <c r="Z52" i="12"/>
  <c r="Y52" i="12"/>
  <c r="X52" i="12"/>
  <c r="V52" i="12"/>
  <c r="Z51" i="12"/>
  <c r="Y51" i="12"/>
  <c r="X51" i="12"/>
  <c r="V51" i="12"/>
  <c r="Z50" i="12"/>
  <c r="Y50" i="12"/>
  <c r="X50" i="12"/>
  <c r="V50" i="12"/>
  <c r="Z49" i="12"/>
  <c r="Y49" i="12"/>
  <c r="X49" i="12"/>
  <c r="V49" i="12"/>
  <c r="Z48" i="12"/>
  <c r="Y48" i="12"/>
  <c r="X48" i="12"/>
  <c r="V48" i="12"/>
  <c r="Z47" i="12"/>
  <c r="Y47" i="12"/>
  <c r="X47" i="12"/>
  <c r="V47" i="12"/>
  <c r="Z46" i="12"/>
  <c r="Y46" i="12"/>
  <c r="X46" i="12"/>
  <c r="V46" i="12"/>
  <c r="Z38" i="12"/>
  <c r="Y38" i="12"/>
  <c r="X38" i="12"/>
  <c r="V38" i="12"/>
  <c r="Z37" i="12"/>
  <c r="Y37" i="12"/>
  <c r="X37" i="12"/>
  <c r="V37" i="12"/>
  <c r="Z36" i="12"/>
  <c r="Y36" i="12"/>
  <c r="X36" i="12"/>
  <c r="V36" i="12"/>
  <c r="Z81" i="11"/>
  <c r="Y81" i="11"/>
  <c r="X81" i="11"/>
  <c r="V81" i="11"/>
  <c r="Z80" i="11"/>
  <c r="Y80" i="11"/>
  <c r="X80" i="11"/>
  <c r="V80" i="11"/>
  <c r="Z79" i="11"/>
  <c r="Y79" i="11"/>
  <c r="X79" i="11"/>
  <c r="V79" i="11"/>
  <c r="Z78" i="11"/>
  <c r="Y78" i="11"/>
  <c r="X78" i="11"/>
  <c r="V78" i="11"/>
  <c r="Z77" i="11"/>
  <c r="Y77" i="11"/>
  <c r="X77" i="11"/>
  <c r="V77" i="11"/>
  <c r="Z76" i="11"/>
  <c r="Y76" i="11"/>
  <c r="X76" i="11"/>
  <c r="V76" i="11"/>
  <c r="Z73" i="11"/>
  <c r="Y73" i="11"/>
  <c r="X73" i="11"/>
  <c r="V73" i="11"/>
  <c r="Z72" i="11"/>
  <c r="Y72" i="11"/>
  <c r="X72" i="11"/>
  <c r="V72" i="11"/>
  <c r="Z71" i="11"/>
  <c r="Y71" i="11"/>
  <c r="X71" i="11"/>
  <c r="V71" i="11"/>
  <c r="Z70" i="11"/>
  <c r="Y70" i="11"/>
  <c r="X70" i="11"/>
  <c r="V70" i="11"/>
  <c r="Z69" i="11"/>
  <c r="Y69" i="11"/>
  <c r="X69" i="11"/>
  <c r="V69" i="11"/>
  <c r="Z68" i="11"/>
  <c r="Y68" i="11"/>
  <c r="X68" i="11"/>
  <c r="V68" i="11"/>
  <c r="Z67" i="11"/>
  <c r="Y67" i="11"/>
  <c r="X67" i="11"/>
  <c r="V67" i="11"/>
  <c r="Z66" i="11"/>
  <c r="Y66" i="11"/>
  <c r="X66" i="11"/>
  <c r="V66" i="11"/>
  <c r="Z65" i="11"/>
  <c r="Y65" i="11"/>
  <c r="X65" i="11"/>
  <c r="V65" i="11"/>
  <c r="Z64" i="11"/>
  <c r="Y64" i="11"/>
  <c r="X64" i="11"/>
  <c r="V64" i="11"/>
  <c r="Z63" i="11"/>
  <c r="Y63" i="11"/>
  <c r="X63" i="11"/>
  <c r="V63" i="11"/>
  <c r="Z62" i="11"/>
  <c r="Y62" i="11"/>
  <c r="X62" i="11"/>
  <c r="V62" i="11"/>
  <c r="Z61" i="11"/>
  <c r="Y61" i="11"/>
  <c r="X61" i="11"/>
  <c r="V61" i="11"/>
  <c r="Z53" i="11"/>
  <c r="Y53" i="11"/>
  <c r="X53" i="11"/>
  <c r="V53" i="11"/>
  <c r="Z52" i="11"/>
  <c r="Y52" i="11"/>
  <c r="X52" i="11"/>
  <c r="V52" i="11"/>
  <c r="Z51" i="11"/>
  <c r="Y51" i="11"/>
  <c r="X51" i="11"/>
  <c r="V51" i="11"/>
  <c r="Z50" i="11"/>
  <c r="Y50" i="11"/>
  <c r="X50" i="11"/>
  <c r="V50" i="11"/>
  <c r="Z49" i="11"/>
  <c r="Y49" i="11"/>
  <c r="X49" i="11"/>
  <c r="V49" i="11"/>
  <c r="Z48" i="11"/>
  <c r="Y48" i="11"/>
  <c r="X48" i="11"/>
  <c r="V48" i="11"/>
  <c r="Z47" i="11"/>
  <c r="Y47" i="11"/>
  <c r="X47" i="11"/>
  <c r="V47" i="11"/>
  <c r="Z46" i="11"/>
  <c r="Y46" i="11"/>
  <c r="X46" i="11"/>
  <c r="V46" i="11"/>
  <c r="Z40" i="11"/>
  <c r="Y40" i="11"/>
  <c r="X40" i="11"/>
  <c r="V40" i="11"/>
  <c r="Z39" i="11"/>
  <c r="Y39" i="11"/>
  <c r="X39" i="11"/>
  <c r="V39" i="11"/>
  <c r="Z38" i="11"/>
  <c r="Y38" i="11"/>
  <c r="X38" i="11"/>
  <c r="V38" i="11"/>
  <c r="Z37" i="11"/>
  <c r="Y37" i="11"/>
  <c r="X37" i="11"/>
  <c r="V37" i="11"/>
  <c r="Z36" i="11"/>
  <c r="Y36" i="11"/>
  <c r="X36" i="11"/>
  <c r="V36" i="11"/>
  <c r="Z81" i="10"/>
  <c r="Y81" i="10"/>
  <c r="X81" i="10"/>
  <c r="V81" i="10"/>
  <c r="Z80" i="10"/>
  <c r="Y80" i="10"/>
  <c r="X80" i="10"/>
  <c r="V80" i="10"/>
  <c r="Z79" i="10"/>
  <c r="Y79" i="10"/>
  <c r="X79" i="10"/>
  <c r="V79" i="10"/>
  <c r="Z78" i="10"/>
  <c r="Y78" i="10"/>
  <c r="X78" i="10"/>
  <c r="V78" i="10"/>
  <c r="Z77" i="10"/>
  <c r="Y77" i="10"/>
  <c r="X77" i="10"/>
  <c r="V77" i="10"/>
  <c r="Z76" i="10"/>
  <c r="Y76" i="10"/>
  <c r="X76" i="10"/>
  <c r="V76" i="10"/>
  <c r="Z74" i="10"/>
  <c r="Y74" i="10"/>
  <c r="X74" i="10"/>
  <c r="V74" i="10"/>
  <c r="Z73" i="10"/>
  <c r="Y73" i="10"/>
  <c r="X73" i="10"/>
  <c r="V73" i="10"/>
  <c r="Z72" i="10"/>
  <c r="Y72" i="10"/>
  <c r="X72" i="10"/>
  <c r="V72" i="10"/>
  <c r="Z71" i="10"/>
  <c r="Y71" i="10"/>
  <c r="X71" i="10"/>
  <c r="V71" i="10"/>
  <c r="Z70" i="10"/>
  <c r="Y70" i="10"/>
  <c r="X70" i="10"/>
  <c r="V70" i="10"/>
  <c r="Z69" i="10"/>
  <c r="Y69" i="10"/>
  <c r="X69" i="10"/>
  <c r="V69" i="10"/>
  <c r="Z68" i="10"/>
  <c r="Y68" i="10"/>
  <c r="X68" i="10"/>
  <c r="V68" i="10"/>
  <c r="Z67" i="10"/>
  <c r="Y67" i="10"/>
  <c r="X67" i="10"/>
  <c r="V67" i="10"/>
  <c r="Z66" i="10"/>
  <c r="Y66" i="10"/>
  <c r="X66" i="10"/>
  <c r="V66" i="10"/>
  <c r="Z65" i="10"/>
  <c r="Y65" i="10"/>
  <c r="X65" i="10"/>
  <c r="V65" i="10"/>
  <c r="Z64" i="10"/>
  <c r="Y64" i="10"/>
  <c r="X64" i="10"/>
  <c r="V64" i="10"/>
  <c r="Z63" i="10"/>
  <c r="Y63" i="10"/>
  <c r="X63" i="10"/>
  <c r="V63" i="10"/>
  <c r="Z62" i="10"/>
  <c r="Y62" i="10"/>
  <c r="X62" i="10"/>
  <c r="V62" i="10"/>
  <c r="Z61" i="10"/>
  <c r="Y61" i="10"/>
  <c r="X61" i="10"/>
  <c r="V61" i="10"/>
  <c r="Z51" i="10"/>
  <c r="Y51" i="10"/>
  <c r="X51" i="10"/>
  <c r="V51" i="10"/>
  <c r="Z50" i="10"/>
  <c r="Y50" i="10"/>
  <c r="X50" i="10"/>
  <c r="V50" i="10"/>
  <c r="Z49" i="10"/>
  <c r="Y49" i="10"/>
  <c r="X49" i="10"/>
  <c r="V49" i="10"/>
  <c r="Z48" i="10"/>
  <c r="Y48" i="10"/>
  <c r="X48" i="10"/>
  <c r="V48" i="10"/>
  <c r="Z47" i="10"/>
  <c r="Y47" i="10"/>
  <c r="X47" i="10"/>
  <c r="V47" i="10"/>
  <c r="Z46" i="10"/>
  <c r="X46" i="10"/>
  <c r="V46" i="10"/>
  <c r="Z38" i="10"/>
  <c r="Y38" i="10"/>
  <c r="X38" i="10"/>
  <c r="V38" i="10"/>
  <c r="Z37" i="10"/>
  <c r="Y37" i="10"/>
  <c r="X37" i="10"/>
  <c r="V37" i="10"/>
  <c r="Z36" i="10"/>
  <c r="Y36" i="10"/>
  <c r="X36" i="10"/>
  <c r="V36" i="10"/>
  <c r="Z81" i="9"/>
  <c r="Y81" i="9"/>
  <c r="X81" i="9"/>
  <c r="V81" i="9"/>
  <c r="Z80" i="9"/>
  <c r="Y80" i="9"/>
  <c r="X80" i="9"/>
  <c r="V80" i="9"/>
  <c r="Z79" i="9"/>
  <c r="Y79" i="9"/>
  <c r="X79" i="9"/>
  <c r="V79" i="9"/>
  <c r="Z78" i="9"/>
  <c r="Y78" i="9"/>
  <c r="X78" i="9"/>
  <c r="V78" i="9"/>
  <c r="Z77" i="9"/>
  <c r="Y77" i="9"/>
  <c r="X77" i="9"/>
  <c r="V77" i="9"/>
  <c r="Z76" i="9"/>
  <c r="Y76" i="9"/>
  <c r="X76" i="9"/>
  <c r="V76" i="9"/>
  <c r="Z74" i="9"/>
  <c r="Y74" i="9"/>
  <c r="X74" i="9"/>
  <c r="V74" i="9"/>
  <c r="Z73" i="9"/>
  <c r="Y73" i="9"/>
  <c r="X73" i="9"/>
  <c r="V73" i="9"/>
  <c r="Z72" i="9"/>
  <c r="Y72" i="9"/>
  <c r="X72" i="9"/>
  <c r="V72" i="9"/>
  <c r="Z71" i="9"/>
  <c r="Y71" i="9"/>
  <c r="X71" i="9"/>
  <c r="V71" i="9"/>
  <c r="Z70" i="9"/>
  <c r="Y70" i="9"/>
  <c r="X70" i="9"/>
  <c r="V70" i="9"/>
  <c r="Z69" i="9"/>
  <c r="Y69" i="9"/>
  <c r="X69" i="9"/>
  <c r="V69" i="9"/>
  <c r="Z68" i="9"/>
  <c r="Y68" i="9"/>
  <c r="X68" i="9"/>
  <c r="V68" i="9"/>
  <c r="Z67" i="9"/>
  <c r="Y67" i="9"/>
  <c r="X67" i="9"/>
  <c r="V67" i="9"/>
  <c r="Z66" i="9"/>
  <c r="Y66" i="9"/>
  <c r="X66" i="9"/>
  <c r="V66" i="9"/>
  <c r="Z65" i="9"/>
  <c r="Y65" i="9"/>
  <c r="X65" i="9"/>
  <c r="V65" i="9"/>
  <c r="Z64" i="9"/>
  <c r="Y64" i="9"/>
  <c r="X64" i="9"/>
  <c r="V64" i="9"/>
  <c r="Z63" i="9"/>
  <c r="Y63" i="9"/>
  <c r="X63" i="9"/>
  <c r="V63" i="9"/>
  <c r="Z62" i="9"/>
  <c r="Y62" i="9"/>
  <c r="X62" i="9"/>
  <c r="V62" i="9"/>
  <c r="Z61" i="9"/>
  <c r="Y61" i="9"/>
  <c r="X61" i="9"/>
  <c r="V61" i="9"/>
  <c r="Z51" i="9"/>
  <c r="Y51" i="9"/>
  <c r="X51" i="9"/>
  <c r="V51" i="9"/>
  <c r="Z50" i="9"/>
  <c r="Y50" i="9"/>
  <c r="X50" i="9"/>
  <c r="V50" i="9"/>
  <c r="Z49" i="9"/>
  <c r="Y49" i="9"/>
  <c r="X49" i="9"/>
  <c r="V49" i="9"/>
  <c r="Z48" i="9"/>
  <c r="Y48" i="9"/>
  <c r="X48" i="9"/>
  <c r="V48" i="9"/>
  <c r="Z47" i="9"/>
  <c r="Y47" i="9"/>
  <c r="X47" i="9"/>
  <c r="V47" i="9"/>
  <c r="Z46" i="9"/>
  <c r="Y46" i="9"/>
  <c r="X46" i="9"/>
  <c r="V46" i="9"/>
  <c r="Z38" i="9"/>
  <c r="Y38" i="9"/>
  <c r="X38" i="9"/>
  <c r="V38" i="9"/>
  <c r="Z37" i="9"/>
  <c r="Y37" i="9"/>
  <c r="X37" i="9"/>
  <c r="V37" i="9"/>
  <c r="Z36" i="9"/>
  <c r="Y36" i="9"/>
  <c r="X36" i="9"/>
  <c r="V36" i="9"/>
  <c r="Z81" i="8"/>
  <c r="Y81" i="8"/>
  <c r="X81" i="8"/>
  <c r="V81" i="8"/>
  <c r="Z80" i="8"/>
  <c r="Y80" i="8"/>
  <c r="X80" i="8"/>
  <c r="V80" i="8"/>
  <c r="Z79" i="8"/>
  <c r="Y79" i="8"/>
  <c r="X79" i="8"/>
  <c r="V79" i="8"/>
  <c r="Z78" i="8"/>
  <c r="Y78" i="8"/>
  <c r="X78" i="8"/>
  <c r="V78" i="8"/>
  <c r="Z77" i="8"/>
  <c r="Y77" i="8"/>
  <c r="X77" i="8"/>
  <c r="V77" i="8"/>
  <c r="Z76" i="8"/>
  <c r="Y76" i="8"/>
  <c r="X76" i="8"/>
  <c r="V76" i="8"/>
  <c r="Z73" i="8"/>
  <c r="Y73" i="8"/>
  <c r="X73" i="8"/>
  <c r="V73" i="8"/>
  <c r="Z72" i="8"/>
  <c r="Y72" i="8"/>
  <c r="X72" i="8"/>
  <c r="V72" i="8"/>
  <c r="Z71" i="8"/>
  <c r="Y71" i="8"/>
  <c r="X71" i="8"/>
  <c r="V71" i="8"/>
  <c r="Z70" i="8"/>
  <c r="Y70" i="8"/>
  <c r="X70" i="8"/>
  <c r="V70" i="8"/>
  <c r="Z69" i="8"/>
  <c r="Y69" i="8"/>
  <c r="X69" i="8"/>
  <c r="V69" i="8"/>
  <c r="Z68" i="8"/>
  <c r="Y68" i="8"/>
  <c r="X68" i="8"/>
  <c r="V68" i="8"/>
  <c r="Z67" i="8"/>
  <c r="Y67" i="8"/>
  <c r="X67" i="8"/>
  <c r="V67" i="8"/>
  <c r="Z66" i="8"/>
  <c r="Y66" i="8"/>
  <c r="X66" i="8"/>
  <c r="V66" i="8"/>
  <c r="Z65" i="8"/>
  <c r="Y65" i="8"/>
  <c r="X65" i="8"/>
  <c r="V65" i="8"/>
  <c r="Z64" i="8"/>
  <c r="Y64" i="8"/>
  <c r="X64" i="8"/>
  <c r="V64" i="8"/>
  <c r="Z63" i="8"/>
  <c r="Y63" i="8"/>
  <c r="X63" i="8"/>
  <c r="V63" i="8"/>
  <c r="Z62" i="8"/>
  <c r="Y62" i="8"/>
  <c r="X62" i="8"/>
  <c r="V62" i="8"/>
  <c r="Z61" i="8"/>
  <c r="Y61" i="8"/>
  <c r="X61" i="8"/>
  <c r="V61" i="8"/>
  <c r="Z51" i="8"/>
  <c r="Y51" i="8"/>
  <c r="X51" i="8"/>
  <c r="V51" i="8"/>
  <c r="Z50" i="8"/>
  <c r="Y50" i="8"/>
  <c r="X50" i="8"/>
  <c r="V50" i="8"/>
  <c r="Z49" i="8"/>
  <c r="Y49" i="8"/>
  <c r="X49" i="8"/>
  <c r="V49" i="8"/>
  <c r="Z48" i="8"/>
  <c r="Y48" i="8"/>
  <c r="X48" i="8"/>
  <c r="V48" i="8"/>
  <c r="Z47" i="8"/>
  <c r="Y47" i="8"/>
  <c r="X47" i="8"/>
  <c r="V47" i="8"/>
  <c r="Z46" i="8"/>
  <c r="Y46" i="8"/>
  <c r="X46" i="8"/>
  <c r="V46" i="8"/>
  <c r="Z39" i="8"/>
  <c r="Y39" i="8"/>
  <c r="X39" i="8"/>
  <c r="V39" i="8"/>
  <c r="Z38" i="8"/>
  <c r="Y38" i="8"/>
  <c r="X38" i="8"/>
  <c r="V38" i="8"/>
  <c r="Z37" i="8"/>
  <c r="Y37" i="8"/>
  <c r="X37" i="8"/>
  <c r="V37" i="8"/>
  <c r="Z36" i="8"/>
  <c r="Y36" i="8"/>
  <c r="X36" i="8"/>
  <c r="V36" i="8"/>
  <c r="Z82" i="7"/>
  <c r="Y82" i="7"/>
  <c r="X82" i="7"/>
  <c r="V82" i="7"/>
  <c r="Z81" i="7"/>
  <c r="Y81" i="7"/>
  <c r="X81" i="7"/>
  <c r="V81" i="7"/>
  <c r="Z80" i="7"/>
  <c r="Y80" i="7"/>
  <c r="X80" i="7"/>
  <c r="V80" i="7"/>
  <c r="Z79" i="7"/>
  <c r="Y79" i="7"/>
  <c r="X79" i="7"/>
  <c r="V79" i="7"/>
  <c r="Z78" i="7"/>
  <c r="Y78" i="7"/>
  <c r="X78" i="7"/>
  <c r="V78" i="7"/>
  <c r="Z77" i="7"/>
  <c r="Y77" i="7"/>
  <c r="X77" i="7"/>
  <c r="V77" i="7"/>
  <c r="Z76" i="7"/>
  <c r="Y76" i="7"/>
  <c r="X76" i="7"/>
  <c r="V76" i="7"/>
  <c r="Z72" i="7"/>
  <c r="Y72" i="7"/>
  <c r="X72" i="7"/>
  <c r="V72" i="7"/>
  <c r="Z71" i="7"/>
  <c r="Y71" i="7"/>
  <c r="X71" i="7"/>
  <c r="V71" i="7"/>
  <c r="Z70" i="7"/>
  <c r="Y70" i="7"/>
  <c r="X70" i="7"/>
  <c r="V70" i="7"/>
  <c r="Z69" i="7"/>
  <c r="Y69" i="7"/>
  <c r="X69" i="7"/>
  <c r="V69" i="7"/>
  <c r="Z68" i="7"/>
  <c r="Y68" i="7"/>
  <c r="X68" i="7"/>
  <c r="V68" i="7"/>
  <c r="Z67" i="7"/>
  <c r="Y67" i="7"/>
  <c r="X67" i="7"/>
  <c r="V67" i="7"/>
  <c r="Z66" i="7"/>
  <c r="Y66" i="7"/>
  <c r="X66" i="7"/>
  <c r="V66" i="7"/>
  <c r="Z65" i="7"/>
  <c r="Y65" i="7"/>
  <c r="X65" i="7"/>
  <c r="V65" i="7"/>
  <c r="Z64" i="7"/>
  <c r="Y64" i="7"/>
  <c r="X64" i="7"/>
  <c r="V64" i="7"/>
  <c r="Z63" i="7"/>
  <c r="Y63" i="7"/>
  <c r="X63" i="7"/>
  <c r="V63" i="7"/>
  <c r="Z62" i="7"/>
  <c r="Y62" i="7"/>
  <c r="X62" i="7"/>
  <c r="V62" i="7"/>
  <c r="Z61" i="7"/>
  <c r="Y61" i="7"/>
  <c r="X61" i="7"/>
  <c r="V61" i="7"/>
  <c r="Z51" i="7"/>
  <c r="Y51" i="7"/>
  <c r="X51" i="7"/>
  <c r="V51" i="7"/>
  <c r="Z50" i="7"/>
  <c r="Y50" i="7"/>
  <c r="X50" i="7"/>
  <c r="V50" i="7"/>
  <c r="Z49" i="7"/>
  <c r="Y49" i="7"/>
  <c r="X49" i="7"/>
  <c r="V49" i="7"/>
  <c r="Z48" i="7"/>
  <c r="Y48" i="7"/>
  <c r="X48" i="7"/>
  <c r="V48" i="7"/>
  <c r="Z47" i="7"/>
  <c r="Y47" i="7"/>
  <c r="X47" i="7"/>
  <c r="V47" i="7"/>
  <c r="Z46" i="7"/>
  <c r="Y46" i="7"/>
  <c r="X46" i="7"/>
  <c r="V46" i="7"/>
  <c r="Z39" i="7"/>
  <c r="Y39" i="7"/>
  <c r="X39" i="7"/>
  <c r="V39" i="7"/>
  <c r="Z38" i="7"/>
  <c r="Y38" i="7"/>
  <c r="X38" i="7"/>
  <c r="V38" i="7"/>
  <c r="Z37" i="7"/>
  <c r="Y37" i="7"/>
  <c r="X37" i="7"/>
  <c r="V37" i="7"/>
  <c r="Z36" i="7"/>
  <c r="Y36" i="7"/>
  <c r="X36" i="7"/>
  <c r="V36" i="7"/>
  <c r="Z71" i="6"/>
  <c r="Y71" i="6"/>
  <c r="X71" i="6"/>
  <c r="V71" i="6"/>
  <c r="Z70" i="6"/>
  <c r="Y70" i="6"/>
  <c r="X70" i="6"/>
  <c r="V70" i="6"/>
  <c r="Z69" i="6"/>
  <c r="Y69" i="6"/>
  <c r="X69" i="6"/>
  <c r="V69" i="6"/>
  <c r="Z68" i="6"/>
  <c r="Y68" i="6"/>
  <c r="X68" i="6"/>
  <c r="V68" i="6"/>
  <c r="Z67" i="6"/>
  <c r="Y67" i="6"/>
  <c r="X67" i="6"/>
  <c r="V67" i="6"/>
  <c r="Z66" i="6"/>
  <c r="Y66" i="6"/>
  <c r="X66" i="6"/>
  <c r="V66" i="6"/>
  <c r="Z65" i="6"/>
  <c r="Y65" i="6"/>
  <c r="X65" i="6"/>
  <c r="V65" i="6"/>
  <c r="Z64" i="6"/>
  <c r="Y64" i="6"/>
  <c r="X64" i="6"/>
  <c r="V64" i="6"/>
  <c r="Z63" i="6"/>
  <c r="Y63" i="6"/>
  <c r="X63" i="6"/>
  <c r="V63" i="6"/>
  <c r="Z62" i="6"/>
  <c r="Y62" i="6"/>
  <c r="X62" i="6"/>
  <c r="V62" i="6"/>
  <c r="Z61" i="6"/>
  <c r="Y61" i="6"/>
  <c r="X61" i="6"/>
  <c r="V61" i="6"/>
  <c r="Z50" i="6"/>
  <c r="Y50" i="6"/>
  <c r="X50" i="6"/>
  <c r="V50" i="6"/>
  <c r="Z49" i="6"/>
  <c r="Y49" i="6"/>
  <c r="X49" i="6"/>
  <c r="V49" i="6"/>
  <c r="Z48" i="6"/>
  <c r="Y48" i="6"/>
  <c r="X48" i="6"/>
  <c r="V48" i="6"/>
  <c r="Z47" i="6"/>
  <c r="Y47" i="6"/>
  <c r="X47" i="6"/>
  <c r="V47" i="6"/>
  <c r="Z46" i="6"/>
  <c r="Y46" i="6"/>
  <c r="X46" i="6"/>
  <c r="V46" i="6"/>
  <c r="Z39" i="6"/>
  <c r="Y39" i="6"/>
  <c r="X39" i="6"/>
  <c r="V39" i="6"/>
  <c r="Z38" i="6"/>
  <c r="Y38" i="6"/>
  <c r="X38" i="6"/>
  <c r="V38" i="6"/>
  <c r="Z37" i="6"/>
  <c r="Y37" i="6"/>
  <c r="X37" i="6"/>
  <c r="V37" i="6"/>
  <c r="Z36" i="6"/>
  <c r="Y36" i="6"/>
  <c r="X36" i="6"/>
  <c r="V36" i="6"/>
  <c r="Z80" i="5"/>
  <c r="Y80" i="5"/>
  <c r="X80" i="5"/>
  <c r="V80" i="5"/>
  <c r="Z79" i="5"/>
  <c r="Y79" i="5"/>
  <c r="X79" i="5"/>
  <c r="V79" i="5"/>
  <c r="Z78" i="5"/>
  <c r="Y78" i="5"/>
  <c r="X78" i="5"/>
  <c r="V78" i="5"/>
  <c r="Z77" i="5"/>
  <c r="Y77" i="5"/>
  <c r="X77" i="5"/>
  <c r="V77" i="5"/>
  <c r="Z76" i="5"/>
  <c r="Y76" i="5"/>
  <c r="X76" i="5"/>
  <c r="V76" i="5"/>
  <c r="Z72" i="5"/>
  <c r="Y72" i="5"/>
  <c r="X72" i="5"/>
  <c r="V72" i="5"/>
  <c r="Z71" i="5"/>
  <c r="Y71" i="5"/>
  <c r="X71" i="5"/>
  <c r="V71" i="5"/>
  <c r="Z70" i="5"/>
  <c r="Y70" i="5"/>
  <c r="X70" i="5"/>
  <c r="V70" i="5"/>
  <c r="Z69" i="5"/>
  <c r="Y69" i="5"/>
  <c r="X69" i="5"/>
  <c r="V69" i="5"/>
  <c r="Z68" i="5"/>
  <c r="Y68" i="5"/>
  <c r="X68" i="5"/>
  <c r="V68" i="5"/>
  <c r="Z67" i="5"/>
  <c r="Y67" i="5"/>
  <c r="X67" i="5"/>
  <c r="V67" i="5"/>
  <c r="Z66" i="5"/>
  <c r="Y66" i="5"/>
  <c r="X66" i="5"/>
  <c r="V66" i="5"/>
  <c r="Z65" i="5"/>
  <c r="Y65" i="5"/>
  <c r="X65" i="5"/>
  <c r="V65" i="5"/>
  <c r="Z64" i="5"/>
  <c r="Y64" i="5"/>
  <c r="X64" i="5"/>
  <c r="V64" i="5"/>
  <c r="Z63" i="5"/>
  <c r="Y63" i="5"/>
  <c r="X63" i="5"/>
  <c r="V63" i="5"/>
  <c r="Z62" i="5"/>
  <c r="Y62" i="5"/>
  <c r="X62" i="5"/>
  <c r="V62" i="5"/>
  <c r="Z61" i="5"/>
  <c r="Y61" i="5"/>
  <c r="X61" i="5"/>
  <c r="V61" i="5"/>
  <c r="Z50" i="5"/>
  <c r="Y50" i="5"/>
  <c r="X50" i="5"/>
  <c r="V50" i="5"/>
  <c r="Z49" i="5"/>
  <c r="Y49" i="5"/>
  <c r="X49" i="5"/>
  <c r="V49" i="5"/>
  <c r="Z48" i="5"/>
  <c r="Y48" i="5"/>
  <c r="X48" i="5"/>
  <c r="V48" i="5"/>
  <c r="Z47" i="5"/>
  <c r="Y47" i="5"/>
  <c r="X47" i="5"/>
  <c r="V47" i="5"/>
  <c r="Z46" i="5"/>
  <c r="Y46" i="5"/>
  <c r="X46" i="5"/>
  <c r="V46" i="5"/>
  <c r="Z39" i="5"/>
  <c r="Y39" i="5"/>
  <c r="X39" i="5"/>
  <c r="V39" i="5"/>
  <c r="Z38" i="5"/>
  <c r="Y38" i="5"/>
  <c r="X38" i="5"/>
  <c r="V38" i="5"/>
  <c r="Z37" i="5"/>
  <c r="Y37" i="5"/>
  <c r="X37" i="5"/>
  <c r="V37" i="5"/>
  <c r="Z36" i="5"/>
  <c r="Y36" i="5"/>
  <c r="X36" i="5"/>
  <c r="V36" i="5"/>
  <c r="V36" i="4"/>
  <c r="Z80" i="4"/>
  <c r="Y80" i="4"/>
  <c r="X80" i="4"/>
  <c r="V80" i="4"/>
  <c r="Z79" i="4"/>
  <c r="Y79" i="4"/>
  <c r="X79" i="4"/>
  <c r="V79" i="4"/>
  <c r="Z78" i="4"/>
  <c r="Y78" i="4"/>
  <c r="X78" i="4"/>
  <c r="V78" i="4"/>
  <c r="Z77" i="4"/>
  <c r="Y77" i="4"/>
  <c r="X77" i="4"/>
  <c r="V77" i="4"/>
  <c r="Z76" i="4"/>
  <c r="Y76" i="4"/>
  <c r="X76" i="4"/>
  <c r="V76" i="4"/>
  <c r="Z73" i="4"/>
  <c r="Y73" i="4"/>
  <c r="X73" i="4"/>
  <c r="V73" i="4"/>
  <c r="Z72" i="4"/>
  <c r="Y72" i="4"/>
  <c r="X72" i="4"/>
  <c r="V72" i="4"/>
  <c r="Z71" i="4"/>
  <c r="Y71" i="4"/>
  <c r="X71" i="4"/>
  <c r="V71" i="4"/>
  <c r="Z70" i="4"/>
  <c r="Y70" i="4"/>
  <c r="X70" i="4"/>
  <c r="V70" i="4"/>
  <c r="Z69" i="4"/>
  <c r="Y69" i="4"/>
  <c r="X69" i="4"/>
  <c r="V69" i="4"/>
  <c r="Z68" i="4"/>
  <c r="Y68" i="4"/>
  <c r="X68" i="4"/>
  <c r="V68" i="4"/>
  <c r="Z67" i="4"/>
  <c r="Y67" i="4"/>
  <c r="X67" i="4"/>
  <c r="V67" i="4"/>
  <c r="Z66" i="4"/>
  <c r="Y66" i="4"/>
  <c r="X66" i="4"/>
  <c r="V66" i="4"/>
  <c r="Z65" i="4"/>
  <c r="Y65" i="4"/>
  <c r="X65" i="4"/>
  <c r="V65" i="4"/>
  <c r="Z64" i="4"/>
  <c r="Y64" i="4"/>
  <c r="X64" i="4"/>
  <c r="V64" i="4"/>
  <c r="Z63" i="4"/>
  <c r="Y63" i="4"/>
  <c r="X63" i="4"/>
  <c r="V63" i="4"/>
  <c r="Z62" i="4"/>
  <c r="Y62" i="4"/>
  <c r="X62" i="4"/>
  <c r="V62" i="4"/>
  <c r="Z61" i="4"/>
  <c r="Y61" i="4"/>
  <c r="X61" i="4"/>
  <c r="V61" i="4"/>
  <c r="Z50" i="4"/>
  <c r="Y50" i="4"/>
  <c r="X50" i="4"/>
  <c r="V50" i="4"/>
  <c r="Z49" i="4"/>
  <c r="Y49" i="4"/>
  <c r="X49" i="4"/>
  <c r="V49" i="4"/>
  <c r="Z48" i="4"/>
  <c r="Y48" i="4"/>
  <c r="X48" i="4"/>
  <c r="V48" i="4"/>
  <c r="Z47" i="4"/>
  <c r="Y47" i="4"/>
  <c r="X47" i="4"/>
  <c r="V47" i="4"/>
  <c r="Z46" i="4"/>
  <c r="Y46" i="4"/>
  <c r="X46" i="4"/>
  <c r="V46" i="4"/>
  <c r="Z38" i="4"/>
  <c r="Y38" i="4"/>
  <c r="X38" i="4"/>
  <c r="V38" i="4"/>
  <c r="Z37" i="4"/>
  <c r="Y37" i="4"/>
  <c r="X37" i="4"/>
  <c r="V37" i="4"/>
  <c r="Z36" i="4"/>
  <c r="Y36" i="4"/>
  <c r="X36" i="4"/>
  <c r="AA79" i="3"/>
  <c r="Z79" i="3"/>
  <c r="Y79" i="3"/>
  <c r="X79" i="3"/>
  <c r="V79" i="3"/>
  <c r="AA78" i="3"/>
  <c r="Z78" i="3"/>
  <c r="Y78" i="3"/>
  <c r="X78" i="3"/>
  <c r="V78" i="3"/>
  <c r="AA77" i="3"/>
  <c r="Z77" i="3"/>
  <c r="Y77" i="3"/>
  <c r="X77" i="3"/>
  <c r="V77" i="3"/>
  <c r="AA76" i="3"/>
  <c r="Z76" i="3"/>
  <c r="Y76" i="3"/>
  <c r="X76" i="3"/>
  <c r="V76" i="3"/>
  <c r="AA72" i="3"/>
  <c r="Z72" i="3"/>
  <c r="Y72" i="3"/>
  <c r="X72" i="3"/>
  <c r="V72" i="3"/>
  <c r="AA71" i="3"/>
  <c r="Z71" i="3"/>
  <c r="Y71" i="3"/>
  <c r="X71" i="3"/>
  <c r="V71" i="3"/>
  <c r="AA70" i="3"/>
  <c r="Z70" i="3"/>
  <c r="Y70" i="3"/>
  <c r="X70" i="3"/>
  <c r="V70" i="3"/>
  <c r="AA69" i="3"/>
  <c r="Z69" i="3"/>
  <c r="Y69" i="3"/>
  <c r="X69" i="3"/>
  <c r="V69" i="3"/>
  <c r="AA68" i="3"/>
  <c r="Z68" i="3"/>
  <c r="Y68" i="3"/>
  <c r="X68" i="3"/>
  <c r="V68" i="3"/>
  <c r="AA67" i="3"/>
  <c r="Z67" i="3"/>
  <c r="Y67" i="3"/>
  <c r="X67" i="3"/>
  <c r="V67" i="3"/>
  <c r="AA66" i="3"/>
  <c r="Z66" i="3"/>
  <c r="Y66" i="3"/>
  <c r="X66" i="3"/>
  <c r="V66" i="3"/>
  <c r="AA65" i="3"/>
  <c r="Z65" i="3"/>
  <c r="Y65" i="3"/>
  <c r="X65" i="3"/>
  <c r="V65" i="3"/>
  <c r="AA64" i="3"/>
  <c r="Z64" i="3"/>
  <c r="Y64" i="3"/>
  <c r="X64" i="3"/>
  <c r="V64" i="3"/>
  <c r="AA63" i="3"/>
  <c r="Z63" i="3"/>
  <c r="Y63" i="3"/>
  <c r="X63" i="3"/>
  <c r="V63" i="3"/>
  <c r="AA62" i="3"/>
  <c r="Z62" i="3"/>
  <c r="Y62" i="3"/>
  <c r="X62" i="3"/>
  <c r="V62" i="3"/>
  <c r="AA61" i="3"/>
  <c r="Z61" i="3"/>
  <c r="Y61" i="3"/>
  <c r="X61" i="3"/>
  <c r="V61" i="3"/>
  <c r="Z51" i="3"/>
  <c r="Y51" i="3"/>
  <c r="X51" i="3"/>
  <c r="V51" i="3"/>
  <c r="Z50" i="3"/>
  <c r="Y50" i="3"/>
  <c r="X50" i="3"/>
  <c r="V50" i="3"/>
  <c r="Z49" i="3"/>
  <c r="Y49" i="3"/>
  <c r="X49" i="3"/>
  <c r="V49" i="3"/>
  <c r="Z48" i="3"/>
  <c r="Y48" i="3"/>
  <c r="X48" i="3"/>
  <c r="V48" i="3"/>
  <c r="Z47" i="3"/>
  <c r="Y47" i="3"/>
  <c r="X47" i="3"/>
  <c r="V47" i="3"/>
  <c r="Z46" i="3"/>
  <c r="Y46" i="3"/>
  <c r="X46" i="3"/>
  <c r="V46" i="3"/>
  <c r="Z39" i="3"/>
  <c r="Y39" i="3"/>
  <c r="X39" i="3"/>
  <c r="V39" i="3"/>
  <c r="Z38" i="3"/>
  <c r="Y38" i="3"/>
  <c r="X38" i="3"/>
  <c r="V38" i="3"/>
  <c r="Z37" i="3"/>
  <c r="Y37" i="3"/>
  <c r="X37" i="3"/>
  <c r="V37" i="3"/>
  <c r="Z36" i="3"/>
  <c r="Y36" i="3"/>
  <c r="X36" i="3"/>
  <c r="V36" i="3"/>
  <c r="Z82" i="2"/>
  <c r="Y82" i="2"/>
  <c r="X82" i="2"/>
  <c r="V82" i="2"/>
  <c r="Z81" i="2"/>
  <c r="Y81" i="2"/>
  <c r="X81" i="2"/>
  <c r="V81" i="2"/>
  <c r="Z80" i="2"/>
  <c r="Y80" i="2"/>
  <c r="X80" i="2"/>
  <c r="V80" i="2"/>
  <c r="Z79" i="2"/>
  <c r="Y79" i="2"/>
  <c r="X79" i="2"/>
  <c r="V79" i="2"/>
  <c r="Z78" i="2"/>
  <c r="Y78" i="2"/>
  <c r="X78" i="2"/>
  <c r="V78" i="2"/>
  <c r="Z77" i="2"/>
  <c r="Y77" i="2"/>
  <c r="X77" i="2"/>
  <c r="V77" i="2"/>
  <c r="Z76" i="2"/>
  <c r="Y76" i="2"/>
  <c r="X76" i="2"/>
  <c r="V76" i="2"/>
  <c r="Z72" i="2"/>
  <c r="Y72" i="2"/>
  <c r="X72" i="2"/>
  <c r="V72" i="2"/>
  <c r="Z71" i="2"/>
  <c r="Y71" i="2"/>
  <c r="X71" i="2"/>
  <c r="V71" i="2"/>
  <c r="Z70" i="2"/>
  <c r="Y70" i="2"/>
  <c r="X70" i="2"/>
  <c r="V70" i="2"/>
  <c r="Z69" i="2"/>
  <c r="Y69" i="2"/>
  <c r="X69" i="2"/>
  <c r="V69" i="2"/>
  <c r="Z68" i="2"/>
  <c r="Y68" i="2"/>
  <c r="X68" i="2"/>
  <c r="V68" i="2"/>
  <c r="Z67" i="2"/>
  <c r="Y67" i="2"/>
  <c r="X67" i="2"/>
  <c r="V67" i="2"/>
  <c r="Z66" i="2"/>
  <c r="Y66" i="2"/>
  <c r="X66" i="2"/>
  <c r="V66" i="2"/>
  <c r="Z65" i="2"/>
  <c r="Y65" i="2"/>
  <c r="X65" i="2"/>
  <c r="V65" i="2"/>
  <c r="Z64" i="2"/>
  <c r="Y64" i="2"/>
  <c r="X64" i="2"/>
  <c r="V64" i="2"/>
  <c r="Z63" i="2"/>
  <c r="Y63" i="2"/>
  <c r="X63" i="2"/>
  <c r="V63" i="2"/>
  <c r="Z62" i="2"/>
  <c r="Y62" i="2"/>
  <c r="X62" i="2"/>
  <c r="V62" i="2"/>
  <c r="Z61" i="2"/>
  <c r="Y61" i="2"/>
  <c r="X61" i="2"/>
  <c r="V61" i="2"/>
  <c r="Z51" i="2"/>
  <c r="Y51" i="2"/>
  <c r="X51" i="2"/>
  <c r="V51" i="2"/>
  <c r="Z50" i="2"/>
  <c r="Y50" i="2"/>
  <c r="X50" i="2"/>
  <c r="V50" i="2"/>
  <c r="Z49" i="2"/>
  <c r="Y49" i="2"/>
  <c r="X49" i="2"/>
  <c r="V49" i="2"/>
  <c r="Z48" i="2"/>
  <c r="Y48" i="2"/>
  <c r="X48" i="2"/>
  <c r="V48" i="2"/>
  <c r="Z47" i="2"/>
  <c r="Y47" i="2"/>
  <c r="X47" i="2"/>
  <c r="V47" i="2"/>
  <c r="Z46" i="2"/>
  <c r="Y46" i="2"/>
  <c r="X46" i="2"/>
  <c r="V46" i="2"/>
  <c r="Z38" i="2"/>
  <c r="Y38" i="2"/>
  <c r="X38" i="2"/>
  <c r="V38" i="2"/>
  <c r="Z37" i="2"/>
  <c r="Y37" i="2"/>
  <c r="X37" i="2"/>
  <c r="V37" i="2"/>
  <c r="Z36" i="2"/>
  <c r="Y36" i="2"/>
  <c r="X36" i="2"/>
  <c r="V36" i="2"/>
  <c r="V82" i="1"/>
  <c r="V81" i="1"/>
  <c r="V80" i="1"/>
  <c r="V79" i="1"/>
  <c r="V78" i="1"/>
  <c r="V77" i="1"/>
  <c r="V76" i="1"/>
  <c r="V71" i="1"/>
  <c r="V70" i="1"/>
  <c r="V69" i="1"/>
  <c r="V68" i="1"/>
  <c r="V67" i="1"/>
  <c r="V66" i="1"/>
  <c r="V65" i="1"/>
  <c r="V64" i="1"/>
  <c r="V63" i="1"/>
  <c r="V62" i="1"/>
  <c r="V61" i="1"/>
  <c r="V51" i="1"/>
  <c r="V50" i="1"/>
  <c r="V49" i="1"/>
  <c r="V48" i="1"/>
  <c r="V47" i="1"/>
  <c r="V46" i="1"/>
  <c r="V40" i="1"/>
  <c r="V39" i="1"/>
  <c r="V38" i="1"/>
  <c r="V37" i="1"/>
  <c r="V36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Z82" i="1"/>
  <c r="Y82" i="1"/>
  <c r="X82" i="1"/>
  <c r="Z81" i="1"/>
  <c r="Y81" i="1"/>
  <c r="X81" i="1"/>
  <c r="Z80" i="1"/>
  <c r="Y80" i="1"/>
  <c r="X80" i="1"/>
  <c r="Z79" i="1"/>
  <c r="Y79" i="1"/>
  <c r="X79" i="1"/>
  <c r="Z78" i="1"/>
  <c r="Y78" i="1"/>
  <c r="X78" i="1"/>
  <c r="Z77" i="1"/>
  <c r="Y77" i="1"/>
  <c r="X77" i="1"/>
  <c r="Z76" i="1"/>
  <c r="Y76" i="1"/>
  <c r="X76" i="1"/>
  <c r="Z71" i="1"/>
  <c r="Y71" i="1"/>
  <c r="X71" i="1"/>
  <c r="Z70" i="1"/>
  <c r="Y70" i="1"/>
  <c r="X70" i="1"/>
  <c r="Z69" i="1"/>
  <c r="Y69" i="1"/>
  <c r="X69" i="1"/>
  <c r="Z68" i="1"/>
  <c r="Y68" i="1"/>
  <c r="X68" i="1"/>
  <c r="Z67" i="1"/>
  <c r="Y67" i="1"/>
  <c r="X67" i="1"/>
  <c r="Z66" i="1"/>
  <c r="Y66" i="1"/>
  <c r="X66" i="1"/>
  <c r="Z65" i="1"/>
  <c r="Y65" i="1"/>
  <c r="X65" i="1"/>
  <c r="Z64" i="1"/>
  <c r="Y64" i="1"/>
  <c r="X64" i="1"/>
  <c r="Z63" i="1"/>
  <c r="Y63" i="1"/>
  <c r="X63" i="1"/>
  <c r="Z62" i="1"/>
  <c r="Y62" i="1"/>
  <c r="X62" i="1"/>
  <c r="Z61" i="1"/>
  <c r="Y61" i="1"/>
  <c r="X61" i="1"/>
  <c r="Z51" i="1"/>
  <c r="Z50" i="1"/>
  <c r="Z49" i="1"/>
  <c r="Z48" i="1"/>
  <c r="Z47" i="1"/>
  <c r="Z46" i="1"/>
  <c r="Y51" i="1"/>
  <c r="Y50" i="1"/>
  <c r="Y49" i="1"/>
  <c r="Y48" i="1"/>
  <c r="Y47" i="1"/>
  <c r="X51" i="1"/>
  <c r="X50" i="1"/>
  <c r="X49" i="1"/>
  <c r="X48" i="1"/>
  <c r="X47" i="1"/>
  <c r="Y46" i="1"/>
  <c r="X46" i="1"/>
  <c r="Y40" i="1"/>
  <c r="Y39" i="1"/>
  <c r="Y38" i="1"/>
  <c r="Y37" i="1"/>
  <c r="X40" i="1"/>
  <c r="X39" i="1"/>
  <c r="X38" i="1"/>
  <c r="X37" i="1"/>
  <c r="X36" i="1"/>
  <c r="Z40" i="1"/>
  <c r="Z39" i="1"/>
  <c r="Z38" i="1"/>
  <c r="Z37" i="1"/>
  <c r="Z36" i="1"/>
  <c r="A33" i="32"/>
  <c r="A33" i="31"/>
  <c r="A33" i="30"/>
  <c r="A33" i="29"/>
  <c r="A33" i="28"/>
  <c r="A33" i="27"/>
  <c r="A33" i="26"/>
  <c r="A33" i="25"/>
  <c r="A33" i="24"/>
  <c r="A33" i="23"/>
  <c r="A33" i="22"/>
  <c r="A33" i="21"/>
  <c r="A33" i="20"/>
  <c r="A33" i="19"/>
  <c r="A33" i="18"/>
  <c r="A33" i="17"/>
  <c r="A33" i="16"/>
  <c r="A33" i="15"/>
  <c r="A33" i="14"/>
  <c r="A33" i="13"/>
  <c r="A33" i="12"/>
  <c r="A33" i="11"/>
  <c r="A33" i="10"/>
  <c r="A33" i="9"/>
  <c r="A33" i="8"/>
  <c r="A33" i="7"/>
  <c r="A33" i="6"/>
  <c r="A33" i="5"/>
  <c r="A33" i="4"/>
  <c r="A33" i="3"/>
  <c r="A33" i="2"/>
  <c r="A33" i="1"/>
  <c r="H33" i="27"/>
  <c r="J33" i="9"/>
  <c r="H33" i="16"/>
  <c r="C33" i="11"/>
  <c r="D33" i="7"/>
  <c r="L33" i="12"/>
  <c r="H33" i="25"/>
  <c r="C33" i="26"/>
  <c r="F33" i="21"/>
  <c r="M31" i="6"/>
  <c r="F33" i="29"/>
  <c r="G33" i="16"/>
  <c r="L33" i="22"/>
  <c r="K33" i="6"/>
  <c r="H33" i="30"/>
  <c r="H33" i="24"/>
  <c r="K33" i="12"/>
  <c r="J33" i="6"/>
  <c r="M31" i="11"/>
  <c r="L33" i="32"/>
  <c r="K33" i="26"/>
  <c r="G33" i="15"/>
  <c r="J33" i="3"/>
  <c r="L33" i="18"/>
  <c r="D33" i="9"/>
  <c r="C33" i="8"/>
  <c r="H33" i="9"/>
  <c r="H33" i="15"/>
  <c r="M31" i="24"/>
  <c r="J33" i="17"/>
  <c r="F33" i="12"/>
  <c r="H33" i="11"/>
  <c r="F33" i="15"/>
  <c r="F33" i="20"/>
  <c r="D33" i="27"/>
  <c r="G33" i="14"/>
  <c r="C33" i="3"/>
  <c r="E33" i="30"/>
  <c r="J33" i="24"/>
  <c r="M31" i="28"/>
  <c r="G33" i="6"/>
  <c r="E33" i="27"/>
  <c r="J33" i="14"/>
  <c r="J33" i="2"/>
  <c r="E33" i="19"/>
  <c r="C33" i="30"/>
  <c r="C33" i="12"/>
  <c r="K33" i="3"/>
  <c r="D33" i="18"/>
  <c r="D33" i="26"/>
  <c r="G33" i="31"/>
  <c r="J33" i="21"/>
  <c r="E33" i="3"/>
  <c r="M31" i="19"/>
  <c r="M31" i="27"/>
  <c r="M31" i="21"/>
  <c r="J33" i="8"/>
  <c r="F33" i="16"/>
  <c r="M31" i="31"/>
  <c r="C33" i="7"/>
  <c r="E33" i="20"/>
  <c r="D33" i="17"/>
  <c r="J33" i="26"/>
  <c r="C33" i="10"/>
  <c r="G33" i="4"/>
  <c r="G33" i="10"/>
  <c r="F33" i="19"/>
  <c r="J33" i="23"/>
  <c r="E33" i="18"/>
  <c r="K33" i="17"/>
  <c r="F33" i="8"/>
  <c r="K33" i="27"/>
  <c r="M31" i="18"/>
  <c r="M31" i="20"/>
  <c r="L33" i="16"/>
  <c r="E33" i="21"/>
  <c r="F33" i="26"/>
  <c r="K33" i="24"/>
  <c r="H33" i="13"/>
  <c r="E33" i="28"/>
  <c r="K33" i="10"/>
  <c r="F33" i="30"/>
  <c r="D33" i="30"/>
  <c r="J33" i="19"/>
  <c r="D33" i="3"/>
  <c r="L33" i="24"/>
  <c r="L33" i="11"/>
  <c r="M31" i="32"/>
  <c r="K33" i="9"/>
  <c r="G33" i="17"/>
  <c r="C33" i="21"/>
  <c r="F33" i="5"/>
  <c r="K33" i="23"/>
  <c r="L33" i="2"/>
  <c r="H33" i="1"/>
  <c r="M31" i="13"/>
  <c r="M31" i="29"/>
  <c r="C33" i="31"/>
  <c r="C33" i="19"/>
  <c r="H33" i="19"/>
  <c r="H33" i="7"/>
  <c r="K33" i="29"/>
  <c r="K33" i="21"/>
  <c r="M31" i="15"/>
  <c r="D33" i="23"/>
  <c r="D33" i="20"/>
  <c r="G33" i="30"/>
  <c r="C33" i="23"/>
  <c r="D33" i="31"/>
  <c r="F33" i="6"/>
  <c r="E33" i="29"/>
  <c r="F33" i="1"/>
  <c r="F33" i="4"/>
  <c r="L33" i="27"/>
  <c r="L33" i="5"/>
  <c r="K33" i="1"/>
  <c r="J33" i="1"/>
  <c r="M31" i="25"/>
  <c r="K33" i="31"/>
  <c r="H33" i="23"/>
  <c r="C33" i="15"/>
  <c r="M31" i="2"/>
  <c r="D33" i="8"/>
  <c r="K33" i="19"/>
  <c r="D33" i="10"/>
  <c r="F33" i="23"/>
  <c r="J33" i="16"/>
  <c r="M31" i="23"/>
  <c r="F33" i="2"/>
  <c r="F33" i="9"/>
  <c r="F33" i="10"/>
  <c r="K33" i="7"/>
  <c r="C33" i="16"/>
  <c r="J33" i="5"/>
  <c r="G33" i="24"/>
  <c r="C33" i="24"/>
  <c r="F33" i="25"/>
  <c r="H33" i="28"/>
  <c r="J33" i="12"/>
  <c r="F33" i="11"/>
  <c r="G33" i="7"/>
  <c r="L33" i="3"/>
  <c r="G33" i="22"/>
  <c r="M31" i="5"/>
  <c r="F33" i="7"/>
  <c r="G33" i="5"/>
  <c r="K33" i="8"/>
  <c r="H33" i="3"/>
  <c r="L33" i="15"/>
  <c r="C33" i="5"/>
  <c r="F33" i="31"/>
  <c r="C33" i="25"/>
  <c r="M31" i="14"/>
  <c r="E33" i="23"/>
  <c r="H33" i="10"/>
  <c r="D33" i="16"/>
  <c r="L33" i="28"/>
  <c r="L33" i="8"/>
  <c r="K33" i="13"/>
  <c r="M31" i="7"/>
  <c r="G33" i="29"/>
  <c r="H33" i="8"/>
  <c r="K33" i="11"/>
  <c r="J33" i="28"/>
  <c r="C33" i="1"/>
  <c r="C33" i="6"/>
  <c r="E33" i="14"/>
  <c r="D33" i="24"/>
  <c r="J33" i="18"/>
  <c r="D33" i="19"/>
  <c r="E33" i="11"/>
  <c r="G33" i="8"/>
  <c r="J33" i="15"/>
  <c r="C33" i="20"/>
  <c r="L33" i="1"/>
  <c r="G33" i="12"/>
  <c r="H33" i="14"/>
  <c r="E33" i="24"/>
  <c r="D33" i="5"/>
  <c r="L33" i="17"/>
  <c r="D33" i="22"/>
  <c r="C33" i="22"/>
  <c r="J33" i="11"/>
  <c r="E33" i="5"/>
  <c r="D33" i="28"/>
  <c r="H33" i="20"/>
  <c r="F33" i="22"/>
  <c r="E33" i="4"/>
  <c r="M31" i="9"/>
  <c r="E33" i="6"/>
  <c r="G33" i="27"/>
  <c r="M31" i="17"/>
  <c r="G33" i="3"/>
  <c r="L33" i="6"/>
  <c r="G33" i="2"/>
  <c r="L33" i="14"/>
  <c r="L33" i="13"/>
  <c r="G33" i="23"/>
  <c r="J33" i="4"/>
  <c r="L33" i="4"/>
  <c r="L33" i="23"/>
  <c r="F33" i="17"/>
  <c r="F33" i="13"/>
  <c r="E33" i="2"/>
  <c r="E33" i="25"/>
  <c r="E33" i="16"/>
  <c r="K33" i="28"/>
  <c r="H33" i="5"/>
  <c r="G33" i="19"/>
  <c r="C33" i="4"/>
  <c r="G33" i="13"/>
  <c r="K33" i="30"/>
  <c r="K33" i="5"/>
  <c r="D33" i="15"/>
  <c r="E33" i="26"/>
  <c r="C33" i="9"/>
  <c r="H33" i="18"/>
  <c r="C33" i="13"/>
  <c r="H33" i="2"/>
  <c r="D33" i="4"/>
  <c r="G33" i="9"/>
  <c r="L33" i="25"/>
  <c r="L33" i="7"/>
  <c r="E33" i="1"/>
  <c r="G33" i="26"/>
  <c r="F33" i="3"/>
  <c r="G33" i="20"/>
  <c r="M31" i="30"/>
  <c r="H33" i="6"/>
  <c r="K33" i="2"/>
  <c r="J33" i="27"/>
  <c r="K33" i="4"/>
  <c r="H33" i="26"/>
  <c r="K33" i="18"/>
  <c r="H33" i="31"/>
  <c r="D33" i="13"/>
  <c r="M31" i="22"/>
  <c r="H33" i="4"/>
  <c r="D33" i="6"/>
  <c r="J33" i="7"/>
  <c r="M31" i="16"/>
  <c r="H33" i="29"/>
  <c r="F33" i="27"/>
  <c r="D33" i="25"/>
  <c r="L33" i="29"/>
  <c r="H33" i="12"/>
  <c r="E33" i="12"/>
  <c r="K33" i="20"/>
  <c r="M31" i="1"/>
  <c r="L33" i="21"/>
  <c r="M31" i="26"/>
  <c r="M31" i="3"/>
  <c r="H33" i="21"/>
  <c r="M31" i="10"/>
  <c r="E33" i="13"/>
  <c r="H33" i="22"/>
  <c r="K33" i="15"/>
  <c r="K33" i="14"/>
  <c r="E33" i="22"/>
  <c r="J33" i="29"/>
  <c r="L33" i="30"/>
  <c r="G33" i="1"/>
  <c r="D33" i="29"/>
  <c r="D33" i="21"/>
  <c r="J33" i="30"/>
  <c r="M31" i="8"/>
  <c r="D33" i="1"/>
  <c r="J33" i="25"/>
  <c r="C33" i="2"/>
  <c r="E33" i="15"/>
  <c r="H33" i="17"/>
  <c r="C33" i="18"/>
  <c r="L33" i="20"/>
  <c r="E33" i="10"/>
  <c r="M31" i="12"/>
  <c r="K33" i="22"/>
  <c r="C33" i="28"/>
  <c r="C33" i="27"/>
  <c r="C33" i="29"/>
  <c r="K33" i="16"/>
  <c r="C33" i="14"/>
  <c r="G33" i="28"/>
  <c r="J33" i="13"/>
  <c r="D33" i="11"/>
  <c r="L33" i="31"/>
  <c r="E33" i="31"/>
  <c r="J33" i="20"/>
  <c r="J33" i="22"/>
  <c r="E33" i="9"/>
  <c r="F33" i="24"/>
  <c r="G33" i="25"/>
  <c r="E33" i="7"/>
  <c r="M31" i="4"/>
  <c r="D33" i="12"/>
  <c r="F33" i="28"/>
  <c r="J33" i="10"/>
  <c r="F33" i="14"/>
  <c r="E33" i="8"/>
  <c r="L33" i="26"/>
  <c r="G33" i="21"/>
  <c r="D33" i="2"/>
  <c r="G33" i="18"/>
  <c r="L33" i="9"/>
  <c r="D33" i="14"/>
  <c r="F33" i="18"/>
  <c r="G33" i="11"/>
  <c r="L33" i="19"/>
  <c r="L33" i="10"/>
  <c r="J33" i="31"/>
  <c r="C33" i="17"/>
  <c r="K33" i="25"/>
  <c r="E33" i="17"/>
  <c r="W80" i="6" l="1"/>
  <c r="W78" i="6"/>
  <c r="W76" i="6"/>
  <c r="W81" i="6"/>
  <c r="W79" i="6"/>
  <c r="W77" i="6"/>
  <c r="W81" i="31"/>
  <c r="W79" i="31"/>
  <c r="W77" i="31"/>
  <c r="W82" i="31"/>
  <c r="W80" i="31"/>
  <c r="W78" i="31"/>
  <c r="W76" i="31"/>
  <c r="W64" i="31"/>
  <c r="W69" i="31"/>
  <c r="W68" i="31"/>
  <c r="W62" i="31"/>
  <c r="W67" i="31"/>
  <c r="W72" i="31"/>
  <c r="W65" i="31"/>
  <c r="W70" i="31"/>
  <c r="W63" i="31"/>
  <c r="W61" i="31"/>
  <c r="W66" i="31"/>
  <c r="W71" i="31"/>
  <c r="W50" i="31"/>
  <c r="W48" i="31"/>
  <c r="W46" i="31"/>
  <c r="W51" i="31"/>
  <c r="W49" i="31"/>
  <c r="W47" i="31"/>
  <c r="W37" i="31"/>
  <c r="W38" i="31"/>
  <c r="W36" i="31"/>
  <c r="W80" i="30"/>
  <c r="W78" i="30"/>
  <c r="W76" i="30"/>
  <c r="W81" i="30"/>
  <c r="W79" i="30"/>
  <c r="W77" i="30"/>
  <c r="W71" i="30"/>
  <c r="W64" i="30"/>
  <c r="W69" i="30"/>
  <c r="W62" i="30"/>
  <c r="W67" i="30"/>
  <c r="W72" i="30"/>
  <c r="W61" i="30"/>
  <c r="W65" i="30"/>
  <c r="W70" i="30"/>
  <c r="W63" i="30"/>
  <c r="W68" i="30"/>
  <c r="W66" i="30"/>
  <c r="W50" i="30"/>
  <c r="W48" i="30"/>
  <c r="W46" i="30"/>
  <c r="W51" i="30"/>
  <c r="W49" i="30"/>
  <c r="W47" i="30"/>
  <c r="W37" i="30"/>
  <c r="W38" i="30"/>
  <c r="W36" i="30"/>
  <c r="W80" i="29"/>
  <c r="W78" i="29"/>
  <c r="W76" i="29"/>
  <c r="W81" i="29"/>
  <c r="W79" i="29"/>
  <c r="W77" i="29"/>
  <c r="W70" i="29"/>
  <c r="W63" i="29"/>
  <c r="W68" i="29"/>
  <c r="W61" i="29"/>
  <c r="W66" i="29"/>
  <c r="W71" i="29"/>
  <c r="W64" i="29"/>
  <c r="W69" i="29"/>
  <c r="W62" i="29"/>
  <c r="W67" i="29"/>
  <c r="W65" i="29"/>
  <c r="W50" i="29"/>
  <c r="W48" i="29"/>
  <c r="W46" i="29"/>
  <c r="W51" i="29"/>
  <c r="W49" i="29"/>
  <c r="W47" i="29"/>
  <c r="W38" i="29"/>
  <c r="W36" i="29"/>
  <c r="W39" i="29"/>
  <c r="W37" i="29"/>
  <c r="W79" i="28"/>
  <c r="W77" i="28"/>
  <c r="W80" i="28"/>
  <c r="W78" i="28"/>
  <c r="W76" i="28"/>
  <c r="W72" i="28"/>
  <c r="W65" i="28"/>
  <c r="W70" i="28"/>
  <c r="W63" i="28"/>
  <c r="W67" i="28"/>
  <c r="W68" i="28"/>
  <c r="W73" i="28"/>
  <c r="W61" i="28"/>
  <c r="W66" i="28"/>
  <c r="W71" i="28"/>
  <c r="W64" i="28"/>
  <c r="W69" i="28"/>
  <c r="W62" i="28"/>
  <c r="W51" i="28"/>
  <c r="W49" i="28"/>
  <c r="W47" i="28"/>
  <c r="W52" i="28"/>
  <c r="W50" i="28"/>
  <c r="W48" i="28"/>
  <c r="W46" i="28"/>
  <c r="W37" i="28"/>
  <c r="W38" i="28"/>
  <c r="W36" i="28"/>
  <c r="W79" i="27"/>
  <c r="W77" i="27"/>
  <c r="W80" i="27"/>
  <c r="W78" i="27"/>
  <c r="W76" i="27"/>
  <c r="W70" i="27"/>
  <c r="W63" i="27"/>
  <c r="W68" i="27"/>
  <c r="W61" i="27"/>
  <c r="W66" i="27"/>
  <c r="W69" i="27"/>
  <c r="W71" i="27"/>
  <c r="W64" i="27"/>
  <c r="W62" i="27"/>
  <c r="W67" i="27"/>
  <c r="W65" i="27"/>
  <c r="W51" i="27"/>
  <c r="W49" i="27"/>
  <c r="W47" i="27"/>
  <c r="W52" i="27"/>
  <c r="W50" i="27"/>
  <c r="W48" i="27"/>
  <c r="W46" i="27"/>
  <c r="W38" i="27"/>
  <c r="W36" i="27"/>
  <c r="W39" i="27"/>
  <c r="W37" i="27"/>
  <c r="W80" i="26"/>
  <c r="W78" i="26"/>
  <c r="W76" i="26"/>
  <c r="W81" i="26"/>
  <c r="W79" i="26"/>
  <c r="W77" i="26"/>
  <c r="W72" i="26"/>
  <c r="W65" i="26"/>
  <c r="W62" i="26"/>
  <c r="W70" i="26"/>
  <c r="W63" i="26"/>
  <c r="W68" i="26"/>
  <c r="W73" i="26"/>
  <c r="W61" i="26"/>
  <c r="W66" i="26"/>
  <c r="W71" i="26"/>
  <c r="W64" i="26"/>
  <c r="W69" i="26"/>
  <c r="W67" i="26"/>
  <c r="W50" i="26"/>
  <c r="W48" i="26"/>
  <c r="W46" i="26"/>
  <c r="W51" i="26"/>
  <c r="W49" i="26"/>
  <c r="W47" i="26"/>
  <c r="W38" i="26"/>
  <c r="W36" i="26"/>
  <c r="W39" i="26"/>
  <c r="W37" i="26"/>
  <c r="W80" i="25"/>
  <c r="W78" i="25"/>
  <c r="W76" i="25"/>
  <c r="W81" i="25"/>
  <c r="W79" i="25"/>
  <c r="W77" i="25"/>
  <c r="W71" i="25"/>
  <c r="W64" i="25"/>
  <c r="W69" i="25"/>
  <c r="W62" i="25"/>
  <c r="W67" i="25"/>
  <c r="W72" i="25"/>
  <c r="W65" i="25"/>
  <c r="W61" i="25"/>
  <c r="W70" i="25"/>
  <c r="W63" i="25"/>
  <c r="W68" i="25"/>
  <c r="W66" i="25"/>
  <c r="W50" i="25"/>
  <c r="W48" i="25"/>
  <c r="W46" i="25"/>
  <c r="W51" i="25"/>
  <c r="W49" i="25"/>
  <c r="W47" i="25"/>
  <c r="W37" i="25"/>
  <c r="W38" i="25"/>
  <c r="W36" i="25"/>
  <c r="W37" i="24"/>
  <c r="W38" i="24"/>
  <c r="W36" i="24"/>
  <c r="W50" i="24"/>
  <c r="W48" i="24"/>
  <c r="W46" i="24"/>
  <c r="W51" i="24"/>
  <c r="W49" i="24"/>
  <c r="W47" i="24"/>
  <c r="W79" i="24"/>
  <c r="W77" i="24"/>
  <c r="W80" i="24"/>
  <c r="W78" i="24"/>
  <c r="W76" i="24"/>
  <c r="W72" i="24"/>
  <c r="W65" i="24"/>
  <c r="W70" i="24"/>
  <c r="W63" i="24"/>
  <c r="W68" i="24"/>
  <c r="W73" i="24"/>
  <c r="W61" i="24"/>
  <c r="W66" i="24"/>
  <c r="W71" i="24"/>
  <c r="W64" i="24"/>
  <c r="W62" i="24"/>
  <c r="W69" i="24"/>
  <c r="W67" i="24"/>
  <c r="W81" i="23"/>
  <c r="W79" i="23"/>
  <c r="W76" i="23"/>
  <c r="W77" i="23"/>
  <c r="W82" i="23"/>
  <c r="W80" i="23"/>
  <c r="W78" i="23"/>
  <c r="W71" i="23"/>
  <c r="W64" i="23"/>
  <c r="W69" i="23"/>
  <c r="W62" i="23"/>
  <c r="W67" i="23"/>
  <c r="W72" i="23"/>
  <c r="W65" i="23"/>
  <c r="W70" i="23"/>
  <c r="W63" i="23"/>
  <c r="W68" i="23"/>
  <c r="W61" i="23"/>
  <c r="W66" i="23"/>
  <c r="W51" i="23"/>
  <c r="W49" i="23"/>
  <c r="W47" i="23"/>
  <c r="W46" i="23"/>
  <c r="W52" i="23"/>
  <c r="W50" i="23"/>
  <c r="W48" i="23"/>
  <c r="W38" i="23"/>
  <c r="W36" i="23"/>
  <c r="W37" i="23"/>
  <c r="W80" i="22"/>
  <c r="W78" i="22"/>
  <c r="W76" i="22"/>
  <c r="W81" i="22"/>
  <c r="W79" i="22"/>
  <c r="W77" i="22"/>
  <c r="W71" i="22"/>
  <c r="W64" i="22"/>
  <c r="W69" i="22"/>
  <c r="W62" i="22"/>
  <c r="W67" i="22"/>
  <c r="W66" i="22"/>
  <c r="W72" i="22"/>
  <c r="W65" i="22"/>
  <c r="W70" i="22"/>
  <c r="W63" i="22"/>
  <c r="W68" i="22"/>
  <c r="W61" i="22"/>
  <c r="W50" i="22"/>
  <c r="W48" i="22"/>
  <c r="W46" i="22"/>
  <c r="W51" i="22"/>
  <c r="W49" i="22"/>
  <c r="W47" i="22"/>
  <c r="W38" i="22"/>
  <c r="W36" i="22"/>
  <c r="W39" i="22"/>
  <c r="W37" i="22"/>
  <c r="W80" i="21"/>
  <c r="W78" i="21"/>
  <c r="W76" i="21"/>
  <c r="W81" i="21"/>
  <c r="W79" i="21"/>
  <c r="W77" i="21"/>
  <c r="W72" i="21"/>
  <c r="W65" i="21"/>
  <c r="W70" i="21"/>
  <c r="W63" i="21"/>
  <c r="W62" i="21"/>
  <c r="W68" i="21"/>
  <c r="W73" i="21"/>
  <c r="W61" i="21"/>
  <c r="W66" i="21"/>
  <c r="W71" i="21"/>
  <c r="W64" i="21"/>
  <c r="W69" i="21"/>
  <c r="W67" i="21"/>
  <c r="W50" i="21"/>
  <c r="W48" i="21"/>
  <c r="W46" i="21"/>
  <c r="W51" i="21"/>
  <c r="W49" i="21"/>
  <c r="W47" i="21"/>
  <c r="W37" i="21"/>
  <c r="W38" i="21"/>
  <c r="W36" i="21"/>
  <c r="W80" i="20"/>
  <c r="W78" i="20"/>
  <c r="W76" i="20"/>
  <c r="W77" i="20"/>
  <c r="W81" i="20"/>
  <c r="W79" i="20"/>
  <c r="W70" i="20"/>
  <c r="W65" i="20"/>
  <c r="W63" i="20"/>
  <c r="W68" i="20"/>
  <c r="W61" i="20"/>
  <c r="W66" i="20"/>
  <c r="W71" i="20"/>
  <c r="W64" i="20"/>
  <c r="W69" i="20"/>
  <c r="W62" i="20"/>
  <c r="W67" i="20"/>
  <c r="W50" i="20"/>
  <c r="W48" i="20"/>
  <c r="W46" i="20"/>
  <c r="W51" i="20"/>
  <c r="W47" i="20"/>
  <c r="W49" i="20"/>
  <c r="W37" i="20"/>
  <c r="W38" i="20"/>
  <c r="W36" i="20"/>
  <c r="W80" i="19"/>
  <c r="W78" i="19"/>
  <c r="W76" i="19"/>
  <c r="W81" i="19"/>
  <c r="W79" i="19"/>
  <c r="W77" i="19"/>
  <c r="W70" i="19"/>
  <c r="W63" i="19"/>
  <c r="W68" i="19"/>
  <c r="W65" i="19"/>
  <c r="W61" i="19"/>
  <c r="W66" i="19"/>
  <c r="W71" i="19"/>
  <c r="W67" i="19"/>
  <c r="W64" i="19"/>
  <c r="W69" i="19"/>
  <c r="W62" i="19"/>
  <c r="W53" i="19"/>
  <c r="W46" i="19"/>
  <c r="W51" i="19"/>
  <c r="W49" i="19"/>
  <c r="W54" i="19"/>
  <c r="W47" i="19"/>
  <c r="W52" i="19"/>
  <c r="W50" i="19"/>
  <c r="W48" i="19"/>
  <c r="W38" i="19"/>
  <c r="W36" i="19"/>
  <c r="W39" i="19"/>
  <c r="W37" i="19"/>
  <c r="W81" i="18"/>
  <c r="W79" i="18"/>
  <c r="W77" i="18"/>
  <c r="W82" i="18"/>
  <c r="W80" i="18"/>
  <c r="W78" i="18"/>
  <c r="W76" i="18"/>
  <c r="W71" i="18"/>
  <c r="W64" i="18"/>
  <c r="W69" i="18"/>
  <c r="W62" i="18"/>
  <c r="W67" i="18"/>
  <c r="W72" i="18"/>
  <c r="W61" i="18"/>
  <c r="W65" i="18"/>
  <c r="W70" i="18"/>
  <c r="W63" i="18"/>
  <c r="W68" i="18"/>
  <c r="W66" i="18"/>
  <c r="W49" i="18"/>
  <c r="W47" i="18"/>
  <c r="W50" i="18"/>
  <c r="W48" i="18"/>
  <c r="W46" i="18"/>
  <c r="W38" i="18"/>
  <c r="W36" i="18"/>
  <c r="W39" i="18"/>
  <c r="W37" i="18"/>
  <c r="W80" i="17"/>
  <c r="W78" i="17"/>
  <c r="W76" i="17"/>
  <c r="W81" i="17"/>
  <c r="W79" i="17"/>
  <c r="W77" i="17"/>
  <c r="W71" i="17"/>
  <c r="W64" i="17"/>
  <c r="W69" i="17"/>
  <c r="W62" i="17"/>
  <c r="W67" i="17"/>
  <c r="W72" i="17"/>
  <c r="W65" i="17"/>
  <c r="W70" i="17"/>
  <c r="W63" i="17"/>
  <c r="W68" i="17"/>
  <c r="W66" i="17"/>
  <c r="W61" i="17"/>
  <c r="W50" i="17"/>
  <c r="W48" i="17"/>
  <c r="W46" i="17"/>
  <c r="W51" i="17"/>
  <c r="W49" i="17"/>
  <c r="W47" i="17"/>
  <c r="W37" i="17"/>
  <c r="W38" i="17"/>
  <c r="W36" i="17"/>
  <c r="W81" i="16"/>
  <c r="W79" i="16"/>
  <c r="W77" i="16"/>
  <c r="W82" i="16"/>
  <c r="W80" i="16"/>
  <c r="W78" i="16"/>
  <c r="W76" i="16"/>
  <c r="W73" i="16"/>
  <c r="W61" i="16"/>
  <c r="W66" i="16"/>
  <c r="W71" i="16"/>
  <c r="W64" i="16"/>
  <c r="W69" i="16"/>
  <c r="W74" i="16"/>
  <c r="W62" i="16"/>
  <c r="W67" i="16"/>
  <c r="W72" i="16"/>
  <c r="W65" i="16"/>
  <c r="W70" i="16"/>
  <c r="W68" i="16"/>
  <c r="W63" i="16"/>
  <c r="W49" i="16"/>
  <c r="W47" i="16"/>
  <c r="W50" i="16"/>
  <c r="W48" i="16"/>
  <c r="W46" i="16"/>
  <c r="W38" i="16"/>
  <c r="W36" i="16"/>
  <c r="W39" i="16"/>
  <c r="W37" i="16"/>
  <c r="W81" i="15"/>
  <c r="W79" i="15"/>
  <c r="W77" i="15"/>
  <c r="W82" i="15"/>
  <c r="W80" i="15"/>
  <c r="W78" i="15"/>
  <c r="W76" i="15"/>
  <c r="W72" i="15"/>
  <c r="W62" i="15"/>
  <c r="W65" i="15"/>
  <c r="W70" i="15"/>
  <c r="W63" i="15"/>
  <c r="W68" i="15"/>
  <c r="W73" i="15"/>
  <c r="W61" i="15"/>
  <c r="W66" i="15"/>
  <c r="W71" i="15"/>
  <c r="W64" i="15"/>
  <c r="W69" i="15"/>
  <c r="W67" i="15"/>
  <c r="W50" i="15"/>
  <c r="W48" i="15"/>
  <c r="W46" i="15"/>
  <c r="W51" i="15"/>
  <c r="W49" i="15"/>
  <c r="W47" i="15"/>
  <c r="W37" i="15"/>
  <c r="W38" i="15"/>
  <c r="W36" i="15"/>
  <c r="W83" i="14"/>
  <c r="W76" i="14"/>
  <c r="W81" i="14"/>
  <c r="W79" i="14"/>
  <c r="W84" i="14"/>
  <c r="W77" i="14"/>
  <c r="W82" i="14"/>
  <c r="W80" i="14"/>
  <c r="W78" i="14"/>
  <c r="W72" i="14"/>
  <c r="W65" i="14"/>
  <c r="W70" i="14"/>
  <c r="W63" i="14"/>
  <c r="W68" i="14"/>
  <c r="W67" i="14"/>
  <c r="W73" i="14"/>
  <c r="W61" i="14"/>
  <c r="W66" i="14"/>
  <c r="W71" i="14"/>
  <c r="W64" i="14"/>
  <c r="W69" i="14"/>
  <c r="W62" i="14"/>
  <c r="W51" i="14"/>
  <c r="W49" i="14"/>
  <c r="W47" i="14"/>
  <c r="W52" i="14"/>
  <c r="W50" i="14"/>
  <c r="W48" i="14"/>
  <c r="W46" i="14"/>
  <c r="W37" i="14"/>
  <c r="W38" i="14"/>
  <c r="W36" i="14"/>
  <c r="W82" i="13"/>
  <c r="W80" i="13"/>
  <c r="W78" i="13"/>
  <c r="W83" i="13"/>
  <c r="W76" i="13"/>
  <c r="W81" i="13"/>
  <c r="W79" i="13"/>
  <c r="W77" i="13"/>
  <c r="W72" i="13"/>
  <c r="W65" i="13"/>
  <c r="W67" i="13"/>
  <c r="W70" i="13"/>
  <c r="W63" i="13"/>
  <c r="W68" i="13"/>
  <c r="W73" i="13"/>
  <c r="W61" i="13"/>
  <c r="W66" i="13"/>
  <c r="W71" i="13"/>
  <c r="W64" i="13"/>
  <c r="W69" i="13"/>
  <c r="W62" i="13"/>
  <c r="W47" i="13"/>
  <c r="W50" i="13"/>
  <c r="W46" i="13"/>
  <c r="W48" i="13"/>
  <c r="W49" i="13"/>
  <c r="W38" i="13"/>
  <c r="W36" i="13"/>
  <c r="W39" i="13"/>
  <c r="W37" i="13"/>
  <c r="W79" i="12"/>
  <c r="W77" i="12"/>
  <c r="W80" i="12"/>
  <c r="W78" i="12"/>
  <c r="W76" i="12"/>
  <c r="W71" i="12"/>
  <c r="W64" i="12"/>
  <c r="W69" i="12"/>
  <c r="W62" i="12"/>
  <c r="W61" i="12"/>
  <c r="W67" i="12"/>
  <c r="W72" i="12"/>
  <c r="W65" i="12"/>
  <c r="W70" i="12"/>
  <c r="W63" i="12"/>
  <c r="W68" i="12"/>
  <c r="W66" i="12"/>
  <c r="W51" i="12"/>
  <c r="W46" i="12"/>
  <c r="W49" i="12"/>
  <c r="W47" i="12"/>
  <c r="W52" i="12"/>
  <c r="W50" i="12"/>
  <c r="W48" i="12"/>
  <c r="W37" i="12"/>
  <c r="W38" i="12"/>
  <c r="W36" i="12"/>
  <c r="W80" i="11"/>
  <c r="W78" i="11"/>
  <c r="W76" i="11"/>
  <c r="W81" i="11"/>
  <c r="W79" i="11"/>
  <c r="W77" i="11"/>
  <c r="W72" i="11"/>
  <c r="W65" i="11"/>
  <c r="W70" i="11"/>
  <c r="W63" i="11"/>
  <c r="W67" i="11"/>
  <c r="W68" i="11"/>
  <c r="W73" i="11"/>
  <c r="W61" i="11"/>
  <c r="W66" i="11"/>
  <c r="W71" i="11"/>
  <c r="W64" i="11"/>
  <c r="W62" i="11"/>
  <c r="W69" i="11"/>
  <c r="W52" i="11"/>
  <c r="W50" i="11"/>
  <c r="W48" i="11"/>
  <c r="W53" i="11"/>
  <c r="W46" i="11"/>
  <c r="W51" i="11"/>
  <c r="W49" i="11"/>
  <c r="W47" i="11"/>
  <c r="W39" i="11"/>
  <c r="W37" i="11"/>
  <c r="W40" i="11"/>
  <c r="W38" i="11"/>
  <c r="W36" i="11"/>
  <c r="W80" i="10"/>
  <c r="W78" i="10"/>
  <c r="W76" i="10"/>
  <c r="W81" i="10"/>
  <c r="W79" i="10"/>
  <c r="W77" i="10"/>
  <c r="W73" i="10"/>
  <c r="W61" i="10"/>
  <c r="W66" i="10"/>
  <c r="W71" i="10"/>
  <c r="W64" i="10"/>
  <c r="W69" i="10"/>
  <c r="W74" i="10"/>
  <c r="W62" i="10"/>
  <c r="W67" i="10"/>
  <c r="W72" i="10"/>
  <c r="W65" i="10"/>
  <c r="W63" i="10"/>
  <c r="W70" i="10"/>
  <c r="W68" i="10"/>
  <c r="W50" i="10"/>
  <c r="W47" i="10"/>
  <c r="W48" i="10"/>
  <c r="W46" i="10"/>
  <c r="W51" i="10"/>
  <c r="W49" i="10"/>
  <c r="W37" i="10"/>
  <c r="W38" i="10"/>
  <c r="W36" i="10"/>
  <c r="W80" i="9"/>
  <c r="W78" i="9"/>
  <c r="W76" i="9"/>
  <c r="W81" i="9"/>
  <c r="W79" i="9"/>
  <c r="W77" i="9"/>
  <c r="W73" i="9"/>
  <c r="W61" i="9"/>
  <c r="W66" i="9"/>
  <c r="W71" i="9"/>
  <c r="W64" i="9"/>
  <c r="W69" i="9"/>
  <c r="W74" i="9"/>
  <c r="W62" i="9"/>
  <c r="W67" i="9"/>
  <c r="W72" i="9"/>
  <c r="W65" i="9"/>
  <c r="W70" i="9"/>
  <c r="W63" i="9"/>
  <c r="W68" i="9"/>
  <c r="W50" i="9"/>
  <c r="W48" i="9"/>
  <c r="W46" i="9"/>
  <c r="W51" i="9"/>
  <c r="W47" i="9"/>
  <c r="W49" i="9"/>
  <c r="W37" i="9"/>
  <c r="W38" i="9"/>
  <c r="W36" i="9"/>
  <c r="W80" i="8"/>
  <c r="W78" i="8"/>
  <c r="W76" i="8"/>
  <c r="W81" i="8"/>
  <c r="W79" i="8"/>
  <c r="W77" i="8"/>
  <c r="W72" i="8"/>
  <c r="W65" i="8"/>
  <c r="W70" i="8"/>
  <c r="W63" i="8"/>
  <c r="W68" i="8"/>
  <c r="W62" i="8"/>
  <c r="W73" i="8"/>
  <c r="W61" i="8"/>
  <c r="W66" i="8"/>
  <c r="W71" i="8"/>
  <c r="W64" i="8"/>
  <c r="W69" i="8"/>
  <c r="W67" i="8"/>
  <c r="W50" i="8"/>
  <c r="W48" i="8"/>
  <c r="W46" i="8"/>
  <c r="W51" i="8"/>
  <c r="W49" i="8"/>
  <c r="W47" i="8"/>
  <c r="W38" i="8"/>
  <c r="W36" i="8"/>
  <c r="W39" i="8"/>
  <c r="W37" i="8"/>
  <c r="W81" i="7"/>
  <c r="W79" i="7"/>
  <c r="W77" i="7"/>
  <c r="W82" i="7"/>
  <c r="W80" i="7"/>
  <c r="W78" i="7"/>
  <c r="W76" i="7"/>
  <c r="W71" i="7"/>
  <c r="W61" i="7"/>
  <c r="W64" i="7"/>
  <c r="W69" i="7"/>
  <c r="W62" i="7"/>
  <c r="W67" i="7"/>
  <c r="W72" i="7"/>
  <c r="W65" i="7"/>
  <c r="W70" i="7"/>
  <c r="W63" i="7"/>
  <c r="W68" i="7"/>
  <c r="W66" i="7"/>
  <c r="W50" i="7"/>
  <c r="W48" i="7"/>
  <c r="W46" i="7"/>
  <c r="W51" i="7"/>
  <c r="W49" i="7"/>
  <c r="W47" i="7"/>
  <c r="W38" i="7"/>
  <c r="W36" i="7"/>
  <c r="W39" i="7"/>
  <c r="W37" i="7"/>
  <c r="W70" i="6"/>
  <c r="W63" i="6"/>
  <c r="W68" i="6"/>
  <c r="W61" i="6"/>
  <c r="W66" i="6"/>
  <c r="W71" i="6"/>
  <c r="W64" i="6"/>
  <c r="W69" i="6"/>
  <c r="W62" i="6"/>
  <c r="W67" i="6"/>
  <c r="W65" i="6"/>
  <c r="W49" i="6"/>
  <c r="W47" i="6"/>
  <c r="W50" i="6"/>
  <c r="W48" i="6"/>
  <c r="W46" i="6"/>
  <c r="W38" i="6"/>
  <c r="W36" i="6"/>
  <c r="W39" i="6"/>
  <c r="W37" i="6"/>
  <c r="W79" i="5"/>
  <c r="W77" i="5"/>
  <c r="W80" i="5"/>
  <c r="W78" i="5"/>
  <c r="W76" i="5"/>
  <c r="W71" i="5"/>
  <c r="W64" i="5"/>
  <c r="W69" i="5"/>
  <c r="W62" i="5"/>
  <c r="W67" i="5"/>
  <c r="W72" i="5"/>
  <c r="W65" i="5"/>
  <c r="W70" i="5"/>
  <c r="W63" i="5"/>
  <c r="W66" i="5"/>
  <c r="W68" i="5"/>
  <c r="W61" i="5"/>
  <c r="W49" i="5"/>
  <c r="W47" i="5"/>
  <c r="W50" i="5"/>
  <c r="W48" i="5"/>
  <c r="W46" i="5"/>
  <c r="W38" i="5"/>
  <c r="W36" i="5"/>
  <c r="W39" i="5"/>
  <c r="W37" i="5"/>
  <c r="W77" i="4"/>
  <c r="W80" i="4"/>
  <c r="W79" i="4"/>
  <c r="W78" i="4"/>
  <c r="W76" i="4"/>
  <c r="W72" i="4"/>
  <c r="W65" i="4"/>
  <c r="W70" i="4"/>
  <c r="W63" i="4"/>
  <c r="W69" i="4"/>
  <c r="W68" i="4"/>
  <c r="W62" i="4"/>
  <c r="W73" i="4"/>
  <c r="W61" i="4"/>
  <c r="W66" i="4"/>
  <c r="W71" i="4"/>
  <c r="W64" i="4"/>
  <c r="W67" i="4"/>
  <c r="W49" i="4"/>
  <c r="W47" i="4"/>
  <c r="W50" i="4"/>
  <c r="W48" i="4"/>
  <c r="W46" i="4"/>
  <c r="W37" i="4"/>
  <c r="W38" i="4"/>
  <c r="W36" i="4"/>
  <c r="W78" i="3"/>
  <c r="W76" i="3"/>
  <c r="W79" i="3"/>
  <c r="W77" i="3"/>
  <c r="W71" i="3"/>
  <c r="W64" i="3"/>
  <c r="W69" i="3"/>
  <c r="W66" i="3"/>
  <c r="W62" i="3"/>
  <c r="W67" i="3"/>
  <c r="W72" i="3"/>
  <c r="W65" i="3"/>
  <c r="W70" i="3"/>
  <c r="W63" i="3"/>
  <c r="W68" i="3"/>
  <c r="W61" i="3"/>
  <c r="W50" i="3"/>
  <c r="W48" i="3"/>
  <c r="W46" i="3"/>
  <c r="W49" i="3"/>
  <c r="W51" i="3"/>
  <c r="W47" i="3"/>
  <c r="W38" i="3"/>
  <c r="W39" i="3"/>
  <c r="W37" i="3"/>
  <c r="W36" i="3"/>
  <c r="W81" i="2"/>
  <c r="W79" i="2"/>
  <c r="W77" i="2"/>
  <c r="W82" i="2"/>
  <c r="W80" i="2"/>
  <c r="W78" i="2"/>
  <c r="W76" i="2"/>
  <c r="W71" i="2"/>
  <c r="W64" i="2"/>
  <c r="W69" i="2"/>
  <c r="W61" i="2"/>
  <c r="W62" i="2"/>
  <c r="W67" i="2"/>
  <c r="W72" i="2"/>
  <c r="W65" i="2"/>
  <c r="W70" i="2"/>
  <c r="W63" i="2"/>
  <c r="W66" i="2"/>
  <c r="W68" i="2"/>
  <c r="W50" i="2"/>
  <c r="W48" i="2"/>
  <c r="W46" i="2"/>
  <c r="W51" i="2"/>
  <c r="W49" i="2"/>
  <c r="W47" i="2"/>
  <c r="W37" i="2"/>
  <c r="W38" i="2"/>
  <c r="W36" i="2"/>
  <c r="W78" i="1"/>
  <c r="W80" i="1"/>
  <c r="W77" i="1"/>
  <c r="W82" i="1"/>
  <c r="W79" i="1"/>
  <c r="W81" i="1"/>
  <c r="W76" i="1"/>
  <c r="W67" i="1"/>
  <c r="W69" i="1"/>
  <c r="W61" i="1"/>
  <c r="W68" i="1"/>
  <c r="W62" i="1"/>
  <c r="W64" i="1"/>
  <c r="W71" i="1"/>
  <c r="W63" i="1"/>
  <c r="W66" i="1"/>
  <c r="W70" i="1"/>
  <c r="W65" i="1"/>
  <c r="W46" i="1"/>
  <c r="W51" i="1"/>
  <c r="W48" i="1"/>
  <c r="W50" i="1"/>
  <c r="W49" i="1"/>
  <c r="W47" i="1"/>
  <c r="W40" i="1"/>
  <c r="W39" i="1"/>
  <c r="W38" i="1"/>
  <c r="W37" i="1"/>
  <c r="W36" i="1"/>
  <c r="B33" i="31"/>
  <c r="B33" i="30"/>
  <c r="B33" i="29"/>
  <c r="B33" i="28"/>
  <c r="B33" i="27"/>
  <c r="B33" i="26"/>
  <c r="B33" i="25"/>
  <c r="B33" i="24"/>
  <c r="B33" i="23"/>
  <c r="B33" i="22"/>
  <c r="B33" i="21"/>
  <c r="B33" i="20"/>
  <c r="B33" i="19"/>
  <c r="B33" i="18"/>
  <c r="B33" i="17"/>
  <c r="B33" i="16"/>
  <c r="B33" i="15"/>
  <c r="B33" i="14"/>
  <c r="B33" i="13"/>
  <c r="B33" i="12"/>
  <c r="B33" i="11"/>
  <c r="B33" i="10"/>
  <c r="B33" i="9"/>
  <c r="B33" i="8"/>
  <c r="B33" i="7"/>
  <c r="B33" i="6"/>
  <c r="B33" i="5"/>
  <c r="B33" i="4"/>
  <c r="B33" i="3"/>
  <c r="B33" i="2"/>
  <c r="B33" i="1"/>
  <c r="I33" i="23"/>
  <c r="I33" i="17"/>
  <c r="I33" i="2"/>
  <c r="I33" i="4"/>
  <c r="E33" i="32"/>
  <c r="I33" i="14"/>
  <c r="I33" i="7"/>
  <c r="I33" i="20"/>
  <c r="C33" i="32"/>
  <c r="I33" i="22"/>
  <c r="I33" i="5"/>
  <c r="I33" i="9"/>
  <c r="I33" i="6"/>
  <c r="H33" i="32"/>
  <c r="K33" i="32"/>
  <c r="G33" i="32"/>
  <c r="I33" i="21"/>
  <c r="D33" i="32"/>
  <c r="I33" i="31"/>
  <c r="I33" i="27"/>
  <c r="I33" i="18"/>
  <c r="J33" i="32"/>
  <c r="I33" i="29"/>
  <c r="I33" i="3"/>
  <c r="I33" i="26"/>
  <c r="I33" i="10"/>
  <c r="I33" i="13"/>
  <c r="I33" i="1"/>
  <c r="I33" i="30"/>
  <c r="I33" i="25"/>
  <c r="F33" i="32"/>
  <c r="I33" i="8"/>
  <c r="I33" i="11"/>
  <c r="I33" i="12"/>
  <c r="I33" i="16"/>
  <c r="I33" i="24"/>
  <c r="I33" i="19"/>
  <c r="I33" i="28"/>
  <c r="I33" i="15"/>
  <c r="W80" i="32" l="1"/>
  <c r="W78" i="32"/>
  <c r="W76" i="32"/>
  <c r="W81" i="32"/>
  <c r="W79" i="32"/>
  <c r="W77" i="32"/>
  <c r="W72" i="32"/>
  <c r="W62" i="32"/>
  <c r="W65" i="32"/>
  <c r="W70" i="32"/>
  <c r="W63" i="32"/>
  <c r="W68" i="32"/>
  <c r="W73" i="32"/>
  <c r="W61" i="32"/>
  <c r="W66" i="32"/>
  <c r="W71" i="32"/>
  <c r="W64" i="32"/>
  <c r="W69" i="32"/>
  <c r="W67" i="32"/>
  <c r="W51" i="32"/>
  <c r="W49" i="32"/>
  <c r="W47" i="32"/>
  <c r="W52" i="32"/>
  <c r="W50" i="32"/>
  <c r="W48" i="32"/>
  <c r="W46" i="32"/>
  <c r="W37" i="32"/>
  <c r="W38" i="32"/>
  <c r="W36" i="32"/>
  <c r="B33" i="32"/>
  <c r="I33" i="32"/>
  <c r="M33" i="30" l="1"/>
  <c r="M33" i="4"/>
  <c r="M33" i="18"/>
  <c r="M33" i="1"/>
  <c r="M33" i="9"/>
  <c r="M33" i="11"/>
  <c r="M33" i="19"/>
  <c r="M33" i="8"/>
  <c r="M33" i="16"/>
  <c r="M33" i="10"/>
  <c r="M33" i="21"/>
  <c r="M33" i="26"/>
  <c r="M33" i="20"/>
  <c r="M33" i="6"/>
  <c r="M33" i="29"/>
  <c r="M33" i="22"/>
  <c r="M33" i="23"/>
  <c r="M33" i="7"/>
  <c r="M33" i="5"/>
  <c r="M33" i="25"/>
  <c r="M33" i="13"/>
  <c r="M33" i="27"/>
  <c r="M33" i="17"/>
  <c r="M33" i="3"/>
  <c r="M33" i="24"/>
  <c r="M33" i="12"/>
  <c r="M33" i="2"/>
  <c r="M33" i="31"/>
  <c r="M33" i="15"/>
  <c r="M33" i="28"/>
  <c r="M33" i="14"/>
  <c r="M33" i="32"/>
</calcChain>
</file>

<file path=xl/sharedStrings.xml><?xml version="1.0" encoding="utf-8"?>
<sst xmlns="http://schemas.openxmlformats.org/spreadsheetml/2006/main" count="17115" uniqueCount="1785">
  <si>
    <t>player_name</t>
  </si>
  <si>
    <t>recent_team</t>
  </si>
  <si>
    <t>pos</t>
  </si>
  <si>
    <t>g</t>
  </si>
  <si>
    <t>p_att</t>
  </si>
  <si>
    <t>cmp</t>
  </si>
  <si>
    <t>p_yd</t>
  </si>
  <si>
    <t>p_td</t>
  </si>
  <si>
    <t>int</t>
  </si>
  <si>
    <t>car</t>
  </si>
  <si>
    <t>r_yd</t>
  </si>
  <si>
    <t>r_td</t>
  </si>
  <si>
    <t>tgt</t>
  </si>
  <si>
    <t>rec</t>
  </si>
  <si>
    <t>rec_yd</t>
  </si>
  <si>
    <t>rec_td</t>
  </si>
  <si>
    <t>fmb</t>
  </si>
  <si>
    <t>tp_c</t>
  </si>
  <si>
    <t>f_ppr</t>
  </si>
  <si>
    <t>tgt_share</t>
  </si>
  <si>
    <t>ypc</t>
  </si>
  <si>
    <t>ypr</t>
  </si>
  <si>
    <t>cmp_pct</t>
  </si>
  <si>
    <t>td_rate</t>
  </si>
  <si>
    <t>C.McCoy</t>
  </si>
  <si>
    <t>ARI</t>
  </si>
  <si>
    <t>QB</t>
  </si>
  <si>
    <t>D.Blough</t>
  </si>
  <si>
    <t>K.Murray</t>
  </si>
  <si>
    <t>T.McSorley</t>
  </si>
  <si>
    <t>C.Clement</t>
  </si>
  <si>
    <t>RB</t>
  </si>
  <si>
    <t>D.Williams</t>
  </si>
  <si>
    <t>E.Benjamin</t>
  </si>
  <si>
    <t>J.Conner</t>
  </si>
  <si>
    <t>K.Ingram</t>
  </si>
  <si>
    <t>T.Williams</t>
  </si>
  <si>
    <t>M.Williams</t>
  </si>
  <si>
    <t>TE</t>
  </si>
  <si>
    <t>S.Anderson</t>
  </si>
  <si>
    <t>T.McBride</t>
  </si>
  <si>
    <t>Z.Ertz</t>
  </si>
  <si>
    <t>A.Baccellia</t>
  </si>
  <si>
    <t>WR</t>
  </si>
  <si>
    <t>A.Green</t>
  </si>
  <si>
    <t>A.Isabella</t>
  </si>
  <si>
    <t>D.Hopkins</t>
  </si>
  <si>
    <t>G.Dortch</t>
  </si>
  <si>
    <t>M.Brown</t>
  </si>
  <si>
    <t>P.Cooper</t>
  </si>
  <si>
    <t>R.Anderson</t>
  </si>
  <si>
    <t>R.Moore</t>
  </si>
  <si>
    <t>team</t>
  </si>
  <si>
    <t>off_yd</t>
  </si>
  <si>
    <t>p_ff</t>
  </si>
  <si>
    <t>Name</t>
  </si>
  <si>
    <t>POS</t>
  </si>
  <si>
    <t>Age</t>
  </si>
  <si>
    <t>Exp</t>
  </si>
  <si>
    <t>College</t>
  </si>
  <si>
    <t>f_custom</t>
  </si>
  <si>
    <t>David Blough</t>
  </si>
  <si>
    <t>Purdue</t>
  </si>
  <si>
    <t>Jeff Driskel</t>
  </si>
  <si>
    <t>Louisiana Tech</t>
  </si>
  <si>
    <t>Colt McCoy</t>
  </si>
  <si>
    <t>Texas</t>
  </si>
  <si>
    <t>Kyler Murray</t>
  </si>
  <si>
    <t>Oklahoma</t>
  </si>
  <si>
    <t>Clayton Tune</t>
  </si>
  <si>
    <t>Houston</t>
  </si>
  <si>
    <t>Corey Clement</t>
  </si>
  <si>
    <t>Wisconsin</t>
  </si>
  <si>
    <t>James Conner</t>
  </si>
  <si>
    <t>Pittsburgh</t>
  </si>
  <si>
    <t>Emari Demercado</t>
  </si>
  <si>
    <t>TCU</t>
  </si>
  <si>
    <t>Keaontay Ingram</t>
  </si>
  <si>
    <t>USC</t>
  </si>
  <si>
    <t>Marlon Mack</t>
  </si>
  <si>
    <t>South Florida</t>
  </si>
  <si>
    <t>Ty'Son Williams</t>
  </si>
  <si>
    <t>BYU</t>
  </si>
  <si>
    <t>Daniel Arias</t>
  </si>
  <si>
    <t>Colorado</t>
  </si>
  <si>
    <t>Andre Baccellia</t>
  </si>
  <si>
    <t>Washington</t>
  </si>
  <si>
    <t>Marquise Brown</t>
  </si>
  <si>
    <t>Brian Cobbs</t>
  </si>
  <si>
    <t>Utah State</t>
  </si>
  <si>
    <t>Davion Davis</t>
  </si>
  <si>
    <t>Sam Houston State</t>
  </si>
  <si>
    <t>Kaden Davis</t>
  </si>
  <si>
    <t>--</t>
  </si>
  <si>
    <t>Greg Dortch</t>
  </si>
  <si>
    <t>Wake Forest</t>
  </si>
  <si>
    <t>Rondale Moore</t>
  </si>
  <si>
    <t>Zach Pascal</t>
  </si>
  <si>
    <t>Old Dominion</t>
  </si>
  <si>
    <t>Brandon Smith</t>
  </si>
  <si>
    <t>Iowa</t>
  </si>
  <si>
    <t>Michael Wilson</t>
  </si>
  <si>
    <t>Stanford</t>
  </si>
  <si>
    <t>Zach Ertz</t>
  </si>
  <si>
    <t>Joel Honigford</t>
  </si>
  <si>
    <t>Michigan</t>
  </si>
  <si>
    <t>Trey McBride</t>
  </si>
  <si>
    <t>Colorado State</t>
  </si>
  <si>
    <t>Bernhard Seikovits</t>
  </si>
  <si>
    <t>Geoff Swaim</t>
  </si>
  <si>
    <t>Noah Togiai</t>
  </si>
  <si>
    <t>Oregon State</t>
  </si>
  <si>
    <t>Blake Whiteheart</t>
  </si>
  <si>
    <t>K.Smith</t>
  </si>
  <si>
    <t>ATL</t>
  </si>
  <si>
    <t>FB</t>
  </si>
  <si>
    <t>D.Ridder</t>
  </si>
  <si>
    <t>M.Mariota</t>
  </si>
  <si>
    <t>A.Williams</t>
  </si>
  <si>
    <t>C.Huntley</t>
  </si>
  <si>
    <t>C.Patterson</t>
  </si>
  <si>
    <t>T.Allgeier</t>
  </si>
  <si>
    <t>A.Firkser</t>
  </si>
  <si>
    <t>F.Franks</t>
  </si>
  <si>
    <t>K.Pitts</t>
  </si>
  <si>
    <t>M.Pruitt</t>
  </si>
  <si>
    <t>P.Hesse</t>
  </si>
  <si>
    <t>B.Edwards</t>
  </si>
  <si>
    <t>D.Byrd</t>
  </si>
  <si>
    <t>D.London</t>
  </si>
  <si>
    <t>F.Darby</t>
  </si>
  <si>
    <t>J.Ali</t>
  </si>
  <si>
    <t>K.Hodge</t>
  </si>
  <si>
    <t>O.Zaccheaus</t>
  </si>
  <si>
    <t>Taylor Heinicke</t>
  </si>
  <si>
    <t>Desmond Ridder</t>
  </si>
  <si>
    <t>Cincinnati</t>
  </si>
  <si>
    <t>Logan Woodside</t>
  </si>
  <si>
    <t>Toledo</t>
  </si>
  <si>
    <t>Tyler Allgeier</t>
  </si>
  <si>
    <t>Godwin Igwebuike</t>
  </si>
  <si>
    <t>Northwestern</t>
  </si>
  <si>
    <t>Cordarrelle Patterson</t>
  </si>
  <si>
    <t>Tennessee</t>
  </si>
  <si>
    <t>Clint Ratkovich</t>
  </si>
  <si>
    <t>Northern Illinois</t>
  </si>
  <si>
    <t>Bijan Robinson</t>
  </si>
  <si>
    <t>Carlos Washington Jr.</t>
  </si>
  <si>
    <t>SE Louisiana</t>
  </si>
  <si>
    <t>Josh Ali</t>
  </si>
  <si>
    <t>Kentucky</t>
  </si>
  <si>
    <t>J.J. Arcega-Whiteside</t>
  </si>
  <si>
    <t>Slade Bolden</t>
  </si>
  <si>
    <t>Alabama</t>
  </si>
  <si>
    <t>Frank Darby</t>
  </si>
  <si>
    <t>Arizona State</t>
  </si>
  <si>
    <t>Keilahn Harris</t>
  </si>
  <si>
    <t>Oklahoma Baptist</t>
  </si>
  <si>
    <t>Penny Hart</t>
  </si>
  <si>
    <t>Georgia State</t>
  </si>
  <si>
    <t>KhaDarel Hodge</t>
  </si>
  <si>
    <t>Prairie View A&amp;M</t>
  </si>
  <si>
    <t>Mack Hollins</t>
  </si>
  <si>
    <t>North Carolina</t>
  </si>
  <si>
    <t>Drake London</t>
  </si>
  <si>
    <t>Xavier Malone</t>
  </si>
  <si>
    <t>Henderson State</t>
  </si>
  <si>
    <t>Scott Miller</t>
  </si>
  <si>
    <t>Bowling Green</t>
  </si>
  <si>
    <t>Mathew Sexton</t>
  </si>
  <si>
    <t>Eastern Michigan</t>
  </si>
  <si>
    <t>Tucker Fisk</t>
  </si>
  <si>
    <t>John FitzPatrick</t>
  </si>
  <si>
    <t>Georgia</t>
  </si>
  <si>
    <t>Feleipe Franks</t>
  </si>
  <si>
    <t>Arkansas</t>
  </si>
  <si>
    <t>Parker Hesse</t>
  </si>
  <si>
    <t>Kyle Pitts</t>
  </si>
  <si>
    <t>Florida</t>
  </si>
  <si>
    <t>MyCole Pruitt</t>
  </si>
  <si>
    <t>Southern Illinois</t>
  </si>
  <si>
    <t>Jonnu Smith</t>
  </si>
  <si>
    <t>Florida International</t>
  </si>
  <si>
    <t>P.Ricard</t>
  </si>
  <si>
    <t>BAL</t>
  </si>
  <si>
    <t>A.Brown</t>
  </si>
  <si>
    <t>L.Jackson</t>
  </si>
  <si>
    <t>T.Huntley</t>
  </si>
  <si>
    <t>G.Edwards</t>
  </si>
  <si>
    <t>J.Dobbins</t>
  </si>
  <si>
    <t>J.Hill</t>
  </si>
  <si>
    <t>K.Drake</t>
  </si>
  <si>
    <t>M.Davis</t>
  </si>
  <si>
    <t>C.Kolar</t>
  </si>
  <si>
    <t>I.Likely</t>
  </si>
  <si>
    <t>J.Oliver</t>
  </si>
  <si>
    <t>M.Andrews</t>
  </si>
  <si>
    <t>D.Duvernay</t>
  </si>
  <si>
    <t>D.Jackson</t>
  </si>
  <si>
    <t>D.Robinson</t>
  </si>
  <si>
    <t>J.Proche</t>
  </si>
  <si>
    <t>R.Bateman</t>
  </si>
  <si>
    <t>S.Watkins</t>
  </si>
  <si>
    <t>T.Wallace</t>
  </si>
  <si>
    <t>Anthony Brown</t>
  </si>
  <si>
    <t>Oregon</t>
  </si>
  <si>
    <t>Tyler Huntley</t>
  </si>
  <si>
    <t>Utah</t>
  </si>
  <si>
    <t>Lamar Jackson</t>
  </si>
  <si>
    <t>Louisville</t>
  </si>
  <si>
    <t>Josh Johnson</t>
  </si>
  <si>
    <t>San Diego</t>
  </si>
  <si>
    <t>J.K. Dobbins</t>
  </si>
  <si>
    <t>Ohio State</t>
  </si>
  <si>
    <t>Gus Edwards</t>
  </si>
  <si>
    <t>Rutgers</t>
  </si>
  <si>
    <t>Melvin Gordon III</t>
  </si>
  <si>
    <t>Justice Hill</t>
  </si>
  <si>
    <t>Oklahoma State</t>
  </si>
  <si>
    <t>Keaton Mitchell</t>
  </si>
  <si>
    <t>East Carolina</t>
  </si>
  <si>
    <t>Owen Wright</t>
  </si>
  <si>
    <t>Monmouth</t>
  </si>
  <si>
    <t>Nelson Agholor</t>
  </si>
  <si>
    <t>Rashod Bateman</t>
  </si>
  <si>
    <t>Minnesota</t>
  </si>
  <si>
    <t>Odell Beckham Jr.</t>
  </si>
  <si>
    <t>LSU</t>
  </si>
  <si>
    <t>Tarik Black</t>
  </si>
  <si>
    <t>Shemar Bridges</t>
  </si>
  <si>
    <t>Fort Valley State</t>
  </si>
  <si>
    <t>Dontay Demus Jr.</t>
  </si>
  <si>
    <t>Maryland</t>
  </si>
  <si>
    <t>Devin Duvernay</t>
  </si>
  <si>
    <t>Zay Flowers</t>
  </si>
  <si>
    <t>Boston College</t>
  </si>
  <si>
    <t>James Proche II</t>
  </si>
  <si>
    <t>SMU</t>
  </si>
  <si>
    <t>Sean Ryan</t>
  </si>
  <si>
    <t>Laquon Treadwell</t>
  </si>
  <si>
    <t>Ole Miss</t>
  </si>
  <si>
    <t>Tylan Wallace</t>
  </si>
  <si>
    <t>Mark Andrews</t>
  </si>
  <si>
    <t>Charlie Kolar</t>
  </si>
  <si>
    <t>Iowa State</t>
  </si>
  <si>
    <t>Isaiah Likely</t>
  </si>
  <si>
    <t>Coastal Carolina</t>
  </si>
  <si>
    <t>Travis Vokolek</t>
  </si>
  <si>
    <t>Nebraska</t>
  </si>
  <si>
    <t>R.Gilliam</t>
  </si>
  <si>
    <t>BUF</t>
  </si>
  <si>
    <t>C.Keenum</t>
  </si>
  <si>
    <t>J.Allen</t>
  </si>
  <si>
    <t>D.Johnson</t>
  </si>
  <si>
    <t>D.Singletary</t>
  </si>
  <si>
    <t>J.Cook</t>
  </si>
  <si>
    <t>N.Hines</t>
  </si>
  <si>
    <t>Z.Moss</t>
  </si>
  <si>
    <t>D.Knox</t>
  </si>
  <si>
    <t>Q.Morris</t>
  </si>
  <si>
    <t>T.Sweeney</t>
  </si>
  <si>
    <t>C.Beasley</t>
  </si>
  <si>
    <t>G.Davis</t>
  </si>
  <si>
    <t>I.Hodgins</t>
  </si>
  <si>
    <t>I.McKenzie</t>
  </si>
  <si>
    <t>J.Brown</t>
  </si>
  <si>
    <t>J.Crowder</t>
  </si>
  <si>
    <t>J.Kumerow</t>
  </si>
  <si>
    <t>K.Shakir</t>
  </si>
  <si>
    <t>S.Diggs</t>
  </si>
  <si>
    <t>T.Gentry</t>
  </si>
  <si>
    <t>Josh Allen</t>
  </si>
  <si>
    <t>Wyoming</t>
  </si>
  <si>
    <t>Kyle Allen</t>
  </si>
  <si>
    <t>Matt Barkley</t>
  </si>
  <si>
    <t>James Cook</t>
  </si>
  <si>
    <t>Darrynton Evans</t>
  </si>
  <si>
    <t>Appalachian State</t>
  </si>
  <si>
    <t>Damien Harris</t>
  </si>
  <si>
    <t>Jordan Mims</t>
  </si>
  <si>
    <t>Fresno State</t>
  </si>
  <si>
    <t>Latavius Murray</t>
  </si>
  <si>
    <t>UCF</t>
  </si>
  <si>
    <t>Marcell Ateman</t>
  </si>
  <si>
    <t>Isaiah Coulter</t>
  </si>
  <si>
    <t>Rhode Island</t>
  </si>
  <si>
    <t>Gabe Davis</t>
  </si>
  <si>
    <t>Stefon Diggs</t>
  </si>
  <si>
    <t>Deonte Harty</t>
  </si>
  <si>
    <t>Assumption</t>
  </si>
  <si>
    <t>Andy Isabella</t>
  </si>
  <si>
    <t>Massachusetts</t>
  </si>
  <si>
    <t>KeeSean Johnson</t>
  </si>
  <si>
    <t>Dezmon Patmon</t>
  </si>
  <si>
    <t>Washington State</t>
  </si>
  <si>
    <t>Khalil Shakir</t>
  </si>
  <si>
    <t>Boise State</t>
  </si>
  <si>
    <t>Tyrell Shavers</t>
  </si>
  <si>
    <t>Middle Tennessee</t>
  </si>
  <si>
    <t>Trent Sherfield</t>
  </si>
  <si>
    <t>Vanderbilt</t>
  </si>
  <si>
    <t>Justin Shorter</t>
  </si>
  <si>
    <t>Bryan Thompson</t>
  </si>
  <si>
    <t>Dalton Kincaid</t>
  </si>
  <si>
    <t>Dawson Knox</t>
  </si>
  <si>
    <t>Quintin Morris</t>
  </si>
  <si>
    <t>Jace Sternberger</t>
  </si>
  <si>
    <t>Texas A&amp;M</t>
  </si>
  <si>
    <t>Joel Wilson</t>
  </si>
  <si>
    <t>Central Michigan</t>
  </si>
  <si>
    <t>B.Mayfield</t>
  </si>
  <si>
    <t>CAR</t>
  </si>
  <si>
    <t>J.Eason</t>
  </si>
  <si>
    <t>P.Walker</t>
  </si>
  <si>
    <t>S.Darnold</t>
  </si>
  <si>
    <t>C.Hubbard</t>
  </si>
  <si>
    <t>C.McCaffrey</t>
  </si>
  <si>
    <t>D.Foreman</t>
  </si>
  <si>
    <t>R.Blackshear</t>
  </si>
  <si>
    <t>S.Brown</t>
  </si>
  <si>
    <t>G.Ricci</t>
  </si>
  <si>
    <t>I.Thomas</t>
  </si>
  <si>
    <t>S.Sullivan</t>
  </si>
  <si>
    <t>T.Tremble</t>
  </si>
  <si>
    <t>D.Moore</t>
  </si>
  <si>
    <t>L.Shenault</t>
  </si>
  <si>
    <t>S.Smith</t>
  </si>
  <si>
    <t>T.Marshall</t>
  </si>
  <si>
    <t>Matt Corral</t>
  </si>
  <si>
    <t>Andy Dalton</t>
  </si>
  <si>
    <t>Jake Luton</t>
  </si>
  <si>
    <t>Bryce Young</t>
  </si>
  <si>
    <t>Raheem Blackshear</t>
  </si>
  <si>
    <t>Virginia Tech</t>
  </si>
  <si>
    <t>Spencer Brown</t>
  </si>
  <si>
    <t>UAB</t>
  </si>
  <si>
    <t>Chuba Hubbard</t>
  </si>
  <si>
    <t>Camerun Peoples</t>
  </si>
  <si>
    <t>Miles Sanders</t>
  </si>
  <si>
    <t>Penn State</t>
  </si>
  <si>
    <t>Damiere Byrd</t>
  </si>
  <si>
    <t>South Carolina</t>
  </si>
  <si>
    <t>DJ Chark Jr.</t>
  </si>
  <si>
    <t>Gary Jennings</t>
  </si>
  <si>
    <t>West Virginia</t>
  </si>
  <si>
    <t>Terrace Marshall Jr.</t>
  </si>
  <si>
    <t>Jonathan Mingo</t>
  </si>
  <si>
    <t>C.J. Saunders</t>
  </si>
  <si>
    <t>Laviska Shenault Jr.</t>
  </si>
  <si>
    <t>Shi Smith</t>
  </si>
  <si>
    <t>Adam Thielen</t>
  </si>
  <si>
    <t>Minnesota State Moorhead</t>
  </si>
  <si>
    <t>Josh Vann</t>
  </si>
  <si>
    <t>Javon Wims</t>
  </si>
  <si>
    <t>Derek Wright</t>
  </si>
  <si>
    <t>Hayden Hurst</t>
  </si>
  <si>
    <t>Giovanni Ricci</t>
  </si>
  <si>
    <t>Western Michigan</t>
  </si>
  <si>
    <t>Stephen Sullivan</t>
  </si>
  <si>
    <t>Ian Thomas</t>
  </si>
  <si>
    <t>Indiana</t>
  </si>
  <si>
    <t>Tommy Tremble</t>
  </si>
  <si>
    <t>Notre Dame</t>
  </si>
  <si>
    <t>K.Blasingame</t>
  </si>
  <si>
    <t>CHI</t>
  </si>
  <si>
    <t>J.Fields</t>
  </si>
  <si>
    <t>N.Peterman</t>
  </si>
  <si>
    <t>T.Boyle</t>
  </si>
  <si>
    <t>T.Siemian</t>
  </si>
  <si>
    <t>D.Evans</t>
  </si>
  <si>
    <t>D.Montgomery</t>
  </si>
  <si>
    <t>K.Herbert</t>
  </si>
  <si>
    <t>T.Ebner</t>
  </si>
  <si>
    <t>C.Kmet</t>
  </si>
  <si>
    <t>J.Tonges</t>
  </si>
  <si>
    <t>R.Griffin</t>
  </si>
  <si>
    <t>T.Wesco</t>
  </si>
  <si>
    <t>B.Pringle</t>
  </si>
  <si>
    <t>C.Claypool</t>
  </si>
  <si>
    <t>D.Mooney</t>
  </si>
  <si>
    <t>D.Pettis</t>
  </si>
  <si>
    <t>E.St. Brown</t>
  </si>
  <si>
    <t>I.Smith-Marsette</t>
  </si>
  <si>
    <t>N.Harry</t>
  </si>
  <si>
    <t>N.Webster</t>
  </si>
  <si>
    <t>V.Jones</t>
  </si>
  <si>
    <t>Tyson Bagent</t>
  </si>
  <si>
    <t>Shepherd</t>
  </si>
  <si>
    <t>Justin Fields</t>
  </si>
  <si>
    <t>Nathan Peterman</t>
  </si>
  <si>
    <t>PJ Walker</t>
  </si>
  <si>
    <t>Temple</t>
  </si>
  <si>
    <t>Trestan Ebner</t>
  </si>
  <si>
    <t>Baylor</t>
  </si>
  <si>
    <t>D'Onta Foreman</t>
  </si>
  <si>
    <t>Khalil Herbert</t>
  </si>
  <si>
    <t>Travis Homer</t>
  </si>
  <si>
    <t>Miami</t>
  </si>
  <si>
    <t>Roschon Johnson</t>
  </si>
  <si>
    <t>Chase Claypool</t>
  </si>
  <si>
    <t>Isaiah Ford</t>
  </si>
  <si>
    <t>Daurice Fountain</t>
  </si>
  <si>
    <t>Northern Iowa</t>
  </si>
  <si>
    <t>Velus Jones Jr.</t>
  </si>
  <si>
    <t>Darnell Mooney</t>
  </si>
  <si>
    <t>Tulane</t>
  </si>
  <si>
    <t>DJ Moore</t>
  </si>
  <si>
    <t>Dante Pettis</t>
  </si>
  <si>
    <t>Joe Reed</t>
  </si>
  <si>
    <t>Virginia</t>
  </si>
  <si>
    <t>Tyler Scott</t>
  </si>
  <si>
    <t>Equanimeous St. Brown</t>
  </si>
  <si>
    <t>Nsimba Webster</t>
  </si>
  <si>
    <t>Eastern Washington</t>
  </si>
  <si>
    <t>Stephen Carlson</t>
  </si>
  <si>
    <t>Princeton</t>
  </si>
  <si>
    <t>Cole Kmet</t>
  </si>
  <si>
    <t>Marcedes Lewis</t>
  </si>
  <si>
    <t>UCLA</t>
  </si>
  <si>
    <t>Jared Pinkney</t>
  </si>
  <si>
    <t>Lachlan Pitts</t>
  </si>
  <si>
    <t>William &amp; Mary</t>
  </si>
  <si>
    <t>Robert Tonyan</t>
  </si>
  <si>
    <t>Indiana State</t>
  </si>
  <si>
    <t>B.Allen</t>
  </si>
  <si>
    <t>CIN</t>
  </si>
  <si>
    <t>J.Burrow</t>
  </si>
  <si>
    <t>C.Evans</t>
  </si>
  <si>
    <t>J.Mixon</t>
  </si>
  <si>
    <t>S.Perine</t>
  </si>
  <si>
    <t>D.Asiasi</t>
  </si>
  <si>
    <t>D.Sample</t>
  </si>
  <si>
    <t>H.Hurst</t>
  </si>
  <si>
    <t>M.Wilcox</t>
  </si>
  <si>
    <t>J.Chase</t>
  </si>
  <si>
    <t>M.Thomas</t>
  </si>
  <si>
    <t>S.Morgan</t>
  </si>
  <si>
    <t>T.Boyd</t>
  </si>
  <si>
    <t>T.Higgins</t>
  </si>
  <si>
    <t>T.Irwin</t>
  </si>
  <si>
    <t>T.Taylor</t>
  </si>
  <si>
    <t>Jake Browning</t>
  </si>
  <si>
    <t>Joe Burrow</t>
  </si>
  <si>
    <t>Trevor Siemian</t>
  </si>
  <si>
    <t>Reid Sinnett</t>
  </si>
  <si>
    <t>Chase Brown</t>
  </si>
  <si>
    <t>Illinois</t>
  </si>
  <si>
    <t>Chris Evans</t>
  </si>
  <si>
    <t>Joe Mixon</t>
  </si>
  <si>
    <t>Jacob Saylors</t>
  </si>
  <si>
    <t>East Tennessee State</t>
  </si>
  <si>
    <t>Calvin Tyler Jr.</t>
  </si>
  <si>
    <t>Trayveon Williams</t>
  </si>
  <si>
    <t>Tyler Boyd</t>
  </si>
  <si>
    <t>Malachi Carter</t>
  </si>
  <si>
    <t>Georgia Tech</t>
  </si>
  <si>
    <t>Ja'Marr Chase</t>
  </si>
  <si>
    <t>Tee Higgins</t>
  </si>
  <si>
    <t>Clemson</t>
  </si>
  <si>
    <t>Mac Hippenhammer</t>
  </si>
  <si>
    <t>Miami (OH)</t>
  </si>
  <si>
    <t>Andrei Iosivas</t>
  </si>
  <si>
    <t>Trenton Irwin</t>
  </si>
  <si>
    <t>Shedrick Jackson</t>
  </si>
  <si>
    <t>Auburn</t>
  </si>
  <si>
    <t>Charlie Jones</t>
  </si>
  <si>
    <t>Kwamie Lassiter II</t>
  </si>
  <si>
    <t>Kansas</t>
  </si>
  <si>
    <t>Stanley Morgan</t>
  </si>
  <si>
    <t>Trent Taylor</t>
  </si>
  <si>
    <t>Devin Asiasi</t>
  </si>
  <si>
    <t>Nick Bowers</t>
  </si>
  <si>
    <t>Tanner Hudson</t>
  </si>
  <si>
    <t>Southern Arkansas</t>
  </si>
  <si>
    <t>Drew Sample</t>
  </si>
  <si>
    <t>Irv Smith Jr.</t>
  </si>
  <si>
    <t>Christian Trahan</t>
  </si>
  <si>
    <t>Mitchell Wilcox</t>
  </si>
  <si>
    <t>D.Watson</t>
  </si>
  <si>
    <t>CLE</t>
  </si>
  <si>
    <t>J.Brissett</t>
  </si>
  <si>
    <t>D.Felton</t>
  </si>
  <si>
    <t>J.Ford</t>
  </si>
  <si>
    <t>K.Hunt</t>
  </si>
  <si>
    <t>N.Chubb</t>
  </si>
  <si>
    <t>D.Njoku</t>
  </si>
  <si>
    <t>H.Bryant</t>
  </si>
  <si>
    <t>M.Forristall</t>
  </si>
  <si>
    <t>P.Brown</t>
  </si>
  <si>
    <t>A.Cooper</t>
  </si>
  <si>
    <t>A.Schwartz</t>
  </si>
  <si>
    <t>D.Baldwin</t>
  </si>
  <si>
    <t>D.Bell</t>
  </si>
  <si>
    <t>D.Peoples-Jones</t>
  </si>
  <si>
    <t>M.Woods</t>
  </si>
  <si>
    <t>Joshua Dobbs</t>
  </si>
  <si>
    <t>Kellen Mond</t>
  </si>
  <si>
    <t>Dorian Thompson-Robinson</t>
  </si>
  <si>
    <t>Deshaun Watson</t>
  </si>
  <si>
    <t>Nick Chubb</t>
  </si>
  <si>
    <t>Demetric Felton Jr.</t>
  </si>
  <si>
    <t>Jerome Ford</t>
  </si>
  <si>
    <t>Hassan Hall</t>
  </si>
  <si>
    <t>John Kelly Jr.</t>
  </si>
  <si>
    <t>Jordan Wilkins</t>
  </si>
  <si>
    <t>David Bell</t>
  </si>
  <si>
    <t>Amari Cooper</t>
  </si>
  <si>
    <t>Jaelon Darden</t>
  </si>
  <si>
    <t>North Texas</t>
  </si>
  <si>
    <t>Marquise Goodwin</t>
  </si>
  <si>
    <t>Jakeem Grant Sr.</t>
  </si>
  <si>
    <t>Texas Tech</t>
  </si>
  <si>
    <t>Mike Harley Jr.</t>
  </si>
  <si>
    <t>Elijah Moore</t>
  </si>
  <si>
    <t>Donovan Peoples-Jones</t>
  </si>
  <si>
    <t>Anthony Schwartz</t>
  </si>
  <si>
    <t>Cedric Tillman</t>
  </si>
  <si>
    <t>Austin Watkins Jr.</t>
  </si>
  <si>
    <t>Jalen Wayne</t>
  </si>
  <si>
    <t>South Alabama</t>
  </si>
  <si>
    <t>Michael Woods II</t>
  </si>
  <si>
    <t>Jordan Akins</t>
  </si>
  <si>
    <t>Harrison Bryant</t>
  </si>
  <si>
    <t>Florida Atlantic</t>
  </si>
  <si>
    <t>Miller Forristall</t>
  </si>
  <si>
    <t>Thomas Greaney</t>
  </si>
  <si>
    <t>UAlbany</t>
  </si>
  <si>
    <t>Zaire Mitchell-Paden</t>
  </si>
  <si>
    <t>David Njoku</t>
  </si>
  <si>
    <t>C.Rush</t>
  </si>
  <si>
    <t>DAL</t>
  </si>
  <si>
    <t>D.Prescott</t>
  </si>
  <si>
    <t>E.Elliott</t>
  </si>
  <si>
    <t>T.Pollard</t>
  </si>
  <si>
    <t>D.Schultz</t>
  </si>
  <si>
    <t>J.Ferguson</t>
  </si>
  <si>
    <t>P.Hendershot</t>
  </si>
  <si>
    <t>S.McKeon</t>
  </si>
  <si>
    <t>C.Lamb</t>
  </si>
  <si>
    <t>D.Houston</t>
  </si>
  <si>
    <t>J.Tolbert</t>
  </si>
  <si>
    <t>J.Washington</t>
  </si>
  <si>
    <t>K.Turpin</t>
  </si>
  <si>
    <t>M.Gallup</t>
  </si>
  <si>
    <t>N.Brown</t>
  </si>
  <si>
    <t>S.Fehoko</t>
  </si>
  <si>
    <t>T.Hilton</t>
  </si>
  <si>
    <t>Will Grier</t>
  </si>
  <si>
    <t>Dak Prescott</t>
  </si>
  <si>
    <t>Mississippi State</t>
  </si>
  <si>
    <t>Cooper Rush</t>
  </si>
  <si>
    <t>Malik Davis</t>
  </si>
  <si>
    <t>Rico Dowdle</t>
  </si>
  <si>
    <t>Ronald Jones</t>
  </si>
  <si>
    <t>Hunter Luepke</t>
  </si>
  <si>
    <t>North Dakota State</t>
  </si>
  <si>
    <t>Tony Pollard</t>
  </si>
  <si>
    <t>Memphis</t>
  </si>
  <si>
    <t>Deuce Vaughn</t>
  </si>
  <si>
    <t>Kansas State</t>
  </si>
  <si>
    <t>Jose Barbon</t>
  </si>
  <si>
    <t>Jalen Brooks</t>
  </si>
  <si>
    <t>Brandin Cooks</t>
  </si>
  <si>
    <t>Dontario Drummond</t>
  </si>
  <si>
    <t>David Durden</t>
  </si>
  <si>
    <t>West Florida</t>
  </si>
  <si>
    <t>Simi Fehoko</t>
  </si>
  <si>
    <t>Michael Gallup</t>
  </si>
  <si>
    <t>Dennis Houston</t>
  </si>
  <si>
    <t>Western Illinois</t>
  </si>
  <si>
    <t>Tyron Johnson</t>
  </si>
  <si>
    <t>CeeDee Lamb</t>
  </si>
  <si>
    <t>Jalen Moreno-Cropper</t>
  </si>
  <si>
    <t>John Stephens Jr.</t>
  </si>
  <si>
    <t>Louisiana-Lafayette</t>
  </si>
  <si>
    <t>Jalen Tolbert</t>
  </si>
  <si>
    <t>KaVontae Turpin</t>
  </si>
  <si>
    <t>Princeton Fant</t>
  </si>
  <si>
    <t>Jake Ferguson</t>
  </si>
  <si>
    <t>Seth Green</t>
  </si>
  <si>
    <t>Peyton Hendershot</t>
  </si>
  <si>
    <t>Sean McKeon</t>
  </si>
  <si>
    <t>Luke Schoonmaker</t>
  </si>
  <si>
    <t>B.Rypien</t>
  </si>
  <si>
    <t>DEN</t>
  </si>
  <si>
    <t>R.Wilson</t>
  </si>
  <si>
    <t>C.Edmonds</t>
  </si>
  <si>
    <t>D.Ozigbo</t>
  </si>
  <si>
    <t>J.Williams</t>
  </si>
  <si>
    <t>L.Murray</t>
  </si>
  <si>
    <t>M.Boone</t>
  </si>
  <si>
    <t>M.Gordon</t>
  </si>
  <si>
    <t>M.Mack</t>
  </si>
  <si>
    <t>T.Badie</t>
  </si>
  <si>
    <t>A.Beck</t>
  </si>
  <si>
    <t>A.Okwuegbunam</t>
  </si>
  <si>
    <t>E.Saubert</t>
  </si>
  <si>
    <t>E.Tomlinson</t>
  </si>
  <si>
    <t>G.Dulcich</t>
  </si>
  <si>
    <t>B.Johnson</t>
  </si>
  <si>
    <t>C.Sutton</t>
  </si>
  <si>
    <t>F.Swain</t>
  </si>
  <si>
    <t>J.Jeudy</t>
  </si>
  <si>
    <t>J.Virgil</t>
  </si>
  <si>
    <t>K.Hamler</t>
  </si>
  <si>
    <t>K.Hinton</t>
  </si>
  <si>
    <t>M.Washington</t>
  </si>
  <si>
    <t>T.Cleveland</t>
  </si>
  <si>
    <t>Ben DiNucci</t>
  </si>
  <si>
    <t>James Madison</t>
  </si>
  <si>
    <t>Jarrett Stidham</t>
  </si>
  <si>
    <t>Russell Wilson</t>
  </si>
  <si>
    <t>Tyler Badie</t>
  </si>
  <si>
    <t>Missouri</t>
  </si>
  <si>
    <t>Tony Jones Jr.</t>
  </si>
  <si>
    <t>Jaleel McLaughlin</t>
  </si>
  <si>
    <t>Youngstown State</t>
  </si>
  <si>
    <t>Samaje Perine</t>
  </si>
  <si>
    <t>Dwayne Washington</t>
  </si>
  <si>
    <t>Javonte Williams</t>
  </si>
  <si>
    <t>Michael Bandy</t>
  </si>
  <si>
    <t>Marquez Callaway</t>
  </si>
  <si>
    <t>Taylor Grimes</t>
  </si>
  <si>
    <t>Incarnate Word</t>
  </si>
  <si>
    <t>Kendall Hinton</t>
  </si>
  <si>
    <t>Lil'Jordan Humphrey</t>
  </si>
  <si>
    <t>Jerry Jeudy</t>
  </si>
  <si>
    <t>Brandon Johnson</t>
  </si>
  <si>
    <t>J.J. Koski</t>
  </si>
  <si>
    <t>Cal Poly</t>
  </si>
  <si>
    <t>Marvin Mims Jr.</t>
  </si>
  <si>
    <t>Tim Patrick</t>
  </si>
  <si>
    <t>Courtland Sutton</t>
  </si>
  <si>
    <t>Jalen Virgil</t>
  </si>
  <si>
    <t>Montrell Washington</t>
  </si>
  <si>
    <t>Samford</t>
  </si>
  <si>
    <t>Nick Williams</t>
  </si>
  <si>
    <t>UNLV</t>
  </si>
  <si>
    <t>Nate Adkins</t>
  </si>
  <si>
    <t>Greg Dulcich</t>
  </si>
  <si>
    <t>Tommy Hudson</t>
  </si>
  <si>
    <t>Chris Manhertz</t>
  </si>
  <si>
    <t>Canisius</t>
  </si>
  <si>
    <t>Albert Okwuegbunam</t>
  </si>
  <si>
    <t>Adam Trautman</t>
  </si>
  <si>
    <t>Dayton</t>
  </si>
  <si>
    <t>J.Cabinda</t>
  </si>
  <si>
    <t>DET</t>
  </si>
  <si>
    <t>J.Goff</t>
  </si>
  <si>
    <t>N.Sudfeld</t>
  </si>
  <si>
    <t>C.Reynolds</t>
  </si>
  <si>
    <t>D.Swift</t>
  </si>
  <si>
    <t>J.Jackson</t>
  </si>
  <si>
    <t>B.Wright</t>
  </si>
  <si>
    <t>J.Mitchell</t>
  </si>
  <si>
    <t>S.Zylstra</t>
  </si>
  <si>
    <t>T.Hockenson</t>
  </si>
  <si>
    <t>A.St. Brown</t>
  </si>
  <si>
    <t>D.Chark</t>
  </si>
  <si>
    <t>J.Reynolds</t>
  </si>
  <si>
    <t>K.Raymond</t>
  </si>
  <si>
    <t>M.Alexander</t>
  </si>
  <si>
    <t>Q.Cephus</t>
  </si>
  <si>
    <t>T.Kennedy</t>
  </si>
  <si>
    <t>Teddy Bridgewater</t>
  </si>
  <si>
    <t>Jared Goff</t>
  </si>
  <si>
    <t>California</t>
  </si>
  <si>
    <t>Hendon Hooker</t>
  </si>
  <si>
    <t>Adrian Martinez</t>
  </si>
  <si>
    <t>Nate Sudfeld</t>
  </si>
  <si>
    <t>Jahmyr Gibbs</t>
  </si>
  <si>
    <t>Mohamed Ibrahim</t>
  </si>
  <si>
    <t>Justin Jackson</t>
  </si>
  <si>
    <t>Jermar Jefferson</t>
  </si>
  <si>
    <t>David Montgomery</t>
  </si>
  <si>
    <t>Devine Ozigbo</t>
  </si>
  <si>
    <t>Craig Reynolds</t>
  </si>
  <si>
    <t>Kutztown</t>
  </si>
  <si>
    <t>Benny Snell</t>
  </si>
  <si>
    <t>Maurice Alexander</t>
  </si>
  <si>
    <t>Trinity Benson</t>
  </si>
  <si>
    <t>East Central (OK)</t>
  </si>
  <si>
    <t>Chase Cota</t>
  </si>
  <si>
    <t>Avery Davis</t>
  </si>
  <si>
    <t>Dylan Drummond</t>
  </si>
  <si>
    <t>Antoine Green</t>
  </si>
  <si>
    <t>Marvin Jones Jr.</t>
  </si>
  <si>
    <t>Tom Kennedy</t>
  </si>
  <si>
    <t>Bryant University</t>
  </si>
  <si>
    <t>Denzel Mims</t>
  </si>
  <si>
    <t>Kalif Raymond</t>
  </si>
  <si>
    <t>Holy Cross</t>
  </si>
  <si>
    <t>Josh Reynolds</t>
  </si>
  <si>
    <t>Amon-Ra St. Brown</t>
  </si>
  <si>
    <t>Jameson Williams</t>
  </si>
  <si>
    <t>Darrell Daniels</t>
  </si>
  <si>
    <t>Daniel Helm</t>
  </si>
  <si>
    <t>Duke</t>
  </si>
  <si>
    <t>Sam LaPorta</t>
  </si>
  <si>
    <t>James Mitchell</t>
  </si>
  <si>
    <t>Brock Wright</t>
  </si>
  <si>
    <t>Shane Zylstra</t>
  </si>
  <si>
    <t>Minnesota State Mankato</t>
  </si>
  <si>
    <t>A.Rodgers</t>
  </si>
  <si>
    <t>GB</t>
  </si>
  <si>
    <t>J.Love</t>
  </si>
  <si>
    <t>A.Dillon</t>
  </si>
  <si>
    <t>A.Jones</t>
  </si>
  <si>
    <t>K.Hill</t>
  </si>
  <si>
    <t>P.Taylor</t>
  </si>
  <si>
    <t>J.Deguara</t>
  </si>
  <si>
    <t>M.Lewis</t>
  </si>
  <si>
    <t>R.Tonyan</t>
  </si>
  <si>
    <t>T.Davis</t>
  </si>
  <si>
    <t>A.Lazard</t>
  </si>
  <si>
    <t>C.Watson</t>
  </si>
  <si>
    <t>J.Winfree</t>
  </si>
  <si>
    <t>R.Cobb</t>
  </si>
  <si>
    <t>R.Doubs</t>
  </si>
  <si>
    <t>S.Toure</t>
  </si>
  <si>
    <t>Sean Clifford</t>
  </si>
  <si>
    <t>Jordan Love</t>
  </si>
  <si>
    <t>Alex McGough</t>
  </si>
  <si>
    <t>AJ Dillon</t>
  </si>
  <si>
    <t>Tyler Goodson</t>
  </si>
  <si>
    <t>Aaron Jones</t>
  </si>
  <si>
    <t>UTEP</t>
  </si>
  <si>
    <t>Nate McCrary</t>
  </si>
  <si>
    <t>Saginaw Valley</t>
  </si>
  <si>
    <t>Lew Nichols</t>
  </si>
  <si>
    <t>Patrick Taylor</t>
  </si>
  <si>
    <t>Emanuel Wilson</t>
  </si>
  <si>
    <t>Jadakis Bonds</t>
  </si>
  <si>
    <t>Hampton</t>
  </si>
  <si>
    <t>Cody Chrest</t>
  </si>
  <si>
    <t>Romeo Doubs</t>
  </si>
  <si>
    <t>Nevada</t>
  </si>
  <si>
    <t>Grant DuBose</t>
  </si>
  <si>
    <t>Charlotte</t>
  </si>
  <si>
    <t>Malik Heath</t>
  </si>
  <si>
    <t>Bo Melton</t>
  </si>
  <si>
    <t>Dre Miller</t>
  </si>
  <si>
    <t>Maine</t>
  </si>
  <si>
    <t>Jayden Reed</t>
  </si>
  <si>
    <t>Michigan State</t>
  </si>
  <si>
    <t>Samori Toure</t>
  </si>
  <si>
    <t>Christian Watson</t>
  </si>
  <si>
    <t>Duece Watts</t>
  </si>
  <si>
    <t>Dontayvion Wicks</t>
  </si>
  <si>
    <t>Austin Allen</t>
  </si>
  <si>
    <t>Tyler Davis</t>
  </si>
  <si>
    <t>Josiah Deguara</t>
  </si>
  <si>
    <t>Tucker Kraft</t>
  </si>
  <si>
    <t>South Dakota State</t>
  </si>
  <si>
    <t>Luke Musgrave</t>
  </si>
  <si>
    <t>T.Hairston</t>
  </si>
  <si>
    <t>HOU</t>
  </si>
  <si>
    <t>D.Mills</t>
  </si>
  <si>
    <t>J.Driskel</t>
  </si>
  <si>
    <t>K.Allen</t>
  </si>
  <si>
    <t>D.Ogunbowale</t>
  </si>
  <si>
    <t>D.Pierce</t>
  </si>
  <si>
    <t>R.Burkhead</t>
  </si>
  <si>
    <t>R.Freeman</t>
  </si>
  <si>
    <t>B.Jordan</t>
  </si>
  <si>
    <t>J.Akins</t>
  </si>
  <si>
    <t>M.Schreck</t>
  </si>
  <si>
    <t>O.Howard</t>
  </si>
  <si>
    <t>T.Quitoriano</t>
  </si>
  <si>
    <t>B.Cooks</t>
  </si>
  <si>
    <t>C.Conley</t>
  </si>
  <si>
    <t>C.Moore</t>
  </si>
  <si>
    <t>J.Camp</t>
  </si>
  <si>
    <t>N.Collins</t>
  </si>
  <si>
    <t>P.Dorsett</t>
  </si>
  <si>
    <t>T.Johnson</t>
  </si>
  <si>
    <t>Case Keenum</t>
  </si>
  <si>
    <t>Davis Mills</t>
  </si>
  <si>
    <t>E.J. Perry</t>
  </si>
  <si>
    <t>Brown</t>
  </si>
  <si>
    <t>C.J. Stroud</t>
  </si>
  <si>
    <t>Mike Boone</t>
  </si>
  <si>
    <t>Gerrid Doaks</t>
  </si>
  <si>
    <t>Dare Ogunbowale</t>
  </si>
  <si>
    <t>Dameon Pierce</t>
  </si>
  <si>
    <t>Devin Singletary</t>
  </si>
  <si>
    <t>Alex Bachman</t>
  </si>
  <si>
    <t>Noah Brown</t>
  </si>
  <si>
    <t>Jalen Camp</t>
  </si>
  <si>
    <t>Nico Collins</t>
  </si>
  <si>
    <t>Tank Dell</t>
  </si>
  <si>
    <t>Adam Humphries</t>
  </si>
  <si>
    <t>Xavier Hutchinson</t>
  </si>
  <si>
    <t>Johnny Johnson III</t>
  </si>
  <si>
    <t>Jesse Matthews</t>
  </si>
  <si>
    <t>San Diego State</t>
  </si>
  <si>
    <t>John Metchie III</t>
  </si>
  <si>
    <t>Steven Sims</t>
  </si>
  <si>
    <t>Jared Wayne</t>
  </si>
  <si>
    <t>Robert Woods</t>
  </si>
  <si>
    <t>Brevin Jordan</t>
  </si>
  <si>
    <t>Dalton Keene</t>
  </si>
  <si>
    <t>Jordan Murray</t>
  </si>
  <si>
    <t>Hawai'i'</t>
  </si>
  <si>
    <t>Teagan Quitoriano</t>
  </si>
  <si>
    <t>Mason Schreck</t>
  </si>
  <si>
    <t>Buffalo</t>
  </si>
  <si>
    <t>Dalton Schultz</t>
  </si>
  <si>
    <t>Eric Tomlinson</t>
  </si>
  <si>
    <t>Nick Vannett</t>
  </si>
  <si>
    <t>M.Ryan</t>
  </si>
  <si>
    <t>IND</t>
  </si>
  <si>
    <t>N.Foles</t>
  </si>
  <si>
    <t>S.Ehlinger</t>
  </si>
  <si>
    <t>J.Taylor</t>
  </si>
  <si>
    <t>J.Wilkins</t>
  </si>
  <si>
    <t>P.Lindsay</t>
  </si>
  <si>
    <t>J.Woods</t>
  </si>
  <si>
    <t>K.Granson</t>
  </si>
  <si>
    <t>M.Alie-Cox</t>
  </si>
  <si>
    <t>A.Dulin</t>
  </si>
  <si>
    <t>A.Pierce</t>
  </si>
  <si>
    <t>D.Patmon</t>
  </si>
  <si>
    <t>K.Coutee</t>
  </si>
  <si>
    <t>M.Pittman</t>
  </si>
  <si>
    <t>M.Strachan</t>
  </si>
  <si>
    <t>P.Campbell</t>
  </si>
  <si>
    <t>Sam Ehlinger</t>
  </si>
  <si>
    <t>Gardner Minshew</t>
  </si>
  <si>
    <t>Anthony Richardson</t>
  </si>
  <si>
    <t>Kenyan Drake</t>
  </si>
  <si>
    <t>Jake Funk</t>
  </si>
  <si>
    <t>Evan Hull</t>
  </si>
  <si>
    <t>Jason Huntley</t>
  </si>
  <si>
    <t>New Mexico State</t>
  </si>
  <si>
    <t>Deon Jackson</t>
  </si>
  <si>
    <t>Zack Moss</t>
  </si>
  <si>
    <t>Jonathan Taylor</t>
  </si>
  <si>
    <t>Tyler Adams</t>
  </si>
  <si>
    <t>Butler</t>
  </si>
  <si>
    <t>Kody Case</t>
  </si>
  <si>
    <t>Josh Downs</t>
  </si>
  <si>
    <t>Ashton Dulin</t>
  </si>
  <si>
    <t>Malone</t>
  </si>
  <si>
    <t>Isaiah McKenzie</t>
  </si>
  <si>
    <t>Breshad Perriman</t>
  </si>
  <si>
    <t>Alec Pierce</t>
  </si>
  <si>
    <t>Michael Pittman Jr.</t>
  </si>
  <si>
    <t>Amari Rodgers</t>
  </si>
  <si>
    <t>Vyncint Smith</t>
  </si>
  <si>
    <t>Limestone</t>
  </si>
  <si>
    <t>Mike Strachan</t>
  </si>
  <si>
    <t>University of Charleston (WV)</t>
  </si>
  <si>
    <t>Malik Turner</t>
  </si>
  <si>
    <t>Juwann Winfree</t>
  </si>
  <si>
    <t>Mo Alie-Cox</t>
  </si>
  <si>
    <t>VCU</t>
  </si>
  <si>
    <t>Pharaoh Brown</t>
  </si>
  <si>
    <t>Nick Eubanks</t>
  </si>
  <si>
    <t>Kylen Granson</t>
  </si>
  <si>
    <t>Michael Jacobson</t>
  </si>
  <si>
    <t>Will Mallory</t>
  </si>
  <si>
    <t>Andrew Ogletree</t>
  </si>
  <si>
    <t>Ricky Seals-Jones</t>
  </si>
  <si>
    <t>Jelani Woods</t>
  </si>
  <si>
    <t>C.Beathard</t>
  </si>
  <si>
    <t>JAX</t>
  </si>
  <si>
    <t>T.Lawrence</t>
  </si>
  <si>
    <t>J.Hasty</t>
  </si>
  <si>
    <t>J.Robinson</t>
  </si>
  <si>
    <t>S.Conner</t>
  </si>
  <si>
    <t>T.Etienne</t>
  </si>
  <si>
    <t>C.Manhertz</t>
  </si>
  <si>
    <t>D.Arnold</t>
  </si>
  <si>
    <t>E.Engram</t>
  </si>
  <si>
    <t>L.Farrell</t>
  </si>
  <si>
    <t>C.Kirk</t>
  </si>
  <si>
    <t>J.Agnew</t>
  </si>
  <si>
    <t>M.Jones</t>
  </si>
  <si>
    <t>T.Jones</t>
  </si>
  <si>
    <t>Z.Jones</t>
  </si>
  <si>
    <t>C.J. Beathard</t>
  </si>
  <si>
    <t>Trevor Lawrence</t>
  </si>
  <si>
    <t>Nathan Rourke</t>
  </si>
  <si>
    <t>Ohio</t>
  </si>
  <si>
    <t>Tank Bigsby</t>
  </si>
  <si>
    <t>Snoop Conner</t>
  </si>
  <si>
    <t>Travis Etienne Jr.</t>
  </si>
  <si>
    <t>JaMycal Hasty</t>
  </si>
  <si>
    <t>D'Ernest Johnson</t>
  </si>
  <si>
    <t>Qadree Ollison</t>
  </si>
  <si>
    <t>Jamal Agnew</t>
  </si>
  <si>
    <t>Kevin Austin Jr.</t>
  </si>
  <si>
    <t>Elijah Cooks</t>
  </si>
  <si>
    <t>San Jose State</t>
  </si>
  <si>
    <t>Jacob Harris</t>
  </si>
  <si>
    <t>Jaray Jenkins</t>
  </si>
  <si>
    <t>Tim Jones</t>
  </si>
  <si>
    <t>Southern Miss</t>
  </si>
  <si>
    <t>Zay Jones</t>
  </si>
  <si>
    <t>Christian Kirk</t>
  </si>
  <si>
    <t>Oliver Martin</t>
  </si>
  <si>
    <t>Kendric Pryor</t>
  </si>
  <si>
    <t>Calvin Ridley</t>
  </si>
  <si>
    <t>Parker Washington</t>
  </si>
  <si>
    <t>Seth Williams</t>
  </si>
  <si>
    <t>Evan Engram</t>
  </si>
  <si>
    <t>Luke Farrell</t>
  </si>
  <si>
    <t>Josh Pederson</t>
  </si>
  <si>
    <t>Louisiana-Monroe</t>
  </si>
  <si>
    <t>Gerrit Prince</t>
  </si>
  <si>
    <t>Sammis Reyes</t>
  </si>
  <si>
    <t>Loyola New Orleans</t>
  </si>
  <si>
    <t>Brenton Strange</t>
  </si>
  <si>
    <t>Leonard Taylor</t>
  </si>
  <si>
    <t>M.Burton</t>
  </si>
  <si>
    <t>KC</t>
  </si>
  <si>
    <t>C.Henne</t>
  </si>
  <si>
    <t>P.Mahomes</t>
  </si>
  <si>
    <t>C.Edwards-Helaire</t>
  </si>
  <si>
    <t>I.Pacheco</t>
  </si>
  <si>
    <t>J.McKinnon</t>
  </si>
  <si>
    <t>R.Jones</t>
  </si>
  <si>
    <t>B.Bell</t>
  </si>
  <si>
    <t>J.Fortson</t>
  </si>
  <si>
    <t>N.Gray</t>
  </si>
  <si>
    <t>T.Kelce</t>
  </si>
  <si>
    <t>J.Smith-Schuster</t>
  </si>
  <si>
    <t>J.Watson</t>
  </si>
  <si>
    <t>K.Toney</t>
  </si>
  <si>
    <t>M.Hardman</t>
  </si>
  <si>
    <t>M.Valdes-Scantling</t>
  </si>
  <si>
    <t>S.Moore</t>
  </si>
  <si>
    <t>Shane Buechele</t>
  </si>
  <si>
    <t>Blaine Gabbert</t>
  </si>
  <si>
    <t>Patrick Mahomes</t>
  </si>
  <si>
    <t>Chris Oladokun</t>
  </si>
  <si>
    <t>Clyde Edwards-Helaire</t>
  </si>
  <si>
    <t>Jerick McKinnon</t>
  </si>
  <si>
    <t>Georgia Southern</t>
  </si>
  <si>
    <t>Isiah Pacheco</t>
  </si>
  <si>
    <t>La'Mical Perine</t>
  </si>
  <si>
    <t>Deneric Prince</t>
  </si>
  <si>
    <t>Tulsa</t>
  </si>
  <si>
    <t>Kekoa Crawford</t>
  </si>
  <si>
    <t>Jerrion Ealy</t>
  </si>
  <si>
    <t>Ty Fryfogle</t>
  </si>
  <si>
    <t>Richie James</t>
  </si>
  <si>
    <t>Skyy Moore</t>
  </si>
  <si>
    <t>Cornell Powell</t>
  </si>
  <si>
    <t>Nikko Remigio</t>
  </si>
  <si>
    <t>Rashee Rice</t>
  </si>
  <si>
    <t>Justyn Ross</t>
  </si>
  <si>
    <t>Ty Scott</t>
  </si>
  <si>
    <t>Missouri State</t>
  </si>
  <si>
    <t>Ihmir Smith-Marsette</t>
  </si>
  <si>
    <t>Kadarius Toney</t>
  </si>
  <si>
    <t>Marquez Valdes-Scantling</t>
  </si>
  <si>
    <t>Justin Watson</t>
  </si>
  <si>
    <t>Pennsylvania</t>
  </si>
  <si>
    <t>Blake Bell</t>
  </si>
  <si>
    <t>Kendall Blanton</t>
  </si>
  <si>
    <t>Matt Bushman</t>
  </si>
  <si>
    <t>Jody Fortson</t>
  </si>
  <si>
    <t>Valdosta State</t>
  </si>
  <si>
    <t>Izaiah Gathings</t>
  </si>
  <si>
    <t>Noah Gray</t>
  </si>
  <si>
    <t>Travis Kelce</t>
  </si>
  <si>
    <t>C.Daniel</t>
  </si>
  <si>
    <t>LAC</t>
  </si>
  <si>
    <t>J.Herbert</t>
  </si>
  <si>
    <t>A.Ekeler</t>
  </si>
  <si>
    <t>I.Spiller</t>
  </si>
  <si>
    <t>J.Kelley</t>
  </si>
  <si>
    <t>L.Rountree</t>
  </si>
  <si>
    <t>S.Michel</t>
  </si>
  <si>
    <t>Z.Horvath</t>
  </si>
  <si>
    <t>D.Parham</t>
  </si>
  <si>
    <t>G.Everett</t>
  </si>
  <si>
    <t>R.Rodgers</t>
  </si>
  <si>
    <t>S.Smartt</t>
  </si>
  <si>
    <t>T.McKitty</t>
  </si>
  <si>
    <t>D.Carter</t>
  </si>
  <si>
    <t>J.Guyton</t>
  </si>
  <si>
    <t>J.Moore</t>
  </si>
  <si>
    <t>J.Palmer</t>
  </si>
  <si>
    <t>M.Bandy</t>
  </si>
  <si>
    <t>Max Duggan</t>
  </si>
  <si>
    <t>Justin Herbert</t>
  </si>
  <si>
    <t>Easton Stick</t>
  </si>
  <si>
    <t>Elijah Dotson</t>
  </si>
  <si>
    <t>Northern Colorado</t>
  </si>
  <si>
    <t>Austin Ekeler</t>
  </si>
  <si>
    <t>Western State</t>
  </si>
  <si>
    <t>Tyler Hoosman</t>
  </si>
  <si>
    <t>North Dakota</t>
  </si>
  <si>
    <t>Joshua Kelley</t>
  </si>
  <si>
    <t>Aaron Shampklin</t>
  </si>
  <si>
    <t>Harvard</t>
  </si>
  <si>
    <t>Isaiah Spiller</t>
  </si>
  <si>
    <t>Keenan Allen</t>
  </si>
  <si>
    <t>Terrell Bynum</t>
  </si>
  <si>
    <t>Derius Davis</t>
  </si>
  <si>
    <t>Keelan Doss</t>
  </si>
  <si>
    <t>UC Davis</t>
  </si>
  <si>
    <t>Jalen Guyton</t>
  </si>
  <si>
    <t>John Hightower</t>
  </si>
  <si>
    <t>Quentin Johnston</t>
  </si>
  <si>
    <t>Joshua Palmer</t>
  </si>
  <si>
    <t>Darrius Shepherd</t>
  </si>
  <si>
    <t>Mike Williams</t>
  </si>
  <si>
    <t>Pokey Wilson</t>
  </si>
  <si>
    <t>Florida State</t>
  </si>
  <si>
    <t>Milton Wright</t>
  </si>
  <si>
    <t>Gerald Everett</t>
  </si>
  <si>
    <t>Michael Ezeike</t>
  </si>
  <si>
    <t>Hunter Kampmoyer</t>
  </si>
  <si>
    <t>Tre' McKitty</t>
  </si>
  <si>
    <t>Donald Parham Jr.</t>
  </si>
  <si>
    <t>Stetson</t>
  </si>
  <si>
    <t>Stone Smartt</t>
  </si>
  <si>
    <t>LAR</t>
  </si>
  <si>
    <t>B.Perkins</t>
  </si>
  <si>
    <t>J.Wolford</t>
  </si>
  <si>
    <t>M.Stafford</t>
  </si>
  <si>
    <t>C.Akers</t>
  </si>
  <si>
    <t>D.Henderson</t>
  </si>
  <si>
    <t>K.Williams</t>
  </si>
  <si>
    <t>R.Rivers</t>
  </si>
  <si>
    <t>B.Hopkins</t>
  </si>
  <si>
    <t>K.Blanton</t>
  </si>
  <si>
    <t>T.Higbee</t>
  </si>
  <si>
    <t>A.Robinson</t>
  </si>
  <si>
    <t>A.Trammell</t>
  </si>
  <si>
    <t>B.Powell</t>
  </si>
  <si>
    <t>B.Skowronek</t>
  </si>
  <si>
    <t>C.Kupp</t>
  </si>
  <si>
    <t>J.Harris</t>
  </si>
  <si>
    <t>L.McCutcheon</t>
  </si>
  <si>
    <t>T.Atwell</t>
  </si>
  <si>
    <t>V.Jefferson</t>
  </si>
  <si>
    <t>Stetson Bennett</t>
  </si>
  <si>
    <t>Brett Rypien</t>
  </si>
  <si>
    <t>Matthew Stafford</t>
  </si>
  <si>
    <t>Dresser Winn</t>
  </si>
  <si>
    <t>UT Martin</t>
  </si>
  <si>
    <t>Cam Akers</t>
  </si>
  <si>
    <t>Zach Evans</t>
  </si>
  <si>
    <t>Royce Freeman</t>
  </si>
  <si>
    <t>Ronnie Rivers</t>
  </si>
  <si>
    <t>Kyren Williams</t>
  </si>
  <si>
    <t>Tutu Atwell</t>
  </si>
  <si>
    <t>Braxton Burmeister</t>
  </si>
  <si>
    <t>Tyler Hudson</t>
  </si>
  <si>
    <t>Van Jefferson</t>
  </si>
  <si>
    <t>Tyler Johnson</t>
  </si>
  <si>
    <t>Cooper Kupp</t>
  </si>
  <si>
    <t>Lance McCutcheon</t>
  </si>
  <si>
    <t>Montana State</t>
  </si>
  <si>
    <t>Puka Nacua</t>
  </si>
  <si>
    <t>Demarcus Robinson</t>
  </si>
  <si>
    <t>Ben Skowronek</t>
  </si>
  <si>
    <t>Xavier Smith</t>
  </si>
  <si>
    <t>Florida A&amp;M</t>
  </si>
  <si>
    <t>Austin Trammell</t>
  </si>
  <si>
    <t>Rice</t>
  </si>
  <si>
    <t>Davis Allen</t>
  </si>
  <si>
    <t>Tyler Higbee</t>
  </si>
  <si>
    <t>Western Kentucky</t>
  </si>
  <si>
    <t>Brycen Hopkins</t>
  </si>
  <si>
    <t>Nikola Kalinic</t>
  </si>
  <si>
    <t>Hunter Long</t>
  </si>
  <si>
    <t>Camren McDonald</t>
  </si>
  <si>
    <t>Christian Sims</t>
  </si>
  <si>
    <t>J.Johnson</t>
  </si>
  <si>
    <t>LV</t>
  </si>
  <si>
    <t>D.Carr</t>
  </si>
  <si>
    <t>J.Stidham</t>
  </si>
  <si>
    <t>A.Abdullah</t>
  </si>
  <si>
    <t>B.Bolden</t>
  </si>
  <si>
    <t>J.Jacobs</t>
  </si>
  <si>
    <t>Z.White</t>
  </si>
  <si>
    <t>D.Waller</t>
  </si>
  <si>
    <t>F.Moreau</t>
  </si>
  <si>
    <t>J.Horsted</t>
  </si>
  <si>
    <t>D.Adams</t>
  </si>
  <si>
    <t>D.Turner</t>
  </si>
  <si>
    <t>H.Renfrow</t>
  </si>
  <si>
    <t>K.Cole</t>
  </si>
  <si>
    <t>M.Hollins</t>
  </si>
  <si>
    <t>Chase Garbers</t>
  </si>
  <si>
    <t>Jimmy Garoppolo</t>
  </si>
  <si>
    <t>Eastern Illinois</t>
  </si>
  <si>
    <t>Brian Hoyer</t>
  </si>
  <si>
    <t>Aidan O'Connell</t>
  </si>
  <si>
    <t>Ameer Abdullah</t>
  </si>
  <si>
    <t>Brandon Bolden</t>
  </si>
  <si>
    <t>Brittain Brown</t>
  </si>
  <si>
    <t>Josh Jacobs</t>
  </si>
  <si>
    <t>Sincere McCormick</t>
  </si>
  <si>
    <t>UTSA</t>
  </si>
  <si>
    <t>Darwin Thompson</t>
  </si>
  <si>
    <t>Austin Walter</t>
  </si>
  <si>
    <t>Zamir White</t>
  </si>
  <si>
    <t>Damien Williams</t>
  </si>
  <si>
    <t>Davante Adams</t>
  </si>
  <si>
    <t>DeAndre Carter</t>
  </si>
  <si>
    <t>Sacramento State</t>
  </si>
  <si>
    <t>Keelan Cole Sr.</t>
  </si>
  <si>
    <t>Kentucky Wesleyan</t>
  </si>
  <si>
    <t>Phillip Dorsett</t>
  </si>
  <si>
    <t>Chris Lacy</t>
  </si>
  <si>
    <t>Jakobi Meyers</t>
  </si>
  <si>
    <t>NC State</t>
  </si>
  <si>
    <t>Hunter Renfrow</t>
  </si>
  <si>
    <t>Cam Sims</t>
  </si>
  <si>
    <t>Tre Tucker</t>
  </si>
  <si>
    <t>Kristian Wilkerson</t>
  </si>
  <si>
    <t>Southeast Missouri State</t>
  </si>
  <si>
    <t>Isaiah Zuber</t>
  </si>
  <si>
    <t>Cole Fotheringham</t>
  </si>
  <si>
    <t>Jacob Hollister</t>
  </si>
  <si>
    <t>Austin Hooper</t>
  </si>
  <si>
    <t>Jesper Horsted</t>
  </si>
  <si>
    <t>Michael Mayer</t>
  </si>
  <si>
    <t>John Samuel Shenker</t>
  </si>
  <si>
    <t>A.Ingold</t>
  </si>
  <si>
    <t>MIA</t>
  </si>
  <si>
    <t>S.Thompson</t>
  </si>
  <si>
    <t>T.Bridgewater</t>
  </si>
  <si>
    <t>T.Tagovailoa</t>
  </si>
  <si>
    <t>J.Wilson</t>
  </si>
  <si>
    <t>M.Gaskin</t>
  </si>
  <si>
    <t>R.Mostert</t>
  </si>
  <si>
    <t>S.Ahmed</t>
  </si>
  <si>
    <t>D.Smythe</t>
  </si>
  <si>
    <t>M.Gesicki</t>
  </si>
  <si>
    <t>B.Sanders</t>
  </si>
  <si>
    <t>C.Wilson</t>
  </si>
  <si>
    <t>E.Ezukanma</t>
  </si>
  <si>
    <t>J.Waddle</t>
  </si>
  <si>
    <t>R.Cracraft</t>
  </si>
  <si>
    <t>T.Conner</t>
  </si>
  <si>
    <t>T.Hill</t>
  </si>
  <si>
    <t>T.Sherfield</t>
  </si>
  <si>
    <t>Tua Tagovailoa</t>
  </si>
  <si>
    <t>Skylar Thompson</t>
  </si>
  <si>
    <t>Mike White</t>
  </si>
  <si>
    <t>De'Von Achane</t>
  </si>
  <si>
    <t>Salvon Ahmed</t>
  </si>
  <si>
    <t>Chris Brooks</t>
  </si>
  <si>
    <t>Myles Gaskin</t>
  </si>
  <si>
    <t>Raheem Mostert</t>
  </si>
  <si>
    <t>Jeff Wilson Jr.</t>
  </si>
  <si>
    <t>Braxton Berrios</t>
  </si>
  <si>
    <t>Robbie Chosen</t>
  </si>
  <si>
    <t>Chris Coleman</t>
  </si>
  <si>
    <t>Keke Coutee</t>
  </si>
  <si>
    <t>River Cracraft</t>
  </si>
  <si>
    <t>Daewood Davis</t>
  </si>
  <si>
    <t>Erik Ezukanma</t>
  </si>
  <si>
    <t>Tyreek Hill</t>
  </si>
  <si>
    <t>West Alabama</t>
  </si>
  <si>
    <t>Braylon Sanders</t>
  </si>
  <si>
    <t>Jaylen Waddle</t>
  </si>
  <si>
    <t>Cedrick Wilson Jr.</t>
  </si>
  <si>
    <t>Tanner Conner</t>
  </si>
  <si>
    <t>Idaho State</t>
  </si>
  <si>
    <t>Elijah Higgins</t>
  </si>
  <si>
    <t>Julian Hill</t>
  </si>
  <si>
    <t>Campbell</t>
  </si>
  <si>
    <t>Tyler Kroft</t>
  </si>
  <si>
    <t>Eric Saubert</t>
  </si>
  <si>
    <t>Drake</t>
  </si>
  <si>
    <t>Durham Smythe</t>
  </si>
  <si>
    <t>C.Ham</t>
  </si>
  <si>
    <t>MIN</t>
  </si>
  <si>
    <t>K.Cousins</t>
  </si>
  <si>
    <t>N.Mullens</t>
  </si>
  <si>
    <t>A.Mattison</t>
  </si>
  <si>
    <t>D.Cook</t>
  </si>
  <si>
    <t>K.Nwangwu</t>
  </si>
  <si>
    <t>T.Chandler</t>
  </si>
  <si>
    <t>B.Ellefson</t>
  </si>
  <si>
    <t>I.Smith</t>
  </si>
  <si>
    <t>J.Mundt</t>
  </si>
  <si>
    <t>A.Thielen</t>
  </si>
  <si>
    <t>J.Jefferson</t>
  </si>
  <si>
    <t>J.Nailor</t>
  </si>
  <si>
    <t>J.Reagor</t>
  </si>
  <si>
    <t>K.Osborn</t>
  </si>
  <si>
    <t>Kirk Cousins</t>
  </si>
  <si>
    <t>Jaren Hall</t>
  </si>
  <si>
    <t>Nick Mullens</t>
  </si>
  <si>
    <t>Ty Chandler</t>
  </si>
  <si>
    <t>Aaron Dykes</t>
  </si>
  <si>
    <t>Richmond</t>
  </si>
  <si>
    <t>Alexander Mattison</t>
  </si>
  <si>
    <t>DeWayne McBride</t>
  </si>
  <si>
    <t>Kene Nwangwu</t>
  </si>
  <si>
    <t>Abram Smith</t>
  </si>
  <si>
    <t>Jordan Addison</t>
  </si>
  <si>
    <t>Jacob Copeland</t>
  </si>
  <si>
    <t>N'Keal Harry</t>
  </si>
  <si>
    <t>Lucky Jackson</t>
  </si>
  <si>
    <t>Trishton Jackson</t>
  </si>
  <si>
    <t>Syracuse</t>
  </si>
  <si>
    <t>Justin Jefferson</t>
  </si>
  <si>
    <t>Garett Maag</t>
  </si>
  <si>
    <t>Jalen Nailor</t>
  </si>
  <si>
    <t>K.J. Osborn</t>
  </si>
  <si>
    <t>Brandon Powell</t>
  </si>
  <si>
    <t>Blake Proehl</t>
  </si>
  <si>
    <t>Jalen Reagor</t>
  </si>
  <si>
    <t>Thayer Thomas</t>
  </si>
  <si>
    <t>T.J. Hockenson</t>
  </si>
  <si>
    <t>Johnny Mundt</t>
  </si>
  <si>
    <t>Nick Muse</t>
  </si>
  <si>
    <t>Josh Oliver</t>
  </si>
  <si>
    <t>Ben Sims</t>
  </si>
  <si>
    <t>Colin Thompson</t>
  </si>
  <si>
    <t>B.Hoyer</t>
  </si>
  <si>
    <t>NE</t>
  </si>
  <si>
    <t>B.Zappe</t>
  </si>
  <si>
    <t>D.Harris</t>
  </si>
  <si>
    <t>K.Harris</t>
  </si>
  <si>
    <t>P.Strong</t>
  </si>
  <si>
    <t>R.Stevenson</t>
  </si>
  <si>
    <t>H.Henry</t>
  </si>
  <si>
    <t>J.Smith</t>
  </si>
  <si>
    <t>D.Parker</t>
  </si>
  <si>
    <t>J.Meyers</t>
  </si>
  <si>
    <t>K.Bourne</t>
  </si>
  <si>
    <t>L.Humphrey</t>
  </si>
  <si>
    <t>N.Agholor</t>
  </si>
  <si>
    <t>T.Montgomery</t>
  </si>
  <si>
    <t>T.Thornton</t>
  </si>
  <si>
    <t>Malik Cunningham</t>
  </si>
  <si>
    <t>Mac Jones</t>
  </si>
  <si>
    <t>Trace McSorley</t>
  </si>
  <si>
    <t>Bailey Zappe</t>
  </si>
  <si>
    <t>Ezekiel Elliott</t>
  </si>
  <si>
    <t>Kevin Harris</t>
  </si>
  <si>
    <t>CJ Marable</t>
  </si>
  <si>
    <t>Rhamondre Stevenson</t>
  </si>
  <si>
    <t>Pierre Strong Jr.</t>
  </si>
  <si>
    <t>J.J. Taylor</t>
  </si>
  <si>
    <t>Arizona</t>
  </si>
  <si>
    <t>Kendrick Bourne</t>
  </si>
  <si>
    <t>Kayshon Boutte</t>
  </si>
  <si>
    <t>Demario Douglas</t>
  </si>
  <si>
    <t>Liberty</t>
  </si>
  <si>
    <t>Jalen Hurd</t>
  </si>
  <si>
    <t>Ty Montgomery II</t>
  </si>
  <si>
    <t>Tre Nixon</t>
  </si>
  <si>
    <t>DeVante Parker</t>
  </si>
  <si>
    <t>Thyrick Pitts</t>
  </si>
  <si>
    <t>Delaware</t>
  </si>
  <si>
    <t>Matthew Slater</t>
  </si>
  <si>
    <t>JuJu Smith-Schuster</t>
  </si>
  <si>
    <t>Tyquan Thornton</t>
  </si>
  <si>
    <t>Raleigh Webb</t>
  </si>
  <si>
    <t>Citadel</t>
  </si>
  <si>
    <t>Anthony Firkser</t>
  </si>
  <si>
    <t>Mike Gesicki</t>
  </si>
  <si>
    <t>Hunter Henry</t>
  </si>
  <si>
    <t>Johnny Lumpkin</t>
  </si>
  <si>
    <t>Matt Sokol</t>
  </si>
  <si>
    <t>Scotty Washington</t>
  </si>
  <si>
    <t>A.Prentice</t>
  </si>
  <si>
    <t>NO</t>
  </si>
  <si>
    <t>A.Dalton</t>
  </si>
  <si>
    <t>J.Winston</t>
  </si>
  <si>
    <t>A.Kamara</t>
  </si>
  <si>
    <t>D.Washington</t>
  </si>
  <si>
    <t>J.Howard</t>
  </si>
  <si>
    <t>M.Ingram</t>
  </si>
  <si>
    <t>A.Trautman</t>
  </si>
  <si>
    <t>N.Vannett</t>
  </si>
  <si>
    <t>C.Olave</t>
  </si>
  <si>
    <t>D.Harty</t>
  </si>
  <si>
    <t>J.Landry</t>
  </si>
  <si>
    <t>K.Kirkwood</t>
  </si>
  <si>
    <t>K.White</t>
  </si>
  <si>
    <t>M.Callaway</t>
  </si>
  <si>
    <t>R.Shaheed</t>
  </si>
  <si>
    <t>T.Smith</t>
  </si>
  <si>
    <t>Derek Carr</t>
  </si>
  <si>
    <t>Jake Haener</t>
  </si>
  <si>
    <t>Jameis Winston</t>
  </si>
  <si>
    <t>Jake Bargas</t>
  </si>
  <si>
    <t>Eno Benjamin</t>
  </si>
  <si>
    <t>Alvin Kamara</t>
  </si>
  <si>
    <t>Ellis Merriweather</t>
  </si>
  <si>
    <t>Kendre Miller</t>
  </si>
  <si>
    <t>Darrel Williams</t>
  </si>
  <si>
    <t>Jamaal Williams</t>
  </si>
  <si>
    <t>Kawaan Baker</t>
  </si>
  <si>
    <t>Lynn Bowden</t>
  </si>
  <si>
    <t>Shaquan Davis</t>
  </si>
  <si>
    <t>South Carolina State</t>
  </si>
  <si>
    <t>Bryan Edwards</t>
  </si>
  <si>
    <t>Jontre Kirklin</t>
  </si>
  <si>
    <t>Keith Kirkwood</t>
  </si>
  <si>
    <t>Kirk Merritt</t>
  </si>
  <si>
    <t>Arkansas State</t>
  </si>
  <si>
    <t>Chris Olave</t>
  </si>
  <si>
    <t>A.T. Perry</t>
  </si>
  <si>
    <t>Rashid Shaheed</t>
  </si>
  <si>
    <t>Weber State</t>
  </si>
  <si>
    <t>Tre'Quan Smith</t>
  </si>
  <si>
    <t>Michael Thomas</t>
  </si>
  <si>
    <t>Jimmy Graham</t>
  </si>
  <si>
    <t>Taysom Hill</t>
  </si>
  <si>
    <t>J.P. Holtz</t>
  </si>
  <si>
    <t>Jesse James</t>
  </si>
  <si>
    <t>Juwan Johnson</t>
  </si>
  <si>
    <t>Lucas Krull</t>
  </si>
  <si>
    <t>Foster Moreau</t>
  </si>
  <si>
    <t>D.Jones</t>
  </si>
  <si>
    <t>NYG</t>
  </si>
  <si>
    <t>D.Webb</t>
  </si>
  <si>
    <t>G.Brightwell</t>
  </si>
  <si>
    <t>M.Breida</t>
  </si>
  <si>
    <t>S.Barkley</t>
  </si>
  <si>
    <t>C.Myarick</t>
  </si>
  <si>
    <t>D.Bellinger</t>
  </si>
  <si>
    <t>L.Cager</t>
  </si>
  <si>
    <t>T.Hudson</t>
  </si>
  <si>
    <t>D.Sills</t>
  </si>
  <si>
    <t>D.Slayton</t>
  </si>
  <si>
    <t>K.Golladay</t>
  </si>
  <si>
    <t>M.Johnson</t>
  </si>
  <si>
    <t>R.James</t>
  </si>
  <si>
    <t>S.Shepard</t>
  </si>
  <si>
    <t>W.Robinson</t>
  </si>
  <si>
    <t>Tommy DeVito</t>
  </si>
  <si>
    <t>Daniel Jones</t>
  </si>
  <si>
    <t>Tyrod Taylor</t>
  </si>
  <si>
    <t>Saquon Barkley</t>
  </si>
  <si>
    <t>Matt Breida</t>
  </si>
  <si>
    <t>Gary Brightwell</t>
  </si>
  <si>
    <t>Jashaun Corbin</t>
  </si>
  <si>
    <t>Eric Gray</t>
  </si>
  <si>
    <t>James Robinson</t>
  </si>
  <si>
    <t>Illinois State</t>
  </si>
  <si>
    <t>Cole Beasley</t>
  </si>
  <si>
    <t>Parris Campbell</t>
  </si>
  <si>
    <t>Jamison Crowder</t>
  </si>
  <si>
    <t>Bryce Ford-Wheaton</t>
  </si>
  <si>
    <t>Isaiah Hodgins</t>
  </si>
  <si>
    <t>Jalin Hyatt</t>
  </si>
  <si>
    <t>Collin Johnson</t>
  </si>
  <si>
    <t>Jaydon Mickens</t>
  </si>
  <si>
    <t>Kalil Pimpleton</t>
  </si>
  <si>
    <t>Wan'Dale Robinson</t>
  </si>
  <si>
    <t>Sterling Shepard</t>
  </si>
  <si>
    <t>David Sills V</t>
  </si>
  <si>
    <t>Darius Slayton</t>
  </si>
  <si>
    <t>Daniel Bellinger</t>
  </si>
  <si>
    <t>Lawrence Cager</t>
  </si>
  <si>
    <t>Ryan Jones</t>
  </si>
  <si>
    <t>Tommy Sweeney</t>
  </si>
  <si>
    <t>Darren Waller</t>
  </si>
  <si>
    <t>C.Streveler</t>
  </si>
  <si>
    <t>NYJ</t>
  </si>
  <si>
    <t>J.Flacco</t>
  </si>
  <si>
    <t>M.White</t>
  </si>
  <si>
    <t>Z.Wilson</t>
  </si>
  <si>
    <t>B.Hall</t>
  </si>
  <si>
    <t>M.Carter</t>
  </si>
  <si>
    <t>Z.Knight</t>
  </si>
  <si>
    <t>C.Uzomah</t>
  </si>
  <si>
    <t>J.Ruckert</t>
  </si>
  <si>
    <t>T.Conklin</t>
  </si>
  <si>
    <t>B.Berrios</t>
  </si>
  <si>
    <t>C.Davis</t>
  </si>
  <si>
    <t>D.Mims</t>
  </si>
  <si>
    <t>E.Moore</t>
  </si>
  <si>
    <t>G.Wilson</t>
  </si>
  <si>
    <t>Tim Boyle</t>
  </si>
  <si>
    <t>Eastern Kentucky</t>
  </si>
  <si>
    <t>Aaron Rodgers</t>
  </si>
  <si>
    <t>Zach Wilson</t>
  </si>
  <si>
    <t>Israel Abanikanda</t>
  </si>
  <si>
    <t>Michael Carter</t>
  </si>
  <si>
    <t>Dalvin Cook</t>
  </si>
  <si>
    <t>Travis Dye</t>
  </si>
  <si>
    <t>Breece Hall</t>
  </si>
  <si>
    <t>Zonovan Knight</t>
  </si>
  <si>
    <t>Jason Brownlee</t>
  </si>
  <si>
    <t>Irvin Charles</t>
  </si>
  <si>
    <t>Indiana-Pennsylvania</t>
  </si>
  <si>
    <t>Randall Cobb</t>
  </si>
  <si>
    <t>Corey Davis</t>
  </si>
  <si>
    <t>Alex Erickson</t>
  </si>
  <si>
    <t>Xavier Gipson</t>
  </si>
  <si>
    <t>Stephen F. Austin</t>
  </si>
  <si>
    <t>Mecole Hardman Jr.</t>
  </si>
  <si>
    <t>Jerome Kapp</t>
  </si>
  <si>
    <t>Allen Lazard</t>
  </si>
  <si>
    <t>T.J. Luther</t>
  </si>
  <si>
    <t>Gardner-Webb</t>
  </si>
  <si>
    <t>Malik Taylor</t>
  </si>
  <si>
    <t>Ferris State</t>
  </si>
  <si>
    <t>Garrett Wilson</t>
  </si>
  <si>
    <t>Tyler Conklin</t>
  </si>
  <si>
    <t>E.J. Jenkins</t>
  </si>
  <si>
    <t>Zack Kuntz</t>
  </si>
  <si>
    <t>Jeremy Ruckert</t>
  </si>
  <si>
    <t>C.J. Uzomah</t>
  </si>
  <si>
    <t>Kenny Yeboah</t>
  </si>
  <si>
    <t>G.Minshew</t>
  </si>
  <si>
    <t>PHI</t>
  </si>
  <si>
    <t>J.Hurts</t>
  </si>
  <si>
    <t>B.Scott</t>
  </si>
  <si>
    <t>K.Gainwell</t>
  </si>
  <si>
    <t>M.Sanders</t>
  </si>
  <si>
    <t>T.Sermon</t>
  </si>
  <si>
    <t>D.Goedert</t>
  </si>
  <si>
    <t>G.Calcaterra</t>
  </si>
  <si>
    <t>J.Stoll</t>
  </si>
  <si>
    <t>N.Togiai</t>
  </si>
  <si>
    <t>D.Smith</t>
  </si>
  <si>
    <t>Q.Watkins</t>
  </si>
  <si>
    <t>Z.Pascal</t>
  </si>
  <si>
    <t>Ian Book</t>
  </si>
  <si>
    <t>Jalen Hurts</t>
  </si>
  <si>
    <t>Marcus Mariota</t>
  </si>
  <si>
    <t>Tanner McKee</t>
  </si>
  <si>
    <t>Kennedy Brooks</t>
  </si>
  <si>
    <t>Kenneth Gainwell</t>
  </si>
  <si>
    <t>Rashaad Penny</t>
  </si>
  <si>
    <t>Boston Scott</t>
  </si>
  <si>
    <t>Trey Sermon</t>
  </si>
  <si>
    <t>D'Andre Swift</t>
  </si>
  <si>
    <t>Devon Allen</t>
  </si>
  <si>
    <t>A.J. Brown</t>
  </si>
  <si>
    <t>Deon Cain</t>
  </si>
  <si>
    <t>Tyrie Cleveland</t>
  </si>
  <si>
    <t>Britain Covey</t>
  </si>
  <si>
    <t>Jadon Haselwood</t>
  </si>
  <si>
    <t>Johnny King</t>
  </si>
  <si>
    <t>Joseph Ngata</t>
  </si>
  <si>
    <t>Charleston Rambo</t>
  </si>
  <si>
    <t>DeVonta Smith</t>
  </si>
  <si>
    <t>Greg Ward</t>
  </si>
  <si>
    <t>Quez Watkins</t>
  </si>
  <si>
    <t>Olamide Zaccheaus</t>
  </si>
  <si>
    <t>Dan Arnold</t>
  </si>
  <si>
    <t>Wisconsin- latteville</t>
  </si>
  <si>
    <t>Grant Calcaterra</t>
  </si>
  <si>
    <t>Dallas Goedert</t>
  </si>
  <si>
    <t>Tyree Jackson</t>
  </si>
  <si>
    <t>Brady Russell</t>
  </si>
  <si>
    <t>Jack Stoll</t>
  </si>
  <si>
    <t>D.Watt</t>
  </si>
  <si>
    <t>PIT</t>
  </si>
  <si>
    <t>K.Pickett</t>
  </si>
  <si>
    <t>M.Trubisky</t>
  </si>
  <si>
    <t>A.McFarland</t>
  </si>
  <si>
    <t>B.Snell</t>
  </si>
  <si>
    <t>J.Warren</t>
  </si>
  <si>
    <t>N.Harris</t>
  </si>
  <si>
    <t>C.Heyward</t>
  </si>
  <si>
    <t>P.Freiermuth</t>
  </si>
  <si>
    <t>Z.Gentry</t>
  </si>
  <si>
    <t>C.White</t>
  </si>
  <si>
    <t>G.Olszewski</t>
  </si>
  <si>
    <t>G.Pickens</t>
  </si>
  <si>
    <t>M.Boykin</t>
  </si>
  <si>
    <t>S.Sims</t>
  </si>
  <si>
    <t>Tanner Morgan</t>
  </si>
  <si>
    <t>Kenny Pickett</t>
  </si>
  <si>
    <t>Mason Rudolph</t>
  </si>
  <si>
    <t>Mitch Trubisky</t>
  </si>
  <si>
    <t>Greg Bell</t>
  </si>
  <si>
    <t>Alfonzo Graham</t>
  </si>
  <si>
    <t>Morgan State</t>
  </si>
  <si>
    <t>Darius Hagans</t>
  </si>
  <si>
    <t>Virginia State</t>
  </si>
  <si>
    <t>Najee Harris</t>
  </si>
  <si>
    <t>Anthony McFarland Jr.</t>
  </si>
  <si>
    <t>Xazavian Valladay</t>
  </si>
  <si>
    <t>Jaylen Warren</t>
  </si>
  <si>
    <t>Calvin Austin III</t>
  </si>
  <si>
    <t>Miles Boykin</t>
  </si>
  <si>
    <t>Hakeem Butler</t>
  </si>
  <si>
    <t>Jordan Byrd</t>
  </si>
  <si>
    <t>Dan Chisena</t>
  </si>
  <si>
    <t>Dez Fitzpatrick</t>
  </si>
  <si>
    <t>Diontae Johnson</t>
  </si>
  <si>
    <t>Gunner Olszewski</t>
  </si>
  <si>
    <t>Bemidji State</t>
  </si>
  <si>
    <t>George Pickens</t>
  </si>
  <si>
    <t>Allen Robinson II</t>
  </si>
  <si>
    <t>Cody White</t>
  </si>
  <si>
    <t>Pat Freiermuth</t>
  </si>
  <si>
    <t>Zach Gentry</t>
  </si>
  <si>
    <t>Connor Heyward</t>
  </si>
  <si>
    <t>Darnell Washington</t>
  </si>
  <si>
    <t>Rodney Williams</t>
  </si>
  <si>
    <t>G.Smith</t>
  </si>
  <si>
    <t>SEA</t>
  </si>
  <si>
    <t>D.Dallas</t>
  </si>
  <si>
    <t>G.Igwebuike</t>
  </si>
  <si>
    <t>K.Walker</t>
  </si>
  <si>
    <t>R.Penny</t>
  </si>
  <si>
    <t>T.Homer</t>
  </si>
  <si>
    <t>C.Parkinson</t>
  </si>
  <si>
    <t>N.Fant</t>
  </si>
  <si>
    <t>T.Mabry</t>
  </si>
  <si>
    <t>W.Dissly</t>
  </si>
  <si>
    <t>C.Johnson</t>
  </si>
  <si>
    <t>D.Eskridge</t>
  </si>
  <si>
    <t>D.Metcalf</t>
  </si>
  <si>
    <t>D.Young</t>
  </si>
  <si>
    <t>L.Treadwell</t>
  </si>
  <si>
    <t>M.Goodwin</t>
  </si>
  <si>
    <t>P.Hart</t>
  </si>
  <si>
    <t>T.Lockett</t>
  </si>
  <si>
    <t>Holton Ahlers</t>
  </si>
  <si>
    <t>Drew Lock</t>
  </si>
  <si>
    <t>Geno Smith</t>
  </si>
  <si>
    <t>Zach Charbonnet</t>
  </si>
  <si>
    <t>DeeJay Dallas</t>
  </si>
  <si>
    <t>Bryant Koback</t>
  </si>
  <si>
    <t>Kenny McIntosh</t>
  </si>
  <si>
    <t>Wayne Taulapapa</t>
  </si>
  <si>
    <t>SaRodorick Thompson Jr.</t>
  </si>
  <si>
    <t>Kenneth Walker III</t>
  </si>
  <si>
    <t>Jake Bobo</t>
  </si>
  <si>
    <t>Dee Eskridge</t>
  </si>
  <si>
    <t>John Hall</t>
  </si>
  <si>
    <t>Northwood (MI)</t>
  </si>
  <si>
    <t>Cade Johnson</t>
  </si>
  <si>
    <t>Matt Landers</t>
  </si>
  <si>
    <t>Tyjon Lindsey</t>
  </si>
  <si>
    <t>Tyler Lockett</t>
  </si>
  <si>
    <t>Justin Marshall</t>
  </si>
  <si>
    <t>DK Metcalf</t>
  </si>
  <si>
    <t>Jaxon Smith-Njigba</t>
  </si>
  <si>
    <t>Cody Thompson</t>
  </si>
  <si>
    <t>Easop Winston Jr.</t>
  </si>
  <si>
    <t>Dareke Young</t>
  </si>
  <si>
    <t>Lenoir-Rhyne</t>
  </si>
  <si>
    <t>Will Dissly</t>
  </si>
  <si>
    <t>Noah Fant</t>
  </si>
  <si>
    <t>Griffin Hebert</t>
  </si>
  <si>
    <t>Tyler Mabry</t>
  </si>
  <si>
    <t>Colby Parkinson</t>
  </si>
  <si>
    <t>K.Juszczyk</t>
  </si>
  <si>
    <t>SF</t>
  </si>
  <si>
    <t>B.Purdy</t>
  </si>
  <si>
    <t>J.Garoppolo</t>
  </si>
  <si>
    <t>T.Lance</t>
  </si>
  <si>
    <t>E.Mitchell</t>
  </si>
  <si>
    <t>J.Mason</t>
  </si>
  <si>
    <t>T.Coleman</t>
  </si>
  <si>
    <t>T.Davis-Price</t>
  </si>
  <si>
    <t>C.Woerner</t>
  </si>
  <si>
    <t>G.Kittle</t>
  </si>
  <si>
    <t>R.Dwelley</t>
  </si>
  <si>
    <t>T.Kroft</t>
  </si>
  <si>
    <t>B.Aiyuk</t>
  </si>
  <si>
    <t>D.Gray</t>
  </si>
  <si>
    <t>D.Samuel</t>
  </si>
  <si>
    <t>J.Jennings</t>
  </si>
  <si>
    <t>R.McCloud</t>
  </si>
  <si>
    <t>Brandon Allen</t>
  </si>
  <si>
    <t>Sam Darnold</t>
  </si>
  <si>
    <t>Trey Lance</t>
  </si>
  <si>
    <t>Brock Purdy</t>
  </si>
  <si>
    <t>Tyrion Davis-Price</t>
  </si>
  <si>
    <t>Khalan Laborn</t>
  </si>
  <si>
    <t>Marshall</t>
  </si>
  <si>
    <t>Jordan Mason</t>
  </si>
  <si>
    <t>Christian McCaffrey</t>
  </si>
  <si>
    <t>Jeremy McNichols</t>
  </si>
  <si>
    <t>Elijah Mitchell</t>
  </si>
  <si>
    <t>Brandon Aiyuk</t>
  </si>
  <si>
    <t>Ronnie Bell</t>
  </si>
  <si>
    <t>Chris Conley</t>
  </si>
  <si>
    <t>Danny Gray</t>
  </si>
  <si>
    <t>Jauan Jennings</t>
  </si>
  <si>
    <t>Tay Martin</t>
  </si>
  <si>
    <t>Ray-Ray McCloud III</t>
  </si>
  <si>
    <t>Dazz Newsome</t>
  </si>
  <si>
    <t>Deebo Samuel</t>
  </si>
  <si>
    <t>Willie Snead IV</t>
  </si>
  <si>
    <t>Ball State</t>
  </si>
  <si>
    <t>Isaiah Winstead</t>
  </si>
  <si>
    <t>Ross Dwelley</t>
  </si>
  <si>
    <t>Troy Fumagalli</t>
  </si>
  <si>
    <t>George Kittle</t>
  </si>
  <si>
    <t>Cameron Latu</t>
  </si>
  <si>
    <t>Brayden Willis</t>
  </si>
  <si>
    <t>Charlie Woerner</t>
  </si>
  <si>
    <t>B.Gabbert</t>
  </si>
  <si>
    <t>TB</t>
  </si>
  <si>
    <t>K.Trask</t>
  </si>
  <si>
    <t>T.Brady</t>
  </si>
  <si>
    <t>G.Bernard</t>
  </si>
  <si>
    <t>K.Vaughn</t>
  </si>
  <si>
    <t>L.Fournette</t>
  </si>
  <si>
    <t>R.White</t>
  </si>
  <si>
    <t>C.Brate</t>
  </si>
  <si>
    <t>C.Otton</t>
  </si>
  <si>
    <t>K.Kieft</t>
  </si>
  <si>
    <t>K.Rudolph</t>
  </si>
  <si>
    <t>B.Perriman</t>
  </si>
  <si>
    <t>C.Godwin</t>
  </si>
  <si>
    <t>D.Thompkins</t>
  </si>
  <si>
    <t>J.Darden</t>
  </si>
  <si>
    <t>J.Jones</t>
  </si>
  <si>
    <t>M.Evans</t>
  </si>
  <si>
    <t>R.Gage</t>
  </si>
  <si>
    <t>S.Miller</t>
  </si>
  <si>
    <t>Baker Mayfield</t>
  </si>
  <si>
    <t>Kyle Trask</t>
  </si>
  <si>
    <t>John Wolford</t>
  </si>
  <si>
    <t>Ronnie Brown</t>
  </si>
  <si>
    <t>Chase Edmonds</t>
  </si>
  <si>
    <t>Fordham</t>
  </si>
  <si>
    <t>Patrick Laird</t>
  </si>
  <si>
    <t>Sean Tucker</t>
  </si>
  <si>
    <t>Ke'Shawn Vaughn</t>
  </si>
  <si>
    <t>Rachaad White</t>
  </si>
  <si>
    <t>Taye Barber</t>
  </si>
  <si>
    <t>Mike Evans</t>
  </si>
  <si>
    <t>Russell Gage</t>
  </si>
  <si>
    <t>Kaylon Geiger</t>
  </si>
  <si>
    <t>Chris Godwin</t>
  </si>
  <si>
    <t>Rakim Jarrett</t>
  </si>
  <si>
    <t>Cephus Johnson III</t>
  </si>
  <si>
    <t>Ryan Miller</t>
  </si>
  <si>
    <t>Furman</t>
  </si>
  <si>
    <t>David Moore</t>
  </si>
  <si>
    <t>Trey Palmer</t>
  </si>
  <si>
    <t>Deven Thompkins</t>
  </si>
  <si>
    <t>Kade Warner</t>
  </si>
  <si>
    <t>Dominique Dafney</t>
  </si>
  <si>
    <t>Payne Durham</t>
  </si>
  <si>
    <t>Ko Kieft</t>
  </si>
  <si>
    <t>Cade Otton</t>
  </si>
  <si>
    <t>Tanner Taula</t>
  </si>
  <si>
    <t>David Wells</t>
  </si>
  <si>
    <t>J.Dobbs</t>
  </si>
  <si>
    <t>TEN</t>
  </si>
  <si>
    <t>M.Willis</t>
  </si>
  <si>
    <t>R.Tannehill</t>
  </si>
  <si>
    <t>D.Henry</t>
  </si>
  <si>
    <t>D.Hilliard</t>
  </si>
  <si>
    <t>H.Haskins</t>
  </si>
  <si>
    <t>J.Chestnut</t>
  </si>
  <si>
    <t>J.Ward</t>
  </si>
  <si>
    <t>A.Hooper</t>
  </si>
  <si>
    <t>C.Okonkwo</t>
  </si>
  <si>
    <t>G.Swaim</t>
  </si>
  <si>
    <t>C.Board</t>
  </si>
  <si>
    <t>C.Hollister</t>
  </si>
  <si>
    <t>J.Gordon</t>
  </si>
  <si>
    <t>K.Philips</t>
  </si>
  <si>
    <t>M.Kinsey</t>
  </si>
  <si>
    <t>N.Westbrook-Ikhine</t>
  </si>
  <si>
    <t>R.McMath</t>
  </si>
  <si>
    <t>R.Woods</t>
  </si>
  <si>
    <t>T.Burks</t>
  </si>
  <si>
    <t>Will Levis</t>
  </si>
  <si>
    <t>Ryan Tannehill</t>
  </si>
  <si>
    <t>Malik Willis</t>
  </si>
  <si>
    <t>Julius Chestnut</t>
  </si>
  <si>
    <t>Sacred Heart</t>
  </si>
  <si>
    <t>Hassan Haskins</t>
  </si>
  <si>
    <t>Derrick Henry</t>
  </si>
  <si>
    <t>Jacques Patrick</t>
  </si>
  <si>
    <t>Tyjae Spears</t>
  </si>
  <si>
    <t>Jonathan Ward</t>
  </si>
  <si>
    <t>Treylon Burks</t>
  </si>
  <si>
    <t>Colton Dowell</t>
  </si>
  <si>
    <t>Tre'Shaun Harrison</t>
  </si>
  <si>
    <t>Gavin Holmes</t>
  </si>
  <si>
    <t>DeAndre Hopkins</t>
  </si>
  <si>
    <t>Kearis Jackson</t>
  </si>
  <si>
    <t>Mason Kinsey</t>
  </si>
  <si>
    <t>Berry College</t>
  </si>
  <si>
    <t>Racey McMath</t>
  </si>
  <si>
    <t>Chris Moore</t>
  </si>
  <si>
    <t>Kyle Philips</t>
  </si>
  <si>
    <t>Reggie Roberson Jr.</t>
  </si>
  <si>
    <t>Nick Westbrook-Ikhine</t>
  </si>
  <si>
    <t>Alize Mack</t>
  </si>
  <si>
    <t>Thomas Odukoya</t>
  </si>
  <si>
    <t>Chigoziem Okonkwo</t>
  </si>
  <si>
    <t>Kevin Rader</t>
  </si>
  <si>
    <t>Justin Rigg</t>
  </si>
  <si>
    <t>Trevon Wesco</t>
  </si>
  <si>
    <t>Josh Whyle</t>
  </si>
  <si>
    <t>C.Wentz</t>
  </si>
  <si>
    <t>WAS</t>
  </si>
  <si>
    <t>S.Howell</t>
  </si>
  <si>
    <t>T.Heinicke</t>
  </si>
  <si>
    <t>A.Gibson</t>
  </si>
  <si>
    <t>B.Robinson</t>
  </si>
  <si>
    <t>J.McKissic</t>
  </si>
  <si>
    <t>J.Patterson</t>
  </si>
  <si>
    <t>R.Bonnafon</t>
  </si>
  <si>
    <t>A.Rogers</t>
  </si>
  <si>
    <t>C.Turner</t>
  </si>
  <si>
    <t>J.Bates</t>
  </si>
  <si>
    <t>L.Thomas</t>
  </si>
  <si>
    <t>C.Samuel</t>
  </si>
  <si>
    <t>C.Sims</t>
  </si>
  <si>
    <t>D.Brown</t>
  </si>
  <si>
    <t>D.Milne</t>
  </si>
  <si>
    <t>J.Dotson</t>
  </si>
  <si>
    <t>T.McLaurin</t>
  </si>
  <si>
    <t>Jacoby Brissett</t>
  </si>
  <si>
    <t>Jake Fromm</t>
  </si>
  <si>
    <t>Sam Howell</t>
  </si>
  <si>
    <t>Alex Armah</t>
  </si>
  <si>
    <t>West Georgia</t>
  </si>
  <si>
    <t>Antonio Gibson</t>
  </si>
  <si>
    <t>Derrick Gore</t>
  </si>
  <si>
    <t>Jaret Patterson</t>
  </si>
  <si>
    <t>Brian Robinson Jr.</t>
  </si>
  <si>
    <t>Chris Rodriguez Jr.</t>
  </si>
  <si>
    <t>Jonathan Williams</t>
  </si>
  <si>
    <t>Kazmeir Allen</t>
  </si>
  <si>
    <t>Zion Bowens</t>
  </si>
  <si>
    <t>Dyami Brown</t>
  </si>
  <si>
    <t>Jahan Dotson</t>
  </si>
  <si>
    <t>Marcus Kemp</t>
  </si>
  <si>
    <t>Kyric McGowan</t>
  </si>
  <si>
    <t>Terry McLaurin</t>
  </si>
  <si>
    <t>Dax Milne</t>
  </si>
  <si>
    <t>Byron Pringle</t>
  </si>
  <si>
    <t>Jalen Sample</t>
  </si>
  <si>
    <t>Curtis Samuel</t>
  </si>
  <si>
    <t>Mitchell Tinsley</t>
  </si>
  <si>
    <t>Brycen Tremayne</t>
  </si>
  <si>
    <t>John Bates</t>
  </si>
  <si>
    <t>Brandon Dillon</t>
  </si>
  <si>
    <t>Marian College</t>
  </si>
  <si>
    <t>Curtis Hodges</t>
  </si>
  <si>
    <t>Kaden Smith</t>
  </si>
  <si>
    <t>Logan Thomas</t>
  </si>
  <si>
    <t>Cole Turner</t>
  </si>
  <si>
    <t>Custom Scoring</t>
  </si>
  <si>
    <t>Pass_td</t>
  </si>
  <si>
    <t>Pass_yd</t>
  </si>
  <si>
    <t>Save csv of all players?</t>
  </si>
  <si>
    <t>Eventually make macros so I don’t have to put in equations manually</t>
  </si>
  <si>
    <t>Key</t>
  </si>
  <si>
    <t>Future ideas</t>
  </si>
  <si>
    <t>KEY</t>
  </si>
  <si>
    <t>more advance stats added like explosive plays</t>
  </si>
  <si>
    <t>Description</t>
  </si>
  <si>
    <t>Represents the total number of games played by a player.</t>
  </si>
  <si>
    <t>Denotes the number of pass attempts made by a player.</t>
  </si>
  <si>
    <t>Indicates the total number of passes completed successfully by a player.</t>
  </si>
  <si>
    <t>Signifies the accumulated passing yards gained by a player.</t>
  </si>
  <si>
    <t>Reflects the quantity of passing touchdowns thrown by a player.</t>
  </si>
  <si>
    <t>Represents the number of interceptions thrown by a player.</t>
  </si>
  <si>
    <t>Represents the total number of rushing yards gained by a player.</t>
  </si>
  <si>
    <t>Signifies the total receiving yards gained by a player.</t>
  </si>
  <si>
    <t>Denotes the number of rushing touchdowns scored by a player.</t>
  </si>
  <si>
    <t>Represents the total number of passes caught(receptions) by a player.</t>
  </si>
  <si>
    <t>Refers to the total rushing attempts, aka. carries, made by a player.</t>
  </si>
  <si>
    <t>indicates the total number of times a player has been targeted to receive a pass.</t>
  </si>
  <si>
    <t>Denotes the total number of receiving touchdowns scored by a player.</t>
  </si>
  <si>
    <t>Represents the total number of successful two point conversions by a player.</t>
  </si>
  <si>
    <t>Indicates the total number of fantasy points scored by a player in a PPR format.</t>
  </si>
  <si>
    <t>Represents the percentage of team targets that a player has received.</t>
  </si>
  <si>
    <t>Signifies the average yards gained per rushing attempt(yards per carry) by a player.</t>
  </si>
  <si>
    <t>Denotes the average yards gained per reception by a player.</t>
  </si>
  <si>
    <t>Represents the total number of fumbles LOST by a player.</t>
  </si>
  <si>
    <t>Indicates the percentage of pass attempts that were successfully completed by a player.</t>
  </si>
  <si>
    <t>Represents the frequency at which a player scores a passing touchdown relative to their pass attempts.</t>
  </si>
  <si>
    <t xml:space="preserve">Represents the *custom* fantasy points scored by a player, as specified on the Admin page. </t>
  </si>
  <si>
    <t>Notes</t>
  </si>
  <si>
    <t>There is a discrepency in f_ppr and f_custom</t>
  </si>
  <si>
    <t xml:space="preserve">when scoring parameters are the same. </t>
  </si>
  <si>
    <t>This is caused by punt/kick returns and other</t>
  </si>
  <si>
    <t xml:space="preserve">special teams plays.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</si>
</sst>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066CC"/>
        <bgColor indexed="64"/>
      </patternFill>
    </fill>
    <fill>
      <patternFill patternType="solid">
        <fgColor rgb="FFCCDDFF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19">
    <xf numFmtId="0" fontId="0" fillId="0" borderId="0" xfId="0"/>
    <xf numFmtId="0" fontId="3" fillId="2" borderId="0" xfId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2" xfId="0" applyFont="1" applyFill="1" applyBorder="1"/>
    <xf numFmtId="0" fontId="6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4" borderId="3" xfId="0" applyFont="1" applyFill="1" applyBorder="1"/>
    <xf numFmtId="0" fontId="1" fillId="5" borderId="3" xfId="0" applyFont="1" applyFill="1" applyBorder="1"/>
  </cellXfs>
  <cellStyles count="2">
    <cellStyle name="Good" xfId="1" builtinId="26"/>
    <cellStyle name="Normal" xfId="0" builtinId="0"/>
  </cellStyles>
  <dxfs count="58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2</xdr:row>
          <xdr:rowOff>76200</xdr:rowOff>
        </xdr:from>
        <xdr:to>
          <xdr:col>5</xdr:col>
          <xdr:colOff>482600</xdr:colOff>
          <xdr:row>5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RI_Table1" displayName="ARI_Table1" ref="A1:Y24" totalsRowShown="0" headerRowDxfId="5813" dataDxfId="5787">
  <autoFilter ref="A1:Y24" xr:uid="{00000000-0009-0000-0100-000003000000}"/>
  <tableColumns count="25">
    <tableColumn id="1" xr3:uid="{00000000-0010-0000-0000-000001000000}" name="player_name" dataDxfId="5812"/>
    <tableColumn id="2" xr3:uid="{00000000-0010-0000-0000-000002000000}" name="recent_team" dataDxfId="5811"/>
    <tableColumn id="3" xr3:uid="{00000000-0010-0000-0000-000003000000}" name="pos" dataDxfId="5810"/>
    <tableColumn id="4" xr3:uid="{00000000-0010-0000-0000-000004000000}" name="g" dataDxfId="5809"/>
    <tableColumn id="5" xr3:uid="{00000000-0010-0000-0000-000005000000}" name="p_att" dataDxfId="5808"/>
    <tableColumn id="6" xr3:uid="{00000000-0010-0000-0000-000006000000}" name="cmp" dataDxfId="5807"/>
    <tableColumn id="7" xr3:uid="{00000000-0010-0000-0000-000007000000}" name="p_yd" dataDxfId="5806"/>
    <tableColumn id="8" xr3:uid="{00000000-0010-0000-0000-000008000000}" name="p_td" dataDxfId="5805"/>
    <tableColumn id="9" xr3:uid="{00000000-0010-0000-0000-000009000000}" name="int" dataDxfId="5804"/>
    <tableColumn id="10" xr3:uid="{00000000-0010-0000-0000-00000A000000}" name="car" dataDxfId="5803"/>
    <tableColumn id="11" xr3:uid="{00000000-0010-0000-0000-00000B000000}" name="r_yd" dataDxfId="5802"/>
    <tableColumn id="12" xr3:uid="{00000000-0010-0000-0000-00000C000000}" name="r_td" dataDxfId="5801"/>
    <tableColumn id="13" xr3:uid="{00000000-0010-0000-0000-00000D000000}" name="tgt" dataDxfId="5800"/>
    <tableColumn id="14" xr3:uid="{00000000-0010-0000-0000-00000E000000}" name="rec" dataDxfId="5799"/>
    <tableColumn id="15" xr3:uid="{00000000-0010-0000-0000-00000F000000}" name="rec_yd" dataDxfId="5798"/>
    <tableColumn id="16" xr3:uid="{00000000-0010-0000-0000-000010000000}" name="rec_td" dataDxfId="5797"/>
    <tableColumn id="17" xr3:uid="{00000000-0010-0000-0000-000011000000}" name="fmb" dataDxfId="5796"/>
    <tableColumn id="18" xr3:uid="{00000000-0010-0000-0000-000012000000}" name="tp_c" dataDxfId="5795"/>
    <tableColumn id="19" xr3:uid="{00000000-0010-0000-0000-000013000000}" name="f_ppr" dataDxfId="5794"/>
    <tableColumn id="20" xr3:uid="{00000000-0010-0000-0000-000014000000}" name="tgt_share" dataDxfId="5793"/>
    <tableColumn id="21" xr3:uid="{00000000-0010-0000-0000-000015000000}" name="ypc" dataDxfId="5792"/>
    <tableColumn id="22" xr3:uid="{00000000-0010-0000-0000-000016000000}" name="ypr" dataDxfId="5791"/>
    <tableColumn id="23" xr3:uid="{00000000-0010-0000-0000-000017000000}" name="cmp_pct" dataDxfId="5790"/>
    <tableColumn id="24" xr3:uid="{00000000-0010-0000-0000-000018000000}" name="td_rate" dataDxfId="5789"/>
    <tableColumn id="25" xr3:uid="{9A2293DF-9BEC-4DDF-8C11-34E15C718222}" name="f_custom" dataDxfId="578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RI_Table2" displayName="ARI_Table2" ref="A30:M31" totalsRowShown="0" headerRowDxfId="5786" dataDxfId="5772">
  <autoFilter ref="A30:M31" xr:uid="{00000000-0009-0000-0100-000004000000}"/>
  <tableColumns count="13">
    <tableColumn id="1" xr3:uid="{00000000-0010-0000-0100-000001000000}" name="team" dataDxfId="5785"/>
    <tableColumn id="2" xr3:uid="{00000000-0010-0000-0100-000002000000}" name="off_yd" dataDxfId="5784"/>
    <tableColumn id="3" xr3:uid="{00000000-0010-0000-0100-000003000000}" name="p_yd" dataDxfId="5783"/>
    <tableColumn id="4" xr3:uid="{00000000-0010-0000-0100-000004000000}" name="car" dataDxfId="5782"/>
    <tableColumn id="5" xr3:uid="{00000000-0010-0000-0100-000005000000}" name="r_yd" dataDxfId="5781"/>
    <tableColumn id="6" xr3:uid="{00000000-0010-0000-0100-000006000000}" name="r_td" dataDxfId="5780"/>
    <tableColumn id="7" xr3:uid="{00000000-0010-0000-0100-000007000000}" name="p_ff" dataDxfId="5779"/>
    <tableColumn id="8" xr3:uid="{00000000-0010-0000-0100-000008000000}" name="p_att" dataDxfId="5778"/>
    <tableColumn id="9" xr3:uid="{00000000-0010-0000-0100-000009000000}" name="cmp_pct" dataDxfId="5777"/>
    <tableColumn id="10" xr3:uid="{00000000-0010-0000-0100-00000A000000}" name="p_td" dataDxfId="5776"/>
    <tableColumn id="11" xr3:uid="{00000000-0010-0000-0100-00000B000000}" name="int" dataDxfId="5775"/>
    <tableColumn id="12" xr3:uid="{00000000-0010-0000-0100-00000C000000}" name="fmb" dataDxfId="5774"/>
    <tableColumn id="13" xr3:uid="{70EB3C8F-0505-4269-B3EA-A8A377387034}" name="f_custom" dataDxfId="577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ARI_Table3" displayName="ARI_Table3" ref="A32:M33" totalsRowShown="0" headerRowDxfId="5771" dataDxfId="5757">
  <autoFilter ref="A32:M33" xr:uid="{00000000-0009-0000-0100-000005000000}"/>
  <tableColumns count="13">
    <tableColumn id="1" xr3:uid="{00000000-0010-0000-0200-000001000000}" name="team" dataDxfId="5770">
      <calculatedColumnFormula>A31</calculatedColumnFormula>
    </tableColumn>
    <tableColumn id="2" xr3:uid="{00000000-0010-0000-0200-000002000000}" name="off_yd" dataDxfId="5769">
      <calculatedColumnFormula>C33 + E33</calculatedColumnFormula>
    </tableColumn>
    <tableColumn id="3" xr3:uid="{00000000-0010-0000-0200-000003000000}" name="p_yd" dataDxfId="5768">
      <calculatedColumnFormula>SUM(INDIRECT(A33 &amp; "_Table4[[#All],[p_yd]]"))</calculatedColumnFormula>
    </tableColumn>
    <tableColumn id="4" xr3:uid="{00000000-0010-0000-0200-000004000000}" name="car" dataDxfId="576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200-000005000000}" name="r_yd" dataDxfId="576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200-000006000000}" name="r_td" dataDxfId="576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200-000007000000}" name="p_ff" dataDxfId="576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200-000008000000}" name="p_att" dataDxfId="576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200-000009000000}" name="cmp_pct" dataDxfId="5762">
      <calculatedColumnFormula>SUM(INDIRECT(A33 &amp; "_Table4[[#All],[cmp]]"))/H33</calculatedColumnFormula>
    </tableColumn>
    <tableColumn id="10" xr3:uid="{00000000-0010-0000-0200-00000A000000}" name="p_td" dataDxfId="576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200-00000B000000}" name="int" dataDxfId="576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200-00000C000000}" name="fmb" dataDxfId="575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965369F5-2F33-4669-9DA1-2096B96B346B}" name="f_custom" dataDxfId="575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ARI_Table4" displayName="ARI_Table4" ref="A35:AB40" totalsRowShown="0" headerRowDxfId="5756" dataDxfId="5727">
  <autoFilter ref="A35:AB40" xr:uid="{00000000-0009-0000-0100-000006000000}"/>
  <tableColumns count="28">
    <tableColumn id="1" xr3:uid="{00000000-0010-0000-0300-000001000000}" name="Name" dataDxfId="5755"/>
    <tableColumn id="2" xr3:uid="{00000000-0010-0000-0300-000002000000}" name="POS" dataDxfId="5754"/>
    <tableColumn id="3" xr3:uid="{00000000-0010-0000-0300-000003000000}" name="Age" dataDxfId="5753"/>
    <tableColumn id="4" xr3:uid="{00000000-0010-0000-0300-000004000000}" name="Exp" dataDxfId="5752"/>
    <tableColumn id="5" xr3:uid="{00000000-0010-0000-0300-000005000000}" name="College" dataDxfId="5751"/>
    <tableColumn id="6" xr3:uid="{00000000-0010-0000-0300-000006000000}" name="team" dataDxfId="5750"/>
    <tableColumn id="7" xr3:uid="{00000000-0010-0000-0300-000007000000}" name="g" dataDxfId="5749"/>
    <tableColumn id="8" xr3:uid="{00000000-0010-0000-0300-000008000000}" name="p_att" dataDxfId="5748"/>
    <tableColumn id="9" xr3:uid="{00000000-0010-0000-0300-000009000000}" name="cmp" dataDxfId="5747"/>
    <tableColumn id="10" xr3:uid="{00000000-0010-0000-0300-00000A000000}" name="p_yd" dataDxfId="5746"/>
    <tableColumn id="11" xr3:uid="{00000000-0010-0000-0300-00000B000000}" name="p_td" dataDxfId="5745"/>
    <tableColumn id="12" xr3:uid="{00000000-0010-0000-0300-00000C000000}" name="int" dataDxfId="5744"/>
    <tableColumn id="13" xr3:uid="{00000000-0010-0000-0300-00000D000000}" name="car" dataDxfId="5743"/>
    <tableColumn id="14" xr3:uid="{00000000-0010-0000-0300-00000E000000}" name="r_yd" dataDxfId="5742"/>
    <tableColumn id="15" xr3:uid="{00000000-0010-0000-0300-00000F000000}" name="r_td" dataDxfId="5741"/>
    <tableColumn id="16" xr3:uid="{00000000-0010-0000-0300-000010000000}" name="tgt" dataDxfId="5740"/>
    <tableColumn id="17" xr3:uid="{00000000-0010-0000-0300-000011000000}" name="rec" dataDxfId="5739"/>
    <tableColumn id="18" xr3:uid="{00000000-0010-0000-0300-000012000000}" name="rec_yd" dataDxfId="5738"/>
    <tableColumn id="19" xr3:uid="{00000000-0010-0000-0300-000013000000}" name="rec_td" dataDxfId="5737"/>
    <tableColumn id="20" xr3:uid="{00000000-0010-0000-0300-000014000000}" name="fmb" dataDxfId="5736"/>
    <tableColumn id="21" xr3:uid="{00000000-0010-0000-0300-000015000000}" name="tp_c" dataDxfId="5735"/>
    <tableColumn id="22" xr3:uid="{00000000-0010-0000-0300-000016000000}" name="f_ppr" dataDxfId="5734">
      <calculatedColumnFormula>($J36*0.04)+($K36*4)+($L36*-2)+($N36*0.1)+($O36*6)+($Q36)+($R36*0.1)+($S36*6)+($T36*-2)</calculatedColumnFormula>
    </tableColumn>
    <tableColumn id="23" xr3:uid="{00000000-0010-0000-0300-000017000000}" name="tgt_share" dataDxfId="5733">
      <calculatedColumnFormula>$P36/$H$33</calculatedColumnFormula>
    </tableColumn>
    <tableColumn id="24" xr3:uid="{00000000-0010-0000-0300-000018000000}" name="ypc" dataDxfId="5732">
      <calculatedColumnFormula>$N36/$M36</calculatedColumnFormula>
    </tableColumn>
    <tableColumn id="25" xr3:uid="{00000000-0010-0000-0300-000019000000}" name="ypr" dataDxfId="5731">
      <calculatedColumnFormula>$R36/$Q36</calculatedColumnFormula>
    </tableColumn>
    <tableColumn id="26" xr3:uid="{00000000-0010-0000-0300-00001A000000}" name="cmp_pct" dataDxfId="5730">
      <calculatedColumnFormula>$I36/$H36</calculatedColumnFormula>
    </tableColumn>
    <tableColumn id="27" xr3:uid="{00000000-0010-0000-0300-00001B000000}" name="td_rate" dataDxfId="5729">
      <calculatedColumnFormula>$K36/$H36</calculatedColumnFormula>
    </tableColumn>
    <tableColumn id="28" xr3:uid="{00000000-0010-0000-0300-00001C000000}" name="f_custom" dataDxfId="572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ARI_Table5" displayName="ARI_Table5" ref="A45:AB51" totalsRowShown="0" headerRowDxfId="5726" dataDxfId="5697">
  <autoFilter ref="A45:AB51" xr:uid="{00000000-0009-0000-0100-000007000000}"/>
  <tableColumns count="28">
    <tableColumn id="1" xr3:uid="{00000000-0010-0000-0400-000001000000}" name="Name" dataDxfId="5725"/>
    <tableColumn id="2" xr3:uid="{00000000-0010-0000-0400-000002000000}" name="POS" dataDxfId="5724"/>
    <tableColumn id="3" xr3:uid="{00000000-0010-0000-0400-000003000000}" name="Age" dataDxfId="5723"/>
    <tableColumn id="4" xr3:uid="{00000000-0010-0000-0400-000004000000}" name="Exp" dataDxfId="5722"/>
    <tableColumn id="5" xr3:uid="{00000000-0010-0000-0400-000005000000}" name="College" dataDxfId="5721"/>
    <tableColumn id="6" xr3:uid="{00000000-0010-0000-0400-000006000000}" name="team" dataDxfId="5720"/>
    <tableColumn id="7" xr3:uid="{00000000-0010-0000-0400-000007000000}" name="g" dataDxfId="5719"/>
    <tableColumn id="8" xr3:uid="{00000000-0010-0000-0400-000008000000}" name="p_att" dataDxfId="5718"/>
    <tableColumn id="9" xr3:uid="{00000000-0010-0000-0400-000009000000}" name="cmp" dataDxfId="5717"/>
    <tableColumn id="10" xr3:uid="{00000000-0010-0000-0400-00000A000000}" name="p_yd" dataDxfId="5716"/>
    <tableColumn id="11" xr3:uid="{00000000-0010-0000-0400-00000B000000}" name="p_td" dataDxfId="5715"/>
    <tableColumn id="12" xr3:uid="{00000000-0010-0000-0400-00000C000000}" name="int" dataDxfId="5714"/>
    <tableColumn id="13" xr3:uid="{00000000-0010-0000-0400-00000D000000}" name="car" dataDxfId="5713"/>
    <tableColumn id="14" xr3:uid="{00000000-0010-0000-0400-00000E000000}" name="r_yd" dataDxfId="5712"/>
    <tableColumn id="15" xr3:uid="{00000000-0010-0000-0400-00000F000000}" name="r_td" dataDxfId="5711"/>
    <tableColumn id="16" xr3:uid="{00000000-0010-0000-0400-000010000000}" name="tgt" dataDxfId="5710"/>
    <tableColumn id="17" xr3:uid="{00000000-0010-0000-0400-000011000000}" name="rec" dataDxfId="5709"/>
    <tableColumn id="18" xr3:uid="{00000000-0010-0000-0400-000012000000}" name="rec_yd" dataDxfId="5708"/>
    <tableColumn id="19" xr3:uid="{00000000-0010-0000-0400-000013000000}" name="rec_td" dataDxfId="5707"/>
    <tableColumn id="20" xr3:uid="{00000000-0010-0000-0400-000014000000}" name="fmb" dataDxfId="5706"/>
    <tableColumn id="21" xr3:uid="{00000000-0010-0000-0400-000015000000}" name="tp_c" dataDxfId="5705"/>
    <tableColumn id="22" xr3:uid="{00000000-0010-0000-0400-000016000000}" name="f_ppr" dataDxfId="5704">
      <calculatedColumnFormula>($J46*0.04)+($K46*4)+($L46*-2)+($N46*0.1)+($O46*6)+($Q46)+($R46*0.1)+($S46*6)+($T46*-2)</calculatedColumnFormula>
    </tableColumn>
    <tableColumn id="23" xr3:uid="{00000000-0010-0000-0400-000017000000}" name="tgt_share" dataDxfId="5703">
      <calculatedColumnFormula>$P46/$H$33</calculatedColumnFormula>
    </tableColumn>
    <tableColumn id="24" xr3:uid="{00000000-0010-0000-0400-000018000000}" name="ypc" dataDxfId="5702">
      <calculatedColumnFormula>$N46/$M46</calculatedColumnFormula>
    </tableColumn>
    <tableColumn id="25" xr3:uid="{00000000-0010-0000-0400-000019000000}" name="ypr" dataDxfId="5701">
      <calculatedColumnFormula>$R46/$Q46</calculatedColumnFormula>
    </tableColumn>
    <tableColumn id="26" xr3:uid="{00000000-0010-0000-0400-00001A000000}" name="cmp_pct" dataDxfId="5700">
      <calculatedColumnFormula>$R46/$Q46</calculatedColumnFormula>
    </tableColumn>
    <tableColumn id="27" xr3:uid="{00000000-0010-0000-0400-00001B000000}" name="td_rate" dataDxfId="5699">
      <calculatedColumnFormula>$K46/$H46</calculatedColumnFormula>
    </tableColumn>
    <tableColumn id="28" xr3:uid="{00000000-0010-0000-0400-00001C000000}" name="f_custom" dataDxfId="569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ARI_Table6" displayName="ARI_Table6" ref="A60:AB71" totalsRowShown="0" headerRowDxfId="5696" dataDxfId="5667">
  <autoFilter ref="A60:AB71" xr:uid="{00000000-0009-0000-0100-000008000000}"/>
  <tableColumns count="28">
    <tableColumn id="1" xr3:uid="{00000000-0010-0000-0500-000001000000}" name="Name" dataDxfId="5695"/>
    <tableColumn id="2" xr3:uid="{00000000-0010-0000-0500-000002000000}" name="POS" dataDxfId="5694"/>
    <tableColumn id="3" xr3:uid="{00000000-0010-0000-0500-000003000000}" name="Age" dataDxfId="5693"/>
    <tableColumn id="4" xr3:uid="{00000000-0010-0000-0500-000004000000}" name="Exp" dataDxfId="5692"/>
    <tableColumn id="5" xr3:uid="{00000000-0010-0000-0500-000005000000}" name="College" dataDxfId="5691"/>
    <tableColumn id="6" xr3:uid="{00000000-0010-0000-0500-000006000000}" name="team" dataDxfId="5690"/>
    <tableColumn id="7" xr3:uid="{00000000-0010-0000-0500-000007000000}" name="g" dataDxfId="5689"/>
    <tableColumn id="8" xr3:uid="{00000000-0010-0000-0500-000008000000}" name="p_att" dataDxfId="5688"/>
    <tableColumn id="9" xr3:uid="{00000000-0010-0000-0500-000009000000}" name="cmp" dataDxfId="5687"/>
    <tableColumn id="10" xr3:uid="{00000000-0010-0000-0500-00000A000000}" name="p_yd" dataDxfId="5686"/>
    <tableColumn id="11" xr3:uid="{00000000-0010-0000-0500-00000B000000}" name="p_td" dataDxfId="5685"/>
    <tableColumn id="12" xr3:uid="{00000000-0010-0000-0500-00000C000000}" name="int" dataDxfId="5684"/>
    <tableColumn id="13" xr3:uid="{00000000-0010-0000-0500-00000D000000}" name="car" dataDxfId="5683"/>
    <tableColumn id="14" xr3:uid="{00000000-0010-0000-0500-00000E000000}" name="r_yd" dataDxfId="5682"/>
    <tableColumn id="15" xr3:uid="{00000000-0010-0000-0500-00000F000000}" name="r_td" dataDxfId="5681"/>
    <tableColumn id="16" xr3:uid="{00000000-0010-0000-0500-000010000000}" name="tgt" dataDxfId="5680"/>
    <tableColumn id="17" xr3:uid="{00000000-0010-0000-0500-000011000000}" name="rec" dataDxfId="5679"/>
    <tableColumn id="18" xr3:uid="{00000000-0010-0000-0500-000012000000}" name="rec_yd" dataDxfId="5678"/>
    <tableColumn id="19" xr3:uid="{00000000-0010-0000-0500-000013000000}" name="rec_td" dataDxfId="5677"/>
    <tableColumn id="20" xr3:uid="{00000000-0010-0000-0500-000014000000}" name="fmb" dataDxfId="5676"/>
    <tableColumn id="21" xr3:uid="{00000000-0010-0000-0500-000015000000}" name="tp_c" dataDxfId="5675"/>
    <tableColumn id="22" xr3:uid="{00000000-0010-0000-0500-000016000000}" name="f_ppr" dataDxfId="5674">
      <calculatedColumnFormula>($J61*0.04)+($K61*4)+($L61*-2)+($N61*0.1)+($O61*6)+($Q61)+($R61*0.1)+($S61*6)+($T61*-2)</calculatedColumnFormula>
    </tableColumn>
    <tableColumn id="23" xr3:uid="{00000000-0010-0000-0500-000017000000}" name="tgt_share" dataDxfId="5673">
      <calculatedColumnFormula>$P61/$H$33</calculatedColumnFormula>
    </tableColumn>
    <tableColumn id="24" xr3:uid="{00000000-0010-0000-0500-000018000000}" name="ypc" dataDxfId="5672">
      <calculatedColumnFormula>$N61/$M61</calculatedColumnFormula>
    </tableColumn>
    <tableColumn id="25" xr3:uid="{00000000-0010-0000-0500-000019000000}" name="ypr" dataDxfId="5671">
      <calculatedColumnFormula>$R61/$Q61</calculatedColumnFormula>
    </tableColumn>
    <tableColumn id="26" xr3:uid="{00000000-0010-0000-0500-00001A000000}" name="cmp_pct" dataDxfId="5670">
      <calculatedColumnFormula>$R61/$Q61</calculatedColumnFormula>
    </tableColumn>
    <tableColumn id="27" xr3:uid="{00000000-0010-0000-0500-00001B000000}" name="td_rate" dataDxfId="5669">
      <calculatedColumnFormula>$K61/$H61</calculatedColumnFormula>
    </tableColumn>
    <tableColumn id="28" xr3:uid="{00000000-0010-0000-0500-00001C000000}" name="f_custom" dataDxfId="566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ARI_Table7" displayName="ARI_Table7" ref="A75:AB82" totalsRowShown="0" headerRowDxfId="5666" dataDxfId="5637">
  <autoFilter ref="A75:AB82" xr:uid="{00000000-0009-0000-0100-000009000000}"/>
  <tableColumns count="28">
    <tableColumn id="1" xr3:uid="{00000000-0010-0000-0600-000001000000}" name="Name" dataDxfId="5665"/>
    <tableColumn id="2" xr3:uid="{00000000-0010-0000-0600-000002000000}" name="POS" dataDxfId="5664"/>
    <tableColumn id="3" xr3:uid="{00000000-0010-0000-0600-000003000000}" name="Age" dataDxfId="5663"/>
    <tableColumn id="4" xr3:uid="{00000000-0010-0000-0600-000004000000}" name="Exp" dataDxfId="5662"/>
    <tableColumn id="5" xr3:uid="{00000000-0010-0000-0600-000005000000}" name="College" dataDxfId="5661"/>
    <tableColumn id="6" xr3:uid="{00000000-0010-0000-0600-000006000000}" name="team" dataDxfId="5660"/>
    <tableColumn id="7" xr3:uid="{00000000-0010-0000-0600-000007000000}" name="g" dataDxfId="5659"/>
    <tableColumn id="8" xr3:uid="{00000000-0010-0000-0600-000008000000}" name="p_att" dataDxfId="5658"/>
    <tableColumn id="9" xr3:uid="{00000000-0010-0000-0600-000009000000}" name="cmp" dataDxfId="5657"/>
    <tableColumn id="10" xr3:uid="{00000000-0010-0000-0600-00000A000000}" name="p_yd" dataDxfId="5656"/>
    <tableColumn id="11" xr3:uid="{00000000-0010-0000-0600-00000B000000}" name="p_td" dataDxfId="5655"/>
    <tableColumn id="12" xr3:uid="{00000000-0010-0000-0600-00000C000000}" name="int" dataDxfId="5654"/>
    <tableColumn id="13" xr3:uid="{00000000-0010-0000-0600-00000D000000}" name="car" dataDxfId="5653"/>
    <tableColumn id="14" xr3:uid="{00000000-0010-0000-0600-00000E000000}" name="r_yd" dataDxfId="5652"/>
    <tableColumn id="15" xr3:uid="{00000000-0010-0000-0600-00000F000000}" name="r_td" dataDxfId="5651"/>
    <tableColumn id="16" xr3:uid="{00000000-0010-0000-0600-000010000000}" name="tgt" dataDxfId="5650"/>
    <tableColumn id="17" xr3:uid="{00000000-0010-0000-0600-000011000000}" name="rec" dataDxfId="5649"/>
    <tableColumn id="18" xr3:uid="{00000000-0010-0000-0600-000012000000}" name="rec_yd" dataDxfId="5648"/>
    <tableColumn id="19" xr3:uid="{00000000-0010-0000-0600-000013000000}" name="rec_td" dataDxfId="5647"/>
    <tableColumn id="20" xr3:uid="{00000000-0010-0000-0600-000014000000}" name="fmb" dataDxfId="5646"/>
    <tableColumn id="21" xr3:uid="{00000000-0010-0000-0600-000015000000}" name="tp_c" dataDxfId="5645"/>
    <tableColumn id="22" xr3:uid="{00000000-0010-0000-0600-000016000000}" name="f_ppr" dataDxfId="5644">
      <calculatedColumnFormula>($J76*0.04)+($K76*4)+($L76*-2)+($N76*0.1)+($O76*6)+($Q76)+($R76*0.1)+($S76*6)+($T76*-2)</calculatedColumnFormula>
    </tableColumn>
    <tableColumn id="23" xr3:uid="{00000000-0010-0000-0600-000017000000}" name="tgt_share" dataDxfId="5643">
      <calculatedColumnFormula>$P76/$H$33</calculatedColumnFormula>
    </tableColumn>
    <tableColumn id="24" xr3:uid="{00000000-0010-0000-0600-000018000000}" name="ypc" dataDxfId="5642">
      <calculatedColumnFormula>$N76/$M76</calculatedColumnFormula>
    </tableColumn>
    <tableColumn id="25" xr3:uid="{00000000-0010-0000-0600-000019000000}" name="ypr" dataDxfId="5641">
      <calculatedColumnFormula>$R76/$Q76</calculatedColumnFormula>
    </tableColumn>
    <tableColumn id="26" xr3:uid="{00000000-0010-0000-0600-00001A000000}" name="cmp_pct" dataDxfId="5640">
      <calculatedColumnFormula>$R76/$Q76</calculatedColumnFormula>
    </tableColumn>
    <tableColumn id="27" xr3:uid="{00000000-0010-0000-0600-00001B000000}" name="td_rate" dataDxfId="5639">
      <calculatedColumnFormula>$K76/$H76</calculatedColumnFormula>
    </tableColumn>
    <tableColumn id="28" xr3:uid="{00000000-0010-0000-0600-00001C000000}" name="f_custom" dataDxfId="563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ATL_Table1" displayName="ATL_Table1" ref="A1:Y21" totalsRowShown="0" headerRowDxfId="5636" dataDxfId="5610">
  <autoFilter ref="A1:Y21" xr:uid="{00000000-0009-0000-0100-00000A000000}"/>
  <tableColumns count="25">
    <tableColumn id="1" xr3:uid="{00000000-0010-0000-0700-000001000000}" name="player_name" dataDxfId="5635"/>
    <tableColumn id="2" xr3:uid="{00000000-0010-0000-0700-000002000000}" name="recent_team" dataDxfId="5634"/>
    <tableColumn id="3" xr3:uid="{00000000-0010-0000-0700-000003000000}" name="pos" dataDxfId="5633"/>
    <tableColumn id="4" xr3:uid="{00000000-0010-0000-0700-000004000000}" name="g" dataDxfId="5632"/>
    <tableColumn id="5" xr3:uid="{00000000-0010-0000-0700-000005000000}" name="p_att" dataDxfId="5631"/>
    <tableColumn id="6" xr3:uid="{00000000-0010-0000-0700-000006000000}" name="cmp" dataDxfId="5630"/>
    <tableColumn id="7" xr3:uid="{00000000-0010-0000-0700-000007000000}" name="p_yd" dataDxfId="5629"/>
    <tableColumn id="8" xr3:uid="{00000000-0010-0000-0700-000008000000}" name="p_td" dataDxfId="5628"/>
    <tableColumn id="9" xr3:uid="{00000000-0010-0000-0700-000009000000}" name="int" dataDxfId="5627"/>
    <tableColumn id="10" xr3:uid="{00000000-0010-0000-0700-00000A000000}" name="car" dataDxfId="5626"/>
    <tableColumn id="11" xr3:uid="{00000000-0010-0000-0700-00000B000000}" name="r_yd" dataDxfId="5625"/>
    <tableColumn id="12" xr3:uid="{00000000-0010-0000-0700-00000C000000}" name="r_td" dataDxfId="5624"/>
    <tableColumn id="13" xr3:uid="{00000000-0010-0000-0700-00000D000000}" name="tgt" dataDxfId="5623"/>
    <tableColumn id="14" xr3:uid="{00000000-0010-0000-0700-00000E000000}" name="rec" dataDxfId="5622"/>
    <tableColumn id="15" xr3:uid="{00000000-0010-0000-0700-00000F000000}" name="rec_yd" dataDxfId="5621"/>
    <tableColumn id="16" xr3:uid="{00000000-0010-0000-0700-000010000000}" name="rec_td" dataDxfId="5620"/>
    <tableColumn id="17" xr3:uid="{00000000-0010-0000-0700-000011000000}" name="fmb" dataDxfId="5619"/>
    <tableColumn id="18" xr3:uid="{00000000-0010-0000-0700-000012000000}" name="tp_c" dataDxfId="5618"/>
    <tableColumn id="19" xr3:uid="{00000000-0010-0000-0700-000013000000}" name="f_ppr" dataDxfId="5617"/>
    <tableColumn id="20" xr3:uid="{00000000-0010-0000-0700-000014000000}" name="tgt_share" dataDxfId="5616"/>
    <tableColumn id="21" xr3:uid="{00000000-0010-0000-0700-000015000000}" name="ypc" dataDxfId="5615"/>
    <tableColumn id="22" xr3:uid="{00000000-0010-0000-0700-000016000000}" name="ypr" dataDxfId="5614"/>
    <tableColumn id="23" xr3:uid="{00000000-0010-0000-0700-000017000000}" name="cmp_pct" dataDxfId="5613"/>
    <tableColumn id="24" xr3:uid="{00000000-0010-0000-0700-000018000000}" name="td_rate" dataDxfId="5612"/>
    <tableColumn id="25" xr3:uid="{41B15D07-F171-48B5-892C-D2B84E390F96}" name="f_custom" dataDxfId="561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ATL_Table2" displayName="ATL_Table2" ref="A30:M31" totalsRowShown="0" headerRowDxfId="5609" dataDxfId="5595">
  <autoFilter ref="A30:M31" xr:uid="{00000000-0009-0000-0100-00000B000000}"/>
  <tableColumns count="13">
    <tableColumn id="1" xr3:uid="{00000000-0010-0000-0800-000001000000}" name="team" dataDxfId="5608"/>
    <tableColumn id="2" xr3:uid="{00000000-0010-0000-0800-000002000000}" name="off_yd" dataDxfId="5607"/>
    <tableColumn id="3" xr3:uid="{00000000-0010-0000-0800-000003000000}" name="p_yd" dataDxfId="5606"/>
    <tableColumn id="4" xr3:uid="{00000000-0010-0000-0800-000004000000}" name="car" dataDxfId="5605"/>
    <tableColumn id="5" xr3:uid="{00000000-0010-0000-0800-000005000000}" name="r_yd" dataDxfId="5604"/>
    <tableColumn id="6" xr3:uid="{00000000-0010-0000-0800-000006000000}" name="r_td" dataDxfId="5603"/>
    <tableColumn id="7" xr3:uid="{00000000-0010-0000-0800-000007000000}" name="p_ff" dataDxfId="5602"/>
    <tableColumn id="8" xr3:uid="{00000000-0010-0000-0800-000008000000}" name="p_att" dataDxfId="5601"/>
    <tableColumn id="9" xr3:uid="{00000000-0010-0000-0800-000009000000}" name="cmp_pct" dataDxfId="5600"/>
    <tableColumn id="10" xr3:uid="{00000000-0010-0000-0800-00000A000000}" name="p_td" dataDxfId="5599"/>
    <tableColumn id="11" xr3:uid="{00000000-0010-0000-0800-00000B000000}" name="int" dataDxfId="5598"/>
    <tableColumn id="12" xr3:uid="{00000000-0010-0000-0800-00000C000000}" name="fmb" dataDxfId="5597"/>
    <tableColumn id="13" xr3:uid="{7A1B885E-6722-438E-8E70-BB628AC9CC66}" name="f_custom" dataDxfId="559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ATL_Table3" displayName="ATL_Table3" ref="A32:M33" totalsRowShown="0" headerRowDxfId="5594" dataDxfId="5580">
  <autoFilter ref="A32:M33" xr:uid="{00000000-0009-0000-0100-00000C000000}"/>
  <tableColumns count="13">
    <tableColumn id="1" xr3:uid="{00000000-0010-0000-0900-000001000000}" name="team" dataDxfId="5593">
      <calculatedColumnFormula>A31</calculatedColumnFormula>
    </tableColumn>
    <tableColumn id="2" xr3:uid="{00000000-0010-0000-0900-000002000000}" name="off_yd" dataDxfId="5592">
      <calculatedColumnFormula>C33 + E33</calculatedColumnFormula>
    </tableColumn>
    <tableColumn id="3" xr3:uid="{00000000-0010-0000-0900-000003000000}" name="p_yd" dataDxfId="5591">
      <calculatedColumnFormula>SUM(INDIRECT(A33 &amp; "_Table4[[#All],[p_yd]]"))</calculatedColumnFormula>
    </tableColumn>
    <tableColumn id="4" xr3:uid="{00000000-0010-0000-0900-000004000000}" name="car" dataDxfId="559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900-000005000000}" name="r_yd" dataDxfId="558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900-000006000000}" name="r_td" dataDxfId="558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900-000007000000}" name="p_ff" dataDxfId="558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900-000008000000}" name="p_att" dataDxfId="558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900-000009000000}" name="cmp_pct" dataDxfId="5585">
      <calculatedColumnFormula>SUM(INDIRECT(A33 &amp; "_Table4[[#All],[cmp]]"))/H33</calculatedColumnFormula>
    </tableColumn>
    <tableColumn id="10" xr3:uid="{00000000-0010-0000-0900-00000A000000}" name="p_td" dataDxfId="558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900-00000B000000}" name="int" dataDxfId="558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900-00000C000000}" name="fmb" dataDxfId="558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A5D2B07B-FDDA-4B15-B12E-A3685CDE9128}" name="f_custom" dataDxfId="558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TL_Table4" displayName="ATL_Table4" ref="A35:AB38" totalsRowShown="0" headerRowDxfId="5579" dataDxfId="5550">
  <autoFilter ref="A35:AB38" xr:uid="{00000000-0009-0000-0100-00000D000000}"/>
  <tableColumns count="28">
    <tableColumn id="1" xr3:uid="{00000000-0010-0000-0A00-000001000000}" name="Name" dataDxfId="5578"/>
    <tableColumn id="2" xr3:uid="{00000000-0010-0000-0A00-000002000000}" name="POS" dataDxfId="5577"/>
    <tableColumn id="3" xr3:uid="{00000000-0010-0000-0A00-000003000000}" name="Age" dataDxfId="5576"/>
    <tableColumn id="4" xr3:uid="{00000000-0010-0000-0A00-000004000000}" name="Exp" dataDxfId="5575"/>
    <tableColumn id="5" xr3:uid="{00000000-0010-0000-0A00-000005000000}" name="College" dataDxfId="5574"/>
    <tableColumn id="6" xr3:uid="{00000000-0010-0000-0A00-000006000000}" name="team" dataDxfId="5573"/>
    <tableColumn id="7" xr3:uid="{00000000-0010-0000-0A00-000007000000}" name="g" dataDxfId="5572"/>
    <tableColumn id="8" xr3:uid="{00000000-0010-0000-0A00-000008000000}" name="p_att" dataDxfId="5571"/>
    <tableColumn id="9" xr3:uid="{00000000-0010-0000-0A00-000009000000}" name="cmp" dataDxfId="5570"/>
    <tableColumn id="10" xr3:uid="{00000000-0010-0000-0A00-00000A000000}" name="p_yd" dataDxfId="5569"/>
    <tableColumn id="11" xr3:uid="{00000000-0010-0000-0A00-00000B000000}" name="p_td" dataDxfId="5568"/>
    <tableColumn id="12" xr3:uid="{00000000-0010-0000-0A00-00000C000000}" name="int" dataDxfId="5567"/>
    <tableColumn id="13" xr3:uid="{00000000-0010-0000-0A00-00000D000000}" name="car" dataDxfId="5566"/>
    <tableColumn id="14" xr3:uid="{00000000-0010-0000-0A00-00000E000000}" name="r_yd" dataDxfId="5565"/>
    <tableColumn id="15" xr3:uid="{00000000-0010-0000-0A00-00000F000000}" name="r_td" dataDxfId="5564"/>
    <tableColumn id="16" xr3:uid="{00000000-0010-0000-0A00-000010000000}" name="tgt" dataDxfId="5563"/>
    <tableColumn id="17" xr3:uid="{00000000-0010-0000-0A00-000011000000}" name="rec" dataDxfId="5562"/>
    <tableColumn id="18" xr3:uid="{00000000-0010-0000-0A00-000012000000}" name="rec_yd" dataDxfId="5561"/>
    <tableColumn id="19" xr3:uid="{00000000-0010-0000-0A00-000013000000}" name="rec_td" dataDxfId="5560"/>
    <tableColumn id="20" xr3:uid="{00000000-0010-0000-0A00-000014000000}" name="fmb" dataDxfId="5559"/>
    <tableColumn id="21" xr3:uid="{00000000-0010-0000-0A00-000015000000}" name="tp_c" dataDxfId="5558"/>
    <tableColumn id="22" xr3:uid="{00000000-0010-0000-0A00-000016000000}" name="f_ppr" dataDxfId="5557">
      <calculatedColumnFormula>($J36*0.04)+($K36*4)+($L36*-2)+($N36*0.1)+($O36*6)+($Q36)+($R36*0.1)+($S36*6)+($T36*-2)</calculatedColumnFormula>
    </tableColumn>
    <tableColumn id="23" xr3:uid="{00000000-0010-0000-0A00-000017000000}" name="tgt_share" dataDxfId="5556">
      <calculatedColumnFormula>$P36/$H$33</calculatedColumnFormula>
    </tableColumn>
    <tableColumn id="24" xr3:uid="{00000000-0010-0000-0A00-000018000000}" name="ypc" dataDxfId="5555">
      <calculatedColumnFormula>$N36/$M36</calculatedColumnFormula>
    </tableColumn>
    <tableColumn id="25" xr3:uid="{00000000-0010-0000-0A00-000019000000}" name="ypr" dataDxfId="5554">
      <calculatedColumnFormula>$R36/$Q36</calculatedColumnFormula>
    </tableColumn>
    <tableColumn id="26" xr3:uid="{00000000-0010-0000-0A00-00001A000000}" name="cmp_pct" dataDxfId="5553">
      <calculatedColumnFormula>$I36/$H36</calculatedColumnFormula>
    </tableColumn>
    <tableColumn id="27" xr3:uid="{00000000-0010-0000-0A00-00001B000000}" name="td_rate" dataDxfId="5552">
      <calculatedColumnFormula>$K36/$H36</calculatedColumnFormula>
    </tableColumn>
    <tableColumn id="28" xr3:uid="{00000000-0010-0000-0A00-00001C000000}" name="f_custom" dataDxfId="555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ATL_Table5" displayName="ATL_Table5" ref="A45:AB51" totalsRowShown="0" headerRowDxfId="5549" dataDxfId="5520">
  <autoFilter ref="A45:AB51" xr:uid="{00000000-0009-0000-0100-00000E000000}"/>
  <tableColumns count="28">
    <tableColumn id="1" xr3:uid="{00000000-0010-0000-0B00-000001000000}" name="Name" dataDxfId="5548"/>
    <tableColumn id="2" xr3:uid="{00000000-0010-0000-0B00-000002000000}" name="POS" dataDxfId="5547"/>
    <tableColumn id="3" xr3:uid="{00000000-0010-0000-0B00-000003000000}" name="Age" dataDxfId="5546"/>
    <tableColumn id="4" xr3:uid="{00000000-0010-0000-0B00-000004000000}" name="Exp" dataDxfId="5545"/>
    <tableColumn id="5" xr3:uid="{00000000-0010-0000-0B00-000005000000}" name="College" dataDxfId="5544"/>
    <tableColumn id="6" xr3:uid="{00000000-0010-0000-0B00-000006000000}" name="team" dataDxfId="5543"/>
    <tableColumn id="7" xr3:uid="{00000000-0010-0000-0B00-000007000000}" name="g" dataDxfId="5542"/>
    <tableColumn id="8" xr3:uid="{00000000-0010-0000-0B00-000008000000}" name="p_att" dataDxfId="5541"/>
    <tableColumn id="9" xr3:uid="{00000000-0010-0000-0B00-000009000000}" name="cmp" dataDxfId="5540"/>
    <tableColumn id="10" xr3:uid="{00000000-0010-0000-0B00-00000A000000}" name="p_yd" dataDxfId="5539"/>
    <tableColumn id="11" xr3:uid="{00000000-0010-0000-0B00-00000B000000}" name="p_td" dataDxfId="5538"/>
    <tableColumn id="12" xr3:uid="{00000000-0010-0000-0B00-00000C000000}" name="int" dataDxfId="5537"/>
    <tableColumn id="13" xr3:uid="{00000000-0010-0000-0B00-00000D000000}" name="car" dataDxfId="5536"/>
    <tableColumn id="14" xr3:uid="{00000000-0010-0000-0B00-00000E000000}" name="r_yd" dataDxfId="5535"/>
    <tableColumn id="15" xr3:uid="{00000000-0010-0000-0B00-00000F000000}" name="r_td" dataDxfId="5534"/>
    <tableColumn id="16" xr3:uid="{00000000-0010-0000-0B00-000010000000}" name="tgt" dataDxfId="5533"/>
    <tableColumn id="17" xr3:uid="{00000000-0010-0000-0B00-000011000000}" name="rec" dataDxfId="5532"/>
    <tableColumn id="18" xr3:uid="{00000000-0010-0000-0B00-000012000000}" name="rec_yd" dataDxfId="5531"/>
    <tableColumn id="19" xr3:uid="{00000000-0010-0000-0B00-000013000000}" name="rec_td" dataDxfId="5530"/>
    <tableColumn id="20" xr3:uid="{00000000-0010-0000-0B00-000014000000}" name="fmb" dataDxfId="5529"/>
    <tableColumn id="21" xr3:uid="{00000000-0010-0000-0B00-000015000000}" name="tp_c" dataDxfId="5528"/>
    <tableColumn id="22" xr3:uid="{00000000-0010-0000-0B00-000016000000}" name="f_ppr" dataDxfId="5527">
      <calculatedColumnFormula>($J46*0.04)+($K46*4)+($L46*-2)+($N46*0.1)+($O46*6)+($Q46)+($R46*0.1)+($S46*6)+($T46*-2)</calculatedColumnFormula>
    </tableColumn>
    <tableColumn id="23" xr3:uid="{00000000-0010-0000-0B00-000017000000}" name="tgt_share" dataDxfId="5526">
      <calculatedColumnFormula>$P46/$H$33</calculatedColumnFormula>
    </tableColumn>
    <tableColumn id="24" xr3:uid="{00000000-0010-0000-0B00-000018000000}" name="ypc" dataDxfId="5525">
      <calculatedColumnFormula>$N46/$M46</calculatedColumnFormula>
    </tableColumn>
    <tableColumn id="25" xr3:uid="{00000000-0010-0000-0B00-000019000000}" name="ypr" dataDxfId="5524">
      <calculatedColumnFormula>$R46/$Q46</calculatedColumnFormula>
    </tableColumn>
    <tableColumn id="26" xr3:uid="{00000000-0010-0000-0B00-00001A000000}" name="cmp_pct" dataDxfId="5523">
      <calculatedColumnFormula>$I46/$H46</calculatedColumnFormula>
    </tableColumn>
    <tableColumn id="27" xr3:uid="{00000000-0010-0000-0B00-00001B000000}" name="td_rate" dataDxfId="5522">
      <calculatedColumnFormula>$K46/$H46</calculatedColumnFormula>
    </tableColumn>
    <tableColumn id="28" xr3:uid="{00000000-0010-0000-0B00-00001C000000}" name="f_custom" dataDxfId="552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ATL_Table6" displayName="ATL_Table6" ref="A60:AB72" totalsRowShown="0" headerRowDxfId="5519" dataDxfId="5490">
  <autoFilter ref="A60:AB72" xr:uid="{00000000-0009-0000-0100-00000F000000}"/>
  <tableColumns count="28">
    <tableColumn id="1" xr3:uid="{00000000-0010-0000-0C00-000001000000}" name="Name" dataDxfId="5518"/>
    <tableColumn id="2" xr3:uid="{00000000-0010-0000-0C00-000002000000}" name="POS" dataDxfId="5517"/>
    <tableColumn id="3" xr3:uid="{00000000-0010-0000-0C00-000003000000}" name="Age" dataDxfId="5516"/>
    <tableColumn id="4" xr3:uid="{00000000-0010-0000-0C00-000004000000}" name="Exp" dataDxfId="5515"/>
    <tableColumn id="5" xr3:uid="{00000000-0010-0000-0C00-000005000000}" name="College" dataDxfId="5514"/>
    <tableColumn id="6" xr3:uid="{00000000-0010-0000-0C00-000006000000}" name="team" dataDxfId="5513"/>
    <tableColumn id="7" xr3:uid="{00000000-0010-0000-0C00-000007000000}" name="g" dataDxfId="5512"/>
    <tableColumn id="8" xr3:uid="{00000000-0010-0000-0C00-000008000000}" name="p_att" dataDxfId="5511"/>
    <tableColumn id="9" xr3:uid="{00000000-0010-0000-0C00-000009000000}" name="cmp" dataDxfId="5510"/>
    <tableColumn id="10" xr3:uid="{00000000-0010-0000-0C00-00000A000000}" name="p_yd" dataDxfId="5509"/>
    <tableColumn id="11" xr3:uid="{00000000-0010-0000-0C00-00000B000000}" name="p_td" dataDxfId="5508"/>
    <tableColumn id="12" xr3:uid="{00000000-0010-0000-0C00-00000C000000}" name="int" dataDxfId="5507"/>
    <tableColumn id="13" xr3:uid="{00000000-0010-0000-0C00-00000D000000}" name="car" dataDxfId="5506"/>
    <tableColumn id="14" xr3:uid="{00000000-0010-0000-0C00-00000E000000}" name="r_yd" dataDxfId="5505"/>
    <tableColumn id="15" xr3:uid="{00000000-0010-0000-0C00-00000F000000}" name="r_td" dataDxfId="5504"/>
    <tableColumn id="16" xr3:uid="{00000000-0010-0000-0C00-000010000000}" name="tgt" dataDxfId="5503"/>
    <tableColumn id="17" xr3:uid="{00000000-0010-0000-0C00-000011000000}" name="rec" dataDxfId="5502"/>
    <tableColumn id="18" xr3:uid="{00000000-0010-0000-0C00-000012000000}" name="rec_yd" dataDxfId="5501"/>
    <tableColumn id="19" xr3:uid="{00000000-0010-0000-0C00-000013000000}" name="rec_td" dataDxfId="5500"/>
    <tableColumn id="20" xr3:uid="{00000000-0010-0000-0C00-000014000000}" name="fmb" dataDxfId="5499"/>
    <tableColumn id="21" xr3:uid="{00000000-0010-0000-0C00-000015000000}" name="tp_c" dataDxfId="5498"/>
    <tableColumn id="22" xr3:uid="{00000000-0010-0000-0C00-000016000000}" name="f_ppr" dataDxfId="5497">
      <calculatedColumnFormula>($J61*0.04)+($K61*4)+($L61*-2)+($N61*0.1)+($O61*6)+($Q61)+($R61*0.1)+($S61*6)+($T61*-2)</calculatedColumnFormula>
    </tableColumn>
    <tableColumn id="23" xr3:uid="{00000000-0010-0000-0C00-000017000000}" name="tgt_share" dataDxfId="5496">
      <calculatedColumnFormula>$P61/$H$33</calculatedColumnFormula>
    </tableColumn>
    <tableColumn id="24" xr3:uid="{00000000-0010-0000-0C00-000018000000}" name="ypc" dataDxfId="5495">
      <calculatedColumnFormula>$N61/$M61</calculatedColumnFormula>
    </tableColumn>
    <tableColumn id="25" xr3:uid="{00000000-0010-0000-0C00-000019000000}" name="ypr" dataDxfId="5494">
      <calculatedColumnFormula>$R61/$Q61</calculatedColumnFormula>
    </tableColumn>
    <tableColumn id="26" xr3:uid="{00000000-0010-0000-0C00-00001A000000}" name="cmp_pct" dataDxfId="5493">
      <calculatedColumnFormula>$I61/$H61</calculatedColumnFormula>
    </tableColumn>
    <tableColumn id="27" xr3:uid="{00000000-0010-0000-0C00-00001B000000}" name="td_rate" dataDxfId="5492">
      <calculatedColumnFormula>$K61/$H61</calculatedColumnFormula>
    </tableColumn>
    <tableColumn id="28" xr3:uid="{00000000-0010-0000-0C00-00001C000000}" name="f_custom" dataDxfId="549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ATL_Table7" displayName="ATL_Table7" ref="A75:AB82" totalsRowShown="0" headerRowDxfId="5489" dataDxfId="5460">
  <autoFilter ref="A75:AB82" xr:uid="{00000000-0009-0000-0100-000010000000}"/>
  <tableColumns count="28">
    <tableColumn id="1" xr3:uid="{00000000-0010-0000-0D00-000001000000}" name="Name" dataDxfId="5488"/>
    <tableColumn id="2" xr3:uid="{00000000-0010-0000-0D00-000002000000}" name="POS" dataDxfId="5487"/>
    <tableColumn id="3" xr3:uid="{00000000-0010-0000-0D00-000003000000}" name="Age" dataDxfId="5486"/>
    <tableColumn id="4" xr3:uid="{00000000-0010-0000-0D00-000004000000}" name="Exp" dataDxfId="5485"/>
    <tableColumn id="5" xr3:uid="{00000000-0010-0000-0D00-000005000000}" name="College" dataDxfId="5484"/>
    <tableColumn id="6" xr3:uid="{00000000-0010-0000-0D00-000006000000}" name="team" dataDxfId="5483"/>
    <tableColumn id="7" xr3:uid="{00000000-0010-0000-0D00-000007000000}" name="g" dataDxfId="5482"/>
    <tableColumn id="8" xr3:uid="{00000000-0010-0000-0D00-000008000000}" name="p_att" dataDxfId="5481"/>
    <tableColumn id="9" xr3:uid="{00000000-0010-0000-0D00-000009000000}" name="cmp" dataDxfId="5480"/>
    <tableColumn id="10" xr3:uid="{00000000-0010-0000-0D00-00000A000000}" name="p_yd" dataDxfId="5479"/>
    <tableColumn id="11" xr3:uid="{00000000-0010-0000-0D00-00000B000000}" name="p_td" dataDxfId="5478"/>
    <tableColumn id="12" xr3:uid="{00000000-0010-0000-0D00-00000C000000}" name="int" dataDxfId="5477"/>
    <tableColumn id="13" xr3:uid="{00000000-0010-0000-0D00-00000D000000}" name="car" dataDxfId="5476"/>
    <tableColumn id="14" xr3:uid="{00000000-0010-0000-0D00-00000E000000}" name="r_yd" dataDxfId="5475"/>
    <tableColumn id="15" xr3:uid="{00000000-0010-0000-0D00-00000F000000}" name="r_td" dataDxfId="5474"/>
    <tableColumn id="16" xr3:uid="{00000000-0010-0000-0D00-000010000000}" name="tgt" dataDxfId="5473"/>
    <tableColumn id="17" xr3:uid="{00000000-0010-0000-0D00-000011000000}" name="rec" dataDxfId="5472"/>
    <tableColumn id="18" xr3:uid="{00000000-0010-0000-0D00-000012000000}" name="rec_yd" dataDxfId="5471"/>
    <tableColumn id="19" xr3:uid="{00000000-0010-0000-0D00-000013000000}" name="rec_td" dataDxfId="5470"/>
    <tableColumn id="20" xr3:uid="{00000000-0010-0000-0D00-000014000000}" name="fmb" dataDxfId="5469"/>
    <tableColumn id="21" xr3:uid="{00000000-0010-0000-0D00-000015000000}" name="tp_c" dataDxfId="5468"/>
    <tableColumn id="22" xr3:uid="{00000000-0010-0000-0D00-000016000000}" name="f_ppr" dataDxfId="5467">
      <calculatedColumnFormula>($J76*0.04)+($K76*4)+($L76*-2)+($N76*0.1)+($O76*6)+($Q76)+($R76*0.1)+($S76*6)+($T76*-2)</calculatedColumnFormula>
    </tableColumn>
    <tableColumn id="23" xr3:uid="{00000000-0010-0000-0D00-000017000000}" name="tgt_share" dataDxfId="5466">
      <calculatedColumnFormula>$P76/$H$33</calculatedColumnFormula>
    </tableColumn>
    <tableColumn id="24" xr3:uid="{00000000-0010-0000-0D00-000018000000}" name="ypc" dataDxfId="5465">
      <calculatedColumnFormula>$N76/$M76</calculatedColumnFormula>
    </tableColumn>
    <tableColumn id="25" xr3:uid="{00000000-0010-0000-0D00-000019000000}" name="ypr" dataDxfId="5464">
      <calculatedColumnFormula>$R76/$Q76</calculatedColumnFormula>
    </tableColumn>
    <tableColumn id="26" xr3:uid="{00000000-0010-0000-0D00-00001A000000}" name="cmp_pct" dataDxfId="5463">
      <calculatedColumnFormula>$I76/$H76</calculatedColumnFormula>
    </tableColumn>
    <tableColumn id="27" xr3:uid="{00000000-0010-0000-0D00-00001B000000}" name="td_rate" dataDxfId="5462">
      <calculatedColumnFormula>$K76/$H76</calculatedColumnFormula>
    </tableColumn>
    <tableColumn id="28" xr3:uid="{00000000-0010-0000-0D00-00001C000000}" name="f_custom" dataDxfId="546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BAL_Table1" displayName="BAL_Table1" ref="A1:Y22" totalsRowShown="0" headerRowDxfId="5459" dataDxfId="5433">
  <autoFilter ref="A1:Y22" xr:uid="{00000000-0009-0000-0100-000011000000}"/>
  <tableColumns count="25">
    <tableColumn id="1" xr3:uid="{00000000-0010-0000-0E00-000001000000}" name="player_name" dataDxfId="5458"/>
    <tableColumn id="2" xr3:uid="{00000000-0010-0000-0E00-000002000000}" name="recent_team" dataDxfId="5457"/>
    <tableColumn id="3" xr3:uid="{00000000-0010-0000-0E00-000003000000}" name="pos" dataDxfId="5456"/>
    <tableColumn id="4" xr3:uid="{00000000-0010-0000-0E00-000004000000}" name="g" dataDxfId="5455"/>
    <tableColumn id="5" xr3:uid="{00000000-0010-0000-0E00-000005000000}" name="p_att" dataDxfId="5454"/>
    <tableColumn id="6" xr3:uid="{00000000-0010-0000-0E00-000006000000}" name="cmp" dataDxfId="5453"/>
    <tableColumn id="7" xr3:uid="{00000000-0010-0000-0E00-000007000000}" name="p_yd" dataDxfId="5452"/>
    <tableColumn id="8" xr3:uid="{00000000-0010-0000-0E00-000008000000}" name="p_td" dataDxfId="5451"/>
    <tableColumn id="9" xr3:uid="{00000000-0010-0000-0E00-000009000000}" name="int" dataDxfId="5450"/>
    <tableColumn id="10" xr3:uid="{00000000-0010-0000-0E00-00000A000000}" name="car" dataDxfId="5449"/>
    <tableColumn id="11" xr3:uid="{00000000-0010-0000-0E00-00000B000000}" name="r_yd" dataDxfId="5448"/>
    <tableColumn id="12" xr3:uid="{00000000-0010-0000-0E00-00000C000000}" name="r_td" dataDxfId="5447"/>
    <tableColumn id="13" xr3:uid="{00000000-0010-0000-0E00-00000D000000}" name="tgt" dataDxfId="5446"/>
    <tableColumn id="14" xr3:uid="{00000000-0010-0000-0E00-00000E000000}" name="rec" dataDxfId="5445"/>
    <tableColumn id="15" xr3:uid="{00000000-0010-0000-0E00-00000F000000}" name="rec_yd" dataDxfId="5444"/>
    <tableColumn id="16" xr3:uid="{00000000-0010-0000-0E00-000010000000}" name="rec_td" dataDxfId="5443"/>
    <tableColumn id="17" xr3:uid="{00000000-0010-0000-0E00-000011000000}" name="fmb" dataDxfId="5442"/>
    <tableColumn id="18" xr3:uid="{00000000-0010-0000-0E00-000012000000}" name="tp_c" dataDxfId="5441"/>
    <tableColumn id="19" xr3:uid="{00000000-0010-0000-0E00-000013000000}" name="f_ppr" dataDxfId="5440"/>
    <tableColumn id="20" xr3:uid="{00000000-0010-0000-0E00-000014000000}" name="tgt_share" dataDxfId="5439"/>
    <tableColumn id="21" xr3:uid="{00000000-0010-0000-0E00-000015000000}" name="ypc" dataDxfId="5438"/>
    <tableColumn id="22" xr3:uid="{00000000-0010-0000-0E00-000016000000}" name="ypr" dataDxfId="5437"/>
    <tableColumn id="23" xr3:uid="{00000000-0010-0000-0E00-000017000000}" name="cmp_pct" dataDxfId="5436"/>
    <tableColumn id="24" xr3:uid="{00000000-0010-0000-0E00-000018000000}" name="td_rate" dataDxfId="5435"/>
    <tableColumn id="25" xr3:uid="{3610B752-9569-47E7-BD12-40F7D53FAE8E}" name="f_custom" dataDxfId="543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BAL_Table2" displayName="BAL_Table2" ref="A30:M31" totalsRowShown="0" headerRowDxfId="5432" dataDxfId="5418">
  <autoFilter ref="A30:M31" xr:uid="{00000000-0009-0000-0100-000012000000}"/>
  <tableColumns count="13">
    <tableColumn id="1" xr3:uid="{00000000-0010-0000-0F00-000001000000}" name="team" dataDxfId="5431"/>
    <tableColumn id="2" xr3:uid="{00000000-0010-0000-0F00-000002000000}" name="off_yd" dataDxfId="5430"/>
    <tableColumn id="3" xr3:uid="{00000000-0010-0000-0F00-000003000000}" name="p_yd" dataDxfId="5429"/>
    <tableColumn id="4" xr3:uid="{00000000-0010-0000-0F00-000004000000}" name="car" dataDxfId="5428"/>
    <tableColumn id="5" xr3:uid="{00000000-0010-0000-0F00-000005000000}" name="r_yd" dataDxfId="5427"/>
    <tableColumn id="6" xr3:uid="{00000000-0010-0000-0F00-000006000000}" name="r_td" dataDxfId="5426"/>
    <tableColumn id="7" xr3:uid="{00000000-0010-0000-0F00-000007000000}" name="p_ff" dataDxfId="5425"/>
    <tableColumn id="8" xr3:uid="{00000000-0010-0000-0F00-000008000000}" name="p_att" dataDxfId="5424"/>
    <tableColumn id="9" xr3:uid="{00000000-0010-0000-0F00-000009000000}" name="cmp_pct" dataDxfId="5423"/>
    <tableColumn id="10" xr3:uid="{00000000-0010-0000-0F00-00000A000000}" name="p_td" dataDxfId="5422"/>
    <tableColumn id="11" xr3:uid="{00000000-0010-0000-0F00-00000B000000}" name="int" dataDxfId="5421"/>
    <tableColumn id="12" xr3:uid="{00000000-0010-0000-0F00-00000C000000}" name="fmb" dataDxfId="5420"/>
    <tableColumn id="13" xr3:uid="{E04845BE-580E-4B50-81EB-301BD745B55E}" name="f_custom" dataDxfId="541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BAL_Table3" displayName="BAL_Table3" ref="A32:M33" totalsRowShown="0" headerRowDxfId="5417" dataDxfId="5403">
  <autoFilter ref="A32:M33" xr:uid="{00000000-0009-0000-0100-000013000000}"/>
  <tableColumns count="13">
    <tableColumn id="1" xr3:uid="{00000000-0010-0000-1000-000001000000}" name="team" dataDxfId="5416">
      <calculatedColumnFormula>A31</calculatedColumnFormula>
    </tableColumn>
    <tableColumn id="2" xr3:uid="{00000000-0010-0000-1000-000002000000}" name="off_yd" dataDxfId="5415">
      <calculatedColumnFormula>C33 + E33</calculatedColumnFormula>
    </tableColumn>
    <tableColumn id="3" xr3:uid="{00000000-0010-0000-1000-000003000000}" name="p_yd" dataDxfId="5414">
      <calculatedColumnFormula>SUM(INDIRECT(A33 &amp; "_Table4[[#All],[p_yd]]"))</calculatedColumnFormula>
    </tableColumn>
    <tableColumn id="4" xr3:uid="{00000000-0010-0000-1000-000004000000}" name="car" dataDxfId="541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000-000005000000}" name="r_yd" dataDxfId="541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000-000006000000}" name="r_td" dataDxfId="541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000-000007000000}" name="p_ff" dataDxfId="541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000-000008000000}" name="p_att" dataDxfId="540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000-000009000000}" name="cmp_pct" dataDxfId="5408">
      <calculatedColumnFormula>SUM(INDIRECT(A33 &amp; "_Table4[[#All],[cmp]]"))/H33</calculatedColumnFormula>
    </tableColumn>
    <tableColumn id="10" xr3:uid="{00000000-0010-0000-1000-00000A000000}" name="p_td" dataDxfId="540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000-00000B000000}" name="int" dataDxfId="540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000-00000C000000}" name="fmb" dataDxfId="540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00904C53-B272-4937-8380-CD2488C8CA19}" name="f_custom" dataDxfId="540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BAL_Table4" displayName="BAL_Table4" ref="A35:AB39" totalsRowShown="0" headerRowDxfId="5402" dataDxfId="5373">
  <autoFilter ref="A35:AB39" xr:uid="{00000000-0009-0000-0100-000014000000}"/>
  <tableColumns count="28">
    <tableColumn id="1" xr3:uid="{00000000-0010-0000-1100-000001000000}" name="Name" dataDxfId="5401"/>
    <tableColumn id="2" xr3:uid="{00000000-0010-0000-1100-000002000000}" name="POS" dataDxfId="5400"/>
    <tableColumn id="3" xr3:uid="{00000000-0010-0000-1100-000003000000}" name="Age" dataDxfId="5399"/>
    <tableColumn id="4" xr3:uid="{00000000-0010-0000-1100-000004000000}" name="Exp" dataDxfId="5398"/>
    <tableColumn id="5" xr3:uid="{00000000-0010-0000-1100-000005000000}" name="College" dataDxfId="5397"/>
    <tableColumn id="6" xr3:uid="{00000000-0010-0000-1100-000006000000}" name="team" dataDxfId="5396"/>
    <tableColumn id="7" xr3:uid="{00000000-0010-0000-1100-000007000000}" name="g" dataDxfId="5395"/>
    <tableColumn id="8" xr3:uid="{00000000-0010-0000-1100-000008000000}" name="p_att" dataDxfId="5394"/>
    <tableColumn id="9" xr3:uid="{00000000-0010-0000-1100-000009000000}" name="cmp" dataDxfId="5393"/>
    <tableColumn id="10" xr3:uid="{00000000-0010-0000-1100-00000A000000}" name="p_yd" dataDxfId="5392"/>
    <tableColumn id="11" xr3:uid="{00000000-0010-0000-1100-00000B000000}" name="p_td" dataDxfId="5391"/>
    <tableColumn id="12" xr3:uid="{00000000-0010-0000-1100-00000C000000}" name="int" dataDxfId="5390"/>
    <tableColumn id="13" xr3:uid="{00000000-0010-0000-1100-00000D000000}" name="car" dataDxfId="5389"/>
    <tableColumn id="14" xr3:uid="{00000000-0010-0000-1100-00000E000000}" name="r_yd" dataDxfId="5388"/>
    <tableColumn id="15" xr3:uid="{00000000-0010-0000-1100-00000F000000}" name="r_td" dataDxfId="5387"/>
    <tableColumn id="16" xr3:uid="{00000000-0010-0000-1100-000010000000}" name="tgt" dataDxfId="5386"/>
    <tableColumn id="17" xr3:uid="{00000000-0010-0000-1100-000011000000}" name="rec" dataDxfId="5385"/>
    <tableColumn id="18" xr3:uid="{00000000-0010-0000-1100-000012000000}" name="rec_yd" dataDxfId="5384"/>
    <tableColumn id="19" xr3:uid="{00000000-0010-0000-1100-000013000000}" name="rec_td" dataDxfId="5383"/>
    <tableColumn id="20" xr3:uid="{00000000-0010-0000-1100-000014000000}" name="fmb" dataDxfId="5382"/>
    <tableColumn id="21" xr3:uid="{00000000-0010-0000-1100-000015000000}" name="tp_c" dataDxfId="5381"/>
    <tableColumn id="22" xr3:uid="{00000000-0010-0000-1100-000016000000}" name="f_ppr" dataDxfId="5380">
      <calculatedColumnFormula>($J36*0.04)+($K36*4)+($L36*-2)+($N36*0.1)+($O36*6)+($Q36)+($R36*0.1)+($S36*6)+($T36*-2)</calculatedColumnFormula>
    </tableColumn>
    <tableColumn id="23" xr3:uid="{00000000-0010-0000-1100-000017000000}" name="tgt_share" dataDxfId="5379">
      <calculatedColumnFormula>$P36/$H$33</calculatedColumnFormula>
    </tableColumn>
    <tableColumn id="24" xr3:uid="{00000000-0010-0000-1100-000018000000}" name="ypc" dataDxfId="5378">
      <calculatedColumnFormula>$N36/$M36</calculatedColumnFormula>
    </tableColumn>
    <tableColumn id="25" xr3:uid="{00000000-0010-0000-1100-000019000000}" name="ypr" dataDxfId="5377">
      <calculatedColumnFormula>$R36/$Q36</calculatedColumnFormula>
    </tableColumn>
    <tableColumn id="26" xr3:uid="{00000000-0010-0000-1100-00001A000000}" name="cmp_pct" dataDxfId="5376">
      <calculatedColumnFormula>$I36/$H36</calculatedColumnFormula>
    </tableColumn>
    <tableColumn id="27" xr3:uid="{00000000-0010-0000-1100-00001B000000}" name="td_rate" dataDxfId="5375">
      <calculatedColumnFormula>$K36/$H36</calculatedColumnFormula>
    </tableColumn>
    <tableColumn id="28" xr3:uid="{00000000-0010-0000-1100-00001C000000}" name="f_custom" dataDxfId="537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BAL_Table5" displayName="BAL_Table5" ref="A45:AB51" totalsRowShown="0" headerRowDxfId="5372" dataDxfId="5343">
  <autoFilter ref="A45:AB51" xr:uid="{00000000-0009-0000-0100-000015000000}"/>
  <tableColumns count="28">
    <tableColumn id="1" xr3:uid="{00000000-0010-0000-1200-000001000000}" name="Name" dataDxfId="5371"/>
    <tableColumn id="2" xr3:uid="{00000000-0010-0000-1200-000002000000}" name="POS" dataDxfId="5370"/>
    <tableColumn id="3" xr3:uid="{00000000-0010-0000-1200-000003000000}" name="Age" dataDxfId="5369"/>
    <tableColumn id="4" xr3:uid="{00000000-0010-0000-1200-000004000000}" name="Exp" dataDxfId="5368"/>
    <tableColumn id="5" xr3:uid="{00000000-0010-0000-1200-000005000000}" name="College" dataDxfId="5367"/>
    <tableColumn id="6" xr3:uid="{00000000-0010-0000-1200-000006000000}" name="team" dataDxfId="5366"/>
    <tableColumn id="7" xr3:uid="{00000000-0010-0000-1200-000007000000}" name="g" dataDxfId="5365"/>
    <tableColumn id="8" xr3:uid="{00000000-0010-0000-1200-000008000000}" name="p_att" dataDxfId="5364"/>
    <tableColumn id="9" xr3:uid="{00000000-0010-0000-1200-000009000000}" name="cmp" dataDxfId="5363"/>
    <tableColumn id="10" xr3:uid="{00000000-0010-0000-1200-00000A000000}" name="p_yd" dataDxfId="5362"/>
    <tableColumn id="11" xr3:uid="{00000000-0010-0000-1200-00000B000000}" name="p_td" dataDxfId="5361"/>
    <tableColumn id="12" xr3:uid="{00000000-0010-0000-1200-00000C000000}" name="int" dataDxfId="5360"/>
    <tableColumn id="13" xr3:uid="{00000000-0010-0000-1200-00000D000000}" name="car" dataDxfId="5359"/>
    <tableColumn id="14" xr3:uid="{00000000-0010-0000-1200-00000E000000}" name="r_yd" dataDxfId="5358"/>
    <tableColumn id="15" xr3:uid="{00000000-0010-0000-1200-00000F000000}" name="r_td" dataDxfId="5357"/>
    <tableColumn id="16" xr3:uid="{00000000-0010-0000-1200-000010000000}" name="tgt" dataDxfId="5356"/>
    <tableColumn id="17" xr3:uid="{00000000-0010-0000-1200-000011000000}" name="rec" dataDxfId="5355"/>
    <tableColumn id="18" xr3:uid="{00000000-0010-0000-1200-000012000000}" name="rec_yd" dataDxfId="5354"/>
    <tableColumn id="19" xr3:uid="{00000000-0010-0000-1200-000013000000}" name="rec_td" dataDxfId="5353"/>
    <tableColumn id="20" xr3:uid="{00000000-0010-0000-1200-000014000000}" name="fmb" dataDxfId="5352"/>
    <tableColumn id="21" xr3:uid="{00000000-0010-0000-1200-000015000000}" name="tp_c" dataDxfId="5351"/>
    <tableColumn id="22" xr3:uid="{00000000-0010-0000-1200-000016000000}" name="f_ppr" dataDxfId="5350">
      <calculatedColumnFormula>($J46*0.04)+($K46*4)+($L46*-2)+($N46*0.1)+($O46*6)+($Q46)+($R46*0.1)+($S46*6)+($T46*-2)</calculatedColumnFormula>
    </tableColumn>
    <tableColumn id="23" xr3:uid="{00000000-0010-0000-1200-000017000000}" name="tgt_share" dataDxfId="5349">
      <calculatedColumnFormula>$P46/$H$33</calculatedColumnFormula>
    </tableColumn>
    <tableColumn id="24" xr3:uid="{00000000-0010-0000-1200-000018000000}" name="ypc" dataDxfId="5348">
      <calculatedColumnFormula>$N46/$M46</calculatedColumnFormula>
    </tableColumn>
    <tableColumn id="25" xr3:uid="{00000000-0010-0000-1200-000019000000}" name="ypr" dataDxfId="5347">
      <calculatedColumnFormula>$R46/$Q46</calculatedColumnFormula>
    </tableColumn>
    <tableColumn id="26" xr3:uid="{00000000-0010-0000-1200-00001A000000}" name="cmp_pct" dataDxfId="5346">
      <calculatedColumnFormula>$I46/$H46</calculatedColumnFormula>
    </tableColumn>
    <tableColumn id="27" xr3:uid="{00000000-0010-0000-1200-00001B000000}" name="td_rate" dataDxfId="5345">
      <calculatedColumnFormula>$K46/$H46</calculatedColumnFormula>
    </tableColumn>
    <tableColumn id="28" xr3:uid="{00000000-0010-0000-1200-00001C000000}" name="f_custom" dataDxfId="534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AL_Table6" displayName="BAL_Table6" ref="A60:AB72" totalsRowShown="0" headerRowDxfId="5342" dataDxfId="5313">
  <autoFilter ref="A60:AB72" xr:uid="{00000000-0009-0000-0100-000016000000}"/>
  <tableColumns count="28">
    <tableColumn id="1" xr3:uid="{00000000-0010-0000-1300-000001000000}" name="Name" dataDxfId="5341"/>
    <tableColumn id="2" xr3:uid="{00000000-0010-0000-1300-000002000000}" name="POS" dataDxfId="5340"/>
    <tableColumn id="3" xr3:uid="{00000000-0010-0000-1300-000003000000}" name="Age" dataDxfId="5339"/>
    <tableColumn id="4" xr3:uid="{00000000-0010-0000-1300-000004000000}" name="Exp" dataDxfId="5338"/>
    <tableColumn id="5" xr3:uid="{00000000-0010-0000-1300-000005000000}" name="College" dataDxfId="5337"/>
    <tableColumn id="6" xr3:uid="{00000000-0010-0000-1300-000006000000}" name="team" dataDxfId="5336"/>
    <tableColumn id="7" xr3:uid="{00000000-0010-0000-1300-000007000000}" name="g" dataDxfId="5335"/>
    <tableColumn id="8" xr3:uid="{00000000-0010-0000-1300-000008000000}" name="p_att" dataDxfId="5334"/>
    <tableColumn id="9" xr3:uid="{00000000-0010-0000-1300-000009000000}" name="cmp" dataDxfId="5333"/>
    <tableColumn id="10" xr3:uid="{00000000-0010-0000-1300-00000A000000}" name="p_yd" dataDxfId="5332"/>
    <tableColumn id="11" xr3:uid="{00000000-0010-0000-1300-00000B000000}" name="p_td" dataDxfId="5331"/>
    <tableColumn id="12" xr3:uid="{00000000-0010-0000-1300-00000C000000}" name="int" dataDxfId="5330"/>
    <tableColumn id="13" xr3:uid="{00000000-0010-0000-1300-00000D000000}" name="car" dataDxfId="5329"/>
    <tableColumn id="14" xr3:uid="{00000000-0010-0000-1300-00000E000000}" name="r_yd" dataDxfId="5328"/>
    <tableColumn id="15" xr3:uid="{00000000-0010-0000-1300-00000F000000}" name="r_td" dataDxfId="5327"/>
    <tableColumn id="16" xr3:uid="{00000000-0010-0000-1300-000010000000}" name="tgt" dataDxfId="5326"/>
    <tableColumn id="17" xr3:uid="{00000000-0010-0000-1300-000011000000}" name="rec" dataDxfId="5325"/>
    <tableColumn id="18" xr3:uid="{00000000-0010-0000-1300-000012000000}" name="rec_yd" dataDxfId="5324"/>
    <tableColumn id="19" xr3:uid="{00000000-0010-0000-1300-000013000000}" name="rec_td" dataDxfId="5323"/>
    <tableColumn id="20" xr3:uid="{00000000-0010-0000-1300-000014000000}" name="fmb" dataDxfId="5322"/>
    <tableColumn id="21" xr3:uid="{00000000-0010-0000-1300-000015000000}" name="tp_c" dataDxfId="5321"/>
    <tableColumn id="22" xr3:uid="{00000000-0010-0000-1300-000016000000}" name="f_ppr" dataDxfId="5320">
      <calculatedColumnFormula>($J61*0.04)+($K61*4)+($L61*-2)+($N61*0.1)+($O61*6)+($Q61)+($R61*0.1)+($S61*6)+($T61*-2)</calculatedColumnFormula>
    </tableColumn>
    <tableColumn id="23" xr3:uid="{00000000-0010-0000-1300-000017000000}" name="tgt_share" dataDxfId="5319">
      <calculatedColumnFormula>$P61/$H$33</calculatedColumnFormula>
    </tableColumn>
    <tableColumn id="24" xr3:uid="{00000000-0010-0000-1300-000018000000}" name="ypc" dataDxfId="5318">
      <calculatedColumnFormula>$N61/$M61</calculatedColumnFormula>
    </tableColumn>
    <tableColumn id="25" xr3:uid="{00000000-0010-0000-1300-000019000000}" name="ypr" dataDxfId="5317">
      <calculatedColumnFormula>$R61/$Q61</calculatedColumnFormula>
    </tableColumn>
    <tableColumn id="26" xr3:uid="{00000000-0010-0000-1300-00001A000000}" name="cmp_pct" dataDxfId="5316">
      <calculatedColumnFormula>$I61/$H61</calculatedColumnFormula>
    </tableColumn>
    <tableColumn id="27" xr3:uid="{00000000-0010-0000-1300-00001B000000}" name="td_rate" dataDxfId="5315">
      <calculatedColumnFormula>$J61/$H61</calculatedColumnFormula>
    </tableColumn>
    <tableColumn id="28" xr3:uid="{00000000-0010-0000-1300-00001C000000}" name="f_custom" dataDxfId="531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BAL_Table7" displayName="BAL_Table7" ref="A75:AB79" totalsRowShown="0" headerRowDxfId="5312" dataDxfId="5283">
  <autoFilter ref="A75:AB79" xr:uid="{00000000-0009-0000-0100-000017000000}"/>
  <tableColumns count="28">
    <tableColumn id="1" xr3:uid="{00000000-0010-0000-1400-000001000000}" name="Name" dataDxfId="5311"/>
    <tableColumn id="2" xr3:uid="{00000000-0010-0000-1400-000002000000}" name="POS" dataDxfId="5310"/>
    <tableColumn id="3" xr3:uid="{00000000-0010-0000-1400-000003000000}" name="Age" dataDxfId="5309"/>
    <tableColumn id="4" xr3:uid="{00000000-0010-0000-1400-000004000000}" name="Exp" dataDxfId="5308"/>
    <tableColumn id="5" xr3:uid="{00000000-0010-0000-1400-000005000000}" name="College" dataDxfId="5307"/>
    <tableColumn id="6" xr3:uid="{00000000-0010-0000-1400-000006000000}" name="team" dataDxfId="5306"/>
    <tableColumn id="7" xr3:uid="{00000000-0010-0000-1400-000007000000}" name="g" dataDxfId="5305"/>
    <tableColumn id="8" xr3:uid="{00000000-0010-0000-1400-000008000000}" name="p_att" dataDxfId="5304"/>
    <tableColumn id="9" xr3:uid="{00000000-0010-0000-1400-000009000000}" name="cmp" dataDxfId="5303"/>
    <tableColumn id="10" xr3:uid="{00000000-0010-0000-1400-00000A000000}" name="p_yd" dataDxfId="5302"/>
    <tableColumn id="11" xr3:uid="{00000000-0010-0000-1400-00000B000000}" name="p_td" dataDxfId="5301"/>
    <tableColumn id="12" xr3:uid="{00000000-0010-0000-1400-00000C000000}" name="int" dataDxfId="5300"/>
    <tableColumn id="13" xr3:uid="{00000000-0010-0000-1400-00000D000000}" name="car" dataDxfId="5299"/>
    <tableColumn id="14" xr3:uid="{00000000-0010-0000-1400-00000E000000}" name="r_yd" dataDxfId="5298"/>
    <tableColumn id="15" xr3:uid="{00000000-0010-0000-1400-00000F000000}" name="r_td" dataDxfId="5297"/>
    <tableColumn id="16" xr3:uid="{00000000-0010-0000-1400-000010000000}" name="tgt" dataDxfId="5296"/>
    <tableColumn id="17" xr3:uid="{00000000-0010-0000-1400-000011000000}" name="rec" dataDxfId="5295"/>
    <tableColumn id="18" xr3:uid="{00000000-0010-0000-1400-000012000000}" name="rec_yd" dataDxfId="5294"/>
    <tableColumn id="19" xr3:uid="{00000000-0010-0000-1400-000013000000}" name="rec_td" dataDxfId="5293"/>
    <tableColumn id="20" xr3:uid="{00000000-0010-0000-1400-000014000000}" name="fmb" dataDxfId="5292"/>
    <tableColumn id="21" xr3:uid="{00000000-0010-0000-1400-000015000000}" name="tp_c" dataDxfId="5291"/>
    <tableColumn id="22" xr3:uid="{00000000-0010-0000-1400-000016000000}" name="f_ppr" dataDxfId="5290">
      <calculatedColumnFormula>($J76*0.04)+($K76*4)+($L76*-2)+($N76*0.1)+($O76*6)+($Q76)+($R76*0.1)+($S76*6)+($T76*-2)</calculatedColumnFormula>
    </tableColumn>
    <tableColumn id="23" xr3:uid="{00000000-0010-0000-1400-000017000000}" name="tgt_share" dataDxfId="5289">
      <calculatedColumnFormula>$P76/$H$33</calculatedColumnFormula>
    </tableColumn>
    <tableColumn id="24" xr3:uid="{00000000-0010-0000-1400-000018000000}" name="ypc" dataDxfId="5288">
      <calculatedColumnFormula>$N76/$M76</calculatedColumnFormula>
    </tableColumn>
    <tableColumn id="25" xr3:uid="{00000000-0010-0000-1400-000019000000}" name="ypr" dataDxfId="5287">
      <calculatedColumnFormula>$R76/$Q76</calculatedColumnFormula>
    </tableColumn>
    <tableColumn id="26" xr3:uid="{00000000-0010-0000-1400-00001A000000}" name="cmp_pct" dataDxfId="5286">
      <calculatedColumnFormula>$I76/$H76</calculatedColumnFormula>
    </tableColumn>
    <tableColumn id="27" xr3:uid="{00000000-0010-0000-1400-00001B000000}" name="td_rate" dataDxfId="5285">
      <calculatedColumnFormula>$J76/$H76</calculatedColumnFormula>
    </tableColumn>
    <tableColumn id="28" xr3:uid="{00000000-0010-0000-1400-00001C000000}" name="f_custom" dataDxfId="528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BUF_Table1" displayName="BUF_Table1" ref="A1:Y22" totalsRowShown="0" headerRowDxfId="5282" dataDxfId="5256">
  <autoFilter ref="A1:Y22" xr:uid="{00000000-0009-0000-0100-000018000000}"/>
  <tableColumns count="25">
    <tableColumn id="1" xr3:uid="{00000000-0010-0000-1500-000001000000}" name="player_name" dataDxfId="5281"/>
    <tableColumn id="2" xr3:uid="{00000000-0010-0000-1500-000002000000}" name="recent_team" dataDxfId="5280"/>
    <tableColumn id="3" xr3:uid="{00000000-0010-0000-1500-000003000000}" name="pos" dataDxfId="5279"/>
    <tableColumn id="4" xr3:uid="{00000000-0010-0000-1500-000004000000}" name="g" dataDxfId="5278"/>
    <tableColumn id="5" xr3:uid="{00000000-0010-0000-1500-000005000000}" name="p_att" dataDxfId="5277"/>
    <tableColumn id="6" xr3:uid="{00000000-0010-0000-1500-000006000000}" name="cmp" dataDxfId="5276"/>
    <tableColumn id="7" xr3:uid="{00000000-0010-0000-1500-000007000000}" name="p_yd" dataDxfId="5275"/>
    <tableColumn id="8" xr3:uid="{00000000-0010-0000-1500-000008000000}" name="p_td" dataDxfId="5274"/>
    <tableColumn id="9" xr3:uid="{00000000-0010-0000-1500-000009000000}" name="int" dataDxfId="5273"/>
    <tableColumn id="10" xr3:uid="{00000000-0010-0000-1500-00000A000000}" name="car" dataDxfId="5272"/>
    <tableColumn id="11" xr3:uid="{00000000-0010-0000-1500-00000B000000}" name="r_yd" dataDxfId="5271"/>
    <tableColumn id="12" xr3:uid="{00000000-0010-0000-1500-00000C000000}" name="r_td" dataDxfId="5270"/>
    <tableColumn id="13" xr3:uid="{00000000-0010-0000-1500-00000D000000}" name="tgt" dataDxfId="5269"/>
    <tableColumn id="14" xr3:uid="{00000000-0010-0000-1500-00000E000000}" name="rec" dataDxfId="5268"/>
    <tableColumn id="15" xr3:uid="{00000000-0010-0000-1500-00000F000000}" name="rec_yd" dataDxfId="5267"/>
    <tableColumn id="16" xr3:uid="{00000000-0010-0000-1500-000010000000}" name="rec_td" dataDxfId="5266"/>
    <tableColumn id="17" xr3:uid="{00000000-0010-0000-1500-000011000000}" name="fmb" dataDxfId="5265"/>
    <tableColumn id="18" xr3:uid="{00000000-0010-0000-1500-000012000000}" name="tp_c" dataDxfId="5264"/>
    <tableColumn id="19" xr3:uid="{00000000-0010-0000-1500-000013000000}" name="f_ppr" dataDxfId="5263"/>
    <tableColumn id="20" xr3:uid="{00000000-0010-0000-1500-000014000000}" name="tgt_share" dataDxfId="5262"/>
    <tableColumn id="21" xr3:uid="{00000000-0010-0000-1500-000015000000}" name="ypc" dataDxfId="5261"/>
    <tableColumn id="22" xr3:uid="{00000000-0010-0000-1500-000016000000}" name="ypr" dataDxfId="5260"/>
    <tableColumn id="23" xr3:uid="{00000000-0010-0000-1500-000017000000}" name="cmp_pct" dataDxfId="5259"/>
    <tableColumn id="24" xr3:uid="{00000000-0010-0000-1500-000018000000}" name="td_rate" dataDxfId="5258"/>
    <tableColumn id="25" xr3:uid="{04AE5BDB-85E2-4128-8B04-A6C46DB27B83}" name="f_custom" dataDxfId="525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BUF_Table2" displayName="BUF_Table2" ref="A30:M31" totalsRowShown="0" headerRowDxfId="5255" dataDxfId="5241">
  <autoFilter ref="A30:M31" xr:uid="{00000000-0009-0000-0100-000019000000}"/>
  <tableColumns count="13">
    <tableColumn id="1" xr3:uid="{00000000-0010-0000-1600-000001000000}" name="team" dataDxfId="5254"/>
    <tableColumn id="2" xr3:uid="{00000000-0010-0000-1600-000002000000}" name="off_yd" dataDxfId="5253"/>
    <tableColumn id="3" xr3:uid="{00000000-0010-0000-1600-000003000000}" name="p_yd" dataDxfId="5252"/>
    <tableColumn id="4" xr3:uid="{00000000-0010-0000-1600-000004000000}" name="car" dataDxfId="5251"/>
    <tableColumn id="5" xr3:uid="{00000000-0010-0000-1600-000005000000}" name="r_yd" dataDxfId="5250"/>
    <tableColumn id="6" xr3:uid="{00000000-0010-0000-1600-000006000000}" name="r_td" dataDxfId="5249"/>
    <tableColumn id="7" xr3:uid="{00000000-0010-0000-1600-000007000000}" name="p_ff" dataDxfId="5248"/>
    <tableColumn id="8" xr3:uid="{00000000-0010-0000-1600-000008000000}" name="p_att" dataDxfId="5247"/>
    <tableColumn id="9" xr3:uid="{00000000-0010-0000-1600-000009000000}" name="cmp_pct" dataDxfId="5246"/>
    <tableColumn id="10" xr3:uid="{00000000-0010-0000-1600-00000A000000}" name="p_td" dataDxfId="5245"/>
    <tableColumn id="11" xr3:uid="{00000000-0010-0000-1600-00000B000000}" name="int" dataDxfId="5244"/>
    <tableColumn id="12" xr3:uid="{00000000-0010-0000-1600-00000C000000}" name="fmb" dataDxfId="5243"/>
    <tableColumn id="13" xr3:uid="{A41C7EE2-C795-463B-A3A1-2C24012B4513}" name="f_custom" dataDxfId="524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BUF_Table3" displayName="BUF_Table3" ref="A32:M33" totalsRowShown="0" headerRowDxfId="5240" dataDxfId="5226">
  <autoFilter ref="A32:M33" xr:uid="{00000000-0009-0000-0100-00001A000000}"/>
  <tableColumns count="13">
    <tableColumn id="1" xr3:uid="{00000000-0010-0000-1700-000001000000}" name="team" dataDxfId="5239">
      <calculatedColumnFormula>A31</calculatedColumnFormula>
    </tableColumn>
    <tableColumn id="2" xr3:uid="{00000000-0010-0000-1700-000002000000}" name="off_yd" dataDxfId="5238">
      <calculatedColumnFormula>C33 + E33</calculatedColumnFormula>
    </tableColumn>
    <tableColumn id="3" xr3:uid="{00000000-0010-0000-1700-000003000000}" name="p_yd" dataDxfId="5237">
      <calculatedColumnFormula>SUM(INDIRECT(A33 &amp; "_Table4[[#All],[p_yd]]"))</calculatedColumnFormula>
    </tableColumn>
    <tableColumn id="4" xr3:uid="{00000000-0010-0000-1700-000004000000}" name="car" dataDxfId="523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700-000005000000}" name="r_yd" dataDxfId="523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700-000006000000}" name="r_td" dataDxfId="523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700-000007000000}" name="p_ff" dataDxfId="523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700-000008000000}" name="p_att" dataDxfId="523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700-000009000000}" name="cmp_pct" dataDxfId="5231">
      <calculatedColumnFormula>SUM(INDIRECT(A33 &amp; "_Table4[[#All],[cmp]]"))/H33</calculatedColumnFormula>
    </tableColumn>
    <tableColumn id="10" xr3:uid="{00000000-0010-0000-1700-00000A000000}" name="p_td" dataDxfId="523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700-00000B000000}" name="int" dataDxfId="522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700-00000C000000}" name="fmb" dataDxfId="522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55E37A2-8AB1-4038-A957-4656F74B6386}" name="f_custom" dataDxfId="522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BUF_Table4" displayName="BUF_Table4" ref="A35:AB38" totalsRowShown="0" headerRowDxfId="5225" dataDxfId="5196">
  <autoFilter ref="A35:AB38" xr:uid="{00000000-0009-0000-0100-00001B000000}"/>
  <tableColumns count="28">
    <tableColumn id="1" xr3:uid="{00000000-0010-0000-1800-000001000000}" name="Name" dataDxfId="5224"/>
    <tableColumn id="2" xr3:uid="{00000000-0010-0000-1800-000002000000}" name="POS" dataDxfId="5223"/>
    <tableColumn id="3" xr3:uid="{00000000-0010-0000-1800-000003000000}" name="Age" dataDxfId="5222"/>
    <tableColumn id="4" xr3:uid="{00000000-0010-0000-1800-000004000000}" name="Exp" dataDxfId="5221"/>
    <tableColumn id="5" xr3:uid="{00000000-0010-0000-1800-000005000000}" name="College" dataDxfId="5220"/>
    <tableColumn id="6" xr3:uid="{00000000-0010-0000-1800-000006000000}" name="team" dataDxfId="5219"/>
    <tableColumn id="7" xr3:uid="{00000000-0010-0000-1800-000007000000}" name="g" dataDxfId="5218"/>
    <tableColumn id="8" xr3:uid="{00000000-0010-0000-1800-000008000000}" name="p_att" dataDxfId="5217"/>
    <tableColumn id="9" xr3:uid="{00000000-0010-0000-1800-000009000000}" name="cmp" dataDxfId="5216"/>
    <tableColumn id="10" xr3:uid="{00000000-0010-0000-1800-00000A000000}" name="p_yd" dataDxfId="5215"/>
    <tableColumn id="11" xr3:uid="{00000000-0010-0000-1800-00000B000000}" name="p_td" dataDxfId="5214"/>
    <tableColumn id="12" xr3:uid="{00000000-0010-0000-1800-00000C000000}" name="int" dataDxfId="5213"/>
    <tableColumn id="13" xr3:uid="{00000000-0010-0000-1800-00000D000000}" name="car" dataDxfId="5212"/>
    <tableColumn id="14" xr3:uid="{00000000-0010-0000-1800-00000E000000}" name="r_yd" dataDxfId="5211"/>
    <tableColumn id="15" xr3:uid="{00000000-0010-0000-1800-00000F000000}" name="r_td" dataDxfId="5210"/>
    <tableColumn id="16" xr3:uid="{00000000-0010-0000-1800-000010000000}" name="tgt" dataDxfId="5209"/>
    <tableColumn id="17" xr3:uid="{00000000-0010-0000-1800-000011000000}" name="rec" dataDxfId="5208"/>
    <tableColumn id="18" xr3:uid="{00000000-0010-0000-1800-000012000000}" name="rec_yd" dataDxfId="5207"/>
    <tableColumn id="19" xr3:uid="{00000000-0010-0000-1800-000013000000}" name="rec_td" dataDxfId="5206"/>
    <tableColumn id="20" xr3:uid="{00000000-0010-0000-1800-000014000000}" name="fmb" dataDxfId="5205"/>
    <tableColumn id="21" xr3:uid="{00000000-0010-0000-1800-000015000000}" name="tp_c" dataDxfId="5204"/>
    <tableColumn id="22" xr3:uid="{00000000-0010-0000-1800-000016000000}" name="f_ppr" dataDxfId="5203">
      <calculatedColumnFormula>($J36*0.04)+($K36*4)+($L36*-2)+($N36*0.1)+($O36*6)+($Q36)+($R36*0.1)+($S36*6)+($T36*-2)</calculatedColumnFormula>
    </tableColumn>
    <tableColumn id="23" xr3:uid="{00000000-0010-0000-1800-000017000000}" name="tgt_share" dataDxfId="5202">
      <calculatedColumnFormula>$P36/$H$33</calculatedColumnFormula>
    </tableColumn>
    <tableColumn id="24" xr3:uid="{00000000-0010-0000-1800-000018000000}" name="ypc" dataDxfId="5201">
      <calculatedColumnFormula>$N36/$M36</calculatedColumnFormula>
    </tableColumn>
    <tableColumn id="25" xr3:uid="{00000000-0010-0000-1800-000019000000}" name="ypr" dataDxfId="5200">
      <calculatedColumnFormula>$R36/$Q36</calculatedColumnFormula>
    </tableColumn>
    <tableColumn id="26" xr3:uid="{00000000-0010-0000-1800-00001A000000}" name="cmp_pct" dataDxfId="5199">
      <calculatedColumnFormula>$I36/$H36</calculatedColumnFormula>
    </tableColumn>
    <tableColumn id="27" xr3:uid="{00000000-0010-0000-1800-00001B000000}" name="td_rate" dataDxfId="5198">
      <calculatedColumnFormula>$K36/$H36</calculatedColumnFormula>
    </tableColumn>
    <tableColumn id="28" xr3:uid="{00000000-0010-0000-1800-00001C000000}" name="f_custom" dataDxfId="519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BUF_Table5" displayName="BUF_Table5" ref="A45:AB50" totalsRowShown="0" headerRowDxfId="5195" dataDxfId="5166">
  <autoFilter ref="A45:AB50" xr:uid="{00000000-0009-0000-0100-00001C000000}"/>
  <tableColumns count="28">
    <tableColumn id="1" xr3:uid="{00000000-0010-0000-1900-000001000000}" name="Name" dataDxfId="5194"/>
    <tableColumn id="2" xr3:uid="{00000000-0010-0000-1900-000002000000}" name="POS" dataDxfId="5193"/>
    <tableColumn id="3" xr3:uid="{00000000-0010-0000-1900-000003000000}" name="Age" dataDxfId="5192"/>
    <tableColumn id="4" xr3:uid="{00000000-0010-0000-1900-000004000000}" name="Exp" dataDxfId="5191"/>
    <tableColumn id="5" xr3:uid="{00000000-0010-0000-1900-000005000000}" name="College" dataDxfId="5190"/>
    <tableColumn id="6" xr3:uid="{00000000-0010-0000-1900-000006000000}" name="team" dataDxfId="5189"/>
    <tableColumn id="7" xr3:uid="{00000000-0010-0000-1900-000007000000}" name="g" dataDxfId="5188"/>
    <tableColumn id="8" xr3:uid="{00000000-0010-0000-1900-000008000000}" name="p_att" dataDxfId="5187"/>
    <tableColumn id="9" xr3:uid="{00000000-0010-0000-1900-000009000000}" name="cmp" dataDxfId="5186"/>
    <tableColumn id="10" xr3:uid="{00000000-0010-0000-1900-00000A000000}" name="p_yd" dataDxfId="5185"/>
    <tableColumn id="11" xr3:uid="{00000000-0010-0000-1900-00000B000000}" name="p_td" dataDxfId="5184"/>
    <tableColumn id="12" xr3:uid="{00000000-0010-0000-1900-00000C000000}" name="int" dataDxfId="5183"/>
    <tableColumn id="13" xr3:uid="{00000000-0010-0000-1900-00000D000000}" name="car" dataDxfId="5182"/>
    <tableColumn id="14" xr3:uid="{00000000-0010-0000-1900-00000E000000}" name="r_yd" dataDxfId="5181"/>
    <tableColumn id="15" xr3:uid="{00000000-0010-0000-1900-00000F000000}" name="r_td" dataDxfId="5180"/>
    <tableColumn id="16" xr3:uid="{00000000-0010-0000-1900-000010000000}" name="tgt" dataDxfId="5179"/>
    <tableColumn id="17" xr3:uid="{00000000-0010-0000-1900-000011000000}" name="rec" dataDxfId="5178"/>
    <tableColumn id="18" xr3:uid="{00000000-0010-0000-1900-000012000000}" name="rec_yd" dataDxfId="5177"/>
    <tableColumn id="19" xr3:uid="{00000000-0010-0000-1900-000013000000}" name="rec_td" dataDxfId="5176"/>
    <tableColumn id="20" xr3:uid="{00000000-0010-0000-1900-000014000000}" name="fmb" dataDxfId="5175"/>
    <tableColumn id="21" xr3:uid="{00000000-0010-0000-1900-000015000000}" name="tp_c" dataDxfId="5174"/>
    <tableColumn id="22" xr3:uid="{00000000-0010-0000-1900-000016000000}" name="f_ppr" dataDxfId="5173">
      <calculatedColumnFormula>($J46*0.04)+($K46*4)+($L46*-2)+($N46*0.1)+($O46*6)+($Q46)+($R46*0.1)+($S46*6)+($T46*-2)</calculatedColumnFormula>
    </tableColumn>
    <tableColumn id="23" xr3:uid="{00000000-0010-0000-1900-000017000000}" name="tgt_share" dataDxfId="5172">
      <calculatedColumnFormula>$P46/$H$33</calculatedColumnFormula>
    </tableColumn>
    <tableColumn id="24" xr3:uid="{00000000-0010-0000-1900-000018000000}" name="ypc" dataDxfId="5171">
      <calculatedColumnFormula>$N46/$M46</calculatedColumnFormula>
    </tableColumn>
    <tableColumn id="25" xr3:uid="{00000000-0010-0000-1900-000019000000}" name="ypr" dataDxfId="5170">
      <calculatedColumnFormula>$R46/$Q46</calculatedColumnFormula>
    </tableColumn>
    <tableColumn id="26" xr3:uid="{00000000-0010-0000-1900-00001A000000}" name="cmp_pct" dataDxfId="5169">
      <calculatedColumnFormula>$I46/$H46</calculatedColumnFormula>
    </tableColumn>
    <tableColumn id="27" xr3:uid="{00000000-0010-0000-1900-00001B000000}" name="td_rate" dataDxfId="5168">
      <calculatedColumnFormula>$K46/$H46</calculatedColumnFormula>
    </tableColumn>
    <tableColumn id="28" xr3:uid="{00000000-0010-0000-1900-00001C000000}" name="f_custom" dataDxfId="516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BUF_Table6" displayName="BUF_Table6" ref="A60:AB73" totalsRowShown="0" headerRowDxfId="5165" dataDxfId="5136">
  <autoFilter ref="A60:AB73" xr:uid="{00000000-0009-0000-0100-00001D000000}"/>
  <tableColumns count="28">
    <tableColumn id="1" xr3:uid="{00000000-0010-0000-1A00-000001000000}" name="Name" dataDxfId="5164"/>
    <tableColumn id="2" xr3:uid="{00000000-0010-0000-1A00-000002000000}" name="POS" dataDxfId="5163"/>
    <tableColumn id="3" xr3:uid="{00000000-0010-0000-1A00-000003000000}" name="Age" dataDxfId="5162"/>
    <tableColumn id="4" xr3:uid="{00000000-0010-0000-1A00-000004000000}" name="Exp" dataDxfId="5161"/>
    <tableColumn id="5" xr3:uid="{00000000-0010-0000-1A00-000005000000}" name="College" dataDxfId="5160"/>
    <tableColumn id="6" xr3:uid="{00000000-0010-0000-1A00-000006000000}" name="team" dataDxfId="5159"/>
    <tableColumn id="7" xr3:uid="{00000000-0010-0000-1A00-000007000000}" name="g" dataDxfId="5158"/>
    <tableColumn id="8" xr3:uid="{00000000-0010-0000-1A00-000008000000}" name="p_att" dataDxfId="5157"/>
    <tableColumn id="9" xr3:uid="{00000000-0010-0000-1A00-000009000000}" name="cmp" dataDxfId="5156"/>
    <tableColumn id="10" xr3:uid="{00000000-0010-0000-1A00-00000A000000}" name="p_yd" dataDxfId="5155"/>
    <tableColumn id="11" xr3:uid="{00000000-0010-0000-1A00-00000B000000}" name="p_td" dataDxfId="5154"/>
    <tableColumn id="12" xr3:uid="{00000000-0010-0000-1A00-00000C000000}" name="int" dataDxfId="5153"/>
    <tableColumn id="13" xr3:uid="{00000000-0010-0000-1A00-00000D000000}" name="car" dataDxfId="5152"/>
    <tableColumn id="14" xr3:uid="{00000000-0010-0000-1A00-00000E000000}" name="r_yd" dataDxfId="5151"/>
    <tableColumn id="15" xr3:uid="{00000000-0010-0000-1A00-00000F000000}" name="r_td" dataDxfId="5150"/>
    <tableColumn id="16" xr3:uid="{00000000-0010-0000-1A00-000010000000}" name="tgt" dataDxfId="5149"/>
    <tableColumn id="17" xr3:uid="{00000000-0010-0000-1A00-000011000000}" name="rec" dataDxfId="5148"/>
    <tableColumn id="18" xr3:uid="{00000000-0010-0000-1A00-000012000000}" name="rec_yd" dataDxfId="5147"/>
    <tableColumn id="19" xr3:uid="{00000000-0010-0000-1A00-000013000000}" name="rec_td" dataDxfId="5146"/>
    <tableColumn id="20" xr3:uid="{00000000-0010-0000-1A00-000014000000}" name="fmb" dataDxfId="5145"/>
    <tableColumn id="21" xr3:uid="{00000000-0010-0000-1A00-000015000000}" name="tp_c" dataDxfId="5144"/>
    <tableColumn id="22" xr3:uid="{00000000-0010-0000-1A00-000016000000}" name="f_ppr" dataDxfId="5143">
      <calculatedColumnFormula>($J61*0.04)+($K61*4)+($L61*-2)+($N61*0.1)+($O61*6)+($Q61)+($R61*0.1)+($S61*6)+($T61*-2)</calculatedColumnFormula>
    </tableColumn>
    <tableColumn id="23" xr3:uid="{00000000-0010-0000-1A00-000017000000}" name="tgt_share" dataDxfId="5142">
      <calculatedColumnFormula>$P61/$H$33</calculatedColumnFormula>
    </tableColumn>
    <tableColumn id="24" xr3:uid="{00000000-0010-0000-1A00-000018000000}" name="ypc" dataDxfId="5141">
      <calculatedColumnFormula>$N61/$M61</calculatedColumnFormula>
    </tableColumn>
    <tableColumn id="25" xr3:uid="{00000000-0010-0000-1A00-000019000000}" name="ypr" dataDxfId="5140">
      <calculatedColumnFormula>$R61/$Q61</calculatedColumnFormula>
    </tableColumn>
    <tableColumn id="26" xr3:uid="{00000000-0010-0000-1A00-00001A000000}" name="cmp_pct" dataDxfId="5139">
      <calculatedColumnFormula>$I61/$H61</calculatedColumnFormula>
    </tableColumn>
    <tableColumn id="27" xr3:uid="{00000000-0010-0000-1A00-00001B000000}" name="td_rate" dataDxfId="5138">
      <calculatedColumnFormula>$K61/$H61</calculatedColumnFormula>
    </tableColumn>
    <tableColumn id="28" xr3:uid="{00000000-0010-0000-1A00-00001C000000}" name="f_custom" dataDxfId="513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BUF_Table7" displayName="BUF_Table7" ref="A75:AB80" totalsRowShown="0" headerRowDxfId="5135" dataDxfId="5106">
  <autoFilter ref="A75:AB80" xr:uid="{00000000-0009-0000-0100-00001E000000}"/>
  <tableColumns count="28">
    <tableColumn id="1" xr3:uid="{00000000-0010-0000-1B00-000001000000}" name="Name" dataDxfId="5134"/>
    <tableColumn id="2" xr3:uid="{00000000-0010-0000-1B00-000002000000}" name="POS" dataDxfId="5133"/>
    <tableColumn id="3" xr3:uid="{00000000-0010-0000-1B00-000003000000}" name="Age" dataDxfId="5132"/>
    <tableColumn id="4" xr3:uid="{00000000-0010-0000-1B00-000004000000}" name="Exp" dataDxfId="5131"/>
    <tableColumn id="5" xr3:uid="{00000000-0010-0000-1B00-000005000000}" name="College" dataDxfId="5130"/>
    <tableColumn id="6" xr3:uid="{00000000-0010-0000-1B00-000006000000}" name="team" dataDxfId="5129"/>
    <tableColumn id="7" xr3:uid="{00000000-0010-0000-1B00-000007000000}" name="g" dataDxfId="5128"/>
    <tableColumn id="8" xr3:uid="{00000000-0010-0000-1B00-000008000000}" name="p_att" dataDxfId="5127"/>
    <tableColumn id="9" xr3:uid="{00000000-0010-0000-1B00-000009000000}" name="cmp" dataDxfId="5126"/>
    <tableColumn id="10" xr3:uid="{00000000-0010-0000-1B00-00000A000000}" name="p_yd" dataDxfId="5125"/>
    <tableColumn id="11" xr3:uid="{00000000-0010-0000-1B00-00000B000000}" name="p_td" dataDxfId="5124"/>
    <tableColumn id="12" xr3:uid="{00000000-0010-0000-1B00-00000C000000}" name="int" dataDxfId="5123"/>
    <tableColumn id="13" xr3:uid="{00000000-0010-0000-1B00-00000D000000}" name="car" dataDxfId="5122"/>
    <tableColumn id="14" xr3:uid="{00000000-0010-0000-1B00-00000E000000}" name="r_yd" dataDxfId="5121"/>
    <tableColumn id="15" xr3:uid="{00000000-0010-0000-1B00-00000F000000}" name="r_td" dataDxfId="5120"/>
    <tableColumn id="16" xr3:uid="{00000000-0010-0000-1B00-000010000000}" name="tgt" dataDxfId="5119"/>
    <tableColumn id="17" xr3:uid="{00000000-0010-0000-1B00-000011000000}" name="rec" dataDxfId="5118"/>
    <tableColumn id="18" xr3:uid="{00000000-0010-0000-1B00-000012000000}" name="rec_yd" dataDxfId="5117"/>
    <tableColumn id="19" xr3:uid="{00000000-0010-0000-1B00-000013000000}" name="rec_td" dataDxfId="5116"/>
    <tableColumn id="20" xr3:uid="{00000000-0010-0000-1B00-000014000000}" name="fmb" dataDxfId="5115"/>
    <tableColumn id="21" xr3:uid="{00000000-0010-0000-1B00-000015000000}" name="tp_c" dataDxfId="5114"/>
    <tableColumn id="22" xr3:uid="{00000000-0010-0000-1B00-000016000000}" name="f_ppr" dataDxfId="5113">
      <calculatedColumnFormula>($J76*0.04)+($K76*4)+($L76*-2)+($N76*0.1)+($O76*6)+($Q76)+($R76*0.1)+($S76*6)+($T76*-2)</calculatedColumnFormula>
    </tableColumn>
    <tableColumn id="23" xr3:uid="{00000000-0010-0000-1B00-000017000000}" name="tgt_share" dataDxfId="5112">
      <calculatedColumnFormula>$P76/$H$33</calculatedColumnFormula>
    </tableColumn>
    <tableColumn id="24" xr3:uid="{00000000-0010-0000-1B00-000018000000}" name="ypc" dataDxfId="5111">
      <calculatedColumnFormula>$N76/$M76</calculatedColumnFormula>
    </tableColumn>
    <tableColumn id="25" xr3:uid="{00000000-0010-0000-1B00-000019000000}" name="ypr" dataDxfId="5110">
      <calculatedColumnFormula>$R76/$Q76</calculatedColumnFormula>
    </tableColumn>
    <tableColumn id="26" xr3:uid="{00000000-0010-0000-1B00-00001A000000}" name="cmp_pct" dataDxfId="5109">
      <calculatedColumnFormula>$I76/$H76</calculatedColumnFormula>
    </tableColumn>
    <tableColumn id="27" xr3:uid="{00000000-0010-0000-1B00-00001B000000}" name="td_rate" dataDxfId="5108">
      <calculatedColumnFormula>$K76/$H76</calculatedColumnFormula>
    </tableColumn>
    <tableColumn id="28" xr3:uid="{00000000-0010-0000-1B00-00001C000000}" name="f_custom" dataDxfId="510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CAR_Table1" displayName="CAR_Table1" ref="A1:Y19" totalsRowShown="0" headerRowDxfId="5105" dataDxfId="5079">
  <autoFilter ref="A1:Y19" xr:uid="{00000000-0009-0000-0100-00001F000000}"/>
  <tableColumns count="25">
    <tableColumn id="1" xr3:uid="{00000000-0010-0000-1C00-000001000000}" name="player_name" dataDxfId="5104"/>
    <tableColumn id="2" xr3:uid="{00000000-0010-0000-1C00-000002000000}" name="recent_team" dataDxfId="5103"/>
    <tableColumn id="3" xr3:uid="{00000000-0010-0000-1C00-000003000000}" name="pos" dataDxfId="5102"/>
    <tableColumn id="4" xr3:uid="{00000000-0010-0000-1C00-000004000000}" name="g" dataDxfId="5101"/>
    <tableColumn id="5" xr3:uid="{00000000-0010-0000-1C00-000005000000}" name="p_att" dataDxfId="5100"/>
    <tableColumn id="6" xr3:uid="{00000000-0010-0000-1C00-000006000000}" name="cmp" dataDxfId="5099"/>
    <tableColumn id="7" xr3:uid="{00000000-0010-0000-1C00-000007000000}" name="p_yd" dataDxfId="5098"/>
    <tableColumn id="8" xr3:uid="{00000000-0010-0000-1C00-000008000000}" name="p_td" dataDxfId="5097"/>
    <tableColumn id="9" xr3:uid="{00000000-0010-0000-1C00-000009000000}" name="int" dataDxfId="5096"/>
    <tableColumn id="10" xr3:uid="{00000000-0010-0000-1C00-00000A000000}" name="car" dataDxfId="5095"/>
    <tableColumn id="11" xr3:uid="{00000000-0010-0000-1C00-00000B000000}" name="r_yd" dataDxfId="5094"/>
    <tableColumn id="12" xr3:uid="{00000000-0010-0000-1C00-00000C000000}" name="r_td" dataDxfId="5093"/>
    <tableColumn id="13" xr3:uid="{00000000-0010-0000-1C00-00000D000000}" name="tgt" dataDxfId="5092"/>
    <tableColumn id="14" xr3:uid="{00000000-0010-0000-1C00-00000E000000}" name="rec" dataDxfId="5091"/>
    <tableColumn id="15" xr3:uid="{00000000-0010-0000-1C00-00000F000000}" name="rec_yd" dataDxfId="5090"/>
    <tableColumn id="16" xr3:uid="{00000000-0010-0000-1C00-000010000000}" name="rec_td" dataDxfId="5089"/>
    <tableColumn id="17" xr3:uid="{00000000-0010-0000-1C00-000011000000}" name="fmb" dataDxfId="5088"/>
    <tableColumn id="18" xr3:uid="{00000000-0010-0000-1C00-000012000000}" name="tp_c" dataDxfId="5087"/>
    <tableColumn id="19" xr3:uid="{00000000-0010-0000-1C00-000013000000}" name="f_ppr" dataDxfId="5086"/>
    <tableColumn id="20" xr3:uid="{00000000-0010-0000-1C00-000014000000}" name="tgt_share" dataDxfId="5085"/>
    <tableColumn id="21" xr3:uid="{00000000-0010-0000-1C00-000015000000}" name="ypc" dataDxfId="5084"/>
    <tableColumn id="22" xr3:uid="{00000000-0010-0000-1C00-000016000000}" name="ypr" dataDxfId="5083"/>
    <tableColumn id="23" xr3:uid="{00000000-0010-0000-1C00-000017000000}" name="cmp_pct" dataDxfId="5082"/>
    <tableColumn id="24" xr3:uid="{00000000-0010-0000-1C00-000018000000}" name="td_rate" dataDxfId="5081"/>
    <tableColumn id="25" xr3:uid="{4D331BD8-1526-4B0E-B011-B0A9070EB3DB}" name="f_custom" dataDxfId="508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D000000}" name="CAR_Table2" displayName="CAR_Table2" ref="A30:M31" totalsRowShown="0" headerRowDxfId="5078" dataDxfId="5064">
  <autoFilter ref="A30:M31" xr:uid="{00000000-0009-0000-0100-000020000000}"/>
  <tableColumns count="13">
    <tableColumn id="1" xr3:uid="{00000000-0010-0000-1D00-000001000000}" name="team" dataDxfId="5077"/>
    <tableColumn id="2" xr3:uid="{00000000-0010-0000-1D00-000002000000}" name="off_yd" dataDxfId="5076"/>
    <tableColumn id="3" xr3:uid="{00000000-0010-0000-1D00-000003000000}" name="p_yd" dataDxfId="5075"/>
    <tableColumn id="4" xr3:uid="{00000000-0010-0000-1D00-000004000000}" name="car" dataDxfId="5074"/>
    <tableColumn id="5" xr3:uid="{00000000-0010-0000-1D00-000005000000}" name="r_yd" dataDxfId="5073"/>
    <tableColumn id="6" xr3:uid="{00000000-0010-0000-1D00-000006000000}" name="r_td" dataDxfId="5072"/>
    <tableColumn id="7" xr3:uid="{00000000-0010-0000-1D00-000007000000}" name="p_ff" dataDxfId="5071"/>
    <tableColumn id="8" xr3:uid="{00000000-0010-0000-1D00-000008000000}" name="p_att" dataDxfId="5070"/>
    <tableColumn id="9" xr3:uid="{00000000-0010-0000-1D00-000009000000}" name="cmp_pct" dataDxfId="5069"/>
    <tableColumn id="10" xr3:uid="{00000000-0010-0000-1D00-00000A000000}" name="p_td" dataDxfId="5068"/>
    <tableColumn id="11" xr3:uid="{00000000-0010-0000-1D00-00000B000000}" name="int" dataDxfId="5067"/>
    <tableColumn id="12" xr3:uid="{00000000-0010-0000-1D00-00000C000000}" name="fmb" dataDxfId="5066"/>
    <tableColumn id="13" xr3:uid="{D31CEC87-1CBB-4B65-9FE8-3678C80BD3AA}" name="f_custom" dataDxfId="506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E000000}" name="CAR_Table3" displayName="CAR_Table3" ref="A32:M33" totalsRowShown="0" headerRowDxfId="5063" dataDxfId="5049">
  <autoFilter ref="A32:M33" xr:uid="{00000000-0009-0000-0100-000021000000}"/>
  <tableColumns count="13">
    <tableColumn id="1" xr3:uid="{00000000-0010-0000-1E00-000001000000}" name="team" dataDxfId="5062">
      <calculatedColumnFormula>A31</calculatedColumnFormula>
    </tableColumn>
    <tableColumn id="2" xr3:uid="{00000000-0010-0000-1E00-000002000000}" name="off_yd" dataDxfId="5061">
      <calculatedColumnFormula>C33 + E33</calculatedColumnFormula>
    </tableColumn>
    <tableColumn id="3" xr3:uid="{00000000-0010-0000-1E00-000003000000}" name="p_yd" dataDxfId="5060">
      <calculatedColumnFormula>SUM(INDIRECT(A33 &amp; "_Table4[[#All],[p_yd]]"))</calculatedColumnFormula>
    </tableColumn>
    <tableColumn id="4" xr3:uid="{00000000-0010-0000-1E00-000004000000}" name="car" dataDxfId="505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E00-000005000000}" name="r_yd" dataDxfId="505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E00-000006000000}" name="r_td" dataDxfId="505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E00-000007000000}" name="p_ff" dataDxfId="505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E00-000008000000}" name="p_att" dataDxfId="505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E00-000009000000}" name="cmp_pct" dataDxfId="5054">
      <calculatedColumnFormula>SUM(INDIRECT(A33 &amp; "_Table4[[#All],[cmp]]"))/H33</calculatedColumnFormula>
    </tableColumn>
    <tableColumn id="10" xr3:uid="{00000000-0010-0000-1E00-00000A000000}" name="p_td" dataDxfId="505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E00-00000B000000}" name="int" dataDxfId="505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E00-00000C000000}" name="fmb" dataDxfId="505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AF767806-7C3A-4E8F-818E-502944C5B1B5}" name="f_custom" dataDxfId="505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F000000}" name="CAR_Table4" displayName="CAR_Table4" ref="A35:AB39" totalsRowShown="0" headerRowDxfId="5048" dataDxfId="5019">
  <autoFilter ref="A35:AB39" xr:uid="{00000000-0009-0000-0100-000022000000}"/>
  <tableColumns count="28">
    <tableColumn id="1" xr3:uid="{00000000-0010-0000-1F00-000001000000}" name="Name" dataDxfId="5047"/>
    <tableColumn id="2" xr3:uid="{00000000-0010-0000-1F00-000002000000}" name="POS" dataDxfId="5046"/>
    <tableColumn id="3" xr3:uid="{00000000-0010-0000-1F00-000003000000}" name="Age" dataDxfId="5045"/>
    <tableColumn id="4" xr3:uid="{00000000-0010-0000-1F00-000004000000}" name="Exp" dataDxfId="5044"/>
    <tableColumn id="5" xr3:uid="{00000000-0010-0000-1F00-000005000000}" name="College" dataDxfId="5043"/>
    <tableColumn id="6" xr3:uid="{00000000-0010-0000-1F00-000006000000}" name="team" dataDxfId="5042"/>
    <tableColumn id="7" xr3:uid="{00000000-0010-0000-1F00-000007000000}" name="g" dataDxfId="5041"/>
    <tableColumn id="8" xr3:uid="{00000000-0010-0000-1F00-000008000000}" name="p_att" dataDxfId="5040"/>
    <tableColumn id="9" xr3:uid="{00000000-0010-0000-1F00-000009000000}" name="cmp" dataDxfId="5039"/>
    <tableColumn id="10" xr3:uid="{00000000-0010-0000-1F00-00000A000000}" name="p_yd" dataDxfId="5038"/>
    <tableColumn id="11" xr3:uid="{00000000-0010-0000-1F00-00000B000000}" name="p_td" dataDxfId="5037"/>
    <tableColumn id="12" xr3:uid="{00000000-0010-0000-1F00-00000C000000}" name="int" dataDxfId="5036"/>
    <tableColumn id="13" xr3:uid="{00000000-0010-0000-1F00-00000D000000}" name="car" dataDxfId="5035"/>
    <tableColumn id="14" xr3:uid="{00000000-0010-0000-1F00-00000E000000}" name="r_yd" dataDxfId="5034"/>
    <tableColumn id="15" xr3:uid="{00000000-0010-0000-1F00-00000F000000}" name="r_td" dataDxfId="5033"/>
    <tableColumn id="16" xr3:uid="{00000000-0010-0000-1F00-000010000000}" name="tgt" dataDxfId="5032"/>
    <tableColumn id="17" xr3:uid="{00000000-0010-0000-1F00-000011000000}" name="rec" dataDxfId="5031"/>
    <tableColumn id="18" xr3:uid="{00000000-0010-0000-1F00-000012000000}" name="rec_yd" dataDxfId="5030"/>
    <tableColumn id="19" xr3:uid="{00000000-0010-0000-1F00-000013000000}" name="rec_td" dataDxfId="5029"/>
    <tableColumn id="20" xr3:uid="{00000000-0010-0000-1F00-000014000000}" name="fmb" dataDxfId="5028"/>
    <tableColumn id="21" xr3:uid="{00000000-0010-0000-1F00-000015000000}" name="tp_c" dataDxfId="5027"/>
    <tableColumn id="22" xr3:uid="{00000000-0010-0000-1F00-000016000000}" name="f_ppr" dataDxfId="5026">
      <calculatedColumnFormula>($J36*0.04)+($K36*4)+($L36*-2)+($N36*0.1)+($O36*6)+($Q36)+($R36*0.1)+($S36*6)+($T36*-2)</calculatedColumnFormula>
    </tableColumn>
    <tableColumn id="23" xr3:uid="{00000000-0010-0000-1F00-000017000000}" name="tgt_share" dataDxfId="5025">
      <calculatedColumnFormula>$P36/$H$33</calculatedColumnFormula>
    </tableColumn>
    <tableColumn id="24" xr3:uid="{00000000-0010-0000-1F00-000018000000}" name="ypc" dataDxfId="5024">
      <calculatedColumnFormula>$N36/$M36</calculatedColumnFormula>
    </tableColumn>
    <tableColumn id="25" xr3:uid="{00000000-0010-0000-1F00-000019000000}" name="ypr" dataDxfId="5023">
      <calculatedColumnFormula>$R36/$Q36</calculatedColumnFormula>
    </tableColumn>
    <tableColumn id="26" xr3:uid="{00000000-0010-0000-1F00-00001A000000}" name="cmp_pct" dataDxfId="5022">
      <calculatedColumnFormula>$I36/$H36</calculatedColumnFormula>
    </tableColumn>
    <tableColumn id="27" xr3:uid="{00000000-0010-0000-1F00-00001B000000}" name="td_rate" dataDxfId="5021">
      <calculatedColumnFormula>$K36/$H36</calculatedColumnFormula>
    </tableColumn>
    <tableColumn id="28" xr3:uid="{00000000-0010-0000-1F00-00001C000000}" name="f_custom" dataDxfId="502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0000000}" name="CAR_Table5" displayName="CAR_Table5" ref="A45:AB50" totalsRowShown="0" headerRowDxfId="5018" dataDxfId="4989">
  <autoFilter ref="A45:AB50" xr:uid="{00000000-0009-0000-0100-000023000000}"/>
  <tableColumns count="28">
    <tableColumn id="1" xr3:uid="{00000000-0010-0000-2000-000001000000}" name="Name" dataDxfId="5017"/>
    <tableColumn id="2" xr3:uid="{00000000-0010-0000-2000-000002000000}" name="POS" dataDxfId="5016"/>
    <tableColumn id="3" xr3:uid="{00000000-0010-0000-2000-000003000000}" name="Age" dataDxfId="5015"/>
    <tableColumn id="4" xr3:uid="{00000000-0010-0000-2000-000004000000}" name="Exp" dataDxfId="5014"/>
    <tableColumn id="5" xr3:uid="{00000000-0010-0000-2000-000005000000}" name="College" dataDxfId="5013"/>
    <tableColumn id="6" xr3:uid="{00000000-0010-0000-2000-000006000000}" name="team" dataDxfId="5012"/>
    <tableColumn id="7" xr3:uid="{00000000-0010-0000-2000-000007000000}" name="g" dataDxfId="5011"/>
    <tableColumn id="8" xr3:uid="{00000000-0010-0000-2000-000008000000}" name="p_att" dataDxfId="5010"/>
    <tableColumn id="9" xr3:uid="{00000000-0010-0000-2000-000009000000}" name="cmp" dataDxfId="5009"/>
    <tableColumn id="10" xr3:uid="{00000000-0010-0000-2000-00000A000000}" name="p_yd" dataDxfId="5008"/>
    <tableColumn id="11" xr3:uid="{00000000-0010-0000-2000-00000B000000}" name="p_td" dataDxfId="5007"/>
    <tableColumn id="12" xr3:uid="{00000000-0010-0000-2000-00000C000000}" name="int" dataDxfId="5006"/>
    <tableColumn id="13" xr3:uid="{00000000-0010-0000-2000-00000D000000}" name="car" dataDxfId="5005"/>
    <tableColumn id="14" xr3:uid="{00000000-0010-0000-2000-00000E000000}" name="r_yd" dataDxfId="5004"/>
    <tableColumn id="15" xr3:uid="{00000000-0010-0000-2000-00000F000000}" name="r_td" dataDxfId="5003"/>
    <tableColumn id="16" xr3:uid="{00000000-0010-0000-2000-000010000000}" name="tgt" dataDxfId="5002"/>
    <tableColumn id="17" xr3:uid="{00000000-0010-0000-2000-000011000000}" name="rec" dataDxfId="5001"/>
    <tableColumn id="18" xr3:uid="{00000000-0010-0000-2000-000012000000}" name="rec_yd" dataDxfId="5000"/>
    <tableColumn id="19" xr3:uid="{00000000-0010-0000-2000-000013000000}" name="rec_td" dataDxfId="4999"/>
    <tableColumn id="20" xr3:uid="{00000000-0010-0000-2000-000014000000}" name="fmb" dataDxfId="4998"/>
    <tableColumn id="21" xr3:uid="{00000000-0010-0000-2000-000015000000}" name="tp_c" dataDxfId="4997"/>
    <tableColumn id="22" xr3:uid="{00000000-0010-0000-2000-000016000000}" name="f_ppr" dataDxfId="4996">
      <calculatedColumnFormula>($J46*0.04)+($K46*4)+($L46*-2)+($N46*0.1)+($O46*6)+($Q46)+($R46*0.1)+($S46*6)+($T46*-2)</calculatedColumnFormula>
    </tableColumn>
    <tableColumn id="23" xr3:uid="{00000000-0010-0000-2000-000017000000}" name="tgt_share" dataDxfId="4995">
      <calculatedColumnFormula>$P46/$H$33</calculatedColumnFormula>
    </tableColumn>
    <tableColumn id="24" xr3:uid="{00000000-0010-0000-2000-000018000000}" name="ypc" dataDxfId="4994">
      <calculatedColumnFormula>$N46/$M46</calculatedColumnFormula>
    </tableColumn>
    <tableColumn id="25" xr3:uid="{00000000-0010-0000-2000-000019000000}" name="ypr" dataDxfId="4993">
      <calculatedColumnFormula>$R46/$Q46</calculatedColumnFormula>
    </tableColumn>
    <tableColumn id="26" xr3:uid="{00000000-0010-0000-2000-00001A000000}" name="cmp_pct" dataDxfId="4992">
      <calculatedColumnFormula>$I46/$H46</calculatedColumnFormula>
    </tableColumn>
    <tableColumn id="27" xr3:uid="{00000000-0010-0000-2000-00001B000000}" name="td_rate" dataDxfId="4991">
      <calculatedColumnFormula>$K46/$H46</calculatedColumnFormula>
    </tableColumn>
    <tableColumn id="28" xr3:uid="{00000000-0010-0000-2000-00001C000000}" name="f_custom" dataDxfId="499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1000000}" name="CAR_Table6" displayName="CAR_Table6" ref="A60:AB72" totalsRowShown="0" headerRowDxfId="4988" dataDxfId="4959">
  <autoFilter ref="A60:AB72" xr:uid="{00000000-0009-0000-0100-000024000000}"/>
  <tableColumns count="28">
    <tableColumn id="1" xr3:uid="{00000000-0010-0000-2100-000001000000}" name="Name" dataDxfId="4987"/>
    <tableColumn id="2" xr3:uid="{00000000-0010-0000-2100-000002000000}" name="POS" dataDxfId="4986"/>
    <tableColumn id="3" xr3:uid="{00000000-0010-0000-2100-000003000000}" name="Age" dataDxfId="4985"/>
    <tableColumn id="4" xr3:uid="{00000000-0010-0000-2100-000004000000}" name="Exp" dataDxfId="4984"/>
    <tableColumn id="5" xr3:uid="{00000000-0010-0000-2100-000005000000}" name="College" dataDxfId="4983"/>
    <tableColumn id="6" xr3:uid="{00000000-0010-0000-2100-000006000000}" name="team" dataDxfId="4982"/>
    <tableColumn id="7" xr3:uid="{00000000-0010-0000-2100-000007000000}" name="g" dataDxfId="4981"/>
    <tableColumn id="8" xr3:uid="{00000000-0010-0000-2100-000008000000}" name="p_att" dataDxfId="4980"/>
    <tableColumn id="9" xr3:uid="{00000000-0010-0000-2100-000009000000}" name="cmp" dataDxfId="4979"/>
    <tableColumn id="10" xr3:uid="{00000000-0010-0000-2100-00000A000000}" name="p_yd" dataDxfId="4978"/>
    <tableColumn id="11" xr3:uid="{00000000-0010-0000-2100-00000B000000}" name="p_td" dataDxfId="4977"/>
    <tableColumn id="12" xr3:uid="{00000000-0010-0000-2100-00000C000000}" name="int" dataDxfId="4976"/>
    <tableColumn id="13" xr3:uid="{00000000-0010-0000-2100-00000D000000}" name="car" dataDxfId="4975"/>
    <tableColumn id="14" xr3:uid="{00000000-0010-0000-2100-00000E000000}" name="r_yd" dataDxfId="4974"/>
    <tableColumn id="15" xr3:uid="{00000000-0010-0000-2100-00000F000000}" name="r_td" dataDxfId="4973"/>
    <tableColumn id="16" xr3:uid="{00000000-0010-0000-2100-000010000000}" name="tgt" dataDxfId="4972"/>
    <tableColumn id="17" xr3:uid="{00000000-0010-0000-2100-000011000000}" name="rec" dataDxfId="4971"/>
    <tableColumn id="18" xr3:uid="{00000000-0010-0000-2100-000012000000}" name="rec_yd" dataDxfId="4970"/>
    <tableColumn id="19" xr3:uid="{00000000-0010-0000-2100-000013000000}" name="rec_td" dataDxfId="4969"/>
    <tableColumn id="20" xr3:uid="{00000000-0010-0000-2100-000014000000}" name="fmb" dataDxfId="4968"/>
    <tableColumn id="21" xr3:uid="{00000000-0010-0000-2100-000015000000}" name="tp_c" dataDxfId="4967"/>
    <tableColumn id="22" xr3:uid="{00000000-0010-0000-2100-000016000000}" name="f_ppr" dataDxfId="4966">
      <calculatedColumnFormula>($J61*0.04)+($K61*4)+($L61*-2)+($N61*0.1)+($O61*6)+($Q61)+($R61*0.1)+($S61*6)+($T61*-2)</calculatedColumnFormula>
    </tableColumn>
    <tableColumn id="23" xr3:uid="{00000000-0010-0000-2100-000017000000}" name="tgt_share" dataDxfId="4965">
      <calculatedColumnFormula>$P61/$H$33</calculatedColumnFormula>
    </tableColumn>
    <tableColumn id="24" xr3:uid="{00000000-0010-0000-2100-000018000000}" name="ypc" dataDxfId="4964">
      <calculatedColumnFormula>$N61/$M61</calculatedColumnFormula>
    </tableColumn>
    <tableColumn id="25" xr3:uid="{00000000-0010-0000-2100-000019000000}" name="ypr" dataDxfId="4963">
      <calculatedColumnFormula>$R61/$Q61</calculatedColumnFormula>
    </tableColumn>
    <tableColumn id="26" xr3:uid="{00000000-0010-0000-2100-00001A000000}" name="cmp_pct" dataDxfId="4962">
      <calculatedColumnFormula>$I61/$H61</calculatedColumnFormula>
    </tableColumn>
    <tableColumn id="27" xr3:uid="{00000000-0010-0000-2100-00001B000000}" name="td_rate" dataDxfId="4961">
      <calculatedColumnFormula>$K61/$H61</calculatedColumnFormula>
    </tableColumn>
    <tableColumn id="28" xr3:uid="{00000000-0010-0000-2100-00001C000000}" name="f_custom" dataDxfId="496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2000000}" name="CAR_Table7" displayName="CAR_Table7" ref="A75:AB80" totalsRowShown="0" headerRowDxfId="4958" dataDxfId="4929">
  <autoFilter ref="A75:AB80" xr:uid="{00000000-0009-0000-0100-000025000000}"/>
  <tableColumns count="28">
    <tableColumn id="1" xr3:uid="{00000000-0010-0000-2200-000001000000}" name="Name" dataDxfId="4957"/>
    <tableColumn id="2" xr3:uid="{00000000-0010-0000-2200-000002000000}" name="POS" dataDxfId="4956"/>
    <tableColumn id="3" xr3:uid="{00000000-0010-0000-2200-000003000000}" name="Age" dataDxfId="4955"/>
    <tableColumn id="4" xr3:uid="{00000000-0010-0000-2200-000004000000}" name="Exp" dataDxfId="4954"/>
    <tableColumn id="5" xr3:uid="{00000000-0010-0000-2200-000005000000}" name="College" dataDxfId="4953"/>
    <tableColumn id="6" xr3:uid="{00000000-0010-0000-2200-000006000000}" name="team" dataDxfId="4952"/>
    <tableColumn id="7" xr3:uid="{00000000-0010-0000-2200-000007000000}" name="g" dataDxfId="4951"/>
    <tableColumn id="8" xr3:uid="{00000000-0010-0000-2200-000008000000}" name="p_att" dataDxfId="4950"/>
    <tableColumn id="9" xr3:uid="{00000000-0010-0000-2200-000009000000}" name="cmp" dataDxfId="4949"/>
    <tableColumn id="10" xr3:uid="{00000000-0010-0000-2200-00000A000000}" name="p_yd" dataDxfId="4948"/>
    <tableColumn id="11" xr3:uid="{00000000-0010-0000-2200-00000B000000}" name="p_td" dataDxfId="4947"/>
    <tableColumn id="12" xr3:uid="{00000000-0010-0000-2200-00000C000000}" name="int" dataDxfId="4946"/>
    <tableColumn id="13" xr3:uid="{00000000-0010-0000-2200-00000D000000}" name="car" dataDxfId="4945"/>
    <tableColumn id="14" xr3:uid="{00000000-0010-0000-2200-00000E000000}" name="r_yd" dataDxfId="4944"/>
    <tableColumn id="15" xr3:uid="{00000000-0010-0000-2200-00000F000000}" name="r_td" dataDxfId="4943"/>
    <tableColumn id="16" xr3:uid="{00000000-0010-0000-2200-000010000000}" name="tgt" dataDxfId="4942"/>
    <tableColumn id="17" xr3:uid="{00000000-0010-0000-2200-000011000000}" name="rec" dataDxfId="4941"/>
    <tableColumn id="18" xr3:uid="{00000000-0010-0000-2200-000012000000}" name="rec_yd" dataDxfId="4940"/>
    <tableColumn id="19" xr3:uid="{00000000-0010-0000-2200-000013000000}" name="rec_td" dataDxfId="4939"/>
    <tableColumn id="20" xr3:uid="{00000000-0010-0000-2200-000014000000}" name="fmb" dataDxfId="4938"/>
    <tableColumn id="21" xr3:uid="{00000000-0010-0000-2200-000015000000}" name="tp_c" dataDxfId="4937"/>
    <tableColumn id="22" xr3:uid="{00000000-0010-0000-2200-000016000000}" name="f_ppr" dataDxfId="4936">
      <calculatedColumnFormula>($J76*0.04)+($K76*4)+($L76*-2)+($N76*0.1)+($O76*6)+($Q76)+($R76*0.1)+($S76*6)+($T76*-2)</calculatedColumnFormula>
    </tableColumn>
    <tableColumn id="23" xr3:uid="{00000000-0010-0000-2200-000017000000}" name="tgt_share" dataDxfId="4935">
      <calculatedColumnFormula>$P76/$H$33</calculatedColumnFormula>
    </tableColumn>
    <tableColumn id="24" xr3:uid="{00000000-0010-0000-2200-000018000000}" name="ypc" dataDxfId="4934">
      <calculatedColumnFormula>$N76/$M76</calculatedColumnFormula>
    </tableColumn>
    <tableColumn id="25" xr3:uid="{00000000-0010-0000-2200-000019000000}" name="ypr" dataDxfId="4933">
      <calculatedColumnFormula>$R76/$Q76</calculatedColumnFormula>
    </tableColumn>
    <tableColumn id="26" xr3:uid="{00000000-0010-0000-2200-00001A000000}" name="cmp_pct" dataDxfId="4932">
      <calculatedColumnFormula>$I76/$H76</calculatedColumnFormula>
    </tableColumn>
    <tableColumn id="27" xr3:uid="{00000000-0010-0000-2200-00001B000000}" name="td_rate" dataDxfId="4931">
      <calculatedColumnFormula>$K76/$H76</calculatedColumnFormula>
    </tableColumn>
    <tableColumn id="28" xr3:uid="{00000000-0010-0000-2200-00001C000000}" name="f_custom" dataDxfId="493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3000000}" name="CHI_Table1" displayName="CHI_Table1" ref="A1:Y23" totalsRowShown="0" headerRowDxfId="4928" dataDxfId="4902">
  <autoFilter ref="A1:Y23" xr:uid="{00000000-0009-0000-0100-000026000000}"/>
  <tableColumns count="25">
    <tableColumn id="1" xr3:uid="{00000000-0010-0000-2300-000001000000}" name="player_name" dataDxfId="4927"/>
    <tableColumn id="2" xr3:uid="{00000000-0010-0000-2300-000002000000}" name="recent_team" dataDxfId="4926"/>
    <tableColumn id="3" xr3:uid="{00000000-0010-0000-2300-000003000000}" name="pos" dataDxfId="4925"/>
    <tableColumn id="4" xr3:uid="{00000000-0010-0000-2300-000004000000}" name="g" dataDxfId="4924"/>
    <tableColumn id="5" xr3:uid="{00000000-0010-0000-2300-000005000000}" name="p_att" dataDxfId="4923"/>
    <tableColumn id="6" xr3:uid="{00000000-0010-0000-2300-000006000000}" name="cmp" dataDxfId="4922"/>
    <tableColumn id="7" xr3:uid="{00000000-0010-0000-2300-000007000000}" name="p_yd" dataDxfId="4921"/>
    <tableColumn id="8" xr3:uid="{00000000-0010-0000-2300-000008000000}" name="p_td" dataDxfId="4920"/>
    <tableColumn id="9" xr3:uid="{00000000-0010-0000-2300-000009000000}" name="int" dataDxfId="4919"/>
    <tableColumn id="10" xr3:uid="{00000000-0010-0000-2300-00000A000000}" name="car" dataDxfId="4918"/>
    <tableColumn id="11" xr3:uid="{00000000-0010-0000-2300-00000B000000}" name="r_yd" dataDxfId="4917"/>
    <tableColumn id="12" xr3:uid="{00000000-0010-0000-2300-00000C000000}" name="r_td" dataDxfId="4916"/>
    <tableColumn id="13" xr3:uid="{00000000-0010-0000-2300-00000D000000}" name="tgt" dataDxfId="4915"/>
    <tableColumn id="14" xr3:uid="{00000000-0010-0000-2300-00000E000000}" name="rec" dataDxfId="4914"/>
    <tableColumn id="15" xr3:uid="{00000000-0010-0000-2300-00000F000000}" name="rec_yd" dataDxfId="4913"/>
    <tableColumn id="16" xr3:uid="{00000000-0010-0000-2300-000010000000}" name="rec_td" dataDxfId="4912"/>
    <tableColumn id="17" xr3:uid="{00000000-0010-0000-2300-000011000000}" name="fmb" dataDxfId="4911"/>
    <tableColumn id="18" xr3:uid="{00000000-0010-0000-2300-000012000000}" name="tp_c" dataDxfId="4910"/>
    <tableColumn id="19" xr3:uid="{00000000-0010-0000-2300-000013000000}" name="f_ppr" dataDxfId="4909"/>
    <tableColumn id="20" xr3:uid="{00000000-0010-0000-2300-000014000000}" name="tgt_share" dataDxfId="4908"/>
    <tableColumn id="21" xr3:uid="{00000000-0010-0000-2300-000015000000}" name="ypc" dataDxfId="4907"/>
    <tableColumn id="22" xr3:uid="{00000000-0010-0000-2300-000016000000}" name="ypr" dataDxfId="4906"/>
    <tableColumn id="23" xr3:uid="{00000000-0010-0000-2300-000017000000}" name="cmp_pct" dataDxfId="4905"/>
    <tableColumn id="24" xr3:uid="{00000000-0010-0000-2300-000018000000}" name="td_rate" dataDxfId="4904"/>
    <tableColumn id="25" xr3:uid="{4374D72A-04BF-4A60-A1F7-89EBEC2B1F61}" name="f_custom" dataDxfId="490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4000000}" name="CHI_Table2" displayName="CHI_Table2" ref="A30:M31" totalsRowShown="0" headerRowDxfId="4901" dataDxfId="4887">
  <autoFilter ref="A30:M31" xr:uid="{00000000-0009-0000-0100-000027000000}"/>
  <tableColumns count="13">
    <tableColumn id="1" xr3:uid="{00000000-0010-0000-2400-000001000000}" name="team" dataDxfId="4900"/>
    <tableColumn id="2" xr3:uid="{00000000-0010-0000-2400-000002000000}" name="off_yd" dataDxfId="4899"/>
    <tableColumn id="3" xr3:uid="{00000000-0010-0000-2400-000003000000}" name="p_yd" dataDxfId="4898"/>
    <tableColumn id="4" xr3:uid="{00000000-0010-0000-2400-000004000000}" name="car" dataDxfId="4897"/>
    <tableColumn id="5" xr3:uid="{00000000-0010-0000-2400-000005000000}" name="r_yd" dataDxfId="4896"/>
    <tableColumn id="6" xr3:uid="{00000000-0010-0000-2400-000006000000}" name="r_td" dataDxfId="4895"/>
    <tableColumn id="7" xr3:uid="{00000000-0010-0000-2400-000007000000}" name="p_ff" dataDxfId="4894"/>
    <tableColumn id="8" xr3:uid="{00000000-0010-0000-2400-000008000000}" name="p_att" dataDxfId="4893"/>
    <tableColumn id="9" xr3:uid="{00000000-0010-0000-2400-000009000000}" name="cmp_pct" dataDxfId="4892"/>
    <tableColumn id="10" xr3:uid="{00000000-0010-0000-2400-00000A000000}" name="p_td" dataDxfId="4891"/>
    <tableColumn id="11" xr3:uid="{00000000-0010-0000-2400-00000B000000}" name="int" dataDxfId="4890"/>
    <tableColumn id="12" xr3:uid="{00000000-0010-0000-2400-00000C000000}" name="fmb" dataDxfId="4889"/>
    <tableColumn id="13" xr3:uid="{C45F942D-0154-4F5B-A2E8-9772AC51907D}" name="f_custom" dataDxfId="488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5000000}" name="CHI_Table3" displayName="CHI_Table3" ref="A32:M33" totalsRowShown="0" headerRowDxfId="4886" dataDxfId="4872">
  <autoFilter ref="A32:M33" xr:uid="{00000000-0009-0000-0100-000028000000}"/>
  <tableColumns count="13">
    <tableColumn id="1" xr3:uid="{00000000-0010-0000-2500-000001000000}" name="team" dataDxfId="4885">
      <calculatedColumnFormula>A31</calculatedColumnFormula>
    </tableColumn>
    <tableColumn id="2" xr3:uid="{00000000-0010-0000-2500-000002000000}" name="off_yd" dataDxfId="4884">
      <calculatedColumnFormula>C33 + E33</calculatedColumnFormula>
    </tableColumn>
    <tableColumn id="3" xr3:uid="{00000000-0010-0000-2500-000003000000}" name="p_yd" dataDxfId="4883">
      <calculatedColumnFormula>SUM(INDIRECT(A33 &amp; "_Table4[[#All],[p_yd]]"))</calculatedColumnFormula>
    </tableColumn>
    <tableColumn id="4" xr3:uid="{00000000-0010-0000-2500-000004000000}" name="car" dataDxfId="488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500-000005000000}" name="r_yd" dataDxfId="488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500-000006000000}" name="r_td" dataDxfId="488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500-000007000000}" name="p_ff" dataDxfId="487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500-000008000000}" name="p_att" dataDxfId="487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500-000009000000}" name="cmp_pct" dataDxfId="4877">
      <calculatedColumnFormula>SUM(INDIRECT(A33 &amp; "_Table4[[#All],[cmp]]"))/H33</calculatedColumnFormula>
    </tableColumn>
    <tableColumn id="10" xr3:uid="{00000000-0010-0000-2500-00000A000000}" name="p_td" dataDxfId="487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500-00000B000000}" name="int" dataDxfId="487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500-00000C000000}" name="fmb" dataDxfId="487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7D066DD-E408-4178-BF8D-F2291FFC2155}" name="f_custom" dataDxfId="487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6000000}" name="CHI_Table4" displayName="CHI_Table4" ref="A35:AB39" totalsRowShown="0" headerRowDxfId="4871" dataDxfId="4842">
  <autoFilter ref="A35:AB39" xr:uid="{00000000-0009-0000-0100-000029000000}"/>
  <tableColumns count="28">
    <tableColumn id="1" xr3:uid="{00000000-0010-0000-2600-000001000000}" name="Name" dataDxfId="4870"/>
    <tableColumn id="2" xr3:uid="{00000000-0010-0000-2600-000002000000}" name="POS" dataDxfId="4869"/>
    <tableColumn id="3" xr3:uid="{00000000-0010-0000-2600-000003000000}" name="Age" dataDxfId="4868"/>
    <tableColumn id="4" xr3:uid="{00000000-0010-0000-2600-000004000000}" name="Exp" dataDxfId="4867"/>
    <tableColumn id="5" xr3:uid="{00000000-0010-0000-2600-000005000000}" name="College" dataDxfId="4866"/>
    <tableColumn id="6" xr3:uid="{00000000-0010-0000-2600-000006000000}" name="team" dataDxfId="4865"/>
    <tableColumn id="7" xr3:uid="{00000000-0010-0000-2600-000007000000}" name="g" dataDxfId="4864"/>
    <tableColumn id="8" xr3:uid="{00000000-0010-0000-2600-000008000000}" name="p_att" dataDxfId="4863"/>
    <tableColumn id="9" xr3:uid="{00000000-0010-0000-2600-000009000000}" name="cmp" dataDxfId="4862"/>
    <tableColumn id="10" xr3:uid="{00000000-0010-0000-2600-00000A000000}" name="p_yd" dataDxfId="4861"/>
    <tableColumn id="11" xr3:uid="{00000000-0010-0000-2600-00000B000000}" name="p_td" dataDxfId="4860"/>
    <tableColumn id="12" xr3:uid="{00000000-0010-0000-2600-00000C000000}" name="int" dataDxfId="4859"/>
    <tableColumn id="13" xr3:uid="{00000000-0010-0000-2600-00000D000000}" name="car" dataDxfId="4858"/>
    <tableColumn id="14" xr3:uid="{00000000-0010-0000-2600-00000E000000}" name="r_yd" dataDxfId="4857"/>
    <tableColumn id="15" xr3:uid="{00000000-0010-0000-2600-00000F000000}" name="r_td" dataDxfId="4856"/>
    <tableColumn id="16" xr3:uid="{00000000-0010-0000-2600-000010000000}" name="tgt" dataDxfId="4855"/>
    <tableColumn id="17" xr3:uid="{00000000-0010-0000-2600-000011000000}" name="rec" dataDxfId="4854"/>
    <tableColumn id="18" xr3:uid="{00000000-0010-0000-2600-000012000000}" name="rec_yd" dataDxfId="4853"/>
    <tableColumn id="19" xr3:uid="{00000000-0010-0000-2600-000013000000}" name="rec_td" dataDxfId="4852"/>
    <tableColumn id="20" xr3:uid="{00000000-0010-0000-2600-000014000000}" name="fmb" dataDxfId="4851"/>
    <tableColumn id="21" xr3:uid="{00000000-0010-0000-2600-000015000000}" name="tp_c" dataDxfId="4850"/>
    <tableColumn id="22" xr3:uid="{00000000-0010-0000-2600-000016000000}" name="f_ppr" dataDxfId="4849">
      <calculatedColumnFormula>($J36*0.04)+($K36*4)+($L36*-2)+($N36*0.1)+($O36*6)+($Q36)+($R36*0.1)+($S36*6)+($T36*-2)</calculatedColumnFormula>
    </tableColumn>
    <tableColumn id="23" xr3:uid="{00000000-0010-0000-2600-000017000000}" name="tgt_share" dataDxfId="4848">
      <calculatedColumnFormula>$P36/$H$33</calculatedColumnFormula>
    </tableColumn>
    <tableColumn id="24" xr3:uid="{00000000-0010-0000-2600-000018000000}" name="ypc" dataDxfId="4847">
      <calculatedColumnFormula>$N36/$M36</calculatedColumnFormula>
    </tableColumn>
    <tableColumn id="25" xr3:uid="{00000000-0010-0000-2600-000019000000}" name="ypr" dataDxfId="4846">
      <calculatedColumnFormula>$R36/$Q36</calculatedColumnFormula>
    </tableColumn>
    <tableColumn id="26" xr3:uid="{00000000-0010-0000-2600-00001A000000}" name="cmp_pct" dataDxfId="4845">
      <calculatedColumnFormula>$I36/$H36</calculatedColumnFormula>
    </tableColumn>
    <tableColumn id="27" xr3:uid="{00000000-0010-0000-2600-00001B000000}" name="td_rate" dataDxfId="4844">
      <calculatedColumnFormula>$K36/$H36</calculatedColumnFormula>
    </tableColumn>
    <tableColumn id="28" xr3:uid="{00000000-0010-0000-2600-00001C000000}" name="f_custom" dataDxfId="4843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7000000}" name="CHI_Table5" displayName="CHI_Table5" ref="A45:AB50" totalsRowShown="0" headerRowDxfId="4841" dataDxfId="4812">
  <autoFilter ref="A45:AB50" xr:uid="{00000000-0009-0000-0100-00002A000000}"/>
  <tableColumns count="28">
    <tableColumn id="1" xr3:uid="{00000000-0010-0000-2700-000001000000}" name="Name" dataDxfId="4840"/>
    <tableColumn id="2" xr3:uid="{00000000-0010-0000-2700-000002000000}" name="POS" dataDxfId="4839"/>
    <tableColumn id="3" xr3:uid="{00000000-0010-0000-2700-000003000000}" name="Age" dataDxfId="4838"/>
    <tableColumn id="4" xr3:uid="{00000000-0010-0000-2700-000004000000}" name="Exp" dataDxfId="4837"/>
    <tableColumn id="5" xr3:uid="{00000000-0010-0000-2700-000005000000}" name="College" dataDxfId="4836"/>
    <tableColumn id="6" xr3:uid="{00000000-0010-0000-2700-000006000000}" name="team" dataDxfId="4835"/>
    <tableColumn id="7" xr3:uid="{00000000-0010-0000-2700-000007000000}" name="g" dataDxfId="4834"/>
    <tableColumn id="8" xr3:uid="{00000000-0010-0000-2700-000008000000}" name="p_att" dataDxfId="4833"/>
    <tableColumn id="9" xr3:uid="{00000000-0010-0000-2700-000009000000}" name="cmp" dataDxfId="4832"/>
    <tableColumn id="10" xr3:uid="{00000000-0010-0000-2700-00000A000000}" name="p_yd" dataDxfId="4831"/>
    <tableColumn id="11" xr3:uid="{00000000-0010-0000-2700-00000B000000}" name="p_td" dataDxfId="4830"/>
    <tableColumn id="12" xr3:uid="{00000000-0010-0000-2700-00000C000000}" name="int" dataDxfId="4829"/>
    <tableColumn id="13" xr3:uid="{00000000-0010-0000-2700-00000D000000}" name="car" dataDxfId="4828"/>
    <tableColumn id="14" xr3:uid="{00000000-0010-0000-2700-00000E000000}" name="r_yd" dataDxfId="4827"/>
    <tableColumn id="15" xr3:uid="{00000000-0010-0000-2700-00000F000000}" name="r_td" dataDxfId="4826"/>
    <tableColumn id="16" xr3:uid="{00000000-0010-0000-2700-000010000000}" name="tgt" dataDxfId="4825"/>
    <tableColumn id="17" xr3:uid="{00000000-0010-0000-2700-000011000000}" name="rec" dataDxfId="4824"/>
    <tableColumn id="18" xr3:uid="{00000000-0010-0000-2700-000012000000}" name="rec_yd" dataDxfId="4823"/>
    <tableColumn id="19" xr3:uid="{00000000-0010-0000-2700-000013000000}" name="rec_td" dataDxfId="4822"/>
    <tableColumn id="20" xr3:uid="{00000000-0010-0000-2700-000014000000}" name="fmb" dataDxfId="4821"/>
    <tableColumn id="21" xr3:uid="{00000000-0010-0000-2700-000015000000}" name="tp_c" dataDxfId="4820"/>
    <tableColumn id="22" xr3:uid="{00000000-0010-0000-2700-000016000000}" name="f_ppr" dataDxfId="4819">
      <calculatedColumnFormula>($J46*0.04)+($K46*4)+($L46*-2)+($N46*0.1)+($O46*6)+($Q46)+($R46*0.1)+($S46*6)+($T46*-2)</calculatedColumnFormula>
    </tableColumn>
    <tableColumn id="23" xr3:uid="{00000000-0010-0000-2700-000017000000}" name="tgt_share" dataDxfId="4818">
      <calculatedColumnFormula>$P46/$H$33</calculatedColumnFormula>
    </tableColumn>
    <tableColumn id="24" xr3:uid="{00000000-0010-0000-2700-000018000000}" name="ypc" dataDxfId="4817">
      <calculatedColumnFormula>$N46/$M46</calculatedColumnFormula>
    </tableColumn>
    <tableColumn id="25" xr3:uid="{00000000-0010-0000-2700-000019000000}" name="ypr" dataDxfId="4816">
      <calculatedColumnFormula>$R46/$Q46</calculatedColumnFormula>
    </tableColumn>
    <tableColumn id="26" xr3:uid="{00000000-0010-0000-2700-00001A000000}" name="cmp_pct" dataDxfId="4815">
      <calculatedColumnFormula>$I46/$H46</calculatedColumnFormula>
    </tableColumn>
    <tableColumn id="27" xr3:uid="{00000000-0010-0000-2700-00001B000000}" name="td_rate" dataDxfId="4814">
      <calculatedColumnFormula>$K46/$H46</calculatedColumnFormula>
    </tableColumn>
    <tableColumn id="28" xr3:uid="{00000000-0010-0000-2700-00001C000000}" name="f_custom" dataDxfId="481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8000000}" name="CHI_Table6" displayName="CHI_Table6" ref="A60:AB71" totalsRowShown="0" headerRowDxfId="4811" dataDxfId="4782">
  <autoFilter ref="A60:AB71" xr:uid="{00000000-0009-0000-0100-00002B000000}"/>
  <tableColumns count="28">
    <tableColumn id="1" xr3:uid="{00000000-0010-0000-2800-000001000000}" name="Name" dataDxfId="4810"/>
    <tableColumn id="2" xr3:uid="{00000000-0010-0000-2800-000002000000}" name="POS" dataDxfId="4809"/>
    <tableColumn id="3" xr3:uid="{00000000-0010-0000-2800-000003000000}" name="Age" dataDxfId="4808"/>
    <tableColumn id="4" xr3:uid="{00000000-0010-0000-2800-000004000000}" name="Exp" dataDxfId="4807"/>
    <tableColumn id="5" xr3:uid="{00000000-0010-0000-2800-000005000000}" name="College" dataDxfId="4806"/>
    <tableColumn id="6" xr3:uid="{00000000-0010-0000-2800-000006000000}" name="team" dataDxfId="4805"/>
    <tableColumn id="7" xr3:uid="{00000000-0010-0000-2800-000007000000}" name="g" dataDxfId="4804"/>
    <tableColumn id="8" xr3:uid="{00000000-0010-0000-2800-000008000000}" name="p_att" dataDxfId="4803"/>
    <tableColumn id="9" xr3:uid="{00000000-0010-0000-2800-000009000000}" name="cmp" dataDxfId="4802"/>
    <tableColumn id="10" xr3:uid="{00000000-0010-0000-2800-00000A000000}" name="p_yd" dataDxfId="4801"/>
    <tableColumn id="11" xr3:uid="{00000000-0010-0000-2800-00000B000000}" name="p_td" dataDxfId="4800"/>
    <tableColumn id="12" xr3:uid="{00000000-0010-0000-2800-00000C000000}" name="int" dataDxfId="4799"/>
    <tableColumn id="13" xr3:uid="{00000000-0010-0000-2800-00000D000000}" name="car" dataDxfId="4798"/>
    <tableColumn id="14" xr3:uid="{00000000-0010-0000-2800-00000E000000}" name="r_yd" dataDxfId="4797"/>
    <tableColumn id="15" xr3:uid="{00000000-0010-0000-2800-00000F000000}" name="r_td" dataDxfId="4796"/>
    <tableColumn id="16" xr3:uid="{00000000-0010-0000-2800-000010000000}" name="tgt" dataDxfId="4795"/>
    <tableColumn id="17" xr3:uid="{00000000-0010-0000-2800-000011000000}" name="rec" dataDxfId="4794"/>
    <tableColumn id="18" xr3:uid="{00000000-0010-0000-2800-000012000000}" name="rec_yd" dataDxfId="4793"/>
    <tableColumn id="19" xr3:uid="{00000000-0010-0000-2800-000013000000}" name="rec_td" dataDxfId="4792"/>
    <tableColumn id="20" xr3:uid="{00000000-0010-0000-2800-000014000000}" name="fmb" dataDxfId="4791"/>
    <tableColumn id="21" xr3:uid="{00000000-0010-0000-2800-000015000000}" name="tp_c" dataDxfId="4790"/>
    <tableColumn id="22" xr3:uid="{00000000-0010-0000-2800-000016000000}" name="f_ppr" dataDxfId="4789">
      <calculatedColumnFormula>($J61*0.04)+($K61*4)+($L61*-2)+($N61*0.1)+($O61*6)+($Q61)+($R61*0.1)+($S61*6)+($T61*-2)</calculatedColumnFormula>
    </tableColumn>
    <tableColumn id="23" xr3:uid="{00000000-0010-0000-2800-000017000000}" name="tgt_share" dataDxfId="4788">
      <calculatedColumnFormula>$P61/$H$33</calculatedColumnFormula>
    </tableColumn>
    <tableColumn id="24" xr3:uid="{00000000-0010-0000-2800-000018000000}" name="ypc" dataDxfId="4787">
      <calculatedColumnFormula>$N61/$M61</calculatedColumnFormula>
    </tableColumn>
    <tableColumn id="25" xr3:uid="{00000000-0010-0000-2800-000019000000}" name="ypr" dataDxfId="4786">
      <calculatedColumnFormula>$R61/$Q61</calculatedColumnFormula>
    </tableColumn>
    <tableColumn id="26" xr3:uid="{00000000-0010-0000-2800-00001A000000}" name="cmp_pct" dataDxfId="4785">
      <calculatedColumnFormula>$I61/$H61</calculatedColumnFormula>
    </tableColumn>
    <tableColumn id="27" xr3:uid="{00000000-0010-0000-2800-00001B000000}" name="td_rate" dataDxfId="4784">
      <calculatedColumnFormula>$K61/$H61</calculatedColumnFormula>
    </tableColumn>
    <tableColumn id="28" xr3:uid="{00000000-0010-0000-2800-00001C000000}" name="f_custom" dataDxfId="478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9000000}" name="CHI_Table7" displayName="CHI_Table7" ref="A75:AB81" totalsRowShown="0" headerRowDxfId="4781" dataDxfId="4752">
  <autoFilter ref="A75:AB81" xr:uid="{00000000-0009-0000-0100-00002C000000}"/>
  <tableColumns count="28">
    <tableColumn id="1" xr3:uid="{00000000-0010-0000-2900-000001000000}" name="Name" dataDxfId="4780"/>
    <tableColumn id="2" xr3:uid="{00000000-0010-0000-2900-000002000000}" name="POS" dataDxfId="4779"/>
    <tableColumn id="3" xr3:uid="{00000000-0010-0000-2900-000003000000}" name="Age" dataDxfId="4778"/>
    <tableColumn id="4" xr3:uid="{00000000-0010-0000-2900-000004000000}" name="Exp" dataDxfId="4777"/>
    <tableColumn id="5" xr3:uid="{00000000-0010-0000-2900-000005000000}" name="College" dataDxfId="4776"/>
    <tableColumn id="6" xr3:uid="{00000000-0010-0000-2900-000006000000}" name="team" dataDxfId="4775"/>
    <tableColumn id="7" xr3:uid="{00000000-0010-0000-2900-000007000000}" name="g" dataDxfId="4774"/>
    <tableColumn id="8" xr3:uid="{00000000-0010-0000-2900-000008000000}" name="p_att" dataDxfId="4773"/>
    <tableColumn id="9" xr3:uid="{00000000-0010-0000-2900-000009000000}" name="cmp" dataDxfId="4772"/>
    <tableColumn id="10" xr3:uid="{00000000-0010-0000-2900-00000A000000}" name="p_yd" dataDxfId="4771"/>
    <tableColumn id="11" xr3:uid="{00000000-0010-0000-2900-00000B000000}" name="p_td" dataDxfId="4770"/>
    <tableColumn id="12" xr3:uid="{00000000-0010-0000-2900-00000C000000}" name="int" dataDxfId="4769"/>
    <tableColumn id="13" xr3:uid="{00000000-0010-0000-2900-00000D000000}" name="car" dataDxfId="4768"/>
    <tableColumn id="14" xr3:uid="{00000000-0010-0000-2900-00000E000000}" name="r_yd" dataDxfId="4767"/>
    <tableColumn id="15" xr3:uid="{00000000-0010-0000-2900-00000F000000}" name="r_td" dataDxfId="4766"/>
    <tableColumn id="16" xr3:uid="{00000000-0010-0000-2900-000010000000}" name="tgt" dataDxfId="4765"/>
    <tableColumn id="17" xr3:uid="{00000000-0010-0000-2900-000011000000}" name="rec" dataDxfId="4764"/>
    <tableColumn id="18" xr3:uid="{00000000-0010-0000-2900-000012000000}" name="rec_yd" dataDxfId="4763"/>
    <tableColumn id="19" xr3:uid="{00000000-0010-0000-2900-000013000000}" name="rec_td" dataDxfId="4762"/>
    <tableColumn id="20" xr3:uid="{00000000-0010-0000-2900-000014000000}" name="fmb" dataDxfId="4761"/>
    <tableColumn id="21" xr3:uid="{00000000-0010-0000-2900-000015000000}" name="tp_c" dataDxfId="4760"/>
    <tableColumn id="22" xr3:uid="{00000000-0010-0000-2900-000016000000}" name="f_ppr" dataDxfId="4759">
      <calculatedColumnFormula>($J76*0.04)+($K76*4)+($L76*-2)+($N76*0.1)+($O76*6)+($Q76)+($R76*0.1)+($S76*6)+($T76*-2)</calculatedColumnFormula>
    </tableColumn>
    <tableColumn id="23" xr3:uid="{00000000-0010-0000-2900-000017000000}" name="tgt_share" dataDxfId="4758">
      <calculatedColumnFormula>$P76/$H$33</calculatedColumnFormula>
    </tableColumn>
    <tableColumn id="24" xr3:uid="{00000000-0010-0000-2900-000018000000}" name="ypc" dataDxfId="4757">
      <calculatedColumnFormula>$N76/$M76</calculatedColumnFormula>
    </tableColumn>
    <tableColumn id="25" xr3:uid="{00000000-0010-0000-2900-000019000000}" name="ypr" dataDxfId="4756">
      <calculatedColumnFormula>$R76/$Q76</calculatedColumnFormula>
    </tableColumn>
    <tableColumn id="26" xr3:uid="{00000000-0010-0000-2900-00001A000000}" name="cmp_pct" dataDxfId="4755">
      <calculatedColumnFormula>$I76/$H76</calculatedColumnFormula>
    </tableColumn>
    <tableColumn id="27" xr3:uid="{00000000-0010-0000-2900-00001B000000}" name="td_rate" dataDxfId="4754">
      <calculatedColumnFormula>$K76/$H76</calculatedColumnFormula>
    </tableColumn>
    <tableColumn id="28" xr3:uid="{00000000-0010-0000-2900-00001C000000}" name="f_custom" dataDxfId="475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A000000}" name="CIN_Table1" displayName="CIN_Table1" ref="A1:Y18" totalsRowShown="0" headerRowDxfId="4751" dataDxfId="4725">
  <autoFilter ref="A1:Y18" xr:uid="{00000000-0009-0000-0100-00002D000000}"/>
  <tableColumns count="25">
    <tableColumn id="1" xr3:uid="{00000000-0010-0000-2A00-000001000000}" name="player_name" dataDxfId="4750"/>
    <tableColumn id="2" xr3:uid="{00000000-0010-0000-2A00-000002000000}" name="recent_team" dataDxfId="4749"/>
    <tableColumn id="3" xr3:uid="{00000000-0010-0000-2A00-000003000000}" name="pos" dataDxfId="4748"/>
    <tableColumn id="4" xr3:uid="{00000000-0010-0000-2A00-000004000000}" name="g" dataDxfId="4747"/>
    <tableColumn id="5" xr3:uid="{00000000-0010-0000-2A00-000005000000}" name="p_att" dataDxfId="4746"/>
    <tableColumn id="6" xr3:uid="{00000000-0010-0000-2A00-000006000000}" name="cmp" dataDxfId="4745"/>
    <tableColumn id="7" xr3:uid="{00000000-0010-0000-2A00-000007000000}" name="p_yd" dataDxfId="4744"/>
    <tableColumn id="8" xr3:uid="{00000000-0010-0000-2A00-000008000000}" name="p_td" dataDxfId="4743"/>
    <tableColumn id="9" xr3:uid="{00000000-0010-0000-2A00-000009000000}" name="int" dataDxfId="4742"/>
    <tableColumn id="10" xr3:uid="{00000000-0010-0000-2A00-00000A000000}" name="car" dataDxfId="4741"/>
    <tableColumn id="11" xr3:uid="{00000000-0010-0000-2A00-00000B000000}" name="r_yd" dataDxfId="4740"/>
    <tableColumn id="12" xr3:uid="{00000000-0010-0000-2A00-00000C000000}" name="r_td" dataDxfId="4739"/>
    <tableColumn id="13" xr3:uid="{00000000-0010-0000-2A00-00000D000000}" name="tgt" dataDxfId="4738"/>
    <tableColumn id="14" xr3:uid="{00000000-0010-0000-2A00-00000E000000}" name="rec" dataDxfId="4737"/>
    <tableColumn id="15" xr3:uid="{00000000-0010-0000-2A00-00000F000000}" name="rec_yd" dataDxfId="4736"/>
    <tableColumn id="16" xr3:uid="{00000000-0010-0000-2A00-000010000000}" name="rec_td" dataDxfId="4735"/>
    <tableColumn id="17" xr3:uid="{00000000-0010-0000-2A00-000011000000}" name="fmb" dataDxfId="4734"/>
    <tableColumn id="18" xr3:uid="{00000000-0010-0000-2A00-000012000000}" name="tp_c" dataDxfId="4733"/>
    <tableColumn id="19" xr3:uid="{00000000-0010-0000-2A00-000013000000}" name="f_ppr" dataDxfId="4732"/>
    <tableColumn id="20" xr3:uid="{00000000-0010-0000-2A00-000014000000}" name="tgt_share" dataDxfId="4731"/>
    <tableColumn id="21" xr3:uid="{00000000-0010-0000-2A00-000015000000}" name="ypc" dataDxfId="4730"/>
    <tableColumn id="22" xr3:uid="{00000000-0010-0000-2A00-000016000000}" name="ypr" dataDxfId="4729"/>
    <tableColumn id="23" xr3:uid="{00000000-0010-0000-2A00-000017000000}" name="cmp_pct" dataDxfId="4728"/>
    <tableColumn id="24" xr3:uid="{00000000-0010-0000-2A00-000018000000}" name="td_rate" dataDxfId="4727"/>
    <tableColumn id="25" xr3:uid="{435D4170-D1FE-4998-833E-0E96A5AD3B56}" name="f_custom" dataDxfId="472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B000000}" name="CIN_Table2" displayName="CIN_Table2" ref="A30:M31" totalsRowShown="0" headerRowDxfId="4724" dataDxfId="4710">
  <autoFilter ref="A30:M31" xr:uid="{00000000-0009-0000-0100-00002E000000}"/>
  <tableColumns count="13">
    <tableColumn id="1" xr3:uid="{00000000-0010-0000-2B00-000001000000}" name="team" dataDxfId="4723"/>
    <tableColumn id="2" xr3:uid="{00000000-0010-0000-2B00-000002000000}" name="off_yd" dataDxfId="4722"/>
    <tableColumn id="3" xr3:uid="{00000000-0010-0000-2B00-000003000000}" name="p_yd" dataDxfId="4721"/>
    <tableColumn id="4" xr3:uid="{00000000-0010-0000-2B00-000004000000}" name="car" dataDxfId="4720"/>
    <tableColumn id="5" xr3:uid="{00000000-0010-0000-2B00-000005000000}" name="r_yd" dataDxfId="4719"/>
    <tableColumn id="6" xr3:uid="{00000000-0010-0000-2B00-000006000000}" name="r_td" dataDxfId="4718"/>
    <tableColumn id="7" xr3:uid="{00000000-0010-0000-2B00-000007000000}" name="p_ff" dataDxfId="4717"/>
    <tableColumn id="8" xr3:uid="{00000000-0010-0000-2B00-000008000000}" name="p_att" dataDxfId="4716"/>
    <tableColumn id="9" xr3:uid="{00000000-0010-0000-2B00-000009000000}" name="cmp_pct" dataDxfId="4715"/>
    <tableColumn id="10" xr3:uid="{00000000-0010-0000-2B00-00000A000000}" name="p_td" dataDxfId="4714"/>
    <tableColumn id="11" xr3:uid="{00000000-0010-0000-2B00-00000B000000}" name="int" dataDxfId="4713"/>
    <tableColumn id="12" xr3:uid="{00000000-0010-0000-2B00-00000C000000}" name="fmb" dataDxfId="4712"/>
    <tableColumn id="13" xr3:uid="{7F6C6A2C-CAEA-4ABB-856A-118D993265AA}" name="f_custom" dataDxfId="471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C000000}" name="CIN_Table3" displayName="CIN_Table3" ref="A32:M33" totalsRowShown="0" headerRowDxfId="4709" dataDxfId="4695">
  <autoFilter ref="A32:M33" xr:uid="{00000000-0009-0000-0100-00002F000000}"/>
  <tableColumns count="13">
    <tableColumn id="1" xr3:uid="{00000000-0010-0000-2C00-000001000000}" name="team" dataDxfId="4708">
      <calculatedColumnFormula>A31</calculatedColumnFormula>
    </tableColumn>
    <tableColumn id="2" xr3:uid="{00000000-0010-0000-2C00-000002000000}" name="off_yd" dataDxfId="4707">
      <calculatedColumnFormula>C33 + E33</calculatedColumnFormula>
    </tableColumn>
    <tableColumn id="3" xr3:uid="{00000000-0010-0000-2C00-000003000000}" name="p_yd" dataDxfId="4706">
      <calculatedColumnFormula>SUM(INDIRECT(A33 &amp; "_Table4[[#All],[p_yd]]"))</calculatedColumnFormula>
    </tableColumn>
    <tableColumn id="4" xr3:uid="{00000000-0010-0000-2C00-000004000000}" name="car" dataDxfId="470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C00-000005000000}" name="r_yd" dataDxfId="470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C00-000006000000}" name="r_td" dataDxfId="470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C00-000007000000}" name="p_ff" dataDxfId="470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C00-000008000000}" name="p_att" dataDxfId="470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C00-000009000000}" name="cmp_pct" dataDxfId="4700">
      <calculatedColumnFormula>SUM(INDIRECT(A33 &amp; "_Table4[[#All],[cmp]]"))/H33</calculatedColumnFormula>
    </tableColumn>
    <tableColumn id="10" xr3:uid="{00000000-0010-0000-2C00-00000A000000}" name="p_td" dataDxfId="469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C00-00000B000000}" name="int" dataDxfId="469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C00-00000C000000}" name="fmb" dataDxfId="469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3DBCEAD3-B871-4D24-8296-8726B50929F5}" name="f_custom" dataDxfId="469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D000000}" name="CIN_Table4" displayName="CIN_Table4" ref="A35:AB39" totalsRowShown="0" headerRowDxfId="4694" dataDxfId="4665">
  <autoFilter ref="A35:AB39" xr:uid="{00000000-0009-0000-0100-000030000000}"/>
  <tableColumns count="28">
    <tableColumn id="1" xr3:uid="{00000000-0010-0000-2D00-000001000000}" name="Name" dataDxfId="4693"/>
    <tableColumn id="2" xr3:uid="{00000000-0010-0000-2D00-000002000000}" name="POS" dataDxfId="4692"/>
    <tableColumn id="3" xr3:uid="{00000000-0010-0000-2D00-000003000000}" name="Age" dataDxfId="4691"/>
    <tableColumn id="4" xr3:uid="{00000000-0010-0000-2D00-000004000000}" name="Exp" dataDxfId="4690"/>
    <tableColumn id="5" xr3:uid="{00000000-0010-0000-2D00-000005000000}" name="College" dataDxfId="4689"/>
    <tableColumn id="6" xr3:uid="{00000000-0010-0000-2D00-000006000000}" name="team" dataDxfId="4688"/>
    <tableColumn id="7" xr3:uid="{00000000-0010-0000-2D00-000007000000}" name="g" dataDxfId="4687"/>
    <tableColumn id="8" xr3:uid="{00000000-0010-0000-2D00-000008000000}" name="p_att" dataDxfId="4686"/>
    <tableColumn id="9" xr3:uid="{00000000-0010-0000-2D00-000009000000}" name="cmp" dataDxfId="4685"/>
    <tableColumn id="10" xr3:uid="{00000000-0010-0000-2D00-00000A000000}" name="p_yd" dataDxfId="4684"/>
    <tableColumn id="11" xr3:uid="{00000000-0010-0000-2D00-00000B000000}" name="p_td" dataDxfId="4683"/>
    <tableColumn id="12" xr3:uid="{00000000-0010-0000-2D00-00000C000000}" name="int" dataDxfId="4682"/>
    <tableColumn id="13" xr3:uid="{00000000-0010-0000-2D00-00000D000000}" name="car" dataDxfId="4681"/>
    <tableColumn id="14" xr3:uid="{00000000-0010-0000-2D00-00000E000000}" name="r_yd" dataDxfId="4680"/>
    <tableColumn id="15" xr3:uid="{00000000-0010-0000-2D00-00000F000000}" name="r_td" dataDxfId="4679"/>
    <tableColumn id="16" xr3:uid="{00000000-0010-0000-2D00-000010000000}" name="tgt" dataDxfId="4678"/>
    <tableColumn id="17" xr3:uid="{00000000-0010-0000-2D00-000011000000}" name="rec" dataDxfId="4677"/>
    <tableColumn id="18" xr3:uid="{00000000-0010-0000-2D00-000012000000}" name="rec_yd" dataDxfId="4676"/>
    <tableColumn id="19" xr3:uid="{00000000-0010-0000-2D00-000013000000}" name="rec_td" dataDxfId="4675"/>
    <tableColumn id="20" xr3:uid="{00000000-0010-0000-2D00-000014000000}" name="fmb" dataDxfId="4674"/>
    <tableColumn id="21" xr3:uid="{00000000-0010-0000-2D00-000015000000}" name="tp_c" dataDxfId="4673"/>
    <tableColumn id="22" xr3:uid="{00000000-0010-0000-2D00-000016000000}" name="f_ppr" dataDxfId="4672">
      <calculatedColumnFormula>($J36*0.04)+($K36*4)+($L36*-2)+($N36*0.1)+($O36*6)+($Q36)+($R36*0.1)+($S36*6)+($T36*-2)</calculatedColumnFormula>
    </tableColumn>
    <tableColumn id="23" xr3:uid="{00000000-0010-0000-2D00-000017000000}" name="tgt_share" dataDxfId="4671">
      <calculatedColumnFormula>$P36/$H$33</calculatedColumnFormula>
    </tableColumn>
    <tableColumn id="24" xr3:uid="{00000000-0010-0000-2D00-000018000000}" name="ypc" dataDxfId="4670">
      <calculatedColumnFormula>$N36/$M36</calculatedColumnFormula>
    </tableColumn>
    <tableColumn id="25" xr3:uid="{00000000-0010-0000-2D00-000019000000}" name="ypr" dataDxfId="4669">
      <calculatedColumnFormula>$R36/$Q36</calculatedColumnFormula>
    </tableColumn>
    <tableColumn id="26" xr3:uid="{00000000-0010-0000-2D00-00001A000000}" name="cmp_pct" dataDxfId="4668">
      <calculatedColumnFormula>$I36/$H36</calculatedColumnFormula>
    </tableColumn>
    <tableColumn id="27" xr3:uid="{00000000-0010-0000-2D00-00001B000000}" name="td_rate" dataDxfId="4667">
      <calculatedColumnFormula>$K36/$H36</calculatedColumnFormula>
    </tableColumn>
    <tableColumn id="28" xr3:uid="{00000000-0010-0000-2D00-00001C000000}" name="f_custom" dataDxfId="466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E000000}" name="CIN_Table5" displayName="CIN_Table5" ref="A45:AB51" totalsRowShown="0" headerRowDxfId="4664" dataDxfId="4635">
  <autoFilter ref="A45:AB51" xr:uid="{00000000-0009-0000-0100-000031000000}"/>
  <tableColumns count="28">
    <tableColumn id="1" xr3:uid="{00000000-0010-0000-2E00-000001000000}" name="Name" dataDxfId="4663"/>
    <tableColumn id="2" xr3:uid="{00000000-0010-0000-2E00-000002000000}" name="POS" dataDxfId="4662"/>
    <tableColumn id="3" xr3:uid="{00000000-0010-0000-2E00-000003000000}" name="Age" dataDxfId="4661"/>
    <tableColumn id="4" xr3:uid="{00000000-0010-0000-2E00-000004000000}" name="Exp" dataDxfId="4660"/>
    <tableColumn id="5" xr3:uid="{00000000-0010-0000-2E00-000005000000}" name="College" dataDxfId="4659"/>
    <tableColumn id="6" xr3:uid="{00000000-0010-0000-2E00-000006000000}" name="team" dataDxfId="4658"/>
    <tableColumn id="7" xr3:uid="{00000000-0010-0000-2E00-000007000000}" name="g" dataDxfId="4657"/>
    <tableColumn id="8" xr3:uid="{00000000-0010-0000-2E00-000008000000}" name="p_att" dataDxfId="4656"/>
    <tableColumn id="9" xr3:uid="{00000000-0010-0000-2E00-000009000000}" name="cmp" dataDxfId="4655"/>
    <tableColumn id="10" xr3:uid="{00000000-0010-0000-2E00-00000A000000}" name="p_yd" dataDxfId="4654"/>
    <tableColumn id="11" xr3:uid="{00000000-0010-0000-2E00-00000B000000}" name="p_td" dataDxfId="4653"/>
    <tableColumn id="12" xr3:uid="{00000000-0010-0000-2E00-00000C000000}" name="int" dataDxfId="4652"/>
    <tableColumn id="13" xr3:uid="{00000000-0010-0000-2E00-00000D000000}" name="car" dataDxfId="4651"/>
    <tableColumn id="14" xr3:uid="{00000000-0010-0000-2E00-00000E000000}" name="r_yd" dataDxfId="4650"/>
    <tableColumn id="15" xr3:uid="{00000000-0010-0000-2E00-00000F000000}" name="r_td" dataDxfId="4649"/>
    <tableColumn id="16" xr3:uid="{00000000-0010-0000-2E00-000010000000}" name="tgt" dataDxfId="4648"/>
    <tableColumn id="17" xr3:uid="{00000000-0010-0000-2E00-000011000000}" name="rec" dataDxfId="4647"/>
    <tableColumn id="18" xr3:uid="{00000000-0010-0000-2E00-000012000000}" name="rec_yd" dataDxfId="4646"/>
    <tableColumn id="19" xr3:uid="{00000000-0010-0000-2E00-000013000000}" name="rec_td" dataDxfId="4645"/>
    <tableColumn id="20" xr3:uid="{00000000-0010-0000-2E00-000014000000}" name="fmb" dataDxfId="4644"/>
    <tableColumn id="21" xr3:uid="{00000000-0010-0000-2E00-000015000000}" name="tp_c" dataDxfId="4643"/>
    <tableColumn id="22" xr3:uid="{00000000-0010-0000-2E00-000016000000}" name="f_ppr" dataDxfId="4642">
      <calculatedColumnFormula>($J46*0.04)+($K46*4)+($L46*-2)+($N46*0.1)+($O46*6)+($Q46)+($R46*0.1)+($S46*6)+($T46*-2)</calculatedColumnFormula>
    </tableColumn>
    <tableColumn id="23" xr3:uid="{00000000-0010-0000-2E00-000017000000}" name="tgt_share" dataDxfId="4641">
      <calculatedColumnFormula>$P46/$H$33</calculatedColumnFormula>
    </tableColumn>
    <tableColumn id="24" xr3:uid="{00000000-0010-0000-2E00-000018000000}" name="ypc" dataDxfId="4640">
      <calculatedColumnFormula>$N46/$M46</calculatedColumnFormula>
    </tableColumn>
    <tableColumn id="25" xr3:uid="{00000000-0010-0000-2E00-000019000000}" name="ypr" dataDxfId="4639">
      <calculatedColumnFormula>$R46/$Q46</calculatedColumnFormula>
    </tableColumn>
    <tableColumn id="26" xr3:uid="{00000000-0010-0000-2E00-00001A000000}" name="cmp_pct" dataDxfId="4638">
      <calculatedColumnFormula>$I46/$H46</calculatedColumnFormula>
    </tableColumn>
    <tableColumn id="27" xr3:uid="{00000000-0010-0000-2E00-00001B000000}" name="td_rate" dataDxfId="4637">
      <calculatedColumnFormula>$K46/$H46</calculatedColumnFormula>
    </tableColumn>
    <tableColumn id="28" xr3:uid="{00000000-0010-0000-2E00-00001C000000}" name="f_custom" dataDxfId="463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2F000000}" name="CIN_Table6" displayName="CIN_Table6" ref="A60:AB72" totalsRowShown="0" headerRowDxfId="4634" dataDxfId="4605">
  <autoFilter ref="A60:AB72" xr:uid="{00000000-0009-0000-0100-000032000000}"/>
  <tableColumns count="28">
    <tableColumn id="1" xr3:uid="{00000000-0010-0000-2F00-000001000000}" name="Name" dataDxfId="4633"/>
    <tableColumn id="2" xr3:uid="{00000000-0010-0000-2F00-000002000000}" name="POS" dataDxfId="4632"/>
    <tableColumn id="3" xr3:uid="{00000000-0010-0000-2F00-000003000000}" name="Age" dataDxfId="4631"/>
    <tableColumn id="4" xr3:uid="{00000000-0010-0000-2F00-000004000000}" name="Exp" dataDxfId="4630"/>
    <tableColumn id="5" xr3:uid="{00000000-0010-0000-2F00-000005000000}" name="College" dataDxfId="4629"/>
    <tableColumn id="6" xr3:uid="{00000000-0010-0000-2F00-000006000000}" name="team" dataDxfId="4628"/>
    <tableColumn id="7" xr3:uid="{00000000-0010-0000-2F00-000007000000}" name="g" dataDxfId="4627"/>
    <tableColumn id="8" xr3:uid="{00000000-0010-0000-2F00-000008000000}" name="p_att" dataDxfId="4626"/>
    <tableColumn id="9" xr3:uid="{00000000-0010-0000-2F00-000009000000}" name="cmp" dataDxfId="4625"/>
    <tableColumn id="10" xr3:uid="{00000000-0010-0000-2F00-00000A000000}" name="p_yd" dataDxfId="4624"/>
    <tableColumn id="11" xr3:uid="{00000000-0010-0000-2F00-00000B000000}" name="p_td" dataDxfId="4623"/>
    <tableColumn id="12" xr3:uid="{00000000-0010-0000-2F00-00000C000000}" name="int" dataDxfId="4622"/>
    <tableColumn id="13" xr3:uid="{00000000-0010-0000-2F00-00000D000000}" name="car" dataDxfId="4621"/>
    <tableColumn id="14" xr3:uid="{00000000-0010-0000-2F00-00000E000000}" name="r_yd" dataDxfId="4620"/>
    <tableColumn id="15" xr3:uid="{00000000-0010-0000-2F00-00000F000000}" name="r_td" dataDxfId="4619"/>
    <tableColumn id="16" xr3:uid="{00000000-0010-0000-2F00-000010000000}" name="tgt" dataDxfId="4618"/>
    <tableColumn id="17" xr3:uid="{00000000-0010-0000-2F00-000011000000}" name="rec" dataDxfId="4617"/>
    <tableColumn id="18" xr3:uid="{00000000-0010-0000-2F00-000012000000}" name="rec_yd" dataDxfId="4616"/>
    <tableColumn id="19" xr3:uid="{00000000-0010-0000-2F00-000013000000}" name="rec_td" dataDxfId="4615"/>
    <tableColumn id="20" xr3:uid="{00000000-0010-0000-2F00-000014000000}" name="fmb" dataDxfId="4614"/>
    <tableColumn id="21" xr3:uid="{00000000-0010-0000-2F00-000015000000}" name="tp_c" dataDxfId="4613"/>
    <tableColumn id="22" xr3:uid="{00000000-0010-0000-2F00-000016000000}" name="f_ppr" dataDxfId="4612">
      <calculatedColumnFormula>($J61*0.04)+($K61*4)+($L61*-2)+($N61*0.1)+($O61*6)+($Q61)+($R61*0.1)+($S61*6)+($T61*-2)</calculatedColumnFormula>
    </tableColumn>
    <tableColumn id="23" xr3:uid="{00000000-0010-0000-2F00-000017000000}" name="tgt_share" dataDxfId="4611">
      <calculatedColumnFormula>$P61/$H$33</calculatedColumnFormula>
    </tableColumn>
    <tableColumn id="24" xr3:uid="{00000000-0010-0000-2F00-000018000000}" name="ypc" dataDxfId="4610">
      <calculatedColumnFormula>$N61/$M61</calculatedColumnFormula>
    </tableColumn>
    <tableColumn id="25" xr3:uid="{00000000-0010-0000-2F00-000019000000}" name="ypr" dataDxfId="4609">
      <calculatedColumnFormula>$R61/$Q61</calculatedColumnFormula>
    </tableColumn>
    <tableColumn id="26" xr3:uid="{00000000-0010-0000-2F00-00001A000000}" name="cmp_pct" dataDxfId="4608">
      <calculatedColumnFormula>$I61/$H61</calculatedColumnFormula>
    </tableColumn>
    <tableColumn id="27" xr3:uid="{00000000-0010-0000-2F00-00001B000000}" name="td_rate" dataDxfId="4607">
      <calculatedColumnFormula>$K61/$H61</calculatedColumnFormula>
    </tableColumn>
    <tableColumn id="28" xr3:uid="{00000000-0010-0000-2F00-00001C000000}" name="f_custom" dataDxfId="460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0000000}" name="CIN_Table7" displayName="CIN_Table7" ref="A75:AB82" totalsRowShown="0" headerRowDxfId="4604" dataDxfId="4575">
  <autoFilter ref="A75:AB82" xr:uid="{00000000-0009-0000-0100-000033000000}"/>
  <tableColumns count="28">
    <tableColumn id="1" xr3:uid="{00000000-0010-0000-3000-000001000000}" name="Name" dataDxfId="4603"/>
    <tableColumn id="2" xr3:uid="{00000000-0010-0000-3000-000002000000}" name="POS" dataDxfId="4602"/>
    <tableColumn id="3" xr3:uid="{00000000-0010-0000-3000-000003000000}" name="Age" dataDxfId="4601"/>
    <tableColumn id="4" xr3:uid="{00000000-0010-0000-3000-000004000000}" name="Exp" dataDxfId="4600"/>
    <tableColumn id="5" xr3:uid="{00000000-0010-0000-3000-000005000000}" name="College" dataDxfId="4599"/>
    <tableColumn id="6" xr3:uid="{00000000-0010-0000-3000-000006000000}" name="team" dataDxfId="4598"/>
    <tableColumn id="7" xr3:uid="{00000000-0010-0000-3000-000007000000}" name="g" dataDxfId="4597"/>
    <tableColumn id="8" xr3:uid="{00000000-0010-0000-3000-000008000000}" name="p_att" dataDxfId="4596"/>
    <tableColumn id="9" xr3:uid="{00000000-0010-0000-3000-000009000000}" name="cmp" dataDxfId="4595"/>
    <tableColumn id="10" xr3:uid="{00000000-0010-0000-3000-00000A000000}" name="p_yd" dataDxfId="4594"/>
    <tableColumn id="11" xr3:uid="{00000000-0010-0000-3000-00000B000000}" name="p_td" dataDxfId="4593"/>
    <tableColumn id="12" xr3:uid="{00000000-0010-0000-3000-00000C000000}" name="int" dataDxfId="4592"/>
    <tableColumn id="13" xr3:uid="{00000000-0010-0000-3000-00000D000000}" name="car" dataDxfId="4591"/>
    <tableColumn id="14" xr3:uid="{00000000-0010-0000-3000-00000E000000}" name="r_yd" dataDxfId="4590"/>
    <tableColumn id="15" xr3:uid="{00000000-0010-0000-3000-00000F000000}" name="r_td" dataDxfId="4589"/>
    <tableColumn id="16" xr3:uid="{00000000-0010-0000-3000-000010000000}" name="tgt" dataDxfId="4588"/>
    <tableColumn id="17" xr3:uid="{00000000-0010-0000-3000-000011000000}" name="rec" dataDxfId="4587"/>
    <tableColumn id="18" xr3:uid="{00000000-0010-0000-3000-000012000000}" name="rec_yd" dataDxfId="4586"/>
    <tableColumn id="19" xr3:uid="{00000000-0010-0000-3000-000013000000}" name="rec_td" dataDxfId="4585"/>
    <tableColumn id="20" xr3:uid="{00000000-0010-0000-3000-000014000000}" name="fmb" dataDxfId="4584"/>
    <tableColumn id="21" xr3:uid="{00000000-0010-0000-3000-000015000000}" name="tp_c" dataDxfId="4583"/>
    <tableColumn id="22" xr3:uid="{00000000-0010-0000-3000-000016000000}" name="f_ppr" dataDxfId="4582">
      <calculatedColumnFormula>($J76*0.04)+($K76*4)+($L76*-2)+($N76*0.1)+($O76*6)+($Q76)+($R76*0.1)+($S76*6)+($T76*-2)</calculatedColumnFormula>
    </tableColumn>
    <tableColumn id="23" xr3:uid="{00000000-0010-0000-3000-000017000000}" name="tgt_share" dataDxfId="4581">
      <calculatedColumnFormula>$P76/$H$33</calculatedColumnFormula>
    </tableColumn>
    <tableColumn id="24" xr3:uid="{00000000-0010-0000-3000-000018000000}" name="ypc" dataDxfId="4580">
      <calculatedColumnFormula>$N76/$M76</calculatedColumnFormula>
    </tableColumn>
    <tableColumn id="25" xr3:uid="{00000000-0010-0000-3000-000019000000}" name="ypr" dataDxfId="4579">
      <calculatedColumnFormula>$R76/$Q76</calculatedColumnFormula>
    </tableColumn>
    <tableColumn id="26" xr3:uid="{00000000-0010-0000-3000-00001A000000}" name="cmp_pct" dataDxfId="4578">
      <calculatedColumnFormula>$I76/$H76</calculatedColumnFormula>
    </tableColumn>
    <tableColumn id="27" xr3:uid="{00000000-0010-0000-3000-00001B000000}" name="td_rate" dataDxfId="4577">
      <calculatedColumnFormula>$K76/$H76</calculatedColumnFormula>
    </tableColumn>
    <tableColumn id="28" xr3:uid="{00000000-0010-0000-3000-00001C000000}" name="f_custom" dataDxfId="457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1000000}" name="CLE_Table1" displayName="CLE_Table1" ref="A1:Y18" totalsRowShown="0" headerRowDxfId="4574" dataDxfId="4548">
  <autoFilter ref="A1:Y18" xr:uid="{00000000-0009-0000-0100-000034000000}"/>
  <tableColumns count="25">
    <tableColumn id="1" xr3:uid="{00000000-0010-0000-3100-000001000000}" name="player_name" dataDxfId="4573"/>
    <tableColumn id="2" xr3:uid="{00000000-0010-0000-3100-000002000000}" name="recent_team" dataDxfId="4572"/>
    <tableColumn id="3" xr3:uid="{00000000-0010-0000-3100-000003000000}" name="pos" dataDxfId="4571"/>
    <tableColumn id="4" xr3:uid="{00000000-0010-0000-3100-000004000000}" name="g" dataDxfId="4570"/>
    <tableColumn id="5" xr3:uid="{00000000-0010-0000-3100-000005000000}" name="p_att" dataDxfId="4569"/>
    <tableColumn id="6" xr3:uid="{00000000-0010-0000-3100-000006000000}" name="cmp" dataDxfId="4568"/>
    <tableColumn id="7" xr3:uid="{00000000-0010-0000-3100-000007000000}" name="p_yd" dataDxfId="4567"/>
    <tableColumn id="8" xr3:uid="{00000000-0010-0000-3100-000008000000}" name="p_td" dataDxfId="4566"/>
    <tableColumn id="9" xr3:uid="{00000000-0010-0000-3100-000009000000}" name="int" dataDxfId="4565"/>
    <tableColumn id="10" xr3:uid="{00000000-0010-0000-3100-00000A000000}" name="car" dataDxfId="4564"/>
    <tableColumn id="11" xr3:uid="{00000000-0010-0000-3100-00000B000000}" name="r_yd" dataDxfId="4563"/>
    <tableColumn id="12" xr3:uid="{00000000-0010-0000-3100-00000C000000}" name="r_td" dataDxfId="4562"/>
    <tableColumn id="13" xr3:uid="{00000000-0010-0000-3100-00000D000000}" name="tgt" dataDxfId="4561"/>
    <tableColumn id="14" xr3:uid="{00000000-0010-0000-3100-00000E000000}" name="rec" dataDxfId="4560"/>
    <tableColumn id="15" xr3:uid="{00000000-0010-0000-3100-00000F000000}" name="rec_yd" dataDxfId="4559"/>
    <tableColumn id="16" xr3:uid="{00000000-0010-0000-3100-000010000000}" name="rec_td" dataDxfId="4558"/>
    <tableColumn id="17" xr3:uid="{00000000-0010-0000-3100-000011000000}" name="fmb" dataDxfId="4557"/>
    <tableColumn id="18" xr3:uid="{00000000-0010-0000-3100-000012000000}" name="tp_c" dataDxfId="4556"/>
    <tableColumn id="19" xr3:uid="{00000000-0010-0000-3100-000013000000}" name="f_ppr" dataDxfId="4555"/>
    <tableColumn id="20" xr3:uid="{00000000-0010-0000-3100-000014000000}" name="tgt_share" dataDxfId="4554"/>
    <tableColumn id="21" xr3:uid="{00000000-0010-0000-3100-000015000000}" name="ypc" dataDxfId="4553"/>
    <tableColumn id="22" xr3:uid="{00000000-0010-0000-3100-000016000000}" name="ypr" dataDxfId="4552"/>
    <tableColumn id="23" xr3:uid="{00000000-0010-0000-3100-000017000000}" name="cmp_pct" dataDxfId="4551"/>
    <tableColumn id="24" xr3:uid="{00000000-0010-0000-3100-000018000000}" name="td_rate" dataDxfId="4550"/>
    <tableColumn id="25" xr3:uid="{526801EB-8982-40AE-8A31-748A84D17833}" name="f_custom" dataDxfId="454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2000000}" name="CLE_Table2" displayName="CLE_Table2" ref="A30:M31" totalsRowShown="0" headerRowDxfId="4547" dataDxfId="4533">
  <autoFilter ref="A30:M31" xr:uid="{00000000-0009-0000-0100-000035000000}"/>
  <tableColumns count="13">
    <tableColumn id="1" xr3:uid="{00000000-0010-0000-3200-000001000000}" name="team" dataDxfId="4546"/>
    <tableColumn id="2" xr3:uid="{00000000-0010-0000-3200-000002000000}" name="off_yd" dataDxfId="4545"/>
    <tableColumn id="3" xr3:uid="{00000000-0010-0000-3200-000003000000}" name="p_yd" dataDxfId="4544"/>
    <tableColumn id="4" xr3:uid="{00000000-0010-0000-3200-000004000000}" name="car" dataDxfId="4543"/>
    <tableColumn id="5" xr3:uid="{00000000-0010-0000-3200-000005000000}" name="r_yd" dataDxfId="4542"/>
    <tableColumn id="6" xr3:uid="{00000000-0010-0000-3200-000006000000}" name="r_td" dataDxfId="4541"/>
    <tableColumn id="7" xr3:uid="{00000000-0010-0000-3200-000007000000}" name="p_ff" dataDxfId="4540"/>
    <tableColumn id="8" xr3:uid="{00000000-0010-0000-3200-000008000000}" name="p_att" dataDxfId="4539"/>
    <tableColumn id="9" xr3:uid="{00000000-0010-0000-3200-000009000000}" name="cmp_pct" dataDxfId="4538"/>
    <tableColumn id="10" xr3:uid="{00000000-0010-0000-3200-00000A000000}" name="p_td" dataDxfId="4537"/>
    <tableColumn id="11" xr3:uid="{00000000-0010-0000-3200-00000B000000}" name="int" dataDxfId="4536"/>
    <tableColumn id="12" xr3:uid="{00000000-0010-0000-3200-00000C000000}" name="fmb" dataDxfId="4535"/>
    <tableColumn id="13" xr3:uid="{FEC641A8-4937-4C76-940B-E29F4E9A82B5}" name="f_custom" dataDxfId="453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3000000}" name="CLE_Table3" displayName="CLE_Table3" ref="A32:M33" totalsRowShown="0" headerRowDxfId="4532" dataDxfId="4518">
  <autoFilter ref="A32:M33" xr:uid="{00000000-0009-0000-0100-000036000000}"/>
  <tableColumns count="13">
    <tableColumn id="1" xr3:uid="{00000000-0010-0000-3300-000001000000}" name="team" dataDxfId="4531">
      <calculatedColumnFormula>A31</calculatedColumnFormula>
    </tableColumn>
    <tableColumn id="2" xr3:uid="{00000000-0010-0000-3300-000002000000}" name="off_yd" dataDxfId="4530">
      <calculatedColumnFormula>C33 + E33</calculatedColumnFormula>
    </tableColumn>
    <tableColumn id="3" xr3:uid="{00000000-0010-0000-3300-000003000000}" name="p_yd" dataDxfId="4529">
      <calculatedColumnFormula>SUM(INDIRECT(A33 &amp; "_Table4[[#All],[p_yd]]"))</calculatedColumnFormula>
    </tableColumn>
    <tableColumn id="4" xr3:uid="{00000000-0010-0000-3300-000004000000}" name="car" dataDxfId="452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300-000005000000}" name="r_yd" dataDxfId="452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300-000006000000}" name="r_td" dataDxfId="452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300-000007000000}" name="p_ff" dataDxfId="452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300-000008000000}" name="p_att" dataDxfId="452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300-000009000000}" name="cmp_pct" dataDxfId="4523">
      <calculatedColumnFormula>SUM(INDIRECT(A33 &amp; "_Table4[[#All],[cmp]]"))/H33</calculatedColumnFormula>
    </tableColumn>
    <tableColumn id="10" xr3:uid="{00000000-0010-0000-3300-00000A000000}" name="p_td" dataDxfId="452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300-00000B000000}" name="int" dataDxfId="452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300-00000C000000}" name="fmb" dataDxfId="452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43CAFA6-E669-46BA-84C7-E5A7C87E8C83}" name="f_custom" dataDxfId="451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4000000}" name="CLE_Table4" displayName="CLE_Table4" ref="A35:AB39" totalsRowShown="0" headerRowDxfId="4517" dataDxfId="4488">
  <autoFilter ref="A35:AB39" xr:uid="{00000000-0009-0000-0100-000037000000}"/>
  <tableColumns count="28">
    <tableColumn id="1" xr3:uid="{00000000-0010-0000-3400-000001000000}" name="Name" dataDxfId="4516"/>
    <tableColumn id="2" xr3:uid="{00000000-0010-0000-3400-000002000000}" name="POS" dataDxfId="4515"/>
    <tableColumn id="3" xr3:uid="{00000000-0010-0000-3400-000003000000}" name="Age" dataDxfId="4514"/>
    <tableColumn id="4" xr3:uid="{00000000-0010-0000-3400-000004000000}" name="Exp" dataDxfId="4513"/>
    <tableColumn id="5" xr3:uid="{00000000-0010-0000-3400-000005000000}" name="College" dataDxfId="4512"/>
    <tableColumn id="6" xr3:uid="{00000000-0010-0000-3400-000006000000}" name="team" dataDxfId="4511"/>
    <tableColumn id="7" xr3:uid="{00000000-0010-0000-3400-000007000000}" name="g" dataDxfId="4510"/>
    <tableColumn id="8" xr3:uid="{00000000-0010-0000-3400-000008000000}" name="p_att" dataDxfId="4509"/>
    <tableColumn id="9" xr3:uid="{00000000-0010-0000-3400-000009000000}" name="cmp" dataDxfId="4508"/>
    <tableColumn id="10" xr3:uid="{00000000-0010-0000-3400-00000A000000}" name="p_yd" dataDxfId="4507"/>
    <tableColumn id="11" xr3:uid="{00000000-0010-0000-3400-00000B000000}" name="p_td" dataDxfId="4506"/>
    <tableColumn id="12" xr3:uid="{00000000-0010-0000-3400-00000C000000}" name="int" dataDxfId="4505"/>
    <tableColumn id="13" xr3:uid="{00000000-0010-0000-3400-00000D000000}" name="car" dataDxfId="4504"/>
    <tableColumn id="14" xr3:uid="{00000000-0010-0000-3400-00000E000000}" name="r_yd" dataDxfId="4503"/>
    <tableColumn id="15" xr3:uid="{00000000-0010-0000-3400-00000F000000}" name="r_td" dataDxfId="4502"/>
    <tableColumn id="16" xr3:uid="{00000000-0010-0000-3400-000010000000}" name="tgt" dataDxfId="4501"/>
    <tableColumn id="17" xr3:uid="{00000000-0010-0000-3400-000011000000}" name="rec" dataDxfId="4500"/>
    <tableColumn id="18" xr3:uid="{00000000-0010-0000-3400-000012000000}" name="rec_yd" dataDxfId="4499"/>
    <tableColumn id="19" xr3:uid="{00000000-0010-0000-3400-000013000000}" name="rec_td" dataDxfId="4498"/>
    <tableColumn id="20" xr3:uid="{00000000-0010-0000-3400-000014000000}" name="fmb" dataDxfId="4497"/>
    <tableColumn id="21" xr3:uid="{00000000-0010-0000-3400-000015000000}" name="tp_c" dataDxfId="4496"/>
    <tableColumn id="22" xr3:uid="{00000000-0010-0000-3400-000016000000}" name="f_ppr" dataDxfId="4495">
      <calculatedColumnFormula>($J36*0.04)+($K36*4)+($L36*-2)+($N36*0.1)+($O36*6)+($Q36)+($R36*0.1)+($S36*6)+($T36*-2)</calculatedColumnFormula>
    </tableColumn>
    <tableColumn id="23" xr3:uid="{00000000-0010-0000-3400-000017000000}" name="tgt_share" dataDxfId="4494">
      <calculatedColumnFormula>$P36/$H$33</calculatedColumnFormula>
    </tableColumn>
    <tableColumn id="24" xr3:uid="{00000000-0010-0000-3400-000018000000}" name="ypc" dataDxfId="4493">
      <calculatedColumnFormula>$N36/$M36</calculatedColumnFormula>
    </tableColumn>
    <tableColumn id="25" xr3:uid="{00000000-0010-0000-3400-000019000000}" name="ypr" dataDxfId="4492">
      <calculatedColumnFormula>$R36/$Q36</calculatedColumnFormula>
    </tableColumn>
    <tableColumn id="26" xr3:uid="{00000000-0010-0000-3400-00001A000000}" name="cmp_pct" dataDxfId="4491">
      <calculatedColumnFormula>$I36/$H36</calculatedColumnFormula>
    </tableColumn>
    <tableColumn id="27" xr3:uid="{00000000-0010-0000-3400-00001B000000}" name="td_rate" dataDxfId="4490">
      <calculatedColumnFormula>$K36/$H36</calculatedColumnFormula>
    </tableColumn>
    <tableColumn id="28" xr3:uid="{00000000-0010-0000-3400-00001C000000}" name="f_custom" dataDxfId="448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5000000}" name="CLE_Table5" displayName="CLE_Table5" ref="A45:AB51" totalsRowShown="0" headerRowDxfId="4487" dataDxfId="4458">
  <autoFilter ref="A45:AB51" xr:uid="{00000000-0009-0000-0100-000038000000}"/>
  <tableColumns count="28">
    <tableColumn id="1" xr3:uid="{00000000-0010-0000-3500-000001000000}" name="Name" dataDxfId="4486"/>
    <tableColumn id="2" xr3:uid="{00000000-0010-0000-3500-000002000000}" name="POS" dataDxfId="4485"/>
    <tableColumn id="3" xr3:uid="{00000000-0010-0000-3500-000003000000}" name="Age" dataDxfId="4484"/>
    <tableColumn id="4" xr3:uid="{00000000-0010-0000-3500-000004000000}" name="Exp" dataDxfId="4483"/>
    <tableColumn id="5" xr3:uid="{00000000-0010-0000-3500-000005000000}" name="College" dataDxfId="4482"/>
    <tableColumn id="6" xr3:uid="{00000000-0010-0000-3500-000006000000}" name="team" dataDxfId="4481"/>
    <tableColumn id="7" xr3:uid="{00000000-0010-0000-3500-000007000000}" name="g" dataDxfId="4480"/>
    <tableColumn id="8" xr3:uid="{00000000-0010-0000-3500-000008000000}" name="p_att" dataDxfId="4479"/>
    <tableColumn id="9" xr3:uid="{00000000-0010-0000-3500-000009000000}" name="cmp" dataDxfId="4478"/>
    <tableColumn id="10" xr3:uid="{00000000-0010-0000-3500-00000A000000}" name="p_yd" dataDxfId="4477"/>
    <tableColumn id="11" xr3:uid="{00000000-0010-0000-3500-00000B000000}" name="p_td" dataDxfId="4476"/>
    <tableColumn id="12" xr3:uid="{00000000-0010-0000-3500-00000C000000}" name="int" dataDxfId="4475"/>
    <tableColumn id="13" xr3:uid="{00000000-0010-0000-3500-00000D000000}" name="car" dataDxfId="4474"/>
    <tableColumn id="14" xr3:uid="{00000000-0010-0000-3500-00000E000000}" name="r_yd" dataDxfId="4473"/>
    <tableColumn id="15" xr3:uid="{00000000-0010-0000-3500-00000F000000}" name="r_td" dataDxfId="4472"/>
    <tableColumn id="16" xr3:uid="{00000000-0010-0000-3500-000010000000}" name="tgt" dataDxfId="4471"/>
    <tableColumn id="17" xr3:uid="{00000000-0010-0000-3500-000011000000}" name="rec" dataDxfId="4470"/>
    <tableColumn id="18" xr3:uid="{00000000-0010-0000-3500-000012000000}" name="rec_yd" dataDxfId="4469"/>
    <tableColumn id="19" xr3:uid="{00000000-0010-0000-3500-000013000000}" name="rec_td" dataDxfId="4468"/>
    <tableColumn id="20" xr3:uid="{00000000-0010-0000-3500-000014000000}" name="fmb" dataDxfId="4467"/>
    <tableColumn id="21" xr3:uid="{00000000-0010-0000-3500-000015000000}" name="tp_c" dataDxfId="4466"/>
    <tableColumn id="22" xr3:uid="{00000000-0010-0000-3500-000016000000}" name="f_ppr" dataDxfId="4465">
      <calculatedColumnFormula>($J46*0.04)+($K46*4)+($L46*-2)+($N46*0.1)+($O46*6)+($Q46)+($R46*0.1)+($S46*6)+($T46*-2)</calculatedColumnFormula>
    </tableColumn>
    <tableColumn id="23" xr3:uid="{00000000-0010-0000-3500-000017000000}" name="tgt_share" dataDxfId="4464">
      <calculatedColumnFormula>$P46/$H$33</calculatedColumnFormula>
    </tableColumn>
    <tableColumn id="24" xr3:uid="{00000000-0010-0000-3500-000018000000}" name="ypc" dataDxfId="4463">
      <calculatedColumnFormula>$N46/$M46</calculatedColumnFormula>
    </tableColumn>
    <tableColumn id="25" xr3:uid="{00000000-0010-0000-3500-000019000000}" name="ypr" dataDxfId="4462">
      <calculatedColumnFormula>$R46/$Q46</calculatedColumnFormula>
    </tableColumn>
    <tableColumn id="26" xr3:uid="{00000000-0010-0000-3500-00001A000000}" name="cmp_pct" dataDxfId="4461">
      <calculatedColumnFormula>$I46/$H46</calculatedColumnFormula>
    </tableColumn>
    <tableColumn id="27" xr3:uid="{00000000-0010-0000-3500-00001B000000}" name="td_rate" dataDxfId="4460">
      <calculatedColumnFormula>$K46/$H46</calculatedColumnFormula>
    </tableColumn>
    <tableColumn id="28" xr3:uid="{00000000-0010-0000-3500-00001C000000}" name="f_custom" dataDxfId="445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6000000}" name="CLE_Table6" displayName="CLE_Table6" ref="A60:AB73" totalsRowShown="0" headerRowDxfId="4457" dataDxfId="4428">
  <autoFilter ref="A60:AB73" xr:uid="{00000000-0009-0000-0100-000039000000}"/>
  <tableColumns count="28">
    <tableColumn id="1" xr3:uid="{00000000-0010-0000-3600-000001000000}" name="Name" dataDxfId="4456"/>
    <tableColumn id="2" xr3:uid="{00000000-0010-0000-3600-000002000000}" name="POS" dataDxfId="4455"/>
    <tableColumn id="3" xr3:uid="{00000000-0010-0000-3600-000003000000}" name="Age" dataDxfId="4454"/>
    <tableColumn id="4" xr3:uid="{00000000-0010-0000-3600-000004000000}" name="Exp" dataDxfId="4453"/>
    <tableColumn id="5" xr3:uid="{00000000-0010-0000-3600-000005000000}" name="College" dataDxfId="4452"/>
    <tableColumn id="6" xr3:uid="{00000000-0010-0000-3600-000006000000}" name="team" dataDxfId="4451"/>
    <tableColumn id="7" xr3:uid="{00000000-0010-0000-3600-000007000000}" name="g" dataDxfId="4450"/>
    <tableColumn id="8" xr3:uid="{00000000-0010-0000-3600-000008000000}" name="p_att" dataDxfId="4449"/>
    <tableColumn id="9" xr3:uid="{00000000-0010-0000-3600-000009000000}" name="cmp" dataDxfId="4448"/>
    <tableColumn id="10" xr3:uid="{00000000-0010-0000-3600-00000A000000}" name="p_yd" dataDxfId="4447"/>
    <tableColumn id="11" xr3:uid="{00000000-0010-0000-3600-00000B000000}" name="p_td" dataDxfId="4446"/>
    <tableColumn id="12" xr3:uid="{00000000-0010-0000-3600-00000C000000}" name="int" dataDxfId="4445"/>
    <tableColumn id="13" xr3:uid="{00000000-0010-0000-3600-00000D000000}" name="car" dataDxfId="4444"/>
    <tableColumn id="14" xr3:uid="{00000000-0010-0000-3600-00000E000000}" name="r_yd" dataDxfId="4443"/>
    <tableColumn id="15" xr3:uid="{00000000-0010-0000-3600-00000F000000}" name="r_td" dataDxfId="4442"/>
    <tableColumn id="16" xr3:uid="{00000000-0010-0000-3600-000010000000}" name="tgt" dataDxfId="4441"/>
    <tableColumn id="17" xr3:uid="{00000000-0010-0000-3600-000011000000}" name="rec" dataDxfId="4440"/>
    <tableColumn id="18" xr3:uid="{00000000-0010-0000-3600-000012000000}" name="rec_yd" dataDxfId="4439"/>
    <tableColumn id="19" xr3:uid="{00000000-0010-0000-3600-000013000000}" name="rec_td" dataDxfId="4438"/>
    <tableColumn id="20" xr3:uid="{00000000-0010-0000-3600-000014000000}" name="fmb" dataDxfId="4437"/>
    <tableColumn id="21" xr3:uid="{00000000-0010-0000-3600-000015000000}" name="tp_c" dataDxfId="4436"/>
    <tableColumn id="22" xr3:uid="{00000000-0010-0000-3600-000016000000}" name="f_ppr" dataDxfId="4435">
      <calculatedColumnFormula>($J61*0.04)+($K61*4)+($L61*-2)+($N61*0.1)+($O61*6)+($Q61)+($R61*0.1)+($S61*6)+($T61*-2)</calculatedColumnFormula>
    </tableColumn>
    <tableColumn id="23" xr3:uid="{00000000-0010-0000-3600-000017000000}" name="tgt_share" dataDxfId="4434">
      <calculatedColumnFormula>$P61/$H$33</calculatedColumnFormula>
    </tableColumn>
    <tableColumn id="24" xr3:uid="{00000000-0010-0000-3600-000018000000}" name="ypc" dataDxfId="4433">
      <calculatedColumnFormula>$N61/$M61</calculatedColumnFormula>
    </tableColumn>
    <tableColumn id="25" xr3:uid="{00000000-0010-0000-3600-000019000000}" name="ypr" dataDxfId="4432">
      <calculatedColumnFormula>$R61/$Q61</calculatedColumnFormula>
    </tableColumn>
    <tableColumn id="26" xr3:uid="{00000000-0010-0000-3600-00001A000000}" name="cmp_pct" dataDxfId="4431">
      <calculatedColumnFormula>$I61/$H61</calculatedColumnFormula>
    </tableColumn>
    <tableColumn id="27" xr3:uid="{00000000-0010-0000-3600-00001B000000}" name="td_rate" dataDxfId="4430">
      <calculatedColumnFormula>$K61/$H61</calculatedColumnFormula>
    </tableColumn>
    <tableColumn id="28" xr3:uid="{00000000-0010-0000-3600-00001C000000}" name="f_custom" dataDxfId="442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7000000}" name="CLE_Table7" displayName="CLE_Table7" ref="A75:AB81" totalsRowShown="0" headerRowDxfId="4427" dataDxfId="4398">
  <autoFilter ref="A75:AB81" xr:uid="{00000000-0009-0000-0100-00003A000000}"/>
  <tableColumns count="28">
    <tableColumn id="1" xr3:uid="{00000000-0010-0000-3700-000001000000}" name="Name" dataDxfId="4426"/>
    <tableColumn id="2" xr3:uid="{00000000-0010-0000-3700-000002000000}" name="POS" dataDxfId="4425"/>
    <tableColumn id="3" xr3:uid="{00000000-0010-0000-3700-000003000000}" name="Age" dataDxfId="4424"/>
    <tableColumn id="4" xr3:uid="{00000000-0010-0000-3700-000004000000}" name="Exp" dataDxfId="4423"/>
    <tableColumn id="5" xr3:uid="{00000000-0010-0000-3700-000005000000}" name="College" dataDxfId="4422"/>
    <tableColumn id="6" xr3:uid="{00000000-0010-0000-3700-000006000000}" name="team" dataDxfId="4421"/>
    <tableColumn id="7" xr3:uid="{00000000-0010-0000-3700-000007000000}" name="g" dataDxfId="4420"/>
    <tableColumn id="8" xr3:uid="{00000000-0010-0000-3700-000008000000}" name="p_att" dataDxfId="4419"/>
    <tableColumn id="9" xr3:uid="{00000000-0010-0000-3700-000009000000}" name="cmp" dataDxfId="4418"/>
    <tableColumn id="10" xr3:uid="{00000000-0010-0000-3700-00000A000000}" name="p_yd" dataDxfId="4417"/>
    <tableColumn id="11" xr3:uid="{00000000-0010-0000-3700-00000B000000}" name="p_td" dataDxfId="4416"/>
    <tableColumn id="12" xr3:uid="{00000000-0010-0000-3700-00000C000000}" name="int" dataDxfId="4415"/>
    <tableColumn id="13" xr3:uid="{00000000-0010-0000-3700-00000D000000}" name="car" dataDxfId="4414"/>
    <tableColumn id="14" xr3:uid="{00000000-0010-0000-3700-00000E000000}" name="r_yd" dataDxfId="4413"/>
    <tableColumn id="15" xr3:uid="{00000000-0010-0000-3700-00000F000000}" name="r_td" dataDxfId="4412"/>
    <tableColumn id="16" xr3:uid="{00000000-0010-0000-3700-000010000000}" name="tgt" dataDxfId="4411"/>
    <tableColumn id="17" xr3:uid="{00000000-0010-0000-3700-000011000000}" name="rec" dataDxfId="4410"/>
    <tableColumn id="18" xr3:uid="{00000000-0010-0000-3700-000012000000}" name="rec_yd" dataDxfId="4409"/>
    <tableColumn id="19" xr3:uid="{00000000-0010-0000-3700-000013000000}" name="rec_td" dataDxfId="4408"/>
    <tableColumn id="20" xr3:uid="{00000000-0010-0000-3700-000014000000}" name="fmb" dataDxfId="4407"/>
    <tableColumn id="21" xr3:uid="{00000000-0010-0000-3700-000015000000}" name="tp_c" dataDxfId="4406"/>
    <tableColumn id="22" xr3:uid="{00000000-0010-0000-3700-000016000000}" name="f_ppr" dataDxfId="4405">
      <calculatedColumnFormula>($J76*0.04)+($K76*4)+($L76*-2)+($N76*0.1)+($O76*6)+($Q76)+($R76*0.1)+($S76*6)+($T76*-2)</calculatedColumnFormula>
    </tableColumn>
    <tableColumn id="23" xr3:uid="{00000000-0010-0000-3700-000017000000}" name="tgt_share" dataDxfId="4404">
      <calculatedColumnFormula>$P76/$H$33</calculatedColumnFormula>
    </tableColumn>
    <tableColumn id="24" xr3:uid="{00000000-0010-0000-3700-000018000000}" name="ypc" dataDxfId="4403">
      <calculatedColumnFormula>$N76/$M76</calculatedColumnFormula>
    </tableColumn>
    <tableColumn id="25" xr3:uid="{00000000-0010-0000-3700-000019000000}" name="ypr" dataDxfId="4402">
      <calculatedColumnFormula>$R76/$Q76</calculatedColumnFormula>
    </tableColumn>
    <tableColumn id="26" xr3:uid="{00000000-0010-0000-3700-00001A000000}" name="cmp_pct" dataDxfId="4401">
      <calculatedColumnFormula>$I76/$H76</calculatedColumnFormula>
    </tableColumn>
    <tableColumn id="27" xr3:uid="{00000000-0010-0000-3700-00001B000000}" name="td_rate" dataDxfId="4400">
      <calculatedColumnFormula>$K76/$H76</calculatedColumnFormula>
    </tableColumn>
    <tableColumn id="28" xr3:uid="{00000000-0010-0000-3700-00001C000000}" name="f_custom" dataDxfId="439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8000000}" name="DAL_Table1" displayName="DAL_Table1" ref="A1:Y19" totalsRowShown="0" headerRowDxfId="4397" dataDxfId="4371">
  <autoFilter ref="A1:Y19" xr:uid="{00000000-0009-0000-0100-00003B000000}"/>
  <tableColumns count="25">
    <tableColumn id="1" xr3:uid="{00000000-0010-0000-3800-000001000000}" name="player_name" dataDxfId="4396"/>
    <tableColumn id="2" xr3:uid="{00000000-0010-0000-3800-000002000000}" name="recent_team" dataDxfId="4395"/>
    <tableColumn id="3" xr3:uid="{00000000-0010-0000-3800-000003000000}" name="pos" dataDxfId="4394"/>
    <tableColumn id="4" xr3:uid="{00000000-0010-0000-3800-000004000000}" name="g" dataDxfId="4393"/>
    <tableColumn id="5" xr3:uid="{00000000-0010-0000-3800-000005000000}" name="p_att" dataDxfId="4392"/>
    <tableColumn id="6" xr3:uid="{00000000-0010-0000-3800-000006000000}" name="cmp" dataDxfId="4391"/>
    <tableColumn id="7" xr3:uid="{00000000-0010-0000-3800-000007000000}" name="p_yd" dataDxfId="4390"/>
    <tableColumn id="8" xr3:uid="{00000000-0010-0000-3800-000008000000}" name="p_td" dataDxfId="4389"/>
    <tableColumn id="9" xr3:uid="{00000000-0010-0000-3800-000009000000}" name="int" dataDxfId="4388"/>
    <tableColumn id="10" xr3:uid="{00000000-0010-0000-3800-00000A000000}" name="car" dataDxfId="4387"/>
    <tableColumn id="11" xr3:uid="{00000000-0010-0000-3800-00000B000000}" name="r_yd" dataDxfId="4386"/>
    <tableColumn id="12" xr3:uid="{00000000-0010-0000-3800-00000C000000}" name="r_td" dataDxfId="4385"/>
    <tableColumn id="13" xr3:uid="{00000000-0010-0000-3800-00000D000000}" name="tgt" dataDxfId="4384"/>
    <tableColumn id="14" xr3:uid="{00000000-0010-0000-3800-00000E000000}" name="rec" dataDxfId="4383"/>
    <tableColumn id="15" xr3:uid="{00000000-0010-0000-3800-00000F000000}" name="rec_yd" dataDxfId="4382"/>
    <tableColumn id="16" xr3:uid="{00000000-0010-0000-3800-000010000000}" name="rec_td" dataDxfId="4381"/>
    <tableColumn id="17" xr3:uid="{00000000-0010-0000-3800-000011000000}" name="fmb" dataDxfId="4380"/>
    <tableColumn id="18" xr3:uid="{00000000-0010-0000-3800-000012000000}" name="tp_c" dataDxfId="4379"/>
    <tableColumn id="19" xr3:uid="{00000000-0010-0000-3800-000013000000}" name="f_ppr" dataDxfId="4378"/>
    <tableColumn id="20" xr3:uid="{00000000-0010-0000-3800-000014000000}" name="tgt_share" dataDxfId="4377"/>
    <tableColumn id="21" xr3:uid="{00000000-0010-0000-3800-000015000000}" name="ypc" dataDxfId="4376"/>
    <tableColumn id="22" xr3:uid="{00000000-0010-0000-3800-000016000000}" name="ypr" dataDxfId="4375"/>
    <tableColumn id="23" xr3:uid="{00000000-0010-0000-3800-000017000000}" name="cmp_pct" dataDxfId="4374"/>
    <tableColumn id="24" xr3:uid="{00000000-0010-0000-3800-000018000000}" name="td_rate" dataDxfId="4373"/>
    <tableColumn id="25" xr3:uid="{06FFDE82-78FA-4BEA-BF22-6C60F6D5055E}" name="f_custom" dataDxfId="437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9000000}" name="DAL_Table2" displayName="DAL_Table2" ref="A30:M31" totalsRowShown="0" headerRowDxfId="4370" dataDxfId="4356">
  <autoFilter ref="A30:M31" xr:uid="{00000000-0009-0000-0100-00003C000000}"/>
  <tableColumns count="13">
    <tableColumn id="1" xr3:uid="{00000000-0010-0000-3900-000001000000}" name="team" dataDxfId="4369"/>
    <tableColumn id="2" xr3:uid="{00000000-0010-0000-3900-000002000000}" name="off_yd" dataDxfId="4368"/>
    <tableColumn id="3" xr3:uid="{00000000-0010-0000-3900-000003000000}" name="p_yd" dataDxfId="4367"/>
    <tableColumn id="4" xr3:uid="{00000000-0010-0000-3900-000004000000}" name="car" dataDxfId="4366"/>
    <tableColumn id="5" xr3:uid="{00000000-0010-0000-3900-000005000000}" name="r_yd" dataDxfId="4365"/>
    <tableColumn id="6" xr3:uid="{00000000-0010-0000-3900-000006000000}" name="r_td" dataDxfId="4364"/>
    <tableColumn id="7" xr3:uid="{00000000-0010-0000-3900-000007000000}" name="p_ff" dataDxfId="4363"/>
    <tableColumn id="8" xr3:uid="{00000000-0010-0000-3900-000008000000}" name="p_att" dataDxfId="4362"/>
    <tableColumn id="9" xr3:uid="{00000000-0010-0000-3900-000009000000}" name="cmp_pct" dataDxfId="4361"/>
    <tableColumn id="10" xr3:uid="{00000000-0010-0000-3900-00000A000000}" name="p_td" dataDxfId="4360"/>
    <tableColumn id="11" xr3:uid="{00000000-0010-0000-3900-00000B000000}" name="int" dataDxfId="4359"/>
    <tableColumn id="12" xr3:uid="{00000000-0010-0000-3900-00000C000000}" name="fmb" dataDxfId="4358"/>
    <tableColumn id="13" xr3:uid="{2C83F5B8-78CA-452F-BC62-F082CFD84B0D}" name="f_custom" dataDxfId="435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A000000}" name="DAL_Table3" displayName="DAL_Table3" ref="A32:M33" totalsRowShown="0" headerRowDxfId="4355" dataDxfId="4341">
  <autoFilter ref="A32:M33" xr:uid="{00000000-0009-0000-0100-00003D000000}"/>
  <tableColumns count="13">
    <tableColumn id="1" xr3:uid="{00000000-0010-0000-3A00-000001000000}" name="team" dataDxfId="4354">
      <calculatedColumnFormula>A31</calculatedColumnFormula>
    </tableColumn>
    <tableColumn id="2" xr3:uid="{00000000-0010-0000-3A00-000002000000}" name="off_yd" dataDxfId="4353">
      <calculatedColumnFormula>C33 + E33</calculatedColumnFormula>
    </tableColumn>
    <tableColumn id="3" xr3:uid="{00000000-0010-0000-3A00-000003000000}" name="p_yd" dataDxfId="4352">
      <calculatedColumnFormula>SUM(INDIRECT(A33 &amp; "_Table4[[#All],[p_yd]]"))</calculatedColumnFormula>
    </tableColumn>
    <tableColumn id="4" xr3:uid="{00000000-0010-0000-3A00-000004000000}" name="car" dataDxfId="435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A00-000005000000}" name="r_yd" dataDxfId="435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A00-000006000000}" name="r_td" dataDxfId="434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A00-000007000000}" name="p_ff" dataDxfId="434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A00-000008000000}" name="p_att" dataDxfId="434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A00-000009000000}" name="cmp_pct" dataDxfId="4346">
      <calculatedColumnFormula>SUM(INDIRECT(A33 &amp; "_Table4[[#All],[cmp]]"))/H33</calculatedColumnFormula>
    </tableColumn>
    <tableColumn id="10" xr3:uid="{00000000-0010-0000-3A00-00000A000000}" name="p_td" dataDxfId="434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A00-00000B000000}" name="int" dataDxfId="434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A00-00000C000000}" name="fmb" dataDxfId="434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46C386B-D1A2-4837-8F0F-E79CB4061BE4}" name="f_custom" dataDxfId="434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B000000}" name="DAL_Table4" displayName="DAL_Table4" ref="A35:AB38" totalsRowShown="0" headerRowDxfId="4340" dataDxfId="4311">
  <autoFilter ref="A35:AB38" xr:uid="{00000000-0009-0000-0100-00003E000000}"/>
  <tableColumns count="28">
    <tableColumn id="1" xr3:uid="{00000000-0010-0000-3B00-000001000000}" name="Name" dataDxfId="4339"/>
    <tableColumn id="2" xr3:uid="{00000000-0010-0000-3B00-000002000000}" name="POS" dataDxfId="4338"/>
    <tableColumn id="3" xr3:uid="{00000000-0010-0000-3B00-000003000000}" name="Age" dataDxfId="4337"/>
    <tableColumn id="4" xr3:uid="{00000000-0010-0000-3B00-000004000000}" name="Exp" dataDxfId="4336"/>
    <tableColumn id="5" xr3:uid="{00000000-0010-0000-3B00-000005000000}" name="College" dataDxfId="4335"/>
    <tableColumn id="6" xr3:uid="{00000000-0010-0000-3B00-000006000000}" name="team" dataDxfId="4334"/>
    <tableColumn id="7" xr3:uid="{00000000-0010-0000-3B00-000007000000}" name="g" dataDxfId="4333"/>
    <tableColumn id="8" xr3:uid="{00000000-0010-0000-3B00-000008000000}" name="p_att" dataDxfId="4332"/>
    <tableColumn id="9" xr3:uid="{00000000-0010-0000-3B00-000009000000}" name="cmp" dataDxfId="4331"/>
    <tableColumn id="10" xr3:uid="{00000000-0010-0000-3B00-00000A000000}" name="p_yd" dataDxfId="4330"/>
    <tableColumn id="11" xr3:uid="{00000000-0010-0000-3B00-00000B000000}" name="p_td" dataDxfId="4329"/>
    <tableColumn id="12" xr3:uid="{00000000-0010-0000-3B00-00000C000000}" name="int" dataDxfId="4328"/>
    <tableColumn id="13" xr3:uid="{00000000-0010-0000-3B00-00000D000000}" name="car" dataDxfId="4327"/>
    <tableColumn id="14" xr3:uid="{00000000-0010-0000-3B00-00000E000000}" name="r_yd" dataDxfId="4326"/>
    <tableColumn id="15" xr3:uid="{00000000-0010-0000-3B00-00000F000000}" name="r_td" dataDxfId="4325"/>
    <tableColumn id="16" xr3:uid="{00000000-0010-0000-3B00-000010000000}" name="tgt" dataDxfId="4324"/>
    <tableColumn id="17" xr3:uid="{00000000-0010-0000-3B00-000011000000}" name="rec" dataDxfId="4323"/>
    <tableColumn id="18" xr3:uid="{00000000-0010-0000-3B00-000012000000}" name="rec_yd" dataDxfId="4322"/>
    <tableColumn id="19" xr3:uid="{00000000-0010-0000-3B00-000013000000}" name="rec_td" dataDxfId="4321"/>
    <tableColumn id="20" xr3:uid="{00000000-0010-0000-3B00-000014000000}" name="fmb" dataDxfId="4320"/>
    <tableColumn id="21" xr3:uid="{00000000-0010-0000-3B00-000015000000}" name="tp_c" dataDxfId="4319"/>
    <tableColumn id="22" xr3:uid="{00000000-0010-0000-3B00-000016000000}" name="f_ppr" dataDxfId="4318">
      <calculatedColumnFormula>($J36*0.04)+($K36*4)+($L36*-2)+($N36*0.1)+($O36*6)+($Q36)+($R36*0.1)+($S36*6)+($T36*-2)</calculatedColumnFormula>
    </tableColumn>
    <tableColumn id="23" xr3:uid="{00000000-0010-0000-3B00-000017000000}" name="tgt_share" dataDxfId="4317">
      <calculatedColumnFormula>$P36/$H$33</calculatedColumnFormula>
    </tableColumn>
    <tableColumn id="24" xr3:uid="{00000000-0010-0000-3B00-000018000000}" name="ypc" dataDxfId="4316">
      <calculatedColumnFormula>$N36/$M36</calculatedColumnFormula>
    </tableColumn>
    <tableColumn id="25" xr3:uid="{00000000-0010-0000-3B00-000019000000}" name="ypr" dataDxfId="4315">
      <calculatedColumnFormula>$R36/$Q36</calculatedColumnFormula>
    </tableColumn>
    <tableColumn id="26" xr3:uid="{00000000-0010-0000-3B00-00001A000000}" name="cmp_pct" dataDxfId="4314">
      <calculatedColumnFormula>$I36/$H36</calculatedColumnFormula>
    </tableColumn>
    <tableColumn id="27" xr3:uid="{00000000-0010-0000-3B00-00001B000000}" name="td_rate" dataDxfId="4313">
      <calculatedColumnFormula>$K36/$H36</calculatedColumnFormula>
    </tableColumn>
    <tableColumn id="28" xr3:uid="{00000000-0010-0000-3B00-00001C000000}" name="f_custom" dataDxfId="431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C000000}" name="DAL_Table5" displayName="DAL_Table5" ref="A45:AB51" totalsRowShown="0" headerRowDxfId="4310" dataDxfId="4281">
  <autoFilter ref="A45:AB51" xr:uid="{00000000-0009-0000-0100-00003F000000}"/>
  <tableColumns count="28">
    <tableColumn id="1" xr3:uid="{00000000-0010-0000-3C00-000001000000}" name="Name" dataDxfId="4309"/>
    <tableColumn id="2" xr3:uid="{00000000-0010-0000-3C00-000002000000}" name="POS" dataDxfId="4308"/>
    <tableColumn id="3" xr3:uid="{00000000-0010-0000-3C00-000003000000}" name="Age" dataDxfId="4307"/>
    <tableColumn id="4" xr3:uid="{00000000-0010-0000-3C00-000004000000}" name="Exp" dataDxfId="4306"/>
    <tableColumn id="5" xr3:uid="{00000000-0010-0000-3C00-000005000000}" name="College" dataDxfId="4305"/>
    <tableColumn id="6" xr3:uid="{00000000-0010-0000-3C00-000006000000}" name="team" dataDxfId="4304"/>
    <tableColumn id="7" xr3:uid="{00000000-0010-0000-3C00-000007000000}" name="g" dataDxfId="4303"/>
    <tableColumn id="8" xr3:uid="{00000000-0010-0000-3C00-000008000000}" name="p_att" dataDxfId="4302"/>
    <tableColumn id="9" xr3:uid="{00000000-0010-0000-3C00-000009000000}" name="cmp" dataDxfId="4301"/>
    <tableColumn id="10" xr3:uid="{00000000-0010-0000-3C00-00000A000000}" name="p_yd" dataDxfId="4300"/>
    <tableColumn id="11" xr3:uid="{00000000-0010-0000-3C00-00000B000000}" name="p_td" dataDxfId="4299"/>
    <tableColumn id="12" xr3:uid="{00000000-0010-0000-3C00-00000C000000}" name="int" dataDxfId="4298"/>
    <tableColumn id="13" xr3:uid="{00000000-0010-0000-3C00-00000D000000}" name="car" dataDxfId="4297"/>
    <tableColumn id="14" xr3:uid="{00000000-0010-0000-3C00-00000E000000}" name="r_yd" dataDxfId="4296"/>
    <tableColumn id="15" xr3:uid="{00000000-0010-0000-3C00-00000F000000}" name="r_td" dataDxfId="4295"/>
    <tableColumn id="16" xr3:uid="{00000000-0010-0000-3C00-000010000000}" name="tgt" dataDxfId="4294"/>
    <tableColumn id="17" xr3:uid="{00000000-0010-0000-3C00-000011000000}" name="rec" dataDxfId="4293"/>
    <tableColumn id="18" xr3:uid="{00000000-0010-0000-3C00-000012000000}" name="rec_yd" dataDxfId="4292"/>
    <tableColumn id="19" xr3:uid="{00000000-0010-0000-3C00-000013000000}" name="rec_td" dataDxfId="4291"/>
    <tableColumn id="20" xr3:uid="{00000000-0010-0000-3C00-000014000000}" name="fmb" dataDxfId="4290"/>
    <tableColumn id="21" xr3:uid="{00000000-0010-0000-3C00-000015000000}" name="tp_c" dataDxfId="4289"/>
    <tableColumn id="22" xr3:uid="{00000000-0010-0000-3C00-000016000000}" name="f_ppr" dataDxfId="4288">
      <calculatedColumnFormula>($J46*0.04)+($K46*4)+($L46*-2)+($N46*0.1)+($O46*6)+($Q46)+($R46*0.1)+($S46*6)+($T46*-2)</calculatedColumnFormula>
    </tableColumn>
    <tableColumn id="23" xr3:uid="{00000000-0010-0000-3C00-000017000000}" name="tgt_share" dataDxfId="4287">
      <calculatedColumnFormula>$P46/$H$33</calculatedColumnFormula>
    </tableColumn>
    <tableColumn id="24" xr3:uid="{00000000-0010-0000-3C00-000018000000}" name="ypc" dataDxfId="4286">
      <calculatedColumnFormula>$N46/$M46</calculatedColumnFormula>
    </tableColumn>
    <tableColumn id="25" xr3:uid="{00000000-0010-0000-3C00-000019000000}" name="ypr" dataDxfId="4285">
      <calculatedColumnFormula>$R46/$Q46</calculatedColumnFormula>
    </tableColumn>
    <tableColumn id="26" xr3:uid="{00000000-0010-0000-3C00-00001A000000}" name="cmp_pct" dataDxfId="4284">
      <calculatedColumnFormula>$I46/$H46</calculatedColumnFormula>
    </tableColumn>
    <tableColumn id="27" xr3:uid="{00000000-0010-0000-3C00-00001B000000}" name="td_rate" dataDxfId="4283">
      <calculatedColumnFormula>$K46/$H46</calculatedColumnFormula>
    </tableColumn>
    <tableColumn id="28" xr3:uid="{00000000-0010-0000-3C00-00001C000000}" name="f_custom" dataDxfId="428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D000000}" name="DAL_Table6" displayName="DAL_Table6" ref="A60:AB74" totalsRowShown="0" headerRowDxfId="4280" dataDxfId="4251">
  <autoFilter ref="A60:AB74" xr:uid="{00000000-0009-0000-0100-000040000000}"/>
  <tableColumns count="28">
    <tableColumn id="1" xr3:uid="{00000000-0010-0000-3D00-000001000000}" name="Name" dataDxfId="4279"/>
    <tableColumn id="2" xr3:uid="{00000000-0010-0000-3D00-000002000000}" name="POS" dataDxfId="4278"/>
    <tableColumn id="3" xr3:uid="{00000000-0010-0000-3D00-000003000000}" name="Age" dataDxfId="4277"/>
    <tableColumn id="4" xr3:uid="{00000000-0010-0000-3D00-000004000000}" name="Exp" dataDxfId="4276"/>
    <tableColumn id="5" xr3:uid="{00000000-0010-0000-3D00-000005000000}" name="College" dataDxfId="4275"/>
    <tableColumn id="6" xr3:uid="{00000000-0010-0000-3D00-000006000000}" name="team" dataDxfId="4274"/>
    <tableColumn id="7" xr3:uid="{00000000-0010-0000-3D00-000007000000}" name="g" dataDxfId="4273"/>
    <tableColumn id="8" xr3:uid="{00000000-0010-0000-3D00-000008000000}" name="p_att" dataDxfId="4272"/>
    <tableColumn id="9" xr3:uid="{00000000-0010-0000-3D00-000009000000}" name="cmp" dataDxfId="4271"/>
    <tableColumn id="10" xr3:uid="{00000000-0010-0000-3D00-00000A000000}" name="p_yd" dataDxfId="4270"/>
    <tableColumn id="11" xr3:uid="{00000000-0010-0000-3D00-00000B000000}" name="p_td" dataDxfId="4269"/>
    <tableColumn id="12" xr3:uid="{00000000-0010-0000-3D00-00000C000000}" name="int" dataDxfId="4268"/>
    <tableColumn id="13" xr3:uid="{00000000-0010-0000-3D00-00000D000000}" name="car" dataDxfId="4267"/>
    <tableColumn id="14" xr3:uid="{00000000-0010-0000-3D00-00000E000000}" name="r_yd" dataDxfId="4266"/>
    <tableColumn id="15" xr3:uid="{00000000-0010-0000-3D00-00000F000000}" name="r_td" dataDxfId="4265"/>
    <tableColumn id="16" xr3:uid="{00000000-0010-0000-3D00-000010000000}" name="tgt" dataDxfId="4264"/>
    <tableColumn id="17" xr3:uid="{00000000-0010-0000-3D00-000011000000}" name="rec" dataDxfId="4263"/>
    <tableColumn id="18" xr3:uid="{00000000-0010-0000-3D00-000012000000}" name="rec_yd" dataDxfId="4262"/>
    <tableColumn id="19" xr3:uid="{00000000-0010-0000-3D00-000013000000}" name="rec_td" dataDxfId="4261"/>
    <tableColumn id="20" xr3:uid="{00000000-0010-0000-3D00-000014000000}" name="fmb" dataDxfId="4260"/>
    <tableColumn id="21" xr3:uid="{00000000-0010-0000-3D00-000015000000}" name="tp_c" dataDxfId="4259"/>
    <tableColumn id="22" xr3:uid="{00000000-0010-0000-3D00-000016000000}" name="f_ppr" dataDxfId="4258">
      <calculatedColumnFormula>($J61*0.04)+($K61*4)+($L61*-2)+($N61*0.1)+($O61*6)+($Q61)+($R61*0.1)+($S61*6)+($T61*-2)</calculatedColumnFormula>
    </tableColumn>
    <tableColumn id="23" xr3:uid="{00000000-0010-0000-3D00-000017000000}" name="tgt_share" dataDxfId="4257">
      <calculatedColumnFormula>$P61/$H$33</calculatedColumnFormula>
    </tableColumn>
    <tableColumn id="24" xr3:uid="{00000000-0010-0000-3D00-000018000000}" name="ypc" dataDxfId="4256">
      <calculatedColumnFormula>$N61/$M61</calculatedColumnFormula>
    </tableColumn>
    <tableColumn id="25" xr3:uid="{00000000-0010-0000-3D00-000019000000}" name="ypr" dataDxfId="4255">
      <calculatedColumnFormula>$R61/$Q61</calculatedColumnFormula>
    </tableColumn>
    <tableColumn id="26" xr3:uid="{00000000-0010-0000-3D00-00001A000000}" name="cmp_pct" dataDxfId="4254">
      <calculatedColumnFormula>$I61/$H61</calculatedColumnFormula>
    </tableColumn>
    <tableColumn id="27" xr3:uid="{00000000-0010-0000-3D00-00001B000000}" name="td_rate" dataDxfId="4253">
      <calculatedColumnFormula>$K61/$H61</calculatedColumnFormula>
    </tableColumn>
    <tableColumn id="28" xr3:uid="{00000000-0010-0000-3D00-00001C000000}" name="f_custom" dataDxfId="425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3E000000}" name="DAL_Table7" displayName="DAL_Table7" ref="A75:AB81" totalsRowShown="0" headerRowDxfId="4250" dataDxfId="4221">
  <autoFilter ref="A75:AB81" xr:uid="{00000000-0009-0000-0100-000041000000}"/>
  <tableColumns count="28">
    <tableColumn id="1" xr3:uid="{00000000-0010-0000-3E00-000001000000}" name="Name" dataDxfId="4249"/>
    <tableColumn id="2" xr3:uid="{00000000-0010-0000-3E00-000002000000}" name="POS" dataDxfId="4248"/>
    <tableColumn id="3" xr3:uid="{00000000-0010-0000-3E00-000003000000}" name="Age" dataDxfId="4247"/>
    <tableColumn id="4" xr3:uid="{00000000-0010-0000-3E00-000004000000}" name="Exp" dataDxfId="4246"/>
    <tableColumn id="5" xr3:uid="{00000000-0010-0000-3E00-000005000000}" name="College" dataDxfId="4245"/>
    <tableColumn id="6" xr3:uid="{00000000-0010-0000-3E00-000006000000}" name="team" dataDxfId="4244"/>
    <tableColumn id="7" xr3:uid="{00000000-0010-0000-3E00-000007000000}" name="g" dataDxfId="4243"/>
    <tableColumn id="8" xr3:uid="{00000000-0010-0000-3E00-000008000000}" name="p_att" dataDxfId="4242"/>
    <tableColumn id="9" xr3:uid="{00000000-0010-0000-3E00-000009000000}" name="cmp" dataDxfId="4241"/>
    <tableColumn id="10" xr3:uid="{00000000-0010-0000-3E00-00000A000000}" name="p_yd" dataDxfId="4240"/>
    <tableColumn id="11" xr3:uid="{00000000-0010-0000-3E00-00000B000000}" name="p_td" dataDxfId="4239"/>
    <tableColumn id="12" xr3:uid="{00000000-0010-0000-3E00-00000C000000}" name="int" dataDxfId="4238"/>
    <tableColumn id="13" xr3:uid="{00000000-0010-0000-3E00-00000D000000}" name="car" dataDxfId="4237"/>
    <tableColumn id="14" xr3:uid="{00000000-0010-0000-3E00-00000E000000}" name="r_yd" dataDxfId="4236"/>
    <tableColumn id="15" xr3:uid="{00000000-0010-0000-3E00-00000F000000}" name="r_td" dataDxfId="4235"/>
    <tableColumn id="16" xr3:uid="{00000000-0010-0000-3E00-000010000000}" name="tgt" dataDxfId="4234"/>
    <tableColumn id="17" xr3:uid="{00000000-0010-0000-3E00-000011000000}" name="rec" dataDxfId="4233"/>
    <tableColumn id="18" xr3:uid="{00000000-0010-0000-3E00-000012000000}" name="rec_yd" dataDxfId="4232"/>
    <tableColumn id="19" xr3:uid="{00000000-0010-0000-3E00-000013000000}" name="rec_td" dataDxfId="4231"/>
    <tableColumn id="20" xr3:uid="{00000000-0010-0000-3E00-000014000000}" name="fmb" dataDxfId="4230"/>
    <tableColumn id="21" xr3:uid="{00000000-0010-0000-3E00-000015000000}" name="tp_c" dataDxfId="4229"/>
    <tableColumn id="22" xr3:uid="{00000000-0010-0000-3E00-000016000000}" name="f_ppr" dataDxfId="4228">
      <calculatedColumnFormula>($J76*0.04)+($K76*4)+($L76*-2)+($N76*0.1)+($O76*6)+($Q76)+($R76*0.1)+($S76*6)+($T76*-2)</calculatedColumnFormula>
    </tableColumn>
    <tableColumn id="23" xr3:uid="{00000000-0010-0000-3E00-000017000000}" name="tgt_share" dataDxfId="4227">
      <calculatedColumnFormula>$P76/$H$33</calculatedColumnFormula>
    </tableColumn>
    <tableColumn id="24" xr3:uid="{00000000-0010-0000-3E00-000018000000}" name="ypc" dataDxfId="4226">
      <calculatedColumnFormula>$N76/$M76</calculatedColumnFormula>
    </tableColumn>
    <tableColumn id="25" xr3:uid="{00000000-0010-0000-3E00-000019000000}" name="ypr" dataDxfId="4225">
      <calculatedColumnFormula>$R76/$Q76</calculatedColumnFormula>
    </tableColumn>
    <tableColumn id="26" xr3:uid="{00000000-0010-0000-3E00-00001A000000}" name="cmp_pct" dataDxfId="4224">
      <calculatedColumnFormula>$I76/$H76</calculatedColumnFormula>
    </tableColumn>
    <tableColumn id="27" xr3:uid="{00000000-0010-0000-3E00-00001B000000}" name="td_rate" dataDxfId="4223">
      <calculatedColumnFormula>$K76/$H76</calculatedColumnFormula>
    </tableColumn>
    <tableColumn id="28" xr3:uid="{00000000-0010-0000-3E00-00001C000000}" name="f_custom" dataDxfId="422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3F000000}" name="DEN_Table1" displayName="DEN_Table1" ref="A1:Y25" totalsRowShown="0" headerRowDxfId="4220" dataDxfId="4194">
  <autoFilter ref="A1:Y25" xr:uid="{00000000-0009-0000-0100-000042000000}"/>
  <tableColumns count="25">
    <tableColumn id="1" xr3:uid="{00000000-0010-0000-3F00-000001000000}" name="player_name" dataDxfId="4219"/>
    <tableColumn id="2" xr3:uid="{00000000-0010-0000-3F00-000002000000}" name="recent_team" dataDxfId="4218"/>
    <tableColumn id="3" xr3:uid="{00000000-0010-0000-3F00-000003000000}" name="pos" dataDxfId="4217"/>
    <tableColumn id="4" xr3:uid="{00000000-0010-0000-3F00-000004000000}" name="g" dataDxfId="4216"/>
    <tableColumn id="5" xr3:uid="{00000000-0010-0000-3F00-000005000000}" name="p_att" dataDxfId="4215"/>
    <tableColumn id="6" xr3:uid="{00000000-0010-0000-3F00-000006000000}" name="cmp" dataDxfId="4214"/>
    <tableColumn id="7" xr3:uid="{00000000-0010-0000-3F00-000007000000}" name="p_yd" dataDxfId="4213"/>
    <tableColumn id="8" xr3:uid="{00000000-0010-0000-3F00-000008000000}" name="p_td" dataDxfId="4212"/>
    <tableColumn id="9" xr3:uid="{00000000-0010-0000-3F00-000009000000}" name="int" dataDxfId="4211"/>
    <tableColumn id="10" xr3:uid="{00000000-0010-0000-3F00-00000A000000}" name="car" dataDxfId="4210"/>
    <tableColumn id="11" xr3:uid="{00000000-0010-0000-3F00-00000B000000}" name="r_yd" dataDxfId="4209"/>
    <tableColumn id="12" xr3:uid="{00000000-0010-0000-3F00-00000C000000}" name="r_td" dataDxfId="4208"/>
    <tableColumn id="13" xr3:uid="{00000000-0010-0000-3F00-00000D000000}" name="tgt" dataDxfId="4207"/>
    <tableColumn id="14" xr3:uid="{00000000-0010-0000-3F00-00000E000000}" name="rec" dataDxfId="4206"/>
    <tableColumn id="15" xr3:uid="{00000000-0010-0000-3F00-00000F000000}" name="rec_yd" dataDxfId="4205"/>
    <tableColumn id="16" xr3:uid="{00000000-0010-0000-3F00-000010000000}" name="rec_td" dataDxfId="4204"/>
    <tableColumn id="17" xr3:uid="{00000000-0010-0000-3F00-000011000000}" name="fmb" dataDxfId="4203"/>
    <tableColumn id="18" xr3:uid="{00000000-0010-0000-3F00-000012000000}" name="tp_c" dataDxfId="4202"/>
    <tableColumn id="19" xr3:uid="{00000000-0010-0000-3F00-000013000000}" name="f_ppr" dataDxfId="4201"/>
    <tableColumn id="20" xr3:uid="{00000000-0010-0000-3F00-000014000000}" name="tgt_share" dataDxfId="4200"/>
    <tableColumn id="21" xr3:uid="{00000000-0010-0000-3F00-000015000000}" name="ypc" dataDxfId="4199"/>
    <tableColumn id="22" xr3:uid="{00000000-0010-0000-3F00-000016000000}" name="ypr" dataDxfId="4198"/>
    <tableColumn id="23" xr3:uid="{00000000-0010-0000-3F00-000017000000}" name="cmp_pct" dataDxfId="4197"/>
    <tableColumn id="24" xr3:uid="{00000000-0010-0000-3F00-000018000000}" name="td_rate" dataDxfId="4196"/>
    <tableColumn id="25" xr3:uid="{16D73D61-7B47-4238-B1DE-F43E45FB447D}" name="f_custom" dataDxfId="419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40000000}" name="DEN_Table2" displayName="DEN_Table2" ref="A30:M31" totalsRowShown="0" headerRowDxfId="4193" dataDxfId="4179">
  <autoFilter ref="A30:M31" xr:uid="{00000000-0009-0000-0100-000043000000}"/>
  <tableColumns count="13">
    <tableColumn id="1" xr3:uid="{00000000-0010-0000-4000-000001000000}" name="team" dataDxfId="4192"/>
    <tableColumn id="2" xr3:uid="{00000000-0010-0000-4000-000002000000}" name="off_yd" dataDxfId="4191"/>
    <tableColumn id="3" xr3:uid="{00000000-0010-0000-4000-000003000000}" name="p_yd" dataDxfId="4190"/>
    <tableColumn id="4" xr3:uid="{00000000-0010-0000-4000-000004000000}" name="car" dataDxfId="4189"/>
    <tableColumn id="5" xr3:uid="{00000000-0010-0000-4000-000005000000}" name="r_yd" dataDxfId="4188"/>
    <tableColumn id="6" xr3:uid="{00000000-0010-0000-4000-000006000000}" name="r_td" dataDxfId="4187"/>
    <tableColumn id="7" xr3:uid="{00000000-0010-0000-4000-000007000000}" name="p_ff" dataDxfId="4186"/>
    <tableColumn id="8" xr3:uid="{00000000-0010-0000-4000-000008000000}" name="p_att" dataDxfId="4185"/>
    <tableColumn id="9" xr3:uid="{00000000-0010-0000-4000-000009000000}" name="cmp_pct" dataDxfId="4184"/>
    <tableColumn id="10" xr3:uid="{00000000-0010-0000-4000-00000A000000}" name="p_td" dataDxfId="4183"/>
    <tableColumn id="11" xr3:uid="{00000000-0010-0000-4000-00000B000000}" name="int" dataDxfId="4182"/>
    <tableColumn id="12" xr3:uid="{00000000-0010-0000-4000-00000C000000}" name="fmb" dataDxfId="4181"/>
    <tableColumn id="13" xr3:uid="{C8817774-BC0F-417E-BCE4-D13FC45E2246}" name="f_custom" dataDxfId="418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1000000}" name="DEN_Table3" displayName="DEN_Table3" ref="A32:M33" totalsRowShown="0" headerRowDxfId="4178" dataDxfId="4164">
  <autoFilter ref="A32:M33" xr:uid="{00000000-0009-0000-0100-000044000000}"/>
  <tableColumns count="13">
    <tableColumn id="1" xr3:uid="{00000000-0010-0000-4100-000001000000}" name="team" dataDxfId="4177">
      <calculatedColumnFormula>A31</calculatedColumnFormula>
    </tableColumn>
    <tableColumn id="2" xr3:uid="{00000000-0010-0000-4100-000002000000}" name="off_yd" dataDxfId="4176">
      <calculatedColumnFormula>C33 + E33</calculatedColumnFormula>
    </tableColumn>
    <tableColumn id="3" xr3:uid="{00000000-0010-0000-4100-000003000000}" name="p_yd" dataDxfId="4175">
      <calculatedColumnFormula>SUM(INDIRECT(A33 &amp; "_Table4[[#All],[p_yd]]"))</calculatedColumnFormula>
    </tableColumn>
    <tableColumn id="4" xr3:uid="{00000000-0010-0000-4100-000004000000}" name="car" dataDxfId="417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100-000005000000}" name="r_yd" dataDxfId="417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100-000006000000}" name="r_td" dataDxfId="417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100-000007000000}" name="p_ff" dataDxfId="417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100-000008000000}" name="p_att" dataDxfId="417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100-000009000000}" name="cmp_pct" dataDxfId="4169">
      <calculatedColumnFormula>SUM(INDIRECT(A33 &amp; "_Table4[[#All],[cmp]]"))/H33</calculatedColumnFormula>
    </tableColumn>
    <tableColumn id="10" xr3:uid="{00000000-0010-0000-4100-00000A000000}" name="p_td" dataDxfId="416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100-00000B000000}" name="int" dataDxfId="416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100-00000C000000}" name="fmb" dataDxfId="416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D53B51E-C7D6-423C-B2F1-A68F0A621D6F}" name="f_custom" dataDxfId="416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2000000}" name="DEN_Table4" displayName="DEN_Table4" ref="A35:AB38" totalsRowShown="0" headerRowDxfId="4163" dataDxfId="4134">
  <autoFilter ref="A35:AB38" xr:uid="{00000000-0009-0000-0100-000045000000}"/>
  <tableColumns count="28">
    <tableColumn id="1" xr3:uid="{00000000-0010-0000-4200-000001000000}" name="Name" dataDxfId="4162"/>
    <tableColumn id="2" xr3:uid="{00000000-0010-0000-4200-000002000000}" name="POS" dataDxfId="4161"/>
    <tableColumn id="3" xr3:uid="{00000000-0010-0000-4200-000003000000}" name="Age" dataDxfId="4160"/>
    <tableColumn id="4" xr3:uid="{00000000-0010-0000-4200-000004000000}" name="Exp" dataDxfId="4159"/>
    <tableColumn id="5" xr3:uid="{00000000-0010-0000-4200-000005000000}" name="College" dataDxfId="4158"/>
    <tableColumn id="6" xr3:uid="{00000000-0010-0000-4200-000006000000}" name="team" dataDxfId="4157"/>
    <tableColumn id="7" xr3:uid="{00000000-0010-0000-4200-000007000000}" name="g" dataDxfId="4156"/>
    <tableColumn id="8" xr3:uid="{00000000-0010-0000-4200-000008000000}" name="p_att" dataDxfId="4155"/>
    <tableColumn id="9" xr3:uid="{00000000-0010-0000-4200-000009000000}" name="cmp" dataDxfId="4154"/>
    <tableColumn id="10" xr3:uid="{00000000-0010-0000-4200-00000A000000}" name="p_yd" dataDxfId="4153"/>
    <tableColumn id="11" xr3:uid="{00000000-0010-0000-4200-00000B000000}" name="p_td" dataDxfId="4152"/>
    <tableColumn id="12" xr3:uid="{00000000-0010-0000-4200-00000C000000}" name="int" dataDxfId="4151"/>
    <tableColumn id="13" xr3:uid="{00000000-0010-0000-4200-00000D000000}" name="car" dataDxfId="4150"/>
    <tableColumn id="14" xr3:uid="{00000000-0010-0000-4200-00000E000000}" name="r_yd" dataDxfId="4149"/>
    <tableColumn id="15" xr3:uid="{00000000-0010-0000-4200-00000F000000}" name="r_td" dataDxfId="4148"/>
    <tableColumn id="16" xr3:uid="{00000000-0010-0000-4200-000010000000}" name="tgt" dataDxfId="4147"/>
    <tableColumn id="17" xr3:uid="{00000000-0010-0000-4200-000011000000}" name="rec" dataDxfId="4146"/>
    <tableColumn id="18" xr3:uid="{00000000-0010-0000-4200-000012000000}" name="rec_yd" dataDxfId="4145"/>
    <tableColumn id="19" xr3:uid="{00000000-0010-0000-4200-000013000000}" name="rec_td" dataDxfId="4144"/>
    <tableColumn id="20" xr3:uid="{00000000-0010-0000-4200-000014000000}" name="fmb" dataDxfId="4143"/>
    <tableColumn id="21" xr3:uid="{00000000-0010-0000-4200-000015000000}" name="tp_c" dataDxfId="4142"/>
    <tableColumn id="22" xr3:uid="{00000000-0010-0000-4200-000016000000}" name="f_ppr" dataDxfId="4141">
      <calculatedColumnFormula>($J36*0.04)+($K36*4)+($L36*-2)+($N36*0.1)+($O36*6)+($Q36)+($R36*0.1)+($S36*6)+($T36*-2)</calculatedColumnFormula>
    </tableColumn>
    <tableColumn id="23" xr3:uid="{00000000-0010-0000-4200-000017000000}" name="tgt_share" dataDxfId="4140">
      <calculatedColumnFormula>$P36/$H$33</calculatedColumnFormula>
    </tableColumn>
    <tableColumn id="24" xr3:uid="{00000000-0010-0000-4200-000018000000}" name="ypc" dataDxfId="4139">
      <calculatedColumnFormula>$N36/$M36</calculatedColumnFormula>
    </tableColumn>
    <tableColumn id="25" xr3:uid="{00000000-0010-0000-4200-000019000000}" name="ypr" dataDxfId="4138">
      <calculatedColumnFormula>$R36/$Q36</calculatedColumnFormula>
    </tableColumn>
    <tableColumn id="26" xr3:uid="{00000000-0010-0000-4200-00001A000000}" name="cmp_pct" dataDxfId="4137">
      <calculatedColumnFormula>$I36/$H36</calculatedColumnFormula>
    </tableColumn>
    <tableColumn id="27" xr3:uid="{00000000-0010-0000-4200-00001B000000}" name="td_rate" dataDxfId="4136">
      <calculatedColumnFormula>$K36/$H36</calculatedColumnFormula>
    </tableColumn>
    <tableColumn id="28" xr3:uid="{00000000-0010-0000-4200-00001C000000}" name="f_custom" dataDxfId="413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3000000}" name="DEN_Table5" displayName="DEN_Table5" ref="A45:AB51" totalsRowShown="0" headerRowDxfId="4133" dataDxfId="4104">
  <autoFilter ref="A45:AB51" xr:uid="{00000000-0009-0000-0100-000046000000}"/>
  <tableColumns count="28">
    <tableColumn id="1" xr3:uid="{00000000-0010-0000-4300-000001000000}" name="Name" dataDxfId="4132"/>
    <tableColumn id="2" xr3:uid="{00000000-0010-0000-4300-000002000000}" name="POS" dataDxfId="4131"/>
    <tableColumn id="3" xr3:uid="{00000000-0010-0000-4300-000003000000}" name="Age" dataDxfId="4130"/>
    <tableColumn id="4" xr3:uid="{00000000-0010-0000-4300-000004000000}" name="Exp" dataDxfId="4129"/>
    <tableColumn id="5" xr3:uid="{00000000-0010-0000-4300-000005000000}" name="College" dataDxfId="4128"/>
    <tableColumn id="6" xr3:uid="{00000000-0010-0000-4300-000006000000}" name="team" dataDxfId="4127"/>
    <tableColumn id="7" xr3:uid="{00000000-0010-0000-4300-000007000000}" name="g" dataDxfId="4126"/>
    <tableColumn id="8" xr3:uid="{00000000-0010-0000-4300-000008000000}" name="p_att" dataDxfId="4125"/>
    <tableColumn id="9" xr3:uid="{00000000-0010-0000-4300-000009000000}" name="cmp" dataDxfId="4124"/>
    <tableColumn id="10" xr3:uid="{00000000-0010-0000-4300-00000A000000}" name="p_yd" dataDxfId="4123"/>
    <tableColumn id="11" xr3:uid="{00000000-0010-0000-4300-00000B000000}" name="p_td" dataDxfId="4122"/>
    <tableColumn id="12" xr3:uid="{00000000-0010-0000-4300-00000C000000}" name="int" dataDxfId="4121"/>
    <tableColumn id="13" xr3:uid="{00000000-0010-0000-4300-00000D000000}" name="car" dataDxfId="4120"/>
    <tableColumn id="14" xr3:uid="{00000000-0010-0000-4300-00000E000000}" name="r_yd" dataDxfId="4119"/>
    <tableColumn id="15" xr3:uid="{00000000-0010-0000-4300-00000F000000}" name="r_td" dataDxfId="4118"/>
    <tableColumn id="16" xr3:uid="{00000000-0010-0000-4300-000010000000}" name="tgt" dataDxfId="4117"/>
    <tableColumn id="17" xr3:uid="{00000000-0010-0000-4300-000011000000}" name="rec" dataDxfId="4116"/>
    <tableColumn id="18" xr3:uid="{00000000-0010-0000-4300-000012000000}" name="rec_yd" dataDxfId="4115"/>
    <tableColumn id="19" xr3:uid="{00000000-0010-0000-4300-000013000000}" name="rec_td" dataDxfId="4114"/>
    <tableColumn id="20" xr3:uid="{00000000-0010-0000-4300-000014000000}" name="fmb" dataDxfId="4113"/>
    <tableColumn id="21" xr3:uid="{00000000-0010-0000-4300-000015000000}" name="tp_c" dataDxfId="4112"/>
    <tableColumn id="22" xr3:uid="{00000000-0010-0000-4300-000016000000}" name="f_ppr" dataDxfId="4111">
      <calculatedColumnFormula>($J46*0.04)+($K46*4)+($L46*-2)+($N46*0.1)+($O46*6)+($Q46)+($R46*0.1)+($S46*6)+($T46*-2)</calculatedColumnFormula>
    </tableColumn>
    <tableColumn id="23" xr3:uid="{00000000-0010-0000-4300-000017000000}" name="tgt_share" dataDxfId="4110">
      <calculatedColumnFormula>$P46/$H$33</calculatedColumnFormula>
    </tableColumn>
    <tableColumn id="24" xr3:uid="{00000000-0010-0000-4300-000018000000}" name="ypc" dataDxfId="4109">
      <calculatedColumnFormula>$N46/$M46</calculatedColumnFormula>
    </tableColumn>
    <tableColumn id="25" xr3:uid="{00000000-0010-0000-4300-000019000000}" name="ypr" dataDxfId="4108">
      <calculatedColumnFormula>$R46/$Q46</calculatedColumnFormula>
    </tableColumn>
    <tableColumn id="26" xr3:uid="{00000000-0010-0000-4300-00001A000000}" name="cmp_pct" dataDxfId="4107">
      <calculatedColumnFormula>$I46/$H46</calculatedColumnFormula>
    </tableColumn>
    <tableColumn id="27" xr3:uid="{00000000-0010-0000-4300-00001B000000}" name="td_rate" dataDxfId="4106">
      <calculatedColumnFormula>$K46/$H46</calculatedColumnFormula>
    </tableColumn>
    <tableColumn id="28" xr3:uid="{00000000-0010-0000-4300-00001C000000}" name="f_custom" dataDxfId="410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4000000}" name="DEN_Table6" displayName="DEN_Table6" ref="A60:AB74" totalsRowShown="0" headerRowDxfId="4103" dataDxfId="4074">
  <autoFilter ref="A60:AB74" xr:uid="{00000000-0009-0000-0100-000047000000}"/>
  <tableColumns count="28">
    <tableColumn id="1" xr3:uid="{00000000-0010-0000-4400-000001000000}" name="Name" dataDxfId="4102"/>
    <tableColumn id="2" xr3:uid="{00000000-0010-0000-4400-000002000000}" name="POS" dataDxfId="4101"/>
    <tableColumn id="3" xr3:uid="{00000000-0010-0000-4400-000003000000}" name="Age" dataDxfId="4100"/>
    <tableColumn id="4" xr3:uid="{00000000-0010-0000-4400-000004000000}" name="Exp" dataDxfId="4099"/>
    <tableColumn id="5" xr3:uid="{00000000-0010-0000-4400-000005000000}" name="College" dataDxfId="4098"/>
    <tableColumn id="6" xr3:uid="{00000000-0010-0000-4400-000006000000}" name="team" dataDxfId="4097"/>
    <tableColumn id="7" xr3:uid="{00000000-0010-0000-4400-000007000000}" name="g" dataDxfId="4096"/>
    <tableColumn id="8" xr3:uid="{00000000-0010-0000-4400-000008000000}" name="p_att" dataDxfId="4095"/>
    <tableColumn id="9" xr3:uid="{00000000-0010-0000-4400-000009000000}" name="cmp" dataDxfId="4094"/>
    <tableColumn id="10" xr3:uid="{00000000-0010-0000-4400-00000A000000}" name="p_yd" dataDxfId="4093"/>
    <tableColumn id="11" xr3:uid="{00000000-0010-0000-4400-00000B000000}" name="p_td" dataDxfId="4092"/>
    <tableColumn id="12" xr3:uid="{00000000-0010-0000-4400-00000C000000}" name="int" dataDxfId="4091"/>
    <tableColumn id="13" xr3:uid="{00000000-0010-0000-4400-00000D000000}" name="car" dataDxfId="4090"/>
    <tableColumn id="14" xr3:uid="{00000000-0010-0000-4400-00000E000000}" name="r_yd" dataDxfId="4089"/>
    <tableColumn id="15" xr3:uid="{00000000-0010-0000-4400-00000F000000}" name="r_td" dataDxfId="4088"/>
    <tableColumn id="16" xr3:uid="{00000000-0010-0000-4400-000010000000}" name="tgt" dataDxfId="4087"/>
    <tableColumn id="17" xr3:uid="{00000000-0010-0000-4400-000011000000}" name="rec" dataDxfId="4086"/>
    <tableColumn id="18" xr3:uid="{00000000-0010-0000-4400-000012000000}" name="rec_yd" dataDxfId="4085"/>
    <tableColumn id="19" xr3:uid="{00000000-0010-0000-4400-000013000000}" name="rec_td" dataDxfId="4084"/>
    <tableColumn id="20" xr3:uid="{00000000-0010-0000-4400-000014000000}" name="fmb" dataDxfId="4083"/>
    <tableColumn id="21" xr3:uid="{00000000-0010-0000-4400-000015000000}" name="tp_c" dataDxfId="4082"/>
    <tableColumn id="22" xr3:uid="{00000000-0010-0000-4400-000016000000}" name="f_ppr" dataDxfId="4081">
      <calculatedColumnFormula>($J61*0.04)+($K61*4)+($L61*-2)+($N61*0.1)+($O61*6)+($Q61)+($R61*0.1)+($S61*6)+($T61*-2)</calculatedColumnFormula>
    </tableColumn>
    <tableColumn id="23" xr3:uid="{00000000-0010-0000-4400-000017000000}" name="tgt_share" dataDxfId="4080">
      <calculatedColumnFormula>$P61/$H$33</calculatedColumnFormula>
    </tableColumn>
    <tableColumn id="24" xr3:uid="{00000000-0010-0000-4400-000018000000}" name="ypc" dataDxfId="4079">
      <calculatedColumnFormula>$N61/$M61</calculatedColumnFormula>
    </tableColumn>
    <tableColumn id="25" xr3:uid="{00000000-0010-0000-4400-000019000000}" name="ypr" dataDxfId="4078">
      <calculatedColumnFormula>$R61/$Q61</calculatedColumnFormula>
    </tableColumn>
    <tableColumn id="26" xr3:uid="{00000000-0010-0000-4400-00001A000000}" name="cmp_pct" dataDxfId="4077">
      <calculatedColumnFormula>$I61/$H61</calculatedColumnFormula>
    </tableColumn>
    <tableColumn id="27" xr3:uid="{00000000-0010-0000-4400-00001B000000}" name="td_rate" dataDxfId="4076">
      <calculatedColumnFormula>$K61/$H61</calculatedColumnFormula>
    </tableColumn>
    <tableColumn id="28" xr3:uid="{00000000-0010-0000-4400-00001C000000}" name="f_custom" dataDxfId="407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5000000}" name="DEN_Table7" displayName="DEN_Table7" ref="A75:AB81" totalsRowShown="0" headerRowDxfId="4073" dataDxfId="4044">
  <autoFilter ref="A75:AB81" xr:uid="{00000000-0009-0000-0100-000048000000}"/>
  <tableColumns count="28">
    <tableColumn id="1" xr3:uid="{00000000-0010-0000-4500-000001000000}" name="Name" dataDxfId="4072"/>
    <tableColumn id="2" xr3:uid="{00000000-0010-0000-4500-000002000000}" name="POS" dataDxfId="4071"/>
    <tableColumn id="3" xr3:uid="{00000000-0010-0000-4500-000003000000}" name="Age" dataDxfId="4070"/>
    <tableColumn id="4" xr3:uid="{00000000-0010-0000-4500-000004000000}" name="Exp" dataDxfId="4069"/>
    <tableColumn id="5" xr3:uid="{00000000-0010-0000-4500-000005000000}" name="College" dataDxfId="4068"/>
    <tableColumn id="6" xr3:uid="{00000000-0010-0000-4500-000006000000}" name="team" dataDxfId="4067"/>
    <tableColumn id="7" xr3:uid="{00000000-0010-0000-4500-000007000000}" name="g" dataDxfId="4066"/>
    <tableColumn id="8" xr3:uid="{00000000-0010-0000-4500-000008000000}" name="p_att" dataDxfId="4065"/>
    <tableColumn id="9" xr3:uid="{00000000-0010-0000-4500-000009000000}" name="cmp" dataDxfId="4064"/>
    <tableColumn id="10" xr3:uid="{00000000-0010-0000-4500-00000A000000}" name="p_yd" dataDxfId="4063"/>
    <tableColumn id="11" xr3:uid="{00000000-0010-0000-4500-00000B000000}" name="p_td" dataDxfId="4062"/>
    <tableColumn id="12" xr3:uid="{00000000-0010-0000-4500-00000C000000}" name="int" dataDxfId="4061"/>
    <tableColumn id="13" xr3:uid="{00000000-0010-0000-4500-00000D000000}" name="car" dataDxfId="4060"/>
    <tableColumn id="14" xr3:uid="{00000000-0010-0000-4500-00000E000000}" name="r_yd" dataDxfId="4059"/>
    <tableColumn id="15" xr3:uid="{00000000-0010-0000-4500-00000F000000}" name="r_td" dataDxfId="4058"/>
    <tableColumn id="16" xr3:uid="{00000000-0010-0000-4500-000010000000}" name="tgt" dataDxfId="4057"/>
    <tableColumn id="17" xr3:uid="{00000000-0010-0000-4500-000011000000}" name="rec" dataDxfId="4056"/>
    <tableColumn id="18" xr3:uid="{00000000-0010-0000-4500-000012000000}" name="rec_yd" dataDxfId="4055"/>
    <tableColumn id="19" xr3:uid="{00000000-0010-0000-4500-000013000000}" name="rec_td" dataDxfId="4054"/>
    <tableColumn id="20" xr3:uid="{00000000-0010-0000-4500-000014000000}" name="fmb" dataDxfId="4053"/>
    <tableColumn id="21" xr3:uid="{00000000-0010-0000-4500-000015000000}" name="tp_c" dataDxfId="4052"/>
    <tableColumn id="22" xr3:uid="{00000000-0010-0000-4500-000016000000}" name="f_ppr" dataDxfId="4051">
      <calculatedColumnFormula>($J76*0.04)+($K76*4)+($L76*-2)+($N76*0.1)+($O76*6)+($Q76)+($R76*0.1)+($S76*6)+($T76*-2)</calculatedColumnFormula>
    </tableColumn>
    <tableColumn id="23" xr3:uid="{00000000-0010-0000-4500-000017000000}" name="tgt_share" dataDxfId="4050">
      <calculatedColumnFormula>$P76/$H$33</calculatedColumnFormula>
    </tableColumn>
    <tableColumn id="24" xr3:uid="{00000000-0010-0000-4500-000018000000}" name="ypc" dataDxfId="4049">
      <calculatedColumnFormula>$N76/$M76</calculatedColumnFormula>
    </tableColumn>
    <tableColumn id="25" xr3:uid="{00000000-0010-0000-4500-000019000000}" name="ypr" dataDxfId="4048">
      <calculatedColumnFormula>$R76/$Q76</calculatedColumnFormula>
    </tableColumn>
    <tableColumn id="26" xr3:uid="{00000000-0010-0000-4500-00001A000000}" name="cmp_pct" dataDxfId="4047">
      <calculatedColumnFormula>$I76/$H76</calculatedColumnFormula>
    </tableColumn>
    <tableColumn id="27" xr3:uid="{00000000-0010-0000-4500-00001B000000}" name="td_rate" dataDxfId="4046">
      <calculatedColumnFormula>$K76/$H76</calculatedColumnFormula>
    </tableColumn>
    <tableColumn id="28" xr3:uid="{00000000-0010-0000-4500-00001C000000}" name="f_custom" dataDxfId="404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6000000}" name="DET_Table1" displayName="DET_Table1" ref="A1:Y20" totalsRowShown="0" headerRowDxfId="4043" dataDxfId="4017">
  <autoFilter ref="A1:Y20" xr:uid="{00000000-0009-0000-0100-000049000000}"/>
  <tableColumns count="25">
    <tableColumn id="1" xr3:uid="{00000000-0010-0000-4600-000001000000}" name="player_name" dataDxfId="4042"/>
    <tableColumn id="2" xr3:uid="{00000000-0010-0000-4600-000002000000}" name="recent_team" dataDxfId="4041"/>
    <tableColumn id="3" xr3:uid="{00000000-0010-0000-4600-000003000000}" name="pos" dataDxfId="4040"/>
    <tableColumn id="4" xr3:uid="{00000000-0010-0000-4600-000004000000}" name="g" dataDxfId="4039"/>
    <tableColumn id="5" xr3:uid="{00000000-0010-0000-4600-000005000000}" name="p_att" dataDxfId="4038"/>
    <tableColumn id="6" xr3:uid="{00000000-0010-0000-4600-000006000000}" name="cmp" dataDxfId="4037"/>
    <tableColumn id="7" xr3:uid="{00000000-0010-0000-4600-000007000000}" name="p_yd" dataDxfId="4036"/>
    <tableColumn id="8" xr3:uid="{00000000-0010-0000-4600-000008000000}" name="p_td" dataDxfId="4035"/>
    <tableColumn id="9" xr3:uid="{00000000-0010-0000-4600-000009000000}" name="int" dataDxfId="4034"/>
    <tableColumn id="10" xr3:uid="{00000000-0010-0000-4600-00000A000000}" name="car" dataDxfId="4033"/>
    <tableColumn id="11" xr3:uid="{00000000-0010-0000-4600-00000B000000}" name="r_yd" dataDxfId="4032"/>
    <tableColumn id="12" xr3:uid="{00000000-0010-0000-4600-00000C000000}" name="r_td" dataDxfId="4031"/>
    <tableColumn id="13" xr3:uid="{00000000-0010-0000-4600-00000D000000}" name="tgt" dataDxfId="4030"/>
    <tableColumn id="14" xr3:uid="{00000000-0010-0000-4600-00000E000000}" name="rec" dataDxfId="4029"/>
    <tableColumn id="15" xr3:uid="{00000000-0010-0000-4600-00000F000000}" name="rec_yd" dataDxfId="4028"/>
    <tableColumn id="16" xr3:uid="{00000000-0010-0000-4600-000010000000}" name="rec_td" dataDxfId="4027"/>
    <tableColumn id="17" xr3:uid="{00000000-0010-0000-4600-000011000000}" name="fmb" dataDxfId="4026"/>
    <tableColumn id="18" xr3:uid="{00000000-0010-0000-4600-000012000000}" name="tp_c" dataDxfId="4025"/>
    <tableColumn id="19" xr3:uid="{00000000-0010-0000-4600-000013000000}" name="f_ppr" dataDxfId="4024"/>
    <tableColumn id="20" xr3:uid="{00000000-0010-0000-4600-000014000000}" name="tgt_share" dataDxfId="4023"/>
    <tableColumn id="21" xr3:uid="{00000000-0010-0000-4600-000015000000}" name="ypc" dataDxfId="4022"/>
    <tableColumn id="22" xr3:uid="{00000000-0010-0000-4600-000016000000}" name="ypr" dataDxfId="4021"/>
    <tableColumn id="23" xr3:uid="{00000000-0010-0000-4600-000017000000}" name="cmp_pct" dataDxfId="4020"/>
    <tableColumn id="24" xr3:uid="{00000000-0010-0000-4600-000018000000}" name="td_rate" dataDxfId="4019"/>
    <tableColumn id="25" xr3:uid="{C4AC2901-E5F6-4E12-869E-5504B9B6488D}" name="f_custom" dataDxfId="401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7000000}" name="DET_Table2" displayName="DET_Table2" ref="A30:M31" totalsRowShown="0" headerRowDxfId="4016" dataDxfId="4002">
  <autoFilter ref="A30:M31" xr:uid="{00000000-0009-0000-0100-00004A000000}"/>
  <tableColumns count="13">
    <tableColumn id="1" xr3:uid="{00000000-0010-0000-4700-000001000000}" name="team" dataDxfId="4015"/>
    <tableColumn id="2" xr3:uid="{00000000-0010-0000-4700-000002000000}" name="off_yd" dataDxfId="4014"/>
    <tableColumn id="3" xr3:uid="{00000000-0010-0000-4700-000003000000}" name="p_yd" dataDxfId="4013"/>
    <tableColumn id="4" xr3:uid="{00000000-0010-0000-4700-000004000000}" name="car" dataDxfId="4012"/>
    <tableColumn id="5" xr3:uid="{00000000-0010-0000-4700-000005000000}" name="r_yd" dataDxfId="4011"/>
    <tableColumn id="6" xr3:uid="{00000000-0010-0000-4700-000006000000}" name="r_td" dataDxfId="4010"/>
    <tableColumn id="7" xr3:uid="{00000000-0010-0000-4700-000007000000}" name="p_ff" dataDxfId="4009"/>
    <tableColumn id="8" xr3:uid="{00000000-0010-0000-4700-000008000000}" name="p_att" dataDxfId="4008"/>
    <tableColumn id="9" xr3:uid="{00000000-0010-0000-4700-000009000000}" name="cmp_pct" dataDxfId="4007"/>
    <tableColumn id="10" xr3:uid="{00000000-0010-0000-4700-00000A000000}" name="p_td" dataDxfId="4006"/>
    <tableColumn id="11" xr3:uid="{00000000-0010-0000-4700-00000B000000}" name="int" dataDxfId="4005"/>
    <tableColumn id="12" xr3:uid="{00000000-0010-0000-4700-00000C000000}" name="fmb" dataDxfId="4004"/>
    <tableColumn id="13" xr3:uid="{F3E37764-ABB7-45B3-8D88-55ABCF1CF010}" name="f_custom" dataDxfId="400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8000000}" name="DET_Table3" displayName="DET_Table3" ref="A32:M33" totalsRowShown="0" headerRowDxfId="4001" dataDxfId="3987">
  <autoFilter ref="A32:M33" xr:uid="{00000000-0009-0000-0100-00004B000000}"/>
  <tableColumns count="13">
    <tableColumn id="1" xr3:uid="{00000000-0010-0000-4800-000001000000}" name="team" dataDxfId="4000">
      <calculatedColumnFormula>A31</calculatedColumnFormula>
    </tableColumn>
    <tableColumn id="2" xr3:uid="{00000000-0010-0000-4800-000002000000}" name="off_yd" dataDxfId="3999">
      <calculatedColumnFormula>C33 + E33</calculatedColumnFormula>
    </tableColumn>
    <tableColumn id="3" xr3:uid="{00000000-0010-0000-4800-000003000000}" name="p_yd" dataDxfId="3998">
      <calculatedColumnFormula>SUM(INDIRECT(A33 &amp; "_Table4[[#All],[p_yd]]"))</calculatedColumnFormula>
    </tableColumn>
    <tableColumn id="4" xr3:uid="{00000000-0010-0000-4800-000004000000}" name="car" dataDxfId="399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800-000005000000}" name="r_yd" dataDxfId="399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800-000006000000}" name="r_td" dataDxfId="399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800-000007000000}" name="p_ff" dataDxfId="399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800-000008000000}" name="p_att" dataDxfId="399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800-000009000000}" name="cmp_pct" dataDxfId="3992">
      <calculatedColumnFormula>SUM(INDIRECT(A33 &amp; "_Table4[[#All],[cmp]]"))/H33</calculatedColumnFormula>
    </tableColumn>
    <tableColumn id="10" xr3:uid="{00000000-0010-0000-4800-00000A000000}" name="p_td" dataDxfId="399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800-00000B000000}" name="int" dataDxfId="399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800-00000C000000}" name="fmb" dataDxfId="398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7EC3C7B-163D-4423-8C20-C32FDCB50B00}" name="f_custom" dataDxfId="398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9000000}" name="DET_Table4" displayName="DET_Table4" ref="A35:AB40" totalsRowShown="0" headerRowDxfId="3986" dataDxfId="3957">
  <autoFilter ref="A35:AB40" xr:uid="{00000000-0009-0000-0100-00004C000000}"/>
  <tableColumns count="28">
    <tableColumn id="1" xr3:uid="{00000000-0010-0000-4900-000001000000}" name="Name" dataDxfId="3985"/>
    <tableColumn id="2" xr3:uid="{00000000-0010-0000-4900-000002000000}" name="POS" dataDxfId="3984"/>
    <tableColumn id="3" xr3:uid="{00000000-0010-0000-4900-000003000000}" name="Age" dataDxfId="3983"/>
    <tableColumn id="4" xr3:uid="{00000000-0010-0000-4900-000004000000}" name="Exp" dataDxfId="3982"/>
    <tableColumn id="5" xr3:uid="{00000000-0010-0000-4900-000005000000}" name="College" dataDxfId="3981"/>
    <tableColumn id="6" xr3:uid="{00000000-0010-0000-4900-000006000000}" name="team" dataDxfId="3980"/>
    <tableColumn id="7" xr3:uid="{00000000-0010-0000-4900-000007000000}" name="g" dataDxfId="3979"/>
    <tableColumn id="8" xr3:uid="{00000000-0010-0000-4900-000008000000}" name="p_att" dataDxfId="3978"/>
    <tableColumn id="9" xr3:uid="{00000000-0010-0000-4900-000009000000}" name="cmp" dataDxfId="3977"/>
    <tableColumn id="10" xr3:uid="{00000000-0010-0000-4900-00000A000000}" name="p_yd" dataDxfId="3976"/>
    <tableColumn id="11" xr3:uid="{00000000-0010-0000-4900-00000B000000}" name="p_td" dataDxfId="3975"/>
    <tableColumn id="12" xr3:uid="{00000000-0010-0000-4900-00000C000000}" name="int" dataDxfId="3974"/>
    <tableColumn id="13" xr3:uid="{00000000-0010-0000-4900-00000D000000}" name="car" dataDxfId="3973"/>
    <tableColumn id="14" xr3:uid="{00000000-0010-0000-4900-00000E000000}" name="r_yd" dataDxfId="3972"/>
    <tableColumn id="15" xr3:uid="{00000000-0010-0000-4900-00000F000000}" name="r_td" dataDxfId="3971"/>
    <tableColumn id="16" xr3:uid="{00000000-0010-0000-4900-000010000000}" name="tgt" dataDxfId="3970"/>
    <tableColumn id="17" xr3:uid="{00000000-0010-0000-4900-000011000000}" name="rec" dataDxfId="3969"/>
    <tableColumn id="18" xr3:uid="{00000000-0010-0000-4900-000012000000}" name="rec_yd" dataDxfId="3968"/>
    <tableColumn id="19" xr3:uid="{00000000-0010-0000-4900-000013000000}" name="rec_td" dataDxfId="3967"/>
    <tableColumn id="20" xr3:uid="{00000000-0010-0000-4900-000014000000}" name="fmb" dataDxfId="3966"/>
    <tableColumn id="21" xr3:uid="{00000000-0010-0000-4900-000015000000}" name="tp_c" dataDxfId="3965"/>
    <tableColumn id="22" xr3:uid="{00000000-0010-0000-4900-000016000000}" name="f_ppr" dataDxfId="3964">
      <calculatedColumnFormula>($J36*0.04)+($K36*4)+($L36*-2)+($N36*0.1)+($O36*6)+($Q36)+($R36*0.1)+($S36*6)+($T36*-2)</calculatedColumnFormula>
    </tableColumn>
    <tableColumn id="23" xr3:uid="{00000000-0010-0000-4900-000017000000}" name="tgt_share" dataDxfId="3963">
      <calculatedColumnFormula>$P36/$H$33</calculatedColumnFormula>
    </tableColumn>
    <tableColumn id="24" xr3:uid="{00000000-0010-0000-4900-000018000000}" name="ypc" dataDxfId="3962">
      <calculatedColumnFormula>$N36/$M36</calculatedColumnFormula>
    </tableColumn>
    <tableColumn id="25" xr3:uid="{00000000-0010-0000-4900-000019000000}" name="ypr" dataDxfId="3961">
      <calculatedColumnFormula>$R36/$Q36</calculatedColumnFormula>
    </tableColumn>
    <tableColumn id="26" xr3:uid="{00000000-0010-0000-4900-00001A000000}" name="cmp_pct" dataDxfId="3960">
      <calculatedColumnFormula>$I36/$H36</calculatedColumnFormula>
    </tableColumn>
    <tableColumn id="27" xr3:uid="{00000000-0010-0000-4900-00001B000000}" name="td_rate" dataDxfId="3959">
      <calculatedColumnFormula>$K36/$H36</calculatedColumnFormula>
    </tableColumn>
    <tableColumn id="28" xr3:uid="{00000000-0010-0000-4900-00001C000000}" name="f_custom" dataDxfId="395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A000000}" name="DET_Table5" displayName="DET_Table5" ref="A45:AB53" totalsRowShown="0" headerRowDxfId="3956" dataDxfId="3927">
  <autoFilter ref="A45:AB53" xr:uid="{00000000-0009-0000-0100-00004D000000}"/>
  <tableColumns count="28">
    <tableColumn id="1" xr3:uid="{00000000-0010-0000-4A00-000001000000}" name="Name" dataDxfId="3955"/>
    <tableColumn id="2" xr3:uid="{00000000-0010-0000-4A00-000002000000}" name="POS" dataDxfId="3954"/>
    <tableColumn id="3" xr3:uid="{00000000-0010-0000-4A00-000003000000}" name="Age" dataDxfId="3953"/>
    <tableColumn id="4" xr3:uid="{00000000-0010-0000-4A00-000004000000}" name="Exp" dataDxfId="3952"/>
    <tableColumn id="5" xr3:uid="{00000000-0010-0000-4A00-000005000000}" name="College" dataDxfId="3951"/>
    <tableColumn id="6" xr3:uid="{00000000-0010-0000-4A00-000006000000}" name="team" dataDxfId="3950"/>
    <tableColumn id="7" xr3:uid="{00000000-0010-0000-4A00-000007000000}" name="g" dataDxfId="3949"/>
    <tableColumn id="8" xr3:uid="{00000000-0010-0000-4A00-000008000000}" name="p_att" dataDxfId="3948"/>
    <tableColumn id="9" xr3:uid="{00000000-0010-0000-4A00-000009000000}" name="cmp" dataDxfId="3947"/>
    <tableColumn id="10" xr3:uid="{00000000-0010-0000-4A00-00000A000000}" name="p_yd" dataDxfId="3946"/>
    <tableColumn id="11" xr3:uid="{00000000-0010-0000-4A00-00000B000000}" name="p_td" dataDxfId="3945"/>
    <tableColumn id="12" xr3:uid="{00000000-0010-0000-4A00-00000C000000}" name="int" dataDxfId="3944"/>
    <tableColumn id="13" xr3:uid="{00000000-0010-0000-4A00-00000D000000}" name="car" dataDxfId="3943"/>
    <tableColumn id="14" xr3:uid="{00000000-0010-0000-4A00-00000E000000}" name="r_yd" dataDxfId="3942"/>
    <tableColumn id="15" xr3:uid="{00000000-0010-0000-4A00-00000F000000}" name="r_td" dataDxfId="3941"/>
    <tableColumn id="16" xr3:uid="{00000000-0010-0000-4A00-000010000000}" name="tgt" dataDxfId="3940"/>
    <tableColumn id="17" xr3:uid="{00000000-0010-0000-4A00-000011000000}" name="rec" dataDxfId="3939"/>
    <tableColumn id="18" xr3:uid="{00000000-0010-0000-4A00-000012000000}" name="rec_yd" dataDxfId="3938"/>
    <tableColumn id="19" xr3:uid="{00000000-0010-0000-4A00-000013000000}" name="rec_td" dataDxfId="3937"/>
    <tableColumn id="20" xr3:uid="{00000000-0010-0000-4A00-000014000000}" name="fmb" dataDxfId="3936"/>
    <tableColumn id="21" xr3:uid="{00000000-0010-0000-4A00-000015000000}" name="tp_c" dataDxfId="3935"/>
    <tableColumn id="22" xr3:uid="{00000000-0010-0000-4A00-000016000000}" name="f_ppr" dataDxfId="3934">
      <calculatedColumnFormula>($J46*0.04)+($K46*4)+($L46*-2)+($N46*0.1)+($O46*6)+($Q46)+($R46*0.1)+($S46*6)+($T46*-2)</calculatedColumnFormula>
    </tableColumn>
    <tableColumn id="23" xr3:uid="{00000000-0010-0000-4A00-000017000000}" name="tgt_share" dataDxfId="3933">
      <calculatedColumnFormula>$P46/$H$33</calculatedColumnFormula>
    </tableColumn>
    <tableColumn id="24" xr3:uid="{00000000-0010-0000-4A00-000018000000}" name="ypc" dataDxfId="3932">
      <calculatedColumnFormula>$N46/$M46</calculatedColumnFormula>
    </tableColumn>
    <tableColumn id="25" xr3:uid="{00000000-0010-0000-4A00-000019000000}" name="ypr" dataDxfId="3931">
      <calculatedColumnFormula>$R46/$Q46</calculatedColumnFormula>
    </tableColumn>
    <tableColumn id="26" xr3:uid="{00000000-0010-0000-4A00-00001A000000}" name="cmp_pct" dataDxfId="3930">
      <calculatedColumnFormula>$I46/$H46</calculatedColumnFormula>
    </tableColumn>
    <tableColumn id="27" xr3:uid="{00000000-0010-0000-4A00-00001B000000}" name="td_rate" dataDxfId="3929">
      <calculatedColumnFormula>$K46/$H46</calculatedColumnFormula>
    </tableColumn>
    <tableColumn id="28" xr3:uid="{00000000-0010-0000-4A00-00001C000000}" name="f_custom" dataDxfId="392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B000000}" name="DET_Table6" displayName="DET_Table6" ref="A60:AB73" totalsRowShown="0" headerRowDxfId="3926" dataDxfId="3897">
  <autoFilter ref="A60:AB73" xr:uid="{00000000-0009-0000-0100-00004E000000}"/>
  <tableColumns count="28">
    <tableColumn id="1" xr3:uid="{00000000-0010-0000-4B00-000001000000}" name="Name" dataDxfId="3925"/>
    <tableColumn id="2" xr3:uid="{00000000-0010-0000-4B00-000002000000}" name="POS" dataDxfId="3924"/>
    <tableColumn id="3" xr3:uid="{00000000-0010-0000-4B00-000003000000}" name="Age" dataDxfId="3923"/>
    <tableColumn id="4" xr3:uid="{00000000-0010-0000-4B00-000004000000}" name="Exp" dataDxfId="3922"/>
    <tableColumn id="5" xr3:uid="{00000000-0010-0000-4B00-000005000000}" name="College" dataDxfId="3921"/>
    <tableColumn id="6" xr3:uid="{00000000-0010-0000-4B00-000006000000}" name="team" dataDxfId="3920"/>
    <tableColumn id="7" xr3:uid="{00000000-0010-0000-4B00-000007000000}" name="g" dataDxfId="3919"/>
    <tableColumn id="8" xr3:uid="{00000000-0010-0000-4B00-000008000000}" name="p_att" dataDxfId="3918"/>
    <tableColumn id="9" xr3:uid="{00000000-0010-0000-4B00-000009000000}" name="cmp" dataDxfId="3917"/>
    <tableColumn id="10" xr3:uid="{00000000-0010-0000-4B00-00000A000000}" name="p_yd" dataDxfId="3916"/>
    <tableColumn id="11" xr3:uid="{00000000-0010-0000-4B00-00000B000000}" name="p_td" dataDxfId="3915"/>
    <tableColumn id="12" xr3:uid="{00000000-0010-0000-4B00-00000C000000}" name="int" dataDxfId="3914"/>
    <tableColumn id="13" xr3:uid="{00000000-0010-0000-4B00-00000D000000}" name="car" dataDxfId="3913"/>
    <tableColumn id="14" xr3:uid="{00000000-0010-0000-4B00-00000E000000}" name="r_yd" dataDxfId="3912"/>
    <tableColumn id="15" xr3:uid="{00000000-0010-0000-4B00-00000F000000}" name="r_td" dataDxfId="3911"/>
    <tableColumn id="16" xr3:uid="{00000000-0010-0000-4B00-000010000000}" name="tgt" dataDxfId="3910"/>
    <tableColumn id="17" xr3:uid="{00000000-0010-0000-4B00-000011000000}" name="rec" dataDxfId="3909"/>
    <tableColumn id="18" xr3:uid="{00000000-0010-0000-4B00-000012000000}" name="rec_yd" dataDxfId="3908"/>
    <tableColumn id="19" xr3:uid="{00000000-0010-0000-4B00-000013000000}" name="rec_td" dataDxfId="3907"/>
    <tableColumn id="20" xr3:uid="{00000000-0010-0000-4B00-000014000000}" name="fmb" dataDxfId="3906"/>
    <tableColumn id="21" xr3:uid="{00000000-0010-0000-4B00-000015000000}" name="tp_c" dataDxfId="3905"/>
    <tableColumn id="22" xr3:uid="{00000000-0010-0000-4B00-000016000000}" name="f_ppr" dataDxfId="3904">
      <calculatedColumnFormula>($J61*0.04)+($K61*4)+($L61*-2)+($N61*0.1)+($O61*6)+($Q61)+($R61*0.1)+($S61*6)+($T61*-2)</calculatedColumnFormula>
    </tableColumn>
    <tableColumn id="23" xr3:uid="{00000000-0010-0000-4B00-000017000000}" name="tgt_share" dataDxfId="3903">
      <calculatedColumnFormula>$P61/$H$33</calculatedColumnFormula>
    </tableColumn>
    <tableColumn id="24" xr3:uid="{00000000-0010-0000-4B00-000018000000}" name="ypc" dataDxfId="3902">
      <calculatedColumnFormula>$N61/$M61</calculatedColumnFormula>
    </tableColumn>
    <tableColumn id="25" xr3:uid="{00000000-0010-0000-4B00-000019000000}" name="ypr" dataDxfId="3901">
      <calculatedColumnFormula>$R61/$Q61</calculatedColumnFormula>
    </tableColumn>
    <tableColumn id="26" xr3:uid="{00000000-0010-0000-4B00-00001A000000}" name="cmp_pct" dataDxfId="3900">
      <calculatedColumnFormula>$I61/$H61</calculatedColumnFormula>
    </tableColumn>
    <tableColumn id="27" xr3:uid="{00000000-0010-0000-4B00-00001B000000}" name="td_rate" dataDxfId="3899">
      <calculatedColumnFormula>$K61/$H61</calculatedColumnFormula>
    </tableColumn>
    <tableColumn id="28" xr3:uid="{00000000-0010-0000-4B00-00001C000000}" name="f_custom" dataDxfId="389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C000000}" name="DET_Table7" displayName="DET_Table7" ref="A75:AB81" totalsRowShown="0" headerRowDxfId="3896" dataDxfId="3867">
  <autoFilter ref="A75:AB81" xr:uid="{00000000-0009-0000-0100-00004F000000}"/>
  <tableColumns count="28">
    <tableColumn id="1" xr3:uid="{00000000-0010-0000-4C00-000001000000}" name="Name" dataDxfId="3895"/>
    <tableColumn id="2" xr3:uid="{00000000-0010-0000-4C00-000002000000}" name="POS" dataDxfId="3894"/>
    <tableColumn id="3" xr3:uid="{00000000-0010-0000-4C00-000003000000}" name="Age" dataDxfId="3893"/>
    <tableColumn id="4" xr3:uid="{00000000-0010-0000-4C00-000004000000}" name="Exp" dataDxfId="3892"/>
    <tableColumn id="5" xr3:uid="{00000000-0010-0000-4C00-000005000000}" name="College" dataDxfId="3891"/>
    <tableColumn id="6" xr3:uid="{00000000-0010-0000-4C00-000006000000}" name="team" dataDxfId="3890"/>
    <tableColumn id="7" xr3:uid="{00000000-0010-0000-4C00-000007000000}" name="g" dataDxfId="3889"/>
    <tableColumn id="8" xr3:uid="{00000000-0010-0000-4C00-000008000000}" name="p_att" dataDxfId="3888"/>
    <tableColumn id="9" xr3:uid="{00000000-0010-0000-4C00-000009000000}" name="cmp" dataDxfId="3887"/>
    <tableColumn id="10" xr3:uid="{00000000-0010-0000-4C00-00000A000000}" name="p_yd" dataDxfId="3886"/>
    <tableColumn id="11" xr3:uid="{00000000-0010-0000-4C00-00000B000000}" name="p_td" dataDxfId="3885"/>
    <tableColumn id="12" xr3:uid="{00000000-0010-0000-4C00-00000C000000}" name="int" dataDxfId="3884"/>
    <tableColumn id="13" xr3:uid="{00000000-0010-0000-4C00-00000D000000}" name="car" dataDxfId="3883"/>
    <tableColumn id="14" xr3:uid="{00000000-0010-0000-4C00-00000E000000}" name="r_yd" dataDxfId="3882"/>
    <tableColumn id="15" xr3:uid="{00000000-0010-0000-4C00-00000F000000}" name="r_td" dataDxfId="3881"/>
    <tableColumn id="16" xr3:uid="{00000000-0010-0000-4C00-000010000000}" name="tgt" dataDxfId="3880"/>
    <tableColumn id="17" xr3:uid="{00000000-0010-0000-4C00-000011000000}" name="rec" dataDxfId="3879"/>
    <tableColumn id="18" xr3:uid="{00000000-0010-0000-4C00-000012000000}" name="rec_yd" dataDxfId="3878"/>
    <tableColumn id="19" xr3:uid="{00000000-0010-0000-4C00-000013000000}" name="rec_td" dataDxfId="3877"/>
    <tableColumn id="20" xr3:uid="{00000000-0010-0000-4C00-000014000000}" name="fmb" dataDxfId="3876"/>
    <tableColumn id="21" xr3:uid="{00000000-0010-0000-4C00-000015000000}" name="tp_c" dataDxfId="3875"/>
    <tableColumn id="22" xr3:uid="{00000000-0010-0000-4C00-000016000000}" name="f_ppr" dataDxfId="3874">
      <calculatedColumnFormula>($J76*0.04)+($K76*4)+($L76*-2)+($N76*0.1)+($O76*6)+($Q76)+($R76*0.1)+($S76*6)+($T76*-2)</calculatedColumnFormula>
    </tableColumn>
    <tableColumn id="23" xr3:uid="{00000000-0010-0000-4C00-000017000000}" name="tgt_share" dataDxfId="3873">
      <calculatedColumnFormula>$P76/$H$33</calculatedColumnFormula>
    </tableColumn>
    <tableColumn id="24" xr3:uid="{00000000-0010-0000-4C00-000018000000}" name="ypc" dataDxfId="3872">
      <calculatedColumnFormula>$N76/$M76</calculatedColumnFormula>
    </tableColumn>
    <tableColumn id="25" xr3:uid="{00000000-0010-0000-4C00-000019000000}" name="ypr" dataDxfId="3871">
      <calculatedColumnFormula>$R76/$Q76</calculatedColumnFormula>
    </tableColumn>
    <tableColumn id="26" xr3:uid="{00000000-0010-0000-4C00-00001A000000}" name="cmp_pct" dataDxfId="3870">
      <calculatedColumnFormula>$I76/$H76</calculatedColumnFormula>
    </tableColumn>
    <tableColumn id="27" xr3:uid="{00000000-0010-0000-4C00-00001B000000}" name="td_rate" dataDxfId="3869">
      <calculatedColumnFormula>$K76/$H76</calculatedColumnFormula>
    </tableColumn>
    <tableColumn id="28" xr3:uid="{00000000-0010-0000-4C00-00001C000000}" name="f_custom" dataDxfId="386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D000000}" name="GB_Table1" displayName="GB_Table1" ref="A1:Y19" totalsRowShown="0" headerRowDxfId="3866" dataDxfId="3840">
  <autoFilter ref="A1:Y19" xr:uid="{00000000-0009-0000-0100-000050000000}"/>
  <tableColumns count="25">
    <tableColumn id="1" xr3:uid="{00000000-0010-0000-4D00-000001000000}" name="player_name" dataDxfId="3865"/>
    <tableColumn id="2" xr3:uid="{00000000-0010-0000-4D00-000002000000}" name="recent_team" dataDxfId="3864"/>
    <tableColumn id="3" xr3:uid="{00000000-0010-0000-4D00-000003000000}" name="pos" dataDxfId="3863"/>
    <tableColumn id="4" xr3:uid="{00000000-0010-0000-4D00-000004000000}" name="g" dataDxfId="3862"/>
    <tableColumn id="5" xr3:uid="{00000000-0010-0000-4D00-000005000000}" name="p_att" dataDxfId="3861"/>
    <tableColumn id="6" xr3:uid="{00000000-0010-0000-4D00-000006000000}" name="cmp" dataDxfId="3860"/>
    <tableColumn id="7" xr3:uid="{00000000-0010-0000-4D00-000007000000}" name="p_yd" dataDxfId="3859"/>
    <tableColumn id="8" xr3:uid="{00000000-0010-0000-4D00-000008000000}" name="p_td" dataDxfId="3858"/>
    <tableColumn id="9" xr3:uid="{00000000-0010-0000-4D00-000009000000}" name="int" dataDxfId="3857"/>
    <tableColumn id="10" xr3:uid="{00000000-0010-0000-4D00-00000A000000}" name="car" dataDxfId="3856"/>
    <tableColumn id="11" xr3:uid="{00000000-0010-0000-4D00-00000B000000}" name="r_yd" dataDxfId="3855"/>
    <tableColumn id="12" xr3:uid="{00000000-0010-0000-4D00-00000C000000}" name="r_td" dataDxfId="3854"/>
    <tableColumn id="13" xr3:uid="{00000000-0010-0000-4D00-00000D000000}" name="tgt" dataDxfId="3853"/>
    <tableColumn id="14" xr3:uid="{00000000-0010-0000-4D00-00000E000000}" name="rec" dataDxfId="3852"/>
    <tableColumn id="15" xr3:uid="{00000000-0010-0000-4D00-00000F000000}" name="rec_yd" dataDxfId="3851"/>
    <tableColumn id="16" xr3:uid="{00000000-0010-0000-4D00-000010000000}" name="rec_td" dataDxfId="3850"/>
    <tableColumn id="17" xr3:uid="{00000000-0010-0000-4D00-000011000000}" name="fmb" dataDxfId="3849"/>
    <tableColumn id="18" xr3:uid="{00000000-0010-0000-4D00-000012000000}" name="tp_c" dataDxfId="3848"/>
    <tableColumn id="19" xr3:uid="{00000000-0010-0000-4D00-000013000000}" name="f_ppr" dataDxfId="3847"/>
    <tableColumn id="20" xr3:uid="{00000000-0010-0000-4D00-000014000000}" name="tgt_share" dataDxfId="3846"/>
    <tableColumn id="21" xr3:uid="{00000000-0010-0000-4D00-000015000000}" name="ypc" dataDxfId="3845"/>
    <tableColumn id="22" xr3:uid="{00000000-0010-0000-4D00-000016000000}" name="ypr" dataDxfId="3844"/>
    <tableColumn id="23" xr3:uid="{00000000-0010-0000-4D00-000017000000}" name="cmp_pct" dataDxfId="3843"/>
    <tableColumn id="24" xr3:uid="{00000000-0010-0000-4D00-000018000000}" name="td_rate" dataDxfId="3842"/>
    <tableColumn id="25" xr3:uid="{460D6694-66E7-4AF4-A3C8-249ED0E63D2E}" name="f_custom" dataDxfId="384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4E000000}" name="GB_Table2" displayName="GB_Table2" ref="A30:M31" totalsRowShown="0" headerRowDxfId="3839" dataDxfId="3825">
  <autoFilter ref="A30:M31" xr:uid="{00000000-0009-0000-0100-000051000000}"/>
  <tableColumns count="13">
    <tableColumn id="1" xr3:uid="{00000000-0010-0000-4E00-000001000000}" name="team" dataDxfId="3838"/>
    <tableColumn id="2" xr3:uid="{00000000-0010-0000-4E00-000002000000}" name="off_yd" dataDxfId="3837"/>
    <tableColumn id="3" xr3:uid="{00000000-0010-0000-4E00-000003000000}" name="p_yd" dataDxfId="3836"/>
    <tableColumn id="4" xr3:uid="{00000000-0010-0000-4E00-000004000000}" name="car" dataDxfId="3835"/>
    <tableColumn id="5" xr3:uid="{00000000-0010-0000-4E00-000005000000}" name="r_yd" dataDxfId="3834"/>
    <tableColumn id="6" xr3:uid="{00000000-0010-0000-4E00-000006000000}" name="r_td" dataDxfId="3833"/>
    <tableColumn id="7" xr3:uid="{00000000-0010-0000-4E00-000007000000}" name="p_ff" dataDxfId="3832"/>
    <tableColumn id="8" xr3:uid="{00000000-0010-0000-4E00-000008000000}" name="p_att" dataDxfId="3831"/>
    <tableColumn id="9" xr3:uid="{00000000-0010-0000-4E00-000009000000}" name="cmp_pct" dataDxfId="3830"/>
    <tableColumn id="10" xr3:uid="{00000000-0010-0000-4E00-00000A000000}" name="p_td" dataDxfId="3829"/>
    <tableColumn id="11" xr3:uid="{00000000-0010-0000-4E00-00000B000000}" name="int" dataDxfId="3828"/>
    <tableColumn id="12" xr3:uid="{00000000-0010-0000-4E00-00000C000000}" name="fmb" dataDxfId="3827"/>
    <tableColumn id="13" xr3:uid="{5F29E9E9-50C5-4210-A484-60BDCA281480}" name="f_custom" dataDxfId="382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4F000000}" name="GB_Table3" displayName="GB_Table3" ref="A32:M33" totalsRowShown="0" headerRowDxfId="3824" dataDxfId="3810">
  <autoFilter ref="A32:M33" xr:uid="{00000000-0009-0000-0100-000052000000}"/>
  <tableColumns count="13">
    <tableColumn id="1" xr3:uid="{00000000-0010-0000-4F00-000001000000}" name="team" dataDxfId="3823">
      <calculatedColumnFormula>A31</calculatedColumnFormula>
    </tableColumn>
    <tableColumn id="2" xr3:uid="{00000000-0010-0000-4F00-000002000000}" name="off_yd" dataDxfId="3822">
      <calculatedColumnFormula>C33 + E33</calculatedColumnFormula>
    </tableColumn>
    <tableColumn id="3" xr3:uid="{00000000-0010-0000-4F00-000003000000}" name="p_yd" dataDxfId="3821">
      <calculatedColumnFormula>SUM(INDIRECT(A33 &amp; "_Table4[[#All],[p_yd]]"))</calculatedColumnFormula>
    </tableColumn>
    <tableColumn id="4" xr3:uid="{00000000-0010-0000-4F00-000004000000}" name="car" dataDxfId="382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F00-000005000000}" name="r_yd" dataDxfId="381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F00-000006000000}" name="r_td" dataDxfId="381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F00-000007000000}" name="p_ff" dataDxfId="381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F00-000008000000}" name="p_att" dataDxfId="381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F00-000009000000}" name="cmp_pct" dataDxfId="3815">
      <calculatedColumnFormula>SUM(INDIRECT(A33 &amp; "_Table4[[#All],[cmp]]"))/H33</calculatedColumnFormula>
    </tableColumn>
    <tableColumn id="10" xr3:uid="{00000000-0010-0000-4F00-00000A000000}" name="p_td" dataDxfId="381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F00-00000B000000}" name="int" dataDxfId="381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F00-00000C000000}" name="fmb" dataDxfId="381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13D98350-DE0B-49D9-8D85-2D4D085BC635}" name="f_custom" dataDxfId="381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0000000}" name="GB_Table4" displayName="GB_Table4" ref="A35:AB38" totalsRowShown="0" headerRowDxfId="3809" dataDxfId="3780">
  <autoFilter ref="A35:AB38" xr:uid="{00000000-0009-0000-0100-000053000000}"/>
  <tableColumns count="28">
    <tableColumn id="1" xr3:uid="{00000000-0010-0000-5000-000001000000}" name="Name" dataDxfId="3808"/>
    <tableColumn id="2" xr3:uid="{00000000-0010-0000-5000-000002000000}" name="POS" dataDxfId="3807"/>
    <tableColumn id="3" xr3:uid="{00000000-0010-0000-5000-000003000000}" name="Age" dataDxfId="3806"/>
    <tableColumn id="4" xr3:uid="{00000000-0010-0000-5000-000004000000}" name="Exp" dataDxfId="3805"/>
    <tableColumn id="5" xr3:uid="{00000000-0010-0000-5000-000005000000}" name="College" dataDxfId="3804"/>
    <tableColumn id="6" xr3:uid="{00000000-0010-0000-5000-000006000000}" name="team" dataDxfId="3803"/>
    <tableColumn id="7" xr3:uid="{00000000-0010-0000-5000-000007000000}" name="g" dataDxfId="3802"/>
    <tableColumn id="8" xr3:uid="{00000000-0010-0000-5000-000008000000}" name="p_att" dataDxfId="3801"/>
    <tableColumn id="9" xr3:uid="{00000000-0010-0000-5000-000009000000}" name="cmp" dataDxfId="3800"/>
    <tableColumn id="10" xr3:uid="{00000000-0010-0000-5000-00000A000000}" name="p_yd" dataDxfId="3799"/>
    <tableColumn id="11" xr3:uid="{00000000-0010-0000-5000-00000B000000}" name="p_td" dataDxfId="3798"/>
    <tableColumn id="12" xr3:uid="{00000000-0010-0000-5000-00000C000000}" name="int" dataDxfId="3797"/>
    <tableColumn id="13" xr3:uid="{00000000-0010-0000-5000-00000D000000}" name="car" dataDxfId="3796"/>
    <tableColumn id="14" xr3:uid="{00000000-0010-0000-5000-00000E000000}" name="r_yd" dataDxfId="3795"/>
    <tableColumn id="15" xr3:uid="{00000000-0010-0000-5000-00000F000000}" name="r_td" dataDxfId="3794"/>
    <tableColumn id="16" xr3:uid="{00000000-0010-0000-5000-000010000000}" name="tgt" dataDxfId="3793"/>
    <tableColumn id="17" xr3:uid="{00000000-0010-0000-5000-000011000000}" name="rec" dataDxfId="3792"/>
    <tableColumn id="18" xr3:uid="{00000000-0010-0000-5000-000012000000}" name="rec_yd" dataDxfId="3791"/>
    <tableColumn id="19" xr3:uid="{00000000-0010-0000-5000-000013000000}" name="rec_td" dataDxfId="3790"/>
    <tableColumn id="20" xr3:uid="{00000000-0010-0000-5000-000014000000}" name="fmb" dataDxfId="3789"/>
    <tableColumn id="21" xr3:uid="{00000000-0010-0000-5000-000015000000}" name="tp_c" dataDxfId="3788"/>
    <tableColumn id="22" xr3:uid="{00000000-0010-0000-5000-000016000000}" name="f_ppr" dataDxfId="3787">
      <calculatedColumnFormula>($J36*0.04)+($K36*4)+($L36*-2)+($N36*0.1)+($O36*6)+($Q36)+($R36*0.1)+($S36*6)+($T36*-2)</calculatedColumnFormula>
    </tableColumn>
    <tableColumn id="23" xr3:uid="{00000000-0010-0000-5000-000017000000}" name="tgt_share" dataDxfId="3786">
      <calculatedColumnFormula>$P36/$H$33</calculatedColumnFormula>
    </tableColumn>
    <tableColumn id="24" xr3:uid="{00000000-0010-0000-5000-000018000000}" name="ypc" dataDxfId="3785">
      <calculatedColumnFormula>$N36/$M36</calculatedColumnFormula>
    </tableColumn>
    <tableColumn id="25" xr3:uid="{00000000-0010-0000-5000-000019000000}" name="ypr" dataDxfId="3784">
      <calculatedColumnFormula>$R36/$Q36</calculatedColumnFormula>
    </tableColumn>
    <tableColumn id="26" xr3:uid="{00000000-0010-0000-5000-00001A000000}" name="cmp_pct" dataDxfId="3783">
      <calculatedColumnFormula>$I36/$H36</calculatedColumnFormula>
    </tableColumn>
    <tableColumn id="27" xr3:uid="{00000000-0010-0000-5000-00001B000000}" name="td_rate" dataDxfId="3782">
      <calculatedColumnFormula>$K36/$H36</calculatedColumnFormula>
    </tableColumn>
    <tableColumn id="28" xr3:uid="{00000000-0010-0000-5000-00001C000000}" name="f_custom" dataDxfId="378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1000000}" name="GB_Table5" displayName="GB_Table5" ref="A45:AB52" totalsRowShown="0" headerRowDxfId="3779" dataDxfId="3750">
  <autoFilter ref="A45:AB52" xr:uid="{00000000-0009-0000-0100-000054000000}"/>
  <tableColumns count="28">
    <tableColumn id="1" xr3:uid="{00000000-0010-0000-5100-000001000000}" name="Name" dataDxfId="3778"/>
    <tableColumn id="2" xr3:uid="{00000000-0010-0000-5100-000002000000}" name="POS" dataDxfId="3777"/>
    <tableColumn id="3" xr3:uid="{00000000-0010-0000-5100-000003000000}" name="Age" dataDxfId="3776"/>
    <tableColumn id="4" xr3:uid="{00000000-0010-0000-5100-000004000000}" name="Exp" dataDxfId="3775"/>
    <tableColumn id="5" xr3:uid="{00000000-0010-0000-5100-000005000000}" name="College" dataDxfId="3774"/>
    <tableColumn id="6" xr3:uid="{00000000-0010-0000-5100-000006000000}" name="team" dataDxfId="3773"/>
    <tableColumn id="7" xr3:uid="{00000000-0010-0000-5100-000007000000}" name="g" dataDxfId="3772"/>
    <tableColumn id="8" xr3:uid="{00000000-0010-0000-5100-000008000000}" name="p_att" dataDxfId="3771"/>
    <tableColumn id="9" xr3:uid="{00000000-0010-0000-5100-000009000000}" name="cmp" dataDxfId="3770"/>
    <tableColumn id="10" xr3:uid="{00000000-0010-0000-5100-00000A000000}" name="p_yd" dataDxfId="3769"/>
    <tableColumn id="11" xr3:uid="{00000000-0010-0000-5100-00000B000000}" name="p_td" dataDxfId="3768"/>
    <tableColumn id="12" xr3:uid="{00000000-0010-0000-5100-00000C000000}" name="int" dataDxfId="3767"/>
    <tableColumn id="13" xr3:uid="{00000000-0010-0000-5100-00000D000000}" name="car" dataDxfId="3766"/>
    <tableColumn id="14" xr3:uid="{00000000-0010-0000-5100-00000E000000}" name="r_yd" dataDxfId="3765"/>
    <tableColumn id="15" xr3:uid="{00000000-0010-0000-5100-00000F000000}" name="r_td" dataDxfId="3764"/>
    <tableColumn id="16" xr3:uid="{00000000-0010-0000-5100-000010000000}" name="tgt" dataDxfId="3763"/>
    <tableColumn id="17" xr3:uid="{00000000-0010-0000-5100-000011000000}" name="rec" dataDxfId="3762"/>
    <tableColumn id="18" xr3:uid="{00000000-0010-0000-5100-000012000000}" name="rec_yd" dataDxfId="3761"/>
    <tableColumn id="19" xr3:uid="{00000000-0010-0000-5100-000013000000}" name="rec_td" dataDxfId="3760"/>
    <tableColumn id="20" xr3:uid="{00000000-0010-0000-5100-000014000000}" name="fmb" dataDxfId="3759"/>
    <tableColumn id="21" xr3:uid="{00000000-0010-0000-5100-000015000000}" name="tp_c" dataDxfId="3758"/>
    <tableColumn id="22" xr3:uid="{00000000-0010-0000-5100-000016000000}" name="f_ppr" dataDxfId="3757">
      <calculatedColumnFormula>($J46*0.04)+($K46*4)+($L46*-2)+($N46*0.1)+($O46*6)+($Q46)+($R46*0.1)+($S46*6)+($T46*-2)</calculatedColumnFormula>
    </tableColumn>
    <tableColumn id="23" xr3:uid="{00000000-0010-0000-5100-000017000000}" name="tgt_share" dataDxfId="3756">
      <calculatedColumnFormula>$P46/$H$33</calculatedColumnFormula>
    </tableColumn>
    <tableColumn id="24" xr3:uid="{00000000-0010-0000-5100-000018000000}" name="ypc" dataDxfId="3755">
      <calculatedColumnFormula>$N46/$M46</calculatedColumnFormula>
    </tableColumn>
    <tableColumn id="25" xr3:uid="{00000000-0010-0000-5100-000019000000}" name="ypr" dataDxfId="3754">
      <calculatedColumnFormula>$R46/$Q46</calculatedColumnFormula>
    </tableColumn>
    <tableColumn id="26" xr3:uid="{00000000-0010-0000-5100-00001A000000}" name="cmp_pct" dataDxfId="3753">
      <calculatedColumnFormula>$I46/$H46</calculatedColumnFormula>
    </tableColumn>
    <tableColumn id="27" xr3:uid="{00000000-0010-0000-5100-00001B000000}" name="td_rate" dataDxfId="3752">
      <calculatedColumnFormula>$K46/$H46</calculatedColumnFormula>
    </tableColumn>
    <tableColumn id="28" xr3:uid="{00000000-0010-0000-5100-00001C000000}" name="f_custom" dataDxfId="375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2000000}" name="GB_Table6" displayName="GB_Table6" ref="A60:AB72" totalsRowShown="0" headerRowDxfId="3749" dataDxfId="3720">
  <autoFilter ref="A60:AB72" xr:uid="{00000000-0009-0000-0100-000055000000}"/>
  <tableColumns count="28">
    <tableColumn id="1" xr3:uid="{00000000-0010-0000-5200-000001000000}" name="Name" dataDxfId="3748"/>
    <tableColumn id="2" xr3:uid="{00000000-0010-0000-5200-000002000000}" name="POS" dataDxfId="3747"/>
    <tableColumn id="3" xr3:uid="{00000000-0010-0000-5200-000003000000}" name="Age" dataDxfId="3746"/>
    <tableColumn id="4" xr3:uid="{00000000-0010-0000-5200-000004000000}" name="Exp" dataDxfId="3745"/>
    <tableColumn id="5" xr3:uid="{00000000-0010-0000-5200-000005000000}" name="College" dataDxfId="3744"/>
    <tableColumn id="6" xr3:uid="{00000000-0010-0000-5200-000006000000}" name="team" dataDxfId="3743"/>
    <tableColumn id="7" xr3:uid="{00000000-0010-0000-5200-000007000000}" name="g" dataDxfId="3742"/>
    <tableColumn id="8" xr3:uid="{00000000-0010-0000-5200-000008000000}" name="p_att" dataDxfId="3741"/>
    <tableColumn id="9" xr3:uid="{00000000-0010-0000-5200-000009000000}" name="cmp" dataDxfId="3740"/>
    <tableColumn id="10" xr3:uid="{00000000-0010-0000-5200-00000A000000}" name="p_yd" dataDxfId="3739"/>
    <tableColumn id="11" xr3:uid="{00000000-0010-0000-5200-00000B000000}" name="p_td" dataDxfId="3738"/>
    <tableColumn id="12" xr3:uid="{00000000-0010-0000-5200-00000C000000}" name="int" dataDxfId="3737"/>
    <tableColumn id="13" xr3:uid="{00000000-0010-0000-5200-00000D000000}" name="car" dataDxfId="3736"/>
    <tableColumn id="14" xr3:uid="{00000000-0010-0000-5200-00000E000000}" name="r_yd" dataDxfId="3735"/>
    <tableColumn id="15" xr3:uid="{00000000-0010-0000-5200-00000F000000}" name="r_td" dataDxfId="3734"/>
    <tableColumn id="16" xr3:uid="{00000000-0010-0000-5200-000010000000}" name="tgt" dataDxfId="3733"/>
    <tableColumn id="17" xr3:uid="{00000000-0010-0000-5200-000011000000}" name="rec" dataDxfId="3732"/>
    <tableColumn id="18" xr3:uid="{00000000-0010-0000-5200-000012000000}" name="rec_yd" dataDxfId="3731"/>
    <tableColumn id="19" xr3:uid="{00000000-0010-0000-5200-000013000000}" name="rec_td" dataDxfId="3730"/>
    <tableColumn id="20" xr3:uid="{00000000-0010-0000-5200-000014000000}" name="fmb" dataDxfId="3729"/>
    <tableColumn id="21" xr3:uid="{00000000-0010-0000-5200-000015000000}" name="tp_c" dataDxfId="3728"/>
    <tableColumn id="22" xr3:uid="{00000000-0010-0000-5200-000016000000}" name="f_ppr" dataDxfId="3727">
      <calculatedColumnFormula>($J61*0.04)+($K61*4)+($L61*-2)+($N61*0.1)+($O61*6)+($Q61)+($R61*0.1)+($S61*6)+($T61*-2)</calculatedColumnFormula>
    </tableColumn>
    <tableColumn id="23" xr3:uid="{00000000-0010-0000-5200-000017000000}" name="tgt_share" dataDxfId="3726">
      <calculatedColumnFormula>$P61/$H$33</calculatedColumnFormula>
    </tableColumn>
    <tableColumn id="24" xr3:uid="{00000000-0010-0000-5200-000018000000}" name="ypc" dataDxfId="3725">
      <calculatedColumnFormula>$N61/$M61</calculatedColumnFormula>
    </tableColumn>
    <tableColumn id="25" xr3:uid="{00000000-0010-0000-5200-000019000000}" name="ypr" dataDxfId="3724">
      <calculatedColumnFormula>$R61/$Q61</calculatedColumnFormula>
    </tableColumn>
    <tableColumn id="26" xr3:uid="{00000000-0010-0000-5200-00001A000000}" name="cmp_pct" dataDxfId="3723">
      <calculatedColumnFormula>$I61/$H61</calculatedColumnFormula>
    </tableColumn>
    <tableColumn id="27" xr3:uid="{00000000-0010-0000-5200-00001B000000}" name="td_rate" dataDxfId="3722">
      <calculatedColumnFormula>$K61/$H61</calculatedColumnFormula>
    </tableColumn>
    <tableColumn id="28" xr3:uid="{00000000-0010-0000-5200-00001C000000}" name="f_custom" dataDxfId="372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3000000}" name="GB_Table7" displayName="GB_Table7" ref="A75:AB80" totalsRowShown="0" headerRowDxfId="3719" dataDxfId="3690">
  <autoFilter ref="A75:AB80" xr:uid="{00000000-0009-0000-0100-000056000000}"/>
  <tableColumns count="28">
    <tableColumn id="1" xr3:uid="{00000000-0010-0000-5300-000001000000}" name="Name" dataDxfId="3718"/>
    <tableColumn id="2" xr3:uid="{00000000-0010-0000-5300-000002000000}" name="POS" dataDxfId="3717"/>
    <tableColumn id="3" xr3:uid="{00000000-0010-0000-5300-000003000000}" name="Age" dataDxfId="3716"/>
    <tableColumn id="4" xr3:uid="{00000000-0010-0000-5300-000004000000}" name="Exp" dataDxfId="3715"/>
    <tableColumn id="5" xr3:uid="{00000000-0010-0000-5300-000005000000}" name="College" dataDxfId="3714"/>
    <tableColumn id="6" xr3:uid="{00000000-0010-0000-5300-000006000000}" name="team" dataDxfId="3713"/>
    <tableColumn id="7" xr3:uid="{00000000-0010-0000-5300-000007000000}" name="g" dataDxfId="3712"/>
    <tableColumn id="8" xr3:uid="{00000000-0010-0000-5300-000008000000}" name="p_att" dataDxfId="3711"/>
    <tableColumn id="9" xr3:uid="{00000000-0010-0000-5300-000009000000}" name="cmp" dataDxfId="3710"/>
    <tableColumn id="10" xr3:uid="{00000000-0010-0000-5300-00000A000000}" name="p_yd" dataDxfId="3709"/>
    <tableColumn id="11" xr3:uid="{00000000-0010-0000-5300-00000B000000}" name="p_td" dataDxfId="3708"/>
    <tableColumn id="12" xr3:uid="{00000000-0010-0000-5300-00000C000000}" name="int" dataDxfId="3707"/>
    <tableColumn id="13" xr3:uid="{00000000-0010-0000-5300-00000D000000}" name="car" dataDxfId="3706"/>
    <tableColumn id="14" xr3:uid="{00000000-0010-0000-5300-00000E000000}" name="r_yd" dataDxfId="3705"/>
    <tableColumn id="15" xr3:uid="{00000000-0010-0000-5300-00000F000000}" name="r_td" dataDxfId="3704"/>
    <tableColumn id="16" xr3:uid="{00000000-0010-0000-5300-000010000000}" name="tgt" dataDxfId="3703"/>
    <tableColumn id="17" xr3:uid="{00000000-0010-0000-5300-000011000000}" name="rec" dataDxfId="3702"/>
    <tableColumn id="18" xr3:uid="{00000000-0010-0000-5300-000012000000}" name="rec_yd" dataDxfId="3701"/>
    <tableColumn id="19" xr3:uid="{00000000-0010-0000-5300-000013000000}" name="rec_td" dataDxfId="3700"/>
    <tableColumn id="20" xr3:uid="{00000000-0010-0000-5300-000014000000}" name="fmb" dataDxfId="3699"/>
    <tableColumn id="21" xr3:uid="{00000000-0010-0000-5300-000015000000}" name="tp_c" dataDxfId="3698"/>
    <tableColumn id="22" xr3:uid="{00000000-0010-0000-5300-000016000000}" name="f_ppr" dataDxfId="3697">
      <calculatedColumnFormula>($J76*0.04)+($K76*4)+($L76*-2)+($N76*0.1)+($O76*6)+($Q76)+($R76*0.1)+($S76*6)+($T76*-2)</calculatedColumnFormula>
    </tableColumn>
    <tableColumn id="23" xr3:uid="{00000000-0010-0000-5300-000017000000}" name="tgt_share" dataDxfId="3696">
      <calculatedColumnFormula>$P76/$H$33</calculatedColumnFormula>
    </tableColumn>
    <tableColumn id="24" xr3:uid="{00000000-0010-0000-5300-000018000000}" name="ypc" dataDxfId="3695">
      <calculatedColumnFormula>$N76/$M76</calculatedColumnFormula>
    </tableColumn>
    <tableColumn id="25" xr3:uid="{00000000-0010-0000-5300-000019000000}" name="ypr" dataDxfId="3694">
      <calculatedColumnFormula>$R76/$Q76</calculatedColumnFormula>
    </tableColumn>
    <tableColumn id="26" xr3:uid="{00000000-0010-0000-5300-00001A000000}" name="cmp_pct" dataDxfId="3693">
      <calculatedColumnFormula>$I76/$H76</calculatedColumnFormula>
    </tableColumn>
    <tableColumn id="27" xr3:uid="{00000000-0010-0000-5300-00001B000000}" name="td_rate" dataDxfId="3692">
      <calculatedColumnFormula>$K76/$H76</calculatedColumnFormula>
    </tableColumn>
    <tableColumn id="28" xr3:uid="{00000000-0010-0000-5300-00001C000000}" name="f_custom" dataDxfId="369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4000000}" name="HOU_Table1" displayName="HOU_Table1" ref="A1:Y24" totalsRowShown="0" headerRowDxfId="3689" dataDxfId="3663">
  <autoFilter ref="A1:Y24" xr:uid="{00000000-0009-0000-0100-000057000000}"/>
  <tableColumns count="25">
    <tableColumn id="1" xr3:uid="{00000000-0010-0000-5400-000001000000}" name="player_name" dataDxfId="3688"/>
    <tableColumn id="2" xr3:uid="{00000000-0010-0000-5400-000002000000}" name="recent_team" dataDxfId="3687"/>
    <tableColumn id="3" xr3:uid="{00000000-0010-0000-5400-000003000000}" name="pos" dataDxfId="3686"/>
    <tableColumn id="4" xr3:uid="{00000000-0010-0000-5400-000004000000}" name="g" dataDxfId="3685"/>
    <tableColumn id="5" xr3:uid="{00000000-0010-0000-5400-000005000000}" name="p_att" dataDxfId="3684"/>
    <tableColumn id="6" xr3:uid="{00000000-0010-0000-5400-000006000000}" name="cmp" dataDxfId="3683"/>
    <tableColumn id="7" xr3:uid="{00000000-0010-0000-5400-000007000000}" name="p_yd" dataDxfId="3682"/>
    <tableColumn id="8" xr3:uid="{00000000-0010-0000-5400-000008000000}" name="p_td" dataDxfId="3681"/>
    <tableColumn id="9" xr3:uid="{00000000-0010-0000-5400-000009000000}" name="int" dataDxfId="3680"/>
    <tableColumn id="10" xr3:uid="{00000000-0010-0000-5400-00000A000000}" name="car" dataDxfId="3679"/>
    <tableColumn id="11" xr3:uid="{00000000-0010-0000-5400-00000B000000}" name="r_yd" dataDxfId="3678"/>
    <tableColumn id="12" xr3:uid="{00000000-0010-0000-5400-00000C000000}" name="r_td" dataDxfId="3677"/>
    <tableColumn id="13" xr3:uid="{00000000-0010-0000-5400-00000D000000}" name="tgt" dataDxfId="3676"/>
    <tableColumn id="14" xr3:uid="{00000000-0010-0000-5400-00000E000000}" name="rec" dataDxfId="3675"/>
    <tableColumn id="15" xr3:uid="{00000000-0010-0000-5400-00000F000000}" name="rec_yd" dataDxfId="3674"/>
    <tableColumn id="16" xr3:uid="{00000000-0010-0000-5400-000010000000}" name="rec_td" dataDxfId="3673"/>
    <tableColumn id="17" xr3:uid="{00000000-0010-0000-5400-000011000000}" name="fmb" dataDxfId="3672"/>
    <tableColumn id="18" xr3:uid="{00000000-0010-0000-5400-000012000000}" name="tp_c" dataDxfId="3671"/>
    <tableColumn id="19" xr3:uid="{00000000-0010-0000-5400-000013000000}" name="f_ppr" dataDxfId="3670"/>
    <tableColumn id="20" xr3:uid="{00000000-0010-0000-5400-000014000000}" name="tgt_share" dataDxfId="3669"/>
    <tableColumn id="21" xr3:uid="{00000000-0010-0000-5400-000015000000}" name="ypc" dataDxfId="3668"/>
    <tableColumn id="22" xr3:uid="{00000000-0010-0000-5400-000016000000}" name="ypr" dataDxfId="3667"/>
    <tableColumn id="23" xr3:uid="{00000000-0010-0000-5400-000017000000}" name="cmp_pct" dataDxfId="3666"/>
    <tableColumn id="24" xr3:uid="{00000000-0010-0000-5400-000018000000}" name="td_rate" dataDxfId="3665"/>
    <tableColumn id="25" xr3:uid="{C3E249E2-19AA-480F-B900-1892BC4DE7EE}" name="f_custom" dataDxfId="366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5000000}" name="HOU_Table2" displayName="HOU_Table2" ref="A30:M31" totalsRowShown="0" headerRowDxfId="3662" dataDxfId="3648">
  <autoFilter ref="A30:M31" xr:uid="{00000000-0009-0000-0100-000058000000}"/>
  <tableColumns count="13">
    <tableColumn id="1" xr3:uid="{00000000-0010-0000-5500-000001000000}" name="team" dataDxfId="3661"/>
    <tableColumn id="2" xr3:uid="{00000000-0010-0000-5500-000002000000}" name="off_yd" dataDxfId="3660"/>
    <tableColumn id="3" xr3:uid="{00000000-0010-0000-5500-000003000000}" name="p_yd" dataDxfId="3659"/>
    <tableColumn id="4" xr3:uid="{00000000-0010-0000-5500-000004000000}" name="car" dataDxfId="3658"/>
    <tableColumn id="5" xr3:uid="{00000000-0010-0000-5500-000005000000}" name="r_yd" dataDxfId="3657"/>
    <tableColumn id="6" xr3:uid="{00000000-0010-0000-5500-000006000000}" name="r_td" dataDxfId="3656"/>
    <tableColumn id="7" xr3:uid="{00000000-0010-0000-5500-000007000000}" name="p_ff" dataDxfId="3655"/>
    <tableColumn id="8" xr3:uid="{00000000-0010-0000-5500-000008000000}" name="p_att" dataDxfId="3654"/>
    <tableColumn id="9" xr3:uid="{00000000-0010-0000-5500-000009000000}" name="cmp_pct" dataDxfId="3653"/>
    <tableColumn id="10" xr3:uid="{00000000-0010-0000-5500-00000A000000}" name="p_td" dataDxfId="3652"/>
    <tableColumn id="11" xr3:uid="{00000000-0010-0000-5500-00000B000000}" name="int" dataDxfId="3651"/>
    <tableColumn id="12" xr3:uid="{00000000-0010-0000-5500-00000C000000}" name="fmb" dataDxfId="3650"/>
    <tableColumn id="13" xr3:uid="{702225AA-3E90-4065-879A-30D9B8E8CE89}" name="f_custom" dataDxfId="364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56000000}" name="HOU_Table3" displayName="HOU_Table3" ref="A32:M33" totalsRowShown="0" headerRowDxfId="3647" dataDxfId="3633">
  <autoFilter ref="A32:M33" xr:uid="{00000000-0009-0000-0100-000059000000}"/>
  <tableColumns count="13">
    <tableColumn id="1" xr3:uid="{00000000-0010-0000-5600-000001000000}" name="team" dataDxfId="3646">
      <calculatedColumnFormula>A31</calculatedColumnFormula>
    </tableColumn>
    <tableColumn id="2" xr3:uid="{00000000-0010-0000-5600-000002000000}" name="off_yd" dataDxfId="3645">
      <calculatedColumnFormula>C33 + E33</calculatedColumnFormula>
    </tableColumn>
    <tableColumn id="3" xr3:uid="{00000000-0010-0000-5600-000003000000}" name="p_yd" dataDxfId="3644">
      <calculatedColumnFormula>SUM(INDIRECT(A33 &amp; "_Table4[[#All],[p_yd]]"))</calculatedColumnFormula>
    </tableColumn>
    <tableColumn id="4" xr3:uid="{00000000-0010-0000-5600-000004000000}" name="car" dataDxfId="364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600-000005000000}" name="r_yd" dataDxfId="364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600-000006000000}" name="r_td" dataDxfId="364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600-000007000000}" name="p_ff" dataDxfId="364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600-000008000000}" name="p_att" dataDxfId="363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600-000009000000}" name="cmp_pct" dataDxfId="3638">
      <calculatedColumnFormula>SUM(INDIRECT(A33 &amp; "_Table4[[#All],[cmp]]"))/H33</calculatedColumnFormula>
    </tableColumn>
    <tableColumn id="10" xr3:uid="{00000000-0010-0000-5600-00000A000000}" name="p_td" dataDxfId="363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600-00000B000000}" name="int" dataDxfId="363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600-00000C000000}" name="fmb" dataDxfId="363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FF4A67BE-12BA-4FFE-8E95-CF69EE61E842}" name="f_custom" dataDxfId="363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57000000}" name="HOU_Table4" displayName="HOU_Table4" ref="A35:AB39" totalsRowShown="0" headerRowDxfId="3632" dataDxfId="3603">
  <autoFilter ref="A35:AB39" xr:uid="{00000000-0009-0000-0100-00005A000000}"/>
  <tableColumns count="28">
    <tableColumn id="1" xr3:uid="{00000000-0010-0000-5700-000001000000}" name="Name" dataDxfId="3631"/>
    <tableColumn id="2" xr3:uid="{00000000-0010-0000-5700-000002000000}" name="POS" dataDxfId="3630"/>
    <tableColumn id="3" xr3:uid="{00000000-0010-0000-5700-000003000000}" name="Age" dataDxfId="3629"/>
    <tableColumn id="4" xr3:uid="{00000000-0010-0000-5700-000004000000}" name="Exp" dataDxfId="3628"/>
    <tableColumn id="5" xr3:uid="{00000000-0010-0000-5700-000005000000}" name="College" dataDxfId="3627"/>
    <tableColumn id="6" xr3:uid="{00000000-0010-0000-5700-000006000000}" name="team" dataDxfId="3626"/>
    <tableColumn id="7" xr3:uid="{00000000-0010-0000-5700-000007000000}" name="g" dataDxfId="3625"/>
    <tableColumn id="8" xr3:uid="{00000000-0010-0000-5700-000008000000}" name="p_att" dataDxfId="3624"/>
    <tableColumn id="9" xr3:uid="{00000000-0010-0000-5700-000009000000}" name="cmp" dataDxfId="3623"/>
    <tableColumn id="10" xr3:uid="{00000000-0010-0000-5700-00000A000000}" name="p_yd" dataDxfId="3622"/>
    <tableColumn id="11" xr3:uid="{00000000-0010-0000-5700-00000B000000}" name="p_td" dataDxfId="3621"/>
    <tableColumn id="12" xr3:uid="{00000000-0010-0000-5700-00000C000000}" name="int" dataDxfId="3620"/>
    <tableColumn id="13" xr3:uid="{00000000-0010-0000-5700-00000D000000}" name="car" dataDxfId="3619"/>
    <tableColumn id="14" xr3:uid="{00000000-0010-0000-5700-00000E000000}" name="r_yd" dataDxfId="3618"/>
    <tableColumn id="15" xr3:uid="{00000000-0010-0000-5700-00000F000000}" name="r_td" dataDxfId="3617"/>
    <tableColumn id="16" xr3:uid="{00000000-0010-0000-5700-000010000000}" name="tgt" dataDxfId="3616"/>
    <tableColumn id="17" xr3:uid="{00000000-0010-0000-5700-000011000000}" name="rec" dataDxfId="3615"/>
    <tableColumn id="18" xr3:uid="{00000000-0010-0000-5700-000012000000}" name="rec_yd" dataDxfId="3614"/>
    <tableColumn id="19" xr3:uid="{00000000-0010-0000-5700-000013000000}" name="rec_td" dataDxfId="3613"/>
    <tableColumn id="20" xr3:uid="{00000000-0010-0000-5700-000014000000}" name="fmb" dataDxfId="3612"/>
    <tableColumn id="21" xr3:uid="{00000000-0010-0000-5700-000015000000}" name="tp_c" dataDxfId="3611"/>
    <tableColumn id="22" xr3:uid="{00000000-0010-0000-5700-000016000000}" name="f_ppr" dataDxfId="3610">
      <calculatedColumnFormula>($J36*0.04)+($K36*4)+($L36*-2)+($N36*0.1)+($O36*6)+($Q36)+($R36*0.1)+($S36*6)+($T36*-2)</calculatedColumnFormula>
    </tableColumn>
    <tableColumn id="23" xr3:uid="{00000000-0010-0000-5700-000017000000}" name="tgt_share" dataDxfId="3609">
      <calculatedColumnFormula>$P36/$H$33</calculatedColumnFormula>
    </tableColumn>
    <tableColumn id="24" xr3:uid="{00000000-0010-0000-5700-000018000000}" name="ypc" dataDxfId="3608">
      <calculatedColumnFormula>$N36/$M36</calculatedColumnFormula>
    </tableColumn>
    <tableColumn id="25" xr3:uid="{00000000-0010-0000-5700-000019000000}" name="ypr" dataDxfId="3607">
      <calculatedColumnFormula>$R36/$Q36</calculatedColumnFormula>
    </tableColumn>
    <tableColumn id="26" xr3:uid="{00000000-0010-0000-5700-00001A000000}" name="cmp_pct" dataDxfId="3606">
      <calculatedColumnFormula>$I36/$H36</calculatedColumnFormula>
    </tableColumn>
    <tableColumn id="27" xr3:uid="{00000000-0010-0000-5700-00001B000000}" name="td_rate" dataDxfId="3605">
      <calculatedColumnFormula>$K36/$H36</calculatedColumnFormula>
    </tableColumn>
    <tableColumn id="28" xr3:uid="{00000000-0010-0000-5700-00001C000000}" name="f_custom" dataDxfId="360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58000000}" name="HOU_Table5" displayName="HOU_Table5" ref="A45:AB50" totalsRowShown="0" headerRowDxfId="3602" dataDxfId="3573">
  <autoFilter ref="A45:AB50" xr:uid="{00000000-0009-0000-0100-00005B000000}"/>
  <tableColumns count="28">
    <tableColumn id="1" xr3:uid="{00000000-0010-0000-5800-000001000000}" name="Name" dataDxfId="3601"/>
    <tableColumn id="2" xr3:uid="{00000000-0010-0000-5800-000002000000}" name="POS" dataDxfId="3600"/>
    <tableColumn id="3" xr3:uid="{00000000-0010-0000-5800-000003000000}" name="Age" dataDxfId="3599"/>
    <tableColumn id="4" xr3:uid="{00000000-0010-0000-5800-000004000000}" name="Exp" dataDxfId="3598"/>
    <tableColumn id="5" xr3:uid="{00000000-0010-0000-5800-000005000000}" name="College" dataDxfId="3597"/>
    <tableColumn id="6" xr3:uid="{00000000-0010-0000-5800-000006000000}" name="team" dataDxfId="3596"/>
    <tableColumn id="7" xr3:uid="{00000000-0010-0000-5800-000007000000}" name="g" dataDxfId="3595"/>
    <tableColumn id="8" xr3:uid="{00000000-0010-0000-5800-000008000000}" name="p_att" dataDxfId="3594"/>
    <tableColumn id="9" xr3:uid="{00000000-0010-0000-5800-000009000000}" name="cmp" dataDxfId="3593"/>
    <tableColumn id="10" xr3:uid="{00000000-0010-0000-5800-00000A000000}" name="p_yd" dataDxfId="3592"/>
    <tableColumn id="11" xr3:uid="{00000000-0010-0000-5800-00000B000000}" name="p_td" dataDxfId="3591"/>
    <tableColumn id="12" xr3:uid="{00000000-0010-0000-5800-00000C000000}" name="int" dataDxfId="3590"/>
    <tableColumn id="13" xr3:uid="{00000000-0010-0000-5800-00000D000000}" name="car" dataDxfId="3589"/>
    <tableColumn id="14" xr3:uid="{00000000-0010-0000-5800-00000E000000}" name="r_yd" dataDxfId="3588"/>
    <tableColumn id="15" xr3:uid="{00000000-0010-0000-5800-00000F000000}" name="r_td" dataDxfId="3587"/>
    <tableColumn id="16" xr3:uid="{00000000-0010-0000-5800-000010000000}" name="tgt" dataDxfId="3586"/>
    <tableColumn id="17" xr3:uid="{00000000-0010-0000-5800-000011000000}" name="rec" dataDxfId="3585"/>
    <tableColumn id="18" xr3:uid="{00000000-0010-0000-5800-000012000000}" name="rec_yd" dataDxfId="3584"/>
    <tableColumn id="19" xr3:uid="{00000000-0010-0000-5800-000013000000}" name="rec_td" dataDxfId="3583"/>
    <tableColumn id="20" xr3:uid="{00000000-0010-0000-5800-000014000000}" name="fmb" dataDxfId="3582"/>
    <tableColumn id="21" xr3:uid="{00000000-0010-0000-5800-000015000000}" name="tp_c" dataDxfId="3581"/>
    <tableColumn id="22" xr3:uid="{00000000-0010-0000-5800-000016000000}" name="f_ppr" dataDxfId="3580">
      <calculatedColumnFormula>($J46*0.04)+($K46*4)+($L46*-2)+($N46*0.1)+($O46*6)+($Q46)+($R46*0.1)+($S46*6)+($T46*-2)</calculatedColumnFormula>
    </tableColumn>
    <tableColumn id="23" xr3:uid="{00000000-0010-0000-5800-000017000000}" name="tgt_share" dataDxfId="3579">
      <calculatedColumnFormula>$P46/$H$33</calculatedColumnFormula>
    </tableColumn>
    <tableColumn id="24" xr3:uid="{00000000-0010-0000-5800-000018000000}" name="ypc" dataDxfId="3578">
      <calculatedColumnFormula>$N46/$M46</calculatedColumnFormula>
    </tableColumn>
    <tableColumn id="25" xr3:uid="{00000000-0010-0000-5800-000019000000}" name="ypr" dataDxfId="3577">
      <calculatedColumnFormula>$R46/$Q46</calculatedColumnFormula>
    </tableColumn>
    <tableColumn id="26" xr3:uid="{00000000-0010-0000-5800-00001A000000}" name="cmp_pct" dataDxfId="3576">
      <calculatedColumnFormula>$I46/$H46</calculatedColumnFormula>
    </tableColumn>
    <tableColumn id="27" xr3:uid="{00000000-0010-0000-5800-00001B000000}" name="td_rate" dataDxfId="3575">
      <calculatedColumnFormula>$K46/$H46</calculatedColumnFormula>
    </tableColumn>
    <tableColumn id="28" xr3:uid="{00000000-0010-0000-5800-00001C000000}" name="f_custom" dataDxfId="357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59000000}" name="HOU_Table6" displayName="HOU_Table6" ref="A60:AB73" totalsRowShown="0" headerRowDxfId="3572" dataDxfId="3543">
  <autoFilter ref="A60:AB73" xr:uid="{00000000-0009-0000-0100-00005C000000}"/>
  <tableColumns count="28">
    <tableColumn id="1" xr3:uid="{00000000-0010-0000-5900-000001000000}" name="Name" dataDxfId="3571"/>
    <tableColumn id="2" xr3:uid="{00000000-0010-0000-5900-000002000000}" name="POS" dataDxfId="3570"/>
    <tableColumn id="3" xr3:uid="{00000000-0010-0000-5900-000003000000}" name="Age" dataDxfId="3569"/>
    <tableColumn id="4" xr3:uid="{00000000-0010-0000-5900-000004000000}" name="Exp" dataDxfId="3568"/>
    <tableColumn id="5" xr3:uid="{00000000-0010-0000-5900-000005000000}" name="College" dataDxfId="3567"/>
    <tableColumn id="6" xr3:uid="{00000000-0010-0000-5900-000006000000}" name="team" dataDxfId="3566"/>
    <tableColumn id="7" xr3:uid="{00000000-0010-0000-5900-000007000000}" name="g" dataDxfId="3565"/>
    <tableColumn id="8" xr3:uid="{00000000-0010-0000-5900-000008000000}" name="p_att" dataDxfId="3564"/>
    <tableColumn id="9" xr3:uid="{00000000-0010-0000-5900-000009000000}" name="cmp" dataDxfId="3563"/>
    <tableColumn id="10" xr3:uid="{00000000-0010-0000-5900-00000A000000}" name="p_yd" dataDxfId="3562"/>
    <tableColumn id="11" xr3:uid="{00000000-0010-0000-5900-00000B000000}" name="p_td" dataDxfId="3561"/>
    <tableColumn id="12" xr3:uid="{00000000-0010-0000-5900-00000C000000}" name="int" dataDxfId="3560"/>
    <tableColumn id="13" xr3:uid="{00000000-0010-0000-5900-00000D000000}" name="car" dataDxfId="3559"/>
    <tableColumn id="14" xr3:uid="{00000000-0010-0000-5900-00000E000000}" name="r_yd" dataDxfId="3558"/>
    <tableColumn id="15" xr3:uid="{00000000-0010-0000-5900-00000F000000}" name="r_td" dataDxfId="3557"/>
    <tableColumn id="16" xr3:uid="{00000000-0010-0000-5900-000010000000}" name="tgt" dataDxfId="3556"/>
    <tableColumn id="17" xr3:uid="{00000000-0010-0000-5900-000011000000}" name="rec" dataDxfId="3555"/>
    <tableColumn id="18" xr3:uid="{00000000-0010-0000-5900-000012000000}" name="rec_yd" dataDxfId="3554"/>
    <tableColumn id="19" xr3:uid="{00000000-0010-0000-5900-000013000000}" name="rec_td" dataDxfId="3553"/>
    <tableColumn id="20" xr3:uid="{00000000-0010-0000-5900-000014000000}" name="fmb" dataDxfId="3552"/>
    <tableColumn id="21" xr3:uid="{00000000-0010-0000-5900-000015000000}" name="tp_c" dataDxfId="3551"/>
    <tableColumn id="22" xr3:uid="{00000000-0010-0000-5900-000016000000}" name="f_ppr" dataDxfId="3550">
      <calculatedColumnFormula>($J61*0.04)+($K61*4)+($L61*-2)+($N61*0.1)+($O61*6)+($Q61)+($R61*0.1)+($S61*6)+($T61*-2)</calculatedColumnFormula>
    </tableColumn>
    <tableColumn id="23" xr3:uid="{00000000-0010-0000-5900-000017000000}" name="tgt_share" dataDxfId="3549">
      <calculatedColumnFormula>$P61/$H$33</calculatedColumnFormula>
    </tableColumn>
    <tableColumn id="24" xr3:uid="{00000000-0010-0000-5900-000018000000}" name="ypc" dataDxfId="3548">
      <calculatedColumnFormula>$N61/$M61</calculatedColumnFormula>
    </tableColumn>
    <tableColumn id="25" xr3:uid="{00000000-0010-0000-5900-000019000000}" name="ypr" dataDxfId="3547">
      <calculatedColumnFormula>$R61/$Q61</calculatedColumnFormula>
    </tableColumn>
    <tableColumn id="26" xr3:uid="{00000000-0010-0000-5900-00001A000000}" name="cmp_pct" dataDxfId="3546">
      <calculatedColumnFormula>$I61/$H61</calculatedColumnFormula>
    </tableColumn>
    <tableColumn id="27" xr3:uid="{00000000-0010-0000-5900-00001B000000}" name="td_rate" dataDxfId="3545">
      <calculatedColumnFormula>$K61/$H61</calculatedColumnFormula>
    </tableColumn>
    <tableColumn id="28" xr3:uid="{00000000-0010-0000-5900-00001C000000}" name="f_custom" dataDxfId="354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5A000000}" name="HOU_Table7" displayName="HOU_Table7" ref="A75:AB83" totalsRowShown="0" headerRowDxfId="3542" dataDxfId="3513">
  <autoFilter ref="A75:AB83" xr:uid="{00000000-0009-0000-0100-00005D000000}"/>
  <tableColumns count="28">
    <tableColumn id="1" xr3:uid="{00000000-0010-0000-5A00-000001000000}" name="Name" dataDxfId="3541"/>
    <tableColumn id="2" xr3:uid="{00000000-0010-0000-5A00-000002000000}" name="POS" dataDxfId="3540"/>
    <tableColumn id="3" xr3:uid="{00000000-0010-0000-5A00-000003000000}" name="Age" dataDxfId="3539"/>
    <tableColumn id="4" xr3:uid="{00000000-0010-0000-5A00-000004000000}" name="Exp" dataDxfId="3538"/>
    <tableColumn id="5" xr3:uid="{00000000-0010-0000-5A00-000005000000}" name="College" dataDxfId="3537"/>
    <tableColumn id="6" xr3:uid="{00000000-0010-0000-5A00-000006000000}" name="team" dataDxfId="3536"/>
    <tableColumn id="7" xr3:uid="{00000000-0010-0000-5A00-000007000000}" name="g" dataDxfId="3535"/>
    <tableColumn id="8" xr3:uid="{00000000-0010-0000-5A00-000008000000}" name="p_att" dataDxfId="3534"/>
    <tableColumn id="9" xr3:uid="{00000000-0010-0000-5A00-000009000000}" name="cmp" dataDxfId="3533"/>
    <tableColumn id="10" xr3:uid="{00000000-0010-0000-5A00-00000A000000}" name="p_yd" dataDxfId="3532"/>
    <tableColumn id="11" xr3:uid="{00000000-0010-0000-5A00-00000B000000}" name="p_td" dataDxfId="3531"/>
    <tableColumn id="12" xr3:uid="{00000000-0010-0000-5A00-00000C000000}" name="int" dataDxfId="3530"/>
    <tableColumn id="13" xr3:uid="{00000000-0010-0000-5A00-00000D000000}" name="car" dataDxfId="3529"/>
    <tableColumn id="14" xr3:uid="{00000000-0010-0000-5A00-00000E000000}" name="r_yd" dataDxfId="3528"/>
    <tableColumn id="15" xr3:uid="{00000000-0010-0000-5A00-00000F000000}" name="r_td" dataDxfId="3527"/>
    <tableColumn id="16" xr3:uid="{00000000-0010-0000-5A00-000010000000}" name="tgt" dataDxfId="3526"/>
    <tableColumn id="17" xr3:uid="{00000000-0010-0000-5A00-000011000000}" name="rec" dataDxfId="3525"/>
    <tableColumn id="18" xr3:uid="{00000000-0010-0000-5A00-000012000000}" name="rec_yd" dataDxfId="3524"/>
    <tableColumn id="19" xr3:uid="{00000000-0010-0000-5A00-000013000000}" name="rec_td" dataDxfId="3523"/>
    <tableColumn id="20" xr3:uid="{00000000-0010-0000-5A00-000014000000}" name="fmb" dataDxfId="3522"/>
    <tableColumn id="21" xr3:uid="{00000000-0010-0000-5A00-000015000000}" name="tp_c" dataDxfId="3521"/>
    <tableColumn id="22" xr3:uid="{00000000-0010-0000-5A00-000016000000}" name="f_ppr" dataDxfId="3520">
      <calculatedColumnFormula>($J76*0.04)+($K76*4)+($L76*-2)+($N76*0.1)+($O76*6)+($Q76)+($R76*0.1)+($S76*6)+($T76*-2)</calculatedColumnFormula>
    </tableColumn>
    <tableColumn id="23" xr3:uid="{00000000-0010-0000-5A00-000017000000}" name="tgt_share" dataDxfId="3519">
      <calculatedColumnFormula>$P76/$H$33</calculatedColumnFormula>
    </tableColumn>
    <tableColumn id="24" xr3:uid="{00000000-0010-0000-5A00-000018000000}" name="ypc" dataDxfId="3518">
      <calculatedColumnFormula>$N76/$M76</calculatedColumnFormula>
    </tableColumn>
    <tableColumn id="25" xr3:uid="{00000000-0010-0000-5A00-000019000000}" name="ypr" dataDxfId="3517">
      <calculatedColumnFormula>$R76/$Q76</calculatedColumnFormula>
    </tableColumn>
    <tableColumn id="26" xr3:uid="{00000000-0010-0000-5A00-00001A000000}" name="cmp_pct" dataDxfId="3516">
      <calculatedColumnFormula>$I76/$H76</calculatedColumnFormula>
    </tableColumn>
    <tableColumn id="27" xr3:uid="{00000000-0010-0000-5A00-00001B000000}" name="td_rate" dataDxfId="3515">
      <calculatedColumnFormula>$K76/$H76</calculatedColumnFormula>
    </tableColumn>
    <tableColumn id="28" xr3:uid="{00000000-0010-0000-5A00-00001C000000}" name="f_custom" dataDxfId="351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5B000000}" name="IND_Table1" displayName="IND_Table1" ref="A1:Y20" totalsRowShown="0" headerRowDxfId="3512" dataDxfId="3486">
  <autoFilter ref="A1:Y20" xr:uid="{00000000-0009-0000-0100-00005E000000}"/>
  <tableColumns count="25">
    <tableColumn id="1" xr3:uid="{00000000-0010-0000-5B00-000001000000}" name="player_name" dataDxfId="3511"/>
    <tableColumn id="2" xr3:uid="{00000000-0010-0000-5B00-000002000000}" name="recent_team" dataDxfId="3510"/>
    <tableColumn id="3" xr3:uid="{00000000-0010-0000-5B00-000003000000}" name="pos" dataDxfId="3509"/>
    <tableColumn id="4" xr3:uid="{00000000-0010-0000-5B00-000004000000}" name="g" dataDxfId="3508"/>
    <tableColumn id="5" xr3:uid="{00000000-0010-0000-5B00-000005000000}" name="p_att" dataDxfId="3507"/>
    <tableColumn id="6" xr3:uid="{00000000-0010-0000-5B00-000006000000}" name="cmp" dataDxfId="3506"/>
    <tableColumn id="7" xr3:uid="{00000000-0010-0000-5B00-000007000000}" name="p_yd" dataDxfId="3505"/>
    <tableColumn id="8" xr3:uid="{00000000-0010-0000-5B00-000008000000}" name="p_td" dataDxfId="3504"/>
    <tableColumn id="9" xr3:uid="{00000000-0010-0000-5B00-000009000000}" name="int" dataDxfId="3503"/>
    <tableColumn id="10" xr3:uid="{00000000-0010-0000-5B00-00000A000000}" name="car" dataDxfId="3502"/>
    <tableColumn id="11" xr3:uid="{00000000-0010-0000-5B00-00000B000000}" name="r_yd" dataDxfId="3501"/>
    <tableColumn id="12" xr3:uid="{00000000-0010-0000-5B00-00000C000000}" name="r_td" dataDxfId="3500"/>
    <tableColumn id="13" xr3:uid="{00000000-0010-0000-5B00-00000D000000}" name="tgt" dataDxfId="3499"/>
    <tableColumn id="14" xr3:uid="{00000000-0010-0000-5B00-00000E000000}" name="rec" dataDxfId="3498"/>
    <tableColumn id="15" xr3:uid="{00000000-0010-0000-5B00-00000F000000}" name="rec_yd" dataDxfId="3497"/>
    <tableColumn id="16" xr3:uid="{00000000-0010-0000-5B00-000010000000}" name="rec_td" dataDxfId="3496"/>
    <tableColumn id="17" xr3:uid="{00000000-0010-0000-5B00-000011000000}" name="fmb" dataDxfId="3495"/>
    <tableColumn id="18" xr3:uid="{00000000-0010-0000-5B00-000012000000}" name="tp_c" dataDxfId="3494"/>
    <tableColumn id="19" xr3:uid="{00000000-0010-0000-5B00-000013000000}" name="f_ppr" dataDxfId="3493"/>
    <tableColumn id="20" xr3:uid="{00000000-0010-0000-5B00-000014000000}" name="tgt_share" dataDxfId="3492"/>
    <tableColumn id="21" xr3:uid="{00000000-0010-0000-5B00-000015000000}" name="ypc" dataDxfId="3491"/>
    <tableColumn id="22" xr3:uid="{00000000-0010-0000-5B00-000016000000}" name="ypr" dataDxfId="3490"/>
    <tableColumn id="23" xr3:uid="{00000000-0010-0000-5B00-000017000000}" name="cmp_pct" dataDxfId="3489"/>
    <tableColumn id="24" xr3:uid="{00000000-0010-0000-5B00-000018000000}" name="td_rate" dataDxfId="3488"/>
    <tableColumn id="25" xr3:uid="{71E50601-ED5E-480D-BD99-62353ADD1439}" name="f_custom" dataDxfId="348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5C000000}" name="IND_Table2" displayName="IND_Table2" ref="A30:M31" totalsRowShown="0" headerRowDxfId="3485" dataDxfId="3471">
  <autoFilter ref="A30:M31" xr:uid="{00000000-0009-0000-0100-00005F000000}"/>
  <tableColumns count="13">
    <tableColumn id="1" xr3:uid="{00000000-0010-0000-5C00-000001000000}" name="team" dataDxfId="3484"/>
    <tableColumn id="2" xr3:uid="{00000000-0010-0000-5C00-000002000000}" name="off_yd" dataDxfId="3483"/>
    <tableColumn id="3" xr3:uid="{00000000-0010-0000-5C00-000003000000}" name="p_yd" dataDxfId="3482"/>
    <tableColumn id="4" xr3:uid="{00000000-0010-0000-5C00-000004000000}" name="car" dataDxfId="3481"/>
    <tableColumn id="5" xr3:uid="{00000000-0010-0000-5C00-000005000000}" name="r_yd" dataDxfId="3480"/>
    <tableColumn id="6" xr3:uid="{00000000-0010-0000-5C00-000006000000}" name="r_td" dataDxfId="3479"/>
    <tableColumn id="7" xr3:uid="{00000000-0010-0000-5C00-000007000000}" name="p_ff" dataDxfId="3478"/>
    <tableColumn id="8" xr3:uid="{00000000-0010-0000-5C00-000008000000}" name="p_att" dataDxfId="3477"/>
    <tableColumn id="9" xr3:uid="{00000000-0010-0000-5C00-000009000000}" name="cmp_pct" dataDxfId="3476"/>
    <tableColumn id="10" xr3:uid="{00000000-0010-0000-5C00-00000A000000}" name="p_td" dataDxfId="3475"/>
    <tableColumn id="11" xr3:uid="{00000000-0010-0000-5C00-00000B000000}" name="int" dataDxfId="3474"/>
    <tableColumn id="12" xr3:uid="{00000000-0010-0000-5C00-00000C000000}" name="fmb" dataDxfId="3473"/>
    <tableColumn id="13" xr3:uid="{C9D5F050-8BC7-4615-A109-67EEA219B6D8}" name="f_custom" dataDxfId="347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5D000000}" name="IND_Table3" displayName="IND_Table3" ref="A32:M33" totalsRowShown="0" headerRowDxfId="3470" dataDxfId="3456">
  <autoFilter ref="A32:M33" xr:uid="{00000000-0009-0000-0100-000060000000}"/>
  <tableColumns count="13">
    <tableColumn id="1" xr3:uid="{00000000-0010-0000-5D00-000001000000}" name="team" dataDxfId="3469">
      <calculatedColumnFormula>A31</calculatedColumnFormula>
    </tableColumn>
    <tableColumn id="2" xr3:uid="{00000000-0010-0000-5D00-000002000000}" name="off_yd" dataDxfId="3468">
      <calculatedColumnFormula>C33 + E33</calculatedColumnFormula>
    </tableColumn>
    <tableColumn id="3" xr3:uid="{00000000-0010-0000-5D00-000003000000}" name="p_yd" dataDxfId="3467">
      <calculatedColumnFormula>SUM(INDIRECT(A33 &amp; "_Table4[[#All],[p_yd]]"))</calculatedColumnFormula>
    </tableColumn>
    <tableColumn id="4" xr3:uid="{00000000-0010-0000-5D00-000004000000}" name="car" dataDxfId="346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D00-000005000000}" name="r_yd" dataDxfId="346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D00-000006000000}" name="r_td" dataDxfId="346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D00-000007000000}" name="p_ff" dataDxfId="346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D00-000008000000}" name="p_att" dataDxfId="346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D00-000009000000}" name="cmp_pct" dataDxfId="3461">
      <calculatedColumnFormula>SUM(INDIRECT(A33 &amp; "_Table4[[#All],[cmp]]"))/H33</calculatedColumnFormula>
    </tableColumn>
    <tableColumn id="10" xr3:uid="{00000000-0010-0000-5D00-00000A000000}" name="p_td" dataDxfId="346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D00-00000B000000}" name="int" dataDxfId="345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D00-00000C000000}" name="fmb" dataDxfId="345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C1770CCA-D57F-4600-9630-F065EFAE153D}" name="f_custom" dataDxfId="345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5E000000}" name="IND_Table4" displayName="IND_Table4" ref="A35:AB38" totalsRowShown="0" headerRowDxfId="3455" dataDxfId="3426">
  <autoFilter ref="A35:AB38" xr:uid="{00000000-0009-0000-0100-000061000000}"/>
  <tableColumns count="28">
    <tableColumn id="1" xr3:uid="{00000000-0010-0000-5E00-000001000000}" name="Name" dataDxfId="3454"/>
    <tableColumn id="2" xr3:uid="{00000000-0010-0000-5E00-000002000000}" name="POS" dataDxfId="3453"/>
    <tableColumn id="3" xr3:uid="{00000000-0010-0000-5E00-000003000000}" name="Age" dataDxfId="3452"/>
    <tableColumn id="4" xr3:uid="{00000000-0010-0000-5E00-000004000000}" name="Exp" dataDxfId="3451"/>
    <tableColumn id="5" xr3:uid="{00000000-0010-0000-5E00-000005000000}" name="College" dataDxfId="3450"/>
    <tableColumn id="6" xr3:uid="{00000000-0010-0000-5E00-000006000000}" name="team" dataDxfId="3449"/>
    <tableColumn id="7" xr3:uid="{00000000-0010-0000-5E00-000007000000}" name="g" dataDxfId="3448"/>
    <tableColumn id="8" xr3:uid="{00000000-0010-0000-5E00-000008000000}" name="p_att" dataDxfId="3447"/>
    <tableColumn id="9" xr3:uid="{00000000-0010-0000-5E00-000009000000}" name="cmp" dataDxfId="3446"/>
    <tableColumn id="10" xr3:uid="{00000000-0010-0000-5E00-00000A000000}" name="p_yd" dataDxfId="3445"/>
    <tableColumn id="11" xr3:uid="{00000000-0010-0000-5E00-00000B000000}" name="p_td" dataDxfId="3444"/>
    <tableColumn id="12" xr3:uid="{00000000-0010-0000-5E00-00000C000000}" name="int" dataDxfId="3443"/>
    <tableColumn id="13" xr3:uid="{00000000-0010-0000-5E00-00000D000000}" name="car" dataDxfId="3442"/>
    <tableColumn id="14" xr3:uid="{00000000-0010-0000-5E00-00000E000000}" name="r_yd" dataDxfId="3441"/>
    <tableColumn id="15" xr3:uid="{00000000-0010-0000-5E00-00000F000000}" name="r_td" dataDxfId="3440"/>
    <tableColumn id="16" xr3:uid="{00000000-0010-0000-5E00-000010000000}" name="tgt" dataDxfId="3439"/>
    <tableColumn id="17" xr3:uid="{00000000-0010-0000-5E00-000011000000}" name="rec" dataDxfId="3438"/>
    <tableColumn id="18" xr3:uid="{00000000-0010-0000-5E00-000012000000}" name="rec_yd" dataDxfId="3437"/>
    <tableColumn id="19" xr3:uid="{00000000-0010-0000-5E00-000013000000}" name="rec_td" dataDxfId="3436"/>
    <tableColumn id="20" xr3:uid="{00000000-0010-0000-5E00-000014000000}" name="fmb" dataDxfId="3435"/>
    <tableColumn id="21" xr3:uid="{00000000-0010-0000-5E00-000015000000}" name="tp_c" dataDxfId="3434"/>
    <tableColumn id="22" xr3:uid="{00000000-0010-0000-5E00-000016000000}" name="f_ppr" dataDxfId="3433">
      <calculatedColumnFormula>($J36*0.04)+($K36*4)+($L36*-2)+($N36*0.1)+($O36*6)+($Q36)+($R36*0.1)+($S36*6)+($T36*-2)</calculatedColumnFormula>
    </tableColumn>
    <tableColumn id="23" xr3:uid="{00000000-0010-0000-5E00-000017000000}" name="tgt_share" dataDxfId="3432">
      <calculatedColumnFormula>$P36/$H$33</calculatedColumnFormula>
    </tableColumn>
    <tableColumn id="24" xr3:uid="{00000000-0010-0000-5E00-000018000000}" name="ypc" dataDxfId="3431">
      <calculatedColumnFormula>$N36/$M36</calculatedColumnFormula>
    </tableColumn>
    <tableColumn id="25" xr3:uid="{00000000-0010-0000-5E00-000019000000}" name="ypr" dataDxfId="3430">
      <calculatedColumnFormula>$R36/$Q36</calculatedColumnFormula>
    </tableColumn>
    <tableColumn id="26" xr3:uid="{00000000-0010-0000-5E00-00001A000000}" name="cmp_pct" dataDxfId="3429">
      <calculatedColumnFormula>$I36/$H36</calculatedColumnFormula>
    </tableColumn>
    <tableColumn id="27" xr3:uid="{00000000-0010-0000-5E00-00001B000000}" name="td_rate" dataDxfId="3428">
      <calculatedColumnFormula>$K36/$H36</calculatedColumnFormula>
    </tableColumn>
    <tableColumn id="28" xr3:uid="{00000000-0010-0000-5E00-00001C000000}" name="f_custom" dataDxfId="342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5F000000}" name="IND_Table5" displayName="IND_Table5" ref="A45:AB52" totalsRowShown="0" headerRowDxfId="3425" dataDxfId="3396">
  <autoFilter ref="A45:AB52" xr:uid="{00000000-0009-0000-0100-000062000000}"/>
  <tableColumns count="28">
    <tableColumn id="1" xr3:uid="{00000000-0010-0000-5F00-000001000000}" name="Name" dataDxfId="3424"/>
    <tableColumn id="2" xr3:uid="{00000000-0010-0000-5F00-000002000000}" name="POS" dataDxfId="3423"/>
    <tableColumn id="3" xr3:uid="{00000000-0010-0000-5F00-000003000000}" name="Age" dataDxfId="3422"/>
    <tableColumn id="4" xr3:uid="{00000000-0010-0000-5F00-000004000000}" name="Exp" dataDxfId="3421"/>
    <tableColumn id="5" xr3:uid="{00000000-0010-0000-5F00-000005000000}" name="College" dataDxfId="3420"/>
    <tableColumn id="6" xr3:uid="{00000000-0010-0000-5F00-000006000000}" name="team" dataDxfId="3419"/>
    <tableColumn id="7" xr3:uid="{00000000-0010-0000-5F00-000007000000}" name="g" dataDxfId="3418"/>
    <tableColumn id="8" xr3:uid="{00000000-0010-0000-5F00-000008000000}" name="p_att" dataDxfId="3417"/>
    <tableColumn id="9" xr3:uid="{00000000-0010-0000-5F00-000009000000}" name="cmp" dataDxfId="3416"/>
    <tableColumn id="10" xr3:uid="{00000000-0010-0000-5F00-00000A000000}" name="p_yd" dataDxfId="3415"/>
    <tableColumn id="11" xr3:uid="{00000000-0010-0000-5F00-00000B000000}" name="p_td" dataDxfId="3414"/>
    <tableColumn id="12" xr3:uid="{00000000-0010-0000-5F00-00000C000000}" name="int" dataDxfId="3413"/>
    <tableColumn id="13" xr3:uid="{00000000-0010-0000-5F00-00000D000000}" name="car" dataDxfId="3412"/>
    <tableColumn id="14" xr3:uid="{00000000-0010-0000-5F00-00000E000000}" name="r_yd" dataDxfId="3411"/>
    <tableColumn id="15" xr3:uid="{00000000-0010-0000-5F00-00000F000000}" name="r_td" dataDxfId="3410"/>
    <tableColumn id="16" xr3:uid="{00000000-0010-0000-5F00-000010000000}" name="tgt" dataDxfId="3409"/>
    <tableColumn id="17" xr3:uid="{00000000-0010-0000-5F00-000011000000}" name="rec" dataDxfId="3408"/>
    <tableColumn id="18" xr3:uid="{00000000-0010-0000-5F00-000012000000}" name="rec_yd" dataDxfId="3407"/>
    <tableColumn id="19" xr3:uid="{00000000-0010-0000-5F00-000013000000}" name="rec_td" dataDxfId="3406"/>
    <tableColumn id="20" xr3:uid="{00000000-0010-0000-5F00-000014000000}" name="fmb" dataDxfId="3405"/>
    <tableColumn id="21" xr3:uid="{00000000-0010-0000-5F00-000015000000}" name="tp_c" dataDxfId="3404"/>
    <tableColumn id="22" xr3:uid="{00000000-0010-0000-5F00-000016000000}" name="f_ppr" dataDxfId="3403">
      <calculatedColumnFormula>($J46*0.04)+($K46*4)+($L46*-2)+($N46*0.1)+($O46*6)+($Q46)+($R46*0.1)+($S46*6)+($T46*-2)</calculatedColumnFormula>
    </tableColumn>
    <tableColumn id="23" xr3:uid="{00000000-0010-0000-5F00-000017000000}" name="tgt_share" dataDxfId="3402">
      <calculatedColumnFormula>$P46/$H$33</calculatedColumnFormula>
    </tableColumn>
    <tableColumn id="24" xr3:uid="{00000000-0010-0000-5F00-000018000000}" name="ypc" dataDxfId="3401">
      <calculatedColumnFormula>$N46/$M46</calculatedColumnFormula>
    </tableColumn>
    <tableColumn id="25" xr3:uid="{00000000-0010-0000-5F00-000019000000}" name="ypr" dataDxfId="3400">
      <calculatedColumnFormula>$R46/$Q46</calculatedColumnFormula>
    </tableColumn>
    <tableColumn id="26" xr3:uid="{00000000-0010-0000-5F00-00001A000000}" name="cmp_pct" dataDxfId="3399">
      <calculatedColumnFormula>$I46/$H46</calculatedColumnFormula>
    </tableColumn>
    <tableColumn id="27" xr3:uid="{00000000-0010-0000-5F00-00001B000000}" name="td_rate" dataDxfId="3398">
      <calculatedColumnFormula>$K46/$H46</calculatedColumnFormula>
    </tableColumn>
    <tableColumn id="28" xr3:uid="{00000000-0010-0000-5F00-00001C000000}" name="f_custom" dataDxfId="339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60000000}" name="IND_Table6" displayName="IND_Table6" ref="A60:AB73" totalsRowShown="0" headerRowDxfId="3395" dataDxfId="3366">
  <autoFilter ref="A60:AB73" xr:uid="{00000000-0009-0000-0100-000063000000}"/>
  <tableColumns count="28">
    <tableColumn id="1" xr3:uid="{00000000-0010-0000-6000-000001000000}" name="Name" dataDxfId="3394"/>
    <tableColumn id="2" xr3:uid="{00000000-0010-0000-6000-000002000000}" name="POS" dataDxfId="3393"/>
    <tableColumn id="3" xr3:uid="{00000000-0010-0000-6000-000003000000}" name="Age" dataDxfId="3392"/>
    <tableColumn id="4" xr3:uid="{00000000-0010-0000-6000-000004000000}" name="Exp" dataDxfId="3391"/>
    <tableColumn id="5" xr3:uid="{00000000-0010-0000-6000-000005000000}" name="College" dataDxfId="3390"/>
    <tableColumn id="6" xr3:uid="{00000000-0010-0000-6000-000006000000}" name="team" dataDxfId="3389"/>
    <tableColumn id="7" xr3:uid="{00000000-0010-0000-6000-000007000000}" name="g" dataDxfId="3388"/>
    <tableColumn id="8" xr3:uid="{00000000-0010-0000-6000-000008000000}" name="p_att" dataDxfId="3387"/>
    <tableColumn id="9" xr3:uid="{00000000-0010-0000-6000-000009000000}" name="cmp" dataDxfId="3386"/>
    <tableColumn id="10" xr3:uid="{00000000-0010-0000-6000-00000A000000}" name="p_yd" dataDxfId="3385"/>
    <tableColumn id="11" xr3:uid="{00000000-0010-0000-6000-00000B000000}" name="p_td" dataDxfId="3384"/>
    <tableColumn id="12" xr3:uid="{00000000-0010-0000-6000-00000C000000}" name="int" dataDxfId="3383"/>
    <tableColumn id="13" xr3:uid="{00000000-0010-0000-6000-00000D000000}" name="car" dataDxfId="3382"/>
    <tableColumn id="14" xr3:uid="{00000000-0010-0000-6000-00000E000000}" name="r_yd" dataDxfId="3381"/>
    <tableColumn id="15" xr3:uid="{00000000-0010-0000-6000-00000F000000}" name="r_td" dataDxfId="3380"/>
    <tableColumn id="16" xr3:uid="{00000000-0010-0000-6000-000010000000}" name="tgt" dataDxfId="3379"/>
    <tableColumn id="17" xr3:uid="{00000000-0010-0000-6000-000011000000}" name="rec" dataDxfId="3378"/>
    <tableColumn id="18" xr3:uid="{00000000-0010-0000-6000-000012000000}" name="rec_yd" dataDxfId="3377"/>
    <tableColumn id="19" xr3:uid="{00000000-0010-0000-6000-000013000000}" name="rec_td" dataDxfId="3376"/>
    <tableColumn id="20" xr3:uid="{00000000-0010-0000-6000-000014000000}" name="fmb" dataDxfId="3375"/>
    <tableColumn id="21" xr3:uid="{00000000-0010-0000-6000-000015000000}" name="tp_c" dataDxfId="3374"/>
    <tableColumn id="22" xr3:uid="{00000000-0010-0000-6000-000016000000}" name="f_ppr" dataDxfId="3373">
      <calculatedColumnFormula>($J61*0.04)+($K61*4)+($L61*-2)+($N61*0.1)+($O61*6)+($Q61)+($R61*0.1)+($S61*6)+($T61*-2)</calculatedColumnFormula>
    </tableColumn>
    <tableColumn id="23" xr3:uid="{00000000-0010-0000-6000-000017000000}" name="tgt_share" dataDxfId="3372">
      <calculatedColumnFormula>$P61/$H$33</calculatedColumnFormula>
    </tableColumn>
    <tableColumn id="24" xr3:uid="{00000000-0010-0000-6000-000018000000}" name="ypc" dataDxfId="3371">
      <calculatedColumnFormula>$N61/$M61</calculatedColumnFormula>
    </tableColumn>
    <tableColumn id="25" xr3:uid="{00000000-0010-0000-6000-000019000000}" name="ypr" dataDxfId="3370">
      <calculatedColumnFormula>$R61/$Q61</calculatedColumnFormula>
    </tableColumn>
    <tableColumn id="26" xr3:uid="{00000000-0010-0000-6000-00001A000000}" name="cmp_pct" dataDxfId="3369">
      <calculatedColumnFormula>$I61/$H61</calculatedColumnFormula>
    </tableColumn>
    <tableColumn id="27" xr3:uid="{00000000-0010-0000-6000-00001B000000}" name="td_rate" dataDxfId="3368">
      <calculatedColumnFormula>$K61/$H61</calculatedColumnFormula>
    </tableColumn>
    <tableColumn id="28" xr3:uid="{00000000-0010-0000-6000-00001C000000}" name="f_custom" dataDxfId="336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61000000}" name="IND_Table7" displayName="IND_Table7" ref="A75:AB84" totalsRowShown="0" headerRowDxfId="3365" dataDxfId="3336">
  <autoFilter ref="A75:AB84" xr:uid="{00000000-0009-0000-0100-000064000000}"/>
  <tableColumns count="28">
    <tableColumn id="1" xr3:uid="{00000000-0010-0000-6100-000001000000}" name="Name" dataDxfId="3364"/>
    <tableColumn id="2" xr3:uid="{00000000-0010-0000-6100-000002000000}" name="POS" dataDxfId="3363"/>
    <tableColumn id="3" xr3:uid="{00000000-0010-0000-6100-000003000000}" name="Age" dataDxfId="3362"/>
    <tableColumn id="4" xr3:uid="{00000000-0010-0000-6100-000004000000}" name="Exp" dataDxfId="3361"/>
    <tableColumn id="5" xr3:uid="{00000000-0010-0000-6100-000005000000}" name="College" dataDxfId="3360"/>
    <tableColumn id="6" xr3:uid="{00000000-0010-0000-6100-000006000000}" name="team" dataDxfId="3359"/>
    <tableColumn id="7" xr3:uid="{00000000-0010-0000-6100-000007000000}" name="g" dataDxfId="3358"/>
    <tableColumn id="8" xr3:uid="{00000000-0010-0000-6100-000008000000}" name="p_att" dataDxfId="3357"/>
    <tableColumn id="9" xr3:uid="{00000000-0010-0000-6100-000009000000}" name="cmp" dataDxfId="3356"/>
    <tableColumn id="10" xr3:uid="{00000000-0010-0000-6100-00000A000000}" name="p_yd" dataDxfId="3355"/>
    <tableColumn id="11" xr3:uid="{00000000-0010-0000-6100-00000B000000}" name="p_td" dataDxfId="3354"/>
    <tableColumn id="12" xr3:uid="{00000000-0010-0000-6100-00000C000000}" name="int" dataDxfId="3353"/>
    <tableColumn id="13" xr3:uid="{00000000-0010-0000-6100-00000D000000}" name="car" dataDxfId="3352"/>
    <tableColumn id="14" xr3:uid="{00000000-0010-0000-6100-00000E000000}" name="r_yd" dataDxfId="3351"/>
    <tableColumn id="15" xr3:uid="{00000000-0010-0000-6100-00000F000000}" name="r_td" dataDxfId="3350"/>
    <tableColumn id="16" xr3:uid="{00000000-0010-0000-6100-000010000000}" name="tgt" dataDxfId="3349"/>
    <tableColumn id="17" xr3:uid="{00000000-0010-0000-6100-000011000000}" name="rec" dataDxfId="3348"/>
    <tableColumn id="18" xr3:uid="{00000000-0010-0000-6100-000012000000}" name="rec_yd" dataDxfId="3347"/>
    <tableColumn id="19" xr3:uid="{00000000-0010-0000-6100-000013000000}" name="rec_td" dataDxfId="3346"/>
    <tableColumn id="20" xr3:uid="{00000000-0010-0000-6100-000014000000}" name="fmb" dataDxfId="3345"/>
    <tableColumn id="21" xr3:uid="{00000000-0010-0000-6100-000015000000}" name="tp_c" dataDxfId="3344"/>
    <tableColumn id="22" xr3:uid="{00000000-0010-0000-6100-000016000000}" name="f_ppr" dataDxfId="3343">
      <calculatedColumnFormula>($J76*0.04)+($K76*4)+($L76*-2)+($N76*0.1)+($O76*6)+($Q76)+($R76*0.1)+($S76*6)+($T76*-2)</calculatedColumnFormula>
    </tableColumn>
    <tableColumn id="23" xr3:uid="{00000000-0010-0000-6100-000017000000}" name="tgt_share" dataDxfId="3342">
      <calculatedColumnFormula>$P76/$H$33</calculatedColumnFormula>
    </tableColumn>
    <tableColumn id="24" xr3:uid="{00000000-0010-0000-6100-000018000000}" name="ypc" dataDxfId="3341">
      <calculatedColumnFormula>$N76/$M76</calculatedColumnFormula>
    </tableColumn>
    <tableColumn id="25" xr3:uid="{00000000-0010-0000-6100-000019000000}" name="ypr" dataDxfId="3340">
      <calculatedColumnFormula>$R76/$Q76</calculatedColumnFormula>
    </tableColumn>
    <tableColumn id="26" xr3:uid="{00000000-0010-0000-6100-00001A000000}" name="cmp_pct" dataDxfId="3339">
      <calculatedColumnFormula>$I76/$H76</calculatedColumnFormula>
    </tableColumn>
    <tableColumn id="27" xr3:uid="{00000000-0010-0000-6100-00001B000000}" name="td_rate" dataDxfId="3338">
      <calculatedColumnFormula>$K76/$H76</calculatedColumnFormula>
    </tableColumn>
    <tableColumn id="28" xr3:uid="{00000000-0010-0000-6100-00001C000000}" name="f_custom" dataDxfId="333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62000000}" name="JAX_Table1" displayName="JAX_Table1" ref="A1:Y16" totalsRowShown="0" headerRowDxfId="3335" dataDxfId="3309">
  <autoFilter ref="A1:Y16" xr:uid="{00000000-0009-0000-0100-000065000000}"/>
  <tableColumns count="25">
    <tableColumn id="1" xr3:uid="{00000000-0010-0000-6200-000001000000}" name="player_name" dataDxfId="3334"/>
    <tableColumn id="2" xr3:uid="{00000000-0010-0000-6200-000002000000}" name="recent_team" dataDxfId="3333"/>
    <tableColumn id="3" xr3:uid="{00000000-0010-0000-6200-000003000000}" name="pos" dataDxfId="3332"/>
    <tableColumn id="4" xr3:uid="{00000000-0010-0000-6200-000004000000}" name="g" dataDxfId="3331"/>
    <tableColumn id="5" xr3:uid="{00000000-0010-0000-6200-000005000000}" name="p_att" dataDxfId="3330"/>
    <tableColumn id="6" xr3:uid="{00000000-0010-0000-6200-000006000000}" name="cmp" dataDxfId="3329"/>
    <tableColumn id="7" xr3:uid="{00000000-0010-0000-6200-000007000000}" name="p_yd" dataDxfId="3328"/>
    <tableColumn id="8" xr3:uid="{00000000-0010-0000-6200-000008000000}" name="p_td" dataDxfId="3327"/>
    <tableColumn id="9" xr3:uid="{00000000-0010-0000-6200-000009000000}" name="int" dataDxfId="3326"/>
    <tableColumn id="10" xr3:uid="{00000000-0010-0000-6200-00000A000000}" name="car" dataDxfId="3325"/>
    <tableColumn id="11" xr3:uid="{00000000-0010-0000-6200-00000B000000}" name="r_yd" dataDxfId="3324"/>
    <tableColumn id="12" xr3:uid="{00000000-0010-0000-6200-00000C000000}" name="r_td" dataDxfId="3323"/>
    <tableColumn id="13" xr3:uid="{00000000-0010-0000-6200-00000D000000}" name="tgt" dataDxfId="3322"/>
    <tableColumn id="14" xr3:uid="{00000000-0010-0000-6200-00000E000000}" name="rec" dataDxfId="3321"/>
    <tableColumn id="15" xr3:uid="{00000000-0010-0000-6200-00000F000000}" name="rec_yd" dataDxfId="3320"/>
    <tableColumn id="16" xr3:uid="{00000000-0010-0000-6200-000010000000}" name="rec_td" dataDxfId="3319"/>
    <tableColumn id="17" xr3:uid="{00000000-0010-0000-6200-000011000000}" name="fmb" dataDxfId="3318"/>
    <tableColumn id="18" xr3:uid="{00000000-0010-0000-6200-000012000000}" name="tp_c" dataDxfId="3317"/>
    <tableColumn id="19" xr3:uid="{00000000-0010-0000-6200-000013000000}" name="f_ppr" dataDxfId="3316"/>
    <tableColumn id="20" xr3:uid="{00000000-0010-0000-6200-000014000000}" name="tgt_share" dataDxfId="3315"/>
    <tableColumn id="21" xr3:uid="{00000000-0010-0000-6200-000015000000}" name="ypc" dataDxfId="3314"/>
    <tableColumn id="22" xr3:uid="{00000000-0010-0000-6200-000016000000}" name="ypr" dataDxfId="3313"/>
    <tableColumn id="23" xr3:uid="{00000000-0010-0000-6200-000017000000}" name="cmp_pct" dataDxfId="3312"/>
    <tableColumn id="24" xr3:uid="{00000000-0010-0000-6200-000018000000}" name="td_rate" dataDxfId="3311"/>
    <tableColumn id="25" xr3:uid="{9DEF4019-A60A-408F-81BB-F135D5CDE9D6}" name="f_custom" dataDxfId="331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63000000}" name="JAX_Table2" displayName="JAX_Table2" ref="A30:M31" totalsRowShown="0" headerRowDxfId="3308" dataDxfId="3294">
  <autoFilter ref="A30:M31" xr:uid="{00000000-0009-0000-0100-000066000000}"/>
  <tableColumns count="13">
    <tableColumn id="1" xr3:uid="{00000000-0010-0000-6300-000001000000}" name="team" dataDxfId="3307"/>
    <tableColumn id="2" xr3:uid="{00000000-0010-0000-6300-000002000000}" name="off_yd" dataDxfId="3306"/>
    <tableColumn id="3" xr3:uid="{00000000-0010-0000-6300-000003000000}" name="p_yd" dataDxfId="3305"/>
    <tableColumn id="4" xr3:uid="{00000000-0010-0000-6300-000004000000}" name="car" dataDxfId="3304"/>
    <tableColumn id="5" xr3:uid="{00000000-0010-0000-6300-000005000000}" name="r_yd" dataDxfId="3303"/>
    <tableColumn id="6" xr3:uid="{00000000-0010-0000-6300-000006000000}" name="r_td" dataDxfId="3302"/>
    <tableColumn id="7" xr3:uid="{00000000-0010-0000-6300-000007000000}" name="p_ff" dataDxfId="3301"/>
    <tableColumn id="8" xr3:uid="{00000000-0010-0000-6300-000008000000}" name="p_att" dataDxfId="3300"/>
    <tableColumn id="9" xr3:uid="{00000000-0010-0000-6300-000009000000}" name="cmp_pct" dataDxfId="3299"/>
    <tableColumn id="10" xr3:uid="{00000000-0010-0000-6300-00000A000000}" name="p_td" dataDxfId="3298"/>
    <tableColumn id="11" xr3:uid="{00000000-0010-0000-6300-00000B000000}" name="int" dataDxfId="3297"/>
    <tableColumn id="12" xr3:uid="{00000000-0010-0000-6300-00000C000000}" name="fmb" dataDxfId="3296"/>
    <tableColumn id="13" xr3:uid="{E8C6DA4C-2FF5-42C6-A1FE-75B7D156D5C2}" name="f_custom" dataDxfId="329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64000000}" name="JAX_Table3" displayName="JAX_Table3" ref="A32:M33" totalsRowShown="0" headerRowDxfId="3293" dataDxfId="3279">
  <autoFilter ref="A32:M33" xr:uid="{00000000-0009-0000-0100-000067000000}"/>
  <tableColumns count="13">
    <tableColumn id="1" xr3:uid="{00000000-0010-0000-6400-000001000000}" name="team" dataDxfId="3292">
      <calculatedColumnFormula>A31</calculatedColumnFormula>
    </tableColumn>
    <tableColumn id="2" xr3:uid="{00000000-0010-0000-6400-000002000000}" name="off_yd" dataDxfId="3291">
      <calculatedColumnFormula>C33 + E33</calculatedColumnFormula>
    </tableColumn>
    <tableColumn id="3" xr3:uid="{00000000-0010-0000-6400-000003000000}" name="p_yd" dataDxfId="3290">
      <calculatedColumnFormula>SUM(INDIRECT(A33 &amp; "_Table4[[#All],[p_yd]]"))</calculatedColumnFormula>
    </tableColumn>
    <tableColumn id="4" xr3:uid="{00000000-0010-0000-6400-000004000000}" name="car" dataDxfId="328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400-000005000000}" name="r_yd" dataDxfId="328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400-000006000000}" name="r_td" dataDxfId="328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400-000007000000}" name="p_ff" dataDxfId="328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400-000008000000}" name="p_att" dataDxfId="328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400-000009000000}" name="cmp_pct" dataDxfId="3284">
      <calculatedColumnFormula>SUM(INDIRECT(A33 &amp; "_Table4[[#All],[cmp]]"))/H33</calculatedColumnFormula>
    </tableColumn>
    <tableColumn id="10" xr3:uid="{00000000-0010-0000-6400-00000A000000}" name="p_td" dataDxfId="328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400-00000B000000}" name="int" dataDxfId="328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400-00000C000000}" name="fmb" dataDxfId="328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849BE88A-2790-486C-8A93-2E946BC06FE0}" name="f_custom" dataDxfId="328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00000000-000C-0000-FFFF-FFFF65000000}" name="JAX_Table4" displayName="JAX_Table4" ref="A35:AB38" totalsRowShown="0" headerRowDxfId="3278" dataDxfId="3249">
  <autoFilter ref="A35:AB38" xr:uid="{00000000-0009-0000-0100-000068000000}"/>
  <tableColumns count="28">
    <tableColumn id="1" xr3:uid="{00000000-0010-0000-6500-000001000000}" name="Name" dataDxfId="3277"/>
    <tableColumn id="2" xr3:uid="{00000000-0010-0000-6500-000002000000}" name="POS" dataDxfId="3276"/>
    <tableColumn id="3" xr3:uid="{00000000-0010-0000-6500-000003000000}" name="Age" dataDxfId="3275"/>
    <tableColumn id="4" xr3:uid="{00000000-0010-0000-6500-000004000000}" name="Exp" dataDxfId="3274"/>
    <tableColumn id="5" xr3:uid="{00000000-0010-0000-6500-000005000000}" name="College" dataDxfId="3273"/>
    <tableColumn id="6" xr3:uid="{00000000-0010-0000-6500-000006000000}" name="team" dataDxfId="3272"/>
    <tableColumn id="7" xr3:uid="{00000000-0010-0000-6500-000007000000}" name="g" dataDxfId="3271"/>
    <tableColumn id="8" xr3:uid="{00000000-0010-0000-6500-000008000000}" name="p_att" dataDxfId="3270"/>
    <tableColumn id="9" xr3:uid="{00000000-0010-0000-6500-000009000000}" name="cmp" dataDxfId="3269"/>
    <tableColumn id="10" xr3:uid="{00000000-0010-0000-6500-00000A000000}" name="p_yd" dataDxfId="3268"/>
    <tableColumn id="11" xr3:uid="{00000000-0010-0000-6500-00000B000000}" name="p_td" dataDxfId="3267"/>
    <tableColumn id="12" xr3:uid="{00000000-0010-0000-6500-00000C000000}" name="int" dataDxfId="3266"/>
    <tableColumn id="13" xr3:uid="{00000000-0010-0000-6500-00000D000000}" name="car" dataDxfId="3265"/>
    <tableColumn id="14" xr3:uid="{00000000-0010-0000-6500-00000E000000}" name="r_yd" dataDxfId="3264"/>
    <tableColumn id="15" xr3:uid="{00000000-0010-0000-6500-00000F000000}" name="r_td" dataDxfId="3263"/>
    <tableColumn id="16" xr3:uid="{00000000-0010-0000-6500-000010000000}" name="tgt" dataDxfId="3262"/>
    <tableColumn id="17" xr3:uid="{00000000-0010-0000-6500-000011000000}" name="rec" dataDxfId="3261"/>
    <tableColumn id="18" xr3:uid="{00000000-0010-0000-6500-000012000000}" name="rec_yd" dataDxfId="3260"/>
    <tableColumn id="19" xr3:uid="{00000000-0010-0000-6500-000013000000}" name="rec_td" dataDxfId="3259"/>
    <tableColumn id="20" xr3:uid="{00000000-0010-0000-6500-000014000000}" name="fmb" dataDxfId="3258"/>
    <tableColumn id="21" xr3:uid="{00000000-0010-0000-6500-000015000000}" name="tp_c" dataDxfId="3257"/>
    <tableColumn id="22" xr3:uid="{00000000-0010-0000-6500-000016000000}" name="f_ppr" dataDxfId="3256">
      <calculatedColumnFormula>($J36*0.04)+($K36*4)+($L36*-2)+($N36*0.1)+($O36*6)+($Q36)+($R36*0.1)+($S36*6)+($T36*-2)</calculatedColumnFormula>
    </tableColumn>
    <tableColumn id="23" xr3:uid="{00000000-0010-0000-6500-000017000000}" name="tgt_share" dataDxfId="3255">
      <calculatedColumnFormula>$P36/$H$33</calculatedColumnFormula>
    </tableColumn>
    <tableColumn id="24" xr3:uid="{00000000-0010-0000-6500-000018000000}" name="ypc" dataDxfId="3254">
      <calculatedColumnFormula>$N36/$M36</calculatedColumnFormula>
    </tableColumn>
    <tableColumn id="25" xr3:uid="{00000000-0010-0000-6500-000019000000}" name="ypr" dataDxfId="3253">
      <calculatedColumnFormula>$R36/$Q36</calculatedColumnFormula>
    </tableColumn>
    <tableColumn id="26" xr3:uid="{00000000-0010-0000-6500-00001A000000}" name="cmp_pct" dataDxfId="3252">
      <calculatedColumnFormula>$I36/$H36</calculatedColumnFormula>
    </tableColumn>
    <tableColumn id="27" xr3:uid="{00000000-0010-0000-6500-00001B000000}" name="td_rate" dataDxfId="3251">
      <calculatedColumnFormula>$K36/$H36</calculatedColumnFormula>
    </tableColumn>
    <tableColumn id="28" xr3:uid="{00000000-0010-0000-6500-00001C000000}" name="f_custom" dataDxfId="325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0000000-000C-0000-FFFF-FFFF66000000}" name="JAX_Table5" displayName="JAX_Table5" ref="A45:AB51" totalsRowShown="0" headerRowDxfId="3248" dataDxfId="3219">
  <autoFilter ref="A45:AB51" xr:uid="{00000000-0009-0000-0100-000069000000}"/>
  <tableColumns count="28">
    <tableColumn id="1" xr3:uid="{00000000-0010-0000-6600-000001000000}" name="Name" dataDxfId="3247"/>
    <tableColumn id="2" xr3:uid="{00000000-0010-0000-6600-000002000000}" name="POS" dataDxfId="3246"/>
    <tableColumn id="3" xr3:uid="{00000000-0010-0000-6600-000003000000}" name="Age" dataDxfId="3245"/>
    <tableColumn id="4" xr3:uid="{00000000-0010-0000-6600-000004000000}" name="Exp" dataDxfId="3244"/>
    <tableColumn id="5" xr3:uid="{00000000-0010-0000-6600-000005000000}" name="College" dataDxfId="3243"/>
    <tableColumn id="6" xr3:uid="{00000000-0010-0000-6600-000006000000}" name="team" dataDxfId="3242"/>
    <tableColumn id="7" xr3:uid="{00000000-0010-0000-6600-000007000000}" name="g" dataDxfId="3241"/>
    <tableColumn id="8" xr3:uid="{00000000-0010-0000-6600-000008000000}" name="p_att" dataDxfId="3240"/>
    <tableColumn id="9" xr3:uid="{00000000-0010-0000-6600-000009000000}" name="cmp" dataDxfId="3239"/>
    <tableColumn id="10" xr3:uid="{00000000-0010-0000-6600-00000A000000}" name="p_yd" dataDxfId="3238"/>
    <tableColumn id="11" xr3:uid="{00000000-0010-0000-6600-00000B000000}" name="p_td" dataDxfId="3237"/>
    <tableColumn id="12" xr3:uid="{00000000-0010-0000-6600-00000C000000}" name="int" dataDxfId="3236"/>
    <tableColumn id="13" xr3:uid="{00000000-0010-0000-6600-00000D000000}" name="car" dataDxfId="3235"/>
    <tableColumn id="14" xr3:uid="{00000000-0010-0000-6600-00000E000000}" name="r_yd" dataDxfId="3234"/>
    <tableColumn id="15" xr3:uid="{00000000-0010-0000-6600-00000F000000}" name="r_td" dataDxfId="3233"/>
    <tableColumn id="16" xr3:uid="{00000000-0010-0000-6600-000010000000}" name="tgt" dataDxfId="3232"/>
    <tableColumn id="17" xr3:uid="{00000000-0010-0000-6600-000011000000}" name="rec" dataDxfId="3231"/>
    <tableColumn id="18" xr3:uid="{00000000-0010-0000-6600-000012000000}" name="rec_yd" dataDxfId="3230"/>
    <tableColumn id="19" xr3:uid="{00000000-0010-0000-6600-000013000000}" name="rec_td" dataDxfId="3229"/>
    <tableColumn id="20" xr3:uid="{00000000-0010-0000-6600-000014000000}" name="fmb" dataDxfId="3228"/>
    <tableColumn id="21" xr3:uid="{00000000-0010-0000-6600-000015000000}" name="tp_c" dataDxfId="3227"/>
    <tableColumn id="22" xr3:uid="{00000000-0010-0000-6600-000016000000}" name="f_ppr" dataDxfId="3226">
      <calculatedColumnFormula>($J46*0.04)+($K46*4)+($L46*-2)+($N46*0.1)+($O46*6)+($Q46)+($R46*0.1)+($S46*6)+($T46*-2)</calculatedColumnFormula>
    </tableColumn>
    <tableColumn id="23" xr3:uid="{00000000-0010-0000-6600-000017000000}" name="tgt_share" dataDxfId="3225">
      <calculatedColumnFormula>$P46/$H$33</calculatedColumnFormula>
    </tableColumn>
    <tableColumn id="24" xr3:uid="{00000000-0010-0000-6600-000018000000}" name="ypc" dataDxfId="3224">
      <calculatedColumnFormula>$N46/$M46</calculatedColumnFormula>
    </tableColumn>
    <tableColumn id="25" xr3:uid="{00000000-0010-0000-6600-000019000000}" name="ypr" dataDxfId="3223">
      <calculatedColumnFormula>$R46/$Q46</calculatedColumnFormula>
    </tableColumn>
    <tableColumn id="26" xr3:uid="{00000000-0010-0000-6600-00001A000000}" name="cmp_pct" dataDxfId="3222">
      <calculatedColumnFormula>$I46/$H46</calculatedColumnFormula>
    </tableColumn>
    <tableColumn id="27" xr3:uid="{00000000-0010-0000-6600-00001B000000}" name="td_rate" dataDxfId="3221">
      <calculatedColumnFormula>$K46/$H46</calculatedColumnFormula>
    </tableColumn>
    <tableColumn id="28" xr3:uid="{00000000-0010-0000-6600-00001C000000}" name="f_custom" dataDxfId="322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0000000-000C-0000-FFFF-FFFF67000000}" name="JAX_Table6" displayName="JAX_Table6" ref="A60:AB73" totalsRowShown="0" headerRowDxfId="3218" dataDxfId="3189">
  <autoFilter ref="A60:AB73" xr:uid="{00000000-0009-0000-0100-00006A000000}"/>
  <tableColumns count="28">
    <tableColumn id="1" xr3:uid="{00000000-0010-0000-6700-000001000000}" name="Name" dataDxfId="3217"/>
    <tableColumn id="2" xr3:uid="{00000000-0010-0000-6700-000002000000}" name="POS" dataDxfId="3216"/>
    <tableColumn id="3" xr3:uid="{00000000-0010-0000-6700-000003000000}" name="Age" dataDxfId="3215"/>
    <tableColumn id="4" xr3:uid="{00000000-0010-0000-6700-000004000000}" name="Exp" dataDxfId="3214"/>
    <tableColumn id="5" xr3:uid="{00000000-0010-0000-6700-000005000000}" name="College" dataDxfId="3213"/>
    <tableColumn id="6" xr3:uid="{00000000-0010-0000-6700-000006000000}" name="team" dataDxfId="3212"/>
    <tableColumn id="7" xr3:uid="{00000000-0010-0000-6700-000007000000}" name="g" dataDxfId="3211"/>
    <tableColumn id="8" xr3:uid="{00000000-0010-0000-6700-000008000000}" name="p_att" dataDxfId="3210"/>
    <tableColumn id="9" xr3:uid="{00000000-0010-0000-6700-000009000000}" name="cmp" dataDxfId="3209"/>
    <tableColumn id="10" xr3:uid="{00000000-0010-0000-6700-00000A000000}" name="p_yd" dataDxfId="3208"/>
    <tableColumn id="11" xr3:uid="{00000000-0010-0000-6700-00000B000000}" name="p_td" dataDxfId="3207"/>
    <tableColumn id="12" xr3:uid="{00000000-0010-0000-6700-00000C000000}" name="int" dataDxfId="3206"/>
    <tableColumn id="13" xr3:uid="{00000000-0010-0000-6700-00000D000000}" name="car" dataDxfId="3205"/>
    <tableColumn id="14" xr3:uid="{00000000-0010-0000-6700-00000E000000}" name="r_yd" dataDxfId="3204"/>
    <tableColumn id="15" xr3:uid="{00000000-0010-0000-6700-00000F000000}" name="r_td" dataDxfId="3203"/>
    <tableColumn id="16" xr3:uid="{00000000-0010-0000-6700-000010000000}" name="tgt" dataDxfId="3202"/>
    <tableColumn id="17" xr3:uid="{00000000-0010-0000-6700-000011000000}" name="rec" dataDxfId="3201"/>
    <tableColumn id="18" xr3:uid="{00000000-0010-0000-6700-000012000000}" name="rec_yd" dataDxfId="3200"/>
    <tableColumn id="19" xr3:uid="{00000000-0010-0000-6700-000013000000}" name="rec_td" dataDxfId="3199"/>
    <tableColumn id="20" xr3:uid="{00000000-0010-0000-6700-000014000000}" name="fmb" dataDxfId="3198"/>
    <tableColumn id="21" xr3:uid="{00000000-0010-0000-6700-000015000000}" name="tp_c" dataDxfId="3197"/>
    <tableColumn id="22" xr3:uid="{00000000-0010-0000-6700-000016000000}" name="f_ppr" dataDxfId="3196">
      <calculatedColumnFormula>($J61*0.04)+($K61*4)+($L61*-2)+($N61*0.1)+($O61*6)+($Q61)+($R61*0.1)+($S61*6)+($T61*-2)</calculatedColumnFormula>
    </tableColumn>
    <tableColumn id="23" xr3:uid="{00000000-0010-0000-6700-000017000000}" name="tgt_share" dataDxfId="3195">
      <calculatedColumnFormula>$P61/$H$33</calculatedColumnFormula>
    </tableColumn>
    <tableColumn id="24" xr3:uid="{00000000-0010-0000-6700-000018000000}" name="ypc" dataDxfId="3194">
      <calculatedColumnFormula>$N61/$M61</calculatedColumnFormula>
    </tableColumn>
    <tableColumn id="25" xr3:uid="{00000000-0010-0000-6700-000019000000}" name="ypr" dataDxfId="3193">
      <calculatedColumnFormula>$R61/$Q61</calculatedColumnFormula>
    </tableColumn>
    <tableColumn id="26" xr3:uid="{00000000-0010-0000-6700-00001A000000}" name="cmp_pct" dataDxfId="3192">
      <calculatedColumnFormula>$I61/$H61</calculatedColumnFormula>
    </tableColumn>
    <tableColumn id="27" xr3:uid="{00000000-0010-0000-6700-00001B000000}" name="td_rate" dataDxfId="3191">
      <calculatedColumnFormula>$K61/$H61</calculatedColumnFormula>
    </tableColumn>
    <tableColumn id="28" xr3:uid="{00000000-0010-0000-6700-00001C000000}" name="f_custom" dataDxfId="319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0000000-000C-0000-FFFF-FFFF68000000}" name="JAX_Table7" displayName="JAX_Table7" ref="A75:AB82" totalsRowShown="0" headerRowDxfId="3188" dataDxfId="3159">
  <autoFilter ref="A75:AB82" xr:uid="{00000000-0009-0000-0100-00006B000000}"/>
  <tableColumns count="28">
    <tableColumn id="1" xr3:uid="{00000000-0010-0000-6800-000001000000}" name="Name" dataDxfId="3187"/>
    <tableColumn id="2" xr3:uid="{00000000-0010-0000-6800-000002000000}" name="POS" dataDxfId="3186"/>
    <tableColumn id="3" xr3:uid="{00000000-0010-0000-6800-000003000000}" name="Age" dataDxfId="3185"/>
    <tableColumn id="4" xr3:uid="{00000000-0010-0000-6800-000004000000}" name="Exp" dataDxfId="3184"/>
    <tableColumn id="5" xr3:uid="{00000000-0010-0000-6800-000005000000}" name="College" dataDxfId="3183"/>
    <tableColumn id="6" xr3:uid="{00000000-0010-0000-6800-000006000000}" name="team" dataDxfId="3182"/>
    <tableColumn id="7" xr3:uid="{00000000-0010-0000-6800-000007000000}" name="g" dataDxfId="3181"/>
    <tableColumn id="8" xr3:uid="{00000000-0010-0000-6800-000008000000}" name="p_att" dataDxfId="3180"/>
    <tableColumn id="9" xr3:uid="{00000000-0010-0000-6800-000009000000}" name="cmp" dataDxfId="3179"/>
    <tableColumn id="10" xr3:uid="{00000000-0010-0000-6800-00000A000000}" name="p_yd" dataDxfId="3178"/>
    <tableColumn id="11" xr3:uid="{00000000-0010-0000-6800-00000B000000}" name="p_td" dataDxfId="3177"/>
    <tableColumn id="12" xr3:uid="{00000000-0010-0000-6800-00000C000000}" name="int" dataDxfId="3176"/>
    <tableColumn id="13" xr3:uid="{00000000-0010-0000-6800-00000D000000}" name="car" dataDxfId="3175"/>
    <tableColumn id="14" xr3:uid="{00000000-0010-0000-6800-00000E000000}" name="r_yd" dataDxfId="3174"/>
    <tableColumn id="15" xr3:uid="{00000000-0010-0000-6800-00000F000000}" name="r_td" dataDxfId="3173"/>
    <tableColumn id="16" xr3:uid="{00000000-0010-0000-6800-000010000000}" name="tgt" dataDxfId="3172"/>
    <tableColumn id="17" xr3:uid="{00000000-0010-0000-6800-000011000000}" name="rec" dataDxfId="3171"/>
    <tableColumn id="18" xr3:uid="{00000000-0010-0000-6800-000012000000}" name="rec_yd" dataDxfId="3170"/>
    <tableColumn id="19" xr3:uid="{00000000-0010-0000-6800-000013000000}" name="rec_td" dataDxfId="3169"/>
    <tableColumn id="20" xr3:uid="{00000000-0010-0000-6800-000014000000}" name="fmb" dataDxfId="3168"/>
    <tableColumn id="21" xr3:uid="{00000000-0010-0000-6800-000015000000}" name="tp_c" dataDxfId="3167"/>
    <tableColumn id="22" xr3:uid="{00000000-0010-0000-6800-000016000000}" name="f_ppr" dataDxfId="3166">
      <calculatedColumnFormula>($J76*0.04)+($K76*4)+($L76*-2)+($N76*0.1)+($O76*6)+($Q76)+($R76*0.1)+($S76*6)+($T76*-2)</calculatedColumnFormula>
    </tableColumn>
    <tableColumn id="23" xr3:uid="{00000000-0010-0000-6800-000017000000}" name="tgt_share" dataDxfId="3165">
      <calculatedColumnFormula>$P76/$H$33</calculatedColumnFormula>
    </tableColumn>
    <tableColumn id="24" xr3:uid="{00000000-0010-0000-6800-000018000000}" name="ypc" dataDxfId="3164">
      <calculatedColumnFormula>$N76/$M76</calculatedColumnFormula>
    </tableColumn>
    <tableColumn id="25" xr3:uid="{00000000-0010-0000-6800-000019000000}" name="ypr" dataDxfId="3163">
      <calculatedColumnFormula>$R76/$Q76</calculatedColumnFormula>
    </tableColumn>
    <tableColumn id="26" xr3:uid="{00000000-0010-0000-6800-00001A000000}" name="cmp_pct" dataDxfId="3162">
      <calculatedColumnFormula>$I76/$H76</calculatedColumnFormula>
    </tableColumn>
    <tableColumn id="27" xr3:uid="{00000000-0010-0000-6800-00001B000000}" name="td_rate" dataDxfId="3161">
      <calculatedColumnFormula>$K76/$H76</calculatedColumnFormula>
    </tableColumn>
    <tableColumn id="28" xr3:uid="{00000000-0010-0000-6800-00001C000000}" name="f_custom" dataDxfId="316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0000000-000C-0000-FFFF-FFFF69000000}" name="KC_Table1" displayName="KC_Table1" ref="A1:Y18" totalsRowShown="0" headerRowDxfId="3158" dataDxfId="3132">
  <autoFilter ref="A1:Y18" xr:uid="{00000000-0009-0000-0100-00006C000000}"/>
  <tableColumns count="25">
    <tableColumn id="1" xr3:uid="{00000000-0010-0000-6900-000001000000}" name="player_name" dataDxfId="3157"/>
    <tableColumn id="2" xr3:uid="{00000000-0010-0000-6900-000002000000}" name="recent_team" dataDxfId="3156"/>
    <tableColumn id="3" xr3:uid="{00000000-0010-0000-6900-000003000000}" name="pos" dataDxfId="3155"/>
    <tableColumn id="4" xr3:uid="{00000000-0010-0000-6900-000004000000}" name="g" dataDxfId="3154"/>
    <tableColumn id="5" xr3:uid="{00000000-0010-0000-6900-000005000000}" name="p_att" dataDxfId="3153"/>
    <tableColumn id="6" xr3:uid="{00000000-0010-0000-6900-000006000000}" name="cmp" dataDxfId="3152"/>
    <tableColumn id="7" xr3:uid="{00000000-0010-0000-6900-000007000000}" name="p_yd" dataDxfId="3151"/>
    <tableColumn id="8" xr3:uid="{00000000-0010-0000-6900-000008000000}" name="p_td" dataDxfId="3150"/>
    <tableColumn id="9" xr3:uid="{00000000-0010-0000-6900-000009000000}" name="int" dataDxfId="3149"/>
    <tableColumn id="10" xr3:uid="{00000000-0010-0000-6900-00000A000000}" name="car" dataDxfId="3148"/>
    <tableColumn id="11" xr3:uid="{00000000-0010-0000-6900-00000B000000}" name="r_yd" dataDxfId="3147"/>
    <tableColumn id="12" xr3:uid="{00000000-0010-0000-6900-00000C000000}" name="r_td" dataDxfId="3146"/>
    <tableColumn id="13" xr3:uid="{00000000-0010-0000-6900-00000D000000}" name="tgt" dataDxfId="3145"/>
    <tableColumn id="14" xr3:uid="{00000000-0010-0000-6900-00000E000000}" name="rec" dataDxfId="3144"/>
    <tableColumn id="15" xr3:uid="{00000000-0010-0000-6900-00000F000000}" name="rec_yd" dataDxfId="3143"/>
    <tableColumn id="16" xr3:uid="{00000000-0010-0000-6900-000010000000}" name="rec_td" dataDxfId="3142"/>
    <tableColumn id="17" xr3:uid="{00000000-0010-0000-6900-000011000000}" name="fmb" dataDxfId="3141"/>
    <tableColumn id="18" xr3:uid="{00000000-0010-0000-6900-000012000000}" name="tp_c" dataDxfId="3140"/>
    <tableColumn id="19" xr3:uid="{00000000-0010-0000-6900-000013000000}" name="f_ppr" dataDxfId="3139"/>
    <tableColumn id="20" xr3:uid="{00000000-0010-0000-6900-000014000000}" name="tgt_share" dataDxfId="3138"/>
    <tableColumn id="21" xr3:uid="{00000000-0010-0000-6900-000015000000}" name="ypc" dataDxfId="3137"/>
    <tableColumn id="22" xr3:uid="{00000000-0010-0000-6900-000016000000}" name="ypr" dataDxfId="3136"/>
    <tableColumn id="23" xr3:uid="{00000000-0010-0000-6900-000017000000}" name="cmp_pct" dataDxfId="3135"/>
    <tableColumn id="24" xr3:uid="{00000000-0010-0000-6900-000018000000}" name="td_rate" dataDxfId="3134"/>
    <tableColumn id="25" xr3:uid="{1E4C193C-4F88-462F-840B-3C5E079D6507}" name="f_custom" dataDxfId="313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0000000-000C-0000-FFFF-FFFF6A000000}" name="KC_Table2" displayName="KC_Table2" ref="A30:M31" totalsRowShown="0" headerRowDxfId="3131" dataDxfId="3117">
  <autoFilter ref="A30:M31" xr:uid="{00000000-0009-0000-0100-00006D000000}"/>
  <tableColumns count="13">
    <tableColumn id="1" xr3:uid="{00000000-0010-0000-6A00-000001000000}" name="team" dataDxfId="3130"/>
    <tableColumn id="2" xr3:uid="{00000000-0010-0000-6A00-000002000000}" name="off_yd" dataDxfId="3129"/>
    <tableColumn id="3" xr3:uid="{00000000-0010-0000-6A00-000003000000}" name="p_yd" dataDxfId="3128"/>
    <tableColumn id="4" xr3:uid="{00000000-0010-0000-6A00-000004000000}" name="car" dataDxfId="3127"/>
    <tableColumn id="5" xr3:uid="{00000000-0010-0000-6A00-000005000000}" name="r_yd" dataDxfId="3126"/>
    <tableColumn id="6" xr3:uid="{00000000-0010-0000-6A00-000006000000}" name="r_td" dataDxfId="3125"/>
    <tableColumn id="7" xr3:uid="{00000000-0010-0000-6A00-000007000000}" name="p_ff" dataDxfId="3124"/>
    <tableColumn id="8" xr3:uid="{00000000-0010-0000-6A00-000008000000}" name="p_att" dataDxfId="3123"/>
    <tableColumn id="9" xr3:uid="{00000000-0010-0000-6A00-000009000000}" name="cmp_pct" dataDxfId="3122"/>
    <tableColumn id="10" xr3:uid="{00000000-0010-0000-6A00-00000A000000}" name="p_td" dataDxfId="3121"/>
    <tableColumn id="11" xr3:uid="{00000000-0010-0000-6A00-00000B000000}" name="int" dataDxfId="3120"/>
    <tableColumn id="12" xr3:uid="{00000000-0010-0000-6A00-00000C000000}" name="fmb" dataDxfId="3119"/>
    <tableColumn id="13" xr3:uid="{8CF77534-A94E-42BF-ACBA-76635A1F053A}" name="f_custom" dataDxfId="311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00000000-000C-0000-FFFF-FFFF6B000000}" name="KC_Table3" displayName="KC_Table3" ref="A32:M33" totalsRowShown="0" headerRowDxfId="3116" dataDxfId="3102">
  <autoFilter ref="A32:M33" xr:uid="{00000000-0009-0000-0100-00006E000000}"/>
  <tableColumns count="13">
    <tableColumn id="1" xr3:uid="{00000000-0010-0000-6B00-000001000000}" name="team" dataDxfId="3115">
      <calculatedColumnFormula>A31</calculatedColumnFormula>
    </tableColumn>
    <tableColumn id="2" xr3:uid="{00000000-0010-0000-6B00-000002000000}" name="off_yd" dataDxfId="3114">
      <calculatedColumnFormula>C33 + E33</calculatedColumnFormula>
    </tableColumn>
    <tableColumn id="3" xr3:uid="{00000000-0010-0000-6B00-000003000000}" name="p_yd" dataDxfId="3113">
      <calculatedColumnFormula>SUM(INDIRECT(A33 &amp; "_Table4[[#All],[p_yd]]"))</calculatedColumnFormula>
    </tableColumn>
    <tableColumn id="4" xr3:uid="{00000000-0010-0000-6B00-000004000000}" name="car" dataDxfId="311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B00-000005000000}" name="r_yd" dataDxfId="311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B00-000006000000}" name="r_td" dataDxfId="311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B00-000007000000}" name="p_ff" dataDxfId="310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B00-000008000000}" name="p_att" dataDxfId="310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B00-000009000000}" name="cmp_pct" dataDxfId="3107">
      <calculatedColumnFormula>SUM(INDIRECT(A33 &amp; "_Table4[[#All],[cmp]]"))/H33</calculatedColumnFormula>
    </tableColumn>
    <tableColumn id="10" xr3:uid="{00000000-0010-0000-6B00-00000A000000}" name="p_td" dataDxfId="310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B00-00000B000000}" name="int" dataDxfId="310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B00-00000C000000}" name="fmb" dataDxfId="310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C810F91-3F4D-4FF8-A098-424545087191}" name="f_custom" dataDxfId="310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0000000-000C-0000-FFFF-FFFF6C000000}" name="KC_Table4" displayName="KC_Table4" ref="A35:AB39" totalsRowShown="0" headerRowDxfId="3101" dataDxfId="3072">
  <autoFilter ref="A35:AB39" xr:uid="{00000000-0009-0000-0100-00006F000000}"/>
  <tableColumns count="28">
    <tableColumn id="1" xr3:uid="{00000000-0010-0000-6C00-000001000000}" name="Name" dataDxfId="3100"/>
    <tableColumn id="2" xr3:uid="{00000000-0010-0000-6C00-000002000000}" name="POS" dataDxfId="3099"/>
    <tableColumn id="3" xr3:uid="{00000000-0010-0000-6C00-000003000000}" name="Age" dataDxfId="3098"/>
    <tableColumn id="4" xr3:uid="{00000000-0010-0000-6C00-000004000000}" name="Exp" dataDxfId="3097"/>
    <tableColumn id="5" xr3:uid="{00000000-0010-0000-6C00-000005000000}" name="College" dataDxfId="3096"/>
    <tableColumn id="6" xr3:uid="{00000000-0010-0000-6C00-000006000000}" name="team" dataDxfId="3095"/>
    <tableColumn id="7" xr3:uid="{00000000-0010-0000-6C00-000007000000}" name="g" dataDxfId="3094"/>
    <tableColumn id="8" xr3:uid="{00000000-0010-0000-6C00-000008000000}" name="p_att" dataDxfId="3093"/>
    <tableColumn id="9" xr3:uid="{00000000-0010-0000-6C00-000009000000}" name="cmp" dataDxfId="3092"/>
    <tableColumn id="10" xr3:uid="{00000000-0010-0000-6C00-00000A000000}" name="p_yd" dataDxfId="3091"/>
    <tableColumn id="11" xr3:uid="{00000000-0010-0000-6C00-00000B000000}" name="p_td" dataDxfId="3090"/>
    <tableColumn id="12" xr3:uid="{00000000-0010-0000-6C00-00000C000000}" name="int" dataDxfId="3089"/>
    <tableColumn id="13" xr3:uid="{00000000-0010-0000-6C00-00000D000000}" name="car" dataDxfId="3088"/>
    <tableColumn id="14" xr3:uid="{00000000-0010-0000-6C00-00000E000000}" name="r_yd" dataDxfId="3087"/>
    <tableColumn id="15" xr3:uid="{00000000-0010-0000-6C00-00000F000000}" name="r_td" dataDxfId="3086"/>
    <tableColumn id="16" xr3:uid="{00000000-0010-0000-6C00-000010000000}" name="tgt" dataDxfId="3085"/>
    <tableColumn id="17" xr3:uid="{00000000-0010-0000-6C00-000011000000}" name="rec" dataDxfId="3084"/>
    <tableColumn id="18" xr3:uid="{00000000-0010-0000-6C00-000012000000}" name="rec_yd" dataDxfId="3083"/>
    <tableColumn id="19" xr3:uid="{00000000-0010-0000-6C00-000013000000}" name="rec_td" dataDxfId="3082"/>
    <tableColumn id="20" xr3:uid="{00000000-0010-0000-6C00-000014000000}" name="fmb" dataDxfId="3081"/>
    <tableColumn id="21" xr3:uid="{00000000-0010-0000-6C00-000015000000}" name="tp_c" dataDxfId="3080"/>
    <tableColumn id="22" xr3:uid="{00000000-0010-0000-6C00-000016000000}" name="f_ppr" dataDxfId="3079">
      <calculatedColumnFormula>($J36*0.04)+($K36*4)+($L36*-2)+($N36*0.1)+($O36*6)+($Q36)+($R36*0.1)+($S36*6)+($T36*-2)</calculatedColumnFormula>
    </tableColumn>
    <tableColumn id="23" xr3:uid="{00000000-0010-0000-6C00-000017000000}" name="tgt_share" dataDxfId="3078">
      <calculatedColumnFormula>$P36/$H$33</calculatedColumnFormula>
    </tableColumn>
    <tableColumn id="24" xr3:uid="{00000000-0010-0000-6C00-000018000000}" name="ypc" dataDxfId="3077">
      <calculatedColumnFormula>$N36/$M36</calculatedColumnFormula>
    </tableColumn>
    <tableColumn id="25" xr3:uid="{00000000-0010-0000-6C00-000019000000}" name="ypr" dataDxfId="3076">
      <calculatedColumnFormula>$R36/$Q36</calculatedColumnFormula>
    </tableColumn>
    <tableColumn id="26" xr3:uid="{00000000-0010-0000-6C00-00001A000000}" name="cmp_pct" dataDxfId="3075">
      <calculatedColumnFormula>$I36/$H36</calculatedColumnFormula>
    </tableColumn>
    <tableColumn id="27" xr3:uid="{00000000-0010-0000-6C00-00001B000000}" name="td_rate" dataDxfId="3074">
      <calculatedColumnFormula>$K36/$H36</calculatedColumnFormula>
    </tableColumn>
    <tableColumn id="28" xr3:uid="{00000000-0010-0000-6C00-00001C000000}" name="f_custom" dataDxfId="3073">
      <calculatedColumnFormula>($J36*Cp_yd)+($K36*Cp_td)+($L36*Cint)+($M36*Ccar)+($N36*Cr_td)+($O36*Cr_yd)+(Q36*Crec)+($R36*Crec_yd)+($S36*Crec_td)+($T36*Cfmb)+($U36*Ctp_c)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00000000-000C-0000-FFFF-FFFF6D000000}" name="KC_Table5" displayName="KC_Table5" ref="A45:AB50" totalsRowShown="0" headerRowDxfId="3071" dataDxfId="3042">
  <autoFilter ref="A45:AB50" xr:uid="{00000000-0009-0000-0100-000070000000}"/>
  <tableColumns count="28">
    <tableColumn id="1" xr3:uid="{00000000-0010-0000-6D00-000001000000}" name="Name" dataDxfId="3070"/>
    <tableColumn id="2" xr3:uid="{00000000-0010-0000-6D00-000002000000}" name="POS" dataDxfId="3069"/>
    <tableColumn id="3" xr3:uid="{00000000-0010-0000-6D00-000003000000}" name="Age" dataDxfId="3068"/>
    <tableColumn id="4" xr3:uid="{00000000-0010-0000-6D00-000004000000}" name="Exp" dataDxfId="3067"/>
    <tableColumn id="5" xr3:uid="{00000000-0010-0000-6D00-000005000000}" name="College" dataDxfId="3066"/>
    <tableColumn id="6" xr3:uid="{00000000-0010-0000-6D00-000006000000}" name="team" dataDxfId="3065"/>
    <tableColumn id="7" xr3:uid="{00000000-0010-0000-6D00-000007000000}" name="g" dataDxfId="3064"/>
    <tableColumn id="8" xr3:uid="{00000000-0010-0000-6D00-000008000000}" name="p_att" dataDxfId="3063"/>
    <tableColumn id="9" xr3:uid="{00000000-0010-0000-6D00-000009000000}" name="cmp" dataDxfId="3062"/>
    <tableColumn id="10" xr3:uid="{00000000-0010-0000-6D00-00000A000000}" name="p_yd" dataDxfId="3061"/>
    <tableColumn id="11" xr3:uid="{00000000-0010-0000-6D00-00000B000000}" name="p_td" dataDxfId="3060"/>
    <tableColumn id="12" xr3:uid="{00000000-0010-0000-6D00-00000C000000}" name="int" dataDxfId="3059"/>
    <tableColumn id="13" xr3:uid="{00000000-0010-0000-6D00-00000D000000}" name="car" dataDxfId="3058"/>
    <tableColumn id="14" xr3:uid="{00000000-0010-0000-6D00-00000E000000}" name="r_yd" dataDxfId="3057"/>
    <tableColumn id="15" xr3:uid="{00000000-0010-0000-6D00-00000F000000}" name="r_td" dataDxfId="3056"/>
    <tableColumn id="16" xr3:uid="{00000000-0010-0000-6D00-000010000000}" name="tgt" dataDxfId="3055"/>
    <tableColumn id="17" xr3:uid="{00000000-0010-0000-6D00-000011000000}" name="rec" dataDxfId="3054"/>
    <tableColumn id="18" xr3:uid="{00000000-0010-0000-6D00-000012000000}" name="rec_yd" dataDxfId="3053"/>
    <tableColumn id="19" xr3:uid="{00000000-0010-0000-6D00-000013000000}" name="rec_td" dataDxfId="3052"/>
    <tableColumn id="20" xr3:uid="{00000000-0010-0000-6D00-000014000000}" name="fmb" dataDxfId="3051"/>
    <tableColumn id="21" xr3:uid="{00000000-0010-0000-6D00-000015000000}" name="tp_c" dataDxfId="3050"/>
    <tableColumn id="22" xr3:uid="{00000000-0010-0000-6D00-000016000000}" name="f_ppr" dataDxfId="3049">
      <calculatedColumnFormula>($J46*0.04)+($K46*4)+($L46*-2)+($N46*0.1)+($O46*6)+($Q46)+($R46*0.1)+($S46*6)+($T46*-2)</calculatedColumnFormula>
    </tableColumn>
    <tableColumn id="23" xr3:uid="{00000000-0010-0000-6D00-000017000000}" name="tgt_share" dataDxfId="3048">
      <calculatedColumnFormula>$P46/$H$33</calculatedColumnFormula>
    </tableColumn>
    <tableColumn id="24" xr3:uid="{00000000-0010-0000-6D00-000018000000}" name="ypc" dataDxfId="3047">
      <calculatedColumnFormula>$N46/$M46</calculatedColumnFormula>
    </tableColumn>
    <tableColumn id="25" xr3:uid="{00000000-0010-0000-6D00-000019000000}" name="ypr" dataDxfId="3046">
      <calculatedColumnFormula>$R46/$Q46</calculatedColumnFormula>
    </tableColumn>
    <tableColumn id="26" xr3:uid="{00000000-0010-0000-6D00-00001A000000}" name="cmp_pct" dataDxfId="3045">
      <calculatedColumnFormula>$I46/$H46</calculatedColumnFormula>
    </tableColumn>
    <tableColumn id="27" xr3:uid="{00000000-0010-0000-6D00-00001B000000}" name="td_rate" dataDxfId="3044">
      <calculatedColumnFormula>$K46/$H46</calculatedColumnFormula>
    </tableColumn>
    <tableColumn id="28" xr3:uid="{00000000-0010-0000-6D00-00001C000000}" name="f_custom" dataDxfId="304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0000000-000C-0000-FFFF-FFFF6E000000}" name="KC_Table6" displayName="KC_Table6" ref="A60:AB74" totalsRowShown="0" headerRowDxfId="3041" dataDxfId="3012">
  <autoFilter ref="A60:AB74" xr:uid="{00000000-0009-0000-0100-000071000000}"/>
  <tableColumns count="28">
    <tableColumn id="1" xr3:uid="{00000000-0010-0000-6E00-000001000000}" name="Name" dataDxfId="3040"/>
    <tableColumn id="2" xr3:uid="{00000000-0010-0000-6E00-000002000000}" name="POS" dataDxfId="3039"/>
    <tableColumn id="3" xr3:uid="{00000000-0010-0000-6E00-000003000000}" name="Age" dataDxfId="3038"/>
    <tableColumn id="4" xr3:uid="{00000000-0010-0000-6E00-000004000000}" name="Exp" dataDxfId="3037"/>
    <tableColumn id="5" xr3:uid="{00000000-0010-0000-6E00-000005000000}" name="College" dataDxfId="3036"/>
    <tableColumn id="6" xr3:uid="{00000000-0010-0000-6E00-000006000000}" name="team" dataDxfId="3035"/>
    <tableColumn id="7" xr3:uid="{00000000-0010-0000-6E00-000007000000}" name="g" dataDxfId="3034"/>
    <tableColumn id="8" xr3:uid="{00000000-0010-0000-6E00-000008000000}" name="p_att" dataDxfId="3033"/>
    <tableColumn id="9" xr3:uid="{00000000-0010-0000-6E00-000009000000}" name="cmp" dataDxfId="3032"/>
    <tableColumn id="10" xr3:uid="{00000000-0010-0000-6E00-00000A000000}" name="p_yd" dataDxfId="3031"/>
    <tableColumn id="11" xr3:uid="{00000000-0010-0000-6E00-00000B000000}" name="p_td" dataDxfId="3030"/>
    <tableColumn id="12" xr3:uid="{00000000-0010-0000-6E00-00000C000000}" name="int" dataDxfId="3029"/>
    <tableColumn id="13" xr3:uid="{00000000-0010-0000-6E00-00000D000000}" name="car" dataDxfId="3028"/>
    <tableColumn id="14" xr3:uid="{00000000-0010-0000-6E00-00000E000000}" name="r_yd" dataDxfId="3027"/>
    <tableColumn id="15" xr3:uid="{00000000-0010-0000-6E00-00000F000000}" name="r_td" dataDxfId="3026"/>
    <tableColumn id="16" xr3:uid="{00000000-0010-0000-6E00-000010000000}" name="tgt" dataDxfId="3025"/>
    <tableColumn id="17" xr3:uid="{00000000-0010-0000-6E00-000011000000}" name="rec" dataDxfId="3024"/>
    <tableColumn id="18" xr3:uid="{00000000-0010-0000-6E00-000012000000}" name="rec_yd" dataDxfId="3023"/>
    <tableColumn id="19" xr3:uid="{00000000-0010-0000-6E00-000013000000}" name="rec_td" dataDxfId="3022"/>
    <tableColumn id="20" xr3:uid="{00000000-0010-0000-6E00-000014000000}" name="fmb" dataDxfId="3021"/>
    <tableColumn id="21" xr3:uid="{00000000-0010-0000-6E00-000015000000}" name="tp_c" dataDxfId="3020"/>
    <tableColumn id="22" xr3:uid="{00000000-0010-0000-6E00-000016000000}" name="f_ppr" dataDxfId="3019">
      <calculatedColumnFormula>($J61*0.04)+($K61*4)+($L61*-2)+($N61*0.1)+($O61*6)+($Q61)+($R61*0.1)+($S61*6)+($T61*-2)</calculatedColumnFormula>
    </tableColumn>
    <tableColumn id="23" xr3:uid="{00000000-0010-0000-6E00-000017000000}" name="tgt_share" dataDxfId="3018">
      <calculatedColumnFormula>$P61/$H$33</calculatedColumnFormula>
    </tableColumn>
    <tableColumn id="24" xr3:uid="{00000000-0010-0000-6E00-000018000000}" name="ypc" dataDxfId="3017">
      <calculatedColumnFormula>$N61/$M61</calculatedColumnFormula>
    </tableColumn>
    <tableColumn id="25" xr3:uid="{00000000-0010-0000-6E00-000019000000}" name="ypr" dataDxfId="3016">
      <calculatedColumnFormula>$R61/$Q61</calculatedColumnFormula>
    </tableColumn>
    <tableColumn id="26" xr3:uid="{00000000-0010-0000-6E00-00001A000000}" name="cmp_pct" dataDxfId="3015">
      <calculatedColumnFormula>$I61/$H61</calculatedColumnFormula>
    </tableColumn>
    <tableColumn id="27" xr3:uid="{00000000-0010-0000-6E00-00001B000000}" name="td_rate" dataDxfId="3014">
      <calculatedColumnFormula>$K61/$H61</calculatedColumnFormula>
    </tableColumn>
    <tableColumn id="28" xr3:uid="{00000000-0010-0000-6E00-00001C000000}" name="f_custom" dataDxfId="301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00000000-000C-0000-FFFF-FFFF6F000000}" name="KC_Table7" displayName="KC_Table7" ref="A75:AB82" totalsRowShown="0" headerRowDxfId="3011" dataDxfId="2982">
  <autoFilter ref="A75:AB82" xr:uid="{00000000-0009-0000-0100-000072000000}"/>
  <tableColumns count="28">
    <tableColumn id="1" xr3:uid="{00000000-0010-0000-6F00-000001000000}" name="Name" dataDxfId="3010"/>
    <tableColumn id="2" xr3:uid="{00000000-0010-0000-6F00-000002000000}" name="POS" dataDxfId="3009"/>
    <tableColumn id="3" xr3:uid="{00000000-0010-0000-6F00-000003000000}" name="Age" dataDxfId="3008"/>
    <tableColumn id="4" xr3:uid="{00000000-0010-0000-6F00-000004000000}" name="Exp" dataDxfId="3007"/>
    <tableColumn id="5" xr3:uid="{00000000-0010-0000-6F00-000005000000}" name="College" dataDxfId="3006"/>
    <tableColumn id="6" xr3:uid="{00000000-0010-0000-6F00-000006000000}" name="team" dataDxfId="3005"/>
    <tableColumn id="7" xr3:uid="{00000000-0010-0000-6F00-000007000000}" name="g" dataDxfId="3004"/>
    <tableColumn id="8" xr3:uid="{00000000-0010-0000-6F00-000008000000}" name="p_att" dataDxfId="3003"/>
    <tableColumn id="9" xr3:uid="{00000000-0010-0000-6F00-000009000000}" name="cmp" dataDxfId="3002"/>
    <tableColumn id="10" xr3:uid="{00000000-0010-0000-6F00-00000A000000}" name="p_yd" dataDxfId="3001"/>
    <tableColumn id="11" xr3:uid="{00000000-0010-0000-6F00-00000B000000}" name="p_td" dataDxfId="3000"/>
    <tableColumn id="12" xr3:uid="{00000000-0010-0000-6F00-00000C000000}" name="int" dataDxfId="2999"/>
    <tableColumn id="13" xr3:uid="{00000000-0010-0000-6F00-00000D000000}" name="car" dataDxfId="2998"/>
    <tableColumn id="14" xr3:uid="{00000000-0010-0000-6F00-00000E000000}" name="r_yd" dataDxfId="2997"/>
    <tableColumn id="15" xr3:uid="{00000000-0010-0000-6F00-00000F000000}" name="r_td" dataDxfId="2996"/>
    <tableColumn id="16" xr3:uid="{00000000-0010-0000-6F00-000010000000}" name="tgt" dataDxfId="2995"/>
    <tableColumn id="17" xr3:uid="{00000000-0010-0000-6F00-000011000000}" name="rec" dataDxfId="2994"/>
    <tableColumn id="18" xr3:uid="{00000000-0010-0000-6F00-000012000000}" name="rec_yd" dataDxfId="2993"/>
    <tableColumn id="19" xr3:uid="{00000000-0010-0000-6F00-000013000000}" name="rec_td" dataDxfId="2992"/>
    <tableColumn id="20" xr3:uid="{00000000-0010-0000-6F00-000014000000}" name="fmb" dataDxfId="2991"/>
    <tableColumn id="21" xr3:uid="{00000000-0010-0000-6F00-000015000000}" name="tp_c" dataDxfId="2990"/>
    <tableColumn id="22" xr3:uid="{00000000-0010-0000-6F00-000016000000}" name="f_ppr" dataDxfId="2989">
      <calculatedColumnFormula>($J76*0.04)+($K76*4)+($L76*-2)+($N76*0.1)+($O76*6)+($Q76)+($R76*0.1)+($S76*6)+($T76*-2)</calculatedColumnFormula>
    </tableColumn>
    <tableColumn id="23" xr3:uid="{00000000-0010-0000-6F00-000017000000}" name="tgt_share" dataDxfId="2988">
      <calculatedColumnFormula>$P76/$H$33</calculatedColumnFormula>
    </tableColumn>
    <tableColumn id="24" xr3:uid="{00000000-0010-0000-6F00-000018000000}" name="ypc" dataDxfId="2987">
      <calculatedColumnFormula>$N76/$M76</calculatedColumnFormula>
    </tableColumn>
    <tableColumn id="25" xr3:uid="{00000000-0010-0000-6F00-000019000000}" name="ypr" dataDxfId="2986">
      <calculatedColumnFormula>$R76/$Q76</calculatedColumnFormula>
    </tableColumn>
    <tableColumn id="26" xr3:uid="{00000000-0010-0000-6F00-00001A000000}" name="cmp_pct" dataDxfId="2985">
      <calculatedColumnFormula>$I76/$H76</calculatedColumnFormula>
    </tableColumn>
    <tableColumn id="27" xr3:uid="{00000000-0010-0000-6F00-00001B000000}" name="td_rate" dataDxfId="2984">
      <calculatedColumnFormula>$K76/$H76</calculatedColumnFormula>
    </tableColumn>
    <tableColumn id="28" xr3:uid="{00000000-0010-0000-6F00-00001C000000}" name="f_custom" dataDxfId="298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0000000-000C-0000-FFFF-FFFF70000000}" name="LAC_Table1" displayName="LAC_Table1" ref="A1:Y21" totalsRowShown="0" headerRowDxfId="2981" dataDxfId="2955">
  <autoFilter ref="A1:Y21" xr:uid="{00000000-0009-0000-0100-000073000000}"/>
  <tableColumns count="25">
    <tableColumn id="1" xr3:uid="{00000000-0010-0000-7000-000001000000}" name="player_name" dataDxfId="2980"/>
    <tableColumn id="2" xr3:uid="{00000000-0010-0000-7000-000002000000}" name="recent_team" dataDxfId="2979"/>
    <tableColumn id="3" xr3:uid="{00000000-0010-0000-7000-000003000000}" name="pos" dataDxfId="2978"/>
    <tableColumn id="4" xr3:uid="{00000000-0010-0000-7000-000004000000}" name="g" dataDxfId="2977"/>
    <tableColumn id="5" xr3:uid="{00000000-0010-0000-7000-000005000000}" name="p_att" dataDxfId="2976"/>
    <tableColumn id="6" xr3:uid="{00000000-0010-0000-7000-000006000000}" name="cmp" dataDxfId="2975"/>
    <tableColumn id="7" xr3:uid="{00000000-0010-0000-7000-000007000000}" name="p_yd" dataDxfId="2974"/>
    <tableColumn id="8" xr3:uid="{00000000-0010-0000-7000-000008000000}" name="p_td" dataDxfId="2973"/>
    <tableColumn id="9" xr3:uid="{00000000-0010-0000-7000-000009000000}" name="int" dataDxfId="2972"/>
    <tableColumn id="10" xr3:uid="{00000000-0010-0000-7000-00000A000000}" name="car" dataDxfId="2971"/>
    <tableColumn id="11" xr3:uid="{00000000-0010-0000-7000-00000B000000}" name="r_yd" dataDxfId="2970"/>
    <tableColumn id="12" xr3:uid="{00000000-0010-0000-7000-00000C000000}" name="r_td" dataDxfId="2969"/>
    <tableColumn id="13" xr3:uid="{00000000-0010-0000-7000-00000D000000}" name="tgt" dataDxfId="2968"/>
    <tableColumn id="14" xr3:uid="{00000000-0010-0000-7000-00000E000000}" name="rec" dataDxfId="2967"/>
    <tableColumn id="15" xr3:uid="{00000000-0010-0000-7000-00000F000000}" name="rec_yd" dataDxfId="2966"/>
    <tableColumn id="16" xr3:uid="{00000000-0010-0000-7000-000010000000}" name="rec_td" dataDxfId="2965"/>
    <tableColumn id="17" xr3:uid="{00000000-0010-0000-7000-000011000000}" name="fmb" dataDxfId="2964"/>
    <tableColumn id="18" xr3:uid="{00000000-0010-0000-7000-000012000000}" name="tp_c" dataDxfId="2963"/>
    <tableColumn id="19" xr3:uid="{00000000-0010-0000-7000-000013000000}" name="f_ppr" dataDxfId="2962"/>
    <tableColumn id="20" xr3:uid="{00000000-0010-0000-7000-000014000000}" name="tgt_share" dataDxfId="2961"/>
    <tableColumn id="21" xr3:uid="{00000000-0010-0000-7000-000015000000}" name="ypc" dataDxfId="2960"/>
    <tableColumn id="22" xr3:uid="{00000000-0010-0000-7000-000016000000}" name="ypr" dataDxfId="2959"/>
    <tableColumn id="23" xr3:uid="{00000000-0010-0000-7000-000017000000}" name="cmp_pct" dataDxfId="2958"/>
    <tableColumn id="24" xr3:uid="{00000000-0010-0000-7000-000018000000}" name="td_rate" dataDxfId="2957"/>
    <tableColumn id="25" xr3:uid="{05137D45-1374-46B6-A404-E0E35F1E5310}" name="f_custom" dataDxfId="295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00000000-000C-0000-FFFF-FFFF71000000}" name="LAC_Table2" displayName="LAC_Table2" ref="A30:M31" totalsRowShown="0" headerRowDxfId="2954" dataDxfId="2940">
  <autoFilter ref="A30:M31" xr:uid="{00000000-0009-0000-0100-000074000000}"/>
  <tableColumns count="13">
    <tableColumn id="1" xr3:uid="{00000000-0010-0000-7100-000001000000}" name="team" dataDxfId="2953"/>
    <tableColumn id="2" xr3:uid="{00000000-0010-0000-7100-000002000000}" name="off_yd" dataDxfId="2952"/>
    <tableColumn id="3" xr3:uid="{00000000-0010-0000-7100-000003000000}" name="p_yd" dataDxfId="2951"/>
    <tableColumn id="4" xr3:uid="{00000000-0010-0000-7100-000004000000}" name="car" dataDxfId="2950"/>
    <tableColumn id="5" xr3:uid="{00000000-0010-0000-7100-000005000000}" name="r_yd" dataDxfId="2949"/>
    <tableColumn id="6" xr3:uid="{00000000-0010-0000-7100-000006000000}" name="r_td" dataDxfId="2948"/>
    <tableColumn id="7" xr3:uid="{00000000-0010-0000-7100-000007000000}" name="p_ff" dataDxfId="2947"/>
    <tableColumn id="8" xr3:uid="{00000000-0010-0000-7100-000008000000}" name="p_att" dataDxfId="2946"/>
    <tableColumn id="9" xr3:uid="{00000000-0010-0000-7100-000009000000}" name="cmp_pct" dataDxfId="2945"/>
    <tableColumn id="10" xr3:uid="{00000000-0010-0000-7100-00000A000000}" name="p_td" dataDxfId="2944"/>
    <tableColumn id="11" xr3:uid="{00000000-0010-0000-7100-00000B000000}" name="int" dataDxfId="2943"/>
    <tableColumn id="12" xr3:uid="{00000000-0010-0000-7100-00000C000000}" name="fmb" dataDxfId="2942"/>
    <tableColumn id="13" xr3:uid="{32A4C9F6-C844-4E0C-8845-9434CDAB7FEF}" name="f_custom" dataDxfId="294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00000000-000C-0000-FFFF-FFFF72000000}" name="LAC_Table3" displayName="LAC_Table3" ref="A32:M33" totalsRowShown="0" headerRowDxfId="2939" dataDxfId="2925">
  <autoFilter ref="A32:M33" xr:uid="{00000000-0009-0000-0100-000075000000}"/>
  <tableColumns count="13">
    <tableColumn id="1" xr3:uid="{00000000-0010-0000-7200-000001000000}" name="team" dataDxfId="2938">
      <calculatedColumnFormula>A31</calculatedColumnFormula>
    </tableColumn>
    <tableColumn id="2" xr3:uid="{00000000-0010-0000-7200-000002000000}" name="off_yd" dataDxfId="2937">
      <calculatedColumnFormula>C33 + E33</calculatedColumnFormula>
    </tableColumn>
    <tableColumn id="3" xr3:uid="{00000000-0010-0000-7200-000003000000}" name="p_yd" dataDxfId="2936">
      <calculatedColumnFormula>SUM(INDIRECT(A33 &amp; "_Table4[[#All],[p_yd]]"))</calculatedColumnFormula>
    </tableColumn>
    <tableColumn id="4" xr3:uid="{00000000-0010-0000-7200-000004000000}" name="car" dataDxfId="293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200-000005000000}" name="r_yd" dataDxfId="293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200-000006000000}" name="r_td" dataDxfId="293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200-000007000000}" name="p_ff" dataDxfId="293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200-000008000000}" name="p_att" dataDxfId="293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200-000009000000}" name="cmp_pct" dataDxfId="2930">
      <calculatedColumnFormula>SUM(INDIRECT(A33 &amp; "_Table4[[#All],[cmp]]"))/H33</calculatedColumnFormula>
    </tableColumn>
    <tableColumn id="10" xr3:uid="{00000000-0010-0000-7200-00000A000000}" name="p_td" dataDxfId="292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200-00000B000000}" name="int" dataDxfId="292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200-00000C000000}" name="fmb" dataDxfId="292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1B54E5F-40BD-42FF-BA41-4B3D6766AB53}" name="f_custom" dataDxfId="292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00000000-000C-0000-FFFF-FFFF73000000}" name="LAC_Table4" displayName="LAC_Table4" ref="A35:AB38" totalsRowShown="0" headerRowDxfId="2924" dataDxfId="2895">
  <autoFilter ref="A35:AB38" xr:uid="{00000000-0009-0000-0100-000076000000}"/>
  <tableColumns count="28">
    <tableColumn id="1" xr3:uid="{00000000-0010-0000-7300-000001000000}" name="Name" dataDxfId="2923"/>
    <tableColumn id="2" xr3:uid="{00000000-0010-0000-7300-000002000000}" name="POS" dataDxfId="2922"/>
    <tableColumn id="3" xr3:uid="{00000000-0010-0000-7300-000003000000}" name="Age" dataDxfId="2921"/>
    <tableColumn id="4" xr3:uid="{00000000-0010-0000-7300-000004000000}" name="Exp" dataDxfId="2920"/>
    <tableColumn id="5" xr3:uid="{00000000-0010-0000-7300-000005000000}" name="College" dataDxfId="2919"/>
    <tableColumn id="6" xr3:uid="{00000000-0010-0000-7300-000006000000}" name="team" dataDxfId="2918"/>
    <tableColumn id="7" xr3:uid="{00000000-0010-0000-7300-000007000000}" name="g" dataDxfId="2917"/>
    <tableColumn id="8" xr3:uid="{00000000-0010-0000-7300-000008000000}" name="p_att" dataDxfId="2916"/>
    <tableColumn id="9" xr3:uid="{00000000-0010-0000-7300-000009000000}" name="cmp" dataDxfId="2915"/>
    <tableColumn id="10" xr3:uid="{00000000-0010-0000-7300-00000A000000}" name="p_yd" dataDxfId="2914"/>
    <tableColumn id="11" xr3:uid="{00000000-0010-0000-7300-00000B000000}" name="p_td" dataDxfId="2913"/>
    <tableColumn id="12" xr3:uid="{00000000-0010-0000-7300-00000C000000}" name="int" dataDxfId="2912"/>
    <tableColumn id="13" xr3:uid="{00000000-0010-0000-7300-00000D000000}" name="car" dataDxfId="2911"/>
    <tableColumn id="14" xr3:uid="{00000000-0010-0000-7300-00000E000000}" name="r_yd" dataDxfId="2910"/>
    <tableColumn id="15" xr3:uid="{00000000-0010-0000-7300-00000F000000}" name="r_td" dataDxfId="2909"/>
    <tableColumn id="16" xr3:uid="{00000000-0010-0000-7300-000010000000}" name="tgt" dataDxfId="2908"/>
    <tableColumn id="17" xr3:uid="{00000000-0010-0000-7300-000011000000}" name="rec" dataDxfId="2907"/>
    <tableColumn id="18" xr3:uid="{00000000-0010-0000-7300-000012000000}" name="rec_yd" dataDxfId="2906"/>
    <tableColumn id="19" xr3:uid="{00000000-0010-0000-7300-000013000000}" name="rec_td" dataDxfId="2905"/>
    <tableColumn id="20" xr3:uid="{00000000-0010-0000-7300-000014000000}" name="fmb" dataDxfId="2904"/>
    <tableColumn id="21" xr3:uid="{00000000-0010-0000-7300-000015000000}" name="tp_c" dataDxfId="2903"/>
    <tableColumn id="22" xr3:uid="{00000000-0010-0000-7300-000016000000}" name="f_ppr" dataDxfId="2902">
      <calculatedColumnFormula>($J36*0.04)+($K36*4)+($L36*-2)+($N36*0.1)+($O36*6)+($Q36)+($R36*0.1)+($S36*6)+($T36*-2)</calculatedColumnFormula>
    </tableColumn>
    <tableColumn id="23" xr3:uid="{00000000-0010-0000-7300-000017000000}" name="tgt_share" dataDxfId="2901">
      <calculatedColumnFormula>$P36/$H$33</calculatedColumnFormula>
    </tableColumn>
    <tableColumn id="24" xr3:uid="{00000000-0010-0000-7300-000018000000}" name="ypc" dataDxfId="2900">
      <calculatedColumnFormula>$N36/$M36</calculatedColumnFormula>
    </tableColumn>
    <tableColumn id="25" xr3:uid="{00000000-0010-0000-7300-000019000000}" name="ypr" dataDxfId="2899">
      <calculatedColumnFormula>$R36/$Q36</calculatedColumnFormula>
    </tableColumn>
    <tableColumn id="26" xr3:uid="{00000000-0010-0000-7300-00001A000000}" name="cmp_pct" dataDxfId="2898">
      <calculatedColumnFormula>$I36/$H36</calculatedColumnFormula>
    </tableColumn>
    <tableColumn id="27" xr3:uid="{00000000-0010-0000-7300-00001B000000}" name="td_rate" dataDxfId="2897">
      <calculatedColumnFormula>$K36/$H36</calculatedColumnFormula>
    </tableColumn>
    <tableColumn id="28" xr3:uid="{00000000-0010-0000-7300-00001C000000}" name="f_custom" dataDxfId="289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000000-000C-0000-FFFF-FFFF74000000}" name="LAC_Table5" displayName="LAC_Table5" ref="A45:AB51" totalsRowShown="0" headerRowDxfId="2894" dataDxfId="2865">
  <autoFilter ref="A45:AB51" xr:uid="{00000000-0009-0000-0100-000077000000}"/>
  <tableColumns count="28">
    <tableColumn id="1" xr3:uid="{00000000-0010-0000-7400-000001000000}" name="Name" dataDxfId="2893"/>
    <tableColumn id="2" xr3:uid="{00000000-0010-0000-7400-000002000000}" name="POS" dataDxfId="2892"/>
    <tableColumn id="3" xr3:uid="{00000000-0010-0000-7400-000003000000}" name="Age" dataDxfId="2891"/>
    <tableColumn id="4" xr3:uid="{00000000-0010-0000-7400-000004000000}" name="Exp" dataDxfId="2890"/>
    <tableColumn id="5" xr3:uid="{00000000-0010-0000-7400-000005000000}" name="College" dataDxfId="2889"/>
    <tableColumn id="6" xr3:uid="{00000000-0010-0000-7400-000006000000}" name="team" dataDxfId="2888"/>
    <tableColumn id="7" xr3:uid="{00000000-0010-0000-7400-000007000000}" name="g" dataDxfId="2887"/>
    <tableColumn id="8" xr3:uid="{00000000-0010-0000-7400-000008000000}" name="p_att" dataDxfId="2886"/>
    <tableColumn id="9" xr3:uid="{00000000-0010-0000-7400-000009000000}" name="cmp" dataDxfId="2885"/>
    <tableColumn id="10" xr3:uid="{00000000-0010-0000-7400-00000A000000}" name="p_yd" dataDxfId="2884"/>
    <tableColumn id="11" xr3:uid="{00000000-0010-0000-7400-00000B000000}" name="p_td" dataDxfId="2883"/>
    <tableColumn id="12" xr3:uid="{00000000-0010-0000-7400-00000C000000}" name="int" dataDxfId="2882"/>
    <tableColumn id="13" xr3:uid="{00000000-0010-0000-7400-00000D000000}" name="car" dataDxfId="2881"/>
    <tableColumn id="14" xr3:uid="{00000000-0010-0000-7400-00000E000000}" name="r_yd" dataDxfId="2880"/>
    <tableColumn id="15" xr3:uid="{00000000-0010-0000-7400-00000F000000}" name="r_td" dataDxfId="2879"/>
    <tableColumn id="16" xr3:uid="{00000000-0010-0000-7400-000010000000}" name="tgt" dataDxfId="2878"/>
    <tableColumn id="17" xr3:uid="{00000000-0010-0000-7400-000011000000}" name="rec" dataDxfId="2877"/>
    <tableColumn id="18" xr3:uid="{00000000-0010-0000-7400-000012000000}" name="rec_yd" dataDxfId="2876"/>
    <tableColumn id="19" xr3:uid="{00000000-0010-0000-7400-000013000000}" name="rec_td" dataDxfId="2875"/>
    <tableColumn id="20" xr3:uid="{00000000-0010-0000-7400-000014000000}" name="fmb" dataDxfId="2874"/>
    <tableColumn id="21" xr3:uid="{00000000-0010-0000-7400-000015000000}" name="tp_c" dataDxfId="2873"/>
    <tableColumn id="22" xr3:uid="{00000000-0010-0000-7400-000016000000}" name="f_ppr" dataDxfId="2872">
      <calculatedColumnFormula>($J46*0.04)+($K46*4)+($L46*-2)+($N46*0.1)+($O46*6)+($Q46)+($R46*0.1)+($S46*6)+($T46*-2)</calculatedColumnFormula>
    </tableColumn>
    <tableColumn id="23" xr3:uid="{00000000-0010-0000-7400-000017000000}" name="tgt_share" dataDxfId="2871">
      <calculatedColumnFormula>$P46/$H$33</calculatedColumnFormula>
    </tableColumn>
    <tableColumn id="24" xr3:uid="{00000000-0010-0000-7400-000018000000}" name="ypc" dataDxfId="2870">
      <calculatedColumnFormula>$N46/$M46</calculatedColumnFormula>
    </tableColumn>
    <tableColumn id="25" xr3:uid="{00000000-0010-0000-7400-000019000000}" name="ypr" dataDxfId="2869">
      <calculatedColumnFormula>$R46/$Q46</calculatedColumnFormula>
    </tableColumn>
    <tableColumn id="26" xr3:uid="{00000000-0010-0000-7400-00001A000000}" name="cmp_pct" dataDxfId="2868">
      <calculatedColumnFormula>$I46/$H46</calculatedColumnFormula>
    </tableColumn>
    <tableColumn id="27" xr3:uid="{00000000-0010-0000-7400-00001B000000}" name="td_rate" dataDxfId="2867">
      <calculatedColumnFormula>$K46/$H46</calculatedColumnFormula>
    </tableColumn>
    <tableColumn id="28" xr3:uid="{00000000-0010-0000-7400-00001C000000}" name="f_custom" dataDxfId="286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0000000-000C-0000-FFFF-FFFF75000000}" name="LAC_Table6" displayName="LAC_Table6" ref="A60:AB72" totalsRowShown="0" headerRowDxfId="2864" dataDxfId="2835">
  <autoFilter ref="A60:AB72" xr:uid="{00000000-0009-0000-0100-000078000000}"/>
  <tableColumns count="28">
    <tableColumn id="1" xr3:uid="{00000000-0010-0000-7500-000001000000}" name="Name" dataDxfId="2863"/>
    <tableColumn id="2" xr3:uid="{00000000-0010-0000-7500-000002000000}" name="POS" dataDxfId="2862"/>
    <tableColumn id="3" xr3:uid="{00000000-0010-0000-7500-000003000000}" name="Age" dataDxfId="2861"/>
    <tableColumn id="4" xr3:uid="{00000000-0010-0000-7500-000004000000}" name="Exp" dataDxfId="2860"/>
    <tableColumn id="5" xr3:uid="{00000000-0010-0000-7500-000005000000}" name="College" dataDxfId="2859"/>
    <tableColumn id="6" xr3:uid="{00000000-0010-0000-7500-000006000000}" name="team" dataDxfId="2858"/>
    <tableColumn id="7" xr3:uid="{00000000-0010-0000-7500-000007000000}" name="g" dataDxfId="2857"/>
    <tableColumn id="8" xr3:uid="{00000000-0010-0000-7500-000008000000}" name="p_att" dataDxfId="2856"/>
    <tableColumn id="9" xr3:uid="{00000000-0010-0000-7500-000009000000}" name="cmp" dataDxfId="2855"/>
    <tableColumn id="10" xr3:uid="{00000000-0010-0000-7500-00000A000000}" name="p_yd" dataDxfId="2854"/>
    <tableColumn id="11" xr3:uid="{00000000-0010-0000-7500-00000B000000}" name="p_td" dataDxfId="2853"/>
    <tableColumn id="12" xr3:uid="{00000000-0010-0000-7500-00000C000000}" name="int" dataDxfId="2852"/>
    <tableColumn id="13" xr3:uid="{00000000-0010-0000-7500-00000D000000}" name="car" dataDxfId="2851"/>
    <tableColumn id="14" xr3:uid="{00000000-0010-0000-7500-00000E000000}" name="r_yd" dataDxfId="2850"/>
    <tableColumn id="15" xr3:uid="{00000000-0010-0000-7500-00000F000000}" name="r_td" dataDxfId="2849"/>
    <tableColumn id="16" xr3:uid="{00000000-0010-0000-7500-000010000000}" name="tgt" dataDxfId="2848"/>
    <tableColumn id="17" xr3:uid="{00000000-0010-0000-7500-000011000000}" name="rec" dataDxfId="2847"/>
    <tableColumn id="18" xr3:uid="{00000000-0010-0000-7500-000012000000}" name="rec_yd" dataDxfId="2846"/>
    <tableColumn id="19" xr3:uid="{00000000-0010-0000-7500-000013000000}" name="rec_td" dataDxfId="2845"/>
    <tableColumn id="20" xr3:uid="{00000000-0010-0000-7500-000014000000}" name="fmb" dataDxfId="2844"/>
    <tableColumn id="21" xr3:uid="{00000000-0010-0000-7500-000015000000}" name="tp_c" dataDxfId="2843"/>
    <tableColumn id="22" xr3:uid="{00000000-0010-0000-7500-000016000000}" name="f_ppr" dataDxfId="2842">
      <calculatedColumnFormula>($J61*0.04)+($K61*4)+($L61*-2)+($N61*0.1)+($O61*6)+($Q61)+($R61*0.1)+($S61*6)+($T61*-2)</calculatedColumnFormula>
    </tableColumn>
    <tableColumn id="23" xr3:uid="{00000000-0010-0000-7500-000017000000}" name="tgt_share" dataDxfId="2841">
      <calculatedColumnFormula>$P61/$H$33</calculatedColumnFormula>
    </tableColumn>
    <tableColumn id="24" xr3:uid="{00000000-0010-0000-7500-000018000000}" name="ypc" dataDxfId="2840">
      <calculatedColumnFormula>$N61/$M61</calculatedColumnFormula>
    </tableColumn>
    <tableColumn id="25" xr3:uid="{00000000-0010-0000-7500-000019000000}" name="ypr" dataDxfId="2839">
      <calculatedColumnFormula>$R61/$Q61</calculatedColumnFormula>
    </tableColumn>
    <tableColumn id="26" xr3:uid="{00000000-0010-0000-7500-00001A000000}" name="cmp_pct" dataDxfId="2838">
      <calculatedColumnFormula>$I61/$H61</calculatedColumnFormula>
    </tableColumn>
    <tableColumn id="27" xr3:uid="{00000000-0010-0000-7500-00001B000000}" name="td_rate" dataDxfId="2837">
      <calculatedColumnFormula>$K61/$H61</calculatedColumnFormula>
    </tableColumn>
    <tableColumn id="28" xr3:uid="{00000000-0010-0000-7500-00001C000000}" name="f_custom" dataDxfId="283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00000000-000C-0000-FFFF-FFFF76000000}" name="LAC_Table7" displayName="LAC_Table7" ref="A75:AB81" totalsRowShown="0" headerRowDxfId="2834" dataDxfId="2805">
  <autoFilter ref="A75:AB81" xr:uid="{00000000-0009-0000-0100-000079000000}"/>
  <tableColumns count="28">
    <tableColumn id="1" xr3:uid="{00000000-0010-0000-7600-000001000000}" name="Name" dataDxfId="2833"/>
    <tableColumn id="2" xr3:uid="{00000000-0010-0000-7600-000002000000}" name="POS" dataDxfId="2832"/>
    <tableColumn id="3" xr3:uid="{00000000-0010-0000-7600-000003000000}" name="Age" dataDxfId="2831"/>
    <tableColumn id="4" xr3:uid="{00000000-0010-0000-7600-000004000000}" name="Exp" dataDxfId="2830"/>
    <tableColumn id="5" xr3:uid="{00000000-0010-0000-7600-000005000000}" name="College" dataDxfId="2829"/>
    <tableColumn id="6" xr3:uid="{00000000-0010-0000-7600-000006000000}" name="team" dataDxfId="2828"/>
    <tableColumn id="7" xr3:uid="{00000000-0010-0000-7600-000007000000}" name="g" dataDxfId="2827"/>
    <tableColumn id="8" xr3:uid="{00000000-0010-0000-7600-000008000000}" name="p_att" dataDxfId="2826"/>
    <tableColumn id="9" xr3:uid="{00000000-0010-0000-7600-000009000000}" name="cmp" dataDxfId="2825"/>
    <tableColumn id="10" xr3:uid="{00000000-0010-0000-7600-00000A000000}" name="p_yd" dataDxfId="2824"/>
    <tableColumn id="11" xr3:uid="{00000000-0010-0000-7600-00000B000000}" name="p_td" dataDxfId="2823"/>
    <tableColumn id="12" xr3:uid="{00000000-0010-0000-7600-00000C000000}" name="int" dataDxfId="2822"/>
    <tableColumn id="13" xr3:uid="{00000000-0010-0000-7600-00000D000000}" name="car" dataDxfId="2821"/>
    <tableColumn id="14" xr3:uid="{00000000-0010-0000-7600-00000E000000}" name="r_yd" dataDxfId="2820"/>
    <tableColumn id="15" xr3:uid="{00000000-0010-0000-7600-00000F000000}" name="r_td" dataDxfId="2819"/>
    <tableColumn id="16" xr3:uid="{00000000-0010-0000-7600-000010000000}" name="tgt" dataDxfId="2818"/>
    <tableColumn id="17" xr3:uid="{00000000-0010-0000-7600-000011000000}" name="rec" dataDxfId="2817"/>
    <tableColumn id="18" xr3:uid="{00000000-0010-0000-7600-000012000000}" name="rec_yd" dataDxfId="2816"/>
    <tableColumn id="19" xr3:uid="{00000000-0010-0000-7600-000013000000}" name="rec_td" dataDxfId="2815"/>
    <tableColumn id="20" xr3:uid="{00000000-0010-0000-7600-000014000000}" name="fmb" dataDxfId="2814"/>
    <tableColumn id="21" xr3:uid="{00000000-0010-0000-7600-000015000000}" name="tp_c" dataDxfId="2813"/>
    <tableColumn id="22" xr3:uid="{00000000-0010-0000-7600-000016000000}" name="f_ppr" dataDxfId="2812">
      <calculatedColumnFormula>($J76*0.04)+($K76*4)+($L76*-2)+($N76*0.1)+($O76*6)+($Q76)+($R76*0.1)+($S76*6)+($T76*-2)</calculatedColumnFormula>
    </tableColumn>
    <tableColumn id="23" xr3:uid="{00000000-0010-0000-7600-000017000000}" name="tgt_share" dataDxfId="2811">
      <calculatedColumnFormula>$P76/$H$33</calculatedColumnFormula>
    </tableColumn>
    <tableColumn id="24" xr3:uid="{00000000-0010-0000-7600-000018000000}" name="ypc" dataDxfId="2810">
      <calculatedColumnFormula>$N76/$M76</calculatedColumnFormula>
    </tableColumn>
    <tableColumn id="25" xr3:uid="{00000000-0010-0000-7600-000019000000}" name="ypr" dataDxfId="2809">
      <calculatedColumnFormula>$R76/$Q76</calculatedColumnFormula>
    </tableColumn>
    <tableColumn id="26" xr3:uid="{00000000-0010-0000-7600-00001A000000}" name="cmp_pct" dataDxfId="2808">
      <calculatedColumnFormula>$I76/$H76</calculatedColumnFormula>
    </tableColumn>
    <tableColumn id="27" xr3:uid="{00000000-0010-0000-7600-00001B000000}" name="td_rate" dataDxfId="2807">
      <calculatedColumnFormula>$K76/$H76</calculatedColumnFormula>
    </tableColumn>
    <tableColumn id="28" xr3:uid="{00000000-0010-0000-7600-00001C000000}" name="f_custom" dataDxfId="280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0000000-000C-0000-FFFF-FFFF77000000}" name="LAR_Table1" displayName="LAR_Table1" ref="A1:Y22" totalsRowShown="0" headerRowDxfId="2804" dataDxfId="2778">
  <autoFilter ref="A1:Y22" xr:uid="{00000000-0009-0000-0100-00007A000000}"/>
  <tableColumns count="25">
    <tableColumn id="1" xr3:uid="{00000000-0010-0000-7700-000001000000}" name="player_name" dataDxfId="2803"/>
    <tableColumn id="2" xr3:uid="{00000000-0010-0000-7700-000002000000}" name="recent_team" dataDxfId="2802"/>
    <tableColumn id="3" xr3:uid="{00000000-0010-0000-7700-000003000000}" name="pos" dataDxfId="2801"/>
    <tableColumn id="4" xr3:uid="{00000000-0010-0000-7700-000004000000}" name="g" dataDxfId="2800"/>
    <tableColumn id="5" xr3:uid="{00000000-0010-0000-7700-000005000000}" name="p_att" dataDxfId="2799"/>
    <tableColumn id="6" xr3:uid="{00000000-0010-0000-7700-000006000000}" name="cmp" dataDxfId="2798"/>
    <tableColumn id="7" xr3:uid="{00000000-0010-0000-7700-000007000000}" name="p_yd" dataDxfId="2797"/>
    <tableColumn id="8" xr3:uid="{00000000-0010-0000-7700-000008000000}" name="p_td" dataDxfId="2796"/>
    <tableColumn id="9" xr3:uid="{00000000-0010-0000-7700-000009000000}" name="int" dataDxfId="2795"/>
    <tableColumn id="10" xr3:uid="{00000000-0010-0000-7700-00000A000000}" name="car" dataDxfId="2794"/>
    <tableColumn id="11" xr3:uid="{00000000-0010-0000-7700-00000B000000}" name="r_yd" dataDxfId="2793"/>
    <tableColumn id="12" xr3:uid="{00000000-0010-0000-7700-00000C000000}" name="r_td" dataDxfId="2792"/>
    <tableColumn id="13" xr3:uid="{00000000-0010-0000-7700-00000D000000}" name="tgt" dataDxfId="2791"/>
    <tableColumn id="14" xr3:uid="{00000000-0010-0000-7700-00000E000000}" name="rec" dataDxfId="2790"/>
    <tableColumn id="15" xr3:uid="{00000000-0010-0000-7700-00000F000000}" name="rec_yd" dataDxfId="2789"/>
    <tableColumn id="16" xr3:uid="{00000000-0010-0000-7700-000010000000}" name="rec_td" dataDxfId="2788"/>
    <tableColumn id="17" xr3:uid="{00000000-0010-0000-7700-000011000000}" name="fmb" dataDxfId="2787"/>
    <tableColumn id="18" xr3:uid="{00000000-0010-0000-7700-000012000000}" name="tp_c" dataDxfId="2786"/>
    <tableColumn id="19" xr3:uid="{00000000-0010-0000-7700-000013000000}" name="f_ppr" dataDxfId="2785"/>
    <tableColumn id="20" xr3:uid="{00000000-0010-0000-7700-000014000000}" name="tgt_share" dataDxfId="2784"/>
    <tableColumn id="21" xr3:uid="{00000000-0010-0000-7700-000015000000}" name="ypc" dataDxfId="2783"/>
    <tableColumn id="22" xr3:uid="{00000000-0010-0000-7700-000016000000}" name="ypr" dataDxfId="2782"/>
    <tableColumn id="23" xr3:uid="{00000000-0010-0000-7700-000017000000}" name="cmp_pct" dataDxfId="2781"/>
    <tableColumn id="24" xr3:uid="{00000000-0010-0000-7700-000018000000}" name="td_rate" dataDxfId="2780"/>
    <tableColumn id="25" xr3:uid="{F8374D3C-2E59-49DE-9FCC-7839DDD01241}" name="f_custom" dataDxfId="277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0000000-000C-0000-FFFF-FFFF78000000}" name="LAR_Table2" displayName="LAR_Table2" ref="A30:M31" totalsRowShown="0" headerRowDxfId="2777" dataDxfId="2763">
  <autoFilter ref="A30:M31" xr:uid="{00000000-0009-0000-0100-00007B000000}"/>
  <tableColumns count="13">
    <tableColumn id="1" xr3:uid="{00000000-0010-0000-7800-000001000000}" name="team" dataDxfId="2776"/>
    <tableColumn id="2" xr3:uid="{00000000-0010-0000-7800-000002000000}" name="off_yd" dataDxfId="2775"/>
    <tableColumn id="3" xr3:uid="{00000000-0010-0000-7800-000003000000}" name="p_yd" dataDxfId="2774"/>
    <tableColumn id="4" xr3:uid="{00000000-0010-0000-7800-000004000000}" name="car" dataDxfId="2773"/>
    <tableColumn id="5" xr3:uid="{00000000-0010-0000-7800-000005000000}" name="r_yd" dataDxfId="2772"/>
    <tableColumn id="6" xr3:uid="{00000000-0010-0000-7800-000006000000}" name="r_td" dataDxfId="2771"/>
    <tableColumn id="7" xr3:uid="{00000000-0010-0000-7800-000007000000}" name="p_ff" dataDxfId="2770"/>
    <tableColumn id="8" xr3:uid="{00000000-0010-0000-7800-000008000000}" name="p_att" dataDxfId="2769"/>
    <tableColumn id="9" xr3:uid="{00000000-0010-0000-7800-000009000000}" name="cmp_pct" dataDxfId="2768"/>
    <tableColumn id="10" xr3:uid="{00000000-0010-0000-7800-00000A000000}" name="p_td" dataDxfId="2767"/>
    <tableColumn id="11" xr3:uid="{00000000-0010-0000-7800-00000B000000}" name="int" dataDxfId="2766"/>
    <tableColumn id="12" xr3:uid="{00000000-0010-0000-7800-00000C000000}" name="fmb" dataDxfId="2765"/>
    <tableColumn id="13" xr3:uid="{745F1C00-C426-4C4A-8B17-A633CEE43135}" name="f_custom" dataDxfId="276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0000000-000C-0000-FFFF-FFFF79000000}" name="LAR_Table3" displayName="LAR_Table3" ref="A32:M33" totalsRowShown="0" headerRowDxfId="2762" dataDxfId="2748">
  <autoFilter ref="A32:M33" xr:uid="{00000000-0009-0000-0100-00007C000000}"/>
  <tableColumns count="13">
    <tableColumn id="1" xr3:uid="{00000000-0010-0000-7900-000001000000}" name="team" dataDxfId="2761">
      <calculatedColumnFormula>A31</calculatedColumnFormula>
    </tableColumn>
    <tableColumn id="2" xr3:uid="{00000000-0010-0000-7900-000002000000}" name="off_yd" dataDxfId="2760">
      <calculatedColumnFormula>C33 + E33</calculatedColumnFormula>
    </tableColumn>
    <tableColumn id="3" xr3:uid="{00000000-0010-0000-7900-000003000000}" name="p_yd" dataDxfId="2759">
      <calculatedColumnFormula>SUM(INDIRECT(A33 &amp; "_Table4[[#All],[p_yd]]"))</calculatedColumnFormula>
    </tableColumn>
    <tableColumn id="4" xr3:uid="{00000000-0010-0000-7900-000004000000}" name="car" dataDxfId="275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900-000005000000}" name="r_yd" dataDxfId="275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900-000006000000}" name="r_td" dataDxfId="275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900-000007000000}" name="p_ff" dataDxfId="275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900-000008000000}" name="p_att" dataDxfId="275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900-000009000000}" name="cmp_pct" dataDxfId="2753">
      <calculatedColumnFormula>SUM(INDIRECT(A33 &amp; "_Table4[[#All],[cmp]]"))/H33</calculatedColumnFormula>
    </tableColumn>
    <tableColumn id="10" xr3:uid="{00000000-0010-0000-7900-00000A000000}" name="p_td" dataDxfId="275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900-00000B000000}" name="int" dataDxfId="275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900-00000C000000}" name="fmb" dataDxfId="275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EAB68025-8D84-4B9B-9475-B052B1A20CE6}" name="f_custom" dataDxfId="274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000000-000C-0000-FFFF-FFFF7A000000}" name="LAR_Table4" displayName="LAR_Table4" ref="A35:AB39" totalsRowShown="0" headerRowDxfId="2747" dataDxfId="2718">
  <autoFilter ref="A35:AB39" xr:uid="{00000000-0009-0000-0100-00007D000000}"/>
  <tableColumns count="28">
    <tableColumn id="1" xr3:uid="{00000000-0010-0000-7A00-000001000000}" name="Name" dataDxfId="2746"/>
    <tableColumn id="2" xr3:uid="{00000000-0010-0000-7A00-000002000000}" name="POS" dataDxfId="2745"/>
    <tableColumn id="3" xr3:uid="{00000000-0010-0000-7A00-000003000000}" name="Age" dataDxfId="2744"/>
    <tableColumn id="4" xr3:uid="{00000000-0010-0000-7A00-000004000000}" name="Exp" dataDxfId="2743"/>
    <tableColumn id="5" xr3:uid="{00000000-0010-0000-7A00-000005000000}" name="College" dataDxfId="2742"/>
    <tableColumn id="6" xr3:uid="{00000000-0010-0000-7A00-000006000000}" name="team" dataDxfId="2741"/>
    <tableColumn id="7" xr3:uid="{00000000-0010-0000-7A00-000007000000}" name="g" dataDxfId="2740"/>
    <tableColumn id="8" xr3:uid="{00000000-0010-0000-7A00-000008000000}" name="p_att" dataDxfId="2739"/>
    <tableColumn id="9" xr3:uid="{00000000-0010-0000-7A00-000009000000}" name="cmp" dataDxfId="2738"/>
    <tableColumn id="10" xr3:uid="{00000000-0010-0000-7A00-00000A000000}" name="p_yd" dataDxfId="2737"/>
    <tableColumn id="11" xr3:uid="{00000000-0010-0000-7A00-00000B000000}" name="p_td" dataDxfId="2736"/>
    <tableColumn id="12" xr3:uid="{00000000-0010-0000-7A00-00000C000000}" name="int" dataDxfId="2735"/>
    <tableColumn id="13" xr3:uid="{00000000-0010-0000-7A00-00000D000000}" name="car" dataDxfId="2734"/>
    <tableColumn id="14" xr3:uid="{00000000-0010-0000-7A00-00000E000000}" name="r_yd" dataDxfId="2733"/>
    <tableColumn id="15" xr3:uid="{00000000-0010-0000-7A00-00000F000000}" name="r_td" dataDxfId="2732"/>
    <tableColumn id="16" xr3:uid="{00000000-0010-0000-7A00-000010000000}" name="tgt" dataDxfId="2731"/>
    <tableColumn id="17" xr3:uid="{00000000-0010-0000-7A00-000011000000}" name="rec" dataDxfId="2730"/>
    <tableColumn id="18" xr3:uid="{00000000-0010-0000-7A00-000012000000}" name="rec_yd" dataDxfId="2729"/>
    <tableColumn id="19" xr3:uid="{00000000-0010-0000-7A00-000013000000}" name="rec_td" dataDxfId="2728"/>
    <tableColumn id="20" xr3:uid="{00000000-0010-0000-7A00-000014000000}" name="fmb" dataDxfId="2727"/>
    <tableColumn id="21" xr3:uid="{00000000-0010-0000-7A00-000015000000}" name="tp_c" dataDxfId="2726"/>
    <tableColumn id="22" xr3:uid="{00000000-0010-0000-7A00-000016000000}" name="f_ppr" dataDxfId="2725">
      <calculatedColumnFormula>($J36*0.04)+($K36*4)+($L36*-2)+($N36*0.1)+($O36*6)+($Q36)+($R36*0.1)+($S36*6)+($T36*-2)</calculatedColumnFormula>
    </tableColumn>
    <tableColumn id="23" xr3:uid="{00000000-0010-0000-7A00-000017000000}" name="tgt_share" dataDxfId="2724">
      <calculatedColumnFormula>$P36/$H$33</calculatedColumnFormula>
    </tableColumn>
    <tableColumn id="24" xr3:uid="{00000000-0010-0000-7A00-000018000000}" name="ypc" dataDxfId="2723">
      <calculatedColumnFormula>$N36/$M36</calculatedColumnFormula>
    </tableColumn>
    <tableColumn id="25" xr3:uid="{00000000-0010-0000-7A00-000019000000}" name="ypr" dataDxfId="2722">
      <calculatedColumnFormula>$R36/$Q36</calculatedColumnFormula>
    </tableColumn>
    <tableColumn id="26" xr3:uid="{00000000-0010-0000-7A00-00001A000000}" name="cmp_pct" dataDxfId="2721">
      <calculatedColumnFormula>$I36/$H36</calculatedColumnFormula>
    </tableColumn>
    <tableColumn id="27" xr3:uid="{00000000-0010-0000-7A00-00001B000000}" name="td_rate" dataDxfId="2720">
      <calculatedColumnFormula>$K36/$H36</calculatedColumnFormula>
    </tableColumn>
    <tableColumn id="28" xr3:uid="{00000000-0010-0000-7A00-00001C000000}" name="f_custom" dataDxfId="271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0000000-000C-0000-FFFF-FFFF7B000000}" name="LAR_Table5" displayName="LAR_Table5" ref="A45:AB50" totalsRowShown="0" headerRowDxfId="2717" dataDxfId="2688">
  <autoFilter ref="A45:AB50" xr:uid="{00000000-0009-0000-0100-00007E000000}"/>
  <tableColumns count="28">
    <tableColumn id="1" xr3:uid="{00000000-0010-0000-7B00-000001000000}" name="Name" dataDxfId="2716"/>
    <tableColumn id="2" xr3:uid="{00000000-0010-0000-7B00-000002000000}" name="POS" dataDxfId="2715"/>
    <tableColumn id="3" xr3:uid="{00000000-0010-0000-7B00-000003000000}" name="Age" dataDxfId="2714"/>
    <tableColumn id="4" xr3:uid="{00000000-0010-0000-7B00-000004000000}" name="Exp" dataDxfId="2713"/>
    <tableColumn id="5" xr3:uid="{00000000-0010-0000-7B00-000005000000}" name="College" dataDxfId="2712"/>
    <tableColumn id="6" xr3:uid="{00000000-0010-0000-7B00-000006000000}" name="team" dataDxfId="2711"/>
    <tableColumn id="7" xr3:uid="{00000000-0010-0000-7B00-000007000000}" name="g" dataDxfId="2710"/>
    <tableColumn id="8" xr3:uid="{00000000-0010-0000-7B00-000008000000}" name="p_att" dataDxfId="2709"/>
    <tableColumn id="9" xr3:uid="{00000000-0010-0000-7B00-000009000000}" name="cmp" dataDxfId="2708"/>
    <tableColumn id="10" xr3:uid="{00000000-0010-0000-7B00-00000A000000}" name="p_yd" dataDxfId="2707"/>
    <tableColumn id="11" xr3:uid="{00000000-0010-0000-7B00-00000B000000}" name="p_td" dataDxfId="2706"/>
    <tableColumn id="12" xr3:uid="{00000000-0010-0000-7B00-00000C000000}" name="int" dataDxfId="2705"/>
    <tableColumn id="13" xr3:uid="{00000000-0010-0000-7B00-00000D000000}" name="car" dataDxfId="2704"/>
    <tableColumn id="14" xr3:uid="{00000000-0010-0000-7B00-00000E000000}" name="r_yd" dataDxfId="2703"/>
    <tableColumn id="15" xr3:uid="{00000000-0010-0000-7B00-00000F000000}" name="r_td" dataDxfId="2702"/>
    <tableColumn id="16" xr3:uid="{00000000-0010-0000-7B00-000010000000}" name="tgt" dataDxfId="2701"/>
    <tableColumn id="17" xr3:uid="{00000000-0010-0000-7B00-000011000000}" name="rec" dataDxfId="2700"/>
    <tableColumn id="18" xr3:uid="{00000000-0010-0000-7B00-000012000000}" name="rec_yd" dataDxfId="2699"/>
    <tableColumn id="19" xr3:uid="{00000000-0010-0000-7B00-000013000000}" name="rec_td" dataDxfId="2698"/>
    <tableColumn id="20" xr3:uid="{00000000-0010-0000-7B00-000014000000}" name="fmb" dataDxfId="2697"/>
    <tableColumn id="21" xr3:uid="{00000000-0010-0000-7B00-000015000000}" name="tp_c" dataDxfId="2696"/>
    <tableColumn id="22" xr3:uid="{00000000-0010-0000-7B00-000016000000}" name="f_ppr" dataDxfId="2695">
      <calculatedColumnFormula>($J46*0.04)+($K46*4)+($L46*-2)+($N46*0.1)+($O46*6)+($Q46)+($R46*0.1)+($S46*6)+($T46*-2)</calculatedColumnFormula>
    </tableColumn>
    <tableColumn id="23" xr3:uid="{00000000-0010-0000-7B00-000017000000}" name="tgt_share" dataDxfId="2694">
      <calculatedColumnFormula>$P46/$H$33</calculatedColumnFormula>
    </tableColumn>
    <tableColumn id="24" xr3:uid="{00000000-0010-0000-7B00-000018000000}" name="ypc" dataDxfId="2693">
      <calculatedColumnFormula>$N46/$M46</calculatedColumnFormula>
    </tableColumn>
    <tableColumn id="25" xr3:uid="{00000000-0010-0000-7B00-000019000000}" name="ypr" dataDxfId="2692">
      <calculatedColumnFormula>$R46/$Q46</calculatedColumnFormula>
    </tableColumn>
    <tableColumn id="26" xr3:uid="{00000000-0010-0000-7B00-00001A000000}" name="cmp_pct" dataDxfId="2691">
      <calculatedColumnFormula>$I46/$H46</calculatedColumnFormula>
    </tableColumn>
    <tableColumn id="27" xr3:uid="{00000000-0010-0000-7B00-00001B000000}" name="td_rate" dataDxfId="2690">
      <calculatedColumnFormula>$K46/$H46</calculatedColumnFormula>
    </tableColumn>
    <tableColumn id="28" xr3:uid="{00000000-0010-0000-7B00-00001C000000}" name="f_custom" dataDxfId="268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00000000-000C-0000-FFFF-FFFF7C000000}" name="LAR_Table6" displayName="LAR_Table6" ref="A60:AB72" totalsRowShown="0" headerRowDxfId="2687" dataDxfId="2658">
  <autoFilter ref="A60:AB72" xr:uid="{00000000-0009-0000-0100-00007F000000}"/>
  <tableColumns count="28">
    <tableColumn id="1" xr3:uid="{00000000-0010-0000-7C00-000001000000}" name="Name" dataDxfId="2686"/>
    <tableColumn id="2" xr3:uid="{00000000-0010-0000-7C00-000002000000}" name="POS" dataDxfId="2685"/>
    <tableColumn id="3" xr3:uid="{00000000-0010-0000-7C00-000003000000}" name="Age" dataDxfId="2684"/>
    <tableColumn id="4" xr3:uid="{00000000-0010-0000-7C00-000004000000}" name="Exp" dataDxfId="2683"/>
    <tableColumn id="5" xr3:uid="{00000000-0010-0000-7C00-000005000000}" name="College" dataDxfId="2682"/>
    <tableColumn id="6" xr3:uid="{00000000-0010-0000-7C00-000006000000}" name="team" dataDxfId="2681"/>
    <tableColumn id="7" xr3:uid="{00000000-0010-0000-7C00-000007000000}" name="g" dataDxfId="2680"/>
    <tableColumn id="8" xr3:uid="{00000000-0010-0000-7C00-000008000000}" name="p_att" dataDxfId="2679"/>
    <tableColumn id="9" xr3:uid="{00000000-0010-0000-7C00-000009000000}" name="cmp" dataDxfId="2678"/>
    <tableColumn id="10" xr3:uid="{00000000-0010-0000-7C00-00000A000000}" name="p_yd" dataDxfId="2677"/>
    <tableColumn id="11" xr3:uid="{00000000-0010-0000-7C00-00000B000000}" name="p_td" dataDxfId="2676"/>
    <tableColumn id="12" xr3:uid="{00000000-0010-0000-7C00-00000C000000}" name="int" dataDxfId="2675"/>
    <tableColumn id="13" xr3:uid="{00000000-0010-0000-7C00-00000D000000}" name="car" dataDxfId="2674"/>
    <tableColumn id="14" xr3:uid="{00000000-0010-0000-7C00-00000E000000}" name="r_yd" dataDxfId="2673"/>
    <tableColumn id="15" xr3:uid="{00000000-0010-0000-7C00-00000F000000}" name="r_td" dataDxfId="2672"/>
    <tableColumn id="16" xr3:uid="{00000000-0010-0000-7C00-000010000000}" name="tgt" dataDxfId="2671"/>
    <tableColumn id="17" xr3:uid="{00000000-0010-0000-7C00-000011000000}" name="rec" dataDxfId="2670"/>
    <tableColumn id="18" xr3:uid="{00000000-0010-0000-7C00-000012000000}" name="rec_yd" dataDxfId="2669"/>
    <tableColumn id="19" xr3:uid="{00000000-0010-0000-7C00-000013000000}" name="rec_td" dataDxfId="2668"/>
    <tableColumn id="20" xr3:uid="{00000000-0010-0000-7C00-000014000000}" name="fmb" dataDxfId="2667"/>
    <tableColumn id="21" xr3:uid="{00000000-0010-0000-7C00-000015000000}" name="tp_c" dataDxfId="2666"/>
    <tableColumn id="22" xr3:uid="{00000000-0010-0000-7C00-000016000000}" name="f_ppr" dataDxfId="2665">
      <calculatedColumnFormula>($J61*0.04)+($K61*4)+($L61*-2)+($N61*0.1)+($O61*6)+($Q61)+($R61*0.1)+($S61*6)+($T61*-2)</calculatedColumnFormula>
    </tableColumn>
    <tableColumn id="23" xr3:uid="{00000000-0010-0000-7C00-000017000000}" name="tgt_share" dataDxfId="2664">
      <calculatedColumnFormula>$P61/$H$33</calculatedColumnFormula>
    </tableColumn>
    <tableColumn id="24" xr3:uid="{00000000-0010-0000-7C00-000018000000}" name="ypc" dataDxfId="2663">
      <calculatedColumnFormula>$N61/$M61</calculatedColumnFormula>
    </tableColumn>
    <tableColumn id="25" xr3:uid="{00000000-0010-0000-7C00-000019000000}" name="ypr" dataDxfId="2662">
      <calculatedColumnFormula>$R61/$Q61</calculatedColumnFormula>
    </tableColumn>
    <tableColumn id="26" xr3:uid="{00000000-0010-0000-7C00-00001A000000}" name="cmp_pct" dataDxfId="2661">
      <calculatedColumnFormula>$I61/$H61</calculatedColumnFormula>
    </tableColumn>
    <tableColumn id="27" xr3:uid="{00000000-0010-0000-7C00-00001B000000}" name="td_rate" dataDxfId="2660">
      <calculatedColumnFormula>$K61/$H61</calculatedColumnFormula>
    </tableColumn>
    <tableColumn id="28" xr3:uid="{00000000-0010-0000-7C00-00001C000000}" name="f_custom" dataDxfId="265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00000000-000C-0000-FFFF-FFFF7D000000}" name="LAR_Table7" displayName="LAR_Table7" ref="A75:AB82" totalsRowShown="0" headerRowDxfId="2657" dataDxfId="2628">
  <autoFilter ref="A75:AB82" xr:uid="{00000000-0009-0000-0100-000080000000}"/>
  <tableColumns count="28">
    <tableColumn id="1" xr3:uid="{00000000-0010-0000-7D00-000001000000}" name="Name" dataDxfId="2656"/>
    <tableColumn id="2" xr3:uid="{00000000-0010-0000-7D00-000002000000}" name="POS" dataDxfId="2655"/>
    <tableColumn id="3" xr3:uid="{00000000-0010-0000-7D00-000003000000}" name="Age" dataDxfId="2654"/>
    <tableColumn id="4" xr3:uid="{00000000-0010-0000-7D00-000004000000}" name="Exp" dataDxfId="2653"/>
    <tableColumn id="5" xr3:uid="{00000000-0010-0000-7D00-000005000000}" name="College" dataDxfId="2652"/>
    <tableColumn id="6" xr3:uid="{00000000-0010-0000-7D00-000006000000}" name="team" dataDxfId="2651"/>
    <tableColumn id="7" xr3:uid="{00000000-0010-0000-7D00-000007000000}" name="g" dataDxfId="2650"/>
    <tableColumn id="8" xr3:uid="{00000000-0010-0000-7D00-000008000000}" name="p_att" dataDxfId="2649"/>
    <tableColumn id="9" xr3:uid="{00000000-0010-0000-7D00-000009000000}" name="cmp" dataDxfId="2648"/>
    <tableColumn id="10" xr3:uid="{00000000-0010-0000-7D00-00000A000000}" name="p_yd" dataDxfId="2647"/>
    <tableColumn id="11" xr3:uid="{00000000-0010-0000-7D00-00000B000000}" name="p_td" dataDxfId="2646"/>
    <tableColumn id="12" xr3:uid="{00000000-0010-0000-7D00-00000C000000}" name="int" dataDxfId="2645"/>
    <tableColumn id="13" xr3:uid="{00000000-0010-0000-7D00-00000D000000}" name="car" dataDxfId="2644"/>
    <tableColumn id="14" xr3:uid="{00000000-0010-0000-7D00-00000E000000}" name="r_yd" dataDxfId="2643"/>
    <tableColumn id="15" xr3:uid="{00000000-0010-0000-7D00-00000F000000}" name="r_td" dataDxfId="2642"/>
    <tableColumn id="16" xr3:uid="{00000000-0010-0000-7D00-000010000000}" name="tgt" dataDxfId="2641"/>
    <tableColumn id="17" xr3:uid="{00000000-0010-0000-7D00-000011000000}" name="rec" dataDxfId="2640"/>
    <tableColumn id="18" xr3:uid="{00000000-0010-0000-7D00-000012000000}" name="rec_yd" dataDxfId="2639"/>
    <tableColumn id="19" xr3:uid="{00000000-0010-0000-7D00-000013000000}" name="rec_td" dataDxfId="2638"/>
    <tableColumn id="20" xr3:uid="{00000000-0010-0000-7D00-000014000000}" name="fmb" dataDxfId="2637"/>
    <tableColumn id="21" xr3:uid="{00000000-0010-0000-7D00-000015000000}" name="tp_c" dataDxfId="2636"/>
    <tableColumn id="22" xr3:uid="{00000000-0010-0000-7D00-000016000000}" name="f_ppr" dataDxfId="2635">
      <calculatedColumnFormula>($J76*0.04)+($K76*4)+($L76*-2)+($N76*0.1)+($O76*6)+($Q76)+($R76*0.1)+($S76*6)+($T76*-2)</calculatedColumnFormula>
    </tableColumn>
    <tableColumn id="23" xr3:uid="{00000000-0010-0000-7D00-000017000000}" name="tgt_share" dataDxfId="2634">
      <calculatedColumnFormula>$P76/$H$33</calculatedColumnFormula>
    </tableColumn>
    <tableColumn id="24" xr3:uid="{00000000-0010-0000-7D00-000018000000}" name="ypc" dataDxfId="2633">
      <calculatedColumnFormula>$N76/$M76</calculatedColumnFormula>
    </tableColumn>
    <tableColumn id="25" xr3:uid="{00000000-0010-0000-7D00-000019000000}" name="ypr" dataDxfId="2632">
      <calculatedColumnFormula>$R76/$Q76</calculatedColumnFormula>
    </tableColumn>
    <tableColumn id="26" xr3:uid="{00000000-0010-0000-7D00-00001A000000}" name="cmp_pct" dataDxfId="2631">
      <calculatedColumnFormula>$I76/$H76</calculatedColumnFormula>
    </tableColumn>
    <tableColumn id="27" xr3:uid="{00000000-0010-0000-7D00-00001B000000}" name="td_rate" dataDxfId="2630">
      <calculatedColumnFormula>$K76/$H76</calculatedColumnFormula>
    </tableColumn>
    <tableColumn id="28" xr3:uid="{00000000-0010-0000-7D00-00001C000000}" name="f_custom" dataDxfId="262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00000000-000C-0000-FFFF-FFFF7E000000}" name="LV_Table1" displayName="LV_Table1" ref="A1:Y16" totalsRowShown="0" headerRowDxfId="2627" dataDxfId="2601">
  <autoFilter ref="A1:Y16" xr:uid="{00000000-0009-0000-0100-000081000000}"/>
  <tableColumns count="25">
    <tableColumn id="1" xr3:uid="{00000000-0010-0000-7E00-000001000000}" name="player_name" dataDxfId="2626"/>
    <tableColumn id="2" xr3:uid="{00000000-0010-0000-7E00-000002000000}" name="recent_team" dataDxfId="2625"/>
    <tableColumn id="3" xr3:uid="{00000000-0010-0000-7E00-000003000000}" name="pos" dataDxfId="2624"/>
    <tableColumn id="4" xr3:uid="{00000000-0010-0000-7E00-000004000000}" name="g" dataDxfId="2623"/>
    <tableColumn id="5" xr3:uid="{00000000-0010-0000-7E00-000005000000}" name="p_att" dataDxfId="2622"/>
    <tableColumn id="6" xr3:uid="{00000000-0010-0000-7E00-000006000000}" name="cmp" dataDxfId="2621"/>
    <tableColumn id="7" xr3:uid="{00000000-0010-0000-7E00-000007000000}" name="p_yd" dataDxfId="2620"/>
    <tableColumn id="8" xr3:uid="{00000000-0010-0000-7E00-000008000000}" name="p_td" dataDxfId="2619"/>
    <tableColumn id="9" xr3:uid="{00000000-0010-0000-7E00-000009000000}" name="int" dataDxfId="2618"/>
    <tableColumn id="10" xr3:uid="{00000000-0010-0000-7E00-00000A000000}" name="car" dataDxfId="2617"/>
    <tableColumn id="11" xr3:uid="{00000000-0010-0000-7E00-00000B000000}" name="r_yd" dataDxfId="2616"/>
    <tableColumn id="12" xr3:uid="{00000000-0010-0000-7E00-00000C000000}" name="r_td" dataDxfId="2615"/>
    <tableColumn id="13" xr3:uid="{00000000-0010-0000-7E00-00000D000000}" name="tgt" dataDxfId="2614"/>
    <tableColumn id="14" xr3:uid="{00000000-0010-0000-7E00-00000E000000}" name="rec" dataDxfId="2613"/>
    <tableColumn id="15" xr3:uid="{00000000-0010-0000-7E00-00000F000000}" name="rec_yd" dataDxfId="2612"/>
    <tableColumn id="16" xr3:uid="{00000000-0010-0000-7E00-000010000000}" name="rec_td" dataDxfId="2611"/>
    <tableColumn id="17" xr3:uid="{00000000-0010-0000-7E00-000011000000}" name="fmb" dataDxfId="2610"/>
    <tableColumn id="18" xr3:uid="{00000000-0010-0000-7E00-000012000000}" name="tp_c" dataDxfId="2609"/>
    <tableColumn id="19" xr3:uid="{00000000-0010-0000-7E00-000013000000}" name="f_ppr" dataDxfId="2608"/>
    <tableColumn id="20" xr3:uid="{00000000-0010-0000-7E00-000014000000}" name="tgt_share" dataDxfId="2607"/>
    <tableColumn id="21" xr3:uid="{00000000-0010-0000-7E00-000015000000}" name="ypc" dataDxfId="2606"/>
    <tableColumn id="22" xr3:uid="{00000000-0010-0000-7E00-000016000000}" name="ypr" dataDxfId="2605"/>
    <tableColumn id="23" xr3:uid="{00000000-0010-0000-7E00-000017000000}" name="cmp_pct" dataDxfId="2604"/>
    <tableColumn id="24" xr3:uid="{00000000-0010-0000-7E00-000018000000}" name="td_rate" dataDxfId="2603"/>
    <tableColumn id="25" xr3:uid="{C2DEB650-DE21-4816-96B9-05EE45AD5B92}" name="f_custom" dataDxfId="260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0000000-000C-0000-FFFF-FFFF7F000000}" name="LV_Table2" displayName="LV_Table2" ref="A30:M31" totalsRowShown="0" headerRowDxfId="2600" dataDxfId="2586">
  <autoFilter ref="A30:M31" xr:uid="{00000000-0009-0000-0100-000082000000}"/>
  <tableColumns count="13">
    <tableColumn id="1" xr3:uid="{00000000-0010-0000-7F00-000001000000}" name="team" dataDxfId="2599"/>
    <tableColumn id="2" xr3:uid="{00000000-0010-0000-7F00-000002000000}" name="off_yd" dataDxfId="2598"/>
    <tableColumn id="3" xr3:uid="{00000000-0010-0000-7F00-000003000000}" name="p_yd" dataDxfId="2597"/>
    <tableColumn id="4" xr3:uid="{00000000-0010-0000-7F00-000004000000}" name="car" dataDxfId="2596"/>
    <tableColumn id="5" xr3:uid="{00000000-0010-0000-7F00-000005000000}" name="r_yd" dataDxfId="2595"/>
    <tableColumn id="6" xr3:uid="{00000000-0010-0000-7F00-000006000000}" name="r_td" dataDxfId="2594"/>
    <tableColumn id="7" xr3:uid="{00000000-0010-0000-7F00-000007000000}" name="p_ff" dataDxfId="2593"/>
    <tableColumn id="8" xr3:uid="{00000000-0010-0000-7F00-000008000000}" name="p_att" dataDxfId="2592"/>
    <tableColumn id="9" xr3:uid="{00000000-0010-0000-7F00-000009000000}" name="cmp_pct" dataDxfId="2591"/>
    <tableColumn id="10" xr3:uid="{00000000-0010-0000-7F00-00000A000000}" name="p_td" dataDxfId="2590"/>
    <tableColumn id="11" xr3:uid="{00000000-0010-0000-7F00-00000B000000}" name="int" dataDxfId="2589"/>
    <tableColumn id="12" xr3:uid="{00000000-0010-0000-7F00-00000C000000}" name="fmb" dataDxfId="2588"/>
    <tableColumn id="13" xr3:uid="{3F872E9A-7EB7-45CF-B0A0-928816C7C32A}" name="f_custom" dataDxfId="258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0000000-000C-0000-FFFF-FFFF80000000}" name="LV_Table3" displayName="LV_Table3" ref="A32:M33" totalsRowShown="0" headerRowDxfId="2585" dataDxfId="2571">
  <autoFilter ref="A32:M33" xr:uid="{00000000-0009-0000-0100-000083000000}"/>
  <tableColumns count="13">
    <tableColumn id="1" xr3:uid="{00000000-0010-0000-8000-000001000000}" name="team" dataDxfId="2584">
      <calculatedColumnFormula>A31</calculatedColumnFormula>
    </tableColumn>
    <tableColumn id="2" xr3:uid="{00000000-0010-0000-8000-000002000000}" name="off_yd" dataDxfId="2583">
      <calculatedColumnFormula>C33 + E33</calculatedColumnFormula>
    </tableColumn>
    <tableColumn id="3" xr3:uid="{00000000-0010-0000-8000-000003000000}" name="p_yd" dataDxfId="2582">
      <calculatedColumnFormula>SUM(INDIRECT(A33 &amp; "_Table4[[#All],[p_yd]]"))</calculatedColumnFormula>
    </tableColumn>
    <tableColumn id="4" xr3:uid="{00000000-0010-0000-8000-000004000000}" name="car" dataDxfId="258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000-000005000000}" name="r_yd" dataDxfId="258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000-000006000000}" name="r_td" dataDxfId="257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000-000007000000}" name="p_ff" dataDxfId="257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000-000008000000}" name="p_att" dataDxfId="257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000-000009000000}" name="cmp_pct" dataDxfId="2576">
      <calculatedColumnFormula>SUM(INDIRECT(A33 &amp; "_Table4[[#All],[cmp]]"))/H33</calculatedColumnFormula>
    </tableColumn>
    <tableColumn id="10" xr3:uid="{00000000-0010-0000-8000-00000A000000}" name="p_td" dataDxfId="257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000-00000B000000}" name="int" dataDxfId="257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000-00000C000000}" name="fmb" dataDxfId="257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2BE43AE-E140-4FCA-BA08-257BCFA7A2E5}" name="f_custom" dataDxfId="257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00000000-000C-0000-FFFF-FFFF81000000}" name="LV_Table4" displayName="LV_Table4" ref="A35:AB39" totalsRowShown="0" headerRowDxfId="2570" dataDxfId="2541">
  <autoFilter ref="A35:AB39" xr:uid="{00000000-0009-0000-0100-000084000000}"/>
  <tableColumns count="28">
    <tableColumn id="1" xr3:uid="{00000000-0010-0000-8100-000001000000}" name="Name" dataDxfId="2569"/>
    <tableColumn id="2" xr3:uid="{00000000-0010-0000-8100-000002000000}" name="POS" dataDxfId="2568"/>
    <tableColumn id="3" xr3:uid="{00000000-0010-0000-8100-000003000000}" name="Age" dataDxfId="2567"/>
    <tableColumn id="4" xr3:uid="{00000000-0010-0000-8100-000004000000}" name="Exp" dataDxfId="2566"/>
    <tableColumn id="5" xr3:uid="{00000000-0010-0000-8100-000005000000}" name="College" dataDxfId="2565"/>
    <tableColumn id="6" xr3:uid="{00000000-0010-0000-8100-000006000000}" name="team" dataDxfId="2564"/>
    <tableColumn id="7" xr3:uid="{00000000-0010-0000-8100-000007000000}" name="g" dataDxfId="2563"/>
    <tableColumn id="8" xr3:uid="{00000000-0010-0000-8100-000008000000}" name="p_att" dataDxfId="2562"/>
    <tableColumn id="9" xr3:uid="{00000000-0010-0000-8100-000009000000}" name="cmp" dataDxfId="2561"/>
    <tableColumn id="10" xr3:uid="{00000000-0010-0000-8100-00000A000000}" name="p_yd" dataDxfId="2560"/>
    <tableColumn id="11" xr3:uid="{00000000-0010-0000-8100-00000B000000}" name="p_td" dataDxfId="2559"/>
    <tableColumn id="12" xr3:uid="{00000000-0010-0000-8100-00000C000000}" name="int" dataDxfId="2558"/>
    <tableColumn id="13" xr3:uid="{00000000-0010-0000-8100-00000D000000}" name="car" dataDxfId="2557"/>
    <tableColumn id="14" xr3:uid="{00000000-0010-0000-8100-00000E000000}" name="r_yd" dataDxfId="2556"/>
    <tableColumn id="15" xr3:uid="{00000000-0010-0000-8100-00000F000000}" name="r_td" dataDxfId="2555"/>
    <tableColumn id="16" xr3:uid="{00000000-0010-0000-8100-000010000000}" name="tgt" dataDxfId="2554"/>
    <tableColumn id="17" xr3:uid="{00000000-0010-0000-8100-000011000000}" name="rec" dataDxfId="2553"/>
    <tableColumn id="18" xr3:uid="{00000000-0010-0000-8100-000012000000}" name="rec_yd" dataDxfId="2552"/>
    <tableColumn id="19" xr3:uid="{00000000-0010-0000-8100-000013000000}" name="rec_td" dataDxfId="2551"/>
    <tableColumn id="20" xr3:uid="{00000000-0010-0000-8100-000014000000}" name="fmb" dataDxfId="2550"/>
    <tableColumn id="21" xr3:uid="{00000000-0010-0000-8100-000015000000}" name="tp_c" dataDxfId="2549"/>
    <tableColumn id="22" xr3:uid="{00000000-0010-0000-8100-000016000000}" name="f_ppr" dataDxfId="2548">
      <calculatedColumnFormula>($J36*0.04)+($K36*4)+($L36*-2)+($N36*0.1)+($O36*6)+($Q36)+($R36*0.1)+($S36*6)+($T36*-2)</calculatedColumnFormula>
    </tableColumn>
    <tableColumn id="23" xr3:uid="{00000000-0010-0000-8100-000017000000}" name="tgt_share" dataDxfId="2547">
      <calculatedColumnFormula>$P36/$H$33</calculatedColumnFormula>
    </tableColumn>
    <tableColumn id="24" xr3:uid="{00000000-0010-0000-8100-000018000000}" name="ypc" dataDxfId="2546">
      <calculatedColumnFormula>$N36/$M36</calculatedColumnFormula>
    </tableColumn>
    <tableColumn id="25" xr3:uid="{00000000-0010-0000-8100-000019000000}" name="ypr" dataDxfId="2545">
      <calculatedColumnFormula>$R36/$Q36</calculatedColumnFormula>
    </tableColumn>
    <tableColumn id="26" xr3:uid="{00000000-0010-0000-8100-00001A000000}" name="cmp_pct" dataDxfId="2544">
      <calculatedColumnFormula>$I36/$H36</calculatedColumnFormula>
    </tableColumn>
    <tableColumn id="27" xr3:uid="{00000000-0010-0000-8100-00001B000000}" name="td_rate" dataDxfId="2543">
      <calculatedColumnFormula>$K36/$H36</calculatedColumnFormula>
    </tableColumn>
    <tableColumn id="28" xr3:uid="{00000000-0010-0000-8100-00001C000000}" name="f_custom" dataDxfId="254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000000-000C-0000-FFFF-FFFF82000000}" name="LV_Table5" displayName="LV_Table5" ref="A45:AB54" totalsRowShown="0" headerRowDxfId="2540" dataDxfId="2511">
  <autoFilter ref="A45:AB54" xr:uid="{00000000-0009-0000-0100-000085000000}"/>
  <tableColumns count="28">
    <tableColumn id="1" xr3:uid="{00000000-0010-0000-8200-000001000000}" name="Name" dataDxfId="2539"/>
    <tableColumn id="2" xr3:uid="{00000000-0010-0000-8200-000002000000}" name="POS" dataDxfId="2538"/>
    <tableColumn id="3" xr3:uid="{00000000-0010-0000-8200-000003000000}" name="Age" dataDxfId="2537"/>
    <tableColumn id="4" xr3:uid="{00000000-0010-0000-8200-000004000000}" name="Exp" dataDxfId="2536"/>
    <tableColumn id="5" xr3:uid="{00000000-0010-0000-8200-000005000000}" name="College" dataDxfId="2535"/>
    <tableColumn id="6" xr3:uid="{00000000-0010-0000-8200-000006000000}" name="team" dataDxfId="2534"/>
    <tableColumn id="7" xr3:uid="{00000000-0010-0000-8200-000007000000}" name="g" dataDxfId="2533"/>
    <tableColumn id="8" xr3:uid="{00000000-0010-0000-8200-000008000000}" name="p_att" dataDxfId="2532"/>
    <tableColumn id="9" xr3:uid="{00000000-0010-0000-8200-000009000000}" name="cmp" dataDxfId="2531"/>
    <tableColumn id="10" xr3:uid="{00000000-0010-0000-8200-00000A000000}" name="p_yd" dataDxfId="2530"/>
    <tableColumn id="11" xr3:uid="{00000000-0010-0000-8200-00000B000000}" name="p_td" dataDxfId="2529"/>
    <tableColumn id="12" xr3:uid="{00000000-0010-0000-8200-00000C000000}" name="int" dataDxfId="2528"/>
    <tableColumn id="13" xr3:uid="{00000000-0010-0000-8200-00000D000000}" name="car" dataDxfId="2527"/>
    <tableColumn id="14" xr3:uid="{00000000-0010-0000-8200-00000E000000}" name="r_yd" dataDxfId="2526"/>
    <tableColumn id="15" xr3:uid="{00000000-0010-0000-8200-00000F000000}" name="r_td" dataDxfId="2525"/>
    <tableColumn id="16" xr3:uid="{00000000-0010-0000-8200-000010000000}" name="tgt" dataDxfId="2524"/>
    <tableColumn id="17" xr3:uid="{00000000-0010-0000-8200-000011000000}" name="rec" dataDxfId="2523"/>
    <tableColumn id="18" xr3:uid="{00000000-0010-0000-8200-000012000000}" name="rec_yd" dataDxfId="2522"/>
    <tableColumn id="19" xr3:uid="{00000000-0010-0000-8200-000013000000}" name="rec_td" dataDxfId="2521"/>
    <tableColumn id="20" xr3:uid="{00000000-0010-0000-8200-000014000000}" name="fmb" dataDxfId="2520"/>
    <tableColumn id="21" xr3:uid="{00000000-0010-0000-8200-000015000000}" name="tp_c" dataDxfId="2519"/>
    <tableColumn id="22" xr3:uid="{00000000-0010-0000-8200-000016000000}" name="f_ppr" dataDxfId="2518">
      <calculatedColumnFormula>($J46*0.04)+($K46*4)+($L46*-2)+($N46*0.1)+($O46*6)+($Q46)+($R46*0.1)+($S46*6)+($T46*-2)</calculatedColumnFormula>
    </tableColumn>
    <tableColumn id="23" xr3:uid="{00000000-0010-0000-8200-000017000000}" name="tgt_share" dataDxfId="2517">
      <calculatedColumnFormula>$P46/$H$33</calculatedColumnFormula>
    </tableColumn>
    <tableColumn id="24" xr3:uid="{00000000-0010-0000-8200-000018000000}" name="ypc" dataDxfId="2516">
      <calculatedColumnFormula>$N46/$M46</calculatedColumnFormula>
    </tableColumn>
    <tableColumn id="25" xr3:uid="{00000000-0010-0000-8200-000019000000}" name="ypr" dataDxfId="2515">
      <calculatedColumnFormula>$R46/$Q46</calculatedColumnFormula>
    </tableColumn>
    <tableColumn id="26" xr3:uid="{00000000-0010-0000-8200-00001A000000}" name="cmp_pct" dataDxfId="2514">
      <calculatedColumnFormula>$I46/$H46</calculatedColumnFormula>
    </tableColumn>
    <tableColumn id="27" xr3:uid="{00000000-0010-0000-8200-00001B000000}" name="td_rate" dataDxfId="2513">
      <calculatedColumnFormula>$K46/$H46</calculatedColumnFormula>
    </tableColumn>
    <tableColumn id="28" xr3:uid="{00000000-0010-0000-8200-00001C000000}" name="f_custom" dataDxfId="251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00000000-000C-0000-FFFF-FFFF83000000}" name="LV_Table6" displayName="LV_Table6" ref="A60:AB71" totalsRowShown="0" headerRowDxfId="2510" dataDxfId="2481">
  <autoFilter ref="A60:AB71" xr:uid="{00000000-0009-0000-0100-000086000000}"/>
  <tableColumns count="28">
    <tableColumn id="1" xr3:uid="{00000000-0010-0000-8300-000001000000}" name="Name" dataDxfId="2509"/>
    <tableColumn id="2" xr3:uid="{00000000-0010-0000-8300-000002000000}" name="POS" dataDxfId="2508"/>
    <tableColumn id="3" xr3:uid="{00000000-0010-0000-8300-000003000000}" name="Age" dataDxfId="2507"/>
    <tableColumn id="4" xr3:uid="{00000000-0010-0000-8300-000004000000}" name="Exp" dataDxfId="2506"/>
    <tableColumn id="5" xr3:uid="{00000000-0010-0000-8300-000005000000}" name="College" dataDxfId="2505"/>
    <tableColumn id="6" xr3:uid="{00000000-0010-0000-8300-000006000000}" name="team" dataDxfId="2504"/>
    <tableColumn id="7" xr3:uid="{00000000-0010-0000-8300-000007000000}" name="g" dataDxfId="2503"/>
    <tableColumn id="8" xr3:uid="{00000000-0010-0000-8300-000008000000}" name="p_att" dataDxfId="2502"/>
    <tableColumn id="9" xr3:uid="{00000000-0010-0000-8300-000009000000}" name="cmp" dataDxfId="2501"/>
    <tableColumn id="10" xr3:uid="{00000000-0010-0000-8300-00000A000000}" name="p_yd" dataDxfId="2500"/>
    <tableColumn id="11" xr3:uid="{00000000-0010-0000-8300-00000B000000}" name="p_td" dataDxfId="2499"/>
    <tableColumn id="12" xr3:uid="{00000000-0010-0000-8300-00000C000000}" name="int" dataDxfId="2498"/>
    <tableColumn id="13" xr3:uid="{00000000-0010-0000-8300-00000D000000}" name="car" dataDxfId="2497"/>
    <tableColumn id="14" xr3:uid="{00000000-0010-0000-8300-00000E000000}" name="r_yd" dataDxfId="2496"/>
    <tableColumn id="15" xr3:uid="{00000000-0010-0000-8300-00000F000000}" name="r_td" dataDxfId="2495"/>
    <tableColumn id="16" xr3:uid="{00000000-0010-0000-8300-000010000000}" name="tgt" dataDxfId="2494"/>
    <tableColumn id="17" xr3:uid="{00000000-0010-0000-8300-000011000000}" name="rec" dataDxfId="2493"/>
    <tableColumn id="18" xr3:uid="{00000000-0010-0000-8300-000012000000}" name="rec_yd" dataDxfId="2492"/>
    <tableColumn id="19" xr3:uid="{00000000-0010-0000-8300-000013000000}" name="rec_td" dataDxfId="2491"/>
    <tableColumn id="20" xr3:uid="{00000000-0010-0000-8300-000014000000}" name="fmb" dataDxfId="2490"/>
    <tableColumn id="21" xr3:uid="{00000000-0010-0000-8300-000015000000}" name="tp_c" dataDxfId="2489"/>
    <tableColumn id="22" xr3:uid="{00000000-0010-0000-8300-000016000000}" name="f_ppr" dataDxfId="2488">
      <calculatedColumnFormula>($J61*0.04)+($K61*4)+($L61*-2)+($N61*0.1)+($O61*6)+($Q61)+($R61*0.1)+($S61*6)+($T61*-2)</calculatedColumnFormula>
    </tableColumn>
    <tableColumn id="23" xr3:uid="{00000000-0010-0000-8300-000017000000}" name="tgt_share" dataDxfId="2487">
      <calculatedColumnFormula>$P61/$H$33</calculatedColumnFormula>
    </tableColumn>
    <tableColumn id="24" xr3:uid="{00000000-0010-0000-8300-000018000000}" name="ypc" dataDxfId="2486">
      <calculatedColumnFormula>$N61/$M61</calculatedColumnFormula>
    </tableColumn>
    <tableColumn id="25" xr3:uid="{00000000-0010-0000-8300-000019000000}" name="ypr" dataDxfId="2485">
      <calculatedColumnFormula>$R61/$Q61</calculatedColumnFormula>
    </tableColumn>
    <tableColumn id="26" xr3:uid="{00000000-0010-0000-8300-00001A000000}" name="cmp_pct" dataDxfId="2484">
      <calculatedColumnFormula>$I61/$H61</calculatedColumnFormula>
    </tableColumn>
    <tableColumn id="27" xr3:uid="{00000000-0010-0000-8300-00001B000000}" name="td_rate" dataDxfId="2483">
      <calculatedColumnFormula>$K61/$H61</calculatedColumnFormula>
    </tableColumn>
    <tableColumn id="28" xr3:uid="{00000000-0010-0000-8300-00001C000000}" name="f_custom" dataDxfId="248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00000000-000C-0000-FFFF-FFFF84000000}" name="LV_Table7" displayName="LV_Table7" ref="A75:AB81" totalsRowShown="0" headerRowDxfId="2480" dataDxfId="2451">
  <autoFilter ref="A75:AB81" xr:uid="{00000000-0009-0000-0100-000087000000}"/>
  <tableColumns count="28">
    <tableColumn id="1" xr3:uid="{00000000-0010-0000-8400-000001000000}" name="Name" dataDxfId="2479"/>
    <tableColumn id="2" xr3:uid="{00000000-0010-0000-8400-000002000000}" name="POS" dataDxfId="2478"/>
    <tableColumn id="3" xr3:uid="{00000000-0010-0000-8400-000003000000}" name="Age" dataDxfId="2477"/>
    <tableColumn id="4" xr3:uid="{00000000-0010-0000-8400-000004000000}" name="Exp" dataDxfId="2476"/>
    <tableColumn id="5" xr3:uid="{00000000-0010-0000-8400-000005000000}" name="College" dataDxfId="2475"/>
    <tableColumn id="6" xr3:uid="{00000000-0010-0000-8400-000006000000}" name="team" dataDxfId="2474"/>
    <tableColumn id="7" xr3:uid="{00000000-0010-0000-8400-000007000000}" name="g" dataDxfId="2473"/>
    <tableColumn id="8" xr3:uid="{00000000-0010-0000-8400-000008000000}" name="p_att" dataDxfId="2472"/>
    <tableColumn id="9" xr3:uid="{00000000-0010-0000-8400-000009000000}" name="cmp" dataDxfId="2471"/>
    <tableColumn id="10" xr3:uid="{00000000-0010-0000-8400-00000A000000}" name="p_yd" dataDxfId="2470"/>
    <tableColumn id="11" xr3:uid="{00000000-0010-0000-8400-00000B000000}" name="p_td" dataDxfId="2469"/>
    <tableColumn id="12" xr3:uid="{00000000-0010-0000-8400-00000C000000}" name="int" dataDxfId="2468"/>
    <tableColumn id="13" xr3:uid="{00000000-0010-0000-8400-00000D000000}" name="car" dataDxfId="2467"/>
    <tableColumn id="14" xr3:uid="{00000000-0010-0000-8400-00000E000000}" name="r_yd" dataDxfId="2466"/>
    <tableColumn id="15" xr3:uid="{00000000-0010-0000-8400-00000F000000}" name="r_td" dataDxfId="2465"/>
    <tableColumn id="16" xr3:uid="{00000000-0010-0000-8400-000010000000}" name="tgt" dataDxfId="2464"/>
    <tableColumn id="17" xr3:uid="{00000000-0010-0000-8400-000011000000}" name="rec" dataDxfId="2463"/>
    <tableColumn id="18" xr3:uid="{00000000-0010-0000-8400-000012000000}" name="rec_yd" dataDxfId="2462"/>
    <tableColumn id="19" xr3:uid="{00000000-0010-0000-8400-000013000000}" name="rec_td" dataDxfId="2461"/>
    <tableColumn id="20" xr3:uid="{00000000-0010-0000-8400-000014000000}" name="fmb" dataDxfId="2460"/>
    <tableColumn id="21" xr3:uid="{00000000-0010-0000-8400-000015000000}" name="tp_c" dataDxfId="2459"/>
    <tableColumn id="22" xr3:uid="{00000000-0010-0000-8400-000016000000}" name="f_ppr" dataDxfId="2458">
      <calculatedColumnFormula>($J76*0.04)+($K76*4)+($L76*-2)+($N76*0.1)+($O76*6)+($Q76)+($R76*0.1)+($S76*6)+($T76*-2)</calculatedColumnFormula>
    </tableColumn>
    <tableColumn id="23" xr3:uid="{00000000-0010-0000-8400-000017000000}" name="tgt_share" dataDxfId="2457">
      <calculatedColumnFormula>$P76/$H$33</calculatedColumnFormula>
    </tableColumn>
    <tableColumn id="24" xr3:uid="{00000000-0010-0000-8400-000018000000}" name="ypc" dataDxfId="2456">
      <calculatedColumnFormula>$N76/$M76</calculatedColumnFormula>
    </tableColumn>
    <tableColumn id="25" xr3:uid="{00000000-0010-0000-8400-000019000000}" name="ypr" dataDxfId="2455">
      <calculatedColumnFormula>$R76/$Q76</calculatedColumnFormula>
    </tableColumn>
    <tableColumn id="26" xr3:uid="{00000000-0010-0000-8400-00001A000000}" name="cmp_pct" dataDxfId="2454">
      <calculatedColumnFormula>$I76/$H76</calculatedColumnFormula>
    </tableColumn>
    <tableColumn id="27" xr3:uid="{00000000-0010-0000-8400-00001B000000}" name="td_rate" dataDxfId="2453">
      <calculatedColumnFormula>$K76/$H76</calculatedColumnFormula>
    </tableColumn>
    <tableColumn id="28" xr3:uid="{00000000-0010-0000-8400-00001C000000}" name="f_custom" dataDxfId="245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00000000-000C-0000-FFFF-FFFF85000000}" name="MIA_Table1" displayName="MIA_Table1" ref="A1:Y20" totalsRowShown="0" headerRowDxfId="2450" dataDxfId="2424">
  <autoFilter ref="A1:Y20" xr:uid="{00000000-0009-0000-0100-000088000000}"/>
  <tableColumns count="25">
    <tableColumn id="1" xr3:uid="{00000000-0010-0000-8500-000001000000}" name="player_name" dataDxfId="2449"/>
    <tableColumn id="2" xr3:uid="{00000000-0010-0000-8500-000002000000}" name="recent_team" dataDxfId="2448"/>
    <tableColumn id="3" xr3:uid="{00000000-0010-0000-8500-000003000000}" name="pos" dataDxfId="2447"/>
    <tableColumn id="4" xr3:uid="{00000000-0010-0000-8500-000004000000}" name="g" dataDxfId="2446"/>
    <tableColumn id="5" xr3:uid="{00000000-0010-0000-8500-000005000000}" name="p_att" dataDxfId="2445"/>
    <tableColumn id="6" xr3:uid="{00000000-0010-0000-8500-000006000000}" name="cmp" dataDxfId="2444"/>
    <tableColumn id="7" xr3:uid="{00000000-0010-0000-8500-000007000000}" name="p_yd" dataDxfId="2443"/>
    <tableColumn id="8" xr3:uid="{00000000-0010-0000-8500-000008000000}" name="p_td" dataDxfId="2442"/>
    <tableColumn id="9" xr3:uid="{00000000-0010-0000-8500-000009000000}" name="int" dataDxfId="2441"/>
    <tableColumn id="10" xr3:uid="{00000000-0010-0000-8500-00000A000000}" name="car" dataDxfId="2440"/>
    <tableColumn id="11" xr3:uid="{00000000-0010-0000-8500-00000B000000}" name="r_yd" dataDxfId="2439"/>
    <tableColumn id="12" xr3:uid="{00000000-0010-0000-8500-00000C000000}" name="r_td" dataDxfId="2438"/>
    <tableColumn id="13" xr3:uid="{00000000-0010-0000-8500-00000D000000}" name="tgt" dataDxfId="2437"/>
    <tableColumn id="14" xr3:uid="{00000000-0010-0000-8500-00000E000000}" name="rec" dataDxfId="2436"/>
    <tableColumn id="15" xr3:uid="{00000000-0010-0000-8500-00000F000000}" name="rec_yd" dataDxfId="2435"/>
    <tableColumn id="16" xr3:uid="{00000000-0010-0000-8500-000010000000}" name="rec_td" dataDxfId="2434"/>
    <tableColumn id="17" xr3:uid="{00000000-0010-0000-8500-000011000000}" name="fmb" dataDxfId="2433"/>
    <tableColumn id="18" xr3:uid="{00000000-0010-0000-8500-000012000000}" name="tp_c" dataDxfId="2432"/>
    <tableColumn id="19" xr3:uid="{00000000-0010-0000-8500-000013000000}" name="f_ppr" dataDxfId="2431"/>
    <tableColumn id="20" xr3:uid="{00000000-0010-0000-8500-000014000000}" name="tgt_share" dataDxfId="2430"/>
    <tableColumn id="21" xr3:uid="{00000000-0010-0000-8500-000015000000}" name="ypc" dataDxfId="2429"/>
    <tableColumn id="22" xr3:uid="{00000000-0010-0000-8500-000016000000}" name="ypr" dataDxfId="2428"/>
    <tableColumn id="23" xr3:uid="{00000000-0010-0000-8500-000017000000}" name="cmp_pct" dataDxfId="2427"/>
    <tableColumn id="24" xr3:uid="{00000000-0010-0000-8500-000018000000}" name="td_rate" dataDxfId="2426"/>
    <tableColumn id="25" xr3:uid="{C71E64EA-72B1-4919-87F9-42DF5B8BAD7D}" name="f_custom" dataDxfId="242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0000000-000C-0000-FFFF-FFFF86000000}" name="MIA_Table2" displayName="MIA_Table2" ref="A30:M31" totalsRowShown="0" headerRowDxfId="2423" dataDxfId="2409">
  <autoFilter ref="A30:M31" xr:uid="{00000000-0009-0000-0100-000089000000}"/>
  <tableColumns count="13">
    <tableColumn id="1" xr3:uid="{00000000-0010-0000-8600-000001000000}" name="team" dataDxfId="2422"/>
    <tableColumn id="2" xr3:uid="{00000000-0010-0000-8600-000002000000}" name="off_yd" dataDxfId="2421"/>
    <tableColumn id="3" xr3:uid="{00000000-0010-0000-8600-000003000000}" name="p_yd" dataDxfId="2420"/>
    <tableColumn id="4" xr3:uid="{00000000-0010-0000-8600-000004000000}" name="car" dataDxfId="2419"/>
    <tableColumn id="5" xr3:uid="{00000000-0010-0000-8600-000005000000}" name="r_yd" dataDxfId="2418"/>
    <tableColumn id="6" xr3:uid="{00000000-0010-0000-8600-000006000000}" name="r_td" dataDxfId="2417"/>
    <tableColumn id="7" xr3:uid="{00000000-0010-0000-8600-000007000000}" name="p_ff" dataDxfId="2416"/>
    <tableColumn id="8" xr3:uid="{00000000-0010-0000-8600-000008000000}" name="p_att" dataDxfId="2415"/>
    <tableColumn id="9" xr3:uid="{00000000-0010-0000-8600-000009000000}" name="cmp_pct" dataDxfId="2414"/>
    <tableColumn id="10" xr3:uid="{00000000-0010-0000-8600-00000A000000}" name="p_td" dataDxfId="2413"/>
    <tableColumn id="11" xr3:uid="{00000000-0010-0000-8600-00000B000000}" name="int" dataDxfId="2412"/>
    <tableColumn id="12" xr3:uid="{00000000-0010-0000-8600-00000C000000}" name="fmb" dataDxfId="2411"/>
    <tableColumn id="13" xr3:uid="{C15B29A6-BB40-498B-87D8-B5A2F83B3E33}" name="f_custom" dataDxfId="241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00000000-000C-0000-FFFF-FFFF87000000}" name="MIA_Table3" displayName="MIA_Table3" ref="A32:M33" totalsRowShown="0" headerRowDxfId="2408" dataDxfId="2394">
  <autoFilter ref="A32:M33" xr:uid="{00000000-0009-0000-0100-00008A000000}"/>
  <tableColumns count="13">
    <tableColumn id="1" xr3:uid="{00000000-0010-0000-8700-000001000000}" name="team" dataDxfId="2407">
      <calculatedColumnFormula>A31</calculatedColumnFormula>
    </tableColumn>
    <tableColumn id="2" xr3:uid="{00000000-0010-0000-8700-000002000000}" name="off_yd" dataDxfId="2406">
      <calculatedColumnFormula>C33 + E33</calculatedColumnFormula>
    </tableColumn>
    <tableColumn id="3" xr3:uid="{00000000-0010-0000-8700-000003000000}" name="p_yd" dataDxfId="2405">
      <calculatedColumnFormula>SUM(INDIRECT(A33 &amp; "_Table4[[#All],[p_yd]]"))</calculatedColumnFormula>
    </tableColumn>
    <tableColumn id="4" xr3:uid="{00000000-0010-0000-8700-000004000000}" name="car" dataDxfId="240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700-000005000000}" name="r_yd" dataDxfId="240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700-000006000000}" name="r_td" dataDxfId="240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700-000007000000}" name="p_ff" dataDxfId="240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700-000008000000}" name="p_att" dataDxfId="240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700-000009000000}" name="cmp_pct" dataDxfId="2399">
      <calculatedColumnFormula>SUM(INDIRECT(A33 &amp; "_Table4[[#All],[cmp]]"))/H33</calculatedColumnFormula>
    </tableColumn>
    <tableColumn id="10" xr3:uid="{00000000-0010-0000-8700-00000A000000}" name="p_td" dataDxfId="239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700-00000B000000}" name="int" dataDxfId="239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700-00000C000000}" name="fmb" dataDxfId="239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1D38DFBB-9502-429A-AF95-20C1B4A6C20E}" name="f_custom" dataDxfId="239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0000000-000C-0000-FFFF-FFFF88000000}" name="MIA_Table4" displayName="MIA_Table4" ref="A35:AB38" totalsRowShown="0" headerRowDxfId="2393" dataDxfId="2364">
  <autoFilter ref="A35:AB38" xr:uid="{00000000-0009-0000-0100-00008B000000}"/>
  <tableColumns count="28">
    <tableColumn id="1" xr3:uid="{00000000-0010-0000-8800-000001000000}" name="Name" dataDxfId="2392"/>
    <tableColumn id="2" xr3:uid="{00000000-0010-0000-8800-000002000000}" name="POS" dataDxfId="2391"/>
    <tableColumn id="3" xr3:uid="{00000000-0010-0000-8800-000003000000}" name="Age" dataDxfId="2390"/>
    <tableColumn id="4" xr3:uid="{00000000-0010-0000-8800-000004000000}" name="Exp" dataDxfId="2389"/>
    <tableColumn id="5" xr3:uid="{00000000-0010-0000-8800-000005000000}" name="College" dataDxfId="2388"/>
    <tableColumn id="6" xr3:uid="{00000000-0010-0000-8800-000006000000}" name="team" dataDxfId="2387"/>
    <tableColumn id="7" xr3:uid="{00000000-0010-0000-8800-000007000000}" name="g" dataDxfId="2386"/>
    <tableColumn id="8" xr3:uid="{00000000-0010-0000-8800-000008000000}" name="p_att" dataDxfId="2385"/>
    <tableColumn id="9" xr3:uid="{00000000-0010-0000-8800-000009000000}" name="cmp" dataDxfId="2384"/>
    <tableColumn id="10" xr3:uid="{00000000-0010-0000-8800-00000A000000}" name="p_yd" dataDxfId="2383"/>
    <tableColumn id="11" xr3:uid="{00000000-0010-0000-8800-00000B000000}" name="p_td" dataDxfId="2382"/>
    <tableColumn id="12" xr3:uid="{00000000-0010-0000-8800-00000C000000}" name="int" dataDxfId="2381"/>
    <tableColumn id="13" xr3:uid="{00000000-0010-0000-8800-00000D000000}" name="car" dataDxfId="2380"/>
    <tableColumn id="14" xr3:uid="{00000000-0010-0000-8800-00000E000000}" name="r_yd" dataDxfId="2379"/>
    <tableColumn id="15" xr3:uid="{00000000-0010-0000-8800-00000F000000}" name="r_td" dataDxfId="2378"/>
    <tableColumn id="16" xr3:uid="{00000000-0010-0000-8800-000010000000}" name="tgt" dataDxfId="2377"/>
    <tableColumn id="17" xr3:uid="{00000000-0010-0000-8800-000011000000}" name="rec" dataDxfId="2376"/>
    <tableColumn id="18" xr3:uid="{00000000-0010-0000-8800-000012000000}" name="rec_yd" dataDxfId="2375"/>
    <tableColumn id="19" xr3:uid="{00000000-0010-0000-8800-000013000000}" name="rec_td" dataDxfId="2374"/>
    <tableColumn id="20" xr3:uid="{00000000-0010-0000-8800-000014000000}" name="fmb" dataDxfId="2373"/>
    <tableColumn id="21" xr3:uid="{00000000-0010-0000-8800-000015000000}" name="tp_c" dataDxfId="2372"/>
    <tableColumn id="22" xr3:uid="{00000000-0010-0000-8800-000016000000}" name="f_ppr" dataDxfId="2371">
      <calculatedColumnFormula>($J36*0.04)+($K36*4)+($L36*-2)+($N36*0.1)+($O36*6)+($Q36)+($R36*0.1)+($S36*6)+($T36*-2)</calculatedColumnFormula>
    </tableColumn>
    <tableColumn id="23" xr3:uid="{00000000-0010-0000-8800-000017000000}" name="tgt_share" dataDxfId="2370">
      <calculatedColumnFormula>$P36/$H$33</calculatedColumnFormula>
    </tableColumn>
    <tableColumn id="24" xr3:uid="{00000000-0010-0000-8800-000018000000}" name="ypc" dataDxfId="2369">
      <calculatedColumnFormula>$N36/$M36</calculatedColumnFormula>
    </tableColumn>
    <tableColumn id="25" xr3:uid="{00000000-0010-0000-8800-000019000000}" name="ypr" dataDxfId="2368">
      <calculatedColumnFormula>$R36/$Q36</calculatedColumnFormula>
    </tableColumn>
    <tableColumn id="26" xr3:uid="{00000000-0010-0000-8800-00001A000000}" name="cmp_pct" dataDxfId="2367">
      <calculatedColumnFormula>$I36/$H36</calculatedColumnFormula>
    </tableColumn>
    <tableColumn id="27" xr3:uid="{00000000-0010-0000-8800-00001B000000}" name="td_rate" dataDxfId="2366">
      <calculatedColumnFormula>$K36/$H36</calculatedColumnFormula>
    </tableColumn>
    <tableColumn id="28" xr3:uid="{00000000-0010-0000-8800-00001C000000}" name="f_custom" dataDxfId="236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00000000-000C-0000-FFFF-FFFF89000000}" name="MIA_Table5" displayName="MIA_Table5" ref="A45:AB51" totalsRowShown="0" headerRowDxfId="2363" dataDxfId="2334">
  <autoFilter ref="A45:AB51" xr:uid="{00000000-0009-0000-0100-00008C000000}"/>
  <tableColumns count="28">
    <tableColumn id="1" xr3:uid="{00000000-0010-0000-8900-000001000000}" name="Name" dataDxfId="2362"/>
    <tableColumn id="2" xr3:uid="{00000000-0010-0000-8900-000002000000}" name="POS" dataDxfId="2361"/>
    <tableColumn id="3" xr3:uid="{00000000-0010-0000-8900-000003000000}" name="Age" dataDxfId="2360"/>
    <tableColumn id="4" xr3:uid="{00000000-0010-0000-8900-000004000000}" name="Exp" dataDxfId="2359"/>
    <tableColumn id="5" xr3:uid="{00000000-0010-0000-8900-000005000000}" name="College" dataDxfId="2358"/>
    <tableColumn id="6" xr3:uid="{00000000-0010-0000-8900-000006000000}" name="team" dataDxfId="2357"/>
    <tableColumn id="7" xr3:uid="{00000000-0010-0000-8900-000007000000}" name="g" dataDxfId="2356"/>
    <tableColumn id="8" xr3:uid="{00000000-0010-0000-8900-000008000000}" name="p_att" dataDxfId="2355"/>
    <tableColumn id="9" xr3:uid="{00000000-0010-0000-8900-000009000000}" name="cmp" dataDxfId="2354"/>
    <tableColumn id="10" xr3:uid="{00000000-0010-0000-8900-00000A000000}" name="p_yd" dataDxfId="2353"/>
    <tableColumn id="11" xr3:uid="{00000000-0010-0000-8900-00000B000000}" name="p_td" dataDxfId="2352"/>
    <tableColumn id="12" xr3:uid="{00000000-0010-0000-8900-00000C000000}" name="int" dataDxfId="2351"/>
    <tableColumn id="13" xr3:uid="{00000000-0010-0000-8900-00000D000000}" name="car" dataDxfId="2350"/>
    <tableColumn id="14" xr3:uid="{00000000-0010-0000-8900-00000E000000}" name="r_yd" dataDxfId="2349"/>
    <tableColumn id="15" xr3:uid="{00000000-0010-0000-8900-00000F000000}" name="r_td" dataDxfId="2348"/>
    <tableColumn id="16" xr3:uid="{00000000-0010-0000-8900-000010000000}" name="tgt" dataDxfId="2347"/>
    <tableColumn id="17" xr3:uid="{00000000-0010-0000-8900-000011000000}" name="rec" dataDxfId="2346"/>
    <tableColumn id="18" xr3:uid="{00000000-0010-0000-8900-000012000000}" name="rec_yd" dataDxfId="2345"/>
    <tableColumn id="19" xr3:uid="{00000000-0010-0000-8900-000013000000}" name="rec_td" dataDxfId="2344"/>
    <tableColumn id="20" xr3:uid="{00000000-0010-0000-8900-000014000000}" name="fmb" dataDxfId="2343"/>
    <tableColumn id="21" xr3:uid="{00000000-0010-0000-8900-000015000000}" name="tp_c" dataDxfId="2342"/>
    <tableColumn id="22" xr3:uid="{00000000-0010-0000-8900-000016000000}" name="f_ppr" dataDxfId="2341">
      <calculatedColumnFormula>($J46*0.04)+($K46*4)+($L46*-2)+($N46*0.1)+($O46*6)+($Q46)+($R46*0.1)+($S46*6)+($T46*-2)</calculatedColumnFormula>
    </tableColumn>
    <tableColumn id="23" xr3:uid="{00000000-0010-0000-8900-000017000000}" name="tgt_share" dataDxfId="2340">
      <calculatedColumnFormula>$P46/$H$33</calculatedColumnFormula>
    </tableColumn>
    <tableColumn id="24" xr3:uid="{00000000-0010-0000-8900-000018000000}" name="ypc" dataDxfId="2339">
      <calculatedColumnFormula>$N46/$M46</calculatedColumnFormula>
    </tableColumn>
    <tableColumn id="25" xr3:uid="{00000000-0010-0000-8900-000019000000}" name="ypr" dataDxfId="2338">
      <calculatedColumnFormula>$R46/$Q46</calculatedColumnFormula>
    </tableColumn>
    <tableColumn id="26" xr3:uid="{00000000-0010-0000-8900-00001A000000}" name="cmp_pct" dataDxfId="2337">
      <calculatedColumnFormula>$I46/$H46</calculatedColumnFormula>
    </tableColumn>
    <tableColumn id="27" xr3:uid="{00000000-0010-0000-8900-00001B000000}" name="td_rate" dataDxfId="2336">
      <calculatedColumnFormula>$K46/$H46</calculatedColumnFormula>
    </tableColumn>
    <tableColumn id="28" xr3:uid="{00000000-0010-0000-8900-00001C000000}" name="f_custom" dataDxfId="233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00000000-000C-0000-FFFF-FFFF8A000000}" name="MIA_Table6" displayName="MIA_Table6" ref="A60:AB71" totalsRowShown="0" headerRowDxfId="2333" dataDxfId="2304">
  <autoFilter ref="A60:AB71" xr:uid="{00000000-0009-0000-0100-00008D000000}"/>
  <tableColumns count="28">
    <tableColumn id="1" xr3:uid="{00000000-0010-0000-8A00-000001000000}" name="Name" dataDxfId="2332"/>
    <tableColumn id="2" xr3:uid="{00000000-0010-0000-8A00-000002000000}" name="POS" dataDxfId="2331"/>
    <tableColumn id="3" xr3:uid="{00000000-0010-0000-8A00-000003000000}" name="Age" dataDxfId="2330"/>
    <tableColumn id="4" xr3:uid="{00000000-0010-0000-8A00-000004000000}" name="Exp" dataDxfId="2329"/>
    <tableColumn id="5" xr3:uid="{00000000-0010-0000-8A00-000005000000}" name="College" dataDxfId="2328"/>
    <tableColumn id="6" xr3:uid="{00000000-0010-0000-8A00-000006000000}" name="team" dataDxfId="2327"/>
    <tableColumn id="7" xr3:uid="{00000000-0010-0000-8A00-000007000000}" name="g" dataDxfId="2326"/>
    <tableColumn id="8" xr3:uid="{00000000-0010-0000-8A00-000008000000}" name="p_att" dataDxfId="2325"/>
    <tableColumn id="9" xr3:uid="{00000000-0010-0000-8A00-000009000000}" name="cmp" dataDxfId="2324"/>
    <tableColumn id="10" xr3:uid="{00000000-0010-0000-8A00-00000A000000}" name="p_yd" dataDxfId="2323"/>
    <tableColumn id="11" xr3:uid="{00000000-0010-0000-8A00-00000B000000}" name="p_td" dataDxfId="2322"/>
    <tableColumn id="12" xr3:uid="{00000000-0010-0000-8A00-00000C000000}" name="int" dataDxfId="2321"/>
    <tableColumn id="13" xr3:uid="{00000000-0010-0000-8A00-00000D000000}" name="car" dataDxfId="2320"/>
    <tableColumn id="14" xr3:uid="{00000000-0010-0000-8A00-00000E000000}" name="r_yd" dataDxfId="2319"/>
    <tableColumn id="15" xr3:uid="{00000000-0010-0000-8A00-00000F000000}" name="r_td" dataDxfId="2318"/>
    <tableColumn id="16" xr3:uid="{00000000-0010-0000-8A00-000010000000}" name="tgt" dataDxfId="2317"/>
    <tableColumn id="17" xr3:uid="{00000000-0010-0000-8A00-000011000000}" name="rec" dataDxfId="2316"/>
    <tableColumn id="18" xr3:uid="{00000000-0010-0000-8A00-000012000000}" name="rec_yd" dataDxfId="2315"/>
    <tableColumn id="19" xr3:uid="{00000000-0010-0000-8A00-000013000000}" name="rec_td" dataDxfId="2314"/>
    <tableColumn id="20" xr3:uid="{00000000-0010-0000-8A00-000014000000}" name="fmb" dataDxfId="2313"/>
    <tableColumn id="21" xr3:uid="{00000000-0010-0000-8A00-000015000000}" name="tp_c" dataDxfId="2312"/>
    <tableColumn id="22" xr3:uid="{00000000-0010-0000-8A00-000016000000}" name="f_ppr" dataDxfId="2311">
      <calculatedColumnFormula>($J61*0.04)+($K61*4)+($L61*-2)+($N61*0.1)+($O61*6)+($Q61)+($R61*0.1)+($S61*6)+($T61*-2)</calculatedColumnFormula>
    </tableColumn>
    <tableColumn id="23" xr3:uid="{00000000-0010-0000-8A00-000017000000}" name="tgt_share" dataDxfId="2310">
      <calculatedColumnFormula>$P61/$H$33</calculatedColumnFormula>
    </tableColumn>
    <tableColumn id="24" xr3:uid="{00000000-0010-0000-8A00-000018000000}" name="ypc" dataDxfId="2309">
      <calculatedColumnFormula>$N61/$M61</calculatedColumnFormula>
    </tableColumn>
    <tableColumn id="25" xr3:uid="{00000000-0010-0000-8A00-000019000000}" name="ypr" dataDxfId="2308">
      <calculatedColumnFormula>$R61/$Q61</calculatedColumnFormula>
    </tableColumn>
    <tableColumn id="26" xr3:uid="{00000000-0010-0000-8A00-00001A000000}" name="cmp_pct" dataDxfId="2307">
      <calculatedColumnFormula>$I61/$H61</calculatedColumnFormula>
    </tableColumn>
    <tableColumn id="27" xr3:uid="{00000000-0010-0000-8A00-00001B000000}" name="td_rate" dataDxfId="2306">
      <calculatedColumnFormula>$K61/$H61</calculatedColumnFormula>
    </tableColumn>
    <tableColumn id="28" xr3:uid="{00000000-0010-0000-8A00-00001C000000}" name="f_custom" dataDxfId="230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00000000-000C-0000-FFFF-FFFF8B000000}" name="MIA_Table7" displayName="MIA_Table7" ref="A75:AB81" totalsRowShown="0" headerRowDxfId="2303" dataDxfId="2274">
  <autoFilter ref="A75:AB81" xr:uid="{00000000-0009-0000-0100-00008E000000}"/>
  <tableColumns count="28">
    <tableColumn id="1" xr3:uid="{00000000-0010-0000-8B00-000001000000}" name="Name" dataDxfId="2302"/>
    <tableColumn id="2" xr3:uid="{00000000-0010-0000-8B00-000002000000}" name="POS" dataDxfId="2301"/>
    <tableColumn id="3" xr3:uid="{00000000-0010-0000-8B00-000003000000}" name="Age" dataDxfId="2300"/>
    <tableColumn id="4" xr3:uid="{00000000-0010-0000-8B00-000004000000}" name="Exp" dataDxfId="2299"/>
    <tableColumn id="5" xr3:uid="{00000000-0010-0000-8B00-000005000000}" name="College" dataDxfId="2298"/>
    <tableColumn id="6" xr3:uid="{00000000-0010-0000-8B00-000006000000}" name="team" dataDxfId="2297"/>
    <tableColumn id="7" xr3:uid="{00000000-0010-0000-8B00-000007000000}" name="g" dataDxfId="2296"/>
    <tableColumn id="8" xr3:uid="{00000000-0010-0000-8B00-000008000000}" name="p_att" dataDxfId="2295"/>
    <tableColumn id="9" xr3:uid="{00000000-0010-0000-8B00-000009000000}" name="cmp" dataDxfId="2294"/>
    <tableColumn id="10" xr3:uid="{00000000-0010-0000-8B00-00000A000000}" name="p_yd" dataDxfId="2293"/>
    <tableColumn id="11" xr3:uid="{00000000-0010-0000-8B00-00000B000000}" name="p_td" dataDxfId="2292"/>
    <tableColumn id="12" xr3:uid="{00000000-0010-0000-8B00-00000C000000}" name="int" dataDxfId="2291"/>
    <tableColumn id="13" xr3:uid="{00000000-0010-0000-8B00-00000D000000}" name="car" dataDxfId="2290"/>
    <tableColumn id="14" xr3:uid="{00000000-0010-0000-8B00-00000E000000}" name="r_yd" dataDxfId="2289"/>
    <tableColumn id="15" xr3:uid="{00000000-0010-0000-8B00-00000F000000}" name="r_td" dataDxfId="2288"/>
    <tableColumn id="16" xr3:uid="{00000000-0010-0000-8B00-000010000000}" name="tgt" dataDxfId="2287"/>
    <tableColumn id="17" xr3:uid="{00000000-0010-0000-8B00-000011000000}" name="rec" dataDxfId="2286"/>
    <tableColumn id="18" xr3:uid="{00000000-0010-0000-8B00-000012000000}" name="rec_yd" dataDxfId="2285"/>
    <tableColumn id="19" xr3:uid="{00000000-0010-0000-8B00-000013000000}" name="rec_td" dataDxfId="2284"/>
    <tableColumn id="20" xr3:uid="{00000000-0010-0000-8B00-000014000000}" name="fmb" dataDxfId="2283"/>
    <tableColumn id="21" xr3:uid="{00000000-0010-0000-8B00-000015000000}" name="tp_c" dataDxfId="2282"/>
    <tableColumn id="22" xr3:uid="{00000000-0010-0000-8B00-000016000000}" name="f_ppr" dataDxfId="2281">
      <calculatedColumnFormula>($J76*0.04)+($K76*4)+($L76*-2)+($N76*0.1)+($O76*6)+($Q76)+($R76*0.1)+($S76*6)+($T76*-2)</calculatedColumnFormula>
    </tableColumn>
    <tableColumn id="23" xr3:uid="{00000000-0010-0000-8B00-000017000000}" name="tgt_share" dataDxfId="2280">
      <calculatedColumnFormula>$P76/$H$33</calculatedColumnFormula>
    </tableColumn>
    <tableColumn id="24" xr3:uid="{00000000-0010-0000-8B00-000018000000}" name="ypc" dataDxfId="2279">
      <calculatedColumnFormula>$N76/$M76</calculatedColumnFormula>
    </tableColumn>
    <tableColumn id="25" xr3:uid="{00000000-0010-0000-8B00-000019000000}" name="ypr" dataDxfId="2278">
      <calculatedColumnFormula>$R76/$Q76</calculatedColumnFormula>
    </tableColumn>
    <tableColumn id="26" xr3:uid="{00000000-0010-0000-8B00-00001A000000}" name="cmp_pct" dataDxfId="2277">
      <calculatedColumnFormula>$I76/$H76</calculatedColumnFormula>
    </tableColumn>
    <tableColumn id="27" xr3:uid="{00000000-0010-0000-8B00-00001B000000}" name="td_rate" dataDxfId="2276">
      <calculatedColumnFormula>$K76/$H76</calculatedColumnFormula>
    </tableColumn>
    <tableColumn id="28" xr3:uid="{00000000-0010-0000-8B00-00001C000000}" name="f_custom" dataDxfId="227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00000000-000C-0000-FFFF-FFFF8C000000}" name="MIN_Table1" displayName="MIN_Table1" ref="A1:Y17" totalsRowShown="0" headerRowDxfId="2273" dataDxfId="2247">
  <autoFilter ref="A1:Y17" xr:uid="{00000000-0009-0000-0100-00008F000000}"/>
  <tableColumns count="25">
    <tableColumn id="1" xr3:uid="{00000000-0010-0000-8C00-000001000000}" name="player_name" dataDxfId="2272"/>
    <tableColumn id="2" xr3:uid="{00000000-0010-0000-8C00-000002000000}" name="recent_team" dataDxfId="2271"/>
    <tableColumn id="3" xr3:uid="{00000000-0010-0000-8C00-000003000000}" name="pos" dataDxfId="2270"/>
    <tableColumn id="4" xr3:uid="{00000000-0010-0000-8C00-000004000000}" name="g" dataDxfId="2269"/>
    <tableColumn id="5" xr3:uid="{00000000-0010-0000-8C00-000005000000}" name="p_att" dataDxfId="2268"/>
    <tableColumn id="6" xr3:uid="{00000000-0010-0000-8C00-000006000000}" name="cmp" dataDxfId="2267"/>
    <tableColumn id="7" xr3:uid="{00000000-0010-0000-8C00-000007000000}" name="p_yd" dataDxfId="2266"/>
    <tableColumn id="8" xr3:uid="{00000000-0010-0000-8C00-000008000000}" name="p_td" dataDxfId="2265"/>
    <tableColumn id="9" xr3:uid="{00000000-0010-0000-8C00-000009000000}" name="int" dataDxfId="2264"/>
    <tableColumn id="10" xr3:uid="{00000000-0010-0000-8C00-00000A000000}" name="car" dataDxfId="2263"/>
    <tableColumn id="11" xr3:uid="{00000000-0010-0000-8C00-00000B000000}" name="r_yd" dataDxfId="2262"/>
    <tableColumn id="12" xr3:uid="{00000000-0010-0000-8C00-00000C000000}" name="r_td" dataDxfId="2261"/>
    <tableColumn id="13" xr3:uid="{00000000-0010-0000-8C00-00000D000000}" name="tgt" dataDxfId="2260"/>
    <tableColumn id="14" xr3:uid="{00000000-0010-0000-8C00-00000E000000}" name="rec" dataDxfId="2259"/>
    <tableColumn id="15" xr3:uid="{00000000-0010-0000-8C00-00000F000000}" name="rec_yd" dataDxfId="2258"/>
    <tableColumn id="16" xr3:uid="{00000000-0010-0000-8C00-000010000000}" name="rec_td" dataDxfId="2257"/>
    <tableColumn id="17" xr3:uid="{00000000-0010-0000-8C00-000011000000}" name="fmb" dataDxfId="2256"/>
    <tableColumn id="18" xr3:uid="{00000000-0010-0000-8C00-000012000000}" name="tp_c" dataDxfId="2255"/>
    <tableColumn id="19" xr3:uid="{00000000-0010-0000-8C00-000013000000}" name="f_ppr" dataDxfId="2254"/>
    <tableColumn id="20" xr3:uid="{00000000-0010-0000-8C00-000014000000}" name="tgt_share" dataDxfId="2253"/>
    <tableColumn id="21" xr3:uid="{00000000-0010-0000-8C00-000015000000}" name="ypc" dataDxfId="2252"/>
    <tableColumn id="22" xr3:uid="{00000000-0010-0000-8C00-000016000000}" name="ypr" dataDxfId="2251"/>
    <tableColumn id="23" xr3:uid="{00000000-0010-0000-8C00-000017000000}" name="cmp_pct" dataDxfId="2250"/>
    <tableColumn id="24" xr3:uid="{00000000-0010-0000-8C00-000018000000}" name="td_rate" dataDxfId="2249"/>
    <tableColumn id="25" xr3:uid="{CA367079-F799-4A11-B415-16F573CB7F6A}" name="f_custom" dataDxfId="224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00000000-000C-0000-FFFF-FFFF8D000000}" name="MIN_Table2" displayName="MIN_Table2" ref="A30:M31" totalsRowShown="0" headerRowDxfId="2246" dataDxfId="2232">
  <autoFilter ref="A30:M31" xr:uid="{00000000-0009-0000-0100-000090000000}"/>
  <tableColumns count="13">
    <tableColumn id="1" xr3:uid="{00000000-0010-0000-8D00-000001000000}" name="team" dataDxfId="2245"/>
    <tableColumn id="2" xr3:uid="{00000000-0010-0000-8D00-000002000000}" name="off_yd" dataDxfId="2244"/>
    <tableColumn id="3" xr3:uid="{00000000-0010-0000-8D00-000003000000}" name="p_yd" dataDxfId="2243"/>
    <tableColumn id="4" xr3:uid="{00000000-0010-0000-8D00-000004000000}" name="car" dataDxfId="2242"/>
    <tableColumn id="5" xr3:uid="{00000000-0010-0000-8D00-000005000000}" name="r_yd" dataDxfId="2241"/>
    <tableColumn id="6" xr3:uid="{00000000-0010-0000-8D00-000006000000}" name="r_td" dataDxfId="2240"/>
    <tableColumn id="7" xr3:uid="{00000000-0010-0000-8D00-000007000000}" name="p_ff" dataDxfId="2239"/>
    <tableColumn id="8" xr3:uid="{00000000-0010-0000-8D00-000008000000}" name="p_att" dataDxfId="2238"/>
    <tableColumn id="9" xr3:uid="{00000000-0010-0000-8D00-000009000000}" name="cmp_pct" dataDxfId="2237"/>
    <tableColumn id="10" xr3:uid="{00000000-0010-0000-8D00-00000A000000}" name="p_td" dataDxfId="2236"/>
    <tableColumn id="11" xr3:uid="{00000000-0010-0000-8D00-00000B000000}" name="int" dataDxfId="2235"/>
    <tableColumn id="12" xr3:uid="{00000000-0010-0000-8D00-00000C000000}" name="fmb" dataDxfId="2234"/>
    <tableColumn id="13" xr3:uid="{00404B8C-19DC-4D5A-9D76-EE525F88F9D8}" name="f_custom" dataDxfId="223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0000000-000C-0000-FFFF-FFFF8E000000}" name="MIN_Table3" displayName="MIN_Table3" ref="A32:M33" totalsRowShown="0" headerRowDxfId="2231" dataDxfId="2217">
  <autoFilter ref="A32:M33" xr:uid="{00000000-0009-0000-0100-000091000000}"/>
  <tableColumns count="13">
    <tableColumn id="1" xr3:uid="{00000000-0010-0000-8E00-000001000000}" name="team" dataDxfId="2230">
      <calculatedColumnFormula>A31</calculatedColumnFormula>
    </tableColumn>
    <tableColumn id="2" xr3:uid="{00000000-0010-0000-8E00-000002000000}" name="off_yd" dataDxfId="2229">
      <calculatedColumnFormula>C33 + E33</calculatedColumnFormula>
    </tableColumn>
    <tableColumn id="3" xr3:uid="{00000000-0010-0000-8E00-000003000000}" name="p_yd" dataDxfId="2228">
      <calculatedColumnFormula>SUM(INDIRECT(A33 &amp; "_Table4[[#All],[p_yd]]"))</calculatedColumnFormula>
    </tableColumn>
    <tableColumn id="4" xr3:uid="{00000000-0010-0000-8E00-000004000000}" name="car" dataDxfId="222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E00-000005000000}" name="r_yd" dataDxfId="222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E00-000006000000}" name="r_td" dataDxfId="222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E00-000007000000}" name="p_ff" dataDxfId="222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E00-000008000000}" name="p_att" dataDxfId="222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E00-000009000000}" name="cmp_pct" dataDxfId="2222">
      <calculatedColumnFormula>SUM(INDIRECT(A33 &amp; "_Table4[[#All],[cmp]]"))/H33</calculatedColumnFormula>
    </tableColumn>
    <tableColumn id="10" xr3:uid="{00000000-0010-0000-8E00-00000A000000}" name="p_td" dataDxfId="222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E00-00000B000000}" name="int" dataDxfId="222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E00-00000C000000}" name="fmb" dataDxfId="221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54163EB9-9998-436A-BD13-4C1EF5D01069}" name="f_custom" dataDxfId="221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0000000-000C-0000-FFFF-FFFF8F000000}" name="MIN_Table4" displayName="MIN_Table4" ref="A35:AB38" totalsRowShown="0" headerRowDxfId="2216" dataDxfId="2187">
  <autoFilter ref="A35:AB38" xr:uid="{00000000-0009-0000-0100-000092000000}"/>
  <tableColumns count="28">
    <tableColumn id="1" xr3:uid="{00000000-0010-0000-8F00-000001000000}" name="Name" dataDxfId="2215"/>
    <tableColumn id="2" xr3:uid="{00000000-0010-0000-8F00-000002000000}" name="POS" dataDxfId="2214"/>
    <tableColumn id="3" xr3:uid="{00000000-0010-0000-8F00-000003000000}" name="Age" dataDxfId="2213"/>
    <tableColumn id="4" xr3:uid="{00000000-0010-0000-8F00-000004000000}" name="Exp" dataDxfId="2212"/>
    <tableColumn id="5" xr3:uid="{00000000-0010-0000-8F00-000005000000}" name="College" dataDxfId="2211"/>
    <tableColumn id="6" xr3:uid="{00000000-0010-0000-8F00-000006000000}" name="team" dataDxfId="2210"/>
    <tableColumn id="7" xr3:uid="{00000000-0010-0000-8F00-000007000000}" name="g" dataDxfId="2209"/>
    <tableColumn id="8" xr3:uid="{00000000-0010-0000-8F00-000008000000}" name="p_att" dataDxfId="2208"/>
    <tableColumn id="9" xr3:uid="{00000000-0010-0000-8F00-000009000000}" name="cmp" dataDxfId="2207"/>
    <tableColumn id="10" xr3:uid="{00000000-0010-0000-8F00-00000A000000}" name="p_yd" dataDxfId="2206"/>
    <tableColumn id="11" xr3:uid="{00000000-0010-0000-8F00-00000B000000}" name="p_td" dataDxfId="2205"/>
    <tableColumn id="12" xr3:uid="{00000000-0010-0000-8F00-00000C000000}" name="int" dataDxfId="2204"/>
    <tableColumn id="13" xr3:uid="{00000000-0010-0000-8F00-00000D000000}" name="car" dataDxfId="2203"/>
    <tableColumn id="14" xr3:uid="{00000000-0010-0000-8F00-00000E000000}" name="r_yd" dataDxfId="2202"/>
    <tableColumn id="15" xr3:uid="{00000000-0010-0000-8F00-00000F000000}" name="r_td" dataDxfId="2201"/>
    <tableColumn id="16" xr3:uid="{00000000-0010-0000-8F00-000010000000}" name="tgt" dataDxfId="2200"/>
    <tableColumn id="17" xr3:uid="{00000000-0010-0000-8F00-000011000000}" name="rec" dataDxfId="2199"/>
    <tableColumn id="18" xr3:uid="{00000000-0010-0000-8F00-000012000000}" name="rec_yd" dataDxfId="2198"/>
    <tableColumn id="19" xr3:uid="{00000000-0010-0000-8F00-000013000000}" name="rec_td" dataDxfId="2197"/>
    <tableColumn id="20" xr3:uid="{00000000-0010-0000-8F00-000014000000}" name="fmb" dataDxfId="2196"/>
    <tableColumn id="21" xr3:uid="{00000000-0010-0000-8F00-000015000000}" name="tp_c" dataDxfId="2195"/>
    <tableColumn id="22" xr3:uid="{00000000-0010-0000-8F00-000016000000}" name="f_ppr" dataDxfId="2194">
      <calculatedColumnFormula>($J36*0.04)+($K36*4)+($L36*-2)+($N36*0.1)+($O36*6)+($Q36)+($R36*0.1)+($S36*6)+($T36*-2)</calculatedColumnFormula>
    </tableColumn>
    <tableColumn id="23" xr3:uid="{00000000-0010-0000-8F00-000017000000}" name="tgt_share" dataDxfId="2193">
      <calculatedColumnFormula>$P36/$H$33</calculatedColumnFormula>
    </tableColumn>
    <tableColumn id="24" xr3:uid="{00000000-0010-0000-8F00-000018000000}" name="ypc" dataDxfId="2192">
      <calculatedColumnFormula>$N36/$M36</calculatedColumnFormula>
    </tableColumn>
    <tableColumn id="25" xr3:uid="{00000000-0010-0000-8F00-000019000000}" name="ypr" dataDxfId="2191">
      <calculatedColumnFormula>$R36/$Q36</calculatedColumnFormula>
    </tableColumn>
    <tableColumn id="26" xr3:uid="{00000000-0010-0000-8F00-00001A000000}" name="cmp_pct" dataDxfId="2190">
      <calculatedColumnFormula>$I36/$H36</calculatedColumnFormula>
    </tableColumn>
    <tableColumn id="27" xr3:uid="{00000000-0010-0000-8F00-00001B000000}" name="td_rate" dataDxfId="2189">
      <calculatedColumnFormula>$K36/$H36</calculatedColumnFormula>
    </tableColumn>
    <tableColumn id="28" xr3:uid="{00000000-0010-0000-8F00-00001C000000}" name="f_custom" dataDxfId="218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00000000-000C-0000-FFFF-FFFF90000000}" name="MIN_Table5" displayName="MIN_Table5" ref="A45:AB51" totalsRowShown="0" headerRowDxfId="2186" dataDxfId="2157">
  <autoFilter ref="A45:AB51" xr:uid="{00000000-0009-0000-0100-000093000000}"/>
  <tableColumns count="28">
    <tableColumn id="1" xr3:uid="{00000000-0010-0000-9000-000001000000}" name="Name" dataDxfId="2185"/>
    <tableColumn id="2" xr3:uid="{00000000-0010-0000-9000-000002000000}" name="POS" dataDxfId="2184"/>
    <tableColumn id="3" xr3:uid="{00000000-0010-0000-9000-000003000000}" name="Age" dataDxfId="2183"/>
    <tableColumn id="4" xr3:uid="{00000000-0010-0000-9000-000004000000}" name="Exp" dataDxfId="2182"/>
    <tableColumn id="5" xr3:uid="{00000000-0010-0000-9000-000005000000}" name="College" dataDxfId="2181"/>
    <tableColumn id="6" xr3:uid="{00000000-0010-0000-9000-000006000000}" name="team" dataDxfId="2180"/>
    <tableColumn id="7" xr3:uid="{00000000-0010-0000-9000-000007000000}" name="g" dataDxfId="2179"/>
    <tableColumn id="8" xr3:uid="{00000000-0010-0000-9000-000008000000}" name="p_att" dataDxfId="2178"/>
    <tableColumn id="9" xr3:uid="{00000000-0010-0000-9000-000009000000}" name="cmp" dataDxfId="2177"/>
    <tableColumn id="10" xr3:uid="{00000000-0010-0000-9000-00000A000000}" name="p_yd" dataDxfId="2176"/>
    <tableColumn id="11" xr3:uid="{00000000-0010-0000-9000-00000B000000}" name="p_td" dataDxfId="2175"/>
    <tableColumn id="12" xr3:uid="{00000000-0010-0000-9000-00000C000000}" name="int" dataDxfId="2174"/>
    <tableColumn id="13" xr3:uid="{00000000-0010-0000-9000-00000D000000}" name="car" dataDxfId="2173"/>
    <tableColumn id="14" xr3:uid="{00000000-0010-0000-9000-00000E000000}" name="r_yd" dataDxfId="2172"/>
    <tableColumn id="15" xr3:uid="{00000000-0010-0000-9000-00000F000000}" name="r_td" dataDxfId="2171"/>
    <tableColumn id="16" xr3:uid="{00000000-0010-0000-9000-000010000000}" name="tgt" dataDxfId="2170"/>
    <tableColumn id="17" xr3:uid="{00000000-0010-0000-9000-000011000000}" name="rec" dataDxfId="2169"/>
    <tableColumn id="18" xr3:uid="{00000000-0010-0000-9000-000012000000}" name="rec_yd" dataDxfId="2168"/>
    <tableColumn id="19" xr3:uid="{00000000-0010-0000-9000-000013000000}" name="rec_td" dataDxfId="2167"/>
    <tableColumn id="20" xr3:uid="{00000000-0010-0000-9000-000014000000}" name="fmb" dataDxfId="2166"/>
    <tableColumn id="21" xr3:uid="{00000000-0010-0000-9000-000015000000}" name="tp_c" dataDxfId="2165"/>
    <tableColumn id="22" xr3:uid="{00000000-0010-0000-9000-000016000000}" name="f_ppr" dataDxfId="2164">
      <calculatedColumnFormula>($J46*0.04)+($K46*4)+($L46*-2)+($N46*0.1)+($O46*6)+($Q46)+($R46*0.1)+($S46*6)+($T46*-2)</calculatedColumnFormula>
    </tableColumn>
    <tableColumn id="23" xr3:uid="{00000000-0010-0000-9000-000017000000}" name="tgt_share" dataDxfId="2163">
      <calculatedColumnFormula>$P46/$H$33</calculatedColumnFormula>
    </tableColumn>
    <tableColumn id="24" xr3:uid="{00000000-0010-0000-9000-000018000000}" name="ypc" dataDxfId="2162">
      <calculatedColumnFormula>$N46/$M46</calculatedColumnFormula>
    </tableColumn>
    <tableColumn id="25" xr3:uid="{00000000-0010-0000-9000-000019000000}" name="ypr" dataDxfId="2161">
      <calculatedColumnFormula>$R46/$Q46</calculatedColumnFormula>
    </tableColumn>
    <tableColumn id="26" xr3:uid="{00000000-0010-0000-9000-00001A000000}" name="cmp_pct" dataDxfId="2160">
      <calculatedColumnFormula>$I46/$H46</calculatedColumnFormula>
    </tableColumn>
    <tableColumn id="27" xr3:uid="{00000000-0010-0000-9000-00001B000000}" name="td_rate" dataDxfId="2159">
      <calculatedColumnFormula>$K46/$H46</calculatedColumnFormula>
    </tableColumn>
    <tableColumn id="28" xr3:uid="{00000000-0010-0000-9000-00001C000000}" name="f_custom" dataDxfId="215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00000000-000C-0000-FFFF-FFFF91000000}" name="MIN_Table6" displayName="MIN_Table6" ref="A60:AB73" totalsRowShown="0" headerRowDxfId="2156" dataDxfId="2127">
  <autoFilter ref="A60:AB73" xr:uid="{00000000-0009-0000-0100-000094000000}"/>
  <tableColumns count="28">
    <tableColumn id="1" xr3:uid="{00000000-0010-0000-9100-000001000000}" name="Name" dataDxfId="2155"/>
    <tableColumn id="2" xr3:uid="{00000000-0010-0000-9100-000002000000}" name="POS" dataDxfId="2154"/>
    <tableColumn id="3" xr3:uid="{00000000-0010-0000-9100-000003000000}" name="Age" dataDxfId="2153"/>
    <tableColumn id="4" xr3:uid="{00000000-0010-0000-9100-000004000000}" name="Exp" dataDxfId="2152"/>
    <tableColumn id="5" xr3:uid="{00000000-0010-0000-9100-000005000000}" name="College" dataDxfId="2151"/>
    <tableColumn id="6" xr3:uid="{00000000-0010-0000-9100-000006000000}" name="team" dataDxfId="2150"/>
    <tableColumn id="7" xr3:uid="{00000000-0010-0000-9100-000007000000}" name="g" dataDxfId="2149"/>
    <tableColumn id="8" xr3:uid="{00000000-0010-0000-9100-000008000000}" name="p_att" dataDxfId="2148"/>
    <tableColumn id="9" xr3:uid="{00000000-0010-0000-9100-000009000000}" name="cmp" dataDxfId="2147"/>
    <tableColumn id="10" xr3:uid="{00000000-0010-0000-9100-00000A000000}" name="p_yd" dataDxfId="2146"/>
    <tableColumn id="11" xr3:uid="{00000000-0010-0000-9100-00000B000000}" name="p_td" dataDxfId="2145"/>
    <tableColumn id="12" xr3:uid="{00000000-0010-0000-9100-00000C000000}" name="int" dataDxfId="2144"/>
    <tableColumn id="13" xr3:uid="{00000000-0010-0000-9100-00000D000000}" name="car" dataDxfId="2143"/>
    <tableColumn id="14" xr3:uid="{00000000-0010-0000-9100-00000E000000}" name="r_yd" dataDxfId="2142"/>
    <tableColumn id="15" xr3:uid="{00000000-0010-0000-9100-00000F000000}" name="r_td" dataDxfId="2141"/>
    <tableColumn id="16" xr3:uid="{00000000-0010-0000-9100-000010000000}" name="tgt" dataDxfId="2140"/>
    <tableColumn id="17" xr3:uid="{00000000-0010-0000-9100-000011000000}" name="rec" dataDxfId="2139"/>
    <tableColumn id="18" xr3:uid="{00000000-0010-0000-9100-000012000000}" name="rec_yd" dataDxfId="2138"/>
    <tableColumn id="19" xr3:uid="{00000000-0010-0000-9100-000013000000}" name="rec_td" dataDxfId="2137"/>
    <tableColumn id="20" xr3:uid="{00000000-0010-0000-9100-000014000000}" name="fmb" dataDxfId="2136"/>
    <tableColumn id="21" xr3:uid="{00000000-0010-0000-9100-000015000000}" name="tp_c" dataDxfId="2135"/>
    <tableColumn id="22" xr3:uid="{00000000-0010-0000-9100-000016000000}" name="f_ppr" dataDxfId="2134">
      <calculatedColumnFormula>($J61*0.04)+($K61*4)+($L61*-2)+($N61*0.1)+($O61*6)+($Q61)+($R61*0.1)+($S61*6)+($T61*-2)</calculatedColumnFormula>
    </tableColumn>
    <tableColumn id="23" xr3:uid="{00000000-0010-0000-9100-000017000000}" name="tgt_share" dataDxfId="2133">
      <calculatedColumnFormula>$P61/$H$33</calculatedColumnFormula>
    </tableColumn>
    <tableColumn id="24" xr3:uid="{00000000-0010-0000-9100-000018000000}" name="ypc" dataDxfId="2132">
      <calculatedColumnFormula>$N61/$M61</calculatedColumnFormula>
    </tableColumn>
    <tableColumn id="25" xr3:uid="{00000000-0010-0000-9100-000019000000}" name="ypr" dataDxfId="2131">
      <calculatedColumnFormula>$R61/$Q61</calculatedColumnFormula>
    </tableColumn>
    <tableColumn id="26" xr3:uid="{00000000-0010-0000-9100-00001A000000}" name="cmp_pct" dataDxfId="2130">
      <calculatedColumnFormula>$I61/$H61</calculatedColumnFormula>
    </tableColumn>
    <tableColumn id="27" xr3:uid="{00000000-0010-0000-9100-00001B000000}" name="td_rate" dataDxfId="2129">
      <calculatedColumnFormula>$K61/$H61</calculatedColumnFormula>
    </tableColumn>
    <tableColumn id="28" xr3:uid="{00000000-0010-0000-9100-00001C000000}" name="f_custom" dataDxfId="212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00000000-000C-0000-FFFF-FFFF92000000}" name="MIN_Table7" displayName="MIN_Table7" ref="A75:AB81" totalsRowShown="0" headerRowDxfId="2126" dataDxfId="2097">
  <autoFilter ref="A75:AB81" xr:uid="{00000000-0009-0000-0100-000095000000}"/>
  <tableColumns count="28">
    <tableColumn id="1" xr3:uid="{00000000-0010-0000-9200-000001000000}" name="Name" dataDxfId="2125"/>
    <tableColumn id="2" xr3:uid="{00000000-0010-0000-9200-000002000000}" name="POS" dataDxfId="2124"/>
    <tableColumn id="3" xr3:uid="{00000000-0010-0000-9200-000003000000}" name="Age" dataDxfId="2123"/>
    <tableColumn id="4" xr3:uid="{00000000-0010-0000-9200-000004000000}" name="Exp" dataDxfId="2122"/>
    <tableColumn id="5" xr3:uid="{00000000-0010-0000-9200-000005000000}" name="College" dataDxfId="2121"/>
    <tableColumn id="6" xr3:uid="{00000000-0010-0000-9200-000006000000}" name="team" dataDxfId="2120"/>
    <tableColumn id="7" xr3:uid="{00000000-0010-0000-9200-000007000000}" name="g" dataDxfId="2119"/>
    <tableColumn id="8" xr3:uid="{00000000-0010-0000-9200-000008000000}" name="p_att" dataDxfId="2118"/>
    <tableColumn id="9" xr3:uid="{00000000-0010-0000-9200-000009000000}" name="cmp" dataDxfId="2117"/>
    <tableColumn id="10" xr3:uid="{00000000-0010-0000-9200-00000A000000}" name="p_yd" dataDxfId="2116"/>
    <tableColumn id="11" xr3:uid="{00000000-0010-0000-9200-00000B000000}" name="p_td" dataDxfId="2115"/>
    <tableColumn id="12" xr3:uid="{00000000-0010-0000-9200-00000C000000}" name="int" dataDxfId="2114"/>
    <tableColumn id="13" xr3:uid="{00000000-0010-0000-9200-00000D000000}" name="car" dataDxfId="2113"/>
    <tableColumn id="14" xr3:uid="{00000000-0010-0000-9200-00000E000000}" name="r_yd" dataDxfId="2112"/>
    <tableColumn id="15" xr3:uid="{00000000-0010-0000-9200-00000F000000}" name="r_td" dataDxfId="2111"/>
    <tableColumn id="16" xr3:uid="{00000000-0010-0000-9200-000010000000}" name="tgt" dataDxfId="2110"/>
    <tableColumn id="17" xr3:uid="{00000000-0010-0000-9200-000011000000}" name="rec" dataDxfId="2109"/>
    <tableColumn id="18" xr3:uid="{00000000-0010-0000-9200-000012000000}" name="rec_yd" dataDxfId="2108"/>
    <tableColumn id="19" xr3:uid="{00000000-0010-0000-9200-000013000000}" name="rec_td" dataDxfId="2107"/>
    <tableColumn id="20" xr3:uid="{00000000-0010-0000-9200-000014000000}" name="fmb" dataDxfId="2106"/>
    <tableColumn id="21" xr3:uid="{00000000-0010-0000-9200-000015000000}" name="tp_c" dataDxfId="2105"/>
    <tableColumn id="22" xr3:uid="{00000000-0010-0000-9200-000016000000}" name="f_ppr" dataDxfId="2104">
      <calculatedColumnFormula>($J76*0.04)+($K76*4)+($L76*-2)+($N76*0.1)+($O76*6)+($Q76)+($R76*0.1)+($S76*6)+($T76*-2)</calculatedColumnFormula>
    </tableColumn>
    <tableColumn id="23" xr3:uid="{00000000-0010-0000-9200-000017000000}" name="tgt_share" dataDxfId="2103">
      <calculatedColumnFormula>$P76/$H$33</calculatedColumnFormula>
    </tableColumn>
    <tableColumn id="24" xr3:uid="{00000000-0010-0000-9200-000018000000}" name="ypc" dataDxfId="2102">
      <calculatedColumnFormula>$N76/$M76</calculatedColumnFormula>
    </tableColumn>
    <tableColumn id="25" xr3:uid="{00000000-0010-0000-9200-000019000000}" name="ypr" dataDxfId="2101">
      <calculatedColumnFormula>$R76/$Q76</calculatedColumnFormula>
    </tableColumn>
    <tableColumn id="26" xr3:uid="{00000000-0010-0000-9200-00001A000000}" name="cmp_pct" dataDxfId="2100">
      <calculatedColumnFormula>$I76/$H76</calculatedColumnFormula>
    </tableColumn>
    <tableColumn id="27" xr3:uid="{00000000-0010-0000-9200-00001B000000}" name="td_rate" dataDxfId="2099">
      <calculatedColumnFormula>$K76/$H76</calculatedColumnFormula>
    </tableColumn>
    <tableColumn id="28" xr3:uid="{00000000-0010-0000-9200-00001C000000}" name="f_custom" dataDxfId="209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00000000-000C-0000-FFFF-FFFF93000000}" name="NE_Table1" displayName="NE_Table1" ref="A1:Y18" totalsRowShown="0" headerRowDxfId="2096" dataDxfId="2070">
  <autoFilter ref="A1:Y18" xr:uid="{00000000-0009-0000-0100-000096000000}"/>
  <tableColumns count="25">
    <tableColumn id="1" xr3:uid="{00000000-0010-0000-9300-000001000000}" name="player_name" dataDxfId="2095"/>
    <tableColumn id="2" xr3:uid="{00000000-0010-0000-9300-000002000000}" name="recent_team" dataDxfId="2094"/>
    <tableColumn id="3" xr3:uid="{00000000-0010-0000-9300-000003000000}" name="pos" dataDxfId="2093"/>
    <tableColumn id="4" xr3:uid="{00000000-0010-0000-9300-000004000000}" name="g" dataDxfId="2092"/>
    <tableColumn id="5" xr3:uid="{00000000-0010-0000-9300-000005000000}" name="p_att" dataDxfId="2091"/>
    <tableColumn id="6" xr3:uid="{00000000-0010-0000-9300-000006000000}" name="cmp" dataDxfId="2090"/>
    <tableColumn id="7" xr3:uid="{00000000-0010-0000-9300-000007000000}" name="p_yd" dataDxfId="2089"/>
    <tableColumn id="8" xr3:uid="{00000000-0010-0000-9300-000008000000}" name="p_td" dataDxfId="2088"/>
    <tableColumn id="9" xr3:uid="{00000000-0010-0000-9300-000009000000}" name="int" dataDxfId="2087"/>
    <tableColumn id="10" xr3:uid="{00000000-0010-0000-9300-00000A000000}" name="car" dataDxfId="2086"/>
    <tableColumn id="11" xr3:uid="{00000000-0010-0000-9300-00000B000000}" name="r_yd" dataDxfId="2085"/>
    <tableColumn id="12" xr3:uid="{00000000-0010-0000-9300-00000C000000}" name="r_td" dataDxfId="2084"/>
    <tableColumn id="13" xr3:uid="{00000000-0010-0000-9300-00000D000000}" name="tgt" dataDxfId="2083"/>
    <tableColumn id="14" xr3:uid="{00000000-0010-0000-9300-00000E000000}" name="rec" dataDxfId="2082"/>
    <tableColumn id="15" xr3:uid="{00000000-0010-0000-9300-00000F000000}" name="rec_yd" dataDxfId="2081"/>
    <tableColumn id="16" xr3:uid="{00000000-0010-0000-9300-000010000000}" name="rec_td" dataDxfId="2080"/>
    <tableColumn id="17" xr3:uid="{00000000-0010-0000-9300-000011000000}" name="fmb" dataDxfId="2079"/>
    <tableColumn id="18" xr3:uid="{00000000-0010-0000-9300-000012000000}" name="tp_c" dataDxfId="2078"/>
    <tableColumn id="19" xr3:uid="{00000000-0010-0000-9300-000013000000}" name="f_ppr" dataDxfId="2077"/>
    <tableColumn id="20" xr3:uid="{00000000-0010-0000-9300-000014000000}" name="tgt_share" dataDxfId="2076"/>
    <tableColumn id="21" xr3:uid="{00000000-0010-0000-9300-000015000000}" name="ypc" dataDxfId="2075"/>
    <tableColumn id="22" xr3:uid="{00000000-0010-0000-9300-000016000000}" name="ypr" dataDxfId="2074"/>
    <tableColumn id="23" xr3:uid="{00000000-0010-0000-9300-000017000000}" name="cmp_pct" dataDxfId="2073"/>
    <tableColumn id="24" xr3:uid="{00000000-0010-0000-9300-000018000000}" name="td_rate" dataDxfId="2072"/>
    <tableColumn id="25" xr3:uid="{7194FB7A-DCD5-473A-A1A2-9CA4FD7B3795}" name="f_custom" dataDxfId="207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00000000-000C-0000-FFFF-FFFF94000000}" name="NE_Table2" displayName="NE_Table2" ref="A30:M31" totalsRowShown="0" headerRowDxfId="2069" dataDxfId="2055">
  <autoFilter ref="A30:M31" xr:uid="{00000000-0009-0000-0100-000097000000}"/>
  <tableColumns count="13">
    <tableColumn id="1" xr3:uid="{00000000-0010-0000-9400-000001000000}" name="team" dataDxfId="2068"/>
    <tableColumn id="2" xr3:uid="{00000000-0010-0000-9400-000002000000}" name="off_yd" dataDxfId="2067"/>
    <tableColumn id="3" xr3:uid="{00000000-0010-0000-9400-000003000000}" name="p_yd" dataDxfId="2066"/>
    <tableColumn id="4" xr3:uid="{00000000-0010-0000-9400-000004000000}" name="car" dataDxfId="2065"/>
    <tableColumn id="5" xr3:uid="{00000000-0010-0000-9400-000005000000}" name="r_yd" dataDxfId="2064"/>
    <tableColumn id="6" xr3:uid="{00000000-0010-0000-9400-000006000000}" name="r_td" dataDxfId="2063"/>
    <tableColumn id="7" xr3:uid="{00000000-0010-0000-9400-000007000000}" name="p_ff" dataDxfId="2062"/>
    <tableColumn id="8" xr3:uid="{00000000-0010-0000-9400-000008000000}" name="p_att" dataDxfId="2061"/>
    <tableColumn id="9" xr3:uid="{00000000-0010-0000-9400-000009000000}" name="cmp_pct" dataDxfId="2060"/>
    <tableColumn id="10" xr3:uid="{00000000-0010-0000-9400-00000A000000}" name="p_td" dataDxfId="2059"/>
    <tableColumn id="11" xr3:uid="{00000000-0010-0000-9400-00000B000000}" name="int" dataDxfId="2058"/>
    <tableColumn id="12" xr3:uid="{00000000-0010-0000-9400-00000C000000}" name="fmb" dataDxfId="2057"/>
    <tableColumn id="13" xr3:uid="{4C28A638-5B25-4FDC-B39F-F680FCE172FB}" name="f_custom" dataDxfId="205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00000000-000C-0000-FFFF-FFFF95000000}" name="NE_Table3" displayName="NE_Table3" ref="A32:M33" totalsRowShown="0" headerRowDxfId="2054" dataDxfId="2040">
  <autoFilter ref="A32:M33" xr:uid="{00000000-0009-0000-0100-000098000000}"/>
  <tableColumns count="13">
    <tableColumn id="1" xr3:uid="{00000000-0010-0000-9500-000001000000}" name="team" dataDxfId="2053">
      <calculatedColumnFormula>A31</calculatedColumnFormula>
    </tableColumn>
    <tableColumn id="2" xr3:uid="{00000000-0010-0000-9500-000002000000}" name="off_yd" dataDxfId="2052">
      <calculatedColumnFormula>C33 + E33</calculatedColumnFormula>
    </tableColumn>
    <tableColumn id="3" xr3:uid="{00000000-0010-0000-9500-000003000000}" name="p_yd" dataDxfId="2051">
      <calculatedColumnFormula>SUM(INDIRECT(A33 &amp; "_Table4[[#All],[p_yd]]"))</calculatedColumnFormula>
    </tableColumn>
    <tableColumn id="4" xr3:uid="{00000000-0010-0000-9500-000004000000}" name="car" dataDxfId="205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500-000005000000}" name="r_yd" dataDxfId="204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500-000006000000}" name="r_td" dataDxfId="204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500-000007000000}" name="p_ff" dataDxfId="204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500-000008000000}" name="p_att" dataDxfId="204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500-000009000000}" name="cmp_pct" dataDxfId="2045">
      <calculatedColumnFormula>SUM(INDIRECT(A33 &amp; "_Table4[[#All],[cmp]]"))/H33</calculatedColumnFormula>
    </tableColumn>
    <tableColumn id="10" xr3:uid="{00000000-0010-0000-9500-00000A000000}" name="p_td" dataDxfId="204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500-00000B000000}" name="int" dataDxfId="204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500-00000C000000}" name="fmb" dataDxfId="204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D3731AA-129C-4065-BE21-BFB2B2CFB557}" name="f_custom" dataDxfId="204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00000000-000C-0000-FFFF-FFFF96000000}" name="NE_Table4" displayName="NE_Table4" ref="A35:AB39" totalsRowShown="0" headerRowDxfId="2039" dataDxfId="2010">
  <autoFilter ref="A35:AB39" xr:uid="{00000000-0009-0000-0100-000099000000}"/>
  <tableColumns count="28">
    <tableColumn id="1" xr3:uid="{00000000-0010-0000-9600-000001000000}" name="Name" dataDxfId="2038"/>
    <tableColumn id="2" xr3:uid="{00000000-0010-0000-9600-000002000000}" name="POS" dataDxfId="2037"/>
    <tableColumn id="3" xr3:uid="{00000000-0010-0000-9600-000003000000}" name="Age" dataDxfId="2036"/>
    <tableColumn id="4" xr3:uid="{00000000-0010-0000-9600-000004000000}" name="Exp" dataDxfId="2035"/>
    <tableColumn id="5" xr3:uid="{00000000-0010-0000-9600-000005000000}" name="College" dataDxfId="2034"/>
    <tableColumn id="6" xr3:uid="{00000000-0010-0000-9600-000006000000}" name="team" dataDxfId="2033"/>
    <tableColumn id="7" xr3:uid="{00000000-0010-0000-9600-000007000000}" name="g" dataDxfId="2032"/>
    <tableColumn id="8" xr3:uid="{00000000-0010-0000-9600-000008000000}" name="p_att" dataDxfId="2031"/>
    <tableColumn id="9" xr3:uid="{00000000-0010-0000-9600-000009000000}" name="cmp" dataDxfId="2030"/>
    <tableColumn id="10" xr3:uid="{00000000-0010-0000-9600-00000A000000}" name="p_yd" dataDxfId="2029"/>
    <tableColumn id="11" xr3:uid="{00000000-0010-0000-9600-00000B000000}" name="p_td" dataDxfId="2028"/>
    <tableColumn id="12" xr3:uid="{00000000-0010-0000-9600-00000C000000}" name="int" dataDxfId="2027"/>
    <tableColumn id="13" xr3:uid="{00000000-0010-0000-9600-00000D000000}" name="car" dataDxfId="2026"/>
    <tableColumn id="14" xr3:uid="{00000000-0010-0000-9600-00000E000000}" name="r_yd" dataDxfId="2025"/>
    <tableColumn id="15" xr3:uid="{00000000-0010-0000-9600-00000F000000}" name="r_td" dataDxfId="2024"/>
    <tableColumn id="16" xr3:uid="{00000000-0010-0000-9600-000010000000}" name="tgt" dataDxfId="2023"/>
    <tableColumn id="17" xr3:uid="{00000000-0010-0000-9600-000011000000}" name="rec" dataDxfId="2022"/>
    <tableColumn id="18" xr3:uid="{00000000-0010-0000-9600-000012000000}" name="rec_yd" dataDxfId="2021"/>
    <tableColumn id="19" xr3:uid="{00000000-0010-0000-9600-000013000000}" name="rec_td" dataDxfId="2020"/>
    <tableColumn id="20" xr3:uid="{00000000-0010-0000-9600-000014000000}" name="fmb" dataDxfId="2019"/>
    <tableColumn id="21" xr3:uid="{00000000-0010-0000-9600-000015000000}" name="tp_c" dataDxfId="2018"/>
    <tableColumn id="22" xr3:uid="{00000000-0010-0000-9600-000016000000}" name="f_ppr" dataDxfId="2017">
      <calculatedColumnFormula>($J36*0.04)+($K36*4)+($L36*-2)+($N36*0.1)+($O36*6)+($Q36)+($R36*0.1)+($S36*6)+($T36*-2)</calculatedColumnFormula>
    </tableColumn>
    <tableColumn id="23" xr3:uid="{00000000-0010-0000-9600-000017000000}" name="tgt_share" dataDxfId="2016">
      <calculatedColumnFormula>$P36/$H$33</calculatedColumnFormula>
    </tableColumn>
    <tableColumn id="24" xr3:uid="{00000000-0010-0000-9600-000018000000}" name="ypc" dataDxfId="2015">
      <calculatedColumnFormula>$N36/$M36</calculatedColumnFormula>
    </tableColumn>
    <tableColumn id="25" xr3:uid="{00000000-0010-0000-9600-000019000000}" name="ypr" dataDxfId="2014">
      <calculatedColumnFormula>$R36/$Q36</calculatedColumnFormula>
    </tableColumn>
    <tableColumn id="26" xr3:uid="{00000000-0010-0000-9600-00001A000000}" name="cmp_pct" dataDxfId="2013">
      <calculatedColumnFormula>$I36/$H36</calculatedColumnFormula>
    </tableColumn>
    <tableColumn id="27" xr3:uid="{00000000-0010-0000-9600-00001B000000}" name="td_rate" dataDxfId="2012">
      <calculatedColumnFormula>$K36/$H36</calculatedColumnFormula>
    </tableColumn>
    <tableColumn id="28" xr3:uid="{00000000-0010-0000-9600-00001C000000}" name="f_custom" dataDxfId="201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00000000-000C-0000-FFFF-FFFF97000000}" name="NE_Table5" displayName="NE_Table5" ref="A45:AB51" totalsRowShown="0" headerRowDxfId="2009" dataDxfId="1980">
  <autoFilter ref="A45:AB51" xr:uid="{00000000-0009-0000-0100-00009A000000}"/>
  <tableColumns count="28">
    <tableColumn id="1" xr3:uid="{00000000-0010-0000-9700-000001000000}" name="Name" dataDxfId="2008"/>
    <tableColumn id="2" xr3:uid="{00000000-0010-0000-9700-000002000000}" name="POS" dataDxfId="2007"/>
    <tableColumn id="3" xr3:uid="{00000000-0010-0000-9700-000003000000}" name="Age" dataDxfId="2006"/>
    <tableColumn id="4" xr3:uid="{00000000-0010-0000-9700-000004000000}" name="Exp" dataDxfId="2005"/>
    <tableColumn id="5" xr3:uid="{00000000-0010-0000-9700-000005000000}" name="College" dataDxfId="2004"/>
    <tableColumn id="6" xr3:uid="{00000000-0010-0000-9700-000006000000}" name="team" dataDxfId="2003"/>
    <tableColumn id="7" xr3:uid="{00000000-0010-0000-9700-000007000000}" name="g" dataDxfId="2002"/>
    <tableColumn id="8" xr3:uid="{00000000-0010-0000-9700-000008000000}" name="p_att" dataDxfId="2001"/>
    <tableColumn id="9" xr3:uid="{00000000-0010-0000-9700-000009000000}" name="cmp" dataDxfId="2000"/>
    <tableColumn id="10" xr3:uid="{00000000-0010-0000-9700-00000A000000}" name="p_yd" dataDxfId="1999"/>
    <tableColumn id="11" xr3:uid="{00000000-0010-0000-9700-00000B000000}" name="p_td" dataDxfId="1998"/>
    <tableColumn id="12" xr3:uid="{00000000-0010-0000-9700-00000C000000}" name="int" dataDxfId="1997"/>
    <tableColumn id="13" xr3:uid="{00000000-0010-0000-9700-00000D000000}" name="car" dataDxfId="1996"/>
    <tableColumn id="14" xr3:uid="{00000000-0010-0000-9700-00000E000000}" name="r_yd" dataDxfId="1995"/>
    <tableColumn id="15" xr3:uid="{00000000-0010-0000-9700-00000F000000}" name="r_td" dataDxfId="1994"/>
    <tableColumn id="16" xr3:uid="{00000000-0010-0000-9700-000010000000}" name="tgt" dataDxfId="1993"/>
    <tableColumn id="17" xr3:uid="{00000000-0010-0000-9700-000011000000}" name="rec" dataDxfId="1992"/>
    <tableColumn id="18" xr3:uid="{00000000-0010-0000-9700-000012000000}" name="rec_yd" dataDxfId="1991"/>
    <tableColumn id="19" xr3:uid="{00000000-0010-0000-9700-000013000000}" name="rec_td" dataDxfId="1990"/>
    <tableColumn id="20" xr3:uid="{00000000-0010-0000-9700-000014000000}" name="fmb" dataDxfId="1989"/>
    <tableColumn id="21" xr3:uid="{00000000-0010-0000-9700-000015000000}" name="tp_c" dataDxfId="1988"/>
    <tableColumn id="22" xr3:uid="{00000000-0010-0000-9700-000016000000}" name="f_ppr" dataDxfId="1987">
      <calculatedColumnFormula>($J46*0.04)+($K46*4)+($L46*-2)+($N46*0.1)+($O46*6)+($Q46)+($R46*0.1)+($S46*6)+($T46*-2)</calculatedColumnFormula>
    </tableColumn>
    <tableColumn id="23" xr3:uid="{00000000-0010-0000-9700-000017000000}" name="tgt_share" dataDxfId="1986">
      <calculatedColumnFormula>$P46/$H$33</calculatedColumnFormula>
    </tableColumn>
    <tableColumn id="24" xr3:uid="{00000000-0010-0000-9700-000018000000}" name="ypc" dataDxfId="1985">
      <calculatedColumnFormula>$N46/$M46</calculatedColumnFormula>
    </tableColumn>
    <tableColumn id="25" xr3:uid="{00000000-0010-0000-9700-000019000000}" name="ypr" dataDxfId="1984">
      <calculatedColumnFormula>$R46/$Q46</calculatedColumnFormula>
    </tableColumn>
    <tableColumn id="26" xr3:uid="{00000000-0010-0000-9700-00001A000000}" name="cmp_pct" dataDxfId="1983">
      <calculatedColumnFormula>$I46/$H46</calculatedColumnFormula>
    </tableColumn>
    <tableColumn id="27" xr3:uid="{00000000-0010-0000-9700-00001B000000}" name="td_rate" dataDxfId="1982">
      <calculatedColumnFormula>$K46/$H46</calculatedColumnFormula>
    </tableColumn>
    <tableColumn id="28" xr3:uid="{00000000-0010-0000-9700-00001C000000}" name="f_custom" dataDxfId="198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00000000-000C-0000-FFFF-FFFF98000000}" name="NE_Table6" displayName="NE_Table6" ref="A60:AB72" totalsRowShown="0" headerRowDxfId="1979" dataDxfId="1950">
  <autoFilter ref="A60:AB72" xr:uid="{00000000-0009-0000-0100-00009B000000}"/>
  <tableColumns count="28">
    <tableColumn id="1" xr3:uid="{00000000-0010-0000-9800-000001000000}" name="Name" dataDxfId="1978"/>
    <tableColumn id="2" xr3:uid="{00000000-0010-0000-9800-000002000000}" name="POS" dataDxfId="1977"/>
    <tableColumn id="3" xr3:uid="{00000000-0010-0000-9800-000003000000}" name="Age" dataDxfId="1976"/>
    <tableColumn id="4" xr3:uid="{00000000-0010-0000-9800-000004000000}" name="Exp" dataDxfId="1975"/>
    <tableColumn id="5" xr3:uid="{00000000-0010-0000-9800-000005000000}" name="College" dataDxfId="1974"/>
    <tableColumn id="6" xr3:uid="{00000000-0010-0000-9800-000006000000}" name="team" dataDxfId="1973"/>
    <tableColumn id="7" xr3:uid="{00000000-0010-0000-9800-000007000000}" name="g" dataDxfId="1972"/>
    <tableColumn id="8" xr3:uid="{00000000-0010-0000-9800-000008000000}" name="p_att" dataDxfId="1971"/>
    <tableColumn id="9" xr3:uid="{00000000-0010-0000-9800-000009000000}" name="cmp" dataDxfId="1970"/>
    <tableColumn id="10" xr3:uid="{00000000-0010-0000-9800-00000A000000}" name="p_yd" dataDxfId="1969"/>
    <tableColumn id="11" xr3:uid="{00000000-0010-0000-9800-00000B000000}" name="p_td" dataDxfId="1968"/>
    <tableColumn id="12" xr3:uid="{00000000-0010-0000-9800-00000C000000}" name="int" dataDxfId="1967"/>
    <tableColumn id="13" xr3:uid="{00000000-0010-0000-9800-00000D000000}" name="car" dataDxfId="1966"/>
    <tableColumn id="14" xr3:uid="{00000000-0010-0000-9800-00000E000000}" name="r_yd" dataDxfId="1965"/>
    <tableColumn id="15" xr3:uid="{00000000-0010-0000-9800-00000F000000}" name="r_td" dataDxfId="1964"/>
    <tableColumn id="16" xr3:uid="{00000000-0010-0000-9800-000010000000}" name="tgt" dataDxfId="1963"/>
    <tableColumn id="17" xr3:uid="{00000000-0010-0000-9800-000011000000}" name="rec" dataDxfId="1962"/>
    <tableColumn id="18" xr3:uid="{00000000-0010-0000-9800-000012000000}" name="rec_yd" dataDxfId="1961"/>
    <tableColumn id="19" xr3:uid="{00000000-0010-0000-9800-000013000000}" name="rec_td" dataDxfId="1960"/>
    <tableColumn id="20" xr3:uid="{00000000-0010-0000-9800-000014000000}" name="fmb" dataDxfId="1959"/>
    <tableColumn id="21" xr3:uid="{00000000-0010-0000-9800-000015000000}" name="tp_c" dataDxfId="1958"/>
    <tableColumn id="22" xr3:uid="{00000000-0010-0000-9800-000016000000}" name="f_ppr" dataDxfId="1957">
      <calculatedColumnFormula>($J61*0.04)+($K61*4)+($L61*-2)+($N61*0.1)+($O61*6)+($Q61)+($R61*0.1)+($S61*6)+($T61*-2)</calculatedColumnFormula>
    </tableColumn>
    <tableColumn id="23" xr3:uid="{00000000-0010-0000-9800-000017000000}" name="tgt_share" dataDxfId="1956">
      <calculatedColumnFormula>$P61/$H$33</calculatedColumnFormula>
    </tableColumn>
    <tableColumn id="24" xr3:uid="{00000000-0010-0000-9800-000018000000}" name="ypc" dataDxfId="1955">
      <calculatedColumnFormula>$N61/$M61</calculatedColumnFormula>
    </tableColumn>
    <tableColumn id="25" xr3:uid="{00000000-0010-0000-9800-000019000000}" name="ypr" dataDxfId="1954">
      <calculatedColumnFormula>$R61/$Q61</calculatedColumnFormula>
    </tableColumn>
    <tableColumn id="26" xr3:uid="{00000000-0010-0000-9800-00001A000000}" name="cmp_pct" dataDxfId="1953">
      <calculatedColumnFormula>$I61/$H61</calculatedColumnFormula>
    </tableColumn>
    <tableColumn id="27" xr3:uid="{00000000-0010-0000-9800-00001B000000}" name="td_rate" dataDxfId="1952">
      <calculatedColumnFormula>$K61/$H61</calculatedColumnFormula>
    </tableColumn>
    <tableColumn id="28" xr3:uid="{00000000-0010-0000-9800-00001C000000}" name="f_custom" dataDxfId="195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00000000-000C-0000-FFFF-FFFF99000000}" name="NE_Table7" displayName="NE_Table7" ref="A75:AB81" totalsRowShown="0" headerRowDxfId="1949" dataDxfId="1920">
  <autoFilter ref="A75:AB81" xr:uid="{00000000-0009-0000-0100-00009C000000}"/>
  <tableColumns count="28">
    <tableColumn id="1" xr3:uid="{00000000-0010-0000-9900-000001000000}" name="Name" dataDxfId="1948"/>
    <tableColumn id="2" xr3:uid="{00000000-0010-0000-9900-000002000000}" name="POS" dataDxfId="1947"/>
    <tableColumn id="3" xr3:uid="{00000000-0010-0000-9900-000003000000}" name="Age" dataDxfId="1946"/>
    <tableColumn id="4" xr3:uid="{00000000-0010-0000-9900-000004000000}" name="Exp" dataDxfId="1945"/>
    <tableColumn id="5" xr3:uid="{00000000-0010-0000-9900-000005000000}" name="College" dataDxfId="1944"/>
    <tableColumn id="6" xr3:uid="{00000000-0010-0000-9900-000006000000}" name="team" dataDxfId="1943"/>
    <tableColumn id="7" xr3:uid="{00000000-0010-0000-9900-000007000000}" name="g" dataDxfId="1942"/>
    <tableColumn id="8" xr3:uid="{00000000-0010-0000-9900-000008000000}" name="p_att" dataDxfId="1941"/>
    <tableColumn id="9" xr3:uid="{00000000-0010-0000-9900-000009000000}" name="cmp" dataDxfId="1940"/>
    <tableColumn id="10" xr3:uid="{00000000-0010-0000-9900-00000A000000}" name="p_yd" dataDxfId="1939"/>
    <tableColumn id="11" xr3:uid="{00000000-0010-0000-9900-00000B000000}" name="p_td" dataDxfId="1938"/>
    <tableColumn id="12" xr3:uid="{00000000-0010-0000-9900-00000C000000}" name="int" dataDxfId="1937"/>
    <tableColumn id="13" xr3:uid="{00000000-0010-0000-9900-00000D000000}" name="car" dataDxfId="1936"/>
    <tableColumn id="14" xr3:uid="{00000000-0010-0000-9900-00000E000000}" name="r_yd" dataDxfId="1935"/>
    <tableColumn id="15" xr3:uid="{00000000-0010-0000-9900-00000F000000}" name="r_td" dataDxfId="1934"/>
    <tableColumn id="16" xr3:uid="{00000000-0010-0000-9900-000010000000}" name="tgt" dataDxfId="1933"/>
    <tableColumn id="17" xr3:uid="{00000000-0010-0000-9900-000011000000}" name="rec" dataDxfId="1932"/>
    <tableColumn id="18" xr3:uid="{00000000-0010-0000-9900-000012000000}" name="rec_yd" dataDxfId="1931"/>
    <tableColumn id="19" xr3:uid="{00000000-0010-0000-9900-000013000000}" name="rec_td" dataDxfId="1930"/>
    <tableColumn id="20" xr3:uid="{00000000-0010-0000-9900-000014000000}" name="fmb" dataDxfId="1929"/>
    <tableColumn id="21" xr3:uid="{00000000-0010-0000-9900-000015000000}" name="tp_c" dataDxfId="1928"/>
    <tableColumn id="22" xr3:uid="{00000000-0010-0000-9900-000016000000}" name="f_ppr" dataDxfId="1927">
      <calculatedColumnFormula>($J76*0.04)+($K76*4)+($L76*-2)+($N76*0.1)+($O76*6)+($Q76)+($R76*0.1)+($S76*6)+($T76*-2)</calculatedColumnFormula>
    </tableColumn>
    <tableColumn id="23" xr3:uid="{00000000-0010-0000-9900-000017000000}" name="tgt_share" dataDxfId="1926">
      <calculatedColumnFormula>$P76/$H$33</calculatedColumnFormula>
    </tableColumn>
    <tableColumn id="24" xr3:uid="{00000000-0010-0000-9900-000018000000}" name="ypc" dataDxfId="1925">
      <calculatedColumnFormula>$N76/$M76</calculatedColumnFormula>
    </tableColumn>
    <tableColumn id="25" xr3:uid="{00000000-0010-0000-9900-000019000000}" name="ypr" dataDxfId="1924">
      <calculatedColumnFormula>$R76/$Q76</calculatedColumnFormula>
    </tableColumn>
    <tableColumn id="26" xr3:uid="{00000000-0010-0000-9900-00001A000000}" name="cmp_pct" dataDxfId="1923">
      <calculatedColumnFormula>$I76/$H76</calculatedColumnFormula>
    </tableColumn>
    <tableColumn id="27" xr3:uid="{00000000-0010-0000-9900-00001B000000}" name="td_rate" dataDxfId="1922">
      <calculatedColumnFormula>$K76/$H76</calculatedColumnFormula>
    </tableColumn>
    <tableColumn id="28" xr3:uid="{00000000-0010-0000-9900-00001C000000}" name="f_custom" dataDxfId="192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00000000-000C-0000-FFFF-FFFF9A000000}" name="NO_Table1" displayName="NO_Table1" ref="A1:Y25" totalsRowShown="0" headerRowDxfId="1919" dataDxfId="1893">
  <autoFilter ref="A1:Y25" xr:uid="{00000000-0009-0000-0100-00009D000000}"/>
  <tableColumns count="25">
    <tableColumn id="1" xr3:uid="{00000000-0010-0000-9A00-000001000000}" name="player_name" dataDxfId="1918"/>
    <tableColumn id="2" xr3:uid="{00000000-0010-0000-9A00-000002000000}" name="recent_team" dataDxfId="1917"/>
    <tableColumn id="3" xr3:uid="{00000000-0010-0000-9A00-000003000000}" name="pos" dataDxfId="1916"/>
    <tableColumn id="4" xr3:uid="{00000000-0010-0000-9A00-000004000000}" name="g" dataDxfId="1915"/>
    <tableColumn id="5" xr3:uid="{00000000-0010-0000-9A00-000005000000}" name="p_att" dataDxfId="1914"/>
    <tableColumn id="6" xr3:uid="{00000000-0010-0000-9A00-000006000000}" name="cmp" dataDxfId="1913"/>
    <tableColumn id="7" xr3:uid="{00000000-0010-0000-9A00-000007000000}" name="p_yd" dataDxfId="1912"/>
    <tableColumn id="8" xr3:uid="{00000000-0010-0000-9A00-000008000000}" name="p_td" dataDxfId="1911"/>
    <tableColumn id="9" xr3:uid="{00000000-0010-0000-9A00-000009000000}" name="int" dataDxfId="1910"/>
    <tableColumn id="10" xr3:uid="{00000000-0010-0000-9A00-00000A000000}" name="car" dataDxfId="1909"/>
    <tableColumn id="11" xr3:uid="{00000000-0010-0000-9A00-00000B000000}" name="r_yd" dataDxfId="1908"/>
    <tableColumn id="12" xr3:uid="{00000000-0010-0000-9A00-00000C000000}" name="r_td" dataDxfId="1907"/>
    <tableColumn id="13" xr3:uid="{00000000-0010-0000-9A00-00000D000000}" name="tgt" dataDxfId="1906"/>
    <tableColumn id="14" xr3:uid="{00000000-0010-0000-9A00-00000E000000}" name="rec" dataDxfId="1905"/>
    <tableColumn id="15" xr3:uid="{00000000-0010-0000-9A00-00000F000000}" name="rec_yd" dataDxfId="1904"/>
    <tableColumn id="16" xr3:uid="{00000000-0010-0000-9A00-000010000000}" name="rec_td" dataDxfId="1903"/>
    <tableColumn id="17" xr3:uid="{00000000-0010-0000-9A00-000011000000}" name="fmb" dataDxfId="1902"/>
    <tableColumn id="18" xr3:uid="{00000000-0010-0000-9A00-000012000000}" name="tp_c" dataDxfId="1901"/>
    <tableColumn id="19" xr3:uid="{00000000-0010-0000-9A00-000013000000}" name="f_ppr" dataDxfId="1900"/>
    <tableColumn id="20" xr3:uid="{00000000-0010-0000-9A00-000014000000}" name="tgt_share" dataDxfId="1899"/>
    <tableColumn id="21" xr3:uid="{00000000-0010-0000-9A00-000015000000}" name="ypc" dataDxfId="1898"/>
    <tableColumn id="22" xr3:uid="{00000000-0010-0000-9A00-000016000000}" name="ypr" dataDxfId="1897"/>
    <tableColumn id="23" xr3:uid="{00000000-0010-0000-9A00-000017000000}" name="cmp_pct" dataDxfId="1896"/>
    <tableColumn id="24" xr3:uid="{00000000-0010-0000-9A00-000018000000}" name="td_rate" dataDxfId="1895"/>
    <tableColumn id="25" xr3:uid="{E85EAF44-F642-4525-8951-D088F8C8D077}" name="f_custom" dataDxfId="189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000000-000C-0000-FFFF-FFFF9B000000}" name="NO_Table2" displayName="NO_Table2" ref="A30:M31" totalsRowShown="0" headerRowDxfId="1892" dataDxfId="1878">
  <autoFilter ref="A30:M31" xr:uid="{00000000-0009-0000-0100-00009E000000}"/>
  <tableColumns count="13">
    <tableColumn id="1" xr3:uid="{00000000-0010-0000-9B00-000001000000}" name="team" dataDxfId="1891"/>
    <tableColumn id="2" xr3:uid="{00000000-0010-0000-9B00-000002000000}" name="off_yd" dataDxfId="1890"/>
    <tableColumn id="3" xr3:uid="{00000000-0010-0000-9B00-000003000000}" name="p_yd" dataDxfId="1889"/>
    <tableColumn id="4" xr3:uid="{00000000-0010-0000-9B00-000004000000}" name="car" dataDxfId="1888"/>
    <tableColumn id="5" xr3:uid="{00000000-0010-0000-9B00-000005000000}" name="r_yd" dataDxfId="1887"/>
    <tableColumn id="6" xr3:uid="{00000000-0010-0000-9B00-000006000000}" name="r_td" dataDxfId="1886"/>
    <tableColumn id="7" xr3:uid="{00000000-0010-0000-9B00-000007000000}" name="p_ff" dataDxfId="1885"/>
    <tableColumn id="8" xr3:uid="{00000000-0010-0000-9B00-000008000000}" name="p_att" dataDxfId="1884"/>
    <tableColumn id="9" xr3:uid="{00000000-0010-0000-9B00-000009000000}" name="cmp_pct" dataDxfId="1883"/>
    <tableColumn id="10" xr3:uid="{00000000-0010-0000-9B00-00000A000000}" name="p_td" dataDxfId="1882"/>
    <tableColumn id="11" xr3:uid="{00000000-0010-0000-9B00-00000B000000}" name="int" dataDxfId="1881"/>
    <tableColumn id="12" xr3:uid="{00000000-0010-0000-9B00-00000C000000}" name="fmb" dataDxfId="1880"/>
    <tableColumn id="13" xr3:uid="{09415063-82E3-4430-ADFF-82191BE58F30}" name="f_custom" dataDxfId="187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00000000-000C-0000-FFFF-FFFF9C000000}" name="NO_Table3" displayName="NO_Table3" ref="A32:M33" totalsRowShown="0" headerRowDxfId="1877" dataDxfId="1863">
  <autoFilter ref="A32:M33" xr:uid="{00000000-0009-0000-0100-00009F000000}"/>
  <tableColumns count="13">
    <tableColumn id="1" xr3:uid="{00000000-0010-0000-9C00-000001000000}" name="team" dataDxfId="1876">
      <calculatedColumnFormula>A31</calculatedColumnFormula>
    </tableColumn>
    <tableColumn id="2" xr3:uid="{00000000-0010-0000-9C00-000002000000}" name="off_yd" dataDxfId="1875">
      <calculatedColumnFormula>C33 + E33</calculatedColumnFormula>
    </tableColumn>
    <tableColumn id="3" xr3:uid="{00000000-0010-0000-9C00-000003000000}" name="p_yd" dataDxfId="1874">
      <calculatedColumnFormula>SUM(INDIRECT(A33 &amp; "_Table4[[#All],[p_yd]]"))</calculatedColumnFormula>
    </tableColumn>
    <tableColumn id="4" xr3:uid="{00000000-0010-0000-9C00-000004000000}" name="car" dataDxfId="187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C00-000005000000}" name="r_yd" dataDxfId="187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C00-000006000000}" name="r_td" dataDxfId="187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C00-000007000000}" name="p_ff" dataDxfId="187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C00-000008000000}" name="p_att" dataDxfId="186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C00-000009000000}" name="cmp_pct" dataDxfId="1868">
      <calculatedColumnFormula>SUM(INDIRECT(A33 &amp; "_Table4[[#All],[cmp]]"))/H33</calculatedColumnFormula>
    </tableColumn>
    <tableColumn id="10" xr3:uid="{00000000-0010-0000-9C00-00000A000000}" name="p_td" dataDxfId="186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C00-00000B000000}" name="int" dataDxfId="186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C00-00000C000000}" name="fmb" dataDxfId="186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B4035FF-88D8-4AEB-ABD4-4B5FC26506C4}" name="f_custom" dataDxfId="186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00000000-000C-0000-FFFF-FFFF9D000000}" name="NO_Table4" displayName="NO_Table4" ref="A35:AB38" totalsRowShown="0" headerRowDxfId="1862" dataDxfId="1833">
  <autoFilter ref="A35:AB38" xr:uid="{00000000-0009-0000-0100-0000A0000000}"/>
  <tableColumns count="28">
    <tableColumn id="1" xr3:uid="{00000000-0010-0000-9D00-000001000000}" name="Name" dataDxfId="1861"/>
    <tableColumn id="2" xr3:uid="{00000000-0010-0000-9D00-000002000000}" name="POS" dataDxfId="1860"/>
    <tableColumn id="3" xr3:uid="{00000000-0010-0000-9D00-000003000000}" name="Age" dataDxfId="1859"/>
    <tableColumn id="4" xr3:uid="{00000000-0010-0000-9D00-000004000000}" name="Exp" dataDxfId="1858"/>
    <tableColumn id="5" xr3:uid="{00000000-0010-0000-9D00-000005000000}" name="College" dataDxfId="1857"/>
    <tableColumn id="6" xr3:uid="{00000000-0010-0000-9D00-000006000000}" name="team" dataDxfId="1856"/>
    <tableColumn id="7" xr3:uid="{00000000-0010-0000-9D00-000007000000}" name="g" dataDxfId="1855"/>
    <tableColumn id="8" xr3:uid="{00000000-0010-0000-9D00-000008000000}" name="p_att" dataDxfId="1854"/>
    <tableColumn id="9" xr3:uid="{00000000-0010-0000-9D00-000009000000}" name="cmp" dataDxfId="1853"/>
    <tableColumn id="10" xr3:uid="{00000000-0010-0000-9D00-00000A000000}" name="p_yd" dataDxfId="1852"/>
    <tableColumn id="11" xr3:uid="{00000000-0010-0000-9D00-00000B000000}" name="p_td" dataDxfId="1851"/>
    <tableColumn id="12" xr3:uid="{00000000-0010-0000-9D00-00000C000000}" name="int" dataDxfId="1850"/>
    <tableColumn id="13" xr3:uid="{00000000-0010-0000-9D00-00000D000000}" name="car" dataDxfId="1849"/>
    <tableColumn id="14" xr3:uid="{00000000-0010-0000-9D00-00000E000000}" name="r_yd" dataDxfId="1848"/>
    <tableColumn id="15" xr3:uid="{00000000-0010-0000-9D00-00000F000000}" name="r_td" dataDxfId="1847"/>
    <tableColumn id="16" xr3:uid="{00000000-0010-0000-9D00-000010000000}" name="tgt" dataDxfId="1846"/>
    <tableColumn id="17" xr3:uid="{00000000-0010-0000-9D00-000011000000}" name="rec" dataDxfId="1845"/>
    <tableColumn id="18" xr3:uid="{00000000-0010-0000-9D00-000012000000}" name="rec_yd" dataDxfId="1844"/>
    <tableColumn id="19" xr3:uid="{00000000-0010-0000-9D00-000013000000}" name="rec_td" dataDxfId="1843"/>
    <tableColumn id="20" xr3:uid="{00000000-0010-0000-9D00-000014000000}" name="fmb" dataDxfId="1842"/>
    <tableColumn id="21" xr3:uid="{00000000-0010-0000-9D00-000015000000}" name="tp_c" dataDxfId="1841"/>
    <tableColumn id="22" xr3:uid="{00000000-0010-0000-9D00-000016000000}" name="f_ppr" dataDxfId="1840">
      <calculatedColumnFormula>($J36*0.04)+($K36*4)+($L36*-2)+($N36*0.1)+($O36*6)+($Q36)+($R36*0.1)+($S36*6)+($T36*-2)</calculatedColumnFormula>
    </tableColumn>
    <tableColumn id="23" xr3:uid="{00000000-0010-0000-9D00-000017000000}" name="tgt_share" dataDxfId="1839">
      <calculatedColumnFormula>$P36/$H$33</calculatedColumnFormula>
    </tableColumn>
    <tableColumn id="24" xr3:uid="{00000000-0010-0000-9D00-000018000000}" name="ypc" dataDxfId="1838">
      <calculatedColumnFormula>$N36/$M36</calculatedColumnFormula>
    </tableColumn>
    <tableColumn id="25" xr3:uid="{00000000-0010-0000-9D00-000019000000}" name="ypr" dataDxfId="1837">
      <calculatedColumnFormula>$R36/$Q36</calculatedColumnFormula>
    </tableColumn>
    <tableColumn id="26" xr3:uid="{00000000-0010-0000-9D00-00001A000000}" name="cmp_pct" dataDxfId="1836">
      <calculatedColumnFormula>$I36/$H36</calculatedColumnFormula>
    </tableColumn>
    <tableColumn id="27" xr3:uid="{00000000-0010-0000-9D00-00001B000000}" name="td_rate" dataDxfId="1835">
      <calculatedColumnFormula>$K36/$H36</calculatedColumnFormula>
    </tableColumn>
    <tableColumn id="28" xr3:uid="{00000000-0010-0000-9D00-00001C000000}" name="f_custom" dataDxfId="183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0000000-000C-0000-FFFF-FFFF9E000000}" name="NO_Table5" displayName="NO_Table5" ref="A45:AB52" totalsRowShown="0" headerRowDxfId="1832" dataDxfId="1803">
  <autoFilter ref="A45:AB52" xr:uid="{00000000-0009-0000-0100-0000A1000000}"/>
  <tableColumns count="28">
    <tableColumn id="1" xr3:uid="{00000000-0010-0000-9E00-000001000000}" name="Name" dataDxfId="1831"/>
    <tableColumn id="2" xr3:uid="{00000000-0010-0000-9E00-000002000000}" name="POS" dataDxfId="1830"/>
    <tableColumn id="3" xr3:uid="{00000000-0010-0000-9E00-000003000000}" name="Age" dataDxfId="1829"/>
    <tableColumn id="4" xr3:uid="{00000000-0010-0000-9E00-000004000000}" name="Exp" dataDxfId="1828"/>
    <tableColumn id="5" xr3:uid="{00000000-0010-0000-9E00-000005000000}" name="College" dataDxfId="1827"/>
    <tableColumn id="6" xr3:uid="{00000000-0010-0000-9E00-000006000000}" name="team" dataDxfId="1826"/>
    <tableColumn id="7" xr3:uid="{00000000-0010-0000-9E00-000007000000}" name="g" dataDxfId="1825"/>
    <tableColumn id="8" xr3:uid="{00000000-0010-0000-9E00-000008000000}" name="p_att" dataDxfId="1824"/>
    <tableColumn id="9" xr3:uid="{00000000-0010-0000-9E00-000009000000}" name="cmp" dataDxfId="1823"/>
    <tableColumn id="10" xr3:uid="{00000000-0010-0000-9E00-00000A000000}" name="p_yd" dataDxfId="1822"/>
    <tableColumn id="11" xr3:uid="{00000000-0010-0000-9E00-00000B000000}" name="p_td" dataDxfId="1821"/>
    <tableColumn id="12" xr3:uid="{00000000-0010-0000-9E00-00000C000000}" name="int" dataDxfId="1820"/>
    <tableColumn id="13" xr3:uid="{00000000-0010-0000-9E00-00000D000000}" name="car" dataDxfId="1819"/>
    <tableColumn id="14" xr3:uid="{00000000-0010-0000-9E00-00000E000000}" name="r_yd" dataDxfId="1818"/>
    <tableColumn id="15" xr3:uid="{00000000-0010-0000-9E00-00000F000000}" name="r_td" dataDxfId="1817"/>
    <tableColumn id="16" xr3:uid="{00000000-0010-0000-9E00-000010000000}" name="tgt" dataDxfId="1816"/>
    <tableColumn id="17" xr3:uid="{00000000-0010-0000-9E00-000011000000}" name="rec" dataDxfId="1815"/>
    <tableColumn id="18" xr3:uid="{00000000-0010-0000-9E00-000012000000}" name="rec_yd" dataDxfId="1814"/>
    <tableColumn id="19" xr3:uid="{00000000-0010-0000-9E00-000013000000}" name="rec_td" dataDxfId="1813"/>
    <tableColumn id="20" xr3:uid="{00000000-0010-0000-9E00-000014000000}" name="fmb" dataDxfId="1812"/>
    <tableColumn id="21" xr3:uid="{00000000-0010-0000-9E00-000015000000}" name="tp_c" dataDxfId="1811"/>
    <tableColumn id="22" xr3:uid="{00000000-0010-0000-9E00-000016000000}" name="f_ppr" dataDxfId="1810">
      <calculatedColumnFormula>($J46*0.04)+($K46*4)+($L46*-2)+($N46*0.1)+($O46*6)+($Q46)+($R46*0.1)+($S46*6)+($T46*-2)</calculatedColumnFormula>
    </tableColumn>
    <tableColumn id="23" xr3:uid="{00000000-0010-0000-9E00-000017000000}" name="tgt_share" dataDxfId="1809">
      <calculatedColumnFormula>$P46/$H$33</calculatedColumnFormula>
    </tableColumn>
    <tableColumn id="24" xr3:uid="{00000000-0010-0000-9E00-000018000000}" name="ypc" dataDxfId="1808">
      <calculatedColumnFormula>$N46/$M46</calculatedColumnFormula>
    </tableColumn>
    <tableColumn id="25" xr3:uid="{00000000-0010-0000-9E00-000019000000}" name="ypr" dataDxfId="1807">
      <calculatedColumnFormula>$R46/$Q46</calculatedColumnFormula>
    </tableColumn>
    <tableColumn id="26" xr3:uid="{00000000-0010-0000-9E00-00001A000000}" name="cmp_pct" dataDxfId="1806">
      <calculatedColumnFormula>$I46/$H46</calculatedColumnFormula>
    </tableColumn>
    <tableColumn id="27" xr3:uid="{00000000-0010-0000-9E00-00001B000000}" name="td_rate" dataDxfId="1805">
      <calculatedColumnFormula>$K46/$H46</calculatedColumnFormula>
    </tableColumn>
    <tableColumn id="28" xr3:uid="{00000000-0010-0000-9E00-00001C000000}" name="f_custom" dataDxfId="180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00000000-000C-0000-FFFF-FFFF9F000000}" name="NO_Table6" displayName="NO_Table6" ref="A60:AB72" totalsRowShown="0" headerRowDxfId="1802" dataDxfId="1773">
  <autoFilter ref="A60:AB72" xr:uid="{00000000-0009-0000-0100-0000A2000000}"/>
  <tableColumns count="28">
    <tableColumn id="1" xr3:uid="{00000000-0010-0000-9F00-000001000000}" name="Name" dataDxfId="1801"/>
    <tableColumn id="2" xr3:uid="{00000000-0010-0000-9F00-000002000000}" name="POS" dataDxfId="1800"/>
    <tableColumn id="3" xr3:uid="{00000000-0010-0000-9F00-000003000000}" name="Age" dataDxfId="1799"/>
    <tableColumn id="4" xr3:uid="{00000000-0010-0000-9F00-000004000000}" name="Exp" dataDxfId="1798"/>
    <tableColumn id="5" xr3:uid="{00000000-0010-0000-9F00-000005000000}" name="College" dataDxfId="1797"/>
    <tableColumn id="6" xr3:uid="{00000000-0010-0000-9F00-000006000000}" name="team" dataDxfId="1796"/>
    <tableColumn id="7" xr3:uid="{00000000-0010-0000-9F00-000007000000}" name="g" dataDxfId="1795"/>
    <tableColumn id="8" xr3:uid="{00000000-0010-0000-9F00-000008000000}" name="p_att" dataDxfId="1794"/>
    <tableColumn id="9" xr3:uid="{00000000-0010-0000-9F00-000009000000}" name="cmp" dataDxfId="1793"/>
    <tableColumn id="10" xr3:uid="{00000000-0010-0000-9F00-00000A000000}" name="p_yd" dataDxfId="1792"/>
    <tableColumn id="11" xr3:uid="{00000000-0010-0000-9F00-00000B000000}" name="p_td" dataDxfId="1791"/>
    <tableColumn id="12" xr3:uid="{00000000-0010-0000-9F00-00000C000000}" name="int" dataDxfId="1790"/>
    <tableColumn id="13" xr3:uid="{00000000-0010-0000-9F00-00000D000000}" name="car" dataDxfId="1789"/>
    <tableColumn id="14" xr3:uid="{00000000-0010-0000-9F00-00000E000000}" name="r_yd" dataDxfId="1788"/>
    <tableColumn id="15" xr3:uid="{00000000-0010-0000-9F00-00000F000000}" name="r_td" dataDxfId="1787"/>
    <tableColumn id="16" xr3:uid="{00000000-0010-0000-9F00-000010000000}" name="tgt" dataDxfId="1786"/>
    <tableColumn id="17" xr3:uid="{00000000-0010-0000-9F00-000011000000}" name="rec" dataDxfId="1785"/>
    <tableColumn id="18" xr3:uid="{00000000-0010-0000-9F00-000012000000}" name="rec_yd" dataDxfId="1784"/>
    <tableColumn id="19" xr3:uid="{00000000-0010-0000-9F00-000013000000}" name="rec_td" dataDxfId="1783"/>
    <tableColumn id="20" xr3:uid="{00000000-0010-0000-9F00-000014000000}" name="fmb" dataDxfId="1782"/>
    <tableColumn id="21" xr3:uid="{00000000-0010-0000-9F00-000015000000}" name="tp_c" dataDxfId="1781"/>
    <tableColumn id="22" xr3:uid="{00000000-0010-0000-9F00-000016000000}" name="f_ppr" dataDxfId="1780">
      <calculatedColumnFormula>($J61*0.04)+($K61*4)+($L61*-2)+($N61*0.1)+($O61*6)+($Q61)+($R61*0.1)+($S61*6)+($T61*-2)</calculatedColumnFormula>
    </tableColumn>
    <tableColumn id="23" xr3:uid="{00000000-0010-0000-9F00-000017000000}" name="tgt_share" dataDxfId="1779">
      <calculatedColumnFormula>$P61/$H$33</calculatedColumnFormula>
    </tableColumn>
    <tableColumn id="24" xr3:uid="{00000000-0010-0000-9F00-000018000000}" name="ypc" dataDxfId="1778">
      <calculatedColumnFormula>$N61/$M61</calculatedColumnFormula>
    </tableColumn>
    <tableColumn id="25" xr3:uid="{00000000-0010-0000-9F00-000019000000}" name="ypr" dataDxfId="1777">
      <calculatedColumnFormula>$R61/$Q61</calculatedColumnFormula>
    </tableColumn>
    <tableColumn id="26" xr3:uid="{00000000-0010-0000-9F00-00001A000000}" name="cmp_pct" dataDxfId="1776">
      <calculatedColumnFormula>$I61/$H61</calculatedColumnFormula>
    </tableColumn>
    <tableColumn id="27" xr3:uid="{00000000-0010-0000-9F00-00001B000000}" name="td_rate" dataDxfId="1775">
      <calculatedColumnFormula>$K61/$H61</calculatedColumnFormula>
    </tableColumn>
    <tableColumn id="28" xr3:uid="{00000000-0010-0000-9F00-00001C000000}" name="f_custom" dataDxfId="177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00000000-000C-0000-FFFF-FFFFA0000000}" name="NO_Table7" displayName="NO_Table7" ref="A75:AB82" totalsRowShown="0" headerRowDxfId="1772" dataDxfId="1743">
  <autoFilter ref="A75:AB82" xr:uid="{00000000-0009-0000-0100-0000A3000000}"/>
  <tableColumns count="28">
    <tableColumn id="1" xr3:uid="{00000000-0010-0000-A000-000001000000}" name="Name" dataDxfId="1771"/>
    <tableColumn id="2" xr3:uid="{00000000-0010-0000-A000-000002000000}" name="POS" dataDxfId="1770"/>
    <tableColumn id="3" xr3:uid="{00000000-0010-0000-A000-000003000000}" name="Age" dataDxfId="1769"/>
    <tableColumn id="4" xr3:uid="{00000000-0010-0000-A000-000004000000}" name="Exp" dataDxfId="1768"/>
    <tableColumn id="5" xr3:uid="{00000000-0010-0000-A000-000005000000}" name="College" dataDxfId="1767"/>
    <tableColumn id="6" xr3:uid="{00000000-0010-0000-A000-000006000000}" name="team" dataDxfId="1766"/>
    <tableColumn id="7" xr3:uid="{00000000-0010-0000-A000-000007000000}" name="g" dataDxfId="1765"/>
    <tableColumn id="8" xr3:uid="{00000000-0010-0000-A000-000008000000}" name="p_att" dataDxfId="1764"/>
    <tableColumn id="9" xr3:uid="{00000000-0010-0000-A000-000009000000}" name="cmp" dataDxfId="1763"/>
    <tableColumn id="10" xr3:uid="{00000000-0010-0000-A000-00000A000000}" name="p_yd" dataDxfId="1762"/>
    <tableColumn id="11" xr3:uid="{00000000-0010-0000-A000-00000B000000}" name="p_td" dataDxfId="1761"/>
    <tableColumn id="12" xr3:uid="{00000000-0010-0000-A000-00000C000000}" name="int" dataDxfId="1760"/>
    <tableColumn id="13" xr3:uid="{00000000-0010-0000-A000-00000D000000}" name="car" dataDxfId="1759"/>
    <tableColumn id="14" xr3:uid="{00000000-0010-0000-A000-00000E000000}" name="r_yd" dataDxfId="1758"/>
    <tableColumn id="15" xr3:uid="{00000000-0010-0000-A000-00000F000000}" name="r_td" dataDxfId="1757"/>
    <tableColumn id="16" xr3:uid="{00000000-0010-0000-A000-000010000000}" name="tgt" dataDxfId="1756"/>
    <tableColumn id="17" xr3:uid="{00000000-0010-0000-A000-000011000000}" name="rec" dataDxfId="1755"/>
    <tableColumn id="18" xr3:uid="{00000000-0010-0000-A000-000012000000}" name="rec_yd" dataDxfId="1754"/>
    <tableColumn id="19" xr3:uid="{00000000-0010-0000-A000-000013000000}" name="rec_td" dataDxfId="1753"/>
    <tableColumn id="20" xr3:uid="{00000000-0010-0000-A000-000014000000}" name="fmb" dataDxfId="1752"/>
    <tableColumn id="21" xr3:uid="{00000000-0010-0000-A000-000015000000}" name="tp_c" dataDxfId="1751"/>
    <tableColumn id="22" xr3:uid="{00000000-0010-0000-A000-000016000000}" name="f_ppr" dataDxfId="1750">
      <calculatedColumnFormula>($J76*0.04)+($K76*4)+($L76*-2)+($N76*0.1)+($O76*6)+($Q76)+($R76*0.1)+($S76*6)+($T76*-2)</calculatedColumnFormula>
    </tableColumn>
    <tableColumn id="23" xr3:uid="{00000000-0010-0000-A000-000017000000}" name="tgt_share" dataDxfId="1749">
      <calculatedColumnFormula>$P76/$H$33</calculatedColumnFormula>
    </tableColumn>
    <tableColumn id="24" xr3:uid="{00000000-0010-0000-A000-000018000000}" name="ypc" dataDxfId="1748">
      <calculatedColumnFormula>$N76/$M76</calculatedColumnFormula>
    </tableColumn>
    <tableColumn id="25" xr3:uid="{00000000-0010-0000-A000-000019000000}" name="ypr" dataDxfId="1747">
      <calculatedColumnFormula>$R76/$Q76</calculatedColumnFormula>
    </tableColumn>
    <tableColumn id="26" xr3:uid="{00000000-0010-0000-A000-00001A000000}" name="cmp_pct" dataDxfId="1746">
      <calculatedColumnFormula>$I76/$H76</calculatedColumnFormula>
    </tableColumn>
    <tableColumn id="27" xr3:uid="{00000000-0010-0000-A000-00001B000000}" name="td_rate" dataDxfId="1745">
      <calculatedColumnFormula>$K76/$H76</calculatedColumnFormula>
    </tableColumn>
    <tableColumn id="28" xr3:uid="{00000000-0010-0000-A000-00001C000000}" name="f_custom" dataDxfId="174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00000000-000C-0000-FFFF-FFFFA1000000}" name="NYG_Table1" displayName="NYG_Table1" ref="A1:Y21" totalsRowShown="0" headerRowDxfId="1742" dataDxfId="1716">
  <autoFilter ref="A1:Y21" xr:uid="{00000000-0009-0000-0100-0000A4000000}"/>
  <tableColumns count="25">
    <tableColumn id="1" xr3:uid="{00000000-0010-0000-A100-000001000000}" name="player_name" dataDxfId="1741"/>
    <tableColumn id="2" xr3:uid="{00000000-0010-0000-A100-000002000000}" name="recent_team" dataDxfId="1740"/>
    <tableColumn id="3" xr3:uid="{00000000-0010-0000-A100-000003000000}" name="pos" dataDxfId="1739"/>
    <tableColumn id="4" xr3:uid="{00000000-0010-0000-A100-000004000000}" name="g" dataDxfId="1738"/>
    <tableColumn id="5" xr3:uid="{00000000-0010-0000-A100-000005000000}" name="p_att" dataDxfId="1737"/>
    <tableColumn id="6" xr3:uid="{00000000-0010-0000-A100-000006000000}" name="cmp" dataDxfId="1736"/>
    <tableColumn id="7" xr3:uid="{00000000-0010-0000-A100-000007000000}" name="p_yd" dataDxfId="1735"/>
    <tableColumn id="8" xr3:uid="{00000000-0010-0000-A100-000008000000}" name="p_td" dataDxfId="1734"/>
    <tableColumn id="9" xr3:uid="{00000000-0010-0000-A100-000009000000}" name="int" dataDxfId="1733"/>
    <tableColumn id="10" xr3:uid="{00000000-0010-0000-A100-00000A000000}" name="car" dataDxfId="1732"/>
    <tableColumn id="11" xr3:uid="{00000000-0010-0000-A100-00000B000000}" name="r_yd" dataDxfId="1731"/>
    <tableColumn id="12" xr3:uid="{00000000-0010-0000-A100-00000C000000}" name="r_td" dataDxfId="1730"/>
    <tableColumn id="13" xr3:uid="{00000000-0010-0000-A100-00000D000000}" name="tgt" dataDxfId="1729"/>
    <tableColumn id="14" xr3:uid="{00000000-0010-0000-A100-00000E000000}" name="rec" dataDxfId="1728"/>
    <tableColumn id="15" xr3:uid="{00000000-0010-0000-A100-00000F000000}" name="rec_yd" dataDxfId="1727"/>
    <tableColumn id="16" xr3:uid="{00000000-0010-0000-A100-000010000000}" name="rec_td" dataDxfId="1726"/>
    <tableColumn id="17" xr3:uid="{00000000-0010-0000-A100-000011000000}" name="fmb" dataDxfId="1725"/>
    <tableColumn id="18" xr3:uid="{00000000-0010-0000-A100-000012000000}" name="tp_c" dataDxfId="1724"/>
    <tableColumn id="19" xr3:uid="{00000000-0010-0000-A100-000013000000}" name="f_ppr" dataDxfId="1723"/>
    <tableColumn id="20" xr3:uid="{00000000-0010-0000-A100-000014000000}" name="tgt_share" dataDxfId="1722"/>
    <tableColumn id="21" xr3:uid="{00000000-0010-0000-A100-000015000000}" name="ypc" dataDxfId="1721"/>
    <tableColumn id="22" xr3:uid="{00000000-0010-0000-A100-000016000000}" name="ypr" dataDxfId="1720"/>
    <tableColumn id="23" xr3:uid="{00000000-0010-0000-A100-000017000000}" name="cmp_pct" dataDxfId="1719"/>
    <tableColumn id="24" xr3:uid="{00000000-0010-0000-A100-000018000000}" name="td_rate" dataDxfId="1718"/>
    <tableColumn id="25" xr3:uid="{5FEF156E-267B-4845-B7C0-E66A56357A60}" name="f_custom" dataDxfId="171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00000000-000C-0000-FFFF-FFFFA2000000}" name="NYG_Table2" displayName="NYG_Table2" ref="A30:M31" totalsRowShown="0" headerRowDxfId="1715" dataDxfId="1701">
  <autoFilter ref="A30:M31" xr:uid="{00000000-0009-0000-0100-0000A5000000}"/>
  <tableColumns count="13">
    <tableColumn id="1" xr3:uid="{00000000-0010-0000-A200-000001000000}" name="team" dataDxfId="1714"/>
    <tableColumn id="2" xr3:uid="{00000000-0010-0000-A200-000002000000}" name="off_yd" dataDxfId="1713"/>
    <tableColumn id="3" xr3:uid="{00000000-0010-0000-A200-000003000000}" name="p_yd" dataDxfId="1712"/>
    <tableColumn id="4" xr3:uid="{00000000-0010-0000-A200-000004000000}" name="car" dataDxfId="1711"/>
    <tableColumn id="5" xr3:uid="{00000000-0010-0000-A200-000005000000}" name="r_yd" dataDxfId="1710"/>
    <tableColumn id="6" xr3:uid="{00000000-0010-0000-A200-000006000000}" name="r_td" dataDxfId="1709"/>
    <tableColumn id="7" xr3:uid="{00000000-0010-0000-A200-000007000000}" name="p_ff" dataDxfId="1708"/>
    <tableColumn id="8" xr3:uid="{00000000-0010-0000-A200-000008000000}" name="p_att" dataDxfId="1707"/>
    <tableColumn id="9" xr3:uid="{00000000-0010-0000-A200-000009000000}" name="cmp_pct" dataDxfId="1706"/>
    <tableColumn id="10" xr3:uid="{00000000-0010-0000-A200-00000A000000}" name="p_td" dataDxfId="1705"/>
    <tableColumn id="11" xr3:uid="{00000000-0010-0000-A200-00000B000000}" name="int" dataDxfId="1704"/>
    <tableColumn id="12" xr3:uid="{00000000-0010-0000-A200-00000C000000}" name="fmb" dataDxfId="1703"/>
    <tableColumn id="13" xr3:uid="{BC2A817E-18E6-417C-8D3E-B2B47EC36F95}" name="f_custom" dataDxfId="170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00000000-000C-0000-FFFF-FFFFA3000000}" name="NYG_Table3" displayName="NYG_Table3" ref="A32:M33" totalsRowShown="0" headerRowDxfId="1700" dataDxfId="1686">
  <autoFilter ref="A32:M33" xr:uid="{00000000-0009-0000-0100-0000A6000000}"/>
  <tableColumns count="13">
    <tableColumn id="1" xr3:uid="{00000000-0010-0000-A300-000001000000}" name="team" dataDxfId="1699">
      <calculatedColumnFormula>A31</calculatedColumnFormula>
    </tableColumn>
    <tableColumn id="2" xr3:uid="{00000000-0010-0000-A300-000002000000}" name="off_yd" dataDxfId="1698">
      <calculatedColumnFormula>C33 + E33</calculatedColumnFormula>
    </tableColumn>
    <tableColumn id="3" xr3:uid="{00000000-0010-0000-A300-000003000000}" name="p_yd" dataDxfId="1697">
      <calculatedColumnFormula>SUM(INDIRECT(A33 &amp; "_Table4[[#All],[p_yd]]"))</calculatedColumnFormula>
    </tableColumn>
    <tableColumn id="4" xr3:uid="{00000000-0010-0000-A300-000004000000}" name="car" dataDxfId="169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300-000005000000}" name="r_yd" dataDxfId="169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300-000006000000}" name="r_td" dataDxfId="169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300-000007000000}" name="p_ff" dataDxfId="169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300-000008000000}" name="p_att" dataDxfId="169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300-000009000000}" name="cmp_pct" dataDxfId="1691">
      <calculatedColumnFormula>SUM(INDIRECT(A33 &amp; "_Table4[[#All],[cmp]]"))/H33</calculatedColumnFormula>
    </tableColumn>
    <tableColumn id="10" xr3:uid="{00000000-0010-0000-A300-00000A000000}" name="p_td" dataDxfId="169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300-00000B000000}" name="int" dataDxfId="168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300-00000C000000}" name="fmb" dataDxfId="168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721411E-37AE-4783-8A75-FF399371C326}" name="f_custom" dataDxfId="168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00000000-000C-0000-FFFF-FFFFA4000000}" name="NYG_Table4" displayName="NYG_Table4" ref="A35:AB38" totalsRowShown="0" headerRowDxfId="1685" dataDxfId="1656">
  <autoFilter ref="A35:AB38" xr:uid="{00000000-0009-0000-0100-0000A7000000}"/>
  <tableColumns count="28">
    <tableColumn id="1" xr3:uid="{00000000-0010-0000-A400-000001000000}" name="Name" dataDxfId="1684"/>
    <tableColumn id="2" xr3:uid="{00000000-0010-0000-A400-000002000000}" name="POS" dataDxfId="1683"/>
    <tableColumn id="3" xr3:uid="{00000000-0010-0000-A400-000003000000}" name="Age" dataDxfId="1682"/>
    <tableColumn id="4" xr3:uid="{00000000-0010-0000-A400-000004000000}" name="Exp" dataDxfId="1681"/>
    <tableColumn id="5" xr3:uid="{00000000-0010-0000-A400-000005000000}" name="College" dataDxfId="1680"/>
    <tableColumn id="6" xr3:uid="{00000000-0010-0000-A400-000006000000}" name="team" dataDxfId="1679"/>
    <tableColumn id="7" xr3:uid="{00000000-0010-0000-A400-000007000000}" name="g" dataDxfId="1678"/>
    <tableColumn id="8" xr3:uid="{00000000-0010-0000-A400-000008000000}" name="p_att" dataDxfId="1677"/>
    <tableColumn id="9" xr3:uid="{00000000-0010-0000-A400-000009000000}" name="cmp" dataDxfId="1676"/>
    <tableColumn id="10" xr3:uid="{00000000-0010-0000-A400-00000A000000}" name="p_yd" dataDxfId="1675"/>
    <tableColumn id="11" xr3:uid="{00000000-0010-0000-A400-00000B000000}" name="p_td" dataDxfId="1674"/>
    <tableColumn id="12" xr3:uid="{00000000-0010-0000-A400-00000C000000}" name="int" dataDxfId="1673"/>
    <tableColumn id="13" xr3:uid="{00000000-0010-0000-A400-00000D000000}" name="car" dataDxfId="1672"/>
    <tableColumn id="14" xr3:uid="{00000000-0010-0000-A400-00000E000000}" name="r_yd" dataDxfId="1671"/>
    <tableColumn id="15" xr3:uid="{00000000-0010-0000-A400-00000F000000}" name="r_td" dataDxfId="1670"/>
    <tableColumn id="16" xr3:uid="{00000000-0010-0000-A400-000010000000}" name="tgt" dataDxfId="1669"/>
    <tableColumn id="17" xr3:uid="{00000000-0010-0000-A400-000011000000}" name="rec" dataDxfId="1668"/>
    <tableColumn id="18" xr3:uid="{00000000-0010-0000-A400-000012000000}" name="rec_yd" dataDxfId="1667"/>
    <tableColumn id="19" xr3:uid="{00000000-0010-0000-A400-000013000000}" name="rec_td" dataDxfId="1666"/>
    <tableColumn id="20" xr3:uid="{00000000-0010-0000-A400-000014000000}" name="fmb" dataDxfId="1665"/>
    <tableColumn id="21" xr3:uid="{00000000-0010-0000-A400-000015000000}" name="tp_c" dataDxfId="1664"/>
    <tableColumn id="22" xr3:uid="{00000000-0010-0000-A400-000016000000}" name="f_ppr" dataDxfId="1663">
      <calculatedColumnFormula>($J36*0.04)+($K36*4)+($L36*-2)+($N36*0.1)+($O36*6)+($Q36)+($R36*0.1)+($S36*6)+($T36*-2)</calculatedColumnFormula>
    </tableColumn>
    <tableColumn id="23" xr3:uid="{00000000-0010-0000-A400-000017000000}" name="tgt_share" dataDxfId="1662">
      <calculatedColumnFormula>$P36/$H$33</calculatedColumnFormula>
    </tableColumn>
    <tableColumn id="24" xr3:uid="{00000000-0010-0000-A400-000018000000}" name="ypc" dataDxfId="1661">
      <calculatedColumnFormula>$N36/$M36</calculatedColumnFormula>
    </tableColumn>
    <tableColumn id="25" xr3:uid="{00000000-0010-0000-A400-000019000000}" name="ypr" dataDxfId="1660">
      <calculatedColumnFormula>$R36/$Q36</calculatedColumnFormula>
    </tableColumn>
    <tableColumn id="26" xr3:uid="{00000000-0010-0000-A400-00001A000000}" name="cmp_pct" dataDxfId="1659">
      <calculatedColumnFormula>$I36/$H36</calculatedColumnFormula>
    </tableColumn>
    <tableColumn id="27" xr3:uid="{00000000-0010-0000-A400-00001B000000}" name="td_rate" dataDxfId="1658">
      <calculatedColumnFormula>$K36/$H36</calculatedColumnFormula>
    </tableColumn>
    <tableColumn id="28" xr3:uid="{00000000-0010-0000-A400-00001C000000}" name="f_custom" dataDxfId="165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00000000-000C-0000-FFFF-FFFFA5000000}" name="NYG_Table5" displayName="NYG_Table5" ref="A45:AB51" totalsRowShown="0" headerRowDxfId="1655" dataDxfId="1626">
  <autoFilter ref="A45:AB51" xr:uid="{00000000-0009-0000-0100-0000A8000000}"/>
  <tableColumns count="28">
    <tableColumn id="1" xr3:uid="{00000000-0010-0000-A500-000001000000}" name="Name" dataDxfId="1654"/>
    <tableColumn id="2" xr3:uid="{00000000-0010-0000-A500-000002000000}" name="POS" dataDxfId="1653"/>
    <tableColumn id="3" xr3:uid="{00000000-0010-0000-A500-000003000000}" name="Age" dataDxfId="1652"/>
    <tableColumn id="4" xr3:uid="{00000000-0010-0000-A500-000004000000}" name="Exp" dataDxfId="1651"/>
    <tableColumn id="5" xr3:uid="{00000000-0010-0000-A500-000005000000}" name="College" dataDxfId="1650"/>
    <tableColumn id="6" xr3:uid="{00000000-0010-0000-A500-000006000000}" name="team" dataDxfId="1649"/>
    <tableColumn id="7" xr3:uid="{00000000-0010-0000-A500-000007000000}" name="g" dataDxfId="1648"/>
    <tableColumn id="8" xr3:uid="{00000000-0010-0000-A500-000008000000}" name="p_att" dataDxfId="1647"/>
    <tableColumn id="9" xr3:uid="{00000000-0010-0000-A500-000009000000}" name="cmp" dataDxfId="1646"/>
    <tableColumn id="10" xr3:uid="{00000000-0010-0000-A500-00000A000000}" name="p_yd" dataDxfId="1645"/>
    <tableColumn id="11" xr3:uid="{00000000-0010-0000-A500-00000B000000}" name="p_td" dataDxfId="1644"/>
    <tableColumn id="12" xr3:uid="{00000000-0010-0000-A500-00000C000000}" name="int" dataDxfId="1643"/>
    <tableColumn id="13" xr3:uid="{00000000-0010-0000-A500-00000D000000}" name="car" dataDxfId="1642"/>
    <tableColumn id="14" xr3:uid="{00000000-0010-0000-A500-00000E000000}" name="r_yd" dataDxfId="1641"/>
    <tableColumn id="15" xr3:uid="{00000000-0010-0000-A500-00000F000000}" name="r_td" dataDxfId="1640"/>
    <tableColumn id="16" xr3:uid="{00000000-0010-0000-A500-000010000000}" name="tgt" dataDxfId="1639"/>
    <tableColumn id="17" xr3:uid="{00000000-0010-0000-A500-000011000000}" name="rec" dataDxfId="1638"/>
    <tableColumn id="18" xr3:uid="{00000000-0010-0000-A500-000012000000}" name="rec_yd" dataDxfId="1637"/>
    <tableColumn id="19" xr3:uid="{00000000-0010-0000-A500-000013000000}" name="rec_td" dataDxfId="1636"/>
    <tableColumn id="20" xr3:uid="{00000000-0010-0000-A500-000014000000}" name="fmb" dataDxfId="1635"/>
    <tableColumn id="21" xr3:uid="{00000000-0010-0000-A500-000015000000}" name="tp_c" dataDxfId="1634"/>
    <tableColumn id="22" xr3:uid="{00000000-0010-0000-A500-000016000000}" name="f_ppr" dataDxfId="1633">
      <calculatedColumnFormula>($J46*0.04)+($K46*4)+($L46*-2)+($N46*0.1)+($O46*6)+($Q46)+($R46*0.1)+($S46*6)+($T46*-2)</calculatedColumnFormula>
    </tableColumn>
    <tableColumn id="23" xr3:uid="{00000000-0010-0000-A500-000017000000}" name="tgt_share" dataDxfId="1632">
      <calculatedColumnFormula>$P46/$H$33</calculatedColumnFormula>
    </tableColumn>
    <tableColumn id="24" xr3:uid="{00000000-0010-0000-A500-000018000000}" name="ypc" dataDxfId="1631">
      <calculatedColumnFormula>$N46/$M46</calculatedColumnFormula>
    </tableColumn>
    <tableColumn id="25" xr3:uid="{00000000-0010-0000-A500-000019000000}" name="ypr" dataDxfId="1630">
      <calculatedColumnFormula>$R46/$Q46</calculatedColumnFormula>
    </tableColumn>
    <tableColumn id="26" xr3:uid="{00000000-0010-0000-A500-00001A000000}" name="cmp_pct" dataDxfId="1629">
      <calculatedColumnFormula>$I46/$H46</calculatedColumnFormula>
    </tableColumn>
    <tableColumn id="27" xr3:uid="{00000000-0010-0000-A500-00001B000000}" name="td_rate" dataDxfId="1628">
      <calculatedColumnFormula>$K46/$H46</calculatedColumnFormula>
    </tableColumn>
    <tableColumn id="28" xr3:uid="{00000000-0010-0000-A500-00001C000000}" name="f_custom" dataDxfId="162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00000000-000C-0000-FFFF-FFFFA6000000}" name="NYG_Table6" displayName="NYG_Table6" ref="A60:AB73" totalsRowShown="0" headerRowDxfId="1625" dataDxfId="1596">
  <autoFilter ref="A60:AB73" xr:uid="{00000000-0009-0000-0100-0000A9000000}"/>
  <tableColumns count="28">
    <tableColumn id="1" xr3:uid="{00000000-0010-0000-A600-000001000000}" name="Name" dataDxfId="1624"/>
    <tableColumn id="2" xr3:uid="{00000000-0010-0000-A600-000002000000}" name="POS" dataDxfId="1623"/>
    <tableColumn id="3" xr3:uid="{00000000-0010-0000-A600-000003000000}" name="Age" dataDxfId="1622"/>
    <tableColumn id="4" xr3:uid="{00000000-0010-0000-A600-000004000000}" name="Exp" dataDxfId="1621"/>
    <tableColumn id="5" xr3:uid="{00000000-0010-0000-A600-000005000000}" name="College" dataDxfId="1620"/>
    <tableColumn id="6" xr3:uid="{00000000-0010-0000-A600-000006000000}" name="team" dataDxfId="1619"/>
    <tableColumn id="7" xr3:uid="{00000000-0010-0000-A600-000007000000}" name="g" dataDxfId="1618"/>
    <tableColumn id="8" xr3:uid="{00000000-0010-0000-A600-000008000000}" name="p_att" dataDxfId="1617"/>
    <tableColumn id="9" xr3:uid="{00000000-0010-0000-A600-000009000000}" name="cmp" dataDxfId="1616"/>
    <tableColumn id="10" xr3:uid="{00000000-0010-0000-A600-00000A000000}" name="p_yd" dataDxfId="1615"/>
    <tableColumn id="11" xr3:uid="{00000000-0010-0000-A600-00000B000000}" name="p_td" dataDxfId="1614"/>
    <tableColumn id="12" xr3:uid="{00000000-0010-0000-A600-00000C000000}" name="int" dataDxfId="1613"/>
    <tableColumn id="13" xr3:uid="{00000000-0010-0000-A600-00000D000000}" name="car" dataDxfId="1612"/>
    <tableColumn id="14" xr3:uid="{00000000-0010-0000-A600-00000E000000}" name="r_yd" dataDxfId="1611"/>
    <tableColumn id="15" xr3:uid="{00000000-0010-0000-A600-00000F000000}" name="r_td" dataDxfId="1610"/>
    <tableColumn id="16" xr3:uid="{00000000-0010-0000-A600-000010000000}" name="tgt" dataDxfId="1609"/>
    <tableColumn id="17" xr3:uid="{00000000-0010-0000-A600-000011000000}" name="rec" dataDxfId="1608"/>
    <tableColumn id="18" xr3:uid="{00000000-0010-0000-A600-000012000000}" name="rec_yd" dataDxfId="1607"/>
    <tableColumn id="19" xr3:uid="{00000000-0010-0000-A600-000013000000}" name="rec_td" dataDxfId="1606"/>
    <tableColumn id="20" xr3:uid="{00000000-0010-0000-A600-000014000000}" name="fmb" dataDxfId="1605"/>
    <tableColumn id="21" xr3:uid="{00000000-0010-0000-A600-000015000000}" name="tp_c" dataDxfId="1604"/>
    <tableColumn id="22" xr3:uid="{00000000-0010-0000-A600-000016000000}" name="f_ppr" dataDxfId="1603">
      <calculatedColumnFormula>($J61*0.04)+($K61*4)+($L61*-2)+($N61*0.1)+($O61*6)+($Q61)+($R61*0.1)+($S61*6)+($T61*-2)</calculatedColumnFormula>
    </tableColumn>
    <tableColumn id="23" xr3:uid="{00000000-0010-0000-A600-000017000000}" name="tgt_share" dataDxfId="1602">
      <calculatedColumnFormula>$P61/$H$33</calculatedColumnFormula>
    </tableColumn>
    <tableColumn id="24" xr3:uid="{00000000-0010-0000-A600-000018000000}" name="ypc" dataDxfId="1601">
      <calculatedColumnFormula>$N61/$M61</calculatedColumnFormula>
    </tableColumn>
    <tableColumn id="25" xr3:uid="{00000000-0010-0000-A600-000019000000}" name="ypr" dataDxfId="1600">
      <calculatedColumnFormula>$R61/$Q61</calculatedColumnFormula>
    </tableColumn>
    <tableColumn id="26" xr3:uid="{00000000-0010-0000-A600-00001A000000}" name="cmp_pct" dataDxfId="1599">
      <calculatedColumnFormula>$I61/$H61</calculatedColumnFormula>
    </tableColumn>
    <tableColumn id="27" xr3:uid="{00000000-0010-0000-A600-00001B000000}" name="td_rate" dataDxfId="1598">
      <calculatedColumnFormula>$K61/$H61</calculatedColumnFormula>
    </tableColumn>
    <tableColumn id="28" xr3:uid="{00000000-0010-0000-A600-00001C000000}" name="f_custom" dataDxfId="159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00000000-000C-0000-FFFF-FFFFA7000000}" name="NYG_Table7" displayName="NYG_Table7" ref="A75:AB80" totalsRowShown="0" headerRowDxfId="1595" dataDxfId="1566">
  <autoFilter ref="A75:AB80" xr:uid="{00000000-0009-0000-0100-0000AA000000}"/>
  <tableColumns count="28">
    <tableColumn id="1" xr3:uid="{00000000-0010-0000-A700-000001000000}" name="Name" dataDxfId="1594"/>
    <tableColumn id="2" xr3:uid="{00000000-0010-0000-A700-000002000000}" name="POS" dataDxfId="1593"/>
    <tableColumn id="3" xr3:uid="{00000000-0010-0000-A700-000003000000}" name="Age" dataDxfId="1592"/>
    <tableColumn id="4" xr3:uid="{00000000-0010-0000-A700-000004000000}" name="Exp" dataDxfId="1591"/>
    <tableColumn id="5" xr3:uid="{00000000-0010-0000-A700-000005000000}" name="College" dataDxfId="1590"/>
    <tableColumn id="6" xr3:uid="{00000000-0010-0000-A700-000006000000}" name="team" dataDxfId="1589"/>
    <tableColumn id="7" xr3:uid="{00000000-0010-0000-A700-000007000000}" name="g" dataDxfId="1588"/>
    <tableColumn id="8" xr3:uid="{00000000-0010-0000-A700-000008000000}" name="p_att" dataDxfId="1587"/>
    <tableColumn id="9" xr3:uid="{00000000-0010-0000-A700-000009000000}" name="cmp" dataDxfId="1586"/>
    <tableColumn id="10" xr3:uid="{00000000-0010-0000-A700-00000A000000}" name="p_yd" dataDxfId="1585"/>
    <tableColumn id="11" xr3:uid="{00000000-0010-0000-A700-00000B000000}" name="p_td" dataDxfId="1584"/>
    <tableColumn id="12" xr3:uid="{00000000-0010-0000-A700-00000C000000}" name="int" dataDxfId="1583"/>
    <tableColumn id="13" xr3:uid="{00000000-0010-0000-A700-00000D000000}" name="car" dataDxfId="1582"/>
    <tableColumn id="14" xr3:uid="{00000000-0010-0000-A700-00000E000000}" name="r_yd" dataDxfId="1581"/>
    <tableColumn id="15" xr3:uid="{00000000-0010-0000-A700-00000F000000}" name="r_td" dataDxfId="1580"/>
    <tableColumn id="16" xr3:uid="{00000000-0010-0000-A700-000010000000}" name="tgt" dataDxfId="1579"/>
    <tableColumn id="17" xr3:uid="{00000000-0010-0000-A700-000011000000}" name="rec" dataDxfId="1578"/>
    <tableColumn id="18" xr3:uid="{00000000-0010-0000-A700-000012000000}" name="rec_yd" dataDxfId="1577"/>
    <tableColumn id="19" xr3:uid="{00000000-0010-0000-A700-000013000000}" name="rec_td" dataDxfId="1576"/>
    <tableColumn id="20" xr3:uid="{00000000-0010-0000-A700-000014000000}" name="fmb" dataDxfId="1575"/>
    <tableColumn id="21" xr3:uid="{00000000-0010-0000-A700-000015000000}" name="tp_c" dataDxfId="1574"/>
    <tableColumn id="22" xr3:uid="{00000000-0010-0000-A700-000016000000}" name="f_ppr" dataDxfId="1573">
      <calculatedColumnFormula>($J76*0.04)+($K76*4)+($L76*-2)+($N76*0.1)+($O76*6)+($Q76)+($R76*0.1)+($S76*6)+($T76*-2)</calculatedColumnFormula>
    </tableColumn>
    <tableColumn id="23" xr3:uid="{00000000-0010-0000-A700-000017000000}" name="tgt_share" dataDxfId="1572">
      <calculatedColumnFormula>$P76/$H$33</calculatedColumnFormula>
    </tableColumn>
    <tableColumn id="24" xr3:uid="{00000000-0010-0000-A700-000018000000}" name="ypc" dataDxfId="1571">
      <calculatedColumnFormula>$N76/$M76</calculatedColumnFormula>
    </tableColumn>
    <tableColumn id="25" xr3:uid="{00000000-0010-0000-A700-000019000000}" name="ypr" dataDxfId="1570">
      <calculatedColumnFormula>$R76/$Q76</calculatedColumnFormula>
    </tableColumn>
    <tableColumn id="26" xr3:uid="{00000000-0010-0000-A700-00001A000000}" name="cmp_pct" dataDxfId="1569">
      <calculatedColumnFormula>$I76/$H76</calculatedColumnFormula>
    </tableColumn>
    <tableColumn id="27" xr3:uid="{00000000-0010-0000-A700-00001B000000}" name="td_rate" dataDxfId="1568">
      <calculatedColumnFormula>$J76/$H76</calculatedColumnFormula>
    </tableColumn>
    <tableColumn id="28" xr3:uid="{00000000-0010-0000-A700-00001C000000}" name="f_custom" dataDxfId="156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00000000-000C-0000-FFFF-FFFFA8000000}" name="NYJ_Table1" displayName="NYJ_Table1" ref="A1:Y20" totalsRowShown="0" headerRowDxfId="1565" dataDxfId="1539">
  <autoFilter ref="A1:Y20" xr:uid="{00000000-0009-0000-0100-0000AB000000}"/>
  <tableColumns count="25">
    <tableColumn id="1" xr3:uid="{00000000-0010-0000-A800-000001000000}" name="player_name" dataDxfId="1564"/>
    <tableColumn id="2" xr3:uid="{00000000-0010-0000-A800-000002000000}" name="recent_team" dataDxfId="1563"/>
    <tableColumn id="3" xr3:uid="{00000000-0010-0000-A800-000003000000}" name="pos" dataDxfId="1562"/>
    <tableColumn id="4" xr3:uid="{00000000-0010-0000-A800-000004000000}" name="g" dataDxfId="1561"/>
    <tableColumn id="5" xr3:uid="{00000000-0010-0000-A800-000005000000}" name="p_att" dataDxfId="1560"/>
    <tableColumn id="6" xr3:uid="{00000000-0010-0000-A800-000006000000}" name="cmp" dataDxfId="1559"/>
    <tableColumn id="7" xr3:uid="{00000000-0010-0000-A800-000007000000}" name="p_yd" dataDxfId="1558"/>
    <tableColumn id="8" xr3:uid="{00000000-0010-0000-A800-000008000000}" name="p_td" dataDxfId="1557"/>
    <tableColumn id="9" xr3:uid="{00000000-0010-0000-A800-000009000000}" name="int" dataDxfId="1556"/>
    <tableColumn id="10" xr3:uid="{00000000-0010-0000-A800-00000A000000}" name="car" dataDxfId="1555"/>
    <tableColumn id="11" xr3:uid="{00000000-0010-0000-A800-00000B000000}" name="r_yd" dataDxfId="1554"/>
    <tableColumn id="12" xr3:uid="{00000000-0010-0000-A800-00000C000000}" name="r_td" dataDxfId="1553"/>
    <tableColumn id="13" xr3:uid="{00000000-0010-0000-A800-00000D000000}" name="tgt" dataDxfId="1552"/>
    <tableColumn id="14" xr3:uid="{00000000-0010-0000-A800-00000E000000}" name="rec" dataDxfId="1551"/>
    <tableColumn id="15" xr3:uid="{00000000-0010-0000-A800-00000F000000}" name="rec_yd" dataDxfId="1550"/>
    <tableColumn id="16" xr3:uid="{00000000-0010-0000-A800-000010000000}" name="rec_td" dataDxfId="1549"/>
    <tableColumn id="17" xr3:uid="{00000000-0010-0000-A800-000011000000}" name="fmb" dataDxfId="1548"/>
    <tableColumn id="18" xr3:uid="{00000000-0010-0000-A800-000012000000}" name="tp_c" dataDxfId="1547"/>
    <tableColumn id="19" xr3:uid="{00000000-0010-0000-A800-000013000000}" name="f_ppr" dataDxfId="1546"/>
    <tableColumn id="20" xr3:uid="{00000000-0010-0000-A800-000014000000}" name="tgt_share" dataDxfId="1545"/>
    <tableColumn id="21" xr3:uid="{00000000-0010-0000-A800-000015000000}" name="ypc" dataDxfId="1544"/>
    <tableColumn id="22" xr3:uid="{00000000-0010-0000-A800-000016000000}" name="ypr" dataDxfId="1543"/>
    <tableColumn id="23" xr3:uid="{00000000-0010-0000-A800-000017000000}" name="cmp_pct" dataDxfId="1542"/>
    <tableColumn id="24" xr3:uid="{00000000-0010-0000-A800-000018000000}" name="td_rate" dataDxfId="1541"/>
    <tableColumn id="25" xr3:uid="{7AD613AA-CE08-413E-B55D-5D31D343F60D}" name="f_custom" dataDxfId="154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00000000-000C-0000-FFFF-FFFFA9000000}" name="NYJ_Table2" displayName="NYJ_Table2" ref="A30:M31" totalsRowShown="0" headerRowDxfId="1538" dataDxfId="1524">
  <autoFilter ref="A30:M31" xr:uid="{00000000-0009-0000-0100-0000AC000000}"/>
  <tableColumns count="13">
    <tableColumn id="1" xr3:uid="{00000000-0010-0000-A900-000001000000}" name="team" dataDxfId="1537"/>
    <tableColumn id="2" xr3:uid="{00000000-0010-0000-A900-000002000000}" name="off_yd" dataDxfId="1536"/>
    <tableColumn id="3" xr3:uid="{00000000-0010-0000-A900-000003000000}" name="p_yd" dataDxfId="1535"/>
    <tableColumn id="4" xr3:uid="{00000000-0010-0000-A900-000004000000}" name="car" dataDxfId="1534"/>
    <tableColumn id="5" xr3:uid="{00000000-0010-0000-A900-000005000000}" name="r_yd" dataDxfId="1533"/>
    <tableColumn id="6" xr3:uid="{00000000-0010-0000-A900-000006000000}" name="r_td" dataDxfId="1532"/>
    <tableColumn id="7" xr3:uid="{00000000-0010-0000-A900-000007000000}" name="p_ff" dataDxfId="1531"/>
    <tableColumn id="8" xr3:uid="{00000000-0010-0000-A900-000008000000}" name="p_att" dataDxfId="1530"/>
    <tableColumn id="9" xr3:uid="{00000000-0010-0000-A900-000009000000}" name="cmp_pct" dataDxfId="1529"/>
    <tableColumn id="10" xr3:uid="{00000000-0010-0000-A900-00000A000000}" name="p_td" dataDxfId="1528"/>
    <tableColumn id="11" xr3:uid="{00000000-0010-0000-A900-00000B000000}" name="int" dataDxfId="1527"/>
    <tableColumn id="12" xr3:uid="{00000000-0010-0000-A900-00000C000000}" name="fmb" dataDxfId="1526"/>
    <tableColumn id="13" xr3:uid="{C62F778A-3DC1-47B5-97C0-1E6B4C812E94}" name="f_custom" dataDxfId="152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00000000-000C-0000-FFFF-FFFFAA000000}" name="NYJ_Table3" displayName="NYJ_Table3" ref="A32:M33" totalsRowShown="0" headerRowDxfId="1523" dataDxfId="1509">
  <autoFilter ref="A32:M33" xr:uid="{00000000-0009-0000-0100-0000AD000000}"/>
  <tableColumns count="13">
    <tableColumn id="1" xr3:uid="{00000000-0010-0000-AA00-000001000000}" name="team" dataDxfId="1522">
      <calculatedColumnFormula>A31</calculatedColumnFormula>
    </tableColumn>
    <tableColumn id="2" xr3:uid="{00000000-0010-0000-AA00-000002000000}" name="off_yd" dataDxfId="1521">
      <calculatedColumnFormula>C33 + E33</calculatedColumnFormula>
    </tableColumn>
    <tableColumn id="3" xr3:uid="{00000000-0010-0000-AA00-000003000000}" name="p_yd" dataDxfId="1520">
      <calculatedColumnFormula>SUM(INDIRECT(A33 &amp; "_Table4[[#All],[p_yd]]"))</calculatedColumnFormula>
    </tableColumn>
    <tableColumn id="4" xr3:uid="{00000000-0010-0000-AA00-000004000000}" name="car" dataDxfId="151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A00-000005000000}" name="r_yd" dataDxfId="151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A00-000006000000}" name="r_td" dataDxfId="151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A00-000007000000}" name="p_ff" dataDxfId="151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A00-000008000000}" name="p_att" dataDxfId="151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A00-000009000000}" name="cmp_pct" dataDxfId="1514">
      <calculatedColumnFormula>SUM(INDIRECT(A33 &amp; "_Table4[[#All],[cmp]]"))/H33</calculatedColumnFormula>
    </tableColumn>
    <tableColumn id="10" xr3:uid="{00000000-0010-0000-AA00-00000A000000}" name="p_td" dataDxfId="151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A00-00000B000000}" name="int" dataDxfId="151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A00-00000C000000}" name="fmb" dataDxfId="151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0EEF0C14-47AC-4776-9669-B67F6B3A666F}" name="f_custom" dataDxfId="151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00000000-000C-0000-FFFF-FFFFAB000000}" name="NYJ_Table4" displayName="NYJ_Table4" ref="A35:AB38" totalsRowShown="0" headerRowDxfId="1508" dataDxfId="1479">
  <autoFilter ref="A35:AB38" xr:uid="{00000000-0009-0000-0100-0000AE000000}"/>
  <tableColumns count="28">
    <tableColumn id="1" xr3:uid="{00000000-0010-0000-AB00-000001000000}" name="Name" dataDxfId="1507"/>
    <tableColumn id="2" xr3:uid="{00000000-0010-0000-AB00-000002000000}" name="POS" dataDxfId="1506"/>
    <tableColumn id="3" xr3:uid="{00000000-0010-0000-AB00-000003000000}" name="Age" dataDxfId="1505"/>
    <tableColumn id="4" xr3:uid="{00000000-0010-0000-AB00-000004000000}" name="Exp" dataDxfId="1504"/>
    <tableColumn id="5" xr3:uid="{00000000-0010-0000-AB00-000005000000}" name="College" dataDxfId="1503"/>
    <tableColumn id="6" xr3:uid="{00000000-0010-0000-AB00-000006000000}" name="team" dataDxfId="1502"/>
    <tableColumn id="7" xr3:uid="{00000000-0010-0000-AB00-000007000000}" name="g" dataDxfId="1501"/>
    <tableColumn id="8" xr3:uid="{00000000-0010-0000-AB00-000008000000}" name="p_att" dataDxfId="1500"/>
    <tableColumn id="9" xr3:uid="{00000000-0010-0000-AB00-000009000000}" name="cmp" dataDxfId="1499"/>
    <tableColumn id="10" xr3:uid="{00000000-0010-0000-AB00-00000A000000}" name="p_yd" dataDxfId="1498"/>
    <tableColumn id="11" xr3:uid="{00000000-0010-0000-AB00-00000B000000}" name="p_td" dataDxfId="1497"/>
    <tableColumn id="12" xr3:uid="{00000000-0010-0000-AB00-00000C000000}" name="int" dataDxfId="1496"/>
    <tableColumn id="13" xr3:uid="{00000000-0010-0000-AB00-00000D000000}" name="car" dataDxfId="1495"/>
    <tableColumn id="14" xr3:uid="{00000000-0010-0000-AB00-00000E000000}" name="r_yd" dataDxfId="1494"/>
    <tableColumn id="15" xr3:uid="{00000000-0010-0000-AB00-00000F000000}" name="r_td" dataDxfId="1493"/>
    <tableColumn id="16" xr3:uid="{00000000-0010-0000-AB00-000010000000}" name="tgt" dataDxfId="1492"/>
    <tableColumn id="17" xr3:uid="{00000000-0010-0000-AB00-000011000000}" name="rec" dataDxfId="1491"/>
    <tableColumn id="18" xr3:uid="{00000000-0010-0000-AB00-000012000000}" name="rec_yd" dataDxfId="1490"/>
    <tableColumn id="19" xr3:uid="{00000000-0010-0000-AB00-000013000000}" name="rec_td" dataDxfId="1489"/>
    <tableColumn id="20" xr3:uid="{00000000-0010-0000-AB00-000014000000}" name="fmb" dataDxfId="1488"/>
    <tableColumn id="21" xr3:uid="{00000000-0010-0000-AB00-000015000000}" name="tp_c" dataDxfId="1487"/>
    <tableColumn id="22" xr3:uid="{00000000-0010-0000-AB00-000016000000}" name="f_ppr" dataDxfId="1486">
      <calculatedColumnFormula>($J36*0.04)+($K36*4)+($L36*-2)+($N36*0.1)+($O36*6)+($Q36)+($R36*0.1)+($S36*6)+($T36*-2)</calculatedColumnFormula>
    </tableColumn>
    <tableColumn id="23" xr3:uid="{00000000-0010-0000-AB00-000017000000}" name="tgt_share" dataDxfId="1485">
      <calculatedColumnFormula>$P36/$H$33</calculatedColumnFormula>
    </tableColumn>
    <tableColumn id="24" xr3:uid="{00000000-0010-0000-AB00-000018000000}" name="ypc" dataDxfId="1484">
      <calculatedColumnFormula>$N36/$M36</calculatedColumnFormula>
    </tableColumn>
    <tableColumn id="25" xr3:uid="{00000000-0010-0000-AB00-000019000000}" name="ypr" dataDxfId="1483">
      <calculatedColumnFormula>$R36/$Q36</calculatedColumnFormula>
    </tableColumn>
    <tableColumn id="26" xr3:uid="{00000000-0010-0000-AB00-00001A000000}" name="cmp_pct" dataDxfId="1482">
      <calculatedColumnFormula>$I36/$H36</calculatedColumnFormula>
    </tableColumn>
    <tableColumn id="27" xr3:uid="{00000000-0010-0000-AB00-00001B000000}" name="td_rate" dataDxfId="1481">
      <calculatedColumnFormula>$K36/$H36</calculatedColumnFormula>
    </tableColumn>
    <tableColumn id="28" xr3:uid="{00000000-0010-0000-AB00-00001C000000}" name="f_custom" dataDxfId="148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00000000-000C-0000-FFFF-FFFFAC000000}" name="NYJ_Table5" displayName="NYJ_Table5" ref="A45:AB51" totalsRowShown="0" headerRowDxfId="1478" dataDxfId="1449">
  <autoFilter ref="A45:AB51" xr:uid="{00000000-0009-0000-0100-0000AF000000}"/>
  <tableColumns count="28">
    <tableColumn id="1" xr3:uid="{00000000-0010-0000-AC00-000001000000}" name="Name" dataDxfId="1477"/>
    <tableColumn id="2" xr3:uid="{00000000-0010-0000-AC00-000002000000}" name="POS" dataDxfId="1476"/>
    <tableColumn id="3" xr3:uid="{00000000-0010-0000-AC00-000003000000}" name="Age" dataDxfId="1475"/>
    <tableColumn id="4" xr3:uid="{00000000-0010-0000-AC00-000004000000}" name="Exp" dataDxfId="1474"/>
    <tableColumn id="5" xr3:uid="{00000000-0010-0000-AC00-000005000000}" name="College" dataDxfId="1473"/>
    <tableColumn id="6" xr3:uid="{00000000-0010-0000-AC00-000006000000}" name="team" dataDxfId="1472"/>
    <tableColumn id="7" xr3:uid="{00000000-0010-0000-AC00-000007000000}" name="g" dataDxfId="1471"/>
    <tableColumn id="8" xr3:uid="{00000000-0010-0000-AC00-000008000000}" name="p_att" dataDxfId="1470"/>
    <tableColumn id="9" xr3:uid="{00000000-0010-0000-AC00-000009000000}" name="cmp" dataDxfId="1469"/>
    <tableColumn id="10" xr3:uid="{00000000-0010-0000-AC00-00000A000000}" name="p_yd" dataDxfId="1468"/>
    <tableColumn id="11" xr3:uid="{00000000-0010-0000-AC00-00000B000000}" name="p_td" dataDxfId="1467"/>
    <tableColumn id="12" xr3:uid="{00000000-0010-0000-AC00-00000C000000}" name="int" dataDxfId="1466"/>
    <tableColumn id="13" xr3:uid="{00000000-0010-0000-AC00-00000D000000}" name="car" dataDxfId="1465"/>
    <tableColumn id="14" xr3:uid="{00000000-0010-0000-AC00-00000E000000}" name="r_yd" dataDxfId="1464"/>
    <tableColumn id="15" xr3:uid="{00000000-0010-0000-AC00-00000F000000}" name="r_td" dataDxfId="1463"/>
    <tableColumn id="16" xr3:uid="{00000000-0010-0000-AC00-000010000000}" name="tgt" dataDxfId="1462"/>
    <tableColumn id="17" xr3:uid="{00000000-0010-0000-AC00-000011000000}" name="rec" dataDxfId="1461"/>
    <tableColumn id="18" xr3:uid="{00000000-0010-0000-AC00-000012000000}" name="rec_yd" dataDxfId="1460"/>
    <tableColumn id="19" xr3:uid="{00000000-0010-0000-AC00-000013000000}" name="rec_td" dataDxfId="1459"/>
    <tableColumn id="20" xr3:uid="{00000000-0010-0000-AC00-000014000000}" name="fmb" dataDxfId="1458"/>
    <tableColumn id="21" xr3:uid="{00000000-0010-0000-AC00-000015000000}" name="tp_c" dataDxfId="1457"/>
    <tableColumn id="22" xr3:uid="{00000000-0010-0000-AC00-000016000000}" name="f_ppr" dataDxfId="1456">
      <calculatedColumnFormula>($J46*0.04)+($K46*4)+($L46*-2)+($N46*0.1)+($O46*6)+($Q46)+($R46*0.1)+($S46*6)+($T46*-2)</calculatedColumnFormula>
    </tableColumn>
    <tableColumn id="23" xr3:uid="{00000000-0010-0000-AC00-000017000000}" name="tgt_share" dataDxfId="1455">
      <calculatedColumnFormula>$P46/$H$33</calculatedColumnFormula>
    </tableColumn>
    <tableColumn id="24" xr3:uid="{00000000-0010-0000-AC00-000018000000}" name="ypc" dataDxfId="1454">
      <calculatedColumnFormula>$N46/$M46</calculatedColumnFormula>
    </tableColumn>
    <tableColumn id="25" xr3:uid="{00000000-0010-0000-AC00-000019000000}" name="ypr" dataDxfId="1453">
      <calculatedColumnFormula>$R46/$Q46</calculatedColumnFormula>
    </tableColumn>
    <tableColumn id="26" xr3:uid="{00000000-0010-0000-AC00-00001A000000}" name="cmp_pct" dataDxfId="1452">
      <calculatedColumnFormula>$I46/$H46</calculatedColumnFormula>
    </tableColumn>
    <tableColumn id="27" xr3:uid="{00000000-0010-0000-AC00-00001B000000}" name="td_rate" dataDxfId="1451">
      <calculatedColumnFormula>$K46/$H46</calculatedColumnFormula>
    </tableColumn>
    <tableColumn id="28" xr3:uid="{00000000-0010-0000-AC00-00001C000000}" name="f_custom" dataDxfId="145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00000000-000C-0000-FFFF-FFFFAD000000}" name="NYJ_Table6" displayName="NYJ_Table6" ref="A60:AB72" totalsRowShown="0" headerRowDxfId="1448" dataDxfId="1419">
  <autoFilter ref="A60:AB72" xr:uid="{00000000-0009-0000-0100-0000B0000000}"/>
  <tableColumns count="28">
    <tableColumn id="1" xr3:uid="{00000000-0010-0000-AD00-000001000000}" name="Name" dataDxfId="1447"/>
    <tableColumn id="2" xr3:uid="{00000000-0010-0000-AD00-000002000000}" name="POS" dataDxfId="1446"/>
    <tableColumn id="3" xr3:uid="{00000000-0010-0000-AD00-000003000000}" name="Age" dataDxfId="1445"/>
    <tableColumn id="4" xr3:uid="{00000000-0010-0000-AD00-000004000000}" name="Exp" dataDxfId="1444"/>
    <tableColumn id="5" xr3:uid="{00000000-0010-0000-AD00-000005000000}" name="College" dataDxfId="1443"/>
    <tableColumn id="6" xr3:uid="{00000000-0010-0000-AD00-000006000000}" name="team" dataDxfId="1442"/>
    <tableColumn id="7" xr3:uid="{00000000-0010-0000-AD00-000007000000}" name="g" dataDxfId="1441"/>
    <tableColumn id="8" xr3:uid="{00000000-0010-0000-AD00-000008000000}" name="p_att" dataDxfId="1440"/>
    <tableColumn id="9" xr3:uid="{00000000-0010-0000-AD00-000009000000}" name="cmp" dataDxfId="1439"/>
    <tableColumn id="10" xr3:uid="{00000000-0010-0000-AD00-00000A000000}" name="p_yd" dataDxfId="1438"/>
    <tableColumn id="11" xr3:uid="{00000000-0010-0000-AD00-00000B000000}" name="p_td" dataDxfId="1437"/>
    <tableColumn id="12" xr3:uid="{00000000-0010-0000-AD00-00000C000000}" name="int" dataDxfId="1436"/>
    <tableColumn id="13" xr3:uid="{00000000-0010-0000-AD00-00000D000000}" name="car" dataDxfId="1435"/>
    <tableColumn id="14" xr3:uid="{00000000-0010-0000-AD00-00000E000000}" name="r_yd" dataDxfId="1434"/>
    <tableColumn id="15" xr3:uid="{00000000-0010-0000-AD00-00000F000000}" name="r_td" dataDxfId="1433"/>
    <tableColumn id="16" xr3:uid="{00000000-0010-0000-AD00-000010000000}" name="tgt" dataDxfId="1432"/>
    <tableColumn id="17" xr3:uid="{00000000-0010-0000-AD00-000011000000}" name="rec" dataDxfId="1431"/>
    <tableColumn id="18" xr3:uid="{00000000-0010-0000-AD00-000012000000}" name="rec_yd" dataDxfId="1430"/>
    <tableColumn id="19" xr3:uid="{00000000-0010-0000-AD00-000013000000}" name="rec_td" dataDxfId="1429"/>
    <tableColumn id="20" xr3:uid="{00000000-0010-0000-AD00-000014000000}" name="fmb" dataDxfId="1428"/>
    <tableColumn id="21" xr3:uid="{00000000-0010-0000-AD00-000015000000}" name="tp_c" dataDxfId="1427"/>
    <tableColumn id="22" xr3:uid="{00000000-0010-0000-AD00-000016000000}" name="f_ppr" dataDxfId="1426">
      <calculatedColumnFormula>($J61*0.04)+($K61*4)+($L61*-2)+($N61*0.1)+($O61*6)+($Q61)+($R61*0.1)+($S61*6)+($T61*-2)</calculatedColumnFormula>
    </tableColumn>
    <tableColumn id="23" xr3:uid="{00000000-0010-0000-AD00-000017000000}" name="tgt_share" dataDxfId="1425">
      <calculatedColumnFormula>$P61/$H$33</calculatedColumnFormula>
    </tableColumn>
    <tableColumn id="24" xr3:uid="{00000000-0010-0000-AD00-000018000000}" name="ypc" dataDxfId="1424">
      <calculatedColumnFormula>$N61/$M61</calculatedColumnFormula>
    </tableColumn>
    <tableColumn id="25" xr3:uid="{00000000-0010-0000-AD00-000019000000}" name="ypr" dataDxfId="1423">
      <calculatedColumnFormula>$R61/$Q61</calculatedColumnFormula>
    </tableColumn>
    <tableColumn id="26" xr3:uid="{00000000-0010-0000-AD00-00001A000000}" name="cmp_pct" dataDxfId="1422">
      <calculatedColumnFormula>$I61/$H61</calculatedColumnFormula>
    </tableColumn>
    <tableColumn id="27" xr3:uid="{00000000-0010-0000-AD00-00001B000000}" name="td_rate" dataDxfId="1421">
      <calculatedColumnFormula>$K61/$H61</calculatedColumnFormula>
    </tableColumn>
    <tableColumn id="28" xr3:uid="{00000000-0010-0000-AD00-00001C000000}" name="f_custom" dataDxfId="142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00000000-000C-0000-FFFF-FFFFAE000000}" name="NYJ_Table7" displayName="NYJ_Table7" ref="A75:AB81" totalsRowShown="0" headerRowDxfId="1418" dataDxfId="1389">
  <autoFilter ref="A75:AB81" xr:uid="{00000000-0009-0000-0100-0000B1000000}"/>
  <tableColumns count="28">
    <tableColumn id="1" xr3:uid="{00000000-0010-0000-AE00-000001000000}" name="Name" dataDxfId="1417"/>
    <tableColumn id="2" xr3:uid="{00000000-0010-0000-AE00-000002000000}" name="POS" dataDxfId="1416"/>
    <tableColumn id="3" xr3:uid="{00000000-0010-0000-AE00-000003000000}" name="Age" dataDxfId="1415"/>
    <tableColumn id="4" xr3:uid="{00000000-0010-0000-AE00-000004000000}" name="Exp" dataDxfId="1414"/>
    <tableColumn id="5" xr3:uid="{00000000-0010-0000-AE00-000005000000}" name="College" dataDxfId="1413"/>
    <tableColumn id="6" xr3:uid="{00000000-0010-0000-AE00-000006000000}" name="team" dataDxfId="1412"/>
    <tableColumn id="7" xr3:uid="{00000000-0010-0000-AE00-000007000000}" name="g" dataDxfId="1411"/>
    <tableColumn id="8" xr3:uid="{00000000-0010-0000-AE00-000008000000}" name="p_att" dataDxfId="1410"/>
    <tableColumn id="9" xr3:uid="{00000000-0010-0000-AE00-000009000000}" name="cmp" dataDxfId="1409"/>
    <tableColumn id="10" xr3:uid="{00000000-0010-0000-AE00-00000A000000}" name="p_yd" dataDxfId="1408"/>
    <tableColumn id="11" xr3:uid="{00000000-0010-0000-AE00-00000B000000}" name="p_td" dataDxfId="1407"/>
    <tableColumn id="12" xr3:uid="{00000000-0010-0000-AE00-00000C000000}" name="int" dataDxfId="1406"/>
    <tableColumn id="13" xr3:uid="{00000000-0010-0000-AE00-00000D000000}" name="car" dataDxfId="1405"/>
    <tableColumn id="14" xr3:uid="{00000000-0010-0000-AE00-00000E000000}" name="r_yd" dataDxfId="1404"/>
    <tableColumn id="15" xr3:uid="{00000000-0010-0000-AE00-00000F000000}" name="r_td" dataDxfId="1403"/>
    <tableColumn id="16" xr3:uid="{00000000-0010-0000-AE00-000010000000}" name="tgt" dataDxfId="1402"/>
    <tableColumn id="17" xr3:uid="{00000000-0010-0000-AE00-000011000000}" name="rec" dataDxfId="1401"/>
    <tableColumn id="18" xr3:uid="{00000000-0010-0000-AE00-000012000000}" name="rec_yd" dataDxfId="1400"/>
    <tableColumn id="19" xr3:uid="{00000000-0010-0000-AE00-000013000000}" name="rec_td" dataDxfId="1399"/>
    <tableColumn id="20" xr3:uid="{00000000-0010-0000-AE00-000014000000}" name="fmb" dataDxfId="1398"/>
    <tableColumn id="21" xr3:uid="{00000000-0010-0000-AE00-000015000000}" name="tp_c" dataDxfId="1397"/>
    <tableColumn id="22" xr3:uid="{00000000-0010-0000-AE00-000016000000}" name="f_ppr" dataDxfId="1396">
      <calculatedColumnFormula>($J76*0.04)+($K76*4)+($L76*-2)+($N76*0.1)+($O76*6)+($Q76)+($R76*0.1)+($S76*6)+($T76*-2)</calculatedColumnFormula>
    </tableColumn>
    <tableColumn id="23" xr3:uid="{00000000-0010-0000-AE00-000017000000}" name="tgt_share" dataDxfId="1395">
      <calculatedColumnFormula>$P76/$H$33</calculatedColumnFormula>
    </tableColumn>
    <tableColumn id="24" xr3:uid="{00000000-0010-0000-AE00-000018000000}" name="ypc" dataDxfId="1394">
      <calculatedColumnFormula>$N76/$M76</calculatedColumnFormula>
    </tableColumn>
    <tableColumn id="25" xr3:uid="{00000000-0010-0000-AE00-000019000000}" name="ypr" dataDxfId="1393">
      <calculatedColumnFormula>$R76/$Q76</calculatedColumnFormula>
    </tableColumn>
    <tableColumn id="26" xr3:uid="{00000000-0010-0000-AE00-00001A000000}" name="cmp_pct" dataDxfId="1392">
      <calculatedColumnFormula>$I76/$H76</calculatedColumnFormula>
    </tableColumn>
    <tableColumn id="27" xr3:uid="{00000000-0010-0000-AE00-00001B000000}" name="td_rate" dataDxfId="1391">
      <calculatedColumnFormula>$K76/$H76</calculatedColumnFormula>
    </tableColumn>
    <tableColumn id="28" xr3:uid="{00000000-0010-0000-AE00-00001C000000}" name="f_custom" dataDxfId="139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00000000-000C-0000-FFFF-FFFFAF000000}" name="PHI_Table1" displayName="PHI_Table1" ref="A1:Y15" totalsRowShown="0" headerRowDxfId="1388" dataDxfId="1362">
  <autoFilter ref="A1:Y15" xr:uid="{00000000-0009-0000-0100-0000B2000000}"/>
  <tableColumns count="25">
    <tableColumn id="1" xr3:uid="{00000000-0010-0000-AF00-000001000000}" name="player_name" dataDxfId="1387"/>
    <tableColumn id="2" xr3:uid="{00000000-0010-0000-AF00-000002000000}" name="recent_team" dataDxfId="1386"/>
    <tableColumn id="3" xr3:uid="{00000000-0010-0000-AF00-000003000000}" name="pos" dataDxfId="1385"/>
    <tableColumn id="4" xr3:uid="{00000000-0010-0000-AF00-000004000000}" name="g" dataDxfId="1384"/>
    <tableColumn id="5" xr3:uid="{00000000-0010-0000-AF00-000005000000}" name="p_att" dataDxfId="1383"/>
    <tableColumn id="6" xr3:uid="{00000000-0010-0000-AF00-000006000000}" name="cmp" dataDxfId="1382"/>
    <tableColumn id="7" xr3:uid="{00000000-0010-0000-AF00-000007000000}" name="p_yd" dataDxfId="1381"/>
    <tableColumn id="8" xr3:uid="{00000000-0010-0000-AF00-000008000000}" name="p_td" dataDxfId="1380"/>
    <tableColumn id="9" xr3:uid="{00000000-0010-0000-AF00-000009000000}" name="int" dataDxfId="1379"/>
    <tableColumn id="10" xr3:uid="{00000000-0010-0000-AF00-00000A000000}" name="car" dataDxfId="1378"/>
    <tableColumn id="11" xr3:uid="{00000000-0010-0000-AF00-00000B000000}" name="r_yd" dataDxfId="1377"/>
    <tableColumn id="12" xr3:uid="{00000000-0010-0000-AF00-00000C000000}" name="r_td" dataDxfId="1376"/>
    <tableColumn id="13" xr3:uid="{00000000-0010-0000-AF00-00000D000000}" name="tgt" dataDxfId="1375"/>
    <tableColumn id="14" xr3:uid="{00000000-0010-0000-AF00-00000E000000}" name="rec" dataDxfId="1374"/>
    <tableColumn id="15" xr3:uid="{00000000-0010-0000-AF00-00000F000000}" name="rec_yd" dataDxfId="1373"/>
    <tableColumn id="16" xr3:uid="{00000000-0010-0000-AF00-000010000000}" name="rec_td" dataDxfId="1372"/>
    <tableColumn id="17" xr3:uid="{00000000-0010-0000-AF00-000011000000}" name="fmb" dataDxfId="1371"/>
    <tableColumn id="18" xr3:uid="{00000000-0010-0000-AF00-000012000000}" name="tp_c" dataDxfId="1370"/>
    <tableColumn id="19" xr3:uid="{00000000-0010-0000-AF00-000013000000}" name="f_ppr" dataDxfId="1369"/>
    <tableColumn id="20" xr3:uid="{00000000-0010-0000-AF00-000014000000}" name="tgt_share" dataDxfId="1368"/>
    <tableColumn id="21" xr3:uid="{00000000-0010-0000-AF00-000015000000}" name="ypc" dataDxfId="1367"/>
    <tableColumn id="22" xr3:uid="{00000000-0010-0000-AF00-000016000000}" name="ypr" dataDxfId="1366"/>
    <tableColumn id="23" xr3:uid="{00000000-0010-0000-AF00-000017000000}" name="cmp_pct" dataDxfId="1365"/>
    <tableColumn id="24" xr3:uid="{00000000-0010-0000-AF00-000018000000}" name="td_rate" dataDxfId="1364"/>
    <tableColumn id="25" xr3:uid="{E428F540-C709-4827-92AF-5530F8EC1A97}" name="f_custom" dataDxfId="136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00000000-000C-0000-FFFF-FFFFB0000000}" name="PHI_Table2" displayName="PHI_Table2" ref="A30:M31" totalsRowShown="0" headerRowDxfId="1361" dataDxfId="1347">
  <autoFilter ref="A30:M31" xr:uid="{00000000-0009-0000-0100-0000B3000000}"/>
  <tableColumns count="13">
    <tableColumn id="1" xr3:uid="{00000000-0010-0000-B000-000001000000}" name="team" dataDxfId="1360"/>
    <tableColumn id="2" xr3:uid="{00000000-0010-0000-B000-000002000000}" name="off_yd" dataDxfId="1359"/>
    <tableColumn id="3" xr3:uid="{00000000-0010-0000-B000-000003000000}" name="p_yd" dataDxfId="1358"/>
    <tableColumn id="4" xr3:uid="{00000000-0010-0000-B000-000004000000}" name="car" dataDxfId="1357"/>
    <tableColumn id="5" xr3:uid="{00000000-0010-0000-B000-000005000000}" name="r_yd" dataDxfId="1356"/>
    <tableColumn id="6" xr3:uid="{00000000-0010-0000-B000-000006000000}" name="r_td" dataDxfId="1355"/>
    <tableColumn id="7" xr3:uid="{00000000-0010-0000-B000-000007000000}" name="p_ff" dataDxfId="1354"/>
    <tableColumn id="8" xr3:uid="{00000000-0010-0000-B000-000008000000}" name="p_att" dataDxfId="1353"/>
    <tableColumn id="9" xr3:uid="{00000000-0010-0000-B000-000009000000}" name="cmp_pct" dataDxfId="1352"/>
    <tableColumn id="10" xr3:uid="{00000000-0010-0000-B000-00000A000000}" name="p_td" dataDxfId="1351"/>
    <tableColumn id="11" xr3:uid="{00000000-0010-0000-B000-00000B000000}" name="int" dataDxfId="1350"/>
    <tableColumn id="12" xr3:uid="{00000000-0010-0000-B000-00000C000000}" name="fmb" dataDxfId="1349"/>
    <tableColumn id="13" xr3:uid="{73C08C52-6500-4CBE-9989-8DD3875150B3}" name="f_custom" dataDxfId="134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00000000-000C-0000-FFFF-FFFFB1000000}" name="PHI_Table3" displayName="PHI_Table3" ref="A32:M33" totalsRowShown="0" headerRowDxfId="1346" dataDxfId="1332">
  <autoFilter ref="A32:M33" xr:uid="{00000000-0009-0000-0100-0000B4000000}"/>
  <tableColumns count="13">
    <tableColumn id="1" xr3:uid="{00000000-0010-0000-B100-000001000000}" name="team" dataDxfId="1345">
      <calculatedColumnFormula>A31</calculatedColumnFormula>
    </tableColumn>
    <tableColumn id="2" xr3:uid="{00000000-0010-0000-B100-000002000000}" name="off_yd" dataDxfId="1344">
      <calculatedColumnFormula>C33 + E33</calculatedColumnFormula>
    </tableColumn>
    <tableColumn id="3" xr3:uid="{00000000-0010-0000-B100-000003000000}" name="p_yd" dataDxfId="1343">
      <calculatedColumnFormula>SUM(INDIRECT(A33 &amp; "_Table4[[#All],[p_yd]]"))</calculatedColumnFormula>
    </tableColumn>
    <tableColumn id="4" xr3:uid="{00000000-0010-0000-B100-000004000000}" name="car" dataDxfId="134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100-000005000000}" name="r_yd" dataDxfId="134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100-000006000000}" name="r_td" dataDxfId="134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100-000007000000}" name="p_ff" dataDxfId="133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100-000008000000}" name="p_att" dataDxfId="133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100-000009000000}" name="cmp_pct" dataDxfId="1337">
      <calculatedColumnFormula>SUM(INDIRECT(A33 &amp; "_Table4[[#All],[cmp]]"))/H33</calculatedColumnFormula>
    </tableColumn>
    <tableColumn id="10" xr3:uid="{00000000-0010-0000-B100-00000A000000}" name="p_td" dataDxfId="133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100-00000B000000}" name="int" dataDxfId="133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100-00000C000000}" name="fmb" dataDxfId="133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5366EF15-03E4-45F7-AADD-8B06DFAF7C71}" name="f_custom" dataDxfId="133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00000000-000C-0000-FFFF-FFFFB2000000}" name="PHI_Table4" displayName="PHI_Table4" ref="A35:AB39" totalsRowShown="0" headerRowDxfId="1331" dataDxfId="1302">
  <autoFilter ref="A35:AB39" xr:uid="{00000000-0009-0000-0100-0000B5000000}"/>
  <tableColumns count="28">
    <tableColumn id="1" xr3:uid="{00000000-0010-0000-B200-000001000000}" name="Name" dataDxfId="1330"/>
    <tableColumn id="2" xr3:uid="{00000000-0010-0000-B200-000002000000}" name="POS" dataDxfId="1329"/>
    <tableColumn id="3" xr3:uid="{00000000-0010-0000-B200-000003000000}" name="Age" dataDxfId="1328"/>
    <tableColumn id="4" xr3:uid="{00000000-0010-0000-B200-000004000000}" name="Exp" dataDxfId="1327"/>
    <tableColumn id="5" xr3:uid="{00000000-0010-0000-B200-000005000000}" name="College" dataDxfId="1326"/>
    <tableColumn id="6" xr3:uid="{00000000-0010-0000-B200-000006000000}" name="team" dataDxfId="1325"/>
    <tableColumn id="7" xr3:uid="{00000000-0010-0000-B200-000007000000}" name="g" dataDxfId="1324"/>
    <tableColumn id="8" xr3:uid="{00000000-0010-0000-B200-000008000000}" name="p_att" dataDxfId="1323"/>
    <tableColumn id="9" xr3:uid="{00000000-0010-0000-B200-000009000000}" name="cmp" dataDxfId="1322"/>
    <tableColumn id="10" xr3:uid="{00000000-0010-0000-B200-00000A000000}" name="p_yd" dataDxfId="1321"/>
    <tableColumn id="11" xr3:uid="{00000000-0010-0000-B200-00000B000000}" name="p_td" dataDxfId="1320"/>
    <tableColumn id="12" xr3:uid="{00000000-0010-0000-B200-00000C000000}" name="int" dataDxfId="1319"/>
    <tableColumn id="13" xr3:uid="{00000000-0010-0000-B200-00000D000000}" name="car" dataDxfId="1318"/>
    <tableColumn id="14" xr3:uid="{00000000-0010-0000-B200-00000E000000}" name="r_yd" dataDxfId="1317"/>
    <tableColumn id="15" xr3:uid="{00000000-0010-0000-B200-00000F000000}" name="r_td" dataDxfId="1316"/>
    <tableColumn id="16" xr3:uid="{00000000-0010-0000-B200-000010000000}" name="tgt" dataDxfId="1315"/>
    <tableColumn id="17" xr3:uid="{00000000-0010-0000-B200-000011000000}" name="rec" dataDxfId="1314"/>
    <tableColumn id="18" xr3:uid="{00000000-0010-0000-B200-000012000000}" name="rec_yd" dataDxfId="1313"/>
    <tableColumn id="19" xr3:uid="{00000000-0010-0000-B200-000013000000}" name="rec_td" dataDxfId="1312"/>
    <tableColumn id="20" xr3:uid="{00000000-0010-0000-B200-000014000000}" name="fmb" dataDxfId="1311"/>
    <tableColumn id="21" xr3:uid="{00000000-0010-0000-B200-000015000000}" name="tp_c" dataDxfId="1310"/>
    <tableColumn id="22" xr3:uid="{00000000-0010-0000-B200-000016000000}" name="f_ppr" dataDxfId="1309">
      <calculatedColumnFormula>($J36*0.04)+($K36*4)+($L36*-2)+($N36*0.1)+($O36*6)+($Q36)+($R36*0.1)+($S36*6)+($T36*-2)</calculatedColumnFormula>
    </tableColumn>
    <tableColumn id="23" xr3:uid="{00000000-0010-0000-B200-000017000000}" name="tgt_share" dataDxfId="1308">
      <calculatedColumnFormula>$P36/$H$33</calculatedColumnFormula>
    </tableColumn>
    <tableColumn id="24" xr3:uid="{00000000-0010-0000-B200-000018000000}" name="ypc" dataDxfId="1307">
      <calculatedColumnFormula>$N36/$M36</calculatedColumnFormula>
    </tableColumn>
    <tableColumn id="25" xr3:uid="{00000000-0010-0000-B200-000019000000}" name="ypr" dataDxfId="1306">
      <calculatedColumnFormula>$R36/$Q36</calculatedColumnFormula>
    </tableColumn>
    <tableColumn id="26" xr3:uid="{00000000-0010-0000-B200-00001A000000}" name="cmp_pct" dataDxfId="1305">
      <calculatedColumnFormula>$I36/$H36</calculatedColumnFormula>
    </tableColumn>
    <tableColumn id="27" xr3:uid="{00000000-0010-0000-B200-00001B000000}" name="td_rate" dataDxfId="1304">
      <calculatedColumnFormula>$K36/$H36</calculatedColumnFormula>
    </tableColumn>
    <tableColumn id="28" xr3:uid="{00000000-0010-0000-B200-00001C000000}" name="f_custom" dataDxfId="1303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00000000-000C-0000-FFFF-FFFFB3000000}" name="PHI_Table5" displayName="PHI_Table5" ref="A45:AB51" totalsRowShown="0" headerRowDxfId="1301" dataDxfId="1272">
  <autoFilter ref="A45:AB51" xr:uid="{00000000-0009-0000-0100-0000B6000000}"/>
  <tableColumns count="28">
    <tableColumn id="1" xr3:uid="{00000000-0010-0000-B300-000001000000}" name="Name" dataDxfId="1300"/>
    <tableColumn id="2" xr3:uid="{00000000-0010-0000-B300-000002000000}" name="POS" dataDxfId="1299"/>
    <tableColumn id="3" xr3:uid="{00000000-0010-0000-B300-000003000000}" name="Age" dataDxfId="1298"/>
    <tableColumn id="4" xr3:uid="{00000000-0010-0000-B300-000004000000}" name="Exp" dataDxfId="1297"/>
    <tableColumn id="5" xr3:uid="{00000000-0010-0000-B300-000005000000}" name="College" dataDxfId="1296"/>
    <tableColumn id="6" xr3:uid="{00000000-0010-0000-B300-000006000000}" name="team" dataDxfId="1295"/>
    <tableColumn id="7" xr3:uid="{00000000-0010-0000-B300-000007000000}" name="g" dataDxfId="1294"/>
    <tableColumn id="8" xr3:uid="{00000000-0010-0000-B300-000008000000}" name="p_att" dataDxfId="1293"/>
    <tableColumn id="9" xr3:uid="{00000000-0010-0000-B300-000009000000}" name="cmp" dataDxfId="1292"/>
    <tableColumn id="10" xr3:uid="{00000000-0010-0000-B300-00000A000000}" name="p_yd" dataDxfId="1291"/>
    <tableColumn id="11" xr3:uid="{00000000-0010-0000-B300-00000B000000}" name="p_td" dataDxfId="1290"/>
    <tableColumn id="12" xr3:uid="{00000000-0010-0000-B300-00000C000000}" name="int" dataDxfId="1289"/>
    <tableColumn id="13" xr3:uid="{00000000-0010-0000-B300-00000D000000}" name="car" dataDxfId="1288"/>
    <tableColumn id="14" xr3:uid="{00000000-0010-0000-B300-00000E000000}" name="r_yd" dataDxfId="1287"/>
    <tableColumn id="15" xr3:uid="{00000000-0010-0000-B300-00000F000000}" name="r_td" dataDxfId="1286"/>
    <tableColumn id="16" xr3:uid="{00000000-0010-0000-B300-000010000000}" name="tgt" dataDxfId="1285"/>
    <tableColumn id="17" xr3:uid="{00000000-0010-0000-B300-000011000000}" name="rec" dataDxfId="1284"/>
    <tableColumn id="18" xr3:uid="{00000000-0010-0000-B300-000012000000}" name="rec_yd" dataDxfId="1283"/>
    <tableColumn id="19" xr3:uid="{00000000-0010-0000-B300-000013000000}" name="rec_td" dataDxfId="1282"/>
    <tableColumn id="20" xr3:uid="{00000000-0010-0000-B300-000014000000}" name="fmb" dataDxfId="1281"/>
    <tableColumn id="21" xr3:uid="{00000000-0010-0000-B300-000015000000}" name="tp_c" dataDxfId="1280"/>
    <tableColumn id="22" xr3:uid="{00000000-0010-0000-B300-000016000000}" name="f_ppr" dataDxfId="1279">
      <calculatedColumnFormula>($J46*0.04)+($K46*4)+($L46*-2)+($N46*0.1)+($O46*6)+($Q46)+($R46*0.1)+($S46*6)+($T46*-2)</calculatedColumnFormula>
    </tableColumn>
    <tableColumn id="23" xr3:uid="{00000000-0010-0000-B300-000017000000}" name="tgt_share" dataDxfId="1278">
      <calculatedColumnFormula>$P46/$H$33</calculatedColumnFormula>
    </tableColumn>
    <tableColumn id="24" xr3:uid="{00000000-0010-0000-B300-000018000000}" name="ypc" dataDxfId="1277">
      <calculatedColumnFormula>$N46/$M46</calculatedColumnFormula>
    </tableColumn>
    <tableColumn id="25" xr3:uid="{00000000-0010-0000-B300-000019000000}" name="ypr" dataDxfId="1276">
      <calculatedColumnFormula>$R46/$Q46</calculatedColumnFormula>
    </tableColumn>
    <tableColumn id="26" xr3:uid="{00000000-0010-0000-B300-00001A000000}" name="cmp_pct" dataDxfId="1275">
      <calculatedColumnFormula>$I46/$H46</calculatedColumnFormula>
    </tableColumn>
    <tableColumn id="27" xr3:uid="{00000000-0010-0000-B300-00001B000000}" name="td_rate" dataDxfId="1274">
      <calculatedColumnFormula>$K46/$H46</calculatedColumnFormula>
    </tableColumn>
    <tableColumn id="28" xr3:uid="{00000000-0010-0000-B300-00001C000000}" name="f_custom" dataDxfId="127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00000000-000C-0000-FFFF-FFFFB4000000}" name="PHI_Table6" displayName="PHI_Table6" ref="A60:AB73" totalsRowShown="0" headerRowDxfId="1271" dataDxfId="1242">
  <autoFilter ref="A60:AB73" xr:uid="{00000000-0009-0000-0100-0000B7000000}"/>
  <tableColumns count="28">
    <tableColumn id="1" xr3:uid="{00000000-0010-0000-B400-000001000000}" name="Name" dataDxfId="1270"/>
    <tableColumn id="2" xr3:uid="{00000000-0010-0000-B400-000002000000}" name="POS" dataDxfId="1269"/>
    <tableColumn id="3" xr3:uid="{00000000-0010-0000-B400-000003000000}" name="Age" dataDxfId="1268"/>
    <tableColumn id="4" xr3:uid="{00000000-0010-0000-B400-000004000000}" name="Exp" dataDxfId="1267"/>
    <tableColumn id="5" xr3:uid="{00000000-0010-0000-B400-000005000000}" name="College" dataDxfId="1266"/>
    <tableColumn id="6" xr3:uid="{00000000-0010-0000-B400-000006000000}" name="team" dataDxfId="1265"/>
    <tableColumn id="7" xr3:uid="{00000000-0010-0000-B400-000007000000}" name="g" dataDxfId="1264"/>
    <tableColumn id="8" xr3:uid="{00000000-0010-0000-B400-000008000000}" name="p_att" dataDxfId="1263"/>
    <tableColumn id="9" xr3:uid="{00000000-0010-0000-B400-000009000000}" name="cmp" dataDxfId="1262"/>
    <tableColumn id="10" xr3:uid="{00000000-0010-0000-B400-00000A000000}" name="p_yd" dataDxfId="1261"/>
    <tableColumn id="11" xr3:uid="{00000000-0010-0000-B400-00000B000000}" name="p_td" dataDxfId="1260"/>
    <tableColumn id="12" xr3:uid="{00000000-0010-0000-B400-00000C000000}" name="int" dataDxfId="1259"/>
    <tableColumn id="13" xr3:uid="{00000000-0010-0000-B400-00000D000000}" name="car" dataDxfId="1258"/>
    <tableColumn id="14" xr3:uid="{00000000-0010-0000-B400-00000E000000}" name="r_yd" dataDxfId="1257"/>
    <tableColumn id="15" xr3:uid="{00000000-0010-0000-B400-00000F000000}" name="r_td" dataDxfId="1256"/>
    <tableColumn id="16" xr3:uid="{00000000-0010-0000-B400-000010000000}" name="tgt" dataDxfId="1255"/>
    <tableColumn id="17" xr3:uid="{00000000-0010-0000-B400-000011000000}" name="rec" dataDxfId="1254"/>
    <tableColumn id="18" xr3:uid="{00000000-0010-0000-B400-000012000000}" name="rec_yd" dataDxfId="1253"/>
    <tableColumn id="19" xr3:uid="{00000000-0010-0000-B400-000013000000}" name="rec_td" dataDxfId="1252"/>
    <tableColumn id="20" xr3:uid="{00000000-0010-0000-B400-000014000000}" name="fmb" dataDxfId="1251"/>
    <tableColumn id="21" xr3:uid="{00000000-0010-0000-B400-000015000000}" name="tp_c" dataDxfId="1250"/>
    <tableColumn id="22" xr3:uid="{00000000-0010-0000-B400-000016000000}" name="f_ppr" dataDxfId="1249">
      <calculatedColumnFormula>($J61*0.04)+($K61*4)+($L61*-2)+($N61*0.1)+($O61*6)+($Q61)+($R61*0.1)+($S61*6)+($T61*-2)</calculatedColumnFormula>
    </tableColumn>
    <tableColumn id="23" xr3:uid="{00000000-0010-0000-B400-000017000000}" name="tgt_share" dataDxfId="1248">
      <calculatedColumnFormula>$P61/$H$33</calculatedColumnFormula>
    </tableColumn>
    <tableColumn id="24" xr3:uid="{00000000-0010-0000-B400-000018000000}" name="ypc" dataDxfId="1247">
      <calculatedColumnFormula>$N61/$M61</calculatedColumnFormula>
    </tableColumn>
    <tableColumn id="25" xr3:uid="{00000000-0010-0000-B400-000019000000}" name="ypr" dataDxfId="1246">
      <calculatedColumnFormula>$R61/$Q61</calculatedColumnFormula>
    </tableColumn>
    <tableColumn id="26" xr3:uid="{00000000-0010-0000-B400-00001A000000}" name="cmp_pct" dataDxfId="1245">
      <calculatedColumnFormula>$I61/$H61</calculatedColumnFormula>
    </tableColumn>
    <tableColumn id="27" xr3:uid="{00000000-0010-0000-B400-00001B000000}" name="td_rate" dataDxfId="1244">
      <calculatedColumnFormula>$K61/$H61</calculatedColumnFormula>
    </tableColumn>
    <tableColumn id="28" xr3:uid="{00000000-0010-0000-B400-00001C000000}" name="f_custom" dataDxfId="124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00000000-000C-0000-FFFF-FFFFB5000000}" name="PHI_Table7" displayName="PHI_Table7" ref="A75:AB81" totalsRowShown="0" headerRowDxfId="1241" dataDxfId="1212">
  <autoFilter ref="A75:AB81" xr:uid="{00000000-0009-0000-0100-0000B8000000}"/>
  <tableColumns count="28">
    <tableColumn id="1" xr3:uid="{00000000-0010-0000-B500-000001000000}" name="Name" dataDxfId="1240"/>
    <tableColumn id="2" xr3:uid="{00000000-0010-0000-B500-000002000000}" name="POS" dataDxfId="1239"/>
    <tableColumn id="3" xr3:uid="{00000000-0010-0000-B500-000003000000}" name="Age" dataDxfId="1238"/>
    <tableColumn id="4" xr3:uid="{00000000-0010-0000-B500-000004000000}" name="Exp" dataDxfId="1237"/>
    <tableColumn id="5" xr3:uid="{00000000-0010-0000-B500-000005000000}" name="College" dataDxfId="1236"/>
    <tableColumn id="6" xr3:uid="{00000000-0010-0000-B500-000006000000}" name="team" dataDxfId="1235"/>
    <tableColumn id="7" xr3:uid="{00000000-0010-0000-B500-000007000000}" name="g" dataDxfId="1234"/>
    <tableColumn id="8" xr3:uid="{00000000-0010-0000-B500-000008000000}" name="p_att" dataDxfId="1233"/>
    <tableColumn id="9" xr3:uid="{00000000-0010-0000-B500-000009000000}" name="cmp" dataDxfId="1232"/>
    <tableColumn id="10" xr3:uid="{00000000-0010-0000-B500-00000A000000}" name="p_yd" dataDxfId="1231"/>
    <tableColumn id="11" xr3:uid="{00000000-0010-0000-B500-00000B000000}" name="p_td" dataDxfId="1230"/>
    <tableColumn id="12" xr3:uid="{00000000-0010-0000-B500-00000C000000}" name="int" dataDxfId="1229"/>
    <tableColumn id="13" xr3:uid="{00000000-0010-0000-B500-00000D000000}" name="car" dataDxfId="1228"/>
    <tableColumn id="14" xr3:uid="{00000000-0010-0000-B500-00000E000000}" name="r_yd" dataDxfId="1227"/>
    <tableColumn id="15" xr3:uid="{00000000-0010-0000-B500-00000F000000}" name="r_td" dataDxfId="1226"/>
    <tableColumn id="16" xr3:uid="{00000000-0010-0000-B500-000010000000}" name="tgt" dataDxfId="1225"/>
    <tableColumn id="17" xr3:uid="{00000000-0010-0000-B500-000011000000}" name="rec" dataDxfId="1224"/>
    <tableColumn id="18" xr3:uid="{00000000-0010-0000-B500-000012000000}" name="rec_yd" dataDxfId="1223"/>
    <tableColumn id="19" xr3:uid="{00000000-0010-0000-B500-000013000000}" name="rec_td" dataDxfId="1222"/>
    <tableColumn id="20" xr3:uid="{00000000-0010-0000-B500-000014000000}" name="fmb" dataDxfId="1221"/>
    <tableColumn id="21" xr3:uid="{00000000-0010-0000-B500-000015000000}" name="tp_c" dataDxfId="1220"/>
    <tableColumn id="22" xr3:uid="{00000000-0010-0000-B500-000016000000}" name="f_ppr" dataDxfId="1219">
      <calculatedColumnFormula>($J76*0.04)+($K76*4)+($L76*-2)+($N76*0.1)+($O76*6)+($Q76)+($R76*0.1)+($S76*6)+($T76*-2)</calculatedColumnFormula>
    </tableColumn>
    <tableColumn id="23" xr3:uid="{00000000-0010-0000-B500-000017000000}" name="tgt_share" dataDxfId="1218">
      <calculatedColumnFormula>$P76/$H$33</calculatedColumnFormula>
    </tableColumn>
    <tableColumn id="24" xr3:uid="{00000000-0010-0000-B500-000018000000}" name="ypc" dataDxfId="1217">
      <calculatedColumnFormula>$N76/$M76</calculatedColumnFormula>
    </tableColumn>
    <tableColumn id="25" xr3:uid="{00000000-0010-0000-B500-000019000000}" name="ypr" dataDxfId="1216">
      <calculatedColumnFormula>$R76/$Q76</calculatedColumnFormula>
    </tableColumn>
    <tableColumn id="26" xr3:uid="{00000000-0010-0000-B500-00001A000000}" name="cmp_pct" dataDxfId="1215">
      <calculatedColumnFormula>$I76/$H76</calculatedColumnFormula>
    </tableColumn>
    <tableColumn id="27" xr3:uid="{00000000-0010-0000-B500-00001B000000}" name="td_rate" dataDxfId="1214">
      <calculatedColumnFormula>$K76/$H76</calculatedColumnFormula>
    </tableColumn>
    <tableColumn id="28" xr3:uid="{00000000-0010-0000-B500-00001C000000}" name="f_custom" dataDxfId="121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00000000-000C-0000-FFFF-FFFFB6000000}" name="PIT_Table1" displayName="PIT_Table1" ref="A1:Y18" totalsRowShown="0" headerRowDxfId="1211" dataDxfId="1185">
  <autoFilter ref="A1:Y18" xr:uid="{00000000-0009-0000-0100-0000B9000000}"/>
  <tableColumns count="25">
    <tableColumn id="1" xr3:uid="{00000000-0010-0000-B600-000001000000}" name="player_name" dataDxfId="1210"/>
    <tableColumn id="2" xr3:uid="{00000000-0010-0000-B600-000002000000}" name="recent_team" dataDxfId="1209"/>
    <tableColumn id="3" xr3:uid="{00000000-0010-0000-B600-000003000000}" name="pos" dataDxfId="1208"/>
    <tableColumn id="4" xr3:uid="{00000000-0010-0000-B600-000004000000}" name="g" dataDxfId="1207"/>
    <tableColumn id="5" xr3:uid="{00000000-0010-0000-B600-000005000000}" name="p_att" dataDxfId="1206"/>
    <tableColumn id="6" xr3:uid="{00000000-0010-0000-B600-000006000000}" name="cmp" dataDxfId="1205"/>
    <tableColumn id="7" xr3:uid="{00000000-0010-0000-B600-000007000000}" name="p_yd" dataDxfId="1204"/>
    <tableColumn id="8" xr3:uid="{00000000-0010-0000-B600-000008000000}" name="p_td" dataDxfId="1203"/>
    <tableColumn id="9" xr3:uid="{00000000-0010-0000-B600-000009000000}" name="int" dataDxfId="1202"/>
    <tableColumn id="10" xr3:uid="{00000000-0010-0000-B600-00000A000000}" name="car" dataDxfId="1201"/>
    <tableColumn id="11" xr3:uid="{00000000-0010-0000-B600-00000B000000}" name="r_yd" dataDxfId="1200"/>
    <tableColumn id="12" xr3:uid="{00000000-0010-0000-B600-00000C000000}" name="r_td" dataDxfId="1199"/>
    <tableColumn id="13" xr3:uid="{00000000-0010-0000-B600-00000D000000}" name="tgt" dataDxfId="1198"/>
    <tableColumn id="14" xr3:uid="{00000000-0010-0000-B600-00000E000000}" name="rec" dataDxfId="1197"/>
    <tableColumn id="15" xr3:uid="{00000000-0010-0000-B600-00000F000000}" name="rec_yd" dataDxfId="1196"/>
    <tableColumn id="16" xr3:uid="{00000000-0010-0000-B600-000010000000}" name="rec_td" dataDxfId="1195"/>
    <tableColumn id="17" xr3:uid="{00000000-0010-0000-B600-000011000000}" name="fmb" dataDxfId="1194"/>
    <tableColumn id="18" xr3:uid="{00000000-0010-0000-B600-000012000000}" name="tp_c" dataDxfId="1193"/>
    <tableColumn id="19" xr3:uid="{00000000-0010-0000-B600-000013000000}" name="f_ppr" dataDxfId="1192"/>
    <tableColumn id="20" xr3:uid="{00000000-0010-0000-B600-000014000000}" name="tgt_share" dataDxfId="1191"/>
    <tableColumn id="21" xr3:uid="{00000000-0010-0000-B600-000015000000}" name="ypc" dataDxfId="1190"/>
    <tableColumn id="22" xr3:uid="{00000000-0010-0000-B600-000016000000}" name="ypr" dataDxfId="1189"/>
    <tableColumn id="23" xr3:uid="{00000000-0010-0000-B600-000017000000}" name="cmp_pct" dataDxfId="1188"/>
    <tableColumn id="24" xr3:uid="{00000000-0010-0000-B600-000018000000}" name="td_rate" dataDxfId="1187"/>
    <tableColumn id="25" xr3:uid="{8B324569-4B92-4A60-9423-D6320C15CA22}" name="f_custom" dataDxfId="118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00000000-000C-0000-FFFF-FFFFB7000000}" name="PIT_Table2" displayName="PIT_Table2" ref="A30:M31" totalsRowShown="0" headerRowDxfId="1184" dataDxfId="1170">
  <autoFilter ref="A30:M31" xr:uid="{00000000-0009-0000-0100-0000BA000000}"/>
  <tableColumns count="13">
    <tableColumn id="1" xr3:uid="{00000000-0010-0000-B700-000001000000}" name="team" dataDxfId="1183"/>
    <tableColumn id="2" xr3:uid="{00000000-0010-0000-B700-000002000000}" name="off_yd" dataDxfId="1182"/>
    <tableColumn id="3" xr3:uid="{00000000-0010-0000-B700-000003000000}" name="p_yd" dataDxfId="1181"/>
    <tableColumn id="4" xr3:uid="{00000000-0010-0000-B700-000004000000}" name="car" dataDxfId="1180"/>
    <tableColumn id="5" xr3:uid="{00000000-0010-0000-B700-000005000000}" name="r_yd" dataDxfId="1179"/>
    <tableColumn id="6" xr3:uid="{00000000-0010-0000-B700-000006000000}" name="r_td" dataDxfId="1178"/>
    <tableColumn id="7" xr3:uid="{00000000-0010-0000-B700-000007000000}" name="p_ff" dataDxfId="1177"/>
    <tableColumn id="8" xr3:uid="{00000000-0010-0000-B700-000008000000}" name="p_att" dataDxfId="1176"/>
    <tableColumn id="9" xr3:uid="{00000000-0010-0000-B700-000009000000}" name="cmp_pct" dataDxfId="1175"/>
    <tableColumn id="10" xr3:uid="{00000000-0010-0000-B700-00000A000000}" name="p_td" dataDxfId="1174"/>
    <tableColumn id="11" xr3:uid="{00000000-0010-0000-B700-00000B000000}" name="int" dataDxfId="1173"/>
    <tableColumn id="12" xr3:uid="{00000000-0010-0000-B700-00000C000000}" name="fmb" dataDxfId="1172"/>
    <tableColumn id="13" xr3:uid="{A2A14B65-54A3-489B-B34D-D495FAEE8457}" name="f_custom" dataDxfId="117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00000000-000C-0000-FFFF-FFFFB8000000}" name="PIT_Table3" displayName="PIT_Table3" ref="A32:M33" totalsRowShown="0" headerRowDxfId="1169" dataDxfId="1155">
  <autoFilter ref="A32:M33" xr:uid="{00000000-0009-0000-0100-0000BB000000}"/>
  <tableColumns count="13">
    <tableColumn id="1" xr3:uid="{00000000-0010-0000-B800-000001000000}" name="team" dataDxfId="1168">
      <calculatedColumnFormula>A31</calculatedColumnFormula>
    </tableColumn>
    <tableColumn id="2" xr3:uid="{00000000-0010-0000-B800-000002000000}" name="off_yd" dataDxfId="1167">
      <calculatedColumnFormula>C33 + E33</calculatedColumnFormula>
    </tableColumn>
    <tableColumn id="3" xr3:uid="{00000000-0010-0000-B800-000003000000}" name="p_yd" dataDxfId="1166">
      <calculatedColumnFormula>SUM(INDIRECT(A33 &amp; "_Table4[[#All],[p_yd]]"))</calculatedColumnFormula>
    </tableColumn>
    <tableColumn id="4" xr3:uid="{00000000-0010-0000-B800-000004000000}" name="car" dataDxfId="116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800-000005000000}" name="r_yd" dataDxfId="116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800-000006000000}" name="r_td" dataDxfId="116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800-000007000000}" name="p_ff" dataDxfId="116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800-000008000000}" name="p_att" dataDxfId="116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800-000009000000}" name="cmp_pct" dataDxfId="1160">
      <calculatedColumnFormula>SUM(INDIRECT(A33 &amp; "_Table4[[#All],[cmp]]"))/H33</calculatedColumnFormula>
    </tableColumn>
    <tableColumn id="10" xr3:uid="{00000000-0010-0000-B800-00000A000000}" name="p_td" dataDxfId="115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800-00000B000000}" name="int" dataDxfId="115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800-00000C000000}" name="fmb" dataDxfId="115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1FE0389-B1E7-4A61-902A-C8B0A78770FE}" name="f_custom" dataDxfId="115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00000000-000C-0000-FFFF-FFFFB9000000}" name="PIT_Table4" displayName="PIT_Table4" ref="A35:AB39" totalsRowShown="0" headerRowDxfId="1154" dataDxfId="1125">
  <autoFilter ref="A35:AB39" xr:uid="{00000000-0009-0000-0100-0000BC000000}"/>
  <tableColumns count="28">
    <tableColumn id="1" xr3:uid="{00000000-0010-0000-B900-000001000000}" name="Name" dataDxfId="1153"/>
    <tableColumn id="2" xr3:uid="{00000000-0010-0000-B900-000002000000}" name="POS" dataDxfId="1152"/>
    <tableColumn id="3" xr3:uid="{00000000-0010-0000-B900-000003000000}" name="Age" dataDxfId="1151"/>
    <tableColumn id="4" xr3:uid="{00000000-0010-0000-B900-000004000000}" name="Exp" dataDxfId="1150"/>
    <tableColumn id="5" xr3:uid="{00000000-0010-0000-B900-000005000000}" name="College" dataDxfId="1149"/>
    <tableColumn id="6" xr3:uid="{00000000-0010-0000-B900-000006000000}" name="team" dataDxfId="1148"/>
    <tableColumn id="7" xr3:uid="{00000000-0010-0000-B900-000007000000}" name="g" dataDxfId="1147"/>
    <tableColumn id="8" xr3:uid="{00000000-0010-0000-B900-000008000000}" name="p_att" dataDxfId="1146"/>
    <tableColumn id="9" xr3:uid="{00000000-0010-0000-B900-000009000000}" name="cmp" dataDxfId="1145"/>
    <tableColumn id="10" xr3:uid="{00000000-0010-0000-B900-00000A000000}" name="p_yd" dataDxfId="1144"/>
    <tableColumn id="11" xr3:uid="{00000000-0010-0000-B900-00000B000000}" name="p_td" dataDxfId="1143"/>
    <tableColumn id="12" xr3:uid="{00000000-0010-0000-B900-00000C000000}" name="int" dataDxfId="1142"/>
    <tableColumn id="13" xr3:uid="{00000000-0010-0000-B900-00000D000000}" name="car" dataDxfId="1141"/>
    <tableColumn id="14" xr3:uid="{00000000-0010-0000-B900-00000E000000}" name="r_yd" dataDxfId="1140"/>
    <tableColumn id="15" xr3:uid="{00000000-0010-0000-B900-00000F000000}" name="r_td" dataDxfId="1139"/>
    <tableColumn id="16" xr3:uid="{00000000-0010-0000-B900-000010000000}" name="tgt" dataDxfId="1138"/>
    <tableColumn id="17" xr3:uid="{00000000-0010-0000-B900-000011000000}" name="rec" dataDxfId="1137"/>
    <tableColumn id="18" xr3:uid="{00000000-0010-0000-B900-000012000000}" name="rec_yd" dataDxfId="1136"/>
    <tableColumn id="19" xr3:uid="{00000000-0010-0000-B900-000013000000}" name="rec_td" dataDxfId="1135"/>
    <tableColumn id="20" xr3:uid="{00000000-0010-0000-B900-000014000000}" name="fmb" dataDxfId="1134"/>
    <tableColumn id="21" xr3:uid="{00000000-0010-0000-B900-000015000000}" name="tp_c" dataDxfId="1133"/>
    <tableColumn id="22" xr3:uid="{00000000-0010-0000-B900-000016000000}" name="f_ppr" dataDxfId="1132">
      <calculatedColumnFormula>($J36*0.04)+($K36*4)+($L36*-2)+($N36*0.1)+($O36*6)+($Q36)+($R36*0.1)+($S36*6)+($T36*-2)</calculatedColumnFormula>
    </tableColumn>
    <tableColumn id="23" xr3:uid="{00000000-0010-0000-B900-000017000000}" name="tgt_share" dataDxfId="1131">
      <calculatedColumnFormula>$P36/$H$33</calculatedColumnFormula>
    </tableColumn>
    <tableColumn id="24" xr3:uid="{00000000-0010-0000-B900-000018000000}" name="ypc" dataDxfId="1130">
      <calculatedColumnFormula>$N36/$M36</calculatedColumnFormula>
    </tableColumn>
    <tableColumn id="25" xr3:uid="{00000000-0010-0000-B900-000019000000}" name="ypr" dataDxfId="1129">
      <calculatedColumnFormula>$R36/$Q36</calculatedColumnFormula>
    </tableColumn>
    <tableColumn id="26" xr3:uid="{00000000-0010-0000-B900-00001A000000}" name="cmp_pct" dataDxfId="1128">
      <calculatedColumnFormula>$I36/$H36</calculatedColumnFormula>
    </tableColumn>
    <tableColumn id="27" xr3:uid="{00000000-0010-0000-B900-00001B000000}" name="td_rate" dataDxfId="1127">
      <calculatedColumnFormula>$K36/$H36</calculatedColumnFormula>
    </tableColumn>
    <tableColumn id="28" xr3:uid="{00000000-0010-0000-B900-00001C000000}" name="f_custom" dataDxfId="112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00000000-000C-0000-FFFF-FFFFBA000000}" name="PIT_Table5" displayName="PIT_Table5" ref="A45:AB52" totalsRowShown="0" headerRowDxfId="1124" dataDxfId="1095">
  <autoFilter ref="A45:AB52" xr:uid="{00000000-0009-0000-0100-0000BD000000}"/>
  <tableColumns count="28">
    <tableColumn id="1" xr3:uid="{00000000-0010-0000-BA00-000001000000}" name="Name" dataDxfId="1123"/>
    <tableColumn id="2" xr3:uid="{00000000-0010-0000-BA00-000002000000}" name="POS" dataDxfId="1122"/>
    <tableColumn id="3" xr3:uid="{00000000-0010-0000-BA00-000003000000}" name="Age" dataDxfId="1121"/>
    <tableColumn id="4" xr3:uid="{00000000-0010-0000-BA00-000004000000}" name="Exp" dataDxfId="1120"/>
    <tableColumn id="5" xr3:uid="{00000000-0010-0000-BA00-000005000000}" name="College" dataDxfId="1119"/>
    <tableColumn id="6" xr3:uid="{00000000-0010-0000-BA00-000006000000}" name="team" dataDxfId="1118"/>
    <tableColumn id="7" xr3:uid="{00000000-0010-0000-BA00-000007000000}" name="g" dataDxfId="1117"/>
    <tableColumn id="8" xr3:uid="{00000000-0010-0000-BA00-000008000000}" name="p_att" dataDxfId="1116"/>
    <tableColumn id="9" xr3:uid="{00000000-0010-0000-BA00-000009000000}" name="cmp" dataDxfId="1115"/>
    <tableColumn id="10" xr3:uid="{00000000-0010-0000-BA00-00000A000000}" name="p_yd" dataDxfId="1114"/>
    <tableColumn id="11" xr3:uid="{00000000-0010-0000-BA00-00000B000000}" name="p_td" dataDxfId="1113"/>
    <tableColumn id="12" xr3:uid="{00000000-0010-0000-BA00-00000C000000}" name="int" dataDxfId="1112"/>
    <tableColumn id="13" xr3:uid="{00000000-0010-0000-BA00-00000D000000}" name="car" dataDxfId="1111"/>
    <tableColumn id="14" xr3:uid="{00000000-0010-0000-BA00-00000E000000}" name="r_yd" dataDxfId="1110"/>
    <tableColumn id="15" xr3:uid="{00000000-0010-0000-BA00-00000F000000}" name="r_td" dataDxfId="1109"/>
    <tableColumn id="16" xr3:uid="{00000000-0010-0000-BA00-000010000000}" name="tgt" dataDxfId="1108"/>
    <tableColumn id="17" xr3:uid="{00000000-0010-0000-BA00-000011000000}" name="rec" dataDxfId="1107"/>
    <tableColumn id="18" xr3:uid="{00000000-0010-0000-BA00-000012000000}" name="rec_yd" dataDxfId="1106"/>
    <tableColumn id="19" xr3:uid="{00000000-0010-0000-BA00-000013000000}" name="rec_td" dataDxfId="1105"/>
    <tableColumn id="20" xr3:uid="{00000000-0010-0000-BA00-000014000000}" name="fmb" dataDxfId="1104"/>
    <tableColumn id="21" xr3:uid="{00000000-0010-0000-BA00-000015000000}" name="tp_c" dataDxfId="1103"/>
    <tableColumn id="22" xr3:uid="{00000000-0010-0000-BA00-000016000000}" name="f_ppr" dataDxfId="1102">
      <calculatedColumnFormula>($J46*0.04)+($K46*4)+($L46*-2)+($N46*0.1)+($O46*6)+($Q46)+($R46*0.1)+($S46*6)+($T46*-2)</calculatedColumnFormula>
    </tableColumn>
    <tableColumn id="23" xr3:uid="{00000000-0010-0000-BA00-000017000000}" name="tgt_share" dataDxfId="1101">
      <calculatedColumnFormula>$P46/$H$33</calculatedColumnFormula>
    </tableColumn>
    <tableColumn id="24" xr3:uid="{00000000-0010-0000-BA00-000018000000}" name="ypc" dataDxfId="1100">
      <calculatedColumnFormula>$N46/$M46</calculatedColumnFormula>
    </tableColumn>
    <tableColumn id="25" xr3:uid="{00000000-0010-0000-BA00-000019000000}" name="ypr" dataDxfId="1099">
      <calculatedColumnFormula>$R46/$Q46</calculatedColumnFormula>
    </tableColumn>
    <tableColumn id="26" xr3:uid="{00000000-0010-0000-BA00-00001A000000}" name="cmp_pct" dataDxfId="1098">
      <calculatedColumnFormula>$I46/$H46</calculatedColumnFormula>
    </tableColumn>
    <tableColumn id="27" xr3:uid="{00000000-0010-0000-BA00-00001B000000}" name="td_rate" dataDxfId="1097">
      <calculatedColumnFormula>$K46/$H46</calculatedColumnFormula>
    </tableColumn>
    <tableColumn id="28" xr3:uid="{00000000-0010-0000-BA00-00001C000000}" name="f_custom" dataDxfId="109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00000000-000C-0000-FFFF-FFFFBB000000}" name="PIT_Table6" displayName="PIT_Table6" ref="A60:AB71" totalsRowShown="0" headerRowDxfId="1094" dataDxfId="1065">
  <autoFilter ref="A60:AB71" xr:uid="{00000000-0009-0000-0100-0000BE000000}"/>
  <tableColumns count="28">
    <tableColumn id="1" xr3:uid="{00000000-0010-0000-BB00-000001000000}" name="Name" dataDxfId="1093"/>
    <tableColumn id="2" xr3:uid="{00000000-0010-0000-BB00-000002000000}" name="POS" dataDxfId="1092"/>
    <tableColumn id="3" xr3:uid="{00000000-0010-0000-BB00-000003000000}" name="Age" dataDxfId="1091"/>
    <tableColumn id="4" xr3:uid="{00000000-0010-0000-BB00-000004000000}" name="Exp" dataDxfId="1090"/>
    <tableColumn id="5" xr3:uid="{00000000-0010-0000-BB00-000005000000}" name="College" dataDxfId="1089"/>
    <tableColumn id="6" xr3:uid="{00000000-0010-0000-BB00-000006000000}" name="team" dataDxfId="1088"/>
    <tableColumn id="7" xr3:uid="{00000000-0010-0000-BB00-000007000000}" name="g" dataDxfId="1087"/>
    <tableColumn id="8" xr3:uid="{00000000-0010-0000-BB00-000008000000}" name="p_att" dataDxfId="1086"/>
    <tableColumn id="9" xr3:uid="{00000000-0010-0000-BB00-000009000000}" name="cmp" dataDxfId="1085"/>
    <tableColumn id="10" xr3:uid="{00000000-0010-0000-BB00-00000A000000}" name="p_yd" dataDxfId="1084"/>
    <tableColumn id="11" xr3:uid="{00000000-0010-0000-BB00-00000B000000}" name="p_td" dataDxfId="1083"/>
    <tableColumn id="12" xr3:uid="{00000000-0010-0000-BB00-00000C000000}" name="int" dataDxfId="1082"/>
    <tableColumn id="13" xr3:uid="{00000000-0010-0000-BB00-00000D000000}" name="car" dataDxfId="1081"/>
    <tableColumn id="14" xr3:uid="{00000000-0010-0000-BB00-00000E000000}" name="r_yd" dataDxfId="1080"/>
    <tableColumn id="15" xr3:uid="{00000000-0010-0000-BB00-00000F000000}" name="r_td" dataDxfId="1079"/>
    <tableColumn id="16" xr3:uid="{00000000-0010-0000-BB00-000010000000}" name="tgt" dataDxfId="1078"/>
    <tableColumn id="17" xr3:uid="{00000000-0010-0000-BB00-000011000000}" name="rec" dataDxfId="1077"/>
    <tableColumn id="18" xr3:uid="{00000000-0010-0000-BB00-000012000000}" name="rec_yd" dataDxfId="1076"/>
    <tableColumn id="19" xr3:uid="{00000000-0010-0000-BB00-000013000000}" name="rec_td" dataDxfId="1075"/>
    <tableColumn id="20" xr3:uid="{00000000-0010-0000-BB00-000014000000}" name="fmb" dataDxfId="1074"/>
    <tableColumn id="21" xr3:uid="{00000000-0010-0000-BB00-000015000000}" name="tp_c" dataDxfId="1073"/>
    <tableColumn id="22" xr3:uid="{00000000-0010-0000-BB00-000016000000}" name="f_ppr" dataDxfId="1072">
      <calculatedColumnFormula>($J61*0.04)+($K61*4)+($L61*-2)+($N61*0.1)+($O61*6)+($Q61)+($R61*0.1)+($S61*6)+($T61*-2)</calculatedColumnFormula>
    </tableColumn>
    <tableColumn id="23" xr3:uid="{00000000-0010-0000-BB00-000017000000}" name="tgt_share" dataDxfId="1071">
      <calculatedColumnFormula>$P61/$H$33</calculatedColumnFormula>
    </tableColumn>
    <tableColumn id="24" xr3:uid="{00000000-0010-0000-BB00-000018000000}" name="ypc" dataDxfId="1070">
      <calculatedColumnFormula>$N61/$M61</calculatedColumnFormula>
    </tableColumn>
    <tableColumn id="25" xr3:uid="{00000000-0010-0000-BB00-000019000000}" name="ypr" dataDxfId="1069">
      <calculatedColumnFormula>$R61/$Q61</calculatedColumnFormula>
    </tableColumn>
    <tableColumn id="26" xr3:uid="{00000000-0010-0000-BB00-00001A000000}" name="cmp_pct" dataDxfId="1068">
      <calculatedColumnFormula>$I61/$H61</calculatedColumnFormula>
    </tableColumn>
    <tableColumn id="27" xr3:uid="{00000000-0010-0000-BB00-00001B000000}" name="td_rate" dataDxfId="1067">
      <calculatedColumnFormula>$K61/$H61</calculatedColumnFormula>
    </tableColumn>
    <tableColumn id="28" xr3:uid="{00000000-0010-0000-BB00-00001C000000}" name="f_custom" dataDxfId="106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00000000-000C-0000-FFFF-FFFFBC000000}" name="PIT_Table7" displayName="PIT_Table7" ref="A75:AB80" totalsRowShown="0" headerRowDxfId="1064" dataDxfId="1035">
  <autoFilter ref="A75:AB80" xr:uid="{00000000-0009-0000-0100-0000BF000000}"/>
  <tableColumns count="28">
    <tableColumn id="1" xr3:uid="{00000000-0010-0000-BC00-000001000000}" name="Name" dataDxfId="1063"/>
    <tableColumn id="2" xr3:uid="{00000000-0010-0000-BC00-000002000000}" name="POS" dataDxfId="1062"/>
    <tableColumn id="3" xr3:uid="{00000000-0010-0000-BC00-000003000000}" name="Age" dataDxfId="1061"/>
    <tableColumn id="4" xr3:uid="{00000000-0010-0000-BC00-000004000000}" name="Exp" dataDxfId="1060"/>
    <tableColumn id="5" xr3:uid="{00000000-0010-0000-BC00-000005000000}" name="College" dataDxfId="1059"/>
    <tableColumn id="6" xr3:uid="{00000000-0010-0000-BC00-000006000000}" name="team" dataDxfId="1058"/>
    <tableColumn id="7" xr3:uid="{00000000-0010-0000-BC00-000007000000}" name="g" dataDxfId="1057"/>
    <tableColumn id="8" xr3:uid="{00000000-0010-0000-BC00-000008000000}" name="p_att" dataDxfId="1056"/>
    <tableColumn id="9" xr3:uid="{00000000-0010-0000-BC00-000009000000}" name="cmp" dataDxfId="1055"/>
    <tableColumn id="10" xr3:uid="{00000000-0010-0000-BC00-00000A000000}" name="p_yd" dataDxfId="1054"/>
    <tableColumn id="11" xr3:uid="{00000000-0010-0000-BC00-00000B000000}" name="p_td" dataDxfId="1053"/>
    <tableColumn id="12" xr3:uid="{00000000-0010-0000-BC00-00000C000000}" name="int" dataDxfId="1052"/>
    <tableColumn id="13" xr3:uid="{00000000-0010-0000-BC00-00000D000000}" name="car" dataDxfId="1051"/>
    <tableColumn id="14" xr3:uid="{00000000-0010-0000-BC00-00000E000000}" name="r_yd" dataDxfId="1050"/>
    <tableColumn id="15" xr3:uid="{00000000-0010-0000-BC00-00000F000000}" name="r_td" dataDxfId="1049"/>
    <tableColumn id="16" xr3:uid="{00000000-0010-0000-BC00-000010000000}" name="tgt" dataDxfId="1048"/>
    <tableColumn id="17" xr3:uid="{00000000-0010-0000-BC00-000011000000}" name="rec" dataDxfId="1047"/>
    <tableColumn id="18" xr3:uid="{00000000-0010-0000-BC00-000012000000}" name="rec_yd" dataDxfId="1046"/>
    <tableColumn id="19" xr3:uid="{00000000-0010-0000-BC00-000013000000}" name="rec_td" dataDxfId="1045"/>
    <tableColumn id="20" xr3:uid="{00000000-0010-0000-BC00-000014000000}" name="fmb" dataDxfId="1044"/>
    <tableColumn id="21" xr3:uid="{00000000-0010-0000-BC00-000015000000}" name="tp_c" dataDxfId="1043"/>
    <tableColumn id="22" xr3:uid="{00000000-0010-0000-BC00-000016000000}" name="f_ppr" dataDxfId="1042">
      <calculatedColumnFormula>($J76*0.04)+($K76*4)+($L76*-2)+($N76*0.1)+($O76*6)+($Q76)+($R76*0.1)+($S76*6)+($T76*-2)</calculatedColumnFormula>
    </tableColumn>
    <tableColumn id="23" xr3:uid="{00000000-0010-0000-BC00-000017000000}" name="tgt_share" dataDxfId="1041">
      <calculatedColumnFormula>$P76/$H$33</calculatedColumnFormula>
    </tableColumn>
    <tableColumn id="24" xr3:uid="{00000000-0010-0000-BC00-000018000000}" name="ypc" dataDxfId="1040">
      <calculatedColumnFormula>$N76/$M76</calculatedColumnFormula>
    </tableColumn>
    <tableColumn id="25" xr3:uid="{00000000-0010-0000-BC00-000019000000}" name="ypr" dataDxfId="1039">
      <calculatedColumnFormula>$R76/$Q76</calculatedColumnFormula>
    </tableColumn>
    <tableColumn id="26" xr3:uid="{00000000-0010-0000-BC00-00001A000000}" name="cmp_pct" dataDxfId="1038">
      <calculatedColumnFormula>$I76/$H76</calculatedColumnFormula>
    </tableColumn>
    <tableColumn id="27" xr3:uid="{00000000-0010-0000-BC00-00001B000000}" name="td_rate" dataDxfId="1037">
      <calculatedColumnFormula>$K76/$H76</calculatedColumnFormula>
    </tableColumn>
    <tableColumn id="28" xr3:uid="{00000000-0010-0000-BC00-00001C000000}" name="f_custom" dataDxfId="103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00000000-000C-0000-FFFF-FFFFBD000000}" name="SEA_Table1" displayName="SEA_Table1" ref="A1:Y20" totalsRowShown="0" headerRowDxfId="1034" dataDxfId="1008">
  <autoFilter ref="A1:Y20" xr:uid="{00000000-0009-0000-0100-0000C0000000}"/>
  <tableColumns count="25">
    <tableColumn id="1" xr3:uid="{00000000-0010-0000-BD00-000001000000}" name="player_name" dataDxfId="1033"/>
    <tableColumn id="2" xr3:uid="{00000000-0010-0000-BD00-000002000000}" name="recent_team" dataDxfId="1032"/>
    <tableColumn id="3" xr3:uid="{00000000-0010-0000-BD00-000003000000}" name="pos" dataDxfId="1031"/>
    <tableColumn id="4" xr3:uid="{00000000-0010-0000-BD00-000004000000}" name="g" dataDxfId="1030"/>
    <tableColumn id="5" xr3:uid="{00000000-0010-0000-BD00-000005000000}" name="p_att" dataDxfId="1029"/>
    <tableColumn id="6" xr3:uid="{00000000-0010-0000-BD00-000006000000}" name="cmp" dataDxfId="1028"/>
    <tableColumn id="7" xr3:uid="{00000000-0010-0000-BD00-000007000000}" name="p_yd" dataDxfId="1027"/>
    <tableColumn id="8" xr3:uid="{00000000-0010-0000-BD00-000008000000}" name="p_td" dataDxfId="1026"/>
    <tableColumn id="9" xr3:uid="{00000000-0010-0000-BD00-000009000000}" name="int" dataDxfId="1025"/>
    <tableColumn id="10" xr3:uid="{00000000-0010-0000-BD00-00000A000000}" name="car" dataDxfId="1024"/>
    <tableColumn id="11" xr3:uid="{00000000-0010-0000-BD00-00000B000000}" name="r_yd" dataDxfId="1023"/>
    <tableColumn id="12" xr3:uid="{00000000-0010-0000-BD00-00000C000000}" name="r_td" dataDxfId="1022"/>
    <tableColumn id="13" xr3:uid="{00000000-0010-0000-BD00-00000D000000}" name="tgt" dataDxfId="1021"/>
    <tableColumn id="14" xr3:uid="{00000000-0010-0000-BD00-00000E000000}" name="rec" dataDxfId="1020"/>
    <tableColumn id="15" xr3:uid="{00000000-0010-0000-BD00-00000F000000}" name="rec_yd" dataDxfId="1019"/>
    <tableColumn id="16" xr3:uid="{00000000-0010-0000-BD00-000010000000}" name="rec_td" dataDxfId="1018"/>
    <tableColumn id="17" xr3:uid="{00000000-0010-0000-BD00-000011000000}" name="fmb" dataDxfId="1017"/>
    <tableColumn id="18" xr3:uid="{00000000-0010-0000-BD00-000012000000}" name="tp_c" dataDxfId="1016"/>
    <tableColumn id="19" xr3:uid="{00000000-0010-0000-BD00-000013000000}" name="f_ppr" dataDxfId="1015"/>
    <tableColumn id="20" xr3:uid="{00000000-0010-0000-BD00-000014000000}" name="tgt_share" dataDxfId="1014"/>
    <tableColumn id="21" xr3:uid="{00000000-0010-0000-BD00-000015000000}" name="ypc" dataDxfId="1013"/>
    <tableColumn id="22" xr3:uid="{00000000-0010-0000-BD00-000016000000}" name="ypr" dataDxfId="1012"/>
    <tableColumn id="23" xr3:uid="{00000000-0010-0000-BD00-000017000000}" name="cmp_pct" dataDxfId="1011"/>
    <tableColumn id="24" xr3:uid="{00000000-0010-0000-BD00-000018000000}" name="td_rate" dataDxfId="1010"/>
    <tableColumn id="25" xr3:uid="{83B09BC2-5AFD-4C7D-8E9B-CDF557814A8D}" name="f_custom" dataDxfId="100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00000000-000C-0000-FFFF-FFFFBE000000}" name="SEA_Table2" displayName="SEA_Table2" ref="A30:M31" totalsRowShown="0" headerRowDxfId="1007" dataDxfId="993">
  <autoFilter ref="A30:M31" xr:uid="{00000000-0009-0000-0100-0000C1000000}"/>
  <tableColumns count="13">
    <tableColumn id="1" xr3:uid="{00000000-0010-0000-BE00-000001000000}" name="team" dataDxfId="1006"/>
    <tableColumn id="2" xr3:uid="{00000000-0010-0000-BE00-000002000000}" name="off_yd" dataDxfId="1005"/>
    <tableColumn id="3" xr3:uid="{00000000-0010-0000-BE00-000003000000}" name="p_yd" dataDxfId="1004"/>
    <tableColumn id="4" xr3:uid="{00000000-0010-0000-BE00-000004000000}" name="car" dataDxfId="1003"/>
    <tableColumn id="5" xr3:uid="{00000000-0010-0000-BE00-000005000000}" name="r_yd" dataDxfId="1002"/>
    <tableColumn id="6" xr3:uid="{00000000-0010-0000-BE00-000006000000}" name="r_td" dataDxfId="1001"/>
    <tableColumn id="7" xr3:uid="{00000000-0010-0000-BE00-000007000000}" name="p_ff" dataDxfId="1000"/>
    <tableColumn id="8" xr3:uid="{00000000-0010-0000-BE00-000008000000}" name="p_att" dataDxfId="999"/>
    <tableColumn id="9" xr3:uid="{00000000-0010-0000-BE00-000009000000}" name="cmp_pct" dataDxfId="998"/>
    <tableColumn id="10" xr3:uid="{00000000-0010-0000-BE00-00000A000000}" name="p_td" dataDxfId="997"/>
    <tableColumn id="11" xr3:uid="{00000000-0010-0000-BE00-00000B000000}" name="int" dataDxfId="996"/>
    <tableColumn id="12" xr3:uid="{00000000-0010-0000-BE00-00000C000000}" name="fmb" dataDxfId="995"/>
    <tableColumn id="13" xr3:uid="{676F4BF1-EBC4-418E-94F2-2E85A6C86B02}" name="f_custom" dataDxfId="99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00000000-000C-0000-FFFF-FFFFBF000000}" name="SEA_Table3" displayName="SEA_Table3" ref="A32:M33" totalsRowShown="0" headerRowDxfId="992" dataDxfId="978">
  <autoFilter ref="A32:M33" xr:uid="{00000000-0009-0000-0100-0000C2000000}"/>
  <tableColumns count="13">
    <tableColumn id="1" xr3:uid="{00000000-0010-0000-BF00-000001000000}" name="team" dataDxfId="991">
      <calculatedColumnFormula>A31</calculatedColumnFormula>
    </tableColumn>
    <tableColumn id="2" xr3:uid="{00000000-0010-0000-BF00-000002000000}" name="off_yd" dataDxfId="990">
      <calculatedColumnFormula>C33 + E33</calculatedColumnFormula>
    </tableColumn>
    <tableColumn id="3" xr3:uid="{00000000-0010-0000-BF00-000003000000}" name="p_yd" dataDxfId="989">
      <calculatedColumnFormula>SUM(INDIRECT(A33 &amp; "_Table4[[#All],[p_yd]]"))</calculatedColumnFormula>
    </tableColumn>
    <tableColumn id="4" xr3:uid="{00000000-0010-0000-BF00-000004000000}" name="car" dataDxfId="98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F00-000005000000}" name="r_yd" dataDxfId="98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F00-000006000000}" name="r_td" dataDxfId="98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F00-000007000000}" name="p_ff" dataDxfId="98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F00-000008000000}" name="p_att" dataDxfId="98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F00-000009000000}" name="cmp_pct" dataDxfId="983">
      <calculatedColumnFormula>SUM(INDIRECT(A33 &amp; "_Table4[[#All],[cmp]]"))/H33</calculatedColumnFormula>
    </tableColumn>
    <tableColumn id="10" xr3:uid="{00000000-0010-0000-BF00-00000A000000}" name="p_td" dataDxfId="98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F00-00000B000000}" name="int" dataDxfId="98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F00-00000C000000}" name="fmb" dataDxfId="98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700AFEE-963D-4CF6-849F-9782EB2FCDCE}" name="f_custom" dataDxfId="97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00000000-000C-0000-FFFF-FFFFC0000000}" name="SEA_Table4" displayName="SEA_Table4" ref="A35:AB38" totalsRowShown="0" headerRowDxfId="977" dataDxfId="948">
  <autoFilter ref="A35:AB38" xr:uid="{00000000-0009-0000-0100-0000C3000000}"/>
  <tableColumns count="28">
    <tableColumn id="1" xr3:uid="{00000000-0010-0000-C000-000001000000}" name="Name" dataDxfId="976"/>
    <tableColumn id="2" xr3:uid="{00000000-0010-0000-C000-000002000000}" name="POS" dataDxfId="975"/>
    <tableColumn id="3" xr3:uid="{00000000-0010-0000-C000-000003000000}" name="Age" dataDxfId="974"/>
    <tableColumn id="4" xr3:uid="{00000000-0010-0000-C000-000004000000}" name="Exp" dataDxfId="973"/>
    <tableColumn id="5" xr3:uid="{00000000-0010-0000-C000-000005000000}" name="College" dataDxfId="972"/>
    <tableColumn id="6" xr3:uid="{00000000-0010-0000-C000-000006000000}" name="team" dataDxfId="971"/>
    <tableColumn id="7" xr3:uid="{00000000-0010-0000-C000-000007000000}" name="g" dataDxfId="970"/>
    <tableColumn id="8" xr3:uid="{00000000-0010-0000-C000-000008000000}" name="p_att" dataDxfId="969"/>
    <tableColumn id="9" xr3:uid="{00000000-0010-0000-C000-000009000000}" name="cmp" dataDxfId="968"/>
    <tableColumn id="10" xr3:uid="{00000000-0010-0000-C000-00000A000000}" name="p_yd" dataDxfId="967"/>
    <tableColumn id="11" xr3:uid="{00000000-0010-0000-C000-00000B000000}" name="p_td" dataDxfId="966"/>
    <tableColumn id="12" xr3:uid="{00000000-0010-0000-C000-00000C000000}" name="int" dataDxfId="965"/>
    <tableColumn id="13" xr3:uid="{00000000-0010-0000-C000-00000D000000}" name="car" dataDxfId="964"/>
    <tableColumn id="14" xr3:uid="{00000000-0010-0000-C000-00000E000000}" name="r_yd" dataDxfId="963"/>
    <tableColumn id="15" xr3:uid="{00000000-0010-0000-C000-00000F000000}" name="r_td" dataDxfId="962"/>
    <tableColumn id="16" xr3:uid="{00000000-0010-0000-C000-000010000000}" name="tgt" dataDxfId="961"/>
    <tableColumn id="17" xr3:uid="{00000000-0010-0000-C000-000011000000}" name="rec" dataDxfId="960"/>
    <tableColumn id="18" xr3:uid="{00000000-0010-0000-C000-000012000000}" name="rec_yd" dataDxfId="959"/>
    <tableColumn id="19" xr3:uid="{00000000-0010-0000-C000-000013000000}" name="rec_td" dataDxfId="958"/>
    <tableColumn id="20" xr3:uid="{00000000-0010-0000-C000-000014000000}" name="fmb" dataDxfId="957"/>
    <tableColumn id="21" xr3:uid="{00000000-0010-0000-C000-000015000000}" name="tp_c" dataDxfId="956"/>
    <tableColumn id="22" xr3:uid="{00000000-0010-0000-C000-000016000000}" name="f_ppr" dataDxfId="955">
      <calculatedColumnFormula>($J36*0.04)+($K36*4)+($L36*-2)+($N36*0.1)+($O36*6)+($Q36)+($R36*0.1)+($S36*6)+($T36*-2)</calculatedColumnFormula>
    </tableColumn>
    <tableColumn id="23" xr3:uid="{00000000-0010-0000-C000-000017000000}" name="tgt_share" dataDxfId="954">
      <calculatedColumnFormula>$P36/$H$33</calculatedColumnFormula>
    </tableColumn>
    <tableColumn id="24" xr3:uid="{00000000-0010-0000-C000-000018000000}" name="ypc" dataDxfId="953">
      <calculatedColumnFormula>$N36/$M36</calculatedColumnFormula>
    </tableColumn>
    <tableColumn id="25" xr3:uid="{00000000-0010-0000-C000-000019000000}" name="ypr" dataDxfId="952">
      <calculatedColumnFormula>$R36/$Q36</calculatedColumnFormula>
    </tableColumn>
    <tableColumn id="26" xr3:uid="{00000000-0010-0000-C000-00001A000000}" name="cmp_pct" dataDxfId="951">
      <calculatedColumnFormula>$I36/$H36</calculatedColumnFormula>
    </tableColumn>
    <tableColumn id="27" xr3:uid="{00000000-0010-0000-C000-00001B000000}" name="td_rate" dataDxfId="950">
      <calculatedColumnFormula>$K36/$H36</calculatedColumnFormula>
    </tableColumn>
    <tableColumn id="28" xr3:uid="{00000000-0010-0000-C000-00001C000000}" name="f_custom" dataDxfId="94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00000000-000C-0000-FFFF-FFFFC1000000}" name="SEA_Table5" displayName="SEA_Table5" ref="A45:AB52" totalsRowShown="0" headerRowDxfId="947" dataDxfId="918">
  <autoFilter ref="A45:AB52" xr:uid="{00000000-0009-0000-0100-0000C4000000}"/>
  <tableColumns count="28">
    <tableColumn id="1" xr3:uid="{00000000-0010-0000-C100-000001000000}" name="Name" dataDxfId="946"/>
    <tableColumn id="2" xr3:uid="{00000000-0010-0000-C100-000002000000}" name="POS" dataDxfId="945"/>
    <tableColumn id="3" xr3:uid="{00000000-0010-0000-C100-000003000000}" name="Age" dataDxfId="944"/>
    <tableColumn id="4" xr3:uid="{00000000-0010-0000-C100-000004000000}" name="Exp" dataDxfId="943"/>
    <tableColumn id="5" xr3:uid="{00000000-0010-0000-C100-000005000000}" name="College" dataDxfId="942"/>
    <tableColumn id="6" xr3:uid="{00000000-0010-0000-C100-000006000000}" name="team" dataDxfId="941"/>
    <tableColumn id="7" xr3:uid="{00000000-0010-0000-C100-000007000000}" name="g" dataDxfId="940"/>
    <tableColumn id="8" xr3:uid="{00000000-0010-0000-C100-000008000000}" name="p_att" dataDxfId="939"/>
    <tableColumn id="9" xr3:uid="{00000000-0010-0000-C100-000009000000}" name="cmp" dataDxfId="938"/>
    <tableColumn id="10" xr3:uid="{00000000-0010-0000-C100-00000A000000}" name="p_yd" dataDxfId="937"/>
    <tableColumn id="11" xr3:uid="{00000000-0010-0000-C100-00000B000000}" name="p_td" dataDxfId="936"/>
    <tableColumn id="12" xr3:uid="{00000000-0010-0000-C100-00000C000000}" name="int" dataDxfId="935"/>
    <tableColumn id="13" xr3:uid="{00000000-0010-0000-C100-00000D000000}" name="car" dataDxfId="934"/>
    <tableColumn id="14" xr3:uid="{00000000-0010-0000-C100-00000E000000}" name="r_yd" dataDxfId="933"/>
    <tableColumn id="15" xr3:uid="{00000000-0010-0000-C100-00000F000000}" name="r_td" dataDxfId="932"/>
    <tableColumn id="16" xr3:uid="{00000000-0010-0000-C100-000010000000}" name="tgt" dataDxfId="931"/>
    <tableColumn id="17" xr3:uid="{00000000-0010-0000-C100-000011000000}" name="rec" dataDxfId="930"/>
    <tableColumn id="18" xr3:uid="{00000000-0010-0000-C100-000012000000}" name="rec_yd" dataDxfId="929"/>
    <tableColumn id="19" xr3:uid="{00000000-0010-0000-C100-000013000000}" name="rec_td" dataDxfId="928"/>
    <tableColumn id="20" xr3:uid="{00000000-0010-0000-C100-000014000000}" name="fmb" dataDxfId="927"/>
    <tableColumn id="21" xr3:uid="{00000000-0010-0000-C100-000015000000}" name="tp_c" dataDxfId="926"/>
    <tableColumn id="22" xr3:uid="{00000000-0010-0000-C100-000016000000}" name="f_ppr" dataDxfId="925">
      <calculatedColumnFormula>($J46*0.04)+($K46*4)+($L46*-2)+($N46*0.1)+($O46*6)+($Q46)+($R46*0.1)+($S46*6)+($T46*-2)</calculatedColumnFormula>
    </tableColumn>
    <tableColumn id="23" xr3:uid="{00000000-0010-0000-C100-000017000000}" name="tgt_share" dataDxfId="924">
      <calculatedColumnFormula>$P46/$H$33</calculatedColumnFormula>
    </tableColumn>
    <tableColumn id="24" xr3:uid="{00000000-0010-0000-C100-000018000000}" name="ypc" dataDxfId="923">
      <calculatedColumnFormula>$N46/$M46</calculatedColumnFormula>
    </tableColumn>
    <tableColumn id="25" xr3:uid="{00000000-0010-0000-C100-000019000000}" name="ypr" dataDxfId="922">
      <calculatedColumnFormula>$R46/$Q46</calculatedColumnFormula>
    </tableColumn>
    <tableColumn id="26" xr3:uid="{00000000-0010-0000-C100-00001A000000}" name="cmp_pct" dataDxfId="921">
      <calculatedColumnFormula>$I46/$H46</calculatedColumnFormula>
    </tableColumn>
    <tableColumn id="27" xr3:uid="{00000000-0010-0000-C100-00001B000000}" name="td_rate" dataDxfId="920">
      <calculatedColumnFormula>$K46/$H46</calculatedColumnFormula>
    </tableColumn>
    <tableColumn id="28" xr3:uid="{00000000-0010-0000-C100-00001C000000}" name="f_custom" dataDxfId="91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00000000-000C-0000-FFFF-FFFFC2000000}" name="SEA_Table6" displayName="SEA_Table6" ref="A60:AB73" totalsRowShown="0" headerRowDxfId="917" dataDxfId="888">
  <autoFilter ref="A60:AB73" xr:uid="{00000000-0009-0000-0100-0000C5000000}"/>
  <tableColumns count="28">
    <tableColumn id="1" xr3:uid="{00000000-0010-0000-C200-000001000000}" name="Name" dataDxfId="916"/>
    <tableColumn id="2" xr3:uid="{00000000-0010-0000-C200-000002000000}" name="POS" dataDxfId="915"/>
    <tableColumn id="3" xr3:uid="{00000000-0010-0000-C200-000003000000}" name="Age" dataDxfId="914"/>
    <tableColumn id="4" xr3:uid="{00000000-0010-0000-C200-000004000000}" name="Exp" dataDxfId="913"/>
    <tableColumn id="5" xr3:uid="{00000000-0010-0000-C200-000005000000}" name="College" dataDxfId="912"/>
    <tableColumn id="6" xr3:uid="{00000000-0010-0000-C200-000006000000}" name="team" dataDxfId="911"/>
    <tableColumn id="7" xr3:uid="{00000000-0010-0000-C200-000007000000}" name="g" dataDxfId="910"/>
    <tableColumn id="8" xr3:uid="{00000000-0010-0000-C200-000008000000}" name="p_att" dataDxfId="909"/>
    <tableColumn id="9" xr3:uid="{00000000-0010-0000-C200-000009000000}" name="cmp" dataDxfId="908"/>
    <tableColumn id="10" xr3:uid="{00000000-0010-0000-C200-00000A000000}" name="p_yd" dataDxfId="907"/>
    <tableColumn id="11" xr3:uid="{00000000-0010-0000-C200-00000B000000}" name="p_td" dataDxfId="906"/>
    <tableColumn id="12" xr3:uid="{00000000-0010-0000-C200-00000C000000}" name="int" dataDxfId="905"/>
    <tableColumn id="13" xr3:uid="{00000000-0010-0000-C200-00000D000000}" name="car" dataDxfId="904"/>
    <tableColumn id="14" xr3:uid="{00000000-0010-0000-C200-00000E000000}" name="r_yd" dataDxfId="903"/>
    <tableColumn id="15" xr3:uid="{00000000-0010-0000-C200-00000F000000}" name="r_td" dataDxfId="902"/>
    <tableColumn id="16" xr3:uid="{00000000-0010-0000-C200-000010000000}" name="tgt" dataDxfId="901"/>
    <tableColumn id="17" xr3:uid="{00000000-0010-0000-C200-000011000000}" name="rec" dataDxfId="900"/>
    <tableColumn id="18" xr3:uid="{00000000-0010-0000-C200-000012000000}" name="rec_yd" dataDxfId="899"/>
    <tableColumn id="19" xr3:uid="{00000000-0010-0000-C200-000013000000}" name="rec_td" dataDxfId="898"/>
    <tableColumn id="20" xr3:uid="{00000000-0010-0000-C200-000014000000}" name="fmb" dataDxfId="897"/>
    <tableColumn id="21" xr3:uid="{00000000-0010-0000-C200-000015000000}" name="tp_c" dataDxfId="896"/>
    <tableColumn id="22" xr3:uid="{00000000-0010-0000-C200-000016000000}" name="f_ppr" dataDxfId="895">
      <calculatedColumnFormula>($J61*0.04)+($K61*4)+($L61*-2)+($N61*0.1)+($O61*6)+($Q61)+($R61*0.1)+($S61*6)+($T61*-2)</calculatedColumnFormula>
    </tableColumn>
    <tableColumn id="23" xr3:uid="{00000000-0010-0000-C200-000017000000}" name="tgt_share" dataDxfId="894">
      <calculatedColumnFormula>$P61/$H$33</calculatedColumnFormula>
    </tableColumn>
    <tableColumn id="24" xr3:uid="{00000000-0010-0000-C200-000018000000}" name="ypc" dataDxfId="893">
      <calculatedColumnFormula>$N61/$M61</calculatedColumnFormula>
    </tableColumn>
    <tableColumn id="25" xr3:uid="{00000000-0010-0000-C200-000019000000}" name="ypr" dataDxfId="892">
      <calculatedColumnFormula>$R61/$Q61</calculatedColumnFormula>
    </tableColumn>
    <tableColumn id="26" xr3:uid="{00000000-0010-0000-C200-00001A000000}" name="cmp_pct" dataDxfId="891">
      <calculatedColumnFormula>$I61/$H61</calculatedColumnFormula>
    </tableColumn>
    <tableColumn id="27" xr3:uid="{00000000-0010-0000-C200-00001B000000}" name="td_rate" dataDxfId="890">
      <calculatedColumnFormula>$K61/$H61</calculatedColumnFormula>
    </tableColumn>
    <tableColumn id="28" xr3:uid="{00000000-0010-0000-C200-00001C000000}" name="f_custom" dataDxfId="88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00000000-000C-0000-FFFF-FFFFC3000000}" name="SEA_Table7" displayName="SEA_Table7" ref="A75:AB80" totalsRowShown="0" headerRowDxfId="887" dataDxfId="858">
  <autoFilter ref="A75:AB80" xr:uid="{00000000-0009-0000-0100-0000C6000000}"/>
  <tableColumns count="28">
    <tableColumn id="1" xr3:uid="{00000000-0010-0000-C300-000001000000}" name="Name" dataDxfId="886"/>
    <tableColumn id="2" xr3:uid="{00000000-0010-0000-C300-000002000000}" name="POS" dataDxfId="885"/>
    <tableColumn id="3" xr3:uid="{00000000-0010-0000-C300-000003000000}" name="Age" dataDxfId="884"/>
    <tableColumn id="4" xr3:uid="{00000000-0010-0000-C300-000004000000}" name="Exp" dataDxfId="883"/>
    <tableColumn id="5" xr3:uid="{00000000-0010-0000-C300-000005000000}" name="College" dataDxfId="882"/>
    <tableColumn id="6" xr3:uid="{00000000-0010-0000-C300-000006000000}" name="team" dataDxfId="881"/>
    <tableColumn id="7" xr3:uid="{00000000-0010-0000-C300-000007000000}" name="g" dataDxfId="880"/>
    <tableColumn id="8" xr3:uid="{00000000-0010-0000-C300-000008000000}" name="p_att" dataDxfId="879"/>
    <tableColumn id="9" xr3:uid="{00000000-0010-0000-C300-000009000000}" name="cmp" dataDxfId="878"/>
    <tableColumn id="10" xr3:uid="{00000000-0010-0000-C300-00000A000000}" name="p_yd" dataDxfId="877"/>
    <tableColumn id="11" xr3:uid="{00000000-0010-0000-C300-00000B000000}" name="p_td" dataDxfId="876"/>
    <tableColumn id="12" xr3:uid="{00000000-0010-0000-C300-00000C000000}" name="int" dataDxfId="875"/>
    <tableColumn id="13" xr3:uid="{00000000-0010-0000-C300-00000D000000}" name="car" dataDxfId="874"/>
    <tableColumn id="14" xr3:uid="{00000000-0010-0000-C300-00000E000000}" name="r_yd" dataDxfId="873"/>
    <tableColumn id="15" xr3:uid="{00000000-0010-0000-C300-00000F000000}" name="r_td" dataDxfId="872"/>
    <tableColumn id="16" xr3:uid="{00000000-0010-0000-C300-000010000000}" name="tgt" dataDxfId="871"/>
    <tableColumn id="17" xr3:uid="{00000000-0010-0000-C300-000011000000}" name="rec" dataDxfId="870"/>
    <tableColumn id="18" xr3:uid="{00000000-0010-0000-C300-000012000000}" name="rec_yd" dataDxfId="869"/>
    <tableColumn id="19" xr3:uid="{00000000-0010-0000-C300-000013000000}" name="rec_td" dataDxfId="868"/>
    <tableColumn id="20" xr3:uid="{00000000-0010-0000-C300-000014000000}" name="fmb" dataDxfId="867"/>
    <tableColumn id="21" xr3:uid="{00000000-0010-0000-C300-000015000000}" name="tp_c" dataDxfId="866"/>
    <tableColumn id="22" xr3:uid="{00000000-0010-0000-C300-000016000000}" name="f_ppr" dataDxfId="865">
      <calculatedColumnFormula>($J76*0.04)+($K76*4)+($L76*-2)+($N76*0.1)+($O76*6)+($Q76)+($R76*0.1)+($S76*6)+($T76*-2)</calculatedColumnFormula>
    </tableColumn>
    <tableColumn id="23" xr3:uid="{00000000-0010-0000-C300-000017000000}" name="tgt_share" dataDxfId="864">
      <calculatedColumnFormula>$P76/$H$33</calculatedColumnFormula>
    </tableColumn>
    <tableColumn id="24" xr3:uid="{00000000-0010-0000-C300-000018000000}" name="ypc" dataDxfId="863">
      <calculatedColumnFormula>$N76/$M76</calculatedColumnFormula>
    </tableColumn>
    <tableColumn id="25" xr3:uid="{00000000-0010-0000-C300-000019000000}" name="ypr" dataDxfId="862">
      <calculatedColumnFormula>$R76/$Q76</calculatedColumnFormula>
    </tableColumn>
    <tableColumn id="26" xr3:uid="{00000000-0010-0000-C300-00001A000000}" name="cmp_pct" dataDxfId="861">
      <calculatedColumnFormula>$I76/$H76</calculatedColumnFormula>
    </tableColumn>
    <tableColumn id="27" xr3:uid="{00000000-0010-0000-C300-00001B000000}" name="td_rate" dataDxfId="860">
      <calculatedColumnFormula>$K76/$H76</calculatedColumnFormula>
    </tableColumn>
    <tableColumn id="28" xr3:uid="{00000000-0010-0000-C300-00001C000000}" name="f_custom" dataDxfId="85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00000000-000C-0000-FFFF-FFFFC4000000}" name="SF_Table1" displayName="SF_Table1" ref="A1:Y21" totalsRowShown="0" headerRowDxfId="857" dataDxfId="831">
  <autoFilter ref="A1:Y21" xr:uid="{00000000-0009-0000-0100-0000C7000000}"/>
  <tableColumns count="25">
    <tableColumn id="1" xr3:uid="{00000000-0010-0000-C400-000001000000}" name="player_name" dataDxfId="856"/>
    <tableColumn id="2" xr3:uid="{00000000-0010-0000-C400-000002000000}" name="recent_team" dataDxfId="855"/>
    <tableColumn id="3" xr3:uid="{00000000-0010-0000-C400-000003000000}" name="pos" dataDxfId="854"/>
    <tableColumn id="4" xr3:uid="{00000000-0010-0000-C400-000004000000}" name="g" dataDxfId="853"/>
    <tableColumn id="5" xr3:uid="{00000000-0010-0000-C400-000005000000}" name="p_att" dataDxfId="852"/>
    <tableColumn id="6" xr3:uid="{00000000-0010-0000-C400-000006000000}" name="cmp" dataDxfId="851"/>
    <tableColumn id="7" xr3:uid="{00000000-0010-0000-C400-000007000000}" name="p_yd" dataDxfId="850"/>
    <tableColumn id="8" xr3:uid="{00000000-0010-0000-C400-000008000000}" name="p_td" dataDxfId="849"/>
    <tableColumn id="9" xr3:uid="{00000000-0010-0000-C400-000009000000}" name="int" dataDxfId="848"/>
    <tableColumn id="10" xr3:uid="{00000000-0010-0000-C400-00000A000000}" name="car" dataDxfId="847"/>
    <tableColumn id="11" xr3:uid="{00000000-0010-0000-C400-00000B000000}" name="r_yd" dataDxfId="846"/>
    <tableColumn id="12" xr3:uid="{00000000-0010-0000-C400-00000C000000}" name="r_td" dataDxfId="845"/>
    <tableColumn id="13" xr3:uid="{00000000-0010-0000-C400-00000D000000}" name="tgt" dataDxfId="844"/>
    <tableColumn id="14" xr3:uid="{00000000-0010-0000-C400-00000E000000}" name="rec" dataDxfId="843"/>
    <tableColumn id="15" xr3:uid="{00000000-0010-0000-C400-00000F000000}" name="rec_yd" dataDxfId="842"/>
    <tableColumn id="16" xr3:uid="{00000000-0010-0000-C400-000010000000}" name="rec_td" dataDxfId="841"/>
    <tableColumn id="17" xr3:uid="{00000000-0010-0000-C400-000011000000}" name="fmb" dataDxfId="840"/>
    <tableColumn id="18" xr3:uid="{00000000-0010-0000-C400-000012000000}" name="tp_c" dataDxfId="839"/>
    <tableColumn id="19" xr3:uid="{00000000-0010-0000-C400-000013000000}" name="f_ppr" dataDxfId="838"/>
    <tableColumn id="20" xr3:uid="{00000000-0010-0000-C400-000014000000}" name="tgt_share" dataDxfId="837"/>
    <tableColumn id="21" xr3:uid="{00000000-0010-0000-C400-000015000000}" name="ypc" dataDxfId="836"/>
    <tableColumn id="22" xr3:uid="{00000000-0010-0000-C400-000016000000}" name="ypr" dataDxfId="835"/>
    <tableColumn id="23" xr3:uid="{00000000-0010-0000-C400-000017000000}" name="cmp_pct" dataDxfId="834"/>
    <tableColumn id="24" xr3:uid="{00000000-0010-0000-C400-000018000000}" name="td_rate" dataDxfId="833"/>
    <tableColumn id="25" xr3:uid="{7C67AEF2-229F-4F28-9EF0-C85F8AF59E8A}" name="f_custom" dataDxfId="83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0000000-000C-0000-FFFF-FFFFC5000000}" name="SF_Table2" displayName="SF_Table2" ref="A30:M31" totalsRowShown="0" headerRowDxfId="830" dataDxfId="816">
  <autoFilter ref="A30:M31" xr:uid="{00000000-0009-0000-0100-0000C8000000}"/>
  <tableColumns count="13">
    <tableColumn id="1" xr3:uid="{00000000-0010-0000-C500-000001000000}" name="team" dataDxfId="829"/>
    <tableColumn id="2" xr3:uid="{00000000-0010-0000-C500-000002000000}" name="off_yd" dataDxfId="828"/>
    <tableColumn id="3" xr3:uid="{00000000-0010-0000-C500-000003000000}" name="p_yd" dataDxfId="827"/>
    <tableColumn id="4" xr3:uid="{00000000-0010-0000-C500-000004000000}" name="car" dataDxfId="826"/>
    <tableColumn id="5" xr3:uid="{00000000-0010-0000-C500-000005000000}" name="r_yd" dataDxfId="825"/>
    <tableColumn id="6" xr3:uid="{00000000-0010-0000-C500-000006000000}" name="r_td" dataDxfId="824"/>
    <tableColumn id="7" xr3:uid="{00000000-0010-0000-C500-000007000000}" name="p_ff" dataDxfId="823"/>
    <tableColumn id="8" xr3:uid="{00000000-0010-0000-C500-000008000000}" name="p_att" dataDxfId="822"/>
    <tableColumn id="9" xr3:uid="{00000000-0010-0000-C500-000009000000}" name="cmp_pct" dataDxfId="821"/>
    <tableColumn id="10" xr3:uid="{00000000-0010-0000-C500-00000A000000}" name="p_td" dataDxfId="820"/>
    <tableColumn id="11" xr3:uid="{00000000-0010-0000-C500-00000B000000}" name="int" dataDxfId="819"/>
    <tableColumn id="12" xr3:uid="{00000000-0010-0000-C500-00000C000000}" name="fmb" dataDxfId="818"/>
    <tableColumn id="13" xr3:uid="{C2F9201A-1C03-4426-B361-C103603CFC33}" name="f_custom" dataDxfId="81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00000000-000C-0000-FFFF-FFFFC6000000}" name="SF_Table3" displayName="SF_Table3" ref="A32:M33" totalsRowShown="0" headerRowDxfId="815" dataDxfId="801">
  <autoFilter ref="A32:M33" xr:uid="{00000000-0009-0000-0100-0000C9000000}"/>
  <tableColumns count="13">
    <tableColumn id="1" xr3:uid="{00000000-0010-0000-C600-000001000000}" name="team" dataDxfId="814">
      <calculatedColumnFormula>A31</calculatedColumnFormula>
    </tableColumn>
    <tableColumn id="2" xr3:uid="{00000000-0010-0000-C600-000002000000}" name="off_yd" dataDxfId="813">
      <calculatedColumnFormula>C33 + E33</calculatedColumnFormula>
    </tableColumn>
    <tableColumn id="3" xr3:uid="{00000000-0010-0000-C600-000003000000}" name="p_yd" dataDxfId="812">
      <calculatedColumnFormula>SUM(INDIRECT(A33 &amp; "_Table4[[#All],[p_yd]]"))</calculatedColumnFormula>
    </tableColumn>
    <tableColumn id="4" xr3:uid="{00000000-0010-0000-C600-000004000000}" name="car" dataDxfId="81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600-000005000000}" name="r_yd" dataDxfId="81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600-000006000000}" name="r_td" dataDxfId="80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600-000007000000}" name="p_ff" dataDxfId="80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600-000008000000}" name="p_att" dataDxfId="80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600-000009000000}" name="cmp_pct" dataDxfId="806">
      <calculatedColumnFormula>SUM(INDIRECT(A33 &amp; "_Table4[[#All],[cmp]]"))/H33</calculatedColumnFormula>
    </tableColumn>
    <tableColumn id="10" xr3:uid="{00000000-0010-0000-C600-00000A000000}" name="p_td" dataDxfId="80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600-00000B000000}" name="int" dataDxfId="80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600-00000C000000}" name="fmb" dataDxfId="80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D9D2BD9A-45A2-4107-8924-013B68E7C763}" name="f_custom" dataDxfId="80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00000000-000C-0000-FFFF-FFFFC7000000}" name="SF_Table4" displayName="SF_Table4" ref="A35:AB39" totalsRowShown="0" headerRowDxfId="800" dataDxfId="771">
  <autoFilter ref="A35:AB39" xr:uid="{00000000-0009-0000-0100-0000CA000000}"/>
  <tableColumns count="28">
    <tableColumn id="1" xr3:uid="{00000000-0010-0000-C700-000001000000}" name="Name" dataDxfId="799"/>
    <tableColumn id="2" xr3:uid="{00000000-0010-0000-C700-000002000000}" name="POS" dataDxfId="798"/>
    <tableColumn id="3" xr3:uid="{00000000-0010-0000-C700-000003000000}" name="Age" dataDxfId="797"/>
    <tableColumn id="4" xr3:uid="{00000000-0010-0000-C700-000004000000}" name="Exp" dataDxfId="796"/>
    <tableColumn id="5" xr3:uid="{00000000-0010-0000-C700-000005000000}" name="College" dataDxfId="795"/>
    <tableColumn id="6" xr3:uid="{00000000-0010-0000-C700-000006000000}" name="team" dataDxfId="794"/>
    <tableColumn id="7" xr3:uid="{00000000-0010-0000-C700-000007000000}" name="g" dataDxfId="793"/>
    <tableColumn id="8" xr3:uid="{00000000-0010-0000-C700-000008000000}" name="p_att" dataDxfId="792"/>
    <tableColumn id="9" xr3:uid="{00000000-0010-0000-C700-000009000000}" name="cmp" dataDxfId="791"/>
    <tableColumn id="10" xr3:uid="{00000000-0010-0000-C700-00000A000000}" name="p_yd" dataDxfId="790"/>
    <tableColumn id="11" xr3:uid="{00000000-0010-0000-C700-00000B000000}" name="p_td" dataDxfId="789"/>
    <tableColumn id="12" xr3:uid="{00000000-0010-0000-C700-00000C000000}" name="int" dataDxfId="788"/>
    <tableColumn id="13" xr3:uid="{00000000-0010-0000-C700-00000D000000}" name="car" dataDxfId="787"/>
    <tableColumn id="14" xr3:uid="{00000000-0010-0000-C700-00000E000000}" name="r_yd" dataDxfId="786"/>
    <tableColumn id="15" xr3:uid="{00000000-0010-0000-C700-00000F000000}" name="r_td" dataDxfId="785"/>
    <tableColumn id="16" xr3:uid="{00000000-0010-0000-C700-000010000000}" name="tgt" dataDxfId="784"/>
    <tableColumn id="17" xr3:uid="{00000000-0010-0000-C700-000011000000}" name="rec" dataDxfId="783"/>
    <tableColumn id="18" xr3:uid="{00000000-0010-0000-C700-000012000000}" name="rec_yd" dataDxfId="782"/>
    <tableColumn id="19" xr3:uid="{00000000-0010-0000-C700-000013000000}" name="rec_td" dataDxfId="781"/>
    <tableColumn id="20" xr3:uid="{00000000-0010-0000-C700-000014000000}" name="fmb" dataDxfId="780"/>
    <tableColumn id="21" xr3:uid="{00000000-0010-0000-C700-000015000000}" name="tp_c" dataDxfId="779"/>
    <tableColumn id="22" xr3:uid="{00000000-0010-0000-C700-000016000000}" name="f_ppr" dataDxfId="778">
      <calculatedColumnFormula>($J36*0.04)+($K36*4)+($L36*-2)+($N36*0.1)+($O36*6)+($Q36)+($R36*0.1)+($S36*6)+($T36*-2)</calculatedColumnFormula>
    </tableColumn>
    <tableColumn id="23" xr3:uid="{00000000-0010-0000-C700-000017000000}" name="tgt_share" dataDxfId="777">
      <calculatedColumnFormula>$P36/$H$33</calculatedColumnFormula>
    </tableColumn>
    <tableColumn id="24" xr3:uid="{00000000-0010-0000-C700-000018000000}" name="ypc" dataDxfId="776">
      <calculatedColumnFormula>$N36/$M36</calculatedColumnFormula>
    </tableColumn>
    <tableColumn id="25" xr3:uid="{00000000-0010-0000-C700-000019000000}" name="ypr" dataDxfId="775">
      <calculatedColumnFormula>$R36/$Q36</calculatedColumnFormula>
    </tableColumn>
    <tableColumn id="26" xr3:uid="{00000000-0010-0000-C700-00001A000000}" name="cmp_pct" dataDxfId="774">
      <calculatedColumnFormula>$I36/$H36</calculatedColumnFormula>
    </tableColumn>
    <tableColumn id="27" xr3:uid="{00000000-0010-0000-C700-00001B000000}" name="td_rate" dataDxfId="773">
      <calculatedColumnFormula>$K36/$H36</calculatedColumnFormula>
    </tableColumn>
    <tableColumn id="28" xr3:uid="{00000000-0010-0000-C700-00001C000000}" name="f_custom" dataDxfId="77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00000000-000C-0000-FFFF-FFFFC8000000}" name="SF_Table5" displayName="SF_Table5" ref="A45:AB51" totalsRowShown="0" headerRowDxfId="770" dataDxfId="741">
  <autoFilter ref="A45:AB51" xr:uid="{00000000-0009-0000-0100-0000CB000000}"/>
  <tableColumns count="28">
    <tableColumn id="1" xr3:uid="{00000000-0010-0000-C800-000001000000}" name="Name" dataDxfId="769"/>
    <tableColumn id="2" xr3:uid="{00000000-0010-0000-C800-000002000000}" name="POS" dataDxfId="768"/>
    <tableColumn id="3" xr3:uid="{00000000-0010-0000-C800-000003000000}" name="Age" dataDxfId="767"/>
    <tableColumn id="4" xr3:uid="{00000000-0010-0000-C800-000004000000}" name="Exp" dataDxfId="766"/>
    <tableColumn id="5" xr3:uid="{00000000-0010-0000-C800-000005000000}" name="College" dataDxfId="765"/>
    <tableColumn id="6" xr3:uid="{00000000-0010-0000-C800-000006000000}" name="team" dataDxfId="764"/>
    <tableColumn id="7" xr3:uid="{00000000-0010-0000-C800-000007000000}" name="g" dataDxfId="763"/>
    <tableColumn id="8" xr3:uid="{00000000-0010-0000-C800-000008000000}" name="p_att" dataDxfId="762"/>
    <tableColumn id="9" xr3:uid="{00000000-0010-0000-C800-000009000000}" name="cmp" dataDxfId="761"/>
    <tableColumn id="10" xr3:uid="{00000000-0010-0000-C800-00000A000000}" name="p_yd" dataDxfId="760"/>
    <tableColumn id="11" xr3:uid="{00000000-0010-0000-C800-00000B000000}" name="p_td" dataDxfId="759"/>
    <tableColumn id="12" xr3:uid="{00000000-0010-0000-C800-00000C000000}" name="int" dataDxfId="758"/>
    <tableColumn id="13" xr3:uid="{00000000-0010-0000-C800-00000D000000}" name="car" dataDxfId="757"/>
    <tableColumn id="14" xr3:uid="{00000000-0010-0000-C800-00000E000000}" name="r_yd" dataDxfId="756"/>
    <tableColumn id="15" xr3:uid="{00000000-0010-0000-C800-00000F000000}" name="r_td" dataDxfId="755"/>
    <tableColumn id="16" xr3:uid="{00000000-0010-0000-C800-000010000000}" name="tgt" dataDxfId="754"/>
    <tableColumn id="17" xr3:uid="{00000000-0010-0000-C800-000011000000}" name="rec" dataDxfId="753"/>
    <tableColumn id="18" xr3:uid="{00000000-0010-0000-C800-000012000000}" name="rec_yd" dataDxfId="752"/>
    <tableColumn id="19" xr3:uid="{00000000-0010-0000-C800-000013000000}" name="rec_td" dataDxfId="751"/>
    <tableColumn id="20" xr3:uid="{00000000-0010-0000-C800-000014000000}" name="fmb" dataDxfId="750"/>
    <tableColumn id="21" xr3:uid="{00000000-0010-0000-C800-000015000000}" name="tp_c" dataDxfId="749"/>
    <tableColumn id="22" xr3:uid="{00000000-0010-0000-C800-000016000000}" name="f_ppr" dataDxfId="748">
      <calculatedColumnFormula>($J46*0.04)+($K46*4)+($L46*-2)+($N46*0.1)+($O46*6)+($Q46)+($R46*0.1)+($S46*6)+($T46*-2)</calculatedColumnFormula>
    </tableColumn>
    <tableColumn id="23" xr3:uid="{00000000-0010-0000-C800-000017000000}" name="tgt_share" dataDxfId="747">
      <calculatedColumnFormula>$P46/$H$33</calculatedColumnFormula>
    </tableColumn>
    <tableColumn id="24" xr3:uid="{00000000-0010-0000-C800-000018000000}" name="ypc" dataDxfId="746">
      <calculatedColumnFormula>$N46/$M46</calculatedColumnFormula>
    </tableColumn>
    <tableColumn id="25" xr3:uid="{00000000-0010-0000-C800-000019000000}" name="ypr" dataDxfId="745">
      <calculatedColumnFormula>$R46/$Q46</calculatedColumnFormula>
    </tableColumn>
    <tableColumn id="26" xr3:uid="{00000000-0010-0000-C800-00001A000000}" name="cmp_pct" dataDxfId="744">
      <calculatedColumnFormula>$I46/$H46</calculatedColumnFormula>
    </tableColumn>
    <tableColumn id="27" xr3:uid="{00000000-0010-0000-C800-00001B000000}" name="td_rate" dataDxfId="743">
      <calculatedColumnFormula>$K46/$H46</calculatedColumnFormula>
    </tableColumn>
    <tableColumn id="28" xr3:uid="{00000000-0010-0000-C800-00001C000000}" name="f_custom" dataDxfId="74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00000000-000C-0000-FFFF-FFFFC9000000}" name="SF_Table6" displayName="SF_Table6" ref="A60:AB71" totalsRowShown="0" headerRowDxfId="740" dataDxfId="711">
  <autoFilter ref="A60:AB71" xr:uid="{00000000-0009-0000-0100-0000CC000000}"/>
  <tableColumns count="28">
    <tableColumn id="1" xr3:uid="{00000000-0010-0000-C900-000001000000}" name="Name" dataDxfId="739"/>
    <tableColumn id="2" xr3:uid="{00000000-0010-0000-C900-000002000000}" name="POS" dataDxfId="738"/>
    <tableColumn id="3" xr3:uid="{00000000-0010-0000-C900-000003000000}" name="Age" dataDxfId="737"/>
    <tableColumn id="4" xr3:uid="{00000000-0010-0000-C900-000004000000}" name="Exp" dataDxfId="736"/>
    <tableColumn id="5" xr3:uid="{00000000-0010-0000-C900-000005000000}" name="College" dataDxfId="735"/>
    <tableColumn id="6" xr3:uid="{00000000-0010-0000-C900-000006000000}" name="team" dataDxfId="734"/>
    <tableColumn id="7" xr3:uid="{00000000-0010-0000-C900-000007000000}" name="g" dataDxfId="733"/>
    <tableColumn id="8" xr3:uid="{00000000-0010-0000-C900-000008000000}" name="p_att" dataDxfId="732"/>
    <tableColumn id="9" xr3:uid="{00000000-0010-0000-C900-000009000000}" name="cmp" dataDxfId="731"/>
    <tableColumn id="10" xr3:uid="{00000000-0010-0000-C900-00000A000000}" name="p_yd" dataDxfId="730"/>
    <tableColumn id="11" xr3:uid="{00000000-0010-0000-C900-00000B000000}" name="p_td" dataDxfId="729"/>
    <tableColumn id="12" xr3:uid="{00000000-0010-0000-C900-00000C000000}" name="int" dataDxfId="728"/>
    <tableColumn id="13" xr3:uid="{00000000-0010-0000-C900-00000D000000}" name="car" dataDxfId="727"/>
    <tableColumn id="14" xr3:uid="{00000000-0010-0000-C900-00000E000000}" name="r_yd" dataDxfId="726"/>
    <tableColumn id="15" xr3:uid="{00000000-0010-0000-C900-00000F000000}" name="r_td" dataDxfId="725"/>
    <tableColumn id="16" xr3:uid="{00000000-0010-0000-C900-000010000000}" name="tgt" dataDxfId="724"/>
    <tableColumn id="17" xr3:uid="{00000000-0010-0000-C900-000011000000}" name="rec" dataDxfId="723"/>
    <tableColumn id="18" xr3:uid="{00000000-0010-0000-C900-000012000000}" name="rec_yd" dataDxfId="722"/>
    <tableColumn id="19" xr3:uid="{00000000-0010-0000-C900-000013000000}" name="rec_td" dataDxfId="721"/>
    <tableColumn id="20" xr3:uid="{00000000-0010-0000-C900-000014000000}" name="fmb" dataDxfId="720"/>
    <tableColumn id="21" xr3:uid="{00000000-0010-0000-C900-000015000000}" name="tp_c" dataDxfId="719"/>
    <tableColumn id="22" xr3:uid="{00000000-0010-0000-C900-000016000000}" name="f_ppr" dataDxfId="718">
      <calculatedColumnFormula>($J61*0.04)+($K61*4)+($L61*-2)+($N61*0.1)+($O61*6)+($Q61)+($R61*0.1)+($S61*6)+($T61*-2)</calculatedColumnFormula>
    </tableColumn>
    <tableColumn id="23" xr3:uid="{00000000-0010-0000-C900-000017000000}" name="tgt_share" dataDxfId="717">
      <calculatedColumnFormula>$P61/$H$33</calculatedColumnFormula>
    </tableColumn>
    <tableColumn id="24" xr3:uid="{00000000-0010-0000-C900-000018000000}" name="ypc" dataDxfId="716">
      <calculatedColumnFormula>$N61/$M61</calculatedColumnFormula>
    </tableColumn>
    <tableColumn id="25" xr3:uid="{00000000-0010-0000-C900-000019000000}" name="ypr" dataDxfId="715">
      <calculatedColumnFormula>$R61/$Q61</calculatedColumnFormula>
    </tableColumn>
    <tableColumn id="26" xr3:uid="{00000000-0010-0000-C900-00001A000000}" name="cmp_pct" dataDxfId="714">
      <calculatedColumnFormula>$I61/$H61</calculatedColumnFormula>
    </tableColumn>
    <tableColumn id="27" xr3:uid="{00000000-0010-0000-C900-00001B000000}" name="td_rate" dataDxfId="713">
      <calculatedColumnFormula>$K61/$H61</calculatedColumnFormula>
    </tableColumn>
    <tableColumn id="28" xr3:uid="{00000000-0010-0000-C900-00001C000000}" name="f_custom" dataDxfId="71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00000000-000C-0000-FFFF-FFFFCA000000}" name="SF_Table7" displayName="SF_Table7" ref="A75:AB81" totalsRowShown="0" headerRowDxfId="710" dataDxfId="681">
  <autoFilter ref="A75:AB81" xr:uid="{00000000-0009-0000-0100-0000CD000000}"/>
  <tableColumns count="28">
    <tableColumn id="1" xr3:uid="{00000000-0010-0000-CA00-000001000000}" name="Name" dataDxfId="709"/>
    <tableColumn id="2" xr3:uid="{00000000-0010-0000-CA00-000002000000}" name="POS" dataDxfId="708"/>
    <tableColumn id="3" xr3:uid="{00000000-0010-0000-CA00-000003000000}" name="Age" dataDxfId="707"/>
    <tableColumn id="4" xr3:uid="{00000000-0010-0000-CA00-000004000000}" name="Exp" dataDxfId="706"/>
    <tableColumn id="5" xr3:uid="{00000000-0010-0000-CA00-000005000000}" name="College" dataDxfId="705"/>
    <tableColumn id="6" xr3:uid="{00000000-0010-0000-CA00-000006000000}" name="team" dataDxfId="704"/>
    <tableColumn id="7" xr3:uid="{00000000-0010-0000-CA00-000007000000}" name="g" dataDxfId="703"/>
    <tableColumn id="8" xr3:uid="{00000000-0010-0000-CA00-000008000000}" name="p_att" dataDxfId="702"/>
    <tableColumn id="9" xr3:uid="{00000000-0010-0000-CA00-000009000000}" name="cmp" dataDxfId="701"/>
    <tableColumn id="10" xr3:uid="{00000000-0010-0000-CA00-00000A000000}" name="p_yd" dataDxfId="700"/>
    <tableColumn id="11" xr3:uid="{00000000-0010-0000-CA00-00000B000000}" name="p_td" dataDxfId="699"/>
    <tableColumn id="12" xr3:uid="{00000000-0010-0000-CA00-00000C000000}" name="int" dataDxfId="698"/>
    <tableColumn id="13" xr3:uid="{00000000-0010-0000-CA00-00000D000000}" name="car" dataDxfId="697"/>
    <tableColumn id="14" xr3:uid="{00000000-0010-0000-CA00-00000E000000}" name="r_yd" dataDxfId="696"/>
    <tableColumn id="15" xr3:uid="{00000000-0010-0000-CA00-00000F000000}" name="r_td" dataDxfId="695"/>
    <tableColumn id="16" xr3:uid="{00000000-0010-0000-CA00-000010000000}" name="tgt" dataDxfId="694"/>
    <tableColumn id="17" xr3:uid="{00000000-0010-0000-CA00-000011000000}" name="rec" dataDxfId="693"/>
    <tableColumn id="18" xr3:uid="{00000000-0010-0000-CA00-000012000000}" name="rec_yd" dataDxfId="692"/>
    <tableColumn id="19" xr3:uid="{00000000-0010-0000-CA00-000013000000}" name="rec_td" dataDxfId="691"/>
    <tableColumn id="20" xr3:uid="{00000000-0010-0000-CA00-000014000000}" name="fmb" dataDxfId="690"/>
    <tableColumn id="21" xr3:uid="{00000000-0010-0000-CA00-000015000000}" name="tp_c" dataDxfId="689"/>
    <tableColumn id="22" xr3:uid="{00000000-0010-0000-CA00-000016000000}" name="f_ppr" dataDxfId="688">
      <calculatedColumnFormula>($J76*0.04)+($K76*4)+($L76*-2)+($N76*0.1)+($O76*6)+($Q76)+($R76*0.1)+($S76*6)+($T76*-2)</calculatedColumnFormula>
    </tableColumn>
    <tableColumn id="23" xr3:uid="{00000000-0010-0000-CA00-000017000000}" name="tgt_share" dataDxfId="687">
      <calculatedColumnFormula>$P76/$H$33</calculatedColumnFormula>
    </tableColumn>
    <tableColumn id="24" xr3:uid="{00000000-0010-0000-CA00-000018000000}" name="ypc" dataDxfId="686">
      <calculatedColumnFormula>$N76/$M76</calculatedColumnFormula>
    </tableColumn>
    <tableColumn id="25" xr3:uid="{00000000-0010-0000-CA00-000019000000}" name="ypr" dataDxfId="685">
      <calculatedColumnFormula>$R76/$Q76</calculatedColumnFormula>
    </tableColumn>
    <tableColumn id="26" xr3:uid="{00000000-0010-0000-CA00-00001A000000}" name="cmp_pct" dataDxfId="684">
      <calculatedColumnFormula>$I76/$H76</calculatedColumnFormula>
    </tableColumn>
    <tableColumn id="27" xr3:uid="{00000000-0010-0000-CA00-00001B000000}" name="td_rate" dataDxfId="683">
      <calculatedColumnFormula>$K76/$H76</calculatedColumnFormula>
    </tableColumn>
    <tableColumn id="28" xr3:uid="{00000000-0010-0000-CA00-00001C000000}" name="f_custom" dataDxfId="68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00000000-000C-0000-FFFF-FFFFCB000000}" name="TB_Table1" displayName="TB_Table1" ref="A1:Y21" totalsRowShown="0" headerRowDxfId="680" dataDxfId="654">
  <autoFilter ref="A1:Y21" xr:uid="{00000000-0009-0000-0100-0000CE000000}"/>
  <tableColumns count="25">
    <tableColumn id="1" xr3:uid="{00000000-0010-0000-CB00-000001000000}" name="player_name" dataDxfId="679"/>
    <tableColumn id="2" xr3:uid="{00000000-0010-0000-CB00-000002000000}" name="recent_team" dataDxfId="678"/>
    <tableColumn id="3" xr3:uid="{00000000-0010-0000-CB00-000003000000}" name="pos" dataDxfId="677"/>
    <tableColumn id="4" xr3:uid="{00000000-0010-0000-CB00-000004000000}" name="g" dataDxfId="676"/>
    <tableColumn id="5" xr3:uid="{00000000-0010-0000-CB00-000005000000}" name="p_att" dataDxfId="675"/>
    <tableColumn id="6" xr3:uid="{00000000-0010-0000-CB00-000006000000}" name="cmp" dataDxfId="674"/>
    <tableColumn id="7" xr3:uid="{00000000-0010-0000-CB00-000007000000}" name="p_yd" dataDxfId="673"/>
    <tableColumn id="8" xr3:uid="{00000000-0010-0000-CB00-000008000000}" name="p_td" dataDxfId="672"/>
    <tableColumn id="9" xr3:uid="{00000000-0010-0000-CB00-000009000000}" name="int" dataDxfId="671"/>
    <tableColumn id="10" xr3:uid="{00000000-0010-0000-CB00-00000A000000}" name="car" dataDxfId="670"/>
    <tableColumn id="11" xr3:uid="{00000000-0010-0000-CB00-00000B000000}" name="r_yd" dataDxfId="669"/>
    <tableColumn id="12" xr3:uid="{00000000-0010-0000-CB00-00000C000000}" name="r_td" dataDxfId="668"/>
    <tableColumn id="13" xr3:uid="{00000000-0010-0000-CB00-00000D000000}" name="tgt" dataDxfId="667"/>
    <tableColumn id="14" xr3:uid="{00000000-0010-0000-CB00-00000E000000}" name="rec" dataDxfId="666"/>
    <tableColumn id="15" xr3:uid="{00000000-0010-0000-CB00-00000F000000}" name="rec_yd" dataDxfId="665"/>
    <tableColumn id="16" xr3:uid="{00000000-0010-0000-CB00-000010000000}" name="rec_td" dataDxfId="664"/>
    <tableColumn id="17" xr3:uid="{00000000-0010-0000-CB00-000011000000}" name="fmb" dataDxfId="663"/>
    <tableColumn id="18" xr3:uid="{00000000-0010-0000-CB00-000012000000}" name="tp_c" dataDxfId="662"/>
    <tableColumn id="19" xr3:uid="{00000000-0010-0000-CB00-000013000000}" name="f_ppr" dataDxfId="661"/>
    <tableColumn id="20" xr3:uid="{00000000-0010-0000-CB00-000014000000}" name="tgt_share" dataDxfId="660"/>
    <tableColumn id="21" xr3:uid="{00000000-0010-0000-CB00-000015000000}" name="ypc" dataDxfId="659"/>
    <tableColumn id="22" xr3:uid="{00000000-0010-0000-CB00-000016000000}" name="ypr" dataDxfId="658"/>
    <tableColumn id="23" xr3:uid="{00000000-0010-0000-CB00-000017000000}" name="cmp_pct" dataDxfId="657"/>
    <tableColumn id="24" xr3:uid="{00000000-0010-0000-CB00-000018000000}" name="td_rate" dataDxfId="656"/>
    <tableColumn id="25" xr3:uid="{40E2DF62-D837-4C8D-B7F0-EB56ADF33B48}" name="f_custom" dataDxfId="65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00000000-000C-0000-FFFF-FFFFCC000000}" name="TB_Table2" displayName="TB_Table2" ref="A30:M31" totalsRowShown="0" headerRowDxfId="653" dataDxfId="639">
  <autoFilter ref="A30:M31" xr:uid="{00000000-0009-0000-0100-0000CF000000}"/>
  <tableColumns count="13">
    <tableColumn id="1" xr3:uid="{00000000-0010-0000-CC00-000001000000}" name="team" dataDxfId="652"/>
    <tableColumn id="2" xr3:uid="{00000000-0010-0000-CC00-000002000000}" name="off_yd" dataDxfId="651"/>
    <tableColumn id="3" xr3:uid="{00000000-0010-0000-CC00-000003000000}" name="p_yd" dataDxfId="650"/>
    <tableColumn id="4" xr3:uid="{00000000-0010-0000-CC00-000004000000}" name="car" dataDxfId="649"/>
    <tableColumn id="5" xr3:uid="{00000000-0010-0000-CC00-000005000000}" name="r_yd" dataDxfId="648"/>
    <tableColumn id="6" xr3:uid="{00000000-0010-0000-CC00-000006000000}" name="r_td" dataDxfId="647"/>
    <tableColumn id="7" xr3:uid="{00000000-0010-0000-CC00-000007000000}" name="p_ff" dataDxfId="646"/>
    <tableColumn id="8" xr3:uid="{00000000-0010-0000-CC00-000008000000}" name="p_att" dataDxfId="645"/>
    <tableColumn id="9" xr3:uid="{00000000-0010-0000-CC00-000009000000}" name="cmp_pct" dataDxfId="644"/>
    <tableColumn id="10" xr3:uid="{00000000-0010-0000-CC00-00000A000000}" name="p_td" dataDxfId="643"/>
    <tableColumn id="11" xr3:uid="{00000000-0010-0000-CC00-00000B000000}" name="int" dataDxfId="642"/>
    <tableColumn id="12" xr3:uid="{00000000-0010-0000-CC00-00000C000000}" name="fmb" dataDxfId="641"/>
    <tableColumn id="13" xr3:uid="{8A0C29D4-DEA7-47DB-AD29-7861BE3CB45B}" name="f_custom" dataDxfId="64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00000000-000C-0000-FFFF-FFFFCD000000}" name="TB_Table3" displayName="TB_Table3" ref="A32:M33" totalsRowShown="0" headerRowDxfId="638" dataDxfId="624">
  <autoFilter ref="A32:M33" xr:uid="{00000000-0009-0000-0100-0000D0000000}"/>
  <tableColumns count="13">
    <tableColumn id="1" xr3:uid="{00000000-0010-0000-CD00-000001000000}" name="team" dataDxfId="637">
      <calculatedColumnFormula>A31</calculatedColumnFormula>
    </tableColumn>
    <tableColumn id="2" xr3:uid="{00000000-0010-0000-CD00-000002000000}" name="off_yd" dataDxfId="636">
      <calculatedColumnFormula>C33 + E33</calculatedColumnFormula>
    </tableColumn>
    <tableColumn id="3" xr3:uid="{00000000-0010-0000-CD00-000003000000}" name="p_yd" dataDxfId="635">
      <calculatedColumnFormula>SUM(INDIRECT(A33 &amp; "_Table4[[#All],[p_yd]]"))</calculatedColumnFormula>
    </tableColumn>
    <tableColumn id="4" xr3:uid="{00000000-0010-0000-CD00-000004000000}" name="car" dataDxfId="63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D00-000005000000}" name="r_yd" dataDxfId="63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D00-000006000000}" name="r_td" dataDxfId="63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D00-000007000000}" name="p_ff" dataDxfId="63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D00-000008000000}" name="p_att" dataDxfId="63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D00-000009000000}" name="cmp_pct" dataDxfId="629">
      <calculatedColumnFormula>SUM(INDIRECT(A33 &amp; "_Table4[[#All],[cmp]]"))/H33</calculatedColumnFormula>
    </tableColumn>
    <tableColumn id="10" xr3:uid="{00000000-0010-0000-CD00-00000A000000}" name="p_td" dataDxfId="62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D00-00000B000000}" name="int" dataDxfId="62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D00-00000C000000}" name="fmb" dataDxfId="62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2750906-CB18-489C-A65B-BFB79CB0D793}" name="f_custom" dataDxfId="62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00000000-000C-0000-FFFF-FFFFCE000000}" name="TB_Table4" displayName="TB_Table4" ref="A35:AB38" totalsRowShown="0" headerRowDxfId="623" dataDxfId="594">
  <autoFilter ref="A35:AB38" xr:uid="{00000000-0009-0000-0100-0000D1000000}"/>
  <tableColumns count="28">
    <tableColumn id="1" xr3:uid="{00000000-0010-0000-CE00-000001000000}" name="Name" dataDxfId="622"/>
    <tableColumn id="2" xr3:uid="{00000000-0010-0000-CE00-000002000000}" name="POS" dataDxfId="621"/>
    <tableColumn id="3" xr3:uid="{00000000-0010-0000-CE00-000003000000}" name="Age" dataDxfId="620"/>
    <tableColumn id="4" xr3:uid="{00000000-0010-0000-CE00-000004000000}" name="Exp" dataDxfId="619"/>
    <tableColumn id="5" xr3:uid="{00000000-0010-0000-CE00-000005000000}" name="College" dataDxfId="618"/>
    <tableColumn id="6" xr3:uid="{00000000-0010-0000-CE00-000006000000}" name="team" dataDxfId="617"/>
    <tableColumn id="7" xr3:uid="{00000000-0010-0000-CE00-000007000000}" name="g" dataDxfId="616"/>
    <tableColumn id="8" xr3:uid="{00000000-0010-0000-CE00-000008000000}" name="p_att" dataDxfId="615"/>
    <tableColumn id="9" xr3:uid="{00000000-0010-0000-CE00-000009000000}" name="cmp" dataDxfId="614"/>
    <tableColumn id="10" xr3:uid="{00000000-0010-0000-CE00-00000A000000}" name="p_yd" dataDxfId="613"/>
    <tableColumn id="11" xr3:uid="{00000000-0010-0000-CE00-00000B000000}" name="p_td" dataDxfId="612"/>
    <tableColumn id="12" xr3:uid="{00000000-0010-0000-CE00-00000C000000}" name="int" dataDxfId="611"/>
    <tableColumn id="13" xr3:uid="{00000000-0010-0000-CE00-00000D000000}" name="car" dataDxfId="610"/>
    <tableColumn id="14" xr3:uid="{00000000-0010-0000-CE00-00000E000000}" name="r_yd" dataDxfId="609"/>
    <tableColumn id="15" xr3:uid="{00000000-0010-0000-CE00-00000F000000}" name="r_td" dataDxfId="608"/>
    <tableColumn id="16" xr3:uid="{00000000-0010-0000-CE00-000010000000}" name="tgt" dataDxfId="607"/>
    <tableColumn id="17" xr3:uid="{00000000-0010-0000-CE00-000011000000}" name="rec" dataDxfId="606"/>
    <tableColumn id="18" xr3:uid="{00000000-0010-0000-CE00-000012000000}" name="rec_yd" dataDxfId="605"/>
    <tableColumn id="19" xr3:uid="{00000000-0010-0000-CE00-000013000000}" name="rec_td" dataDxfId="604"/>
    <tableColumn id="20" xr3:uid="{00000000-0010-0000-CE00-000014000000}" name="fmb" dataDxfId="603"/>
    <tableColumn id="21" xr3:uid="{00000000-0010-0000-CE00-000015000000}" name="tp_c" dataDxfId="602"/>
    <tableColumn id="22" xr3:uid="{00000000-0010-0000-CE00-000016000000}" name="f_ppr" dataDxfId="601">
      <calculatedColumnFormula>($J36*0.04)+($K36*4)+($L36*-2)+($N36*0.1)+($O36*6)+($Q36)+($R36*0.1)+($S36*6)+($T36*-2)</calculatedColumnFormula>
    </tableColumn>
    <tableColumn id="23" xr3:uid="{00000000-0010-0000-CE00-000017000000}" name="tgt_share" dataDxfId="600">
      <calculatedColumnFormula>$P36/$H$33</calculatedColumnFormula>
    </tableColumn>
    <tableColumn id="24" xr3:uid="{00000000-0010-0000-CE00-000018000000}" name="ypc" dataDxfId="599">
      <calculatedColumnFormula>$N36/$M36</calculatedColumnFormula>
    </tableColumn>
    <tableColumn id="25" xr3:uid="{00000000-0010-0000-CE00-000019000000}" name="ypr" dataDxfId="598">
      <calculatedColumnFormula>$R36/$Q36</calculatedColumnFormula>
    </tableColumn>
    <tableColumn id="26" xr3:uid="{00000000-0010-0000-CE00-00001A000000}" name="cmp_pct" dataDxfId="597">
      <calculatedColumnFormula>$I36/$H36</calculatedColumnFormula>
    </tableColumn>
    <tableColumn id="27" xr3:uid="{00000000-0010-0000-CE00-00001B000000}" name="td_rate" dataDxfId="596">
      <calculatedColumnFormula>$K36/$H36</calculatedColumnFormula>
    </tableColumn>
    <tableColumn id="28" xr3:uid="{00000000-0010-0000-CE00-00001C000000}" name="f_custom" dataDxfId="59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00000000-000C-0000-FFFF-FFFFCF000000}" name="TB_Table5" displayName="TB_Table5" ref="A45:AB51" totalsRowShown="0" headerRowDxfId="593" dataDxfId="564">
  <autoFilter ref="A45:AB51" xr:uid="{00000000-0009-0000-0100-0000D2000000}"/>
  <tableColumns count="28">
    <tableColumn id="1" xr3:uid="{00000000-0010-0000-CF00-000001000000}" name="Name" dataDxfId="592"/>
    <tableColumn id="2" xr3:uid="{00000000-0010-0000-CF00-000002000000}" name="POS" dataDxfId="591"/>
    <tableColumn id="3" xr3:uid="{00000000-0010-0000-CF00-000003000000}" name="Age" dataDxfId="590"/>
    <tableColumn id="4" xr3:uid="{00000000-0010-0000-CF00-000004000000}" name="Exp" dataDxfId="589"/>
    <tableColumn id="5" xr3:uid="{00000000-0010-0000-CF00-000005000000}" name="College" dataDxfId="588"/>
    <tableColumn id="6" xr3:uid="{00000000-0010-0000-CF00-000006000000}" name="team" dataDxfId="587"/>
    <tableColumn id="7" xr3:uid="{00000000-0010-0000-CF00-000007000000}" name="g" dataDxfId="586"/>
    <tableColumn id="8" xr3:uid="{00000000-0010-0000-CF00-000008000000}" name="p_att" dataDxfId="585"/>
    <tableColumn id="9" xr3:uid="{00000000-0010-0000-CF00-000009000000}" name="cmp" dataDxfId="584"/>
    <tableColumn id="10" xr3:uid="{00000000-0010-0000-CF00-00000A000000}" name="p_yd" dataDxfId="583"/>
    <tableColumn id="11" xr3:uid="{00000000-0010-0000-CF00-00000B000000}" name="p_td" dataDxfId="582"/>
    <tableColumn id="12" xr3:uid="{00000000-0010-0000-CF00-00000C000000}" name="int" dataDxfId="581"/>
    <tableColumn id="13" xr3:uid="{00000000-0010-0000-CF00-00000D000000}" name="car" dataDxfId="580"/>
    <tableColumn id="14" xr3:uid="{00000000-0010-0000-CF00-00000E000000}" name="r_yd" dataDxfId="579"/>
    <tableColumn id="15" xr3:uid="{00000000-0010-0000-CF00-00000F000000}" name="r_td" dataDxfId="578"/>
    <tableColumn id="16" xr3:uid="{00000000-0010-0000-CF00-000010000000}" name="tgt" dataDxfId="577"/>
    <tableColumn id="17" xr3:uid="{00000000-0010-0000-CF00-000011000000}" name="rec" dataDxfId="576"/>
    <tableColumn id="18" xr3:uid="{00000000-0010-0000-CF00-000012000000}" name="rec_yd" dataDxfId="575"/>
    <tableColumn id="19" xr3:uid="{00000000-0010-0000-CF00-000013000000}" name="rec_td" dataDxfId="574"/>
    <tableColumn id="20" xr3:uid="{00000000-0010-0000-CF00-000014000000}" name="fmb" dataDxfId="573"/>
    <tableColumn id="21" xr3:uid="{00000000-0010-0000-CF00-000015000000}" name="tp_c" dataDxfId="572"/>
    <tableColumn id="22" xr3:uid="{00000000-0010-0000-CF00-000016000000}" name="f_ppr" dataDxfId="571">
      <calculatedColumnFormula>($J46*0.04)+($K46*4)+($L46*-2)+($N46*0.1)+($O46*6)+($Q46)+($R46*0.1)+($S46*6)+($T46*-2)</calculatedColumnFormula>
    </tableColumn>
    <tableColumn id="23" xr3:uid="{00000000-0010-0000-CF00-000017000000}" name="tgt_share" dataDxfId="570">
      <calculatedColumnFormula>$P46/$H$33</calculatedColumnFormula>
    </tableColumn>
    <tableColumn id="24" xr3:uid="{00000000-0010-0000-CF00-000018000000}" name="ypc" dataDxfId="569">
      <calculatedColumnFormula>$N46/$M46</calculatedColumnFormula>
    </tableColumn>
    <tableColumn id="25" xr3:uid="{00000000-0010-0000-CF00-000019000000}" name="ypr" dataDxfId="568">
      <calculatedColumnFormula>$R46/$Q46</calculatedColumnFormula>
    </tableColumn>
    <tableColumn id="26" xr3:uid="{00000000-0010-0000-CF00-00001A000000}" name="cmp_pct" dataDxfId="567">
      <calculatedColumnFormula>$I46/$H46</calculatedColumnFormula>
    </tableColumn>
    <tableColumn id="27" xr3:uid="{00000000-0010-0000-CF00-00001B000000}" name="td_rate" dataDxfId="566">
      <calculatedColumnFormula>$K46/$H46</calculatedColumnFormula>
    </tableColumn>
    <tableColumn id="28" xr3:uid="{00000000-0010-0000-CF00-00001C000000}" name="f_custom" dataDxfId="56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00000000-000C-0000-FFFF-FFFFD0000000}" name="TB_Table6" displayName="TB_Table6" ref="A60:AB72" totalsRowShown="0" headerRowDxfId="563" dataDxfId="534">
  <autoFilter ref="A60:AB72" xr:uid="{00000000-0009-0000-0100-0000D3000000}"/>
  <tableColumns count="28">
    <tableColumn id="1" xr3:uid="{00000000-0010-0000-D000-000001000000}" name="Name" dataDxfId="562"/>
    <tableColumn id="2" xr3:uid="{00000000-0010-0000-D000-000002000000}" name="POS" dataDxfId="561"/>
    <tableColumn id="3" xr3:uid="{00000000-0010-0000-D000-000003000000}" name="Age" dataDxfId="560"/>
    <tableColumn id="4" xr3:uid="{00000000-0010-0000-D000-000004000000}" name="Exp" dataDxfId="559"/>
    <tableColumn id="5" xr3:uid="{00000000-0010-0000-D000-000005000000}" name="College" dataDxfId="558"/>
    <tableColumn id="6" xr3:uid="{00000000-0010-0000-D000-000006000000}" name="team" dataDxfId="557"/>
    <tableColumn id="7" xr3:uid="{00000000-0010-0000-D000-000007000000}" name="g" dataDxfId="556"/>
    <tableColumn id="8" xr3:uid="{00000000-0010-0000-D000-000008000000}" name="p_att" dataDxfId="555"/>
    <tableColumn id="9" xr3:uid="{00000000-0010-0000-D000-000009000000}" name="cmp" dataDxfId="554"/>
    <tableColumn id="10" xr3:uid="{00000000-0010-0000-D000-00000A000000}" name="p_yd" dataDxfId="553"/>
    <tableColumn id="11" xr3:uid="{00000000-0010-0000-D000-00000B000000}" name="p_td" dataDxfId="552"/>
    <tableColumn id="12" xr3:uid="{00000000-0010-0000-D000-00000C000000}" name="int" dataDxfId="551"/>
    <tableColumn id="13" xr3:uid="{00000000-0010-0000-D000-00000D000000}" name="car" dataDxfId="550"/>
    <tableColumn id="14" xr3:uid="{00000000-0010-0000-D000-00000E000000}" name="r_yd" dataDxfId="549"/>
    <tableColumn id="15" xr3:uid="{00000000-0010-0000-D000-00000F000000}" name="r_td" dataDxfId="548"/>
    <tableColumn id="16" xr3:uid="{00000000-0010-0000-D000-000010000000}" name="tgt" dataDxfId="547"/>
    <tableColumn id="17" xr3:uid="{00000000-0010-0000-D000-000011000000}" name="rec" dataDxfId="546"/>
    <tableColumn id="18" xr3:uid="{00000000-0010-0000-D000-000012000000}" name="rec_yd" dataDxfId="545"/>
    <tableColumn id="19" xr3:uid="{00000000-0010-0000-D000-000013000000}" name="rec_td" dataDxfId="544"/>
    <tableColumn id="20" xr3:uid="{00000000-0010-0000-D000-000014000000}" name="fmb" dataDxfId="543"/>
    <tableColumn id="21" xr3:uid="{00000000-0010-0000-D000-000015000000}" name="tp_c" dataDxfId="542"/>
    <tableColumn id="22" xr3:uid="{00000000-0010-0000-D000-000016000000}" name="f_ppr" dataDxfId="541">
      <calculatedColumnFormula>($J61*0.04)+($K61*4)+($L61*-2)+($N61*0.1)+($O61*6)+($Q61)+($R61*0.1)+($S61*6)+($T61*-2)</calculatedColumnFormula>
    </tableColumn>
    <tableColumn id="23" xr3:uid="{00000000-0010-0000-D000-000017000000}" name="tgt_share" dataDxfId="540">
      <calculatedColumnFormula>$P61/$H$33</calculatedColumnFormula>
    </tableColumn>
    <tableColumn id="24" xr3:uid="{00000000-0010-0000-D000-000018000000}" name="ypc" dataDxfId="539">
      <calculatedColumnFormula>$N61/$M61</calculatedColumnFormula>
    </tableColumn>
    <tableColumn id="25" xr3:uid="{00000000-0010-0000-D000-000019000000}" name="ypr" dataDxfId="538">
      <calculatedColumnFormula>$R61/$Q61</calculatedColumnFormula>
    </tableColumn>
    <tableColumn id="26" xr3:uid="{00000000-0010-0000-D000-00001A000000}" name="cmp_pct" dataDxfId="537">
      <calculatedColumnFormula>$I61/$H61</calculatedColumnFormula>
    </tableColumn>
    <tableColumn id="27" xr3:uid="{00000000-0010-0000-D000-00001B000000}" name="td_rate" dataDxfId="536">
      <calculatedColumnFormula>$K61/$H61</calculatedColumnFormula>
    </tableColumn>
    <tableColumn id="28" xr3:uid="{00000000-0010-0000-D000-00001C000000}" name="f_custom" dataDxfId="53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00000000-000C-0000-FFFF-FFFFD1000000}" name="TB_Table7" displayName="TB_Table7" ref="A75:AB81" totalsRowShown="0" headerRowDxfId="533" dataDxfId="504">
  <autoFilter ref="A75:AB81" xr:uid="{00000000-0009-0000-0100-0000D4000000}"/>
  <tableColumns count="28">
    <tableColumn id="1" xr3:uid="{00000000-0010-0000-D100-000001000000}" name="Name" dataDxfId="532"/>
    <tableColumn id="2" xr3:uid="{00000000-0010-0000-D100-000002000000}" name="POS" dataDxfId="531"/>
    <tableColumn id="3" xr3:uid="{00000000-0010-0000-D100-000003000000}" name="Age" dataDxfId="530"/>
    <tableColumn id="4" xr3:uid="{00000000-0010-0000-D100-000004000000}" name="Exp" dataDxfId="529"/>
    <tableColumn id="5" xr3:uid="{00000000-0010-0000-D100-000005000000}" name="College" dataDxfId="528"/>
    <tableColumn id="6" xr3:uid="{00000000-0010-0000-D100-000006000000}" name="team" dataDxfId="527"/>
    <tableColumn id="7" xr3:uid="{00000000-0010-0000-D100-000007000000}" name="g" dataDxfId="526"/>
    <tableColumn id="8" xr3:uid="{00000000-0010-0000-D100-000008000000}" name="p_att" dataDxfId="525"/>
    <tableColumn id="9" xr3:uid="{00000000-0010-0000-D100-000009000000}" name="cmp" dataDxfId="524"/>
    <tableColumn id="10" xr3:uid="{00000000-0010-0000-D100-00000A000000}" name="p_yd" dataDxfId="523"/>
    <tableColumn id="11" xr3:uid="{00000000-0010-0000-D100-00000B000000}" name="p_td" dataDxfId="522"/>
    <tableColumn id="12" xr3:uid="{00000000-0010-0000-D100-00000C000000}" name="int" dataDxfId="521"/>
    <tableColumn id="13" xr3:uid="{00000000-0010-0000-D100-00000D000000}" name="car" dataDxfId="520"/>
    <tableColumn id="14" xr3:uid="{00000000-0010-0000-D100-00000E000000}" name="r_yd" dataDxfId="519"/>
    <tableColumn id="15" xr3:uid="{00000000-0010-0000-D100-00000F000000}" name="r_td" dataDxfId="518"/>
    <tableColumn id="16" xr3:uid="{00000000-0010-0000-D100-000010000000}" name="tgt" dataDxfId="517"/>
    <tableColumn id="17" xr3:uid="{00000000-0010-0000-D100-000011000000}" name="rec" dataDxfId="516"/>
    <tableColumn id="18" xr3:uid="{00000000-0010-0000-D100-000012000000}" name="rec_yd" dataDxfId="515"/>
    <tableColumn id="19" xr3:uid="{00000000-0010-0000-D100-000013000000}" name="rec_td" dataDxfId="514"/>
    <tableColumn id="20" xr3:uid="{00000000-0010-0000-D100-000014000000}" name="fmb" dataDxfId="513"/>
    <tableColumn id="21" xr3:uid="{00000000-0010-0000-D100-000015000000}" name="tp_c" dataDxfId="512"/>
    <tableColumn id="22" xr3:uid="{00000000-0010-0000-D100-000016000000}" name="f_ppr" dataDxfId="511">
      <calculatedColumnFormula>($J76*0.04)+($K76*4)+($L76*-2)+($N76*0.1)+($O76*6)+($Q76)+($R76*0.1)+($S76*6)+($T76*-2)</calculatedColumnFormula>
    </tableColumn>
    <tableColumn id="23" xr3:uid="{00000000-0010-0000-D100-000017000000}" name="tgt_share" dataDxfId="510">
      <calculatedColumnFormula>$P76/$H$33</calculatedColumnFormula>
    </tableColumn>
    <tableColumn id="24" xr3:uid="{00000000-0010-0000-D100-000018000000}" name="ypc" dataDxfId="509">
      <calculatedColumnFormula>$N76/$M76</calculatedColumnFormula>
    </tableColumn>
    <tableColumn id="25" xr3:uid="{00000000-0010-0000-D100-000019000000}" name="ypr" dataDxfId="508">
      <calculatedColumnFormula>$R76/$Q76</calculatedColumnFormula>
    </tableColumn>
    <tableColumn id="26" xr3:uid="{00000000-0010-0000-D100-00001A000000}" name="cmp_pct" dataDxfId="507">
      <calculatedColumnFormula>$I76/$H76</calculatedColumnFormula>
    </tableColumn>
    <tableColumn id="27" xr3:uid="{00000000-0010-0000-D100-00001B000000}" name="td_rate" dataDxfId="506">
      <calculatedColumnFormula>$K76/$H76</calculatedColumnFormula>
    </tableColumn>
    <tableColumn id="28" xr3:uid="{00000000-0010-0000-D100-00001C000000}" name="f_custom" dataDxfId="50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00000000-000C-0000-FFFF-FFFFD2000000}" name="TEN_Table1" displayName="TEN_Table1" ref="A1:Y22" totalsRowShown="0" headerRowDxfId="503" dataDxfId="477">
  <autoFilter ref="A1:Y22" xr:uid="{00000000-0009-0000-0100-0000D5000000}"/>
  <tableColumns count="25">
    <tableColumn id="1" xr3:uid="{00000000-0010-0000-D200-000001000000}" name="player_name" dataDxfId="502"/>
    <tableColumn id="2" xr3:uid="{00000000-0010-0000-D200-000002000000}" name="recent_team" dataDxfId="501"/>
    <tableColumn id="3" xr3:uid="{00000000-0010-0000-D200-000003000000}" name="pos" dataDxfId="500"/>
    <tableColumn id="4" xr3:uid="{00000000-0010-0000-D200-000004000000}" name="g" dataDxfId="499"/>
    <tableColumn id="5" xr3:uid="{00000000-0010-0000-D200-000005000000}" name="p_att" dataDxfId="498"/>
    <tableColumn id="6" xr3:uid="{00000000-0010-0000-D200-000006000000}" name="cmp" dataDxfId="497"/>
    <tableColumn id="7" xr3:uid="{00000000-0010-0000-D200-000007000000}" name="p_yd" dataDxfId="496"/>
    <tableColumn id="8" xr3:uid="{00000000-0010-0000-D200-000008000000}" name="p_td" dataDxfId="495"/>
    <tableColumn id="9" xr3:uid="{00000000-0010-0000-D200-000009000000}" name="int" dataDxfId="494"/>
    <tableColumn id="10" xr3:uid="{00000000-0010-0000-D200-00000A000000}" name="car" dataDxfId="493"/>
    <tableColumn id="11" xr3:uid="{00000000-0010-0000-D200-00000B000000}" name="r_yd" dataDxfId="492"/>
    <tableColumn id="12" xr3:uid="{00000000-0010-0000-D200-00000C000000}" name="r_td" dataDxfId="491"/>
    <tableColumn id="13" xr3:uid="{00000000-0010-0000-D200-00000D000000}" name="tgt" dataDxfId="490"/>
    <tableColumn id="14" xr3:uid="{00000000-0010-0000-D200-00000E000000}" name="rec" dataDxfId="489"/>
    <tableColumn id="15" xr3:uid="{00000000-0010-0000-D200-00000F000000}" name="rec_yd" dataDxfId="488"/>
    <tableColumn id="16" xr3:uid="{00000000-0010-0000-D200-000010000000}" name="rec_td" dataDxfId="487"/>
    <tableColumn id="17" xr3:uid="{00000000-0010-0000-D200-000011000000}" name="fmb" dataDxfId="486"/>
    <tableColumn id="18" xr3:uid="{00000000-0010-0000-D200-000012000000}" name="tp_c" dataDxfId="485"/>
    <tableColumn id="19" xr3:uid="{00000000-0010-0000-D200-000013000000}" name="f_ppr" dataDxfId="484"/>
    <tableColumn id="20" xr3:uid="{00000000-0010-0000-D200-000014000000}" name="tgt_share" dataDxfId="483"/>
    <tableColumn id="21" xr3:uid="{00000000-0010-0000-D200-000015000000}" name="ypc" dataDxfId="482"/>
    <tableColumn id="22" xr3:uid="{00000000-0010-0000-D200-000016000000}" name="ypr" dataDxfId="481"/>
    <tableColumn id="23" xr3:uid="{00000000-0010-0000-D200-000017000000}" name="cmp_pct" dataDxfId="480"/>
    <tableColumn id="24" xr3:uid="{00000000-0010-0000-D200-000018000000}" name="td_rate" dataDxfId="479"/>
    <tableColumn id="25" xr3:uid="{94591D52-C9EC-420D-8A33-733AD5FF6ADC}" name="f_custom" dataDxfId="47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00000000-000C-0000-FFFF-FFFFD3000000}" name="TEN_Table2" displayName="TEN_Table2" ref="A30:M31" totalsRowShown="0" headerRowDxfId="476" dataDxfId="462">
  <autoFilter ref="A30:M31" xr:uid="{00000000-0009-0000-0100-0000D6000000}"/>
  <tableColumns count="13">
    <tableColumn id="1" xr3:uid="{00000000-0010-0000-D300-000001000000}" name="team" dataDxfId="475"/>
    <tableColumn id="2" xr3:uid="{00000000-0010-0000-D300-000002000000}" name="off_yd" dataDxfId="474"/>
    <tableColumn id="3" xr3:uid="{00000000-0010-0000-D300-000003000000}" name="p_yd" dataDxfId="473"/>
    <tableColumn id="4" xr3:uid="{00000000-0010-0000-D300-000004000000}" name="car" dataDxfId="472"/>
    <tableColumn id="5" xr3:uid="{00000000-0010-0000-D300-000005000000}" name="r_yd" dataDxfId="471"/>
    <tableColumn id="6" xr3:uid="{00000000-0010-0000-D300-000006000000}" name="r_td" dataDxfId="470"/>
    <tableColumn id="7" xr3:uid="{00000000-0010-0000-D300-000007000000}" name="p_ff" dataDxfId="469"/>
    <tableColumn id="8" xr3:uid="{00000000-0010-0000-D300-000008000000}" name="p_att" dataDxfId="468"/>
    <tableColumn id="9" xr3:uid="{00000000-0010-0000-D300-000009000000}" name="cmp_pct" dataDxfId="467"/>
    <tableColumn id="10" xr3:uid="{00000000-0010-0000-D300-00000A000000}" name="p_td" dataDxfId="466"/>
    <tableColumn id="11" xr3:uid="{00000000-0010-0000-D300-00000B000000}" name="int" dataDxfId="465"/>
    <tableColumn id="12" xr3:uid="{00000000-0010-0000-D300-00000C000000}" name="fmb" dataDxfId="464"/>
    <tableColumn id="13" xr3:uid="{D02DCBA8-74B6-4722-8AF2-0974E6816ECB}" name="f_custom" dataDxfId="46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00000000-000C-0000-FFFF-FFFFD4000000}" name="TEN_Table3" displayName="TEN_Table3" ref="A32:M33" totalsRowShown="0" headerRowDxfId="461" dataDxfId="447">
  <autoFilter ref="A32:M33" xr:uid="{00000000-0009-0000-0100-0000D7000000}"/>
  <tableColumns count="13">
    <tableColumn id="1" xr3:uid="{00000000-0010-0000-D400-000001000000}" name="team" dataDxfId="460">
      <calculatedColumnFormula>A31</calculatedColumnFormula>
    </tableColumn>
    <tableColumn id="2" xr3:uid="{00000000-0010-0000-D400-000002000000}" name="off_yd" dataDxfId="459">
      <calculatedColumnFormula>C33 + E33</calculatedColumnFormula>
    </tableColumn>
    <tableColumn id="3" xr3:uid="{00000000-0010-0000-D400-000003000000}" name="p_yd" dataDxfId="458">
      <calculatedColumnFormula>SUM(INDIRECT(A33 &amp; "_Table4[[#All],[p_yd]]"))</calculatedColumnFormula>
    </tableColumn>
    <tableColumn id="4" xr3:uid="{00000000-0010-0000-D400-000004000000}" name="car" dataDxfId="45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400-000005000000}" name="r_yd" dataDxfId="45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400-000006000000}" name="r_td" dataDxfId="45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400-000007000000}" name="p_ff" dataDxfId="45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400-000008000000}" name="p_att" dataDxfId="45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400-000009000000}" name="cmp_pct" dataDxfId="452">
      <calculatedColumnFormula>SUM(INDIRECT(A33 &amp; "_Table4[[#All],[cmp]]"))/H33</calculatedColumnFormula>
    </tableColumn>
    <tableColumn id="10" xr3:uid="{00000000-0010-0000-D400-00000A000000}" name="p_td" dataDxfId="45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400-00000B000000}" name="int" dataDxfId="45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400-00000C000000}" name="fmb" dataDxfId="44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5E4CA99-5CF3-4473-A4F9-959E028F69F6}" name="f_custom" dataDxfId="44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00000000-000C-0000-FFFF-FFFFD5000000}" name="TEN_Table4" displayName="TEN_Table4" ref="A35:AB38" totalsRowShown="0" headerRowDxfId="446" dataDxfId="417">
  <autoFilter ref="A35:AB38" xr:uid="{00000000-0009-0000-0100-0000D8000000}"/>
  <tableColumns count="28">
    <tableColumn id="1" xr3:uid="{00000000-0010-0000-D500-000001000000}" name="Name" dataDxfId="445"/>
    <tableColumn id="2" xr3:uid="{00000000-0010-0000-D500-000002000000}" name="POS" dataDxfId="444"/>
    <tableColumn id="3" xr3:uid="{00000000-0010-0000-D500-000003000000}" name="Age" dataDxfId="443"/>
    <tableColumn id="4" xr3:uid="{00000000-0010-0000-D500-000004000000}" name="Exp" dataDxfId="442"/>
    <tableColumn id="5" xr3:uid="{00000000-0010-0000-D500-000005000000}" name="College" dataDxfId="441"/>
    <tableColumn id="6" xr3:uid="{00000000-0010-0000-D500-000006000000}" name="team" dataDxfId="440"/>
    <tableColumn id="7" xr3:uid="{00000000-0010-0000-D500-000007000000}" name="g" dataDxfId="439"/>
    <tableColumn id="8" xr3:uid="{00000000-0010-0000-D500-000008000000}" name="p_att" dataDxfId="438"/>
    <tableColumn id="9" xr3:uid="{00000000-0010-0000-D500-000009000000}" name="cmp" dataDxfId="437"/>
    <tableColumn id="10" xr3:uid="{00000000-0010-0000-D500-00000A000000}" name="p_yd" dataDxfId="436"/>
    <tableColumn id="11" xr3:uid="{00000000-0010-0000-D500-00000B000000}" name="p_td" dataDxfId="435"/>
    <tableColumn id="12" xr3:uid="{00000000-0010-0000-D500-00000C000000}" name="int" dataDxfId="434"/>
    <tableColumn id="13" xr3:uid="{00000000-0010-0000-D500-00000D000000}" name="car" dataDxfId="433"/>
    <tableColumn id="14" xr3:uid="{00000000-0010-0000-D500-00000E000000}" name="r_yd" dataDxfId="432"/>
    <tableColumn id="15" xr3:uid="{00000000-0010-0000-D500-00000F000000}" name="r_td" dataDxfId="431"/>
    <tableColumn id="16" xr3:uid="{00000000-0010-0000-D500-000010000000}" name="tgt" dataDxfId="430"/>
    <tableColumn id="17" xr3:uid="{00000000-0010-0000-D500-000011000000}" name="rec" dataDxfId="429"/>
    <tableColumn id="18" xr3:uid="{00000000-0010-0000-D500-000012000000}" name="rec_yd" dataDxfId="428"/>
    <tableColumn id="19" xr3:uid="{00000000-0010-0000-D500-000013000000}" name="rec_td" dataDxfId="427"/>
    <tableColumn id="20" xr3:uid="{00000000-0010-0000-D500-000014000000}" name="fmb" dataDxfId="426"/>
    <tableColumn id="21" xr3:uid="{00000000-0010-0000-D500-000015000000}" name="tp_c" dataDxfId="425"/>
    <tableColumn id="22" xr3:uid="{00000000-0010-0000-D500-000016000000}" name="f_ppr" dataDxfId="424">
      <calculatedColumnFormula>($J36*0.04)+($K36*4)+($L36*-2)+($N36*0.1)+($O36*6)+($Q36)+($R36*0.1)+($S36*6)+($T36*-2)</calculatedColumnFormula>
    </tableColumn>
    <tableColumn id="23" xr3:uid="{00000000-0010-0000-D500-000017000000}" name="tgt_share" dataDxfId="423">
      <calculatedColumnFormula>$P36/$H$33</calculatedColumnFormula>
    </tableColumn>
    <tableColumn id="24" xr3:uid="{00000000-0010-0000-D500-000018000000}" name="ypc" dataDxfId="422">
      <calculatedColumnFormula>$N36/$M36</calculatedColumnFormula>
    </tableColumn>
    <tableColumn id="25" xr3:uid="{00000000-0010-0000-D500-000019000000}" name="ypr" dataDxfId="421">
      <calculatedColumnFormula>$R36/$Q36</calculatedColumnFormula>
    </tableColumn>
    <tableColumn id="26" xr3:uid="{00000000-0010-0000-D500-00001A000000}" name="cmp_pct" dataDxfId="420">
      <calculatedColumnFormula>$I36/$H36</calculatedColumnFormula>
    </tableColumn>
    <tableColumn id="27" xr3:uid="{00000000-0010-0000-D500-00001B000000}" name="td_rate" dataDxfId="419">
      <calculatedColumnFormula>$K36/$H36</calculatedColumnFormula>
    </tableColumn>
    <tableColumn id="28" xr3:uid="{00000000-0010-0000-D500-00001C000000}" name="f_custom" dataDxfId="41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00000000-000C-0000-FFFF-FFFFD6000000}" name="TEN_Table5" displayName="TEN_Table5" ref="A45:AB51" totalsRowShown="0" headerRowDxfId="416" dataDxfId="387">
  <autoFilter ref="A45:AB51" xr:uid="{00000000-0009-0000-0100-0000D9000000}"/>
  <tableColumns count="28">
    <tableColumn id="1" xr3:uid="{00000000-0010-0000-D600-000001000000}" name="Name" dataDxfId="415"/>
    <tableColumn id="2" xr3:uid="{00000000-0010-0000-D600-000002000000}" name="POS" dataDxfId="414"/>
    <tableColumn id="3" xr3:uid="{00000000-0010-0000-D600-000003000000}" name="Age" dataDxfId="413"/>
    <tableColumn id="4" xr3:uid="{00000000-0010-0000-D600-000004000000}" name="Exp" dataDxfId="412"/>
    <tableColumn id="5" xr3:uid="{00000000-0010-0000-D600-000005000000}" name="College" dataDxfId="411"/>
    <tableColumn id="6" xr3:uid="{00000000-0010-0000-D600-000006000000}" name="team" dataDxfId="410"/>
    <tableColumn id="7" xr3:uid="{00000000-0010-0000-D600-000007000000}" name="g" dataDxfId="409"/>
    <tableColumn id="8" xr3:uid="{00000000-0010-0000-D600-000008000000}" name="p_att" dataDxfId="408"/>
    <tableColumn id="9" xr3:uid="{00000000-0010-0000-D600-000009000000}" name="cmp" dataDxfId="407"/>
    <tableColumn id="10" xr3:uid="{00000000-0010-0000-D600-00000A000000}" name="p_yd" dataDxfId="406"/>
    <tableColumn id="11" xr3:uid="{00000000-0010-0000-D600-00000B000000}" name="p_td" dataDxfId="405"/>
    <tableColumn id="12" xr3:uid="{00000000-0010-0000-D600-00000C000000}" name="int" dataDxfId="404"/>
    <tableColumn id="13" xr3:uid="{00000000-0010-0000-D600-00000D000000}" name="car" dataDxfId="403"/>
    <tableColumn id="14" xr3:uid="{00000000-0010-0000-D600-00000E000000}" name="r_yd" dataDxfId="402"/>
    <tableColumn id="15" xr3:uid="{00000000-0010-0000-D600-00000F000000}" name="r_td" dataDxfId="401"/>
    <tableColumn id="16" xr3:uid="{00000000-0010-0000-D600-000010000000}" name="tgt" dataDxfId="400"/>
    <tableColumn id="17" xr3:uid="{00000000-0010-0000-D600-000011000000}" name="rec" dataDxfId="399"/>
    <tableColumn id="18" xr3:uid="{00000000-0010-0000-D600-000012000000}" name="rec_yd" dataDxfId="398"/>
    <tableColumn id="19" xr3:uid="{00000000-0010-0000-D600-000013000000}" name="rec_td" dataDxfId="397"/>
    <tableColumn id="20" xr3:uid="{00000000-0010-0000-D600-000014000000}" name="fmb" dataDxfId="396"/>
    <tableColumn id="21" xr3:uid="{00000000-0010-0000-D600-000015000000}" name="tp_c" dataDxfId="395"/>
    <tableColumn id="22" xr3:uid="{00000000-0010-0000-D600-000016000000}" name="f_ppr" dataDxfId="394">
      <calculatedColumnFormula>($J46*0.04)+($K46*4)+($L46*-2)+($N46*0.1)+($O46*6)+($Q46)+($R46*0.1)+($S46*6)+($T46*-2)</calculatedColumnFormula>
    </tableColumn>
    <tableColumn id="23" xr3:uid="{00000000-0010-0000-D600-000017000000}" name="tgt_share" dataDxfId="393">
      <calculatedColumnFormula>$P46/$H$33</calculatedColumnFormula>
    </tableColumn>
    <tableColumn id="24" xr3:uid="{00000000-0010-0000-D600-000018000000}" name="ypc" dataDxfId="392">
      <calculatedColumnFormula>$N46/$M46</calculatedColumnFormula>
    </tableColumn>
    <tableColumn id="25" xr3:uid="{00000000-0010-0000-D600-000019000000}" name="ypr" dataDxfId="391">
      <calculatedColumnFormula>$R46/$Q46</calculatedColumnFormula>
    </tableColumn>
    <tableColumn id="26" xr3:uid="{00000000-0010-0000-D600-00001A000000}" name="cmp_pct" dataDxfId="390">
      <calculatedColumnFormula>$I46/$H46</calculatedColumnFormula>
    </tableColumn>
    <tableColumn id="27" xr3:uid="{00000000-0010-0000-D600-00001B000000}" name="td_rate" dataDxfId="389">
      <calculatedColumnFormula>$K46/$H46</calculatedColumnFormula>
    </tableColumn>
    <tableColumn id="28" xr3:uid="{00000000-0010-0000-D600-00001C000000}" name="f_custom" dataDxfId="38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00000000-000C-0000-FFFF-FFFFD7000000}" name="TEN_Table6" displayName="TEN_Table6" ref="A60:AB72" totalsRowShown="0" headerRowDxfId="386" dataDxfId="357">
  <autoFilter ref="A60:AB72" xr:uid="{00000000-0009-0000-0100-0000DA000000}"/>
  <tableColumns count="28">
    <tableColumn id="1" xr3:uid="{00000000-0010-0000-D700-000001000000}" name="Name" dataDxfId="385"/>
    <tableColumn id="2" xr3:uid="{00000000-0010-0000-D700-000002000000}" name="POS" dataDxfId="384"/>
    <tableColumn id="3" xr3:uid="{00000000-0010-0000-D700-000003000000}" name="Age" dataDxfId="383"/>
    <tableColumn id="4" xr3:uid="{00000000-0010-0000-D700-000004000000}" name="Exp" dataDxfId="382"/>
    <tableColumn id="5" xr3:uid="{00000000-0010-0000-D700-000005000000}" name="College" dataDxfId="381"/>
    <tableColumn id="6" xr3:uid="{00000000-0010-0000-D700-000006000000}" name="team" dataDxfId="380"/>
    <tableColumn id="7" xr3:uid="{00000000-0010-0000-D700-000007000000}" name="g" dataDxfId="379"/>
    <tableColumn id="8" xr3:uid="{00000000-0010-0000-D700-000008000000}" name="p_att" dataDxfId="378"/>
    <tableColumn id="9" xr3:uid="{00000000-0010-0000-D700-000009000000}" name="cmp" dataDxfId="377"/>
    <tableColumn id="10" xr3:uid="{00000000-0010-0000-D700-00000A000000}" name="p_yd" dataDxfId="376"/>
    <tableColumn id="11" xr3:uid="{00000000-0010-0000-D700-00000B000000}" name="p_td" dataDxfId="375"/>
    <tableColumn id="12" xr3:uid="{00000000-0010-0000-D700-00000C000000}" name="int" dataDxfId="374"/>
    <tableColumn id="13" xr3:uid="{00000000-0010-0000-D700-00000D000000}" name="car" dataDxfId="373"/>
    <tableColumn id="14" xr3:uid="{00000000-0010-0000-D700-00000E000000}" name="r_yd" dataDxfId="372"/>
    <tableColumn id="15" xr3:uid="{00000000-0010-0000-D700-00000F000000}" name="r_td" dataDxfId="371"/>
    <tableColumn id="16" xr3:uid="{00000000-0010-0000-D700-000010000000}" name="tgt" dataDxfId="370"/>
    <tableColumn id="17" xr3:uid="{00000000-0010-0000-D700-000011000000}" name="rec" dataDxfId="369"/>
    <tableColumn id="18" xr3:uid="{00000000-0010-0000-D700-000012000000}" name="rec_yd" dataDxfId="368"/>
    <tableColumn id="19" xr3:uid="{00000000-0010-0000-D700-000013000000}" name="rec_td" dataDxfId="367"/>
    <tableColumn id="20" xr3:uid="{00000000-0010-0000-D700-000014000000}" name="fmb" dataDxfId="366"/>
    <tableColumn id="21" xr3:uid="{00000000-0010-0000-D700-000015000000}" name="tp_c" dataDxfId="365"/>
    <tableColumn id="22" xr3:uid="{00000000-0010-0000-D700-000016000000}" name="f_ppr" dataDxfId="364">
      <calculatedColumnFormula>($J61*0.04)+($K61*4)+($L61*-2)+($N61*0.1)+($O61*6)+($Q61)+($R61*0.1)+($S61*6)+($T61*-2)</calculatedColumnFormula>
    </tableColumn>
    <tableColumn id="23" xr3:uid="{00000000-0010-0000-D700-000017000000}" name="tgt_share" dataDxfId="363">
      <calculatedColumnFormula>$P61/$H$33</calculatedColumnFormula>
    </tableColumn>
    <tableColumn id="24" xr3:uid="{00000000-0010-0000-D700-000018000000}" name="ypc" dataDxfId="362">
      <calculatedColumnFormula>$N61/$M61</calculatedColumnFormula>
    </tableColumn>
    <tableColumn id="25" xr3:uid="{00000000-0010-0000-D700-000019000000}" name="ypr" dataDxfId="361">
      <calculatedColumnFormula>$R61/$Q61</calculatedColumnFormula>
    </tableColumn>
    <tableColumn id="26" xr3:uid="{00000000-0010-0000-D700-00001A000000}" name="cmp_pct" dataDxfId="360">
      <calculatedColumnFormula>$I61/$H61</calculatedColumnFormula>
    </tableColumn>
    <tableColumn id="27" xr3:uid="{00000000-0010-0000-D700-00001B000000}" name="td_rate" dataDxfId="359">
      <calculatedColumnFormula>$K61/$H61</calculatedColumnFormula>
    </tableColumn>
    <tableColumn id="28" xr3:uid="{00000000-0010-0000-D700-00001C000000}" name="f_custom" dataDxfId="35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00000000-000C-0000-FFFF-FFFFD8000000}" name="TEN_Table7" displayName="TEN_Table7" ref="A75:AB82" totalsRowShown="0" headerRowDxfId="356" dataDxfId="327">
  <autoFilter ref="A75:AB82" xr:uid="{00000000-0009-0000-0100-0000DB000000}"/>
  <tableColumns count="28">
    <tableColumn id="1" xr3:uid="{00000000-0010-0000-D800-000001000000}" name="Name" dataDxfId="355"/>
    <tableColumn id="2" xr3:uid="{00000000-0010-0000-D800-000002000000}" name="POS" dataDxfId="354"/>
    <tableColumn id="3" xr3:uid="{00000000-0010-0000-D800-000003000000}" name="Age" dataDxfId="353"/>
    <tableColumn id="4" xr3:uid="{00000000-0010-0000-D800-000004000000}" name="Exp" dataDxfId="352"/>
    <tableColumn id="5" xr3:uid="{00000000-0010-0000-D800-000005000000}" name="College" dataDxfId="351"/>
    <tableColumn id="6" xr3:uid="{00000000-0010-0000-D800-000006000000}" name="team" dataDxfId="350"/>
    <tableColumn id="7" xr3:uid="{00000000-0010-0000-D800-000007000000}" name="g" dataDxfId="349"/>
    <tableColumn id="8" xr3:uid="{00000000-0010-0000-D800-000008000000}" name="p_att" dataDxfId="348"/>
    <tableColumn id="9" xr3:uid="{00000000-0010-0000-D800-000009000000}" name="cmp" dataDxfId="347"/>
    <tableColumn id="10" xr3:uid="{00000000-0010-0000-D800-00000A000000}" name="p_yd" dataDxfId="346"/>
    <tableColumn id="11" xr3:uid="{00000000-0010-0000-D800-00000B000000}" name="p_td" dataDxfId="345"/>
    <tableColumn id="12" xr3:uid="{00000000-0010-0000-D800-00000C000000}" name="int" dataDxfId="344"/>
    <tableColumn id="13" xr3:uid="{00000000-0010-0000-D800-00000D000000}" name="car" dataDxfId="343"/>
    <tableColumn id="14" xr3:uid="{00000000-0010-0000-D800-00000E000000}" name="r_yd" dataDxfId="342"/>
    <tableColumn id="15" xr3:uid="{00000000-0010-0000-D800-00000F000000}" name="r_td" dataDxfId="341"/>
    <tableColumn id="16" xr3:uid="{00000000-0010-0000-D800-000010000000}" name="tgt" dataDxfId="340"/>
    <tableColumn id="17" xr3:uid="{00000000-0010-0000-D800-000011000000}" name="rec" dataDxfId="339"/>
    <tableColumn id="18" xr3:uid="{00000000-0010-0000-D800-000012000000}" name="rec_yd" dataDxfId="338"/>
    <tableColumn id="19" xr3:uid="{00000000-0010-0000-D800-000013000000}" name="rec_td" dataDxfId="337"/>
    <tableColumn id="20" xr3:uid="{00000000-0010-0000-D800-000014000000}" name="fmb" dataDxfId="336"/>
    <tableColumn id="21" xr3:uid="{00000000-0010-0000-D800-000015000000}" name="tp_c" dataDxfId="335"/>
    <tableColumn id="22" xr3:uid="{00000000-0010-0000-D800-000016000000}" name="f_ppr" dataDxfId="334">
      <calculatedColumnFormula>($J76*0.04)+($K76*4)+($L76*-2)+($N76*0.1)+($O76*6)+($Q76)+($R76*0.1)+($S76*6)+($T76*-2)</calculatedColumnFormula>
    </tableColumn>
    <tableColumn id="23" xr3:uid="{00000000-0010-0000-D800-000017000000}" name="tgt_share" dataDxfId="333">
      <calculatedColumnFormula>$P76/$H$33</calculatedColumnFormula>
    </tableColumn>
    <tableColumn id="24" xr3:uid="{00000000-0010-0000-D800-000018000000}" name="ypc" dataDxfId="332">
      <calculatedColumnFormula>$N76/$M76</calculatedColumnFormula>
    </tableColumn>
    <tableColumn id="25" xr3:uid="{00000000-0010-0000-D800-000019000000}" name="ypr" dataDxfId="331">
      <calculatedColumnFormula>$R76/$Q76</calculatedColumnFormula>
    </tableColumn>
    <tableColumn id="26" xr3:uid="{00000000-0010-0000-D800-00001A000000}" name="cmp_pct" dataDxfId="330">
      <calculatedColumnFormula>$I76/$H76</calculatedColumnFormula>
    </tableColumn>
    <tableColumn id="27" xr3:uid="{00000000-0010-0000-D800-00001B000000}" name="td_rate" dataDxfId="329">
      <calculatedColumnFormula>$K76/$H76</calculatedColumnFormula>
    </tableColumn>
    <tableColumn id="28" xr3:uid="{00000000-0010-0000-D800-00001C000000}" name="f_custom" dataDxfId="32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00000000-000C-0000-FFFF-FFFFD9000000}" name="WAS_Table1" displayName="WAS_Table1" ref="A1:Y20" totalsRowShown="0" headerRowDxfId="326" dataDxfId="300">
  <autoFilter ref="A1:Y20" xr:uid="{00000000-0009-0000-0100-0000DC000000}"/>
  <tableColumns count="25">
    <tableColumn id="1" xr3:uid="{00000000-0010-0000-D900-000001000000}" name="player_name" dataDxfId="325"/>
    <tableColumn id="2" xr3:uid="{00000000-0010-0000-D900-000002000000}" name="recent_team" dataDxfId="324"/>
    <tableColumn id="3" xr3:uid="{00000000-0010-0000-D900-000003000000}" name="pos" dataDxfId="323"/>
    <tableColumn id="4" xr3:uid="{00000000-0010-0000-D900-000004000000}" name="g" dataDxfId="322"/>
    <tableColumn id="5" xr3:uid="{00000000-0010-0000-D900-000005000000}" name="p_att" dataDxfId="321"/>
    <tableColumn id="6" xr3:uid="{00000000-0010-0000-D900-000006000000}" name="cmp" dataDxfId="320"/>
    <tableColumn id="7" xr3:uid="{00000000-0010-0000-D900-000007000000}" name="p_yd" dataDxfId="319"/>
    <tableColumn id="8" xr3:uid="{00000000-0010-0000-D900-000008000000}" name="p_td" dataDxfId="318"/>
    <tableColumn id="9" xr3:uid="{00000000-0010-0000-D900-000009000000}" name="int" dataDxfId="317"/>
    <tableColumn id="10" xr3:uid="{00000000-0010-0000-D900-00000A000000}" name="car" dataDxfId="316"/>
    <tableColumn id="11" xr3:uid="{00000000-0010-0000-D900-00000B000000}" name="r_yd" dataDxfId="315"/>
    <tableColumn id="12" xr3:uid="{00000000-0010-0000-D900-00000C000000}" name="r_td" dataDxfId="314"/>
    <tableColumn id="13" xr3:uid="{00000000-0010-0000-D900-00000D000000}" name="tgt" dataDxfId="313"/>
    <tableColumn id="14" xr3:uid="{00000000-0010-0000-D900-00000E000000}" name="rec" dataDxfId="312"/>
    <tableColumn id="15" xr3:uid="{00000000-0010-0000-D900-00000F000000}" name="rec_yd" dataDxfId="311"/>
    <tableColumn id="16" xr3:uid="{00000000-0010-0000-D900-000010000000}" name="rec_td" dataDxfId="310"/>
    <tableColumn id="17" xr3:uid="{00000000-0010-0000-D900-000011000000}" name="fmb" dataDxfId="309"/>
    <tableColumn id="18" xr3:uid="{00000000-0010-0000-D900-000012000000}" name="tp_c" dataDxfId="308"/>
    <tableColumn id="19" xr3:uid="{00000000-0010-0000-D900-000013000000}" name="f_ppr" dataDxfId="307"/>
    <tableColumn id="20" xr3:uid="{00000000-0010-0000-D900-000014000000}" name="tgt_share" dataDxfId="306"/>
    <tableColumn id="21" xr3:uid="{00000000-0010-0000-D900-000015000000}" name="ypc" dataDxfId="305"/>
    <tableColumn id="22" xr3:uid="{00000000-0010-0000-D900-000016000000}" name="ypr" dataDxfId="304"/>
    <tableColumn id="23" xr3:uid="{00000000-0010-0000-D900-000017000000}" name="cmp_pct" dataDxfId="303"/>
    <tableColumn id="24" xr3:uid="{00000000-0010-0000-D900-000018000000}" name="td_rate" dataDxfId="302"/>
    <tableColumn id="25" xr3:uid="{5C4ED9E1-C454-46AA-899F-D046F7D6CB64}" name="f_custom" dataDxfId="30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00000000-000C-0000-FFFF-FFFFDA000000}" name="WAS_Table2" displayName="WAS_Table2" ref="A30:M31" totalsRowShown="0" headerRowDxfId="299" dataDxfId="285">
  <autoFilter ref="A30:M31" xr:uid="{00000000-0009-0000-0100-0000DD000000}"/>
  <tableColumns count="13">
    <tableColumn id="1" xr3:uid="{00000000-0010-0000-DA00-000001000000}" name="team" dataDxfId="298"/>
    <tableColumn id="2" xr3:uid="{00000000-0010-0000-DA00-000002000000}" name="off_yd" dataDxfId="297"/>
    <tableColumn id="3" xr3:uid="{00000000-0010-0000-DA00-000003000000}" name="p_yd" dataDxfId="296"/>
    <tableColumn id="4" xr3:uid="{00000000-0010-0000-DA00-000004000000}" name="car" dataDxfId="295"/>
    <tableColumn id="5" xr3:uid="{00000000-0010-0000-DA00-000005000000}" name="r_yd" dataDxfId="294"/>
    <tableColumn id="6" xr3:uid="{00000000-0010-0000-DA00-000006000000}" name="r_td" dataDxfId="293"/>
    <tableColumn id="7" xr3:uid="{00000000-0010-0000-DA00-000007000000}" name="p_ff" dataDxfId="292"/>
    <tableColumn id="8" xr3:uid="{00000000-0010-0000-DA00-000008000000}" name="p_att" dataDxfId="291"/>
    <tableColumn id="9" xr3:uid="{00000000-0010-0000-DA00-000009000000}" name="cmp_pct" dataDxfId="290"/>
    <tableColumn id="10" xr3:uid="{00000000-0010-0000-DA00-00000A000000}" name="p_td" dataDxfId="289"/>
    <tableColumn id="11" xr3:uid="{00000000-0010-0000-DA00-00000B000000}" name="int" dataDxfId="288"/>
    <tableColumn id="12" xr3:uid="{00000000-0010-0000-DA00-00000C000000}" name="fmb" dataDxfId="287"/>
    <tableColumn id="13" xr3:uid="{28639659-C7B3-477C-B315-F6346E9701ED}" name="f_custom" dataDxfId="28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0000000-000C-0000-FFFF-FFFFDB000000}" name="WAS_Table3" displayName="WAS_Table3" ref="A32:M33" totalsRowShown="0" headerRowDxfId="284" dataDxfId="270">
  <autoFilter ref="A32:M33" xr:uid="{00000000-0009-0000-0100-0000DE000000}"/>
  <tableColumns count="13">
    <tableColumn id="1" xr3:uid="{00000000-0010-0000-DB00-000001000000}" name="team" dataDxfId="283">
      <calculatedColumnFormula>A31</calculatedColumnFormula>
    </tableColumn>
    <tableColumn id="2" xr3:uid="{00000000-0010-0000-DB00-000002000000}" name="off_yd" dataDxfId="282">
      <calculatedColumnFormula>C33 + E33</calculatedColumnFormula>
    </tableColumn>
    <tableColumn id="3" xr3:uid="{00000000-0010-0000-DB00-000003000000}" name="p_yd" dataDxfId="281">
      <calculatedColumnFormula>SUM(INDIRECT(A33 &amp; "_Table4[[#All],[p_yd]]"))</calculatedColumnFormula>
    </tableColumn>
    <tableColumn id="4" xr3:uid="{00000000-0010-0000-DB00-000004000000}" name="car" dataDxfId="28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B00-000005000000}" name="r_yd" dataDxfId="27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B00-000006000000}" name="r_td" dataDxfId="27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B00-000007000000}" name="p_ff" dataDxfId="27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B00-000008000000}" name="p_att" dataDxfId="27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B00-000009000000}" name="cmp_pct" dataDxfId="275">
      <calculatedColumnFormula>SUM(INDIRECT(A33 &amp; "_Table4[[#All],[cmp]]"))/H33</calculatedColumnFormula>
    </tableColumn>
    <tableColumn id="10" xr3:uid="{00000000-0010-0000-DB00-00000A000000}" name="p_td" dataDxfId="27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B00-00000B000000}" name="int" dataDxfId="27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B00-00000C000000}" name="fmb" dataDxfId="27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4F40E48-5E8C-4126-9B66-CF6F2EEFF65C}" name="f_custom" dataDxfId="27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00000000-000C-0000-FFFF-FFFFDC000000}" name="WAS_Table4" displayName="WAS_Table4" ref="A35:AB38" totalsRowShown="0" headerRowDxfId="269" dataDxfId="240">
  <autoFilter ref="A35:AB38" xr:uid="{00000000-0009-0000-0100-0000DF000000}"/>
  <tableColumns count="28">
    <tableColumn id="1" xr3:uid="{00000000-0010-0000-DC00-000001000000}" name="Name" dataDxfId="268"/>
    <tableColumn id="2" xr3:uid="{00000000-0010-0000-DC00-000002000000}" name="POS" dataDxfId="267"/>
    <tableColumn id="3" xr3:uid="{00000000-0010-0000-DC00-000003000000}" name="Age" dataDxfId="266"/>
    <tableColumn id="4" xr3:uid="{00000000-0010-0000-DC00-000004000000}" name="Exp" dataDxfId="265"/>
    <tableColumn id="5" xr3:uid="{00000000-0010-0000-DC00-000005000000}" name="College" dataDxfId="264"/>
    <tableColumn id="6" xr3:uid="{00000000-0010-0000-DC00-000006000000}" name="team" dataDxfId="263"/>
    <tableColumn id="7" xr3:uid="{00000000-0010-0000-DC00-000007000000}" name="g" dataDxfId="262"/>
    <tableColumn id="8" xr3:uid="{00000000-0010-0000-DC00-000008000000}" name="p_att" dataDxfId="261"/>
    <tableColumn id="9" xr3:uid="{00000000-0010-0000-DC00-000009000000}" name="cmp" dataDxfId="260"/>
    <tableColumn id="10" xr3:uid="{00000000-0010-0000-DC00-00000A000000}" name="p_yd" dataDxfId="259"/>
    <tableColumn id="11" xr3:uid="{00000000-0010-0000-DC00-00000B000000}" name="p_td" dataDxfId="258"/>
    <tableColumn id="12" xr3:uid="{00000000-0010-0000-DC00-00000C000000}" name="int" dataDxfId="257"/>
    <tableColumn id="13" xr3:uid="{00000000-0010-0000-DC00-00000D000000}" name="car" dataDxfId="256"/>
    <tableColumn id="14" xr3:uid="{00000000-0010-0000-DC00-00000E000000}" name="r_yd" dataDxfId="255"/>
    <tableColumn id="15" xr3:uid="{00000000-0010-0000-DC00-00000F000000}" name="r_td" dataDxfId="254"/>
    <tableColumn id="16" xr3:uid="{00000000-0010-0000-DC00-000010000000}" name="tgt" dataDxfId="253"/>
    <tableColumn id="17" xr3:uid="{00000000-0010-0000-DC00-000011000000}" name="rec" dataDxfId="252"/>
    <tableColumn id="18" xr3:uid="{00000000-0010-0000-DC00-000012000000}" name="rec_yd" dataDxfId="251"/>
    <tableColumn id="19" xr3:uid="{00000000-0010-0000-DC00-000013000000}" name="rec_td" dataDxfId="250"/>
    <tableColumn id="20" xr3:uid="{00000000-0010-0000-DC00-000014000000}" name="fmb" dataDxfId="249"/>
    <tableColumn id="21" xr3:uid="{00000000-0010-0000-DC00-000015000000}" name="tp_c" dataDxfId="248"/>
    <tableColumn id="22" xr3:uid="{00000000-0010-0000-DC00-000016000000}" name="f_ppr" dataDxfId="247">
      <calculatedColumnFormula>($J36*0.04)+($K36*4)+($L36*-2)+($N36*0.1)+($O36*6)+($Q36)+($R36*0.1)+($S36*6)+($T36*-2)</calculatedColumnFormula>
    </tableColumn>
    <tableColumn id="23" xr3:uid="{00000000-0010-0000-DC00-000017000000}" name="tgt_share" dataDxfId="246">
      <calculatedColumnFormula>$P36/$H$33</calculatedColumnFormula>
    </tableColumn>
    <tableColumn id="24" xr3:uid="{00000000-0010-0000-DC00-000018000000}" name="ypc" dataDxfId="245">
      <calculatedColumnFormula>$N36/$M36</calculatedColumnFormula>
    </tableColumn>
    <tableColumn id="25" xr3:uid="{00000000-0010-0000-DC00-000019000000}" name="ypr" dataDxfId="244">
      <calculatedColumnFormula>$R36/$Q36</calculatedColumnFormula>
    </tableColumn>
    <tableColumn id="26" xr3:uid="{00000000-0010-0000-DC00-00001A000000}" name="cmp_pct" dataDxfId="243">
      <calculatedColumnFormula>$I36/$H36</calculatedColumnFormula>
    </tableColumn>
    <tableColumn id="27" xr3:uid="{00000000-0010-0000-DC00-00001B000000}" name="td_rate" dataDxfId="242">
      <calculatedColumnFormula>$K36/$H36</calculatedColumnFormula>
    </tableColumn>
    <tableColumn id="28" xr3:uid="{00000000-0010-0000-DC00-00001C000000}" name="f_custom" dataDxfId="24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00000000-000C-0000-FFFF-FFFFDD000000}" name="WAS_Table5" displayName="WAS_Table5" ref="A45:AB52" totalsRowShown="0" headerRowDxfId="239" dataDxfId="210">
  <autoFilter ref="A45:AB52" xr:uid="{00000000-0009-0000-0100-0000E0000000}"/>
  <tableColumns count="28">
    <tableColumn id="1" xr3:uid="{00000000-0010-0000-DD00-000001000000}" name="Name" dataDxfId="238"/>
    <tableColumn id="2" xr3:uid="{00000000-0010-0000-DD00-000002000000}" name="POS" dataDxfId="237"/>
    <tableColumn id="3" xr3:uid="{00000000-0010-0000-DD00-000003000000}" name="Age" dataDxfId="236"/>
    <tableColumn id="4" xr3:uid="{00000000-0010-0000-DD00-000004000000}" name="Exp" dataDxfId="235"/>
    <tableColumn id="5" xr3:uid="{00000000-0010-0000-DD00-000005000000}" name="College" dataDxfId="234"/>
    <tableColumn id="6" xr3:uid="{00000000-0010-0000-DD00-000006000000}" name="team" dataDxfId="233"/>
    <tableColumn id="7" xr3:uid="{00000000-0010-0000-DD00-000007000000}" name="g" dataDxfId="232"/>
    <tableColumn id="8" xr3:uid="{00000000-0010-0000-DD00-000008000000}" name="p_att" dataDxfId="231"/>
    <tableColumn id="9" xr3:uid="{00000000-0010-0000-DD00-000009000000}" name="cmp" dataDxfId="230"/>
    <tableColumn id="10" xr3:uid="{00000000-0010-0000-DD00-00000A000000}" name="p_yd" dataDxfId="229"/>
    <tableColumn id="11" xr3:uid="{00000000-0010-0000-DD00-00000B000000}" name="p_td" dataDxfId="228"/>
    <tableColumn id="12" xr3:uid="{00000000-0010-0000-DD00-00000C000000}" name="int" dataDxfId="227"/>
    <tableColumn id="13" xr3:uid="{00000000-0010-0000-DD00-00000D000000}" name="car" dataDxfId="226"/>
    <tableColumn id="14" xr3:uid="{00000000-0010-0000-DD00-00000E000000}" name="r_yd" dataDxfId="225"/>
    <tableColumn id="15" xr3:uid="{00000000-0010-0000-DD00-00000F000000}" name="r_td" dataDxfId="224"/>
    <tableColumn id="16" xr3:uid="{00000000-0010-0000-DD00-000010000000}" name="tgt" dataDxfId="223"/>
    <tableColumn id="17" xr3:uid="{00000000-0010-0000-DD00-000011000000}" name="rec" dataDxfId="222"/>
    <tableColumn id="18" xr3:uid="{00000000-0010-0000-DD00-000012000000}" name="rec_yd" dataDxfId="221"/>
    <tableColumn id="19" xr3:uid="{00000000-0010-0000-DD00-000013000000}" name="rec_td" dataDxfId="220"/>
    <tableColumn id="20" xr3:uid="{00000000-0010-0000-DD00-000014000000}" name="fmb" dataDxfId="219"/>
    <tableColumn id="21" xr3:uid="{00000000-0010-0000-DD00-000015000000}" name="tp_c" dataDxfId="218"/>
    <tableColumn id="22" xr3:uid="{00000000-0010-0000-DD00-000016000000}" name="f_ppr" dataDxfId="217">
      <calculatedColumnFormula>($J46*0.04)+($K46*4)+($L46*-2)+($N46*0.1)+($O46*6)+($Q46)+($R46*0.1)+($S46*6)+($T46*-2)</calculatedColumnFormula>
    </tableColumn>
    <tableColumn id="23" xr3:uid="{00000000-0010-0000-DD00-000017000000}" name="tgt_share" dataDxfId="216">
      <calculatedColumnFormula>$P46/$H$33</calculatedColumnFormula>
    </tableColumn>
    <tableColumn id="24" xr3:uid="{00000000-0010-0000-DD00-000018000000}" name="ypc" dataDxfId="215">
      <calculatedColumnFormula>$N46/$M46</calculatedColumnFormula>
    </tableColumn>
    <tableColumn id="25" xr3:uid="{00000000-0010-0000-DD00-000019000000}" name="ypr" dataDxfId="214">
      <calculatedColumnFormula>$R46/$Q46</calculatedColumnFormula>
    </tableColumn>
    <tableColumn id="26" xr3:uid="{00000000-0010-0000-DD00-00001A000000}" name="cmp_pct" dataDxfId="213">
      <calculatedColumnFormula>$I46/$H46</calculatedColumnFormula>
    </tableColumn>
    <tableColumn id="27" xr3:uid="{00000000-0010-0000-DD00-00001B000000}" name="td_rate" dataDxfId="212">
      <calculatedColumnFormula>$K46/$H46</calculatedColumnFormula>
    </tableColumn>
    <tableColumn id="28" xr3:uid="{00000000-0010-0000-DD00-00001C000000}" name="f_custom" dataDxfId="21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00000000-000C-0000-FFFF-FFFFDE000000}" name="WAS_Table6" displayName="WAS_Table6" ref="A60:AB73" totalsRowShown="0" headerRowDxfId="209" dataDxfId="180">
  <autoFilter ref="A60:AB73" xr:uid="{00000000-0009-0000-0100-0000E1000000}"/>
  <tableColumns count="28">
    <tableColumn id="1" xr3:uid="{00000000-0010-0000-DE00-000001000000}" name="Name" dataDxfId="208"/>
    <tableColumn id="2" xr3:uid="{00000000-0010-0000-DE00-000002000000}" name="POS" dataDxfId="207"/>
    <tableColumn id="3" xr3:uid="{00000000-0010-0000-DE00-000003000000}" name="Age" dataDxfId="206"/>
    <tableColumn id="4" xr3:uid="{00000000-0010-0000-DE00-000004000000}" name="Exp" dataDxfId="205"/>
    <tableColumn id="5" xr3:uid="{00000000-0010-0000-DE00-000005000000}" name="College" dataDxfId="204"/>
    <tableColumn id="6" xr3:uid="{00000000-0010-0000-DE00-000006000000}" name="team" dataDxfId="203"/>
    <tableColumn id="7" xr3:uid="{00000000-0010-0000-DE00-000007000000}" name="g" dataDxfId="202"/>
    <tableColumn id="8" xr3:uid="{00000000-0010-0000-DE00-000008000000}" name="p_att" dataDxfId="201"/>
    <tableColumn id="9" xr3:uid="{00000000-0010-0000-DE00-000009000000}" name="cmp" dataDxfId="200"/>
    <tableColumn id="10" xr3:uid="{00000000-0010-0000-DE00-00000A000000}" name="p_yd" dataDxfId="199"/>
    <tableColumn id="11" xr3:uid="{00000000-0010-0000-DE00-00000B000000}" name="p_td" dataDxfId="198"/>
    <tableColumn id="12" xr3:uid="{00000000-0010-0000-DE00-00000C000000}" name="int" dataDxfId="197"/>
    <tableColumn id="13" xr3:uid="{00000000-0010-0000-DE00-00000D000000}" name="car" dataDxfId="196"/>
    <tableColumn id="14" xr3:uid="{00000000-0010-0000-DE00-00000E000000}" name="r_yd" dataDxfId="195"/>
    <tableColumn id="15" xr3:uid="{00000000-0010-0000-DE00-00000F000000}" name="r_td" dataDxfId="194"/>
    <tableColumn id="16" xr3:uid="{00000000-0010-0000-DE00-000010000000}" name="tgt" dataDxfId="193"/>
    <tableColumn id="17" xr3:uid="{00000000-0010-0000-DE00-000011000000}" name="rec" dataDxfId="192"/>
    <tableColumn id="18" xr3:uid="{00000000-0010-0000-DE00-000012000000}" name="rec_yd" dataDxfId="191"/>
    <tableColumn id="19" xr3:uid="{00000000-0010-0000-DE00-000013000000}" name="rec_td" dataDxfId="190"/>
    <tableColumn id="20" xr3:uid="{00000000-0010-0000-DE00-000014000000}" name="fmb" dataDxfId="189"/>
    <tableColumn id="21" xr3:uid="{00000000-0010-0000-DE00-000015000000}" name="tp_c" dataDxfId="188"/>
    <tableColumn id="22" xr3:uid="{00000000-0010-0000-DE00-000016000000}" name="f_ppr" dataDxfId="187">
      <calculatedColumnFormula>($J61*0.04)+($K61*4)+($L61*-2)+($N61*0.1)+($O61*6)+($Q61)+($R61*0.1)+($S61*6)+($T61*-2)</calculatedColumnFormula>
    </tableColumn>
    <tableColumn id="23" xr3:uid="{00000000-0010-0000-DE00-000017000000}" name="tgt_share" dataDxfId="186">
      <calculatedColumnFormula>$P61/$H$33</calculatedColumnFormula>
    </tableColumn>
    <tableColumn id="24" xr3:uid="{00000000-0010-0000-DE00-000018000000}" name="ypc" dataDxfId="185">
      <calculatedColumnFormula>$N61/$M61</calculatedColumnFormula>
    </tableColumn>
    <tableColumn id="25" xr3:uid="{00000000-0010-0000-DE00-000019000000}" name="ypr" dataDxfId="184">
      <calculatedColumnFormula>$R61/$Q61</calculatedColumnFormula>
    </tableColumn>
    <tableColumn id="26" xr3:uid="{00000000-0010-0000-DE00-00001A000000}" name="cmp_pct" dataDxfId="183">
      <calculatedColumnFormula>$I61/$H61</calculatedColumnFormula>
    </tableColumn>
    <tableColumn id="27" xr3:uid="{00000000-0010-0000-DE00-00001B000000}" name="td_rate" dataDxfId="182">
      <calculatedColumnFormula>$K61/$H61</calculatedColumnFormula>
    </tableColumn>
    <tableColumn id="28" xr3:uid="{00000000-0010-0000-DE00-00001C000000}" name="f_custom" dataDxfId="18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00000000-000C-0000-FFFF-FFFFDF000000}" name="WAS_Table7" displayName="WAS_Table7" ref="A75:AB81" totalsRowShown="0" headerRowDxfId="179" dataDxfId="150">
  <autoFilter ref="A75:AB81" xr:uid="{00000000-0009-0000-0100-0000E2000000}"/>
  <tableColumns count="28">
    <tableColumn id="1" xr3:uid="{00000000-0010-0000-DF00-000001000000}" name="Name" dataDxfId="178"/>
    <tableColumn id="2" xr3:uid="{00000000-0010-0000-DF00-000002000000}" name="POS" dataDxfId="177"/>
    <tableColumn id="3" xr3:uid="{00000000-0010-0000-DF00-000003000000}" name="Age" dataDxfId="176"/>
    <tableColumn id="4" xr3:uid="{00000000-0010-0000-DF00-000004000000}" name="Exp" dataDxfId="175"/>
    <tableColumn id="5" xr3:uid="{00000000-0010-0000-DF00-000005000000}" name="College" dataDxfId="174"/>
    <tableColumn id="6" xr3:uid="{00000000-0010-0000-DF00-000006000000}" name="team" dataDxfId="173"/>
    <tableColumn id="7" xr3:uid="{00000000-0010-0000-DF00-000007000000}" name="g" dataDxfId="172"/>
    <tableColumn id="8" xr3:uid="{00000000-0010-0000-DF00-000008000000}" name="p_att" dataDxfId="171"/>
    <tableColumn id="9" xr3:uid="{00000000-0010-0000-DF00-000009000000}" name="cmp" dataDxfId="170"/>
    <tableColumn id="10" xr3:uid="{00000000-0010-0000-DF00-00000A000000}" name="p_yd" dataDxfId="169"/>
    <tableColumn id="11" xr3:uid="{00000000-0010-0000-DF00-00000B000000}" name="p_td" dataDxfId="168"/>
    <tableColumn id="12" xr3:uid="{00000000-0010-0000-DF00-00000C000000}" name="int" dataDxfId="167"/>
    <tableColumn id="13" xr3:uid="{00000000-0010-0000-DF00-00000D000000}" name="car" dataDxfId="166"/>
    <tableColumn id="14" xr3:uid="{00000000-0010-0000-DF00-00000E000000}" name="r_yd" dataDxfId="165"/>
    <tableColumn id="15" xr3:uid="{00000000-0010-0000-DF00-00000F000000}" name="r_td" dataDxfId="164"/>
    <tableColumn id="16" xr3:uid="{00000000-0010-0000-DF00-000010000000}" name="tgt" dataDxfId="163"/>
    <tableColumn id="17" xr3:uid="{00000000-0010-0000-DF00-000011000000}" name="rec" dataDxfId="162"/>
    <tableColumn id="18" xr3:uid="{00000000-0010-0000-DF00-000012000000}" name="rec_yd" dataDxfId="161"/>
    <tableColumn id="19" xr3:uid="{00000000-0010-0000-DF00-000013000000}" name="rec_td" dataDxfId="160"/>
    <tableColumn id="20" xr3:uid="{00000000-0010-0000-DF00-000014000000}" name="fmb" dataDxfId="159"/>
    <tableColumn id="21" xr3:uid="{00000000-0010-0000-DF00-000015000000}" name="tp_c" dataDxfId="158"/>
    <tableColumn id="22" xr3:uid="{00000000-0010-0000-DF00-000016000000}" name="f_ppr" dataDxfId="157">
      <calculatedColumnFormula>($J76*0.04)+($K76*4)+($L76*-2)+($N76*0.1)+($O76*6)+($Q76)+($R76*0.1)+($S76*6)+($T76*-2)</calculatedColumnFormula>
    </tableColumn>
    <tableColumn id="23" xr3:uid="{00000000-0010-0000-DF00-000017000000}" name="tgt_share" dataDxfId="156">
      <calculatedColumnFormula>$P76/$H$33</calculatedColumnFormula>
    </tableColumn>
    <tableColumn id="24" xr3:uid="{00000000-0010-0000-DF00-000018000000}" name="ypc" dataDxfId="155">
      <calculatedColumnFormula>$N76/$M76</calculatedColumnFormula>
    </tableColumn>
    <tableColumn id="25" xr3:uid="{00000000-0010-0000-DF00-000019000000}" name="ypr" dataDxfId="154">
      <calculatedColumnFormula>$R76/$Q76</calculatedColumnFormula>
    </tableColumn>
    <tableColumn id="26" xr3:uid="{00000000-0010-0000-DF00-00001A000000}" name="cmp_pct" dataDxfId="153">
      <calculatedColumnFormula>$I76/$H76</calculatedColumnFormula>
    </tableColumn>
    <tableColumn id="27" xr3:uid="{00000000-0010-0000-DF00-00001B000000}" name="td_rate" dataDxfId="152">
      <calculatedColumnFormula>$K76/$H76</calculatedColumnFormula>
    </tableColumn>
    <tableColumn id="28" xr3:uid="{00000000-0010-0000-DF00-00001C000000}" name="f_custom" dataDxfId="15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06D1AA-6194-CC4B-86A7-48FC687A97D4}" name="ConsolidatedFourthTable" displayName="ConsolidatedFourthTable" ref="A1:AB83" totalsRowShown="0" headerRowDxfId="149" dataDxfId="120" headerRowBorderDxfId="5827" tableBorderDxfId="5828" totalsRowBorderDxfId="5826">
  <autoFilter ref="A1:AB83" xr:uid="{9306D1AA-6194-CC4B-86A7-48FC687A97D4}"/>
  <tableColumns count="28">
    <tableColumn id="1" xr3:uid="{AF34E693-D299-DB4E-B5D7-2F741C1D9E1F}" name="Name" dataDxfId="148"/>
    <tableColumn id="2" xr3:uid="{22F300BF-EE66-5D48-AFA8-DF750A5B1F7A}" name="POS" dataDxfId="147"/>
    <tableColumn id="3" xr3:uid="{3EAB87EE-EE91-3646-A770-66A7DC7613E5}" name="Age" dataDxfId="146"/>
    <tableColumn id="4" xr3:uid="{02F0E5B3-02BB-E44F-B197-D0EF532737BB}" name="Exp" dataDxfId="145"/>
    <tableColumn id="5" xr3:uid="{6D236395-855D-E943-9E60-2487F732802C}" name="College" dataDxfId="144"/>
    <tableColumn id="6" xr3:uid="{F2D02060-B809-484C-B180-05725B03A274}" name="team" dataDxfId="143"/>
    <tableColumn id="7" xr3:uid="{3E48694A-2878-A540-918B-8FF5B47EB23E}" name="g" dataDxfId="142"/>
    <tableColumn id="8" xr3:uid="{88B1B449-624A-9742-A26F-17D6A92B3D6D}" name="p_att" dataDxfId="141"/>
    <tableColumn id="9" xr3:uid="{D2E1F1D9-CF07-2140-B8ED-B2C2A6DCF5A3}" name="cmp" dataDxfId="140"/>
    <tableColumn id="10" xr3:uid="{C681B17F-04A3-3240-B2B0-65971E33A89C}" name="p_yd" dataDxfId="139"/>
    <tableColumn id="11" xr3:uid="{D5D2A645-B6C3-8241-BF7F-810C27CFA1F4}" name="p_td" dataDxfId="138"/>
    <tableColumn id="12" xr3:uid="{698E3C9C-3251-8F47-9814-65530D5DBD24}" name="int" dataDxfId="137"/>
    <tableColumn id="13" xr3:uid="{5F23992D-73A5-E040-B6CC-2071E49DA1B9}" name="car" dataDxfId="136"/>
    <tableColumn id="14" xr3:uid="{82C2B701-D132-C24A-B59E-F5C84EE01441}" name="r_yd" dataDxfId="135"/>
    <tableColumn id="15" xr3:uid="{710EB1CF-73D0-F245-A365-78DE696BA919}" name="r_td" dataDxfId="134"/>
    <tableColumn id="16" xr3:uid="{8767626F-F31E-A04C-8713-4011C6652491}" name="tgt" dataDxfId="133"/>
    <tableColumn id="17" xr3:uid="{27A567C6-0FFF-954C-AB5A-F0BB44DAD6F9}" name="rec" dataDxfId="132"/>
    <tableColumn id="18" xr3:uid="{221CC070-D1E3-C240-A30B-15885E658A4D}" name="rec_yd" dataDxfId="131"/>
    <tableColumn id="19" xr3:uid="{359474AE-F0BF-924E-9E1B-085C1598E0DF}" name="rec_td" dataDxfId="130"/>
    <tableColumn id="20" xr3:uid="{0D619EE4-448C-1B49-ACBA-6BD62D67933D}" name="fmb" dataDxfId="129"/>
    <tableColumn id="21" xr3:uid="{08B3D4AC-D9D8-D64B-8C9A-883524874CD3}" name="tp_c" dataDxfId="128"/>
    <tableColumn id="22" xr3:uid="{4C14316F-7D4E-2544-9CA1-90D3E7BC1029}" name="f_ppr" dataDxfId="127">
      <calculatedColumnFormula>($J2*0.04)+($K2*4)+($L2*-2)+($N2*0.1)+($O2*6)+($Q2)+($R2*0.1)+($S2*6)+($T2*-2)</calculatedColumnFormula>
    </tableColumn>
    <tableColumn id="23" xr3:uid="{8A716DE6-E653-9A43-BD14-100142B41B8E}" name="tgt_share" dataDxfId="126">
      <calculatedColumnFormula>$P2/$H$33</calculatedColumnFormula>
    </tableColumn>
    <tableColumn id="24" xr3:uid="{51D3993B-864A-364F-AC18-93FF3878CCD5}" name="ypc" dataDxfId="125">
      <calculatedColumnFormula>$N2/$M2</calculatedColumnFormula>
    </tableColumn>
    <tableColumn id="25" xr3:uid="{85F54284-4CBE-0847-B721-27241369D938}" name="ypr" dataDxfId="124">
      <calculatedColumnFormula>$R2/$Q2</calculatedColumnFormula>
    </tableColumn>
    <tableColumn id="26" xr3:uid="{4CB26C61-AC02-5D4A-BEC2-8020B9185A4D}" name="cmp_pct" dataDxfId="123">
      <calculatedColumnFormula>$I2/$H2</calculatedColumnFormula>
    </tableColumn>
    <tableColumn id="27" xr3:uid="{05777548-07BC-B74D-A882-0B7CFB207D1C}" name="td_rate" dataDxfId="122">
      <calculatedColumnFormula>$K2/$H2</calculatedColumnFormula>
    </tableColumn>
    <tableColumn id="28" xr3:uid="{0545974E-300D-DD4E-AD6E-7552CFD5F4C7}" name="f_custom" dataDxfId="12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0D246C-74B3-064E-ABF9-FE258A3C2A9A}" name="ConsolidatedFifthTable" displayName="ConsolidatedFifthTable" ref="A1:AB167" totalsRowShown="0" headerRowDxfId="119" dataDxfId="90" headerRowBorderDxfId="5824" tableBorderDxfId="5825" totalsRowBorderDxfId="5823">
  <autoFilter ref="A1:AB167" xr:uid="{C60D246C-74B3-064E-ABF9-FE258A3C2A9A}"/>
  <tableColumns count="28">
    <tableColumn id="1" xr3:uid="{44D807E3-6490-5F4F-A0D3-1E175ACE1E0E}" name="Name" dataDxfId="118"/>
    <tableColumn id="2" xr3:uid="{5A47AAEB-EFCA-BA40-BBDC-9FA93BC61AF9}" name="POS" dataDxfId="117"/>
    <tableColumn id="3" xr3:uid="{7198A543-7972-244B-92BC-E5AF75826F36}" name="Age" dataDxfId="116"/>
    <tableColumn id="4" xr3:uid="{49489DC0-0083-6743-8797-85E19E9DC5E1}" name="Exp" dataDxfId="115"/>
    <tableColumn id="5" xr3:uid="{7E5AE0D6-1851-104B-8AC7-5FFC43BFABCF}" name="College" dataDxfId="114"/>
    <tableColumn id="6" xr3:uid="{342943A0-42D8-D840-965A-39E49736FC88}" name="team" dataDxfId="113"/>
    <tableColumn id="7" xr3:uid="{64A5F1A4-663C-4743-B815-88AD43C6E6D5}" name="g" dataDxfId="112"/>
    <tableColumn id="8" xr3:uid="{A0466B10-F8C7-9444-8A99-6A4C810D1104}" name="p_att" dataDxfId="111"/>
    <tableColumn id="9" xr3:uid="{9C58A67F-3FA2-8448-A7AB-09164C1A3867}" name="cmp" dataDxfId="110"/>
    <tableColumn id="10" xr3:uid="{48D9CA7A-3612-A341-AEE2-DCFCAE241A07}" name="p_yd" dataDxfId="109"/>
    <tableColumn id="11" xr3:uid="{DF6061E6-E14C-E640-B336-59EB56B9A4FC}" name="p_td" dataDxfId="108"/>
    <tableColumn id="12" xr3:uid="{7A90E632-6397-5345-961F-305D3CF203A7}" name="int" dataDxfId="107"/>
    <tableColumn id="13" xr3:uid="{3D476C50-0CEC-2049-982A-B9C383DF6768}" name="car" dataDxfId="106"/>
    <tableColumn id="14" xr3:uid="{B1446977-461E-D94C-9C0F-26B1AF632987}" name="r_yd" dataDxfId="105"/>
    <tableColumn id="15" xr3:uid="{951B90F5-E6FC-8A49-A14C-2444DBB3F528}" name="r_td" dataDxfId="104"/>
    <tableColumn id="16" xr3:uid="{B40F252A-2FBA-FE46-BC5D-1FCC41B07DDB}" name="tgt" dataDxfId="103"/>
    <tableColumn id="17" xr3:uid="{AA680C6B-64E9-DF49-880D-71734F9D765F}" name="rec" dataDxfId="102"/>
    <tableColumn id="18" xr3:uid="{BD24FEC4-897E-D345-AF0A-FDE6BFE5E1CD}" name="rec_yd" dataDxfId="101"/>
    <tableColumn id="19" xr3:uid="{47A40907-138C-E64C-AC76-18E56D9678A1}" name="rec_td" dataDxfId="100"/>
    <tableColumn id="20" xr3:uid="{375D57D7-5710-4340-82BD-FDA82733D45A}" name="fmb" dataDxfId="99"/>
    <tableColumn id="21" xr3:uid="{B70E6874-381D-2843-B4A2-B99F86C31A0F}" name="tp_c" dataDxfId="98"/>
    <tableColumn id="22" xr3:uid="{5E6DFE68-465F-5640-8965-DDE4CD8F4158}" name="f_ppr" dataDxfId="97">
      <calculatedColumnFormula>($J2*0.04)+($K2*4)+($L2*-2)+($N2*0.1)+($O2*6)+($Q2)+($R2*0.1)+($S2*6)+($T2*-2)</calculatedColumnFormula>
    </tableColumn>
    <tableColumn id="23" xr3:uid="{73735480-FC79-014D-9EB1-9FB009D9B547}" name="tgt_share" dataDxfId="96">
      <calculatedColumnFormula>$P2/$H$33</calculatedColumnFormula>
    </tableColumn>
    <tableColumn id="24" xr3:uid="{AC8E7AB6-A2F2-C743-959D-568D9888E0CD}" name="ypc" dataDxfId="95">
      <calculatedColumnFormula>$N2/$M2</calculatedColumnFormula>
    </tableColumn>
    <tableColumn id="25" xr3:uid="{70CFC3EA-6B85-5949-ACEA-2E9B46C7AFE5}" name="ypr" dataDxfId="94">
      <calculatedColumnFormula>$R2/$Q2</calculatedColumnFormula>
    </tableColumn>
    <tableColumn id="26" xr3:uid="{C023360E-9239-2549-8CA8-9E4C78FF3ACE}" name="cmp_pct" dataDxfId="93">
      <calculatedColumnFormula>$I2/$H2</calculatedColumnFormula>
    </tableColumn>
    <tableColumn id="27" xr3:uid="{1F815923-B09F-AC45-B0FD-F68818B227A2}" name="td_rate" dataDxfId="92">
      <calculatedColumnFormula>$K2/$H2</calculatedColumnFormula>
    </tableColumn>
    <tableColumn id="28" xr3:uid="{0D3658F4-EB55-BA42-8A77-A347F3C68620}" name="f_custom" dataDxfId="9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7" xr:uid="{4507D7A4-7CFD-324D-BE52-E77D52454D47}" name="ConsolidatedSixthTable" displayName="ConsolidatedSixthTable" ref="A1:AB365" totalsRowShown="0" headerRowDxfId="89" dataDxfId="60" headerRowBorderDxfId="5821" tableBorderDxfId="5822" totalsRowBorderDxfId="5820">
  <autoFilter ref="A1:AB365" xr:uid="{4507D7A4-7CFD-324D-BE52-E77D52454D47}"/>
  <tableColumns count="28">
    <tableColumn id="1" xr3:uid="{3EE866C3-EB77-6440-944D-90C60D93C9DD}" name="Name" dataDxfId="88"/>
    <tableColumn id="2" xr3:uid="{4AA3E22C-EFD7-E244-B64E-78970A44DE8E}" name="POS" dataDxfId="87"/>
    <tableColumn id="3" xr3:uid="{275FD323-2D80-5B45-A96A-7741C69D31DD}" name="Age" dataDxfId="86"/>
    <tableColumn id="4" xr3:uid="{5C80070A-AC1C-444B-AB9C-EBC7DF3A0885}" name="Exp" dataDxfId="85"/>
    <tableColumn id="5" xr3:uid="{32A6DB76-5DD4-5A4B-9964-6077090F69DD}" name="College" dataDxfId="84"/>
    <tableColumn id="6" xr3:uid="{1E85F71A-AEDB-454F-BDFA-202861E42D35}" name="team" dataDxfId="83"/>
    <tableColumn id="7" xr3:uid="{05814A42-7DD3-C647-9C7D-2BEDC5885267}" name="g" dataDxfId="82"/>
    <tableColumn id="8" xr3:uid="{0184CAB5-D63F-2443-927A-0DD48DD4A84C}" name="p_att" dataDxfId="81"/>
    <tableColumn id="9" xr3:uid="{4E7F906F-B5D3-D74B-BAD5-D3A175C8EE2D}" name="cmp" dataDxfId="80"/>
    <tableColumn id="10" xr3:uid="{F703CE1D-1D85-4B49-B785-0E7F0FDA0A5D}" name="p_yd" dataDxfId="79"/>
    <tableColumn id="11" xr3:uid="{472C1C41-FF75-5E45-81F0-9BC050B5FE56}" name="p_td" dataDxfId="78"/>
    <tableColumn id="12" xr3:uid="{5E394BA4-9189-DE45-B2A0-C1374DA974C6}" name="int" dataDxfId="77"/>
    <tableColumn id="13" xr3:uid="{FE7B556E-7524-404C-A385-82A3B47C1E75}" name="car" dataDxfId="76"/>
    <tableColumn id="14" xr3:uid="{E17121E8-E6FC-AA46-9813-D1373A5004D8}" name="r_yd" dataDxfId="75"/>
    <tableColumn id="15" xr3:uid="{086AEFE6-70AD-C045-95FF-05E2AEC4A2F0}" name="r_td" dataDxfId="74"/>
    <tableColumn id="16" xr3:uid="{972212BE-312E-4F45-9E98-87FE5C846EBE}" name="tgt" dataDxfId="73"/>
    <tableColumn id="17" xr3:uid="{E57E03EF-6174-944C-8357-3E93A732549B}" name="rec" dataDxfId="72"/>
    <tableColumn id="18" xr3:uid="{2E72C258-77E5-8C43-8D43-60A8016C634C}" name="rec_yd" dataDxfId="71"/>
    <tableColumn id="19" xr3:uid="{1A913394-CEAF-B542-A2D7-6AA225E551E4}" name="rec_td" dataDxfId="70"/>
    <tableColumn id="20" xr3:uid="{E381F655-C0FE-064B-8487-7C130AA54B38}" name="fmb" dataDxfId="69"/>
    <tableColumn id="21" xr3:uid="{A9294EFF-18FC-C147-9D3D-9322929296C7}" name="tp_c" dataDxfId="68"/>
    <tableColumn id="22" xr3:uid="{979B3CFC-987C-6944-B751-7AB2253830FA}" name="f_ppr" dataDxfId="67">
      <calculatedColumnFormula>($J2*0.04)+($K2*4)+($L2*-2)+($N2*0.1)+($O2*6)+($Q2)+($R2*0.1)+($S2*6)+($T2*-2)</calculatedColumnFormula>
    </tableColumn>
    <tableColumn id="23" xr3:uid="{C2E33C9D-DECD-1149-894B-DBC0AFE1682D}" name="tgt_share" dataDxfId="66">
      <calculatedColumnFormula>$P2/$H$33</calculatedColumnFormula>
    </tableColumn>
    <tableColumn id="24" xr3:uid="{FD000875-DF80-8548-BDAC-B71BA25F2D36}" name="ypc" dataDxfId="65">
      <calculatedColumnFormula>$N2/$M2</calculatedColumnFormula>
    </tableColumn>
    <tableColumn id="25" xr3:uid="{254F9514-D492-C943-B594-6E7A4E05B41F}" name="ypr" dataDxfId="64">
      <calculatedColumnFormula>$R2/$Q2</calculatedColumnFormula>
    </tableColumn>
    <tableColumn id="26" xr3:uid="{94193B1D-F9BD-A446-A35E-18E915B715F2}" name="cmp_pct" dataDxfId="63">
      <calculatedColumnFormula>$I2/$H2</calculatedColumnFormula>
    </tableColumn>
    <tableColumn id="27" xr3:uid="{D3484D44-D153-0349-8D24-AA1C6B6D03F8}" name="td_rate" dataDxfId="62">
      <calculatedColumnFormula>$K2/$H2</calculatedColumnFormula>
    </tableColumn>
    <tableColumn id="28" xr3:uid="{C48F2007-8AAA-0E44-9295-777E5746934A}" name="f_custom" dataDxfId="6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8" xr:uid="{1601AFDA-786A-0344-9F73-0093BC8E4E66}" name="ConsolidatedSeventhTable" displayName="ConsolidatedSeventhTable" ref="A1:AB167" totalsRowShown="0" headerRowDxfId="59" dataDxfId="30" headerRowBorderDxfId="5818" tableBorderDxfId="5819" totalsRowBorderDxfId="5817">
  <autoFilter ref="A1:AB167" xr:uid="{1601AFDA-786A-0344-9F73-0093BC8E4E66}"/>
  <tableColumns count="28">
    <tableColumn id="1" xr3:uid="{02D67399-8649-D247-99EC-D1F18EF75D5A}" name="Name" dataDxfId="58"/>
    <tableColumn id="2" xr3:uid="{9962869D-051C-6D49-9EB0-CEE26B6C1A21}" name="POS" dataDxfId="57"/>
    <tableColumn id="3" xr3:uid="{F25DC8B4-587A-EB48-B3D8-B0B5D549F156}" name="Age" dataDxfId="56"/>
    <tableColumn id="4" xr3:uid="{3D872A6C-9474-BB42-AA79-32A83E4964AB}" name="Exp" dataDxfId="55"/>
    <tableColumn id="5" xr3:uid="{D2341BE2-CE56-8640-8B30-273A96778246}" name="College" dataDxfId="54"/>
    <tableColumn id="6" xr3:uid="{6384049C-169F-274F-B5C9-EA9DB6951A2E}" name="team" dataDxfId="53"/>
    <tableColumn id="7" xr3:uid="{4AA06102-C765-A64D-A7C6-D997F11D1EFB}" name="g" dataDxfId="52"/>
    <tableColumn id="8" xr3:uid="{EC6A5747-CBC9-1D43-BBE7-45D663BB31AB}" name="p_att" dataDxfId="51"/>
    <tableColumn id="9" xr3:uid="{DFABFF85-2463-7A4F-B643-9477F5B47259}" name="cmp" dataDxfId="50"/>
    <tableColumn id="10" xr3:uid="{777FF6CF-9B50-3F4B-9B95-2697BC141D6C}" name="p_yd" dataDxfId="49"/>
    <tableColumn id="11" xr3:uid="{C378FCE0-2335-6D47-B0ED-8EC7B8932F88}" name="p_td" dataDxfId="48"/>
    <tableColumn id="12" xr3:uid="{19EEA393-140C-8244-B378-D922E437C531}" name="int" dataDxfId="47"/>
    <tableColumn id="13" xr3:uid="{F5E7E7E0-8F7D-6245-9B0D-5F7C68018F30}" name="car" dataDxfId="46"/>
    <tableColumn id="14" xr3:uid="{D5A25D36-3C3B-264B-AA11-8080272C7B83}" name="r_yd" dataDxfId="45"/>
    <tableColumn id="15" xr3:uid="{56BD3785-847D-4947-8A8D-4B694E164B1F}" name="r_td" dataDxfId="44"/>
    <tableColumn id="16" xr3:uid="{9FFC428D-E102-604D-B9FA-F26858DE65C4}" name="tgt" dataDxfId="43"/>
    <tableColumn id="17" xr3:uid="{440A292C-6ADF-5841-9517-BE9856773AD1}" name="rec" dataDxfId="42"/>
    <tableColumn id="18" xr3:uid="{E70C2AE4-9E43-BC44-8E75-1E2E9F1EEC7E}" name="rec_yd" dataDxfId="41"/>
    <tableColumn id="19" xr3:uid="{A9BE1650-5677-6C48-9B1D-F45476C9AF0A}" name="rec_td" dataDxfId="40"/>
    <tableColumn id="20" xr3:uid="{0383021D-CE29-4548-A601-B632396CE4C7}" name="fmb" dataDxfId="39"/>
    <tableColumn id="21" xr3:uid="{01C14CC8-6BA4-4046-90BB-996FB0B17E36}" name="tp_c" dataDxfId="38"/>
    <tableColumn id="22" xr3:uid="{E71418E3-4932-4244-ABC9-C3D7182739E7}" name="f_ppr" dataDxfId="37">
      <calculatedColumnFormula>($J2*0.04)+($K2*4)+($L2*-2)+($N2*0.1)+($O2*6)+($Q2)+($R2*0.1)+($S2*6)+($T2*-2)</calculatedColumnFormula>
    </tableColumn>
    <tableColumn id="23" xr3:uid="{B5FBD67E-00B3-1842-987E-12AC964ADA76}" name="tgt_share" dataDxfId="36">
      <calculatedColumnFormula>$P2/$H$33</calculatedColumnFormula>
    </tableColumn>
    <tableColumn id="24" xr3:uid="{177ED292-68B3-8041-95B1-72DF84C7A6EC}" name="ypc" dataDxfId="35">
      <calculatedColumnFormula>$N2/$M2</calculatedColumnFormula>
    </tableColumn>
    <tableColumn id="25" xr3:uid="{56EAC575-6A86-CD40-9119-41B57453320A}" name="ypr" dataDxfId="34">
      <calculatedColumnFormula>$R2/$Q2</calculatedColumnFormula>
    </tableColumn>
    <tableColumn id="26" xr3:uid="{CA1CF6FD-A30A-5049-B9F3-9187C0C09A9D}" name="cmp_pct" dataDxfId="33">
      <calculatedColumnFormula>$I2/$H2</calculatedColumnFormula>
    </tableColumn>
    <tableColumn id="27" xr3:uid="{1AD66372-2F09-3E48-8BB7-0AE9F2B5EDC6}" name="td_rate" dataDxfId="32">
      <calculatedColumnFormula>$K2/$H2</calculatedColumnFormula>
    </tableColumn>
    <tableColumn id="28" xr3:uid="{A83BBD42-6BDA-E343-9C3A-5A85824BD9BF}" name="f_custom" dataDxfId="3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9" xr:uid="{EF37A84F-B8D0-D14D-83ED-67B409122560}" name="ConsolidatedTable" displayName="ConsolidatedTable" ref="A1:AB776" totalsRowShown="0" headerRowDxfId="29" dataDxfId="0" headerRowBorderDxfId="5815" tableBorderDxfId="5816" totalsRowBorderDxfId="5814">
  <autoFilter ref="A1:AB776" xr:uid="{EF37A84F-B8D0-D14D-83ED-67B409122560}"/>
  <sortState xmlns:xlrd2="http://schemas.microsoft.com/office/spreadsheetml/2017/richdata2" ref="A2:AB776">
    <sortCondition descending="1" ref="AB1:AB776"/>
  </sortState>
  <tableColumns count="28">
    <tableColumn id="1" xr3:uid="{09BDAD49-08CC-9748-BA3F-77933009A1E1}" name="Name" dataDxfId="28"/>
    <tableColumn id="2" xr3:uid="{C9F0571C-C68A-D141-A25B-6A098BF52FF1}" name="POS" dataDxfId="27"/>
    <tableColumn id="3" xr3:uid="{79978543-FEEA-6F46-A9D5-27CB1795648C}" name="Age" dataDxfId="26"/>
    <tableColumn id="4" xr3:uid="{9A9567EF-5115-DB43-9257-E684D0FE9866}" name="Exp" dataDxfId="25"/>
    <tableColumn id="5" xr3:uid="{9FB418AE-DAC7-394D-8D5F-8E572DC96FB6}" name="College" dataDxfId="24"/>
    <tableColumn id="6" xr3:uid="{6EB522F4-23FD-8948-B07F-C3385514896C}" name="team" dataDxfId="23"/>
    <tableColumn id="7" xr3:uid="{E35C4650-132F-7A46-A566-35D41221CB3F}" name="g" dataDxfId="22"/>
    <tableColumn id="8" xr3:uid="{A5C1BB5F-44BB-DC40-AA63-741D76F002DE}" name="p_att" dataDxfId="21"/>
    <tableColumn id="9" xr3:uid="{43FBEEEA-D6FE-6B49-93E8-AC86D3B48401}" name="cmp" dataDxfId="20"/>
    <tableColumn id="10" xr3:uid="{9C101D61-972D-174F-98DE-56CC78E0D162}" name="p_yd" dataDxfId="19"/>
    <tableColumn id="11" xr3:uid="{E160C9D9-10CC-FA4B-B8DD-B26ABD9ADC44}" name="p_td" dataDxfId="18"/>
    <tableColumn id="12" xr3:uid="{32696893-A181-B847-8CCE-A4B702B6FB54}" name="int" dataDxfId="17"/>
    <tableColumn id="13" xr3:uid="{27A861B2-F87D-FD49-9CE1-14A0CBDA9289}" name="car" dataDxfId="16"/>
    <tableColumn id="14" xr3:uid="{0CEC9C3C-8A80-E148-984A-8FF84FE5ECA6}" name="r_yd" dataDxfId="15"/>
    <tableColumn id="15" xr3:uid="{379E35FE-4387-6648-BC0E-011764B59389}" name="r_td" dataDxfId="14"/>
    <tableColumn id="16" xr3:uid="{09CA8A96-0367-3846-8BC4-1F177872C621}" name="tgt" dataDxfId="13"/>
    <tableColumn id="17" xr3:uid="{55555419-E2ED-B749-A07B-8F70CDF8932B}" name="rec" dataDxfId="12"/>
    <tableColumn id="18" xr3:uid="{31449848-98A9-C343-9D20-B086642CDDE7}" name="rec_yd" dataDxfId="11"/>
    <tableColumn id="19" xr3:uid="{E98C88A1-EC38-CD4C-ADFD-0FFDE6586947}" name="rec_td" dataDxfId="10"/>
    <tableColumn id="20" xr3:uid="{DA6634D4-5CF2-4049-873E-93BF58B89643}" name="fmb" dataDxfId="9"/>
    <tableColumn id="21" xr3:uid="{0BD1DAC0-B9C8-2442-858B-E73CAC7FC7B6}" name="tp_c" dataDxfId="8"/>
    <tableColumn id="22" xr3:uid="{269F082B-8A40-F146-BE67-26959B90A67C}" name="f_ppr" dataDxfId="7">
      <calculatedColumnFormula>($J2*0.04)+($K2*4)+($L2*-2)+($N2*0.1)+($O2*6)+($Q2)+($R2*0.1)+($S2*6)+($T2*-2)</calculatedColumnFormula>
    </tableColumn>
    <tableColumn id="23" xr3:uid="{9DAB3828-BDE7-8A4D-AB29-E0E963264A13}" name="tgt_share" dataDxfId="6">
      <calculatedColumnFormula>$P2/$H$33</calculatedColumnFormula>
    </tableColumn>
    <tableColumn id="24" xr3:uid="{773E487C-CBB8-1F49-81CE-DF1B3C1AB4D5}" name="ypc" dataDxfId="5">
      <calculatedColumnFormula>$N2/$M2</calculatedColumnFormula>
    </tableColumn>
    <tableColumn id="25" xr3:uid="{5218649D-3A56-3E43-B43F-06B893683BD0}" name="ypr" dataDxfId="4">
      <calculatedColumnFormula>$R2/$Q2</calculatedColumnFormula>
    </tableColumn>
    <tableColumn id="26" xr3:uid="{3AC4F413-7BB9-AD42-8694-A3A0CE587872}" name="cmp_pct" dataDxfId="3">
      <calculatedColumnFormula>$I2/$H2</calculatedColumnFormula>
    </tableColumn>
    <tableColumn id="27" xr3:uid="{825BB303-1ED7-C943-8CE5-C5C54FFA2303}" name="td_rate" dataDxfId="2">
      <calculatedColumnFormula>$K2/$H2</calculatedColumnFormula>
    </tableColumn>
    <tableColumn id="28" xr3:uid="{CA838C8E-2EA4-594B-A2EB-043620BCC932}" name="f_custom" dataDxfId="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table" Target="../tables/table30.xml"/><Relationship Id="rId1" Type="http://schemas.openxmlformats.org/officeDocument/2006/relationships/table" Target="../tables/table29.xml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7" Type="http://schemas.openxmlformats.org/officeDocument/2006/relationships/table" Target="../tables/table42.xml"/><Relationship Id="rId2" Type="http://schemas.openxmlformats.org/officeDocument/2006/relationships/table" Target="../tables/table37.xml"/><Relationship Id="rId1" Type="http://schemas.openxmlformats.org/officeDocument/2006/relationships/table" Target="../tables/table3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table" Target="../tables/table3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7" Type="http://schemas.openxmlformats.org/officeDocument/2006/relationships/table" Target="../tables/table56.xml"/><Relationship Id="rId2" Type="http://schemas.openxmlformats.org/officeDocument/2006/relationships/table" Target="../tables/table51.xml"/><Relationship Id="rId1" Type="http://schemas.openxmlformats.org/officeDocument/2006/relationships/table" Target="../tables/table50.xml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7" Type="http://schemas.openxmlformats.org/officeDocument/2006/relationships/table" Target="../tables/table63.xml"/><Relationship Id="rId2" Type="http://schemas.openxmlformats.org/officeDocument/2006/relationships/table" Target="../tables/table58.xml"/><Relationship Id="rId1" Type="http://schemas.openxmlformats.org/officeDocument/2006/relationships/table" Target="../tables/table57.xml"/><Relationship Id="rId6" Type="http://schemas.openxmlformats.org/officeDocument/2006/relationships/table" Target="../tables/table62.xml"/><Relationship Id="rId5" Type="http://schemas.openxmlformats.org/officeDocument/2006/relationships/table" Target="../tables/table61.xml"/><Relationship Id="rId4" Type="http://schemas.openxmlformats.org/officeDocument/2006/relationships/table" Target="../tables/table6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6.xml"/><Relationship Id="rId7" Type="http://schemas.openxmlformats.org/officeDocument/2006/relationships/table" Target="../tables/table70.xml"/><Relationship Id="rId2" Type="http://schemas.openxmlformats.org/officeDocument/2006/relationships/table" Target="../tables/table65.xml"/><Relationship Id="rId1" Type="http://schemas.openxmlformats.org/officeDocument/2006/relationships/table" Target="../tables/table64.xml"/><Relationship Id="rId6" Type="http://schemas.openxmlformats.org/officeDocument/2006/relationships/table" Target="../tables/table69.xml"/><Relationship Id="rId5" Type="http://schemas.openxmlformats.org/officeDocument/2006/relationships/table" Target="../tables/table68.xml"/><Relationship Id="rId4" Type="http://schemas.openxmlformats.org/officeDocument/2006/relationships/table" Target="../tables/table6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3.xml"/><Relationship Id="rId7" Type="http://schemas.openxmlformats.org/officeDocument/2006/relationships/table" Target="../tables/table77.xml"/><Relationship Id="rId2" Type="http://schemas.openxmlformats.org/officeDocument/2006/relationships/table" Target="../tables/table72.xml"/><Relationship Id="rId1" Type="http://schemas.openxmlformats.org/officeDocument/2006/relationships/table" Target="../tables/table71.xml"/><Relationship Id="rId6" Type="http://schemas.openxmlformats.org/officeDocument/2006/relationships/table" Target="../tables/table76.xml"/><Relationship Id="rId5" Type="http://schemas.openxmlformats.org/officeDocument/2006/relationships/table" Target="../tables/table75.xml"/><Relationship Id="rId4" Type="http://schemas.openxmlformats.org/officeDocument/2006/relationships/table" Target="../tables/table7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0.xml"/><Relationship Id="rId7" Type="http://schemas.openxmlformats.org/officeDocument/2006/relationships/table" Target="../tables/table84.xml"/><Relationship Id="rId2" Type="http://schemas.openxmlformats.org/officeDocument/2006/relationships/table" Target="../tables/table79.xml"/><Relationship Id="rId1" Type="http://schemas.openxmlformats.org/officeDocument/2006/relationships/table" Target="../tables/table78.xml"/><Relationship Id="rId6" Type="http://schemas.openxmlformats.org/officeDocument/2006/relationships/table" Target="../tables/table83.xml"/><Relationship Id="rId5" Type="http://schemas.openxmlformats.org/officeDocument/2006/relationships/table" Target="../tables/table82.xml"/><Relationship Id="rId4" Type="http://schemas.openxmlformats.org/officeDocument/2006/relationships/table" Target="../tables/table8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7.xml"/><Relationship Id="rId7" Type="http://schemas.openxmlformats.org/officeDocument/2006/relationships/table" Target="../tables/table91.xml"/><Relationship Id="rId2" Type="http://schemas.openxmlformats.org/officeDocument/2006/relationships/table" Target="../tables/table86.xml"/><Relationship Id="rId1" Type="http://schemas.openxmlformats.org/officeDocument/2006/relationships/table" Target="../tables/table85.xml"/><Relationship Id="rId6" Type="http://schemas.openxmlformats.org/officeDocument/2006/relationships/table" Target="../tables/table90.xml"/><Relationship Id="rId5" Type="http://schemas.openxmlformats.org/officeDocument/2006/relationships/table" Target="../tables/table89.xml"/><Relationship Id="rId4" Type="http://schemas.openxmlformats.org/officeDocument/2006/relationships/table" Target="../tables/table8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4.xml"/><Relationship Id="rId7" Type="http://schemas.openxmlformats.org/officeDocument/2006/relationships/table" Target="../tables/table98.xml"/><Relationship Id="rId2" Type="http://schemas.openxmlformats.org/officeDocument/2006/relationships/table" Target="../tables/table93.xml"/><Relationship Id="rId1" Type="http://schemas.openxmlformats.org/officeDocument/2006/relationships/table" Target="../tables/table92.xml"/><Relationship Id="rId6" Type="http://schemas.openxmlformats.org/officeDocument/2006/relationships/table" Target="../tables/table97.xml"/><Relationship Id="rId5" Type="http://schemas.openxmlformats.org/officeDocument/2006/relationships/table" Target="../tables/table96.xml"/><Relationship Id="rId4" Type="http://schemas.openxmlformats.org/officeDocument/2006/relationships/table" Target="../tables/table9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1.xml"/><Relationship Id="rId7" Type="http://schemas.openxmlformats.org/officeDocument/2006/relationships/table" Target="../tables/table105.xml"/><Relationship Id="rId2" Type="http://schemas.openxmlformats.org/officeDocument/2006/relationships/table" Target="../tables/table100.xml"/><Relationship Id="rId1" Type="http://schemas.openxmlformats.org/officeDocument/2006/relationships/table" Target="../tables/table99.xml"/><Relationship Id="rId6" Type="http://schemas.openxmlformats.org/officeDocument/2006/relationships/table" Target="../tables/table104.xml"/><Relationship Id="rId5" Type="http://schemas.openxmlformats.org/officeDocument/2006/relationships/table" Target="../tables/table103.xml"/><Relationship Id="rId4" Type="http://schemas.openxmlformats.org/officeDocument/2006/relationships/table" Target="../tables/table10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8.xml"/><Relationship Id="rId7" Type="http://schemas.openxmlformats.org/officeDocument/2006/relationships/table" Target="../tables/table112.xml"/><Relationship Id="rId2" Type="http://schemas.openxmlformats.org/officeDocument/2006/relationships/table" Target="../tables/table107.xml"/><Relationship Id="rId1" Type="http://schemas.openxmlformats.org/officeDocument/2006/relationships/table" Target="../tables/table106.xml"/><Relationship Id="rId6" Type="http://schemas.openxmlformats.org/officeDocument/2006/relationships/table" Target="../tables/table111.xml"/><Relationship Id="rId5" Type="http://schemas.openxmlformats.org/officeDocument/2006/relationships/table" Target="../tables/table110.xml"/><Relationship Id="rId4" Type="http://schemas.openxmlformats.org/officeDocument/2006/relationships/table" Target="../tables/table10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5.xml"/><Relationship Id="rId7" Type="http://schemas.openxmlformats.org/officeDocument/2006/relationships/table" Target="../tables/table119.xml"/><Relationship Id="rId2" Type="http://schemas.openxmlformats.org/officeDocument/2006/relationships/table" Target="../tables/table114.xml"/><Relationship Id="rId1" Type="http://schemas.openxmlformats.org/officeDocument/2006/relationships/table" Target="../tables/table113.xml"/><Relationship Id="rId6" Type="http://schemas.openxmlformats.org/officeDocument/2006/relationships/table" Target="../tables/table118.xml"/><Relationship Id="rId5" Type="http://schemas.openxmlformats.org/officeDocument/2006/relationships/table" Target="../tables/table117.xml"/><Relationship Id="rId4" Type="http://schemas.openxmlformats.org/officeDocument/2006/relationships/table" Target="../tables/table1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2.xml"/><Relationship Id="rId7" Type="http://schemas.openxmlformats.org/officeDocument/2006/relationships/table" Target="../tables/table126.xml"/><Relationship Id="rId2" Type="http://schemas.openxmlformats.org/officeDocument/2006/relationships/table" Target="../tables/table121.xml"/><Relationship Id="rId1" Type="http://schemas.openxmlformats.org/officeDocument/2006/relationships/table" Target="../tables/table120.xml"/><Relationship Id="rId6" Type="http://schemas.openxmlformats.org/officeDocument/2006/relationships/table" Target="../tables/table125.xml"/><Relationship Id="rId5" Type="http://schemas.openxmlformats.org/officeDocument/2006/relationships/table" Target="../tables/table124.xml"/><Relationship Id="rId4" Type="http://schemas.openxmlformats.org/officeDocument/2006/relationships/table" Target="../tables/table1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9.xml"/><Relationship Id="rId7" Type="http://schemas.openxmlformats.org/officeDocument/2006/relationships/table" Target="../tables/table133.xml"/><Relationship Id="rId2" Type="http://schemas.openxmlformats.org/officeDocument/2006/relationships/table" Target="../tables/table128.xml"/><Relationship Id="rId1" Type="http://schemas.openxmlformats.org/officeDocument/2006/relationships/table" Target="../tables/table127.xml"/><Relationship Id="rId6" Type="http://schemas.openxmlformats.org/officeDocument/2006/relationships/table" Target="../tables/table132.xml"/><Relationship Id="rId5" Type="http://schemas.openxmlformats.org/officeDocument/2006/relationships/table" Target="../tables/table131.xml"/><Relationship Id="rId4" Type="http://schemas.openxmlformats.org/officeDocument/2006/relationships/table" Target="../tables/table1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6.xml"/><Relationship Id="rId7" Type="http://schemas.openxmlformats.org/officeDocument/2006/relationships/table" Target="../tables/table140.xml"/><Relationship Id="rId2" Type="http://schemas.openxmlformats.org/officeDocument/2006/relationships/table" Target="../tables/table135.xml"/><Relationship Id="rId1" Type="http://schemas.openxmlformats.org/officeDocument/2006/relationships/table" Target="../tables/table134.xml"/><Relationship Id="rId6" Type="http://schemas.openxmlformats.org/officeDocument/2006/relationships/table" Target="../tables/table139.xml"/><Relationship Id="rId5" Type="http://schemas.openxmlformats.org/officeDocument/2006/relationships/table" Target="../tables/table138.xml"/><Relationship Id="rId4" Type="http://schemas.openxmlformats.org/officeDocument/2006/relationships/table" Target="../tables/table1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3.xml"/><Relationship Id="rId7" Type="http://schemas.openxmlformats.org/officeDocument/2006/relationships/table" Target="../tables/table147.xml"/><Relationship Id="rId2" Type="http://schemas.openxmlformats.org/officeDocument/2006/relationships/table" Target="../tables/table142.xml"/><Relationship Id="rId1" Type="http://schemas.openxmlformats.org/officeDocument/2006/relationships/table" Target="../tables/table141.xml"/><Relationship Id="rId6" Type="http://schemas.openxmlformats.org/officeDocument/2006/relationships/table" Target="../tables/table146.xml"/><Relationship Id="rId5" Type="http://schemas.openxmlformats.org/officeDocument/2006/relationships/table" Target="../tables/table145.xml"/><Relationship Id="rId4" Type="http://schemas.openxmlformats.org/officeDocument/2006/relationships/table" Target="../tables/table14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0.xml"/><Relationship Id="rId7" Type="http://schemas.openxmlformats.org/officeDocument/2006/relationships/table" Target="../tables/table154.xml"/><Relationship Id="rId2" Type="http://schemas.openxmlformats.org/officeDocument/2006/relationships/table" Target="../tables/table149.xml"/><Relationship Id="rId1" Type="http://schemas.openxmlformats.org/officeDocument/2006/relationships/table" Target="../tables/table148.xml"/><Relationship Id="rId6" Type="http://schemas.openxmlformats.org/officeDocument/2006/relationships/table" Target="../tables/table153.xml"/><Relationship Id="rId5" Type="http://schemas.openxmlformats.org/officeDocument/2006/relationships/table" Target="../tables/table152.xml"/><Relationship Id="rId4" Type="http://schemas.openxmlformats.org/officeDocument/2006/relationships/table" Target="../tables/table15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7.xml"/><Relationship Id="rId7" Type="http://schemas.openxmlformats.org/officeDocument/2006/relationships/table" Target="../tables/table161.xml"/><Relationship Id="rId2" Type="http://schemas.openxmlformats.org/officeDocument/2006/relationships/table" Target="../tables/table156.xml"/><Relationship Id="rId1" Type="http://schemas.openxmlformats.org/officeDocument/2006/relationships/table" Target="../tables/table155.xml"/><Relationship Id="rId6" Type="http://schemas.openxmlformats.org/officeDocument/2006/relationships/table" Target="../tables/table160.xml"/><Relationship Id="rId5" Type="http://schemas.openxmlformats.org/officeDocument/2006/relationships/table" Target="../tables/table159.xml"/><Relationship Id="rId4" Type="http://schemas.openxmlformats.org/officeDocument/2006/relationships/table" Target="../tables/table15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4.xml"/><Relationship Id="rId7" Type="http://schemas.openxmlformats.org/officeDocument/2006/relationships/table" Target="../tables/table168.xml"/><Relationship Id="rId2" Type="http://schemas.openxmlformats.org/officeDocument/2006/relationships/table" Target="../tables/table163.xml"/><Relationship Id="rId1" Type="http://schemas.openxmlformats.org/officeDocument/2006/relationships/table" Target="../tables/table162.xml"/><Relationship Id="rId6" Type="http://schemas.openxmlformats.org/officeDocument/2006/relationships/table" Target="../tables/table167.xml"/><Relationship Id="rId5" Type="http://schemas.openxmlformats.org/officeDocument/2006/relationships/table" Target="../tables/table166.xml"/><Relationship Id="rId4" Type="http://schemas.openxmlformats.org/officeDocument/2006/relationships/table" Target="../tables/table16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1.xml"/><Relationship Id="rId7" Type="http://schemas.openxmlformats.org/officeDocument/2006/relationships/table" Target="../tables/table175.xml"/><Relationship Id="rId2" Type="http://schemas.openxmlformats.org/officeDocument/2006/relationships/table" Target="../tables/table170.xml"/><Relationship Id="rId1" Type="http://schemas.openxmlformats.org/officeDocument/2006/relationships/table" Target="../tables/table169.xml"/><Relationship Id="rId6" Type="http://schemas.openxmlformats.org/officeDocument/2006/relationships/table" Target="../tables/table174.xml"/><Relationship Id="rId5" Type="http://schemas.openxmlformats.org/officeDocument/2006/relationships/table" Target="../tables/table173.xml"/><Relationship Id="rId4" Type="http://schemas.openxmlformats.org/officeDocument/2006/relationships/table" Target="../tables/table17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8.xml"/><Relationship Id="rId7" Type="http://schemas.openxmlformats.org/officeDocument/2006/relationships/table" Target="../tables/table182.xml"/><Relationship Id="rId2" Type="http://schemas.openxmlformats.org/officeDocument/2006/relationships/table" Target="../tables/table177.xml"/><Relationship Id="rId1" Type="http://schemas.openxmlformats.org/officeDocument/2006/relationships/table" Target="../tables/table176.xml"/><Relationship Id="rId6" Type="http://schemas.openxmlformats.org/officeDocument/2006/relationships/table" Target="../tables/table181.xml"/><Relationship Id="rId5" Type="http://schemas.openxmlformats.org/officeDocument/2006/relationships/table" Target="../tables/table180.xml"/><Relationship Id="rId4" Type="http://schemas.openxmlformats.org/officeDocument/2006/relationships/table" Target="../tables/table17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5.xml"/><Relationship Id="rId7" Type="http://schemas.openxmlformats.org/officeDocument/2006/relationships/table" Target="../tables/table189.xml"/><Relationship Id="rId2" Type="http://schemas.openxmlformats.org/officeDocument/2006/relationships/table" Target="../tables/table184.xml"/><Relationship Id="rId1" Type="http://schemas.openxmlformats.org/officeDocument/2006/relationships/table" Target="../tables/table183.xml"/><Relationship Id="rId6" Type="http://schemas.openxmlformats.org/officeDocument/2006/relationships/table" Target="../tables/table188.xml"/><Relationship Id="rId5" Type="http://schemas.openxmlformats.org/officeDocument/2006/relationships/table" Target="../tables/table187.xml"/><Relationship Id="rId4" Type="http://schemas.openxmlformats.org/officeDocument/2006/relationships/table" Target="../tables/table18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2.xml"/><Relationship Id="rId7" Type="http://schemas.openxmlformats.org/officeDocument/2006/relationships/table" Target="../tables/table196.xml"/><Relationship Id="rId2" Type="http://schemas.openxmlformats.org/officeDocument/2006/relationships/table" Target="../tables/table191.xml"/><Relationship Id="rId1" Type="http://schemas.openxmlformats.org/officeDocument/2006/relationships/table" Target="../tables/table190.xml"/><Relationship Id="rId6" Type="http://schemas.openxmlformats.org/officeDocument/2006/relationships/table" Target="../tables/table195.xml"/><Relationship Id="rId5" Type="http://schemas.openxmlformats.org/officeDocument/2006/relationships/table" Target="../tables/table194.xml"/><Relationship Id="rId4" Type="http://schemas.openxmlformats.org/officeDocument/2006/relationships/table" Target="../tables/table19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9.xml"/><Relationship Id="rId7" Type="http://schemas.openxmlformats.org/officeDocument/2006/relationships/table" Target="../tables/table203.xml"/><Relationship Id="rId2" Type="http://schemas.openxmlformats.org/officeDocument/2006/relationships/table" Target="../tables/table198.xml"/><Relationship Id="rId1" Type="http://schemas.openxmlformats.org/officeDocument/2006/relationships/table" Target="../tables/table197.xml"/><Relationship Id="rId6" Type="http://schemas.openxmlformats.org/officeDocument/2006/relationships/table" Target="../tables/table202.xml"/><Relationship Id="rId5" Type="http://schemas.openxmlformats.org/officeDocument/2006/relationships/table" Target="../tables/table201.xml"/><Relationship Id="rId4" Type="http://schemas.openxmlformats.org/officeDocument/2006/relationships/table" Target="../tables/table20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6.xml"/><Relationship Id="rId7" Type="http://schemas.openxmlformats.org/officeDocument/2006/relationships/table" Target="../tables/table210.xml"/><Relationship Id="rId2" Type="http://schemas.openxmlformats.org/officeDocument/2006/relationships/table" Target="../tables/table205.xml"/><Relationship Id="rId1" Type="http://schemas.openxmlformats.org/officeDocument/2006/relationships/table" Target="../tables/table204.xml"/><Relationship Id="rId6" Type="http://schemas.openxmlformats.org/officeDocument/2006/relationships/table" Target="../tables/table209.xml"/><Relationship Id="rId5" Type="http://schemas.openxmlformats.org/officeDocument/2006/relationships/table" Target="../tables/table208.xml"/><Relationship Id="rId4" Type="http://schemas.openxmlformats.org/officeDocument/2006/relationships/table" Target="../tables/table20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3.xml"/><Relationship Id="rId7" Type="http://schemas.openxmlformats.org/officeDocument/2006/relationships/table" Target="../tables/table217.xml"/><Relationship Id="rId2" Type="http://schemas.openxmlformats.org/officeDocument/2006/relationships/table" Target="../tables/table212.xml"/><Relationship Id="rId1" Type="http://schemas.openxmlformats.org/officeDocument/2006/relationships/table" Target="../tables/table211.xml"/><Relationship Id="rId6" Type="http://schemas.openxmlformats.org/officeDocument/2006/relationships/table" Target="../tables/table216.xml"/><Relationship Id="rId5" Type="http://schemas.openxmlformats.org/officeDocument/2006/relationships/table" Target="../tables/table215.xml"/><Relationship Id="rId4" Type="http://schemas.openxmlformats.org/officeDocument/2006/relationships/table" Target="../tables/table21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0.xml"/><Relationship Id="rId7" Type="http://schemas.openxmlformats.org/officeDocument/2006/relationships/table" Target="../tables/table224.xml"/><Relationship Id="rId2" Type="http://schemas.openxmlformats.org/officeDocument/2006/relationships/table" Target="../tables/table219.xml"/><Relationship Id="rId1" Type="http://schemas.openxmlformats.org/officeDocument/2006/relationships/table" Target="../tables/table218.xml"/><Relationship Id="rId6" Type="http://schemas.openxmlformats.org/officeDocument/2006/relationships/table" Target="../tables/table223.xml"/><Relationship Id="rId5" Type="http://schemas.openxmlformats.org/officeDocument/2006/relationships/table" Target="../tables/table222.xml"/><Relationship Id="rId4" Type="http://schemas.openxmlformats.org/officeDocument/2006/relationships/table" Target="../tables/table22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6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7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8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E1F9B-9760-440C-8FE6-7D34D86CD4B4}">
  <sheetPr codeName="Sheet33"/>
  <dimension ref="B1:O31"/>
  <sheetViews>
    <sheetView tabSelected="1" zoomScale="90" zoomScaleNormal="90" workbookViewId="0"/>
  </sheetViews>
  <sheetFormatPr baseColWidth="10" defaultColWidth="8.83203125" defaultRowHeight="15" x14ac:dyDescent="0.2"/>
  <cols>
    <col min="8" max="8" width="92.6640625" customWidth="1"/>
  </cols>
  <sheetData>
    <row r="1" spans="2:15" ht="16" thickBot="1" x14ac:dyDescent="0.25"/>
    <row r="2" spans="2:15" x14ac:dyDescent="0.2">
      <c r="B2" s="6" t="s">
        <v>1748</v>
      </c>
      <c r="G2" s="14" t="s">
        <v>1755</v>
      </c>
      <c r="H2" s="8" t="s">
        <v>1757</v>
      </c>
      <c r="O2" t="s">
        <v>1753</v>
      </c>
    </row>
    <row r="3" spans="2:15" x14ac:dyDescent="0.2">
      <c r="B3" s="1" t="s">
        <v>1749</v>
      </c>
      <c r="C3">
        <v>4</v>
      </c>
      <c r="G3" s="11" t="s">
        <v>3</v>
      </c>
      <c r="H3" s="9" t="s">
        <v>1758</v>
      </c>
    </row>
    <row r="4" spans="2:15" x14ac:dyDescent="0.2">
      <c r="B4" t="s">
        <v>1750</v>
      </c>
      <c r="C4">
        <v>0.04</v>
      </c>
      <c r="G4" s="12" t="s">
        <v>4</v>
      </c>
      <c r="H4" s="9" t="s">
        <v>1759</v>
      </c>
    </row>
    <row r="5" spans="2:15" x14ac:dyDescent="0.2">
      <c r="B5" s="1" t="s">
        <v>8</v>
      </c>
      <c r="C5">
        <v>-2</v>
      </c>
      <c r="G5" s="12" t="s">
        <v>5</v>
      </c>
      <c r="H5" s="9" t="s">
        <v>1760</v>
      </c>
    </row>
    <row r="6" spans="2:15" x14ac:dyDescent="0.2">
      <c r="B6" t="s">
        <v>16</v>
      </c>
      <c r="C6">
        <v>-2</v>
      </c>
      <c r="G6" s="12" t="s">
        <v>6</v>
      </c>
      <c r="H6" s="9" t="s">
        <v>1761</v>
      </c>
    </row>
    <row r="7" spans="2:15" x14ac:dyDescent="0.2">
      <c r="B7" s="1" t="s">
        <v>13</v>
      </c>
      <c r="C7">
        <v>1</v>
      </c>
      <c r="G7" s="12" t="s">
        <v>7</v>
      </c>
      <c r="H7" s="9" t="s">
        <v>1762</v>
      </c>
    </row>
    <row r="8" spans="2:15" x14ac:dyDescent="0.2">
      <c r="B8" t="s">
        <v>9</v>
      </c>
      <c r="C8">
        <v>0</v>
      </c>
      <c r="G8" s="12" t="s">
        <v>8</v>
      </c>
      <c r="H8" s="9" t="s">
        <v>1763</v>
      </c>
    </row>
    <row r="9" spans="2:15" x14ac:dyDescent="0.2">
      <c r="B9" t="s">
        <v>10</v>
      </c>
      <c r="C9">
        <v>0.1</v>
      </c>
      <c r="G9" s="12" t="s">
        <v>9</v>
      </c>
      <c r="H9" s="9" t="s">
        <v>1768</v>
      </c>
    </row>
    <row r="10" spans="2:15" x14ac:dyDescent="0.2">
      <c r="B10" t="s">
        <v>11</v>
      </c>
      <c r="C10">
        <v>6</v>
      </c>
      <c r="G10" s="12" t="s">
        <v>10</v>
      </c>
      <c r="H10" s="9" t="s">
        <v>1764</v>
      </c>
    </row>
    <row r="11" spans="2:15" x14ac:dyDescent="0.2">
      <c r="B11" t="s">
        <v>14</v>
      </c>
      <c r="C11">
        <v>0.1</v>
      </c>
      <c r="G11" s="12" t="s">
        <v>11</v>
      </c>
      <c r="H11" s="9" t="s">
        <v>1766</v>
      </c>
    </row>
    <row r="12" spans="2:15" x14ac:dyDescent="0.2">
      <c r="B12" t="s">
        <v>15</v>
      </c>
      <c r="C12">
        <v>6</v>
      </c>
      <c r="G12" s="12" t="s">
        <v>12</v>
      </c>
      <c r="H12" s="9" t="s">
        <v>1769</v>
      </c>
    </row>
    <row r="13" spans="2:15" x14ac:dyDescent="0.2">
      <c r="B13" t="s">
        <v>17</v>
      </c>
      <c r="C13">
        <v>2</v>
      </c>
      <c r="G13" s="12" t="s">
        <v>13</v>
      </c>
      <c r="H13" s="9" t="s">
        <v>1767</v>
      </c>
    </row>
    <row r="14" spans="2:15" x14ac:dyDescent="0.2">
      <c r="G14" s="12" t="s">
        <v>14</v>
      </c>
      <c r="H14" s="9" t="s">
        <v>1765</v>
      </c>
    </row>
    <row r="15" spans="2:15" x14ac:dyDescent="0.2">
      <c r="G15" s="12" t="s">
        <v>15</v>
      </c>
      <c r="H15" s="9" t="s">
        <v>1770</v>
      </c>
    </row>
    <row r="16" spans="2:15" x14ac:dyDescent="0.2">
      <c r="G16" s="12" t="s">
        <v>16</v>
      </c>
      <c r="H16" s="9" t="s">
        <v>1776</v>
      </c>
    </row>
    <row r="17" spans="2:8" x14ac:dyDescent="0.2">
      <c r="B17" s="7" t="s">
        <v>1780</v>
      </c>
      <c r="G17" s="12" t="s">
        <v>17</v>
      </c>
      <c r="H17" s="9" t="s">
        <v>1771</v>
      </c>
    </row>
    <row r="18" spans="2:8" x14ac:dyDescent="0.2">
      <c r="B18" t="s">
        <v>1781</v>
      </c>
      <c r="G18" s="12" t="s">
        <v>18</v>
      </c>
      <c r="H18" s="9" t="s">
        <v>1772</v>
      </c>
    </row>
    <row r="19" spans="2:8" x14ac:dyDescent="0.2">
      <c r="B19" t="s">
        <v>1782</v>
      </c>
      <c r="G19" s="12" t="s">
        <v>19</v>
      </c>
      <c r="H19" s="9" t="s">
        <v>1773</v>
      </c>
    </row>
    <row r="20" spans="2:8" x14ac:dyDescent="0.2">
      <c r="B20" t="s">
        <v>1783</v>
      </c>
      <c r="G20" s="12" t="s">
        <v>20</v>
      </c>
      <c r="H20" s="9" t="s">
        <v>1774</v>
      </c>
    </row>
    <row r="21" spans="2:8" x14ac:dyDescent="0.2">
      <c r="B21" t="s">
        <v>1784</v>
      </c>
      <c r="G21" s="12" t="s">
        <v>21</v>
      </c>
      <c r="H21" s="9" t="s">
        <v>1775</v>
      </c>
    </row>
    <row r="22" spans="2:8" x14ac:dyDescent="0.2">
      <c r="G22" s="12" t="s">
        <v>22</v>
      </c>
      <c r="H22" s="9" t="s">
        <v>1777</v>
      </c>
    </row>
    <row r="23" spans="2:8" x14ac:dyDescent="0.2">
      <c r="G23" s="12" t="s">
        <v>23</v>
      </c>
      <c r="H23" s="9" t="s">
        <v>1778</v>
      </c>
    </row>
    <row r="24" spans="2:8" ht="16" thickBot="1" x14ac:dyDescent="0.25">
      <c r="G24" s="13" t="s">
        <v>60</v>
      </c>
      <c r="H24" s="10" t="s">
        <v>1779</v>
      </c>
    </row>
    <row r="28" spans="2:8" x14ac:dyDescent="0.2">
      <c r="B28" s="6" t="s">
        <v>1754</v>
      </c>
    </row>
    <row r="29" spans="2:8" x14ac:dyDescent="0.2">
      <c r="B29" t="s">
        <v>1751</v>
      </c>
    </row>
    <row r="30" spans="2:8" x14ac:dyDescent="0.2">
      <c r="B30" t="s">
        <v>1752</v>
      </c>
    </row>
    <row r="31" spans="2:8" x14ac:dyDescent="0.2">
      <c r="B31" t="s">
        <v>1756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Macro">
                <anchor moveWithCells="1">
                  <from>
                    <xdr:col>3</xdr:col>
                    <xdr:colOff>177800</xdr:colOff>
                    <xdr:row>2</xdr:row>
                    <xdr:rowOff>76200</xdr:rowOff>
                  </from>
                  <to>
                    <xdr:col>5</xdr:col>
                    <xdr:colOff>482600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82"/>
  <sheetViews>
    <sheetView zoomScale="90" zoomScaleNormal="90" workbookViewId="0">
      <selection activeCell="AA36" sqref="AA36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24</v>
      </c>
      <c r="B2" s="3" t="s">
        <v>25</v>
      </c>
      <c r="C2" s="3" t="s">
        <v>26</v>
      </c>
      <c r="D2" s="3">
        <v>4</v>
      </c>
      <c r="E2" s="3">
        <v>132</v>
      </c>
      <c r="F2" s="3">
        <v>90</v>
      </c>
      <c r="G2" s="3">
        <v>780</v>
      </c>
      <c r="H2" s="3">
        <v>1</v>
      </c>
      <c r="I2" s="3">
        <v>3</v>
      </c>
      <c r="J2" s="3">
        <v>14</v>
      </c>
      <c r="K2" s="3">
        <v>36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32.799999999999997</v>
      </c>
      <c r="T2" s="3">
        <v>0</v>
      </c>
      <c r="U2" s="3">
        <v>2.5714285714285698</v>
      </c>
      <c r="V2" s="3"/>
      <c r="W2" s="3">
        <v>0.68181818181818199</v>
      </c>
      <c r="X2" s="3">
        <v>7.5757575757575803E-3</v>
      </c>
      <c r="Y2" s="3">
        <f>($G2*Cp_yd)+($H2*Cp_td)+($I2*Cint)+($J2*Ccar)+($K2*Cr_yd)+($L2*Cr_td)+($N2*Crec)+($O2*Crec_yd)+($P2*Crec_td)+($Q2*Cfmb)+($R2*Ctp_c)</f>
        <v>32.800000000000004</v>
      </c>
    </row>
    <row r="3" spans="1:25" x14ac:dyDescent="0.2">
      <c r="A3" s="4" t="s">
        <v>27</v>
      </c>
      <c r="B3" s="4" t="s">
        <v>25</v>
      </c>
      <c r="C3" s="4" t="s">
        <v>26</v>
      </c>
      <c r="D3" s="4">
        <v>2</v>
      </c>
      <c r="E3" s="4">
        <v>58</v>
      </c>
      <c r="F3" s="4">
        <v>38</v>
      </c>
      <c r="G3" s="4">
        <v>402</v>
      </c>
      <c r="H3" s="4">
        <v>2</v>
      </c>
      <c r="I3" s="4">
        <v>2</v>
      </c>
      <c r="J3" s="4">
        <v>4</v>
      </c>
      <c r="K3" s="4">
        <v>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18.579999999999998</v>
      </c>
      <c r="T3" s="4">
        <v>0</v>
      </c>
      <c r="U3" s="4">
        <v>1.25</v>
      </c>
      <c r="V3" s="4"/>
      <c r="W3" s="4">
        <v>0.65517241379310298</v>
      </c>
      <c r="X3" s="4">
        <v>3.4482758620689703E-2</v>
      </c>
      <c r="Y3" s="4">
        <f t="shared" ref="Y3:Y24" si="0">($G3*Cp_yd)+($H3*Cp_td)+($I3*Cint)+($J3*Ccar)+($K3*Cr_yd)+($L3*Cr_td)+($N3*Crec)+($O3*Crec_yd)+($P3*Crec_td)+($Q3*Cfmb)+($R3*Ctp_c)</f>
        <v>18.580000000000002</v>
      </c>
    </row>
    <row r="4" spans="1:25" x14ac:dyDescent="0.2">
      <c r="A4" s="3" t="s">
        <v>28</v>
      </c>
      <c r="B4" s="3" t="s">
        <v>25</v>
      </c>
      <c r="C4" s="3" t="s">
        <v>26</v>
      </c>
      <c r="D4" s="3">
        <v>11</v>
      </c>
      <c r="E4" s="3">
        <v>390</v>
      </c>
      <c r="F4" s="3">
        <v>259</v>
      </c>
      <c r="G4" s="3">
        <v>2368</v>
      </c>
      <c r="H4" s="3">
        <v>14</v>
      </c>
      <c r="I4" s="3">
        <v>7</v>
      </c>
      <c r="J4" s="3">
        <v>67</v>
      </c>
      <c r="K4" s="3">
        <v>418</v>
      </c>
      <c r="L4" s="3">
        <v>3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4</v>
      </c>
      <c r="S4" s="3">
        <v>200.52</v>
      </c>
      <c r="T4" s="3">
        <v>0</v>
      </c>
      <c r="U4" s="3">
        <v>6.23880597014925</v>
      </c>
      <c r="V4" s="3"/>
      <c r="W4" s="3">
        <v>0.66410256410256396</v>
      </c>
      <c r="X4" s="3">
        <v>3.5897435897435902E-2</v>
      </c>
      <c r="Y4" s="3">
        <f t="shared" si="0"/>
        <v>200.52</v>
      </c>
    </row>
    <row r="5" spans="1:25" x14ac:dyDescent="0.2">
      <c r="A5" s="4" t="s">
        <v>29</v>
      </c>
      <c r="B5" s="4" t="s">
        <v>25</v>
      </c>
      <c r="C5" s="4" t="s">
        <v>26</v>
      </c>
      <c r="D5" s="4">
        <v>5</v>
      </c>
      <c r="E5" s="4">
        <v>83</v>
      </c>
      <c r="F5" s="4">
        <v>45</v>
      </c>
      <c r="G5" s="4">
        <v>412</v>
      </c>
      <c r="H5" s="4">
        <v>0</v>
      </c>
      <c r="I5" s="4">
        <v>5</v>
      </c>
      <c r="J5" s="4">
        <v>15</v>
      </c>
      <c r="K5" s="4">
        <v>61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2</v>
      </c>
      <c r="R5" s="4">
        <v>0</v>
      </c>
      <c r="S5" s="4">
        <v>8.58</v>
      </c>
      <c r="T5" s="4">
        <v>0</v>
      </c>
      <c r="U5" s="4">
        <v>4.06666666666667</v>
      </c>
      <c r="V5" s="4"/>
      <c r="W5" s="4">
        <v>0.54216867469879504</v>
      </c>
      <c r="X5" s="4">
        <v>0</v>
      </c>
      <c r="Y5" s="4">
        <f t="shared" si="0"/>
        <v>8.5800000000000018</v>
      </c>
    </row>
    <row r="6" spans="1:25" x14ac:dyDescent="0.2">
      <c r="A6" s="3" t="s">
        <v>30</v>
      </c>
      <c r="B6" s="3" t="s">
        <v>25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15</v>
      </c>
      <c r="K6" s="3">
        <v>55</v>
      </c>
      <c r="L6" s="3">
        <v>1</v>
      </c>
      <c r="M6" s="3">
        <v>7</v>
      </c>
      <c r="N6" s="3">
        <v>5</v>
      </c>
      <c r="O6" s="3">
        <v>54</v>
      </c>
      <c r="P6" s="3">
        <v>0</v>
      </c>
      <c r="Q6" s="3">
        <v>0</v>
      </c>
      <c r="R6" s="3">
        <v>0</v>
      </c>
      <c r="S6" s="3">
        <v>21.9</v>
      </c>
      <c r="T6" s="3">
        <v>1.0558069381598799E-2</v>
      </c>
      <c r="U6" s="3">
        <v>3.6666666666666701</v>
      </c>
      <c r="V6" s="3">
        <v>10.8</v>
      </c>
      <c r="W6" s="3"/>
      <c r="X6" s="3"/>
      <c r="Y6" s="3">
        <f t="shared" si="0"/>
        <v>21.9</v>
      </c>
    </row>
    <row r="7" spans="1:25" x14ac:dyDescent="0.2">
      <c r="A7" s="4" t="s">
        <v>32</v>
      </c>
      <c r="B7" s="4" t="s">
        <v>25</v>
      </c>
      <c r="C7" s="4" t="s">
        <v>31</v>
      </c>
      <c r="D7" s="4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21</v>
      </c>
      <c r="K7" s="4">
        <v>102</v>
      </c>
      <c r="L7" s="4">
        <v>1</v>
      </c>
      <c r="M7" s="4">
        <v>8</v>
      </c>
      <c r="N7" s="4">
        <v>4</v>
      </c>
      <c r="O7" s="4">
        <v>9</v>
      </c>
      <c r="P7" s="4">
        <v>0</v>
      </c>
      <c r="Q7" s="4">
        <v>0</v>
      </c>
      <c r="R7" s="4">
        <v>0</v>
      </c>
      <c r="S7" s="4">
        <v>21.1</v>
      </c>
      <c r="T7" s="4">
        <v>1.2066365007541499E-2</v>
      </c>
      <c r="U7" s="4">
        <v>4.8571428571428603</v>
      </c>
      <c r="V7" s="4">
        <v>2.25</v>
      </c>
      <c r="W7" s="4"/>
      <c r="X7" s="4"/>
      <c r="Y7" s="4">
        <f t="shared" si="0"/>
        <v>21.1</v>
      </c>
    </row>
    <row r="8" spans="1:25" x14ac:dyDescent="0.2">
      <c r="A8" s="3" t="s">
        <v>33</v>
      </c>
      <c r="B8" s="3" t="s">
        <v>25</v>
      </c>
      <c r="C8" s="3" t="s">
        <v>31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70</v>
      </c>
      <c r="K8" s="3">
        <v>299</v>
      </c>
      <c r="L8" s="3">
        <v>2</v>
      </c>
      <c r="M8" s="3">
        <v>33</v>
      </c>
      <c r="N8" s="3">
        <v>24</v>
      </c>
      <c r="O8" s="3">
        <v>184</v>
      </c>
      <c r="P8" s="3">
        <v>0</v>
      </c>
      <c r="Q8" s="3">
        <v>0</v>
      </c>
      <c r="R8" s="3">
        <v>1</v>
      </c>
      <c r="S8" s="3">
        <v>86.3</v>
      </c>
      <c r="T8" s="3">
        <v>4.9773755656108601E-2</v>
      </c>
      <c r="U8" s="3">
        <v>4.2714285714285696</v>
      </c>
      <c r="V8" s="3">
        <v>7.6666666666666696</v>
      </c>
      <c r="W8" s="3"/>
      <c r="X8" s="3"/>
      <c r="Y8" s="3">
        <f t="shared" si="0"/>
        <v>86.300000000000011</v>
      </c>
    </row>
    <row r="9" spans="1:25" x14ac:dyDescent="0.2">
      <c r="A9" s="4" t="s">
        <v>34</v>
      </c>
      <c r="B9" s="4" t="s">
        <v>25</v>
      </c>
      <c r="C9" s="4" t="s">
        <v>31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183</v>
      </c>
      <c r="K9" s="4">
        <v>782</v>
      </c>
      <c r="L9" s="4">
        <v>7</v>
      </c>
      <c r="M9" s="4">
        <v>58</v>
      </c>
      <c r="N9" s="4">
        <v>46</v>
      </c>
      <c r="O9" s="4">
        <v>300</v>
      </c>
      <c r="P9" s="4">
        <v>1</v>
      </c>
      <c r="Q9" s="4">
        <v>1</v>
      </c>
      <c r="R9" s="4">
        <v>0</v>
      </c>
      <c r="S9" s="4">
        <v>200.2</v>
      </c>
      <c r="T9" s="4">
        <v>8.7481146304675697E-2</v>
      </c>
      <c r="U9" s="4">
        <v>4.2732240437158504</v>
      </c>
      <c r="V9" s="4">
        <v>6.5217391304347796</v>
      </c>
      <c r="W9" s="4"/>
      <c r="X9" s="4"/>
      <c r="Y9" s="4">
        <f t="shared" si="0"/>
        <v>200.2</v>
      </c>
    </row>
    <row r="10" spans="1:25" x14ac:dyDescent="0.2">
      <c r="A10" s="3" t="s">
        <v>35</v>
      </c>
      <c r="B10" s="3" t="s">
        <v>25</v>
      </c>
      <c r="C10" s="3" t="s">
        <v>31</v>
      </c>
      <c r="D10" s="3">
        <v>10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27</v>
      </c>
      <c r="K10" s="3">
        <v>60</v>
      </c>
      <c r="L10" s="3">
        <v>1</v>
      </c>
      <c r="M10" s="3">
        <v>5</v>
      </c>
      <c r="N10" s="3">
        <v>4</v>
      </c>
      <c r="O10" s="3">
        <v>21</v>
      </c>
      <c r="P10" s="3">
        <v>0</v>
      </c>
      <c r="Q10" s="3">
        <v>0</v>
      </c>
      <c r="R10" s="3">
        <v>0</v>
      </c>
      <c r="S10" s="3">
        <v>18.100000000000001</v>
      </c>
      <c r="T10" s="3">
        <v>7.5414781297134196E-3</v>
      </c>
      <c r="U10" s="3">
        <v>2.2222222222222201</v>
      </c>
      <c r="V10" s="3">
        <v>5.25</v>
      </c>
      <c r="W10" s="3"/>
      <c r="X10" s="3"/>
      <c r="Y10" s="3">
        <f t="shared" si="0"/>
        <v>18.100000000000001</v>
      </c>
    </row>
    <row r="11" spans="1:25" x14ac:dyDescent="0.2">
      <c r="A11" s="4" t="s">
        <v>36</v>
      </c>
      <c r="B11" s="4" t="s">
        <v>25</v>
      </c>
      <c r="C11" s="4" t="s">
        <v>31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1</v>
      </c>
      <c r="O11" s="4">
        <v>5</v>
      </c>
      <c r="P11" s="4">
        <v>0</v>
      </c>
      <c r="Q11" s="4">
        <v>0</v>
      </c>
      <c r="R11" s="4">
        <v>0</v>
      </c>
      <c r="S11" s="4">
        <v>1.5</v>
      </c>
      <c r="T11" s="4">
        <v>1.5082956259426801E-3</v>
      </c>
      <c r="U11" s="4"/>
      <c r="V11" s="4">
        <v>5</v>
      </c>
      <c r="W11" s="4"/>
      <c r="X11" s="4"/>
      <c r="Y11" s="4">
        <f t="shared" si="0"/>
        <v>1.5</v>
      </c>
    </row>
    <row r="12" spans="1:25" x14ac:dyDescent="0.2">
      <c r="A12" s="3" t="s">
        <v>37</v>
      </c>
      <c r="B12" s="3" t="s">
        <v>25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</v>
      </c>
      <c r="N12" s="3">
        <v>3</v>
      </c>
      <c r="O12" s="3">
        <v>18</v>
      </c>
      <c r="P12" s="3">
        <v>0</v>
      </c>
      <c r="Q12" s="3">
        <v>0</v>
      </c>
      <c r="R12" s="3">
        <v>0</v>
      </c>
      <c r="S12" s="3">
        <v>4.8</v>
      </c>
      <c r="T12" s="3">
        <v>4.5248868778280504E-3</v>
      </c>
      <c r="U12" s="3"/>
      <c r="V12" s="3">
        <v>6</v>
      </c>
      <c r="W12" s="3"/>
      <c r="X12" s="3"/>
      <c r="Y12" s="3">
        <f t="shared" si="0"/>
        <v>4.8</v>
      </c>
    </row>
    <row r="13" spans="1:25" x14ac:dyDescent="0.2">
      <c r="A13" s="4" t="s">
        <v>39</v>
      </c>
      <c r="B13" s="4" t="s">
        <v>25</v>
      </c>
      <c r="C13" s="4" t="s">
        <v>38</v>
      </c>
      <c r="D13" s="4">
        <v>5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7</v>
      </c>
      <c r="N13" s="4">
        <v>3</v>
      </c>
      <c r="O13" s="4">
        <v>9</v>
      </c>
      <c r="P13" s="4">
        <v>0</v>
      </c>
      <c r="Q13" s="4">
        <v>0</v>
      </c>
      <c r="R13" s="4">
        <v>0</v>
      </c>
      <c r="S13" s="4">
        <v>3.9</v>
      </c>
      <c r="T13" s="4">
        <v>1.0558069381598799E-2</v>
      </c>
      <c r="U13" s="4"/>
      <c r="V13" s="4">
        <v>3</v>
      </c>
      <c r="W13" s="4"/>
      <c r="X13" s="4"/>
      <c r="Y13" s="4">
        <f t="shared" si="0"/>
        <v>3.9</v>
      </c>
    </row>
    <row r="14" spans="1:25" x14ac:dyDescent="0.2">
      <c r="A14" s="3" t="s">
        <v>40</v>
      </c>
      <c r="B14" s="3" t="s">
        <v>25</v>
      </c>
      <c r="C14" s="3" t="s">
        <v>38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39</v>
      </c>
      <c r="N14" s="3">
        <v>29</v>
      </c>
      <c r="O14" s="3">
        <v>265</v>
      </c>
      <c r="P14" s="3">
        <v>1</v>
      </c>
      <c r="Q14" s="3">
        <v>0</v>
      </c>
      <c r="R14" s="3">
        <v>0</v>
      </c>
      <c r="S14" s="3">
        <v>61.5</v>
      </c>
      <c r="T14" s="3">
        <v>5.8823529411764698E-2</v>
      </c>
      <c r="U14" s="3"/>
      <c r="V14" s="3">
        <v>9.1379310344827598</v>
      </c>
      <c r="W14" s="3"/>
      <c r="X14" s="3"/>
      <c r="Y14" s="3">
        <f t="shared" si="0"/>
        <v>61.5</v>
      </c>
    </row>
    <row r="15" spans="1:25" x14ac:dyDescent="0.2">
      <c r="A15" s="4" t="s">
        <v>41</v>
      </c>
      <c r="B15" s="4" t="s">
        <v>25</v>
      </c>
      <c r="C15" s="4" t="s">
        <v>38</v>
      </c>
      <c r="D15" s="4">
        <v>10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69</v>
      </c>
      <c r="N15" s="4">
        <v>47</v>
      </c>
      <c r="O15" s="4">
        <v>406</v>
      </c>
      <c r="P15" s="4">
        <v>4</v>
      </c>
      <c r="Q15" s="4">
        <v>0</v>
      </c>
      <c r="R15" s="4">
        <v>0</v>
      </c>
      <c r="S15" s="4">
        <v>115.6</v>
      </c>
      <c r="T15" s="4">
        <v>0.104072398190045</v>
      </c>
      <c r="U15" s="4"/>
      <c r="V15" s="4">
        <v>8.6382978723404307</v>
      </c>
      <c r="W15" s="4"/>
      <c r="X15" s="4"/>
      <c r="Y15" s="4">
        <f t="shared" si="0"/>
        <v>111.6</v>
      </c>
    </row>
    <row r="16" spans="1:25" x14ac:dyDescent="0.2">
      <c r="A16" s="3" t="s">
        <v>42</v>
      </c>
      <c r="B16" s="3" t="s">
        <v>25</v>
      </c>
      <c r="C16" s="3" t="s">
        <v>43</v>
      </c>
      <c r="D16" s="3">
        <v>5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10</v>
      </c>
      <c r="N16" s="3">
        <v>7</v>
      </c>
      <c r="O16" s="3">
        <v>45</v>
      </c>
      <c r="P16" s="3">
        <v>0</v>
      </c>
      <c r="Q16" s="3">
        <v>0</v>
      </c>
      <c r="R16" s="3">
        <v>0</v>
      </c>
      <c r="S16" s="3">
        <v>11.5</v>
      </c>
      <c r="T16" s="3">
        <v>1.5082956259426799E-2</v>
      </c>
      <c r="U16" s="3"/>
      <c r="V16" s="3">
        <v>6.4285714285714297</v>
      </c>
      <c r="W16" s="3"/>
      <c r="X16" s="3"/>
      <c r="Y16" s="3">
        <f t="shared" si="0"/>
        <v>11.5</v>
      </c>
    </row>
    <row r="17" spans="1:25" x14ac:dyDescent="0.2">
      <c r="A17" s="4" t="s">
        <v>44</v>
      </c>
      <c r="B17" s="4" t="s">
        <v>25</v>
      </c>
      <c r="C17" s="4" t="s">
        <v>43</v>
      </c>
      <c r="D17" s="4">
        <v>13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47</v>
      </c>
      <c r="N17" s="4">
        <v>24</v>
      </c>
      <c r="O17" s="4">
        <v>236</v>
      </c>
      <c r="P17" s="4">
        <v>2</v>
      </c>
      <c r="Q17" s="4">
        <v>0</v>
      </c>
      <c r="R17" s="4">
        <v>0</v>
      </c>
      <c r="S17" s="4">
        <v>61.6</v>
      </c>
      <c r="T17" s="4">
        <v>7.0889894419306196E-2</v>
      </c>
      <c r="U17" s="4"/>
      <c r="V17" s="4">
        <v>9.8333333333333304</v>
      </c>
      <c r="W17" s="4"/>
      <c r="X17" s="4"/>
      <c r="Y17" s="4">
        <f t="shared" si="0"/>
        <v>59.6</v>
      </c>
    </row>
    <row r="18" spans="1:25" x14ac:dyDescent="0.2">
      <c r="A18" s="3" t="s">
        <v>45</v>
      </c>
      <c r="B18" s="3" t="s">
        <v>25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5</v>
      </c>
      <c r="N18" s="3">
        <v>2</v>
      </c>
      <c r="O18" s="3">
        <v>21</v>
      </c>
      <c r="P18" s="3">
        <v>0</v>
      </c>
      <c r="Q18" s="3">
        <v>0</v>
      </c>
      <c r="R18" s="3">
        <v>0</v>
      </c>
      <c r="S18" s="3">
        <v>4.0999999999999996</v>
      </c>
      <c r="T18" s="3">
        <v>7.5414781297134196E-3</v>
      </c>
      <c r="U18" s="3"/>
      <c r="V18" s="3">
        <v>10.5</v>
      </c>
      <c r="W18" s="3"/>
      <c r="X18" s="3"/>
      <c r="Y18" s="3">
        <f t="shared" si="0"/>
        <v>4.0999999999999996</v>
      </c>
    </row>
    <row r="19" spans="1:25" x14ac:dyDescent="0.2">
      <c r="A19" s="4" t="s">
        <v>46</v>
      </c>
      <c r="B19" s="4" t="s">
        <v>25</v>
      </c>
      <c r="C19" s="4" t="s">
        <v>43</v>
      </c>
      <c r="D19" s="4">
        <v>9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96</v>
      </c>
      <c r="N19" s="4">
        <v>64</v>
      </c>
      <c r="O19" s="4">
        <v>717</v>
      </c>
      <c r="P19" s="4">
        <v>3</v>
      </c>
      <c r="Q19" s="4">
        <v>0</v>
      </c>
      <c r="R19" s="4">
        <v>0</v>
      </c>
      <c r="S19" s="4">
        <v>151.69999999999999</v>
      </c>
      <c r="T19" s="4">
        <v>0.144796380090498</v>
      </c>
      <c r="U19" s="4"/>
      <c r="V19" s="4">
        <v>11.203125</v>
      </c>
      <c r="W19" s="4"/>
      <c r="X19" s="4"/>
      <c r="Y19" s="4">
        <f t="shared" si="0"/>
        <v>153.69999999999999</v>
      </c>
    </row>
    <row r="20" spans="1:25" x14ac:dyDescent="0.2">
      <c r="A20" s="3" t="s">
        <v>47</v>
      </c>
      <c r="B20" s="3" t="s">
        <v>25</v>
      </c>
      <c r="C20" s="3" t="s">
        <v>43</v>
      </c>
      <c r="D20" s="3">
        <v>11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7</v>
      </c>
      <c r="K20" s="3">
        <v>44</v>
      </c>
      <c r="L20" s="3">
        <v>0</v>
      </c>
      <c r="M20" s="3">
        <v>64</v>
      </c>
      <c r="N20" s="3">
        <v>52</v>
      </c>
      <c r="O20" s="3">
        <v>467</v>
      </c>
      <c r="P20" s="3">
        <v>2</v>
      </c>
      <c r="Q20" s="3">
        <v>0</v>
      </c>
      <c r="R20" s="3">
        <v>0</v>
      </c>
      <c r="S20" s="3">
        <v>115.1</v>
      </c>
      <c r="T20" s="3">
        <v>9.6530920060331801E-2</v>
      </c>
      <c r="U20" s="3">
        <v>6.28571428571429</v>
      </c>
      <c r="V20" s="3">
        <v>8.9807692307692299</v>
      </c>
      <c r="W20" s="3"/>
      <c r="X20" s="3"/>
      <c r="Y20" s="3">
        <f t="shared" si="0"/>
        <v>115.1</v>
      </c>
    </row>
    <row r="21" spans="1:25" x14ac:dyDescent="0.2">
      <c r="A21" s="4" t="s">
        <v>48</v>
      </c>
      <c r="B21" s="4" t="s">
        <v>25</v>
      </c>
      <c r="C21" s="4" t="s">
        <v>43</v>
      </c>
      <c r="D21" s="4">
        <v>12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1</v>
      </c>
      <c r="L21" s="4">
        <v>0</v>
      </c>
      <c r="M21" s="4">
        <v>107</v>
      </c>
      <c r="N21" s="4">
        <v>67</v>
      </c>
      <c r="O21" s="4">
        <v>709</v>
      </c>
      <c r="P21" s="4">
        <v>3</v>
      </c>
      <c r="Q21" s="4">
        <v>0</v>
      </c>
      <c r="R21" s="4">
        <v>0</v>
      </c>
      <c r="S21" s="4">
        <v>156</v>
      </c>
      <c r="T21" s="4">
        <v>0.161387631975867</v>
      </c>
      <c r="U21" s="4">
        <v>1</v>
      </c>
      <c r="V21" s="4">
        <v>10.5820895522388</v>
      </c>
      <c r="W21" s="4"/>
      <c r="X21" s="4"/>
      <c r="Y21" s="4">
        <f t="shared" si="0"/>
        <v>156</v>
      </c>
    </row>
    <row r="22" spans="1:25" x14ac:dyDescent="0.2">
      <c r="A22" s="3" t="s">
        <v>49</v>
      </c>
      <c r="B22" s="3" t="s">
        <v>25</v>
      </c>
      <c r="C22" s="3" t="s">
        <v>43</v>
      </c>
      <c r="D22" s="3">
        <v>2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4</v>
      </c>
      <c r="K22" s="3">
        <v>15</v>
      </c>
      <c r="L22" s="3">
        <v>0</v>
      </c>
      <c r="M22" s="3">
        <v>2</v>
      </c>
      <c r="N22" s="3">
        <v>2</v>
      </c>
      <c r="O22" s="3">
        <v>6</v>
      </c>
      <c r="P22" s="3">
        <v>0</v>
      </c>
      <c r="Q22" s="3">
        <v>0</v>
      </c>
      <c r="R22" s="3">
        <v>0</v>
      </c>
      <c r="S22" s="3">
        <v>4.0999999999999996</v>
      </c>
      <c r="T22" s="3">
        <v>3.0165912518853701E-3</v>
      </c>
      <c r="U22" s="3">
        <v>3.75</v>
      </c>
      <c r="V22" s="3">
        <v>3</v>
      </c>
      <c r="W22" s="3"/>
      <c r="X22" s="3"/>
      <c r="Y22" s="3">
        <f t="shared" si="0"/>
        <v>4.0999999999999996</v>
      </c>
    </row>
    <row r="23" spans="1:25" x14ac:dyDescent="0.2">
      <c r="A23" s="4" t="s">
        <v>50</v>
      </c>
      <c r="B23" s="4" t="s">
        <v>25</v>
      </c>
      <c r="C23" s="4" t="s">
        <v>43</v>
      </c>
      <c r="D23" s="4">
        <v>7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17</v>
      </c>
      <c r="N23" s="4">
        <v>7</v>
      </c>
      <c r="O23" s="4">
        <v>76</v>
      </c>
      <c r="P23" s="4">
        <v>0</v>
      </c>
      <c r="Q23" s="4">
        <v>0</v>
      </c>
      <c r="R23" s="4">
        <v>0</v>
      </c>
      <c r="S23" s="4">
        <v>14.6</v>
      </c>
      <c r="T23" s="4">
        <v>2.5641025641025599E-2</v>
      </c>
      <c r="U23" s="4"/>
      <c r="V23" s="4">
        <v>10.8571428571429</v>
      </c>
      <c r="W23" s="4"/>
      <c r="X23" s="4"/>
      <c r="Y23" s="4">
        <f t="shared" si="0"/>
        <v>14.600000000000001</v>
      </c>
    </row>
    <row r="24" spans="1:25" x14ac:dyDescent="0.2">
      <c r="A24" s="3" t="s">
        <v>51</v>
      </c>
      <c r="B24" s="3" t="s">
        <v>25</v>
      </c>
      <c r="C24" s="3" t="s">
        <v>43</v>
      </c>
      <c r="D24" s="3">
        <v>8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6</v>
      </c>
      <c r="K24" s="3">
        <v>-5</v>
      </c>
      <c r="L24" s="3">
        <v>0</v>
      </c>
      <c r="M24" s="3">
        <v>56</v>
      </c>
      <c r="N24" s="3">
        <v>41</v>
      </c>
      <c r="O24" s="3">
        <v>414</v>
      </c>
      <c r="P24" s="3">
        <v>1</v>
      </c>
      <c r="Q24" s="3">
        <v>0</v>
      </c>
      <c r="R24" s="3">
        <v>0</v>
      </c>
      <c r="S24" s="3">
        <v>87.9</v>
      </c>
      <c r="T24" s="3">
        <v>8.4464555052790394E-2</v>
      </c>
      <c r="U24" s="3">
        <v>-0.83333333333333304</v>
      </c>
      <c r="V24" s="3">
        <v>10.097560975609801</v>
      </c>
      <c r="W24" s="3"/>
      <c r="X24" s="3"/>
      <c r="Y24" s="3">
        <f t="shared" si="0"/>
        <v>87.9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25</v>
      </c>
      <c r="B31" s="3">
        <v>5835</v>
      </c>
      <c r="C31" s="3">
        <v>3962</v>
      </c>
      <c r="D31" s="3">
        <v>434</v>
      </c>
      <c r="E31" s="3">
        <v>1873</v>
      </c>
      <c r="F31" s="3">
        <v>15</v>
      </c>
      <c r="G31" s="3">
        <v>1401.98</v>
      </c>
      <c r="H31" s="3">
        <v>663</v>
      </c>
      <c r="I31" s="3">
        <v>0.65158371040723995</v>
      </c>
      <c r="J31" s="3">
        <v>17</v>
      </c>
      <c r="K31" s="3">
        <v>17</v>
      </c>
      <c r="L31" s="3">
        <v>6</v>
      </c>
      <c r="M31" s="3">
        <f ca="1">SUM(INDIRECT(A33 &amp; "_Table1[[#All],[f_custom]]"))</f>
        <v>1397.9799999999998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ARI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61</v>
      </c>
      <c r="B36" s="3" t="s">
        <v>26</v>
      </c>
      <c r="C36" s="3">
        <v>28</v>
      </c>
      <c r="D36" s="3">
        <v>4</v>
      </c>
      <c r="E36" s="3" t="s">
        <v>62</v>
      </c>
      <c r="F36" s="3" t="s">
        <v>25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63</v>
      </c>
      <c r="B37" s="4" t="s">
        <v>26</v>
      </c>
      <c r="C37" s="4">
        <v>30</v>
      </c>
      <c r="D37" s="4">
        <v>8</v>
      </c>
      <c r="E37" s="4" t="s">
        <v>64</v>
      </c>
      <c r="F37" s="4" t="s">
        <v>25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40" si="1">($J37*0.04)+($K37*4)+($L37*-2)+($N37*0.1)+($O37*6)+($Q37)+($R37*0.1)+($S37*6)+($T37*-2)</f>
        <v>0</v>
      </c>
      <c r="W37" s="4" t="e">
        <f t="shared" ref="W37:W40" ca="1" si="2">$P37/$H$33</f>
        <v>#DIV/0!</v>
      </c>
      <c r="X37" s="4" t="e">
        <f t="shared" ref="X37:X40" si="3">$N37/$M37</f>
        <v>#DIV/0!</v>
      </c>
      <c r="Y37" s="4" t="e">
        <f t="shared" ref="Y37:Y40" si="4">$R37/$Q37</f>
        <v>#DIV/0!</v>
      </c>
      <c r="Z37" s="4" t="e">
        <f t="shared" ref="Z37:Z40" si="5">$I37/$H37</f>
        <v>#DIV/0!</v>
      </c>
      <c r="AA37" s="4" t="e">
        <f t="shared" ref="AA36:AA40" si="6"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65</v>
      </c>
      <c r="B38" s="3" t="s">
        <v>26</v>
      </c>
      <c r="C38" s="3">
        <v>36</v>
      </c>
      <c r="D38" s="3">
        <v>14</v>
      </c>
      <c r="E38" s="3" t="s">
        <v>66</v>
      </c>
      <c r="F38" s="3" t="s">
        <v>25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1"/>
        <v>0</v>
      </c>
      <c r="W38" s="3" t="e">
        <f t="shared" ca="1" si="2"/>
        <v>#DIV/0!</v>
      </c>
      <c r="X38" s="3" t="e">
        <f t="shared" si="3"/>
        <v>#DIV/0!</v>
      </c>
      <c r="Y38" s="3" t="e">
        <f t="shared" si="4"/>
        <v>#DIV/0!</v>
      </c>
      <c r="Z38" s="3" t="e">
        <f t="shared" si="5"/>
        <v>#DIV/0!</v>
      </c>
      <c r="AA38" s="3" t="e">
        <f t="shared" si="6"/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">
      <c r="A39" s="4" t="s">
        <v>67</v>
      </c>
      <c r="B39" s="4" t="s">
        <v>26</v>
      </c>
      <c r="C39" s="4">
        <v>26</v>
      </c>
      <c r="D39" s="4">
        <v>5</v>
      </c>
      <c r="E39" s="4" t="s">
        <v>68</v>
      </c>
      <c r="F39" s="4" t="s">
        <v>25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 t="shared" si="1"/>
        <v>0</v>
      </c>
      <c r="W39" s="4" t="e">
        <f t="shared" ca="1" si="2"/>
        <v>#DIV/0!</v>
      </c>
      <c r="X39" s="4" t="e">
        <f t="shared" si="3"/>
        <v>#DIV/0!</v>
      </c>
      <c r="Y39" s="4" t="e">
        <f t="shared" si="4"/>
        <v>#DIV/0!</v>
      </c>
      <c r="Z39" s="4" t="e">
        <f t="shared" si="5"/>
        <v>#DIV/0!</v>
      </c>
      <c r="AA39" s="4" t="e">
        <f t="shared" si="6"/>
        <v>#DIV/0!</v>
      </c>
      <c r="AB39" s="4">
        <f>($J39*Cp_yd)+($K39*Cp_td)+($L39*Cint)+($M39*Ccar)+($N39*Cr_yd)+($O39*Cr_td)+(Q39*Crec)+($R39*Crec_yd)+($S39*Crec_td)+($T39*Cfmb)+($U39*Ctp_c)</f>
        <v>0</v>
      </c>
    </row>
    <row r="40" spans="1:28" x14ac:dyDescent="0.2">
      <c r="A40" s="3" t="s">
        <v>69</v>
      </c>
      <c r="B40" s="3" t="s">
        <v>26</v>
      </c>
      <c r="C40" s="3">
        <v>24</v>
      </c>
      <c r="D40" s="3">
        <v>0</v>
      </c>
      <c r="E40" s="3" t="s">
        <v>70</v>
      </c>
      <c r="F40" s="3" t="s">
        <v>25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f t="shared" si="1"/>
        <v>0</v>
      </c>
      <c r="W40" s="3" t="e">
        <f t="shared" ca="1" si="2"/>
        <v>#DIV/0!</v>
      </c>
      <c r="X40" s="3" t="e">
        <f t="shared" si="3"/>
        <v>#DIV/0!</v>
      </c>
      <c r="Y40" s="3" t="e">
        <f t="shared" si="4"/>
        <v>#DIV/0!</v>
      </c>
      <c r="Z40" s="3" t="e">
        <f t="shared" si="5"/>
        <v>#DIV/0!</v>
      </c>
      <c r="AA40" s="3" t="e">
        <f t="shared" si="6"/>
        <v>#DIV/0!</v>
      </c>
      <c r="AB40" s="3">
        <f>($J40*Cp_yd)+($K40*Cp_td)+($L40*Cint)+($M40*Ccar)+($N40*Cr_yd)+($O40*Cr_td)+(Q40*Crec)+($R40*Crec_yd)+($S40*Crec_td)+($T40*Cfmb)+($U40*Ctp_c)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71</v>
      </c>
      <c r="B46" s="3" t="s">
        <v>31</v>
      </c>
      <c r="C46" s="3">
        <v>28</v>
      </c>
      <c r="D46" s="3">
        <v>7</v>
      </c>
      <c r="E46" s="3" t="s">
        <v>72</v>
      </c>
      <c r="F46" s="3" t="s">
        <v>25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 t="shared" ref="Z46:Z51" si="7">$R46/$Q46</f>
        <v>#DIV/0!</v>
      </c>
      <c r="AA46" s="3" t="e">
        <f t="shared" ref="AA46:AA51" si="8">$K46/$H46</f>
        <v>#DIV/0!</v>
      </c>
      <c r="AB46" s="3">
        <f t="shared" ref="AB46:AB51" si="9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73</v>
      </c>
      <c r="B47" s="4" t="s">
        <v>31</v>
      </c>
      <c r="C47" s="4">
        <v>28</v>
      </c>
      <c r="D47" s="4">
        <v>7</v>
      </c>
      <c r="E47" s="4" t="s">
        <v>74</v>
      </c>
      <c r="F47" s="4" t="s">
        <v>25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ref="V47:V51" si="10">($J47*0.04)+($K47*4)+($L47*-2)+($N47*0.1)+($O47*6)+($Q47)+($R47*0.1)+($S47*6)+($T47*-2)</f>
        <v>0</v>
      </c>
      <c r="W47" s="4" t="e">
        <f t="shared" ref="W47:W51" ca="1" si="11">$P47/$H$33</f>
        <v>#DIV/0!</v>
      </c>
      <c r="X47" s="4" t="e">
        <f t="shared" ref="X47:X51" si="12">$N47/$M47</f>
        <v>#DIV/0!</v>
      </c>
      <c r="Y47" s="4" t="e">
        <f t="shared" ref="Y47:Y51" si="13">$R47/$Q47</f>
        <v>#DIV/0!</v>
      </c>
      <c r="Z47" s="4" t="e">
        <f t="shared" si="7"/>
        <v>#DIV/0!</v>
      </c>
      <c r="AA47" s="4" t="e">
        <f t="shared" si="8"/>
        <v>#DIV/0!</v>
      </c>
      <c r="AB47" s="4">
        <f t="shared" si="9"/>
        <v>0</v>
      </c>
    </row>
    <row r="48" spans="1:28" x14ac:dyDescent="0.2">
      <c r="A48" s="3" t="s">
        <v>75</v>
      </c>
      <c r="B48" s="3" t="s">
        <v>31</v>
      </c>
      <c r="C48" s="3">
        <v>24</v>
      </c>
      <c r="D48" s="3">
        <v>0</v>
      </c>
      <c r="E48" s="3" t="s">
        <v>76</v>
      </c>
      <c r="F48" s="3" t="s">
        <v>25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0"/>
        <v>0</v>
      </c>
      <c r="W48" s="3" t="e">
        <f t="shared" ca="1" si="11"/>
        <v>#DIV/0!</v>
      </c>
      <c r="X48" s="3" t="e">
        <f t="shared" si="12"/>
        <v>#DIV/0!</v>
      </c>
      <c r="Y48" s="3" t="e">
        <f t="shared" si="13"/>
        <v>#DIV/0!</v>
      </c>
      <c r="Z48" s="3" t="e">
        <f t="shared" si="7"/>
        <v>#DIV/0!</v>
      </c>
      <c r="AA48" s="3" t="e">
        <f t="shared" si="8"/>
        <v>#DIV/0!</v>
      </c>
      <c r="AB48" s="3">
        <f t="shared" si="9"/>
        <v>0</v>
      </c>
    </row>
    <row r="49" spans="1:28" x14ac:dyDescent="0.2">
      <c r="A49" s="4" t="s">
        <v>77</v>
      </c>
      <c r="B49" s="4" t="s">
        <v>31</v>
      </c>
      <c r="C49" s="4">
        <v>23</v>
      </c>
      <c r="D49" s="4">
        <v>2</v>
      </c>
      <c r="E49" s="4" t="s">
        <v>78</v>
      </c>
      <c r="F49" s="4" t="s">
        <v>25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0"/>
        <v>0</v>
      </c>
      <c r="W49" s="4" t="e">
        <f t="shared" ca="1" si="11"/>
        <v>#DIV/0!</v>
      </c>
      <c r="X49" s="4" t="e">
        <f t="shared" si="12"/>
        <v>#DIV/0!</v>
      </c>
      <c r="Y49" s="4" t="e">
        <f t="shared" si="13"/>
        <v>#DIV/0!</v>
      </c>
      <c r="Z49" s="4" t="e">
        <f t="shared" si="7"/>
        <v>#DIV/0!</v>
      </c>
      <c r="AA49" s="4" t="e">
        <f t="shared" si="8"/>
        <v>#DIV/0!</v>
      </c>
      <c r="AB49" s="4">
        <f t="shared" si="9"/>
        <v>0</v>
      </c>
    </row>
    <row r="50" spans="1:28" x14ac:dyDescent="0.2">
      <c r="A50" s="3" t="s">
        <v>79</v>
      </c>
      <c r="B50" s="3" t="s">
        <v>31</v>
      </c>
      <c r="C50" s="3">
        <v>27</v>
      </c>
      <c r="D50" s="3">
        <v>7</v>
      </c>
      <c r="E50" s="3" t="s">
        <v>80</v>
      </c>
      <c r="F50" s="3" t="s">
        <v>25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0"/>
        <v>0</v>
      </c>
      <c r="W50" s="3" t="e">
        <f t="shared" ca="1" si="11"/>
        <v>#DIV/0!</v>
      </c>
      <c r="X50" s="3" t="e">
        <f t="shared" si="12"/>
        <v>#DIV/0!</v>
      </c>
      <c r="Y50" s="3" t="e">
        <f t="shared" si="13"/>
        <v>#DIV/0!</v>
      </c>
      <c r="Z50" s="3" t="e">
        <f t="shared" si="7"/>
        <v>#DIV/0!</v>
      </c>
      <c r="AA50" s="3" t="e">
        <f t="shared" si="8"/>
        <v>#DIV/0!</v>
      </c>
      <c r="AB50" s="3">
        <f t="shared" si="9"/>
        <v>0</v>
      </c>
    </row>
    <row r="51" spans="1:28" x14ac:dyDescent="0.2">
      <c r="A51" s="4" t="s">
        <v>81</v>
      </c>
      <c r="B51" s="4" t="s">
        <v>31</v>
      </c>
      <c r="C51" s="4">
        <v>26</v>
      </c>
      <c r="D51" s="4">
        <v>2</v>
      </c>
      <c r="E51" s="4" t="s">
        <v>82</v>
      </c>
      <c r="F51" s="4" t="s">
        <v>25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0"/>
        <v>0</v>
      </c>
      <c r="W51" s="4" t="e">
        <f t="shared" ca="1" si="11"/>
        <v>#DIV/0!</v>
      </c>
      <c r="X51" s="4" t="e">
        <f t="shared" si="12"/>
        <v>#DIV/0!</v>
      </c>
      <c r="Y51" s="4" t="e">
        <f t="shared" si="13"/>
        <v>#DIV/0!</v>
      </c>
      <c r="Z51" s="4" t="e">
        <f t="shared" si="7"/>
        <v>#DIV/0!</v>
      </c>
      <c r="AA51" s="4" t="e">
        <f t="shared" si="8"/>
        <v>#DIV/0!</v>
      </c>
      <c r="AB51" s="4">
        <f t="shared" si="9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83</v>
      </c>
      <c r="B61" s="3" t="s">
        <v>43</v>
      </c>
      <c r="C61" s="3">
        <v>24</v>
      </c>
      <c r="D61" s="3">
        <v>0</v>
      </c>
      <c r="E61" s="3" t="s">
        <v>84</v>
      </c>
      <c r="F61" s="3" t="s">
        <v>25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t="shared" ref="W61:W71" ca="1" si="14">$P61/$H$33</f>
        <v>#DIV/0!</v>
      </c>
      <c r="X61" s="3" t="e">
        <f t="shared" ref="X61:X71" si="15">$N61/$M61</f>
        <v>#DIV/0!</v>
      </c>
      <c r="Y61" s="3" t="e">
        <f t="shared" ref="Y61:Z71" si="16">$R61/$Q61</f>
        <v>#DIV/0!</v>
      </c>
      <c r="Z61" s="3" t="e">
        <f t="shared" si="16"/>
        <v>#DIV/0!</v>
      </c>
      <c r="AA61" s="3" t="e">
        <f t="shared" ref="AA61:AA71" si="17">$K61/$H61</f>
        <v>#DIV/0!</v>
      </c>
      <c r="AB61" s="3">
        <f t="shared" ref="AB61:AB71" si="18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85</v>
      </c>
      <c r="B62" s="4" t="s">
        <v>43</v>
      </c>
      <c r="C62" s="4">
        <v>26</v>
      </c>
      <c r="D62" s="4">
        <v>2</v>
      </c>
      <c r="E62" s="4" t="s">
        <v>86</v>
      </c>
      <c r="F62" s="4" t="s">
        <v>25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ref="V62:V71" si="19">($J62*0.04)+($K62*4)+($L62*-2)+($N62*0.1)+($O62*6)+($Q62)+($R62*0.1)+($S62*6)+($T62*-2)</f>
        <v>0</v>
      </c>
      <c r="W62" s="4" t="e">
        <f t="shared" ca="1" si="14"/>
        <v>#DIV/0!</v>
      </c>
      <c r="X62" s="4" t="e">
        <f t="shared" si="15"/>
        <v>#DIV/0!</v>
      </c>
      <c r="Y62" s="4" t="e">
        <f t="shared" si="16"/>
        <v>#DIV/0!</v>
      </c>
      <c r="Z62" s="4" t="e">
        <f t="shared" si="16"/>
        <v>#DIV/0!</v>
      </c>
      <c r="AA62" s="4" t="e">
        <f t="shared" si="17"/>
        <v>#DIV/0!</v>
      </c>
      <c r="AB62" s="4">
        <f t="shared" si="18"/>
        <v>0</v>
      </c>
    </row>
    <row r="63" spans="1:28" x14ac:dyDescent="0.2">
      <c r="A63" s="3" t="s">
        <v>87</v>
      </c>
      <c r="B63" s="3" t="s">
        <v>43</v>
      </c>
      <c r="C63" s="3">
        <v>26</v>
      </c>
      <c r="D63" s="3">
        <v>5</v>
      </c>
      <c r="E63" s="3" t="s">
        <v>68</v>
      </c>
      <c r="F63" s="3" t="s">
        <v>25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9"/>
        <v>0</v>
      </c>
      <c r="W63" s="3" t="e">
        <f t="shared" ca="1" si="14"/>
        <v>#DIV/0!</v>
      </c>
      <c r="X63" s="3" t="e">
        <f t="shared" si="15"/>
        <v>#DIV/0!</v>
      </c>
      <c r="Y63" s="3" t="e">
        <f t="shared" si="16"/>
        <v>#DIV/0!</v>
      </c>
      <c r="Z63" s="3" t="e">
        <f t="shared" si="16"/>
        <v>#DIV/0!</v>
      </c>
      <c r="AA63" s="3" t="e">
        <f t="shared" si="17"/>
        <v>#DIV/0!</v>
      </c>
      <c r="AB63" s="3">
        <f t="shared" si="18"/>
        <v>0</v>
      </c>
    </row>
    <row r="64" spans="1:28" x14ac:dyDescent="0.2">
      <c r="A64" s="4" t="s">
        <v>88</v>
      </c>
      <c r="B64" s="4" t="s">
        <v>43</v>
      </c>
      <c r="C64" s="4">
        <v>23</v>
      </c>
      <c r="D64" s="4">
        <v>0</v>
      </c>
      <c r="E64" s="4" t="s">
        <v>89</v>
      </c>
      <c r="F64" s="4" t="s">
        <v>25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9"/>
        <v>0</v>
      </c>
      <c r="W64" s="4" t="e">
        <f t="shared" ca="1" si="14"/>
        <v>#DIV/0!</v>
      </c>
      <c r="X64" s="4" t="e">
        <f t="shared" si="15"/>
        <v>#DIV/0!</v>
      </c>
      <c r="Y64" s="4" t="e">
        <f t="shared" si="16"/>
        <v>#DIV/0!</v>
      </c>
      <c r="Z64" s="4" t="e">
        <f t="shared" si="16"/>
        <v>#DIV/0!</v>
      </c>
      <c r="AA64" s="4" t="e">
        <f t="shared" si="17"/>
        <v>#DIV/0!</v>
      </c>
      <c r="AB64" s="4">
        <f t="shared" si="18"/>
        <v>0</v>
      </c>
    </row>
    <row r="65" spans="1:28" x14ac:dyDescent="0.2">
      <c r="A65" s="3" t="s">
        <v>90</v>
      </c>
      <c r="B65" s="3" t="s">
        <v>43</v>
      </c>
      <c r="C65" s="3">
        <v>26</v>
      </c>
      <c r="D65" s="3">
        <v>2</v>
      </c>
      <c r="E65" s="3" t="s">
        <v>91</v>
      </c>
      <c r="F65" s="3" t="s">
        <v>25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9"/>
        <v>0</v>
      </c>
      <c r="W65" s="3" t="e">
        <f t="shared" ca="1" si="14"/>
        <v>#DIV/0!</v>
      </c>
      <c r="X65" s="3" t="e">
        <f t="shared" si="15"/>
        <v>#DIV/0!</v>
      </c>
      <c r="Y65" s="3" t="e">
        <f t="shared" si="16"/>
        <v>#DIV/0!</v>
      </c>
      <c r="Z65" s="3" t="e">
        <f t="shared" si="16"/>
        <v>#DIV/0!</v>
      </c>
      <c r="AA65" s="3" t="e">
        <f t="shared" si="17"/>
        <v>#DIV/0!</v>
      </c>
      <c r="AB65" s="3">
        <f t="shared" si="18"/>
        <v>0</v>
      </c>
    </row>
    <row r="66" spans="1:28" x14ac:dyDescent="0.2">
      <c r="A66" s="4" t="s">
        <v>92</v>
      </c>
      <c r="B66" s="4" t="s">
        <v>43</v>
      </c>
      <c r="C66" s="4">
        <v>24</v>
      </c>
      <c r="D66" s="4">
        <v>1</v>
      </c>
      <c r="E66" s="4" t="s">
        <v>93</v>
      </c>
      <c r="F66" s="4" t="s">
        <v>25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9"/>
        <v>0</v>
      </c>
      <c r="W66" s="4" t="e">
        <f t="shared" ca="1" si="14"/>
        <v>#DIV/0!</v>
      </c>
      <c r="X66" s="4" t="e">
        <f t="shared" si="15"/>
        <v>#DIV/0!</v>
      </c>
      <c r="Y66" s="4" t="e">
        <f t="shared" si="16"/>
        <v>#DIV/0!</v>
      </c>
      <c r="Z66" s="4" t="e">
        <f t="shared" si="16"/>
        <v>#DIV/0!</v>
      </c>
      <c r="AA66" s="4" t="e">
        <f t="shared" si="17"/>
        <v>#DIV/0!</v>
      </c>
      <c r="AB66" s="4">
        <f t="shared" si="18"/>
        <v>0</v>
      </c>
    </row>
    <row r="67" spans="1:28" x14ac:dyDescent="0.2">
      <c r="A67" s="3" t="s">
        <v>94</v>
      </c>
      <c r="B67" s="3" t="s">
        <v>43</v>
      </c>
      <c r="C67" s="3">
        <v>25</v>
      </c>
      <c r="D67" s="3">
        <v>3</v>
      </c>
      <c r="E67" s="3" t="s">
        <v>95</v>
      </c>
      <c r="F67" s="3" t="s">
        <v>25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9"/>
        <v>0</v>
      </c>
      <c r="W67" s="3" t="e">
        <f t="shared" ca="1" si="14"/>
        <v>#DIV/0!</v>
      </c>
      <c r="X67" s="3" t="e">
        <f t="shared" si="15"/>
        <v>#DIV/0!</v>
      </c>
      <c r="Y67" s="3" t="e">
        <f t="shared" si="16"/>
        <v>#DIV/0!</v>
      </c>
      <c r="Z67" s="3" t="e">
        <f t="shared" si="16"/>
        <v>#DIV/0!</v>
      </c>
      <c r="AA67" s="3" t="e">
        <f t="shared" si="17"/>
        <v>#DIV/0!</v>
      </c>
      <c r="AB67" s="3">
        <f t="shared" si="18"/>
        <v>0</v>
      </c>
    </row>
    <row r="68" spans="1:28" x14ac:dyDescent="0.2">
      <c r="A68" s="4" t="s">
        <v>96</v>
      </c>
      <c r="B68" s="4" t="s">
        <v>43</v>
      </c>
      <c r="C68" s="4">
        <v>23</v>
      </c>
      <c r="D68" s="4">
        <v>3</v>
      </c>
      <c r="E68" s="4" t="s">
        <v>62</v>
      </c>
      <c r="F68" s="4" t="s">
        <v>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9"/>
        <v>0</v>
      </c>
      <c r="W68" s="4" t="e">
        <f t="shared" ca="1" si="14"/>
        <v>#DIV/0!</v>
      </c>
      <c r="X68" s="4" t="e">
        <f t="shared" si="15"/>
        <v>#DIV/0!</v>
      </c>
      <c r="Y68" s="4" t="e">
        <f t="shared" si="16"/>
        <v>#DIV/0!</v>
      </c>
      <c r="Z68" s="4" t="e">
        <f t="shared" si="16"/>
        <v>#DIV/0!</v>
      </c>
      <c r="AA68" s="4" t="e">
        <f t="shared" si="17"/>
        <v>#DIV/0!</v>
      </c>
      <c r="AB68" s="4">
        <f t="shared" si="18"/>
        <v>0</v>
      </c>
    </row>
    <row r="69" spans="1:28" x14ac:dyDescent="0.2">
      <c r="A69" s="3" t="s">
        <v>97</v>
      </c>
      <c r="B69" s="3" t="s">
        <v>43</v>
      </c>
      <c r="C69" s="3">
        <v>28</v>
      </c>
      <c r="D69" s="3">
        <v>6</v>
      </c>
      <c r="E69" s="3" t="s">
        <v>98</v>
      </c>
      <c r="F69" s="3" t="s">
        <v>25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9"/>
        <v>0</v>
      </c>
      <c r="W69" s="3" t="e">
        <f t="shared" ca="1" si="14"/>
        <v>#DIV/0!</v>
      </c>
      <c r="X69" s="3" t="e">
        <f t="shared" si="15"/>
        <v>#DIV/0!</v>
      </c>
      <c r="Y69" s="3" t="e">
        <f t="shared" si="16"/>
        <v>#DIV/0!</v>
      </c>
      <c r="Z69" s="3" t="e">
        <f t="shared" si="16"/>
        <v>#DIV/0!</v>
      </c>
      <c r="AA69" s="3" t="e">
        <f t="shared" si="17"/>
        <v>#DIV/0!</v>
      </c>
      <c r="AB69" s="3">
        <f t="shared" si="18"/>
        <v>0</v>
      </c>
    </row>
    <row r="70" spans="1:28" x14ac:dyDescent="0.2">
      <c r="A70" s="4" t="s">
        <v>99</v>
      </c>
      <c r="B70" s="4" t="s">
        <v>43</v>
      </c>
      <c r="C70" s="4">
        <v>24</v>
      </c>
      <c r="D70" s="4">
        <v>1</v>
      </c>
      <c r="E70" s="4" t="s">
        <v>100</v>
      </c>
      <c r="F70" s="4" t="s">
        <v>25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9"/>
        <v>0</v>
      </c>
      <c r="W70" s="4" t="e">
        <f t="shared" ca="1" si="14"/>
        <v>#DIV/0!</v>
      </c>
      <c r="X70" s="4" t="e">
        <f t="shared" si="15"/>
        <v>#DIV/0!</v>
      </c>
      <c r="Y70" s="4" t="e">
        <f t="shared" si="16"/>
        <v>#DIV/0!</v>
      </c>
      <c r="Z70" s="4" t="e">
        <f t="shared" si="16"/>
        <v>#DIV/0!</v>
      </c>
      <c r="AA70" s="4" t="e">
        <f t="shared" si="17"/>
        <v>#DIV/0!</v>
      </c>
      <c r="AB70" s="4">
        <f t="shared" si="18"/>
        <v>0</v>
      </c>
    </row>
    <row r="71" spans="1:28" x14ac:dyDescent="0.2">
      <c r="A71" s="3" t="s">
        <v>101</v>
      </c>
      <c r="B71" s="3" t="s">
        <v>43</v>
      </c>
      <c r="C71" s="3">
        <v>23</v>
      </c>
      <c r="D71" s="3">
        <v>0</v>
      </c>
      <c r="E71" s="3" t="s">
        <v>102</v>
      </c>
      <c r="F71" s="3" t="s">
        <v>25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9"/>
        <v>0</v>
      </c>
      <c r="W71" s="3" t="e">
        <f t="shared" ca="1" si="14"/>
        <v>#DIV/0!</v>
      </c>
      <c r="X71" s="3" t="e">
        <f t="shared" si="15"/>
        <v>#DIV/0!</v>
      </c>
      <c r="Y71" s="3" t="e">
        <f t="shared" si="16"/>
        <v>#DIV/0!</v>
      </c>
      <c r="Z71" s="3" t="e">
        <f t="shared" si="16"/>
        <v>#DIV/0!</v>
      </c>
      <c r="AA71" s="3" t="e">
        <f t="shared" si="17"/>
        <v>#DIV/0!</v>
      </c>
      <c r="AB71" s="3">
        <f t="shared" si="18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103</v>
      </c>
      <c r="B76" s="3" t="s">
        <v>38</v>
      </c>
      <c r="C76" s="3">
        <v>32</v>
      </c>
      <c r="D76" s="3">
        <v>11</v>
      </c>
      <c r="E76" s="3" t="s">
        <v>102</v>
      </c>
      <c r="F76" s="3" t="s">
        <v>25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t="shared" ref="W76:W82" ca="1" si="20">$P76/$H$33</f>
        <v>#DIV/0!</v>
      </c>
      <c r="X76" s="3" t="e">
        <f t="shared" ref="X76:X82" si="21">$N76/$M76</f>
        <v>#DIV/0!</v>
      </c>
      <c r="Y76" s="3" t="e">
        <f t="shared" ref="Y76:Z82" si="22">$R76/$Q76</f>
        <v>#DIV/0!</v>
      </c>
      <c r="Z76" s="3" t="e">
        <f t="shared" si="22"/>
        <v>#DIV/0!</v>
      </c>
      <c r="AA76" s="3" t="e">
        <f t="shared" ref="AA76:AA82" si="23">$K76/$H76</f>
        <v>#DIV/0!</v>
      </c>
      <c r="AB76" s="3">
        <f t="shared" ref="AB76:AB82" si="24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104</v>
      </c>
      <c r="B77" s="4" t="s">
        <v>38</v>
      </c>
      <c r="C77" s="4">
        <v>25</v>
      </c>
      <c r="D77" s="4">
        <v>0</v>
      </c>
      <c r="E77" s="4" t="s">
        <v>105</v>
      </c>
      <c r="F77" s="4" t="s">
        <v>25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ref="V77:V82" si="25">($J77*0.04)+($K77*4)+($L77*-2)+($N77*0.1)+($O77*6)+($Q77)+($R77*0.1)+($S77*6)+($T77*-2)</f>
        <v>0</v>
      </c>
      <c r="W77" s="4" t="e">
        <f t="shared" ca="1" si="20"/>
        <v>#DIV/0!</v>
      </c>
      <c r="X77" s="4" t="e">
        <f t="shared" si="21"/>
        <v>#DIV/0!</v>
      </c>
      <c r="Y77" s="4" t="e">
        <f t="shared" si="22"/>
        <v>#DIV/0!</v>
      </c>
      <c r="Z77" s="4" t="e">
        <f t="shared" si="22"/>
        <v>#DIV/0!</v>
      </c>
      <c r="AA77" s="4" t="e">
        <f t="shared" si="23"/>
        <v>#DIV/0!</v>
      </c>
      <c r="AB77" s="4">
        <f t="shared" si="24"/>
        <v>0</v>
      </c>
    </row>
    <row r="78" spans="1:28" x14ac:dyDescent="0.2">
      <c r="A78" s="3" t="s">
        <v>106</v>
      </c>
      <c r="B78" s="3" t="s">
        <v>38</v>
      </c>
      <c r="C78" s="3">
        <v>23</v>
      </c>
      <c r="D78" s="3">
        <v>2</v>
      </c>
      <c r="E78" s="3" t="s">
        <v>107</v>
      </c>
      <c r="F78" s="3" t="s">
        <v>25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5"/>
        <v>0</v>
      </c>
      <c r="W78" s="3" t="e">
        <f t="shared" ca="1" si="20"/>
        <v>#DIV/0!</v>
      </c>
      <c r="X78" s="3" t="e">
        <f t="shared" si="21"/>
        <v>#DIV/0!</v>
      </c>
      <c r="Y78" s="3" t="e">
        <f t="shared" si="22"/>
        <v>#DIV/0!</v>
      </c>
      <c r="Z78" s="3" t="e">
        <f t="shared" si="22"/>
        <v>#DIV/0!</v>
      </c>
      <c r="AA78" s="3" t="e">
        <f t="shared" si="23"/>
        <v>#DIV/0!</v>
      </c>
      <c r="AB78" s="3">
        <f t="shared" si="24"/>
        <v>0</v>
      </c>
    </row>
    <row r="79" spans="1:28" x14ac:dyDescent="0.2">
      <c r="A79" s="4" t="s">
        <v>108</v>
      </c>
      <c r="B79" s="4" t="s">
        <v>38</v>
      </c>
      <c r="C79" s="4">
        <v>26</v>
      </c>
      <c r="D79" s="4">
        <v>1</v>
      </c>
      <c r="E79" s="4" t="s">
        <v>93</v>
      </c>
      <c r="F79" s="4" t="s">
        <v>25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5"/>
        <v>0</v>
      </c>
      <c r="W79" s="4" t="e">
        <f t="shared" ca="1" si="20"/>
        <v>#DIV/0!</v>
      </c>
      <c r="X79" s="4" t="e">
        <f t="shared" si="21"/>
        <v>#DIV/0!</v>
      </c>
      <c r="Y79" s="4" t="e">
        <f t="shared" si="22"/>
        <v>#DIV/0!</v>
      </c>
      <c r="Z79" s="4" t="e">
        <f t="shared" si="22"/>
        <v>#DIV/0!</v>
      </c>
      <c r="AA79" s="4" t="e">
        <f t="shared" si="23"/>
        <v>#DIV/0!</v>
      </c>
      <c r="AB79" s="4">
        <f t="shared" si="24"/>
        <v>0</v>
      </c>
    </row>
    <row r="80" spans="1:28" x14ac:dyDescent="0.2">
      <c r="A80" s="3" t="s">
        <v>109</v>
      </c>
      <c r="B80" s="3" t="s">
        <v>38</v>
      </c>
      <c r="C80" s="3">
        <v>29</v>
      </c>
      <c r="D80" s="3">
        <v>9</v>
      </c>
      <c r="E80" s="3" t="s">
        <v>66</v>
      </c>
      <c r="F80" s="3" t="s">
        <v>25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25"/>
        <v>0</v>
      </c>
      <c r="W80" s="3" t="e">
        <f t="shared" ca="1" si="20"/>
        <v>#DIV/0!</v>
      </c>
      <c r="X80" s="3" t="e">
        <f t="shared" si="21"/>
        <v>#DIV/0!</v>
      </c>
      <c r="Y80" s="3" t="e">
        <f t="shared" si="22"/>
        <v>#DIV/0!</v>
      </c>
      <c r="Z80" s="3" t="e">
        <f t="shared" si="22"/>
        <v>#DIV/0!</v>
      </c>
      <c r="AA80" s="3" t="e">
        <f t="shared" si="23"/>
        <v>#DIV/0!</v>
      </c>
      <c r="AB80" s="3">
        <f t="shared" si="24"/>
        <v>0</v>
      </c>
    </row>
    <row r="81" spans="1:28" x14ac:dyDescent="0.2">
      <c r="A81" s="4" t="s">
        <v>110</v>
      </c>
      <c r="B81" s="4" t="s">
        <v>38</v>
      </c>
      <c r="C81" s="4">
        <v>26</v>
      </c>
      <c r="D81" s="4">
        <v>2</v>
      </c>
      <c r="E81" s="4" t="s">
        <v>111</v>
      </c>
      <c r="F81" s="4" t="s">
        <v>25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25"/>
        <v>0</v>
      </c>
      <c r="W81" s="4" t="e">
        <f t="shared" ca="1" si="20"/>
        <v>#DIV/0!</v>
      </c>
      <c r="X81" s="4" t="e">
        <f t="shared" si="21"/>
        <v>#DIV/0!</v>
      </c>
      <c r="Y81" s="4" t="e">
        <f t="shared" si="22"/>
        <v>#DIV/0!</v>
      </c>
      <c r="Z81" s="4" t="e">
        <f t="shared" si="22"/>
        <v>#DIV/0!</v>
      </c>
      <c r="AA81" s="4" t="e">
        <f>$K81/$H81</f>
        <v>#DIV/0!</v>
      </c>
      <c r="AB81" s="4">
        <f t="shared" si="24"/>
        <v>0</v>
      </c>
    </row>
    <row r="82" spans="1:28" x14ac:dyDescent="0.2">
      <c r="A82" s="3" t="s">
        <v>112</v>
      </c>
      <c r="B82" s="3" t="s">
        <v>38</v>
      </c>
      <c r="C82" s="3">
        <v>23</v>
      </c>
      <c r="D82" s="3">
        <v>0</v>
      </c>
      <c r="E82" s="3" t="s">
        <v>95</v>
      </c>
      <c r="F82" s="3" t="s">
        <v>25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25"/>
        <v>0</v>
      </c>
      <c r="W82" s="3" t="e">
        <f t="shared" ca="1" si="20"/>
        <v>#DIV/0!</v>
      </c>
      <c r="X82" s="3" t="e">
        <f t="shared" si="21"/>
        <v>#DIV/0!</v>
      </c>
      <c r="Y82" s="3" t="e">
        <f t="shared" si="22"/>
        <v>#DIV/0!</v>
      </c>
      <c r="Z82" s="3" t="e">
        <f t="shared" si="22"/>
        <v>#DIV/0!</v>
      </c>
      <c r="AA82" s="3" t="e">
        <f t="shared" si="23"/>
        <v>#DIV/0!</v>
      </c>
      <c r="AB82" s="3">
        <f t="shared" si="2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82"/>
  <sheetViews>
    <sheetView zoomScale="90" zoomScaleNormal="90" workbookViewId="0">
      <selection activeCell="A22" sqref="A22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113</v>
      </c>
      <c r="B2" s="3" t="s">
        <v>114</v>
      </c>
      <c r="C2" s="3" t="s">
        <v>115</v>
      </c>
      <c r="D2" s="3">
        <v>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2</v>
      </c>
      <c r="L2" s="3">
        <v>0</v>
      </c>
      <c r="M2" s="3">
        <v>2</v>
      </c>
      <c r="N2" s="3">
        <v>1</v>
      </c>
      <c r="O2" s="3">
        <v>8</v>
      </c>
      <c r="P2" s="3">
        <v>0</v>
      </c>
      <c r="Q2" s="3">
        <v>0</v>
      </c>
      <c r="R2" s="3">
        <v>0</v>
      </c>
      <c r="S2" s="3">
        <v>2</v>
      </c>
      <c r="T2" s="3">
        <v>3.0165912518853701E-3</v>
      </c>
      <c r="U2" s="3">
        <v>2</v>
      </c>
      <c r="V2" s="3">
        <v>8</v>
      </c>
      <c r="W2" s="3"/>
      <c r="X2" s="3"/>
      <c r="Y2" s="3">
        <f t="shared" ref="Y2:Y21" si="0">($G2*Cp_yd)+($H2*Cp_td)+($I2*Cint)+($J2*Ccar)+($K2*Cr_yd)+($L2*Cr_td)+($N2*Crec)+($O2*Crec_yd)+($P2*Crec_td)+($Q2*Cfmb)+($R2*Ctp_c)</f>
        <v>2</v>
      </c>
    </row>
    <row r="3" spans="1:25" x14ac:dyDescent="0.2">
      <c r="A3" s="4" t="s">
        <v>116</v>
      </c>
      <c r="B3" s="4" t="s">
        <v>114</v>
      </c>
      <c r="C3" s="4" t="s">
        <v>26</v>
      </c>
      <c r="D3" s="4">
        <v>4</v>
      </c>
      <c r="E3" s="4">
        <v>115</v>
      </c>
      <c r="F3" s="4">
        <v>73</v>
      </c>
      <c r="G3" s="4">
        <v>708</v>
      </c>
      <c r="H3" s="4">
        <v>2</v>
      </c>
      <c r="I3" s="4">
        <v>0</v>
      </c>
      <c r="J3" s="4">
        <v>16</v>
      </c>
      <c r="K3" s="4">
        <v>64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38.72</v>
      </c>
      <c r="T3" s="4">
        <v>0</v>
      </c>
      <c r="U3" s="4">
        <v>4</v>
      </c>
      <c r="V3" s="4"/>
      <c r="W3" s="4">
        <v>0.63478260869565195</v>
      </c>
      <c r="X3" s="4">
        <v>1.7391304347826101E-2</v>
      </c>
      <c r="Y3" s="4">
        <f t="shared" si="0"/>
        <v>38.72</v>
      </c>
    </row>
    <row r="4" spans="1:25" x14ac:dyDescent="0.2">
      <c r="A4" s="3" t="s">
        <v>117</v>
      </c>
      <c r="B4" s="3" t="s">
        <v>114</v>
      </c>
      <c r="C4" s="3" t="s">
        <v>26</v>
      </c>
      <c r="D4" s="3">
        <v>13</v>
      </c>
      <c r="E4" s="3">
        <v>300</v>
      </c>
      <c r="F4" s="3">
        <v>184</v>
      </c>
      <c r="G4" s="3">
        <v>2219</v>
      </c>
      <c r="H4" s="3">
        <v>15</v>
      </c>
      <c r="I4" s="3">
        <v>9</v>
      </c>
      <c r="J4" s="3">
        <v>85</v>
      </c>
      <c r="K4" s="3">
        <v>438</v>
      </c>
      <c r="L4" s="3">
        <v>4</v>
      </c>
      <c r="M4" s="3">
        <v>0</v>
      </c>
      <c r="N4" s="3">
        <v>0</v>
      </c>
      <c r="O4" s="3">
        <v>0</v>
      </c>
      <c r="P4" s="3">
        <v>0</v>
      </c>
      <c r="Q4" s="3">
        <v>3</v>
      </c>
      <c r="R4" s="3">
        <v>2</v>
      </c>
      <c r="S4" s="3">
        <v>196.56</v>
      </c>
      <c r="T4" s="3">
        <v>0</v>
      </c>
      <c r="U4" s="3">
        <v>5.1529411764705904</v>
      </c>
      <c r="V4" s="3"/>
      <c r="W4" s="3">
        <v>0.61333333333333295</v>
      </c>
      <c r="X4" s="3">
        <v>0.05</v>
      </c>
      <c r="Y4" s="3">
        <f t="shared" si="0"/>
        <v>196.56</v>
      </c>
    </row>
    <row r="5" spans="1:25" x14ac:dyDescent="0.2">
      <c r="A5" s="4" t="s">
        <v>118</v>
      </c>
      <c r="B5" s="4" t="s">
        <v>114</v>
      </c>
      <c r="C5" s="4" t="s">
        <v>31</v>
      </c>
      <c r="D5" s="4">
        <v>14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</v>
      </c>
      <c r="K5" s="4">
        <v>109</v>
      </c>
      <c r="L5" s="4">
        <v>1</v>
      </c>
      <c r="M5" s="4">
        <v>14</v>
      </c>
      <c r="N5" s="4">
        <v>13</v>
      </c>
      <c r="O5" s="4">
        <v>61</v>
      </c>
      <c r="P5" s="4">
        <v>0</v>
      </c>
      <c r="Q5" s="4">
        <v>0</v>
      </c>
      <c r="R5" s="4">
        <v>0</v>
      </c>
      <c r="S5" s="4">
        <v>36</v>
      </c>
      <c r="T5" s="4">
        <v>2.1116138763197598E-2</v>
      </c>
      <c r="U5" s="4">
        <v>4.9545454545454497</v>
      </c>
      <c r="V5" s="4">
        <v>4.6923076923076898</v>
      </c>
      <c r="W5" s="4"/>
      <c r="X5" s="4"/>
      <c r="Y5" s="4">
        <f t="shared" si="0"/>
        <v>36</v>
      </c>
    </row>
    <row r="6" spans="1:25" x14ac:dyDescent="0.2">
      <c r="A6" s="3" t="s">
        <v>119</v>
      </c>
      <c r="B6" s="3" t="s">
        <v>114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76</v>
      </c>
      <c r="K6" s="3">
        <v>366</v>
      </c>
      <c r="L6" s="3">
        <v>1</v>
      </c>
      <c r="M6" s="3">
        <v>2</v>
      </c>
      <c r="N6" s="3">
        <v>2</v>
      </c>
      <c r="O6" s="3">
        <v>3</v>
      </c>
      <c r="P6" s="3">
        <v>0</v>
      </c>
      <c r="Q6" s="3">
        <v>0</v>
      </c>
      <c r="R6" s="3">
        <v>0</v>
      </c>
      <c r="S6" s="3">
        <v>44.9</v>
      </c>
      <c r="T6" s="3">
        <v>3.0165912518853701E-3</v>
      </c>
      <c r="U6" s="3">
        <v>4.8157894736842097</v>
      </c>
      <c r="V6" s="3">
        <v>1.5</v>
      </c>
      <c r="W6" s="3"/>
      <c r="X6" s="3"/>
      <c r="Y6" s="3">
        <f t="shared" si="0"/>
        <v>44.9</v>
      </c>
    </row>
    <row r="7" spans="1:25" x14ac:dyDescent="0.2">
      <c r="A7" s="4" t="s">
        <v>120</v>
      </c>
      <c r="B7" s="4" t="s">
        <v>114</v>
      </c>
      <c r="C7" s="4" t="s">
        <v>31</v>
      </c>
      <c r="D7" s="4">
        <v>13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144</v>
      </c>
      <c r="K7" s="4">
        <v>695</v>
      </c>
      <c r="L7" s="4">
        <v>8</v>
      </c>
      <c r="M7" s="4">
        <v>31</v>
      </c>
      <c r="N7" s="4">
        <v>21</v>
      </c>
      <c r="O7" s="4">
        <v>122</v>
      </c>
      <c r="P7" s="4">
        <v>0</v>
      </c>
      <c r="Q7" s="4">
        <v>1</v>
      </c>
      <c r="R7" s="4">
        <v>0</v>
      </c>
      <c r="S7" s="4">
        <v>154.69999999999999</v>
      </c>
      <c r="T7" s="4">
        <v>4.67571644042232E-2</v>
      </c>
      <c r="U7" s="4">
        <v>4.8263888888888902</v>
      </c>
      <c r="V7" s="4">
        <v>5.8095238095238102</v>
      </c>
      <c r="W7" s="4"/>
      <c r="X7" s="4"/>
      <c r="Y7" s="4">
        <f t="shared" si="0"/>
        <v>148.69999999999999</v>
      </c>
    </row>
    <row r="8" spans="1:25" x14ac:dyDescent="0.2">
      <c r="A8" s="3" t="s">
        <v>32</v>
      </c>
      <c r="B8" s="3" t="s">
        <v>114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</v>
      </c>
      <c r="K8" s="3">
        <v>2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0.2</v>
      </c>
      <c r="T8" s="3">
        <v>0</v>
      </c>
      <c r="U8" s="3">
        <v>1</v>
      </c>
      <c r="V8" s="3"/>
      <c r="W8" s="3"/>
      <c r="X8" s="3"/>
      <c r="Y8" s="3">
        <f t="shared" si="0"/>
        <v>0.2</v>
      </c>
    </row>
    <row r="9" spans="1:25" x14ac:dyDescent="0.2">
      <c r="A9" s="4" t="s">
        <v>121</v>
      </c>
      <c r="B9" s="4" t="s">
        <v>114</v>
      </c>
      <c r="C9" s="4" t="s">
        <v>31</v>
      </c>
      <c r="D9" s="4">
        <v>16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210</v>
      </c>
      <c r="K9" s="4">
        <v>1035</v>
      </c>
      <c r="L9" s="4">
        <v>3</v>
      </c>
      <c r="M9" s="4">
        <v>17</v>
      </c>
      <c r="N9" s="4">
        <v>16</v>
      </c>
      <c r="O9" s="4">
        <v>139</v>
      </c>
      <c r="P9" s="4">
        <v>1</v>
      </c>
      <c r="Q9" s="4">
        <v>0</v>
      </c>
      <c r="R9" s="4">
        <v>1</v>
      </c>
      <c r="S9" s="4">
        <v>159.4</v>
      </c>
      <c r="T9" s="4">
        <v>2.5641025641025599E-2</v>
      </c>
      <c r="U9" s="4">
        <v>4.9285714285714297</v>
      </c>
      <c r="V9" s="4">
        <v>8.6875</v>
      </c>
      <c r="W9" s="4"/>
      <c r="X9" s="4"/>
      <c r="Y9" s="4">
        <f t="shared" si="0"/>
        <v>159.4</v>
      </c>
    </row>
    <row r="10" spans="1:25" x14ac:dyDescent="0.2">
      <c r="A10" s="3" t="s">
        <v>122</v>
      </c>
      <c r="B10" s="3" t="s">
        <v>114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13</v>
      </c>
      <c r="N10" s="3">
        <v>9</v>
      </c>
      <c r="O10" s="3">
        <v>100</v>
      </c>
      <c r="P10" s="3">
        <v>0</v>
      </c>
      <c r="Q10" s="3">
        <v>0</v>
      </c>
      <c r="R10" s="3">
        <v>0</v>
      </c>
      <c r="S10" s="3">
        <v>19</v>
      </c>
      <c r="T10" s="3">
        <v>1.9607843137254902E-2</v>
      </c>
      <c r="U10" s="3"/>
      <c r="V10" s="3">
        <v>11.1111111111111</v>
      </c>
      <c r="W10" s="3"/>
      <c r="X10" s="3"/>
      <c r="Y10" s="3">
        <f t="shared" si="0"/>
        <v>19</v>
      </c>
    </row>
    <row r="11" spans="1:25" x14ac:dyDescent="0.2">
      <c r="A11" s="4" t="s">
        <v>123</v>
      </c>
      <c r="B11" s="4" t="s">
        <v>114</v>
      </c>
      <c r="C11" s="4" t="s">
        <v>38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2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3.0165912518853701E-3</v>
      </c>
      <c r="U11" s="4">
        <v>0</v>
      </c>
      <c r="V11" s="4"/>
      <c r="W11" s="4"/>
      <c r="X11" s="4"/>
      <c r="Y11" s="4">
        <f t="shared" si="0"/>
        <v>0</v>
      </c>
    </row>
    <row r="12" spans="1:25" x14ac:dyDescent="0.2">
      <c r="A12" s="3" t="s">
        <v>124</v>
      </c>
      <c r="B12" s="3" t="s">
        <v>114</v>
      </c>
      <c r="C12" s="3" t="s">
        <v>38</v>
      </c>
      <c r="D12" s="3">
        <v>10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59</v>
      </c>
      <c r="N12" s="3">
        <v>28</v>
      </c>
      <c r="O12" s="3">
        <v>356</v>
      </c>
      <c r="P12" s="3">
        <v>2</v>
      </c>
      <c r="Q12" s="3">
        <v>0</v>
      </c>
      <c r="R12" s="3">
        <v>0</v>
      </c>
      <c r="S12" s="3">
        <v>75.599999999999994</v>
      </c>
      <c r="T12" s="3">
        <v>8.8989441930618404E-2</v>
      </c>
      <c r="U12" s="3"/>
      <c r="V12" s="3">
        <v>12.714285714285699</v>
      </c>
      <c r="W12" s="3"/>
      <c r="X12" s="3"/>
      <c r="Y12" s="3">
        <f t="shared" si="0"/>
        <v>75.599999999999994</v>
      </c>
    </row>
    <row r="13" spans="1:25" x14ac:dyDescent="0.2">
      <c r="A13" s="4" t="s">
        <v>125</v>
      </c>
      <c r="B13" s="4" t="s">
        <v>114</v>
      </c>
      <c r="C13" s="4" t="s">
        <v>38</v>
      </c>
      <c r="D13" s="4">
        <v>10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21</v>
      </c>
      <c r="N13" s="4">
        <v>16</v>
      </c>
      <c r="O13" s="4">
        <v>150</v>
      </c>
      <c r="P13" s="4">
        <v>4</v>
      </c>
      <c r="Q13" s="4">
        <v>0</v>
      </c>
      <c r="R13" s="4">
        <v>0</v>
      </c>
      <c r="S13" s="4">
        <v>55</v>
      </c>
      <c r="T13" s="4">
        <v>3.1674208144796399E-2</v>
      </c>
      <c r="U13" s="4"/>
      <c r="V13" s="4">
        <v>9.375</v>
      </c>
      <c r="W13" s="4"/>
      <c r="X13" s="4"/>
      <c r="Y13" s="4">
        <f t="shared" si="0"/>
        <v>55</v>
      </c>
    </row>
    <row r="14" spans="1:25" x14ac:dyDescent="0.2">
      <c r="A14" s="3" t="s">
        <v>126</v>
      </c>
      <c r="B14" s="3" t="s">
        <v>114</v>
      </c>
      <c r="C14" s="3" t="s">
        <v>38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11</v>
      </c>
      <c r="N14" s="3">
        <v>9</v>
      </c>
      <c r="O14" s="3">
        <v>89</v>
      </c>
      <c r="P14" s="3">
        <v>0</v>
      </c>
      <c r="Q14" s="3">
        <v>0</v>
      </c>
      <c r="R14" s="3">
        <v>0</v>
      </c>
      <c r="S14" s="3">
        <v>17.899999999999999</v>
      </c>
      <c r="T14" s="3">
        <v>1.6591251885369501E-2</v>
      </c>
      <c r="U14" s="3"/>
      <c r="V14" s="3">
        <v>9.8888888888888893</v>
      </c>
      <c r="W14" s="3"/>
      <c r="X14" s="3"/>
      <c r="Y14" s="3">
        <f t="shared" si="0"/>
        <v>17.899999999999999</v>
      </c>
    </row>
    <row r="15" spans="1:25" x14ac:dyDescent="0.2">
      <c r="A15" s="4" t="s">
        <v>127</v>
      </c>
      <c r="B15" s="4" t="s">
        <v>114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15</v>
      </c>
      <c r="P15" s="4">
        <v>0</v>
      </c>
      <c r="Q15" s="4">
        <v>0</v>
      </c>
      <c r="R15" s="4">
        <v>0</v>
      </c>
      <c r="S15" s="4">
        <v>4.5</v>
      </c>
      <c r="T15" s="4">
        <v>7.5414781297134196E-3</v>
      </c>
      <c r="U15" s="4"/>
      <c r="V15" s="4">
        <v>5</v>
      </c>
      <c r="W15" s="4"/>
      <c r="X15" s="4"/>
      <c r="Y15" s="4">
        <f t="shared" si="0"/>
        <v>4.5</v>
      </c>
    </row>
    <row r="16" spans="1:25" x14ac:dyDescent="0.2">
      <c r="A16" s="3" t="s">
        <v>128</v>
      </c>
      <c r="B16" s="3" t="s">
        <v>114</v>
      </c>
      <c r="C16" s="3" t="s">
        <v>43</v>
      </c>
      <c r="D16" s="3">
        <v>12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23</v>
      </c>
      <c r="N16" s="3">
        <v>13</v>
      </c>
      <c r="O16" s="3">
        <v>268</v>
      </c>
      <c r="P16" s="3">
        <v>2</v>
      </c>
      <c r="Q16" s="3">
        <v>0</v>
      </c>
      <c r="R16" s="3">
        <v>0</v>
      </c>
      <c r="S16" s="3">
        <v>51.8</v>
      </c>
      <c r="T16" s="3">
        <v>3.46907993966818E-2</v>
      </c>
      <c r="U16" s="3"/>
      <c r="V16" s="3">
        <v>20.615384615384599</v>
      </c>
      <c r="W16" s="3"/>
      <c r="X16" s="3"/>
      <c r="Y16" s="3">
        <f t="shared" si="0"/>
        <v>51.8</v>
      </c>
    </row>
    <row r="17" spans="1:25" x14ac:dyDescent="0.2">
      <c r="A17" s="4" t="s">
        <v>129</v>
      </c>
      <c r="B17" s="4" t="s">
        <v>114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117</v>
      </c>
      <c r="N17" s="4">
        <v>72</v>
      </c>
      <c r="O17" s="4">
        <v>866</v>
      </c>
      <c r="P17" s="4">
        <v>4</v>
      </c>
      <c r="Q17" s="4">
        <v>0</v>
      </c>
      <c r="R17" s="4">
        <v>0</v>
      </c>
      <c r="S17" s="4">
        <v>178.6</v>
      </c>
      <c r="T17" s="4">
        <v>0.17647058823529399</v>
      </c>
      <c r="U17" s="4"/>
      <c r="V17" s="4">
        <v>12.0277777777778</v>
      </c>
      <c r="W17" s="4"/>
      <c r="X17" s="4"/>
      <c r="Y17" s="4">
        <f t="shared" si="0"/>
        <v>182.60000000000002</v>
      </c>
    </row>
    <row r="18" spans="1:25" x14ac:dyDescent="0.2">
      <c r="A18" s="3" t="s">
        <v>130</v>
      </c>
      <c r="B18" s="3" t="s">
        <v>114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15</v>
      </c>
      <c r="P18" s="3">
        <v>0</v>
      </c>
      <c r="Q18" s="3">
        <v>0</v>
      </c>
      <c r="R18" s="3">
        <v>0</v>
      </c>
      <c r="S18" s="3">
        <v>2.5</v>
      </c>
      <c r="T18" s="3">
        <v>1.5082956259426801E-3</v>
      </c>
      <c r="U18" s="3"/>
      <c r="V18" s="3">
        <v>15</v>
      </c>
      <c r="W18" s="3"/>
      <c r="X18" s="3"/>
      <c r="Y18" s="3">
        <f t="shared" si="0"/>
        <v>2.5</v>
      </c>
    </row>
    <row r="19" spans="1:25" x14ac:dyDescent="0.2">
      <c r="A19" s="4" t="s">
        <v>131</v>
      </c>
      <c r="B19" s="4" t="s">
        <v>114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1.5082956259426801E-3</v>
      </c>
      <c r="U19" s="4"/>
      <c r="V19" s="4"/>
      <c r="W19" s="4"/>
      <c r="X19" s="4"/>
      <c r="Y19" s="4">
        <f t="shared" si="0"/>
        <v>0</v>
      </c>
    </row>
    <row r="20" spans="1:25" x14ac:dyDescent="0.2">
      <c r="A20" s="3" t="s">
        <v>132</v>
      </c>
      <c r="B20" s="3" t="s">
        <v>114</v>
      </c>
      <c r="C20" s="3" t="s">
        <v>43</v>
      </c>
      <c r="D20" s="3">
        <v>9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20</v>
      </c>
      <c r="N20" s="3">
        <v>13</v>
      </c>
      <c r="O20" s="3">
        <v>202</v>
      </c>
      <c r="P20" s="3">
        <v>1</v>
      </c>
      <c r="Q20" s="3">
        <v>0</v>
      </c>
      <c r="R20" s="3">
        <v>0</v>
      </c>
      <c r="S20" s="3">
        <v>41.2</v>
      </c>
      <c r="T20" s="3">
        <v>3.0165912518853699E-2</v>
      </c>
      <c r="U20" s="3"/>
      <c r="V20" s="3">
        <v>15.538461538461499</v>
      </c>
      <c r="W20" s="3"/>
      <c r="X20" s="3"/>
      <c r="Y20" s="3">
        <f t="shared" si="0"/>
        <v>39.200000000000003</v>
      </c>
    </row>
    <row r="21" spans="1:25" x14ac:dyDescent="0.2">
      <c r="A21" s="4" t="s">
        <v>133</v>
      </c>
      <c r="B21" s="4" t="s">
        <v>114</v>
      </c>
      <c r="C21" s="4" t="s">
        <v>43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2</v>
      </c>
      <c r="K21" s="4">
        <v>7</v>
      </c>
      <c r="L21" s="4">
        <v>0</v>
      </c>
      <c r="M21" s="4">
        <v>61</v>
      </c>
      <c r="N21" s="4">
        <v>40</v>
      </c>
      <c r="O21" s="4">
        <v>533</v>
      </c>
      <c r="P21" s="4">
        <v>3</v>
      </c>
      <c r="Q21" s="4">
        <v>0</v>
      </c>
      <c r="R21" s="4">
        <v>0</v>
      </c>
      <c r="S21" s="4">
        <v>110</v>
      </c>
      <c r="T21" s="4">
        <v>9.2006033182503805E-2</v>
      </c>
      <c r="U21" s="4">
        <v>3.5</v>
      </c>
      <c r="V21" s="4">
        <v>13.324999999999999</v>
      </c>
      <c r="W21" s="4"/>
      <c r="X21" s="4"/>
      <c r="Y21" s="4">
        <f t="shared" si="0"/>
        <v>112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114</v>
      </c>
      <c r="B31" s="3">
        <v>5645</v>
      </c>
      <c r="C31" s="3">
        <v>2927</v>
      </c>
      <c r="D31" s="3">
        <v>559</v>
      </c>
      <c r="E31" s="3">
        <v>2718</v>
      </c>
      <c r="F31" s="3">
        <v>17</v>
      </c>
      <c r="G31" s="3">
        <v>1188.58</v>
      </c>
      <c r="H31" s="3">
        <v>415</v>
      </c>
      <c r="I31" s="3">
        <v>0.61927710843373496</v>
      </c>
      <c r="J31" s="3">
        <v>17</v>
      </c>
      <c r="K31" s="3">
        <v>9</v>
      </c>
      <c r="L31" s="3">
        <v>6</v>
      </c>
      <c r="M31" s="3">
        <f ca="1">SUM(INDIRECT(A33 &amp; "_Table1[[#All],[f_custom]]"))</f>
        <v>1186.58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ATL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134</v>
      </c>
      <c r="B36" s="3" t="s">
        <v>26</v>
      </c>
      <c r="C36" s="3">
        <v>30</v>
      </c>
      <c r="D36" s="3">
        <v>6</v>
      </c>
      <c r="E36" s="3" t="s">
        <v>98</v>
      </c>
      <c r="F36" s="3" t="s">
        <v>114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 t="shared" ref="AA36:AA38" si="1"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135</v>
      </c>
      <c r="B37" s="4" t="s">
        <v>26</v>
      </c>
      <c r="C37" s="4">
        <v>23</v>
      </c>
      <c r="D37" s="4">
        <v>2</v>
      </c>
      <c r="E37" s="4" t="s">
        <v>136</v>
      </c>
      <c r="F37" s="4" t="s">
        <v>114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38" si="2">($J37*0.04)+($K37*4)+($L37*-2)+($N37*0.1)+($O37*6)+($Q37)+($R37*0.1)+($S37*6)+($T37*-2)</f>
        <v>0</v>
      </c>
      <c r="W37" s="4" t="e">
        <f t="shared" ref="W37:W38" ca="1" si="3">$P37/$H$33</f>
        <v>#DIV/0!</v>
      </c>
      <c r="X37" s="4" t="e">
        <f t="shared" ref="X37:X38" si="4">$N37/$M37</f>
        <v>#DIV/0!</v>
      </c>
      <c r="Y37" s="4" t="e">
        <f t="shared" ref="Y37:Y38" si="5">$R37/$Q37</f>
        <v>#DIV/0!</v>
      </c>
      <c r="Z37" s="4" t="e">
        <f t="shared" ref="Z37:Z38" si="6">$I37/$H37</f>
        <v>#DIV/0!</v>
      </c>
      <c r="AA37" s="4" t="e">
        <f t="shared" si="1"/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137</v>
      </c>
      <c r="B38" s="3" t="s">
        <v>26</v>
      </c>
      <c r="C38" s="3">
        <v>28</v>
      </c>
      <c r="D38" s="3">
        <v>4</v>
      </c>
      <c r="E38" s="3" t="s">
        <v>138</v>
      </c>
      <c r="F38" s="3" t="s">
        <v>114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2"/>
        <v>0</v>
      </c>
      <c r="W38" s="3" t="e">
        <f t="shared" ca="1" si="3"/>
        <v>#DIV/0!</v>
      </c>
      <c r="X38" s="3" t="e">
        <f t="shared" si="4"/>
        <v>#DIV/0!</v>
      </c>
      <c r="Y38" s="3" t="e">
        <f t="shared" si="5"/>
        <v>#DIV/0!</v>
      </c>
      <c r="Z38" s="3" t="e">
        <f t="shared" si="6"/>
        <v>#DIV/0!</v>
      </c>
      <c r="AA38" s="3" t="e">
        <f t="shared" si="1"/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139</v>
      </c>
      <c r="B46" s="3" t="s">
        <v>31</v>
      </c>
      <c r="C46" s="3">
        <v>23</v>
      </c>
      <c r="D46" s="3">
        <v>2</v>
      </c>
      <c r="E46" s="3" t="s">
        <v>82</v>
      </c>
      <c r="F46" s="3" t="s">
        <v>114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7">($J46*0.04)+($K46*4)+($L46*-2)+($N46*0.1)+($O46*6)+($Q46)+($R46*0.1)+($S46*6)+($T46*-2)</f>
        <v>0</v>
      </c>
      <c r="W46" s="3" t="e">
        <f t="shared" ref="W46:W51" ca="1" si="8">$P46/$H$33</f>
        <v>#DIV/0!</v>
      </c>
      <c r="X46" s="3" t="e">
        <f t="shared" ref="X46:X51" si="9">$N46/$M46</f>
        <v>#DIV/0!</v>
      </c>
      <c r="Y46" s="3" t="e">
        <f t="shared" ref="Y46:Y51" si="10">$R46/$Q46</f>
        <v>#DIV/0!</v>
      </c>
      <c r="Z46" s="3" t="e">
        <f t="shared" ref="Z46:Z51" si="11">$I46/$H46</f>
        <v>#DIV/0!</v>
      </c>
      <c r="AA46" s="3" t="e">
        <f t="shared" ref="AA46:AA51" si="12">$K46/$H46</f>
        <v>#DIV/0!</v>
      </c>
      <c r="AB46" s="3">
        <f t="shared" ref="AB46:AB51" si="13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140</v>
      </c>
      <c r="B47" s="4" t="s">
        <v>31</v>
      </c>
      <c r="C47" s="4">
        <v>28</v>
      </c>
      <c r="D47" s="4">
        <v>5</v>
      </c>
      <c r="E47" s="4" t="s">
        <v>141</v>
      </c>
      <c r="F47" s="4" t="s">
        <v>114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7"/>
        <v>0</v>
      </c>
      <c r="W47" s="4" t="e">
        <f t="shared" ca="1" si="8"/>
        <v>#DIV/0!</v>
      </c>
      <c r="X47" s="4" t="e">
        <f t="shared" si="9"/>
        <v>#DIV/0!</v>
      </c>
      <c r="Y47" s="4" t="e">
        <f t="shared" si="10"/>
        <v>#DIV/0!</v>
      </c>
      <c r="Z47" s="4" t="e">
        <f t="shared" si="11"/>
        <v>#DIV/0!</v>
      </c>
      <c r="AA47" s="4" t="e">
        <f t="shared" si="12"/>
        <v>#DIV/0!</v>
      </c>
      <c r="AB47" s="4">
        <f t="shared" si="13"/>
        <v>0</v>
      </c>
    </row>
    <row r="48" spans="1:28" x14ac:dyDescent="0.2">
      <c r="A48" s="3" t="s">
        <v>142</v>
      </c>
      <c r="B48" s="3" t="s">
        <v>31</v>
      </c>
      <c r="C48" s="3">
        <v>32</v>
      </c>
      <c r="D48" s="3">
        <v>11</v>
      </c>
      <c r="E48" s="3" t="s">
        <v>143</v>
      </c>
      <c r="F48" s="3" t="s">
        <v>114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7"/>
        <v>0</v>
      </c>
      <c r="W48" s="3" t="e">
        <f t="shared" ca="1" si="8"/>
        <v>#DIV/0!</v>
      </c>
      <c r="X48" s="3" t="e">
        <f t="shared" si="9"/>
        <v>#DIV/0!</v>
      </c>
      <c r="Y48" s="3" t="e">
        <f t="shared" si="10"/>
        <v>#DIV/0!</v>
      </c>
      <c r="Z48" s="3" t="e">
        <f t="shared" si="11"/>
        <v>#DIV/0!</v>
      </c>
      <c r="AA48" s="3" t="e">
        <f t="shared" si="12"/>
        <v>#DIV/0!</v>
      </c>
      <c r="AB48" s="3">
        <f t="shared" si="13"/>
        <v>0</v>
      </c>
    </row>
    <row r="49" spans="1:28" x14ac:dyDescent="0.2">
      <c r="A49" s="4" t="s">
        <v>144</v>
      </c>
      <c r="B49" s="4" t="s">
        <v>31</v>
      </c>
      <c r="C49" s="4">
        <v>25</v>
      </c>
      <c r="D49" s="4">
        <v>1</v>
      </c>
      <c r="E49" s="4" t="s">
        <v>145</v>
      </c>
      <c r="F49" s="4" t="s">
        <v>114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7"/>
        <v>0</v>
      </c>
      <c r="W49" s="4" t="e">
        <f t="shared" ca="1" si="8"/>
        <v>#DIV/0!</v>
      </c>
      <c r="X49" s="4" t="e">
        <f t="shared" si="9"/>
        <v>#DIV/0!</v>
      </c>
      <c r="Y49" s="4" t="e">
        <f t="shared" si="10"/>
        <v>#DIV/0!</v>
      </c>
      <c r="Z49" s="4" t="e">
        <f t="shared" si="11"/>
        <v>#DIV/0!</v>
      </c>
      <c r="AA49" s="4" t="e">
        <f t="shared" si="12"/>
        <v>#DIV/0!</v>
      </c>
      <c r="AB49" s="4">
        <f t="shared" si="13"/>
        <v>0</v>
      </c>
    </row>
    <row r="50" spans="1:28" x14ac:dyDescent="0.2">
      <c r="A50" s="3" t="s">
        <v>146</v>
      </c>
      <c r="B50" s="3" t="s">
        <v>31</v>
      </c>
      <c r="C50" s="3">
        <v>21</v>
      </c>
      <c r="D50" s="3">
        <v>0</v>
      </c>
      <c r="E50" s="3" t="s">
        <v>66</v>
      </c>
      <c r="F50" s="3" t="s">
        <v>114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7"/>
        <v>0</v>
      </c>
      <c r="W50" s="3" t="e">
        <f t="shared" ca="1" si="8"/>
        <v>#DIV/0!</v>
      </c>
      <c r="X50" s="3" t="e">
        <f t="shared" si="9"/>
        <v>#DIV/0!</v>
      </c>
      <c r="Y50" s="3" t="e">
        <f t="shared" si="10"/>
        <v>#DIV/0!</v>
      </c>
      <c r="Z50" s="3" t="e">
        <f t="shared" si="11"/>
        <v>#DIV/0!</v>
      </c>
      <c r="AA50" s="3" t="e">
        <f t="shared" si="12"/>
        <v>#DIV/0!</v>
      </c>
      <c r="AB50" s="3">
        <f t="shared" si="13"/>
        <v>0</v>
      </c>
    </row>
    <row r="51" spans="1:28" x14ac:dyDescent="0.2">
      <c r="A51" s="4" t="s">
        <v>147</v>
      </c>
      <c r="B51" s="4" t="s">
        <v>31</v>
      </c>
      <c r="C51" s="4">
        <v>24</v>
      </c>
      <c r="D51" s="4">
        <v>0</v>
      </c>
      <c r="E51" s="4" t="s">
        <v>148</v>
      </c>
      <c r="F51" s="4" t="s">
        <v>114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7"/>
        <v>0</v>
      </c>
      <c r="W51" s="4" t="e">
        <f t="shared" ca="1" si="8"/>
        <v>#DIV/0!</v>
      </c>
      <c r="X51" s="4" t="e">
        <f t="shared" si="9"/>
        <v>#DIV/0!</v>
      </c>
      <c r="Y51" s="4" t="e">
        <f t="shared" si="10"/>
        <v>#DIV/0!</v>
      </c>
      <c r="Z51" s="4" t="e">
        <f t="shared" si="11"/>
        <v>#DIV/0!</v>
      </c>
      <c r="AA51" s="4" t="e">
        <f t="shared" si="12"/>
        <v>#DIV/0!</v>
      </c>
      <c r="AB51" s="4">
        <f t="shared" si="13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149</v>
      </c>
      <c r="B61" s="3" t="s">
        <v>43</v>
      </c>
      <c r="C61" s="3">
        <v>24</v>
      </c>
      <c r="D61" s="3">
        <v>1</v>
      </c>
      <c r="E61" s="3" t="s">
        <v>150</v>
      </c>
      <c r="F61" s="3" t="s">
        <v>114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4">($J61*0.04)+($K61*4)+($L61*-2)+($N61*0.1)+($O61*6)+($Q61)+($R61*0.1)+($S61*6)+($T61*-2)</f>
        <v>0</v>
      </c>
      <c r="W61" s="3" t="e">
        <f t="shared" ref="W61:W72" ca="1" si="15">$P61/$H$33</f>
        <v>#DIV/0!</v>
      </c>
      <c r="X61" s="3" t="e">
        <f t="shared" ref="X61:X72" si="16">$N61/$M61</f>
        <v>#DIV/0!</v>
      </c>
      <c r="Y61" s="3" t="e">
        <f t="shared" ref="Y61:Y72" si="17">$R61/$Q61</f>
        <v>#DIV/0!</v>
      </c>
      <c r="Z61" s="3" t="e">
        <f t="shared" ref="Z61:Z72" si="18">$I61/$H61</f>
        <v>#DIV/0!</v>
      </c>
      <c r="AA61" s="3" t="e">
        <f t="shared" ref="AA61:AA72" si="19">$K61/$H61</f>
        <v>#DIV/0!</v>
      </c>
      <c r="AB61" s="3">
        <f t="shared" ref="AB61:AB72" si="20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151</v>
      </c>
      <c r="B62" s="4" t="s">
        <v>43</v>
      </c>
      <c r="C62" s="4">
        <v>26</v>
      </c>
      <c r="D62" s="4">
        <v>4</v>
      </c>
      <c r="E62" s="4" t="s">
        <v>102</v>
      </c>
      <c r="F62" s="4" t="s">
        <v>114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4"/>
        <v>0</v>
      </c>
      <c r="W62" s="4" t="e">
        <f t="shared" ca="1" si="15"/>
        <v>#DIV/0!</v>
      </c>
      <c r="X62" s="4" t="e">
        <f t="shared" si="16"/>
        <v>#DIV/0!</v>
      </c>
      <c r="Y62" s="4" t="e">
        <f t="shared" si="17"/>
        <v>#DIV/0!</v>
      </c>
      <c r="Z62" s="4" t="e">
        <f t="shared" si="18"/>
        <v>#DIV/0!</v>
      </c>
      <c r="AA62" s="4" t="e">
        <f t="shared" si="19"/>
        <v>#DIV/0!</v>
      </c>
      <c r="AB62" s="4">
        <f t="shared" si="20"/>
        <v>0</v>
      </c>
    </row>
    <row r="63" spans="1:28" x14ac:dyDescent="0.2">
      <c r="A63" s="3" t="s">
        <v>152</v>
      </c>
      <c r="B63" s="3" t="s">
        <v>43</v>
      </c>
      <c r="C63" s="3">
        <v>24</v>
      </c>
      <c r="D63" s="3">
        <v>2</v>
      </c>
      <c r="E63" s="3" t="s">
        <v>153</v>
      </c>
      <c r="F63" s="3" t="s">
        <v>114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4"/>
        <v>0</v>
      </c>
      <c r="W63" s="3" t="e">
        <f t="shared" ca="1" si="15"/>
        <v>#DIV/0!</v>
      </c>
      <c r="X63" s="3" t="e">
        <f t="shared" si="16"/>
        <v>#DIV/0!</v>
      </c>
      <c r="Y63" s="3" t="e">
        <f t="shared" si="17"/>
        <v>#DIV/0!</v>
      </c>
      <c r="Z63" s="3" t="e">
        <f t="shared" si="18"/>
        <v>#DIV/0!</v>
      </c>
      <c r="AA63" s="3" t="e">
        <f t="shared" si="19"/>
        <v>#DIV/0!</v>
      </c>
      <c r="AB63" s="3">
        <f t="shared" si="20"/>
        <v>0</v>
      </c>
    </row>
    <row r="64" spans="1:28" x14ac:dyDescent="0.2">
      <c r="A64" s="4" t="s">
        <v>154</v>
      </c>
      <c r="B64" s="4" t="s">
        <v>43</v>
      </c>
      <c r="C64" s="4">
        <v>25</v>
      </c>
      <c r="D64" s="4">
        <v>3</v>
      </c>
      <c r="E64" s="4" t="s">
        <v>155</v>
      </c>
      <c r="F64" s="4" t="s">
        <v>114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4"/>
        <v>0</v>
      </c>
      <c r="W64" s="4" t="e">
        <f t="shared" ca="1" si="15"/>
        <v>#DIV/0!</v>
      </c>
      <c r="X64" s="4" t="e">
        <f t="shared" si="16"/>
        <v>#DIV/0!</v>
      </c>
      <c r="Y64" s="4" t="e">
        <f t="shared" si="17"/>
        <v>#DIV/0!</v>
      </c>
      <c r="Z64" s="4" t="e">
        <f t="shared" si="18"/>
        <v>#DIV/0!</v>
      </c>
      <c r="AA64" s="4" t="e">
        <f t="shared" si="19"/>
        <v>#DIV/0!</v>
      </c>
      <c r="AB64" s="4">
        <f t="shared" si="20"/>
        <v>0</v>
      </c>
    </row>
    <row r="65" spans="1:28" x14ac:dyDescent="0.2">
      <c r="A65" s="3" t="s">
        <v>156</v>
      </c>
      <c r="B65" s="3" t="s">
        <v>43</v>
      </c>
      <c r="C65" s="3">
        <v>22</v>
      </c>
      <c r="D65" s="3">
        <v>0</v>
      </c>
      <c r="E65" s="3" t="s">
        <v>157</v>
      </c>
      <c r="F65" s="3" t="s">
        <v>114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4"/>
        <v>0</v>
      </c>
      <c r="W65" s="3" t="e">
        <f t="shared" ca="1" si="15"/>
        <v>#DIV/0!</v>
      </c>
      <c r="X65" s="3" t="e">
        <f t="shared" si="16"/>
        <v>#DIV/0!</v>
      </c>
      <c r="Y65" s="3" t="e">
        <f t="shared" si="17"/>
        <v>#DIV/0!</v>
      </c>
      <c r="Z65" s="3" t="e">
        <f t="shared" si="18"/>
        <v>#DIV/0!</v>
      </c>
      <c r="AA65" s="3" t="e">
        <f t="shared" si="19"/>
        <v>#DIV/0!</v>
      </c>
      <c r="AB65" s="3">
        <f t="shared" si="20"/>
        <v>0</v>
      </c>
    </row>
    <row r="66" spans="1:28" x14ac:dyDescent="0.2">
      <c r="A66" s="4" t="s">
        <v>158</v>
      </c>
      <c r="B66" s="4" t="s">
        <v>43</v>
      </c>
      <c r="C66" s="4">
        <v>27</v>
      </c>
      <c r="D66" s="4">
        <v>4</v>
      </c>
      <c r="E66" s="4" t="s">
        <v>159</v>
      </c>
      <c r="F66" s="4" t="s">
        <v>114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4"/>
        <v>0</v>
      </c>
      <c r="W66" s="4" t="e">
        <f t="shared" ca="1" si="15"/>
        <v>#DIV/0!</v>
      </c>
      <c r="X66" s="4" t="e">
        <f t="shared" si="16"/>
        <v>#DIV/0!</v>
      </c>
      <c r="Y66" s="4" t="e">
        <f t="shared" si="17"/>
        <v>#DIV/0!</v>
      </c>
      <c r="Z66" s="4" t="e">
        <f t="shared" si="18"/>
        <v>#DIV/0!</v>
      </c>
      <c r="AA66" s="4" t="e">
        <f t="shared" si="19"/>
        <v>#DIV/0!</v>
      </c>
      <c r="AB66" s="4">
        <f t="shared" si="20"/>
        <v>0</v>
      </c>
    </row>
    <row r="67" spans="1:28" x14ac:dyDescent="0.2">
      <c r="A67" s="3" t="s">
        <v>160</v>
      </c>
      <c r="B67" s="3" t="s">
        <v>43</v>
      </c>
      <c r="C67" s="3">
        <v>28</v>
      </c>
      <c r="D67" s="3">
        <v>6</v>
      </c>
      <c r="E67" s="3" t="s">
        <v>161</v>
      </c>
      <c r="F67" s="3" t="s">
        <v>114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4"/>
        <v>0</v>
      </c>
      <c r="W67" s="3" t="e">
        <f t="shared" ca="1" si="15"/>
        <v>#DIV/0!</v>
      </c>
      <c r="X67" s="3" t="e">
        <f t="shared" si="16"/>
        <v>#DIV/0!</v>
      </c>
      <c r="Y67" s="3" t="e">
        <f t="shared" si="17"/>
        <v>#DIV/0!</v>
      </c>
      <c r="Z67" s="3" t="e">
        <f t="shared" si="18"/>
        <v>#DIV/0!</v>
      </c>
      <c r="AA67" s="3" t="e">
        <f t="shared" si="19"/>
        <v>#DIV/0!</v>
      </c>
      <c r="AB67" s="3">
        <f t="shared" si="20"/>
        <v>0</v>
      </c>
    </row>
    <row r="68" spans="1:28" x14ac:dyDescent="0.2">
      <c r="A68" s="4" t="s">
        <v>162</v>
      </c>
      <c r="B68" s="4" t="s">
        <v>43</v>
      </c>
      <c r="C68" s="4">
        <v>29</v>
      </c>
      <c r="D68" s="4">
        <v>7</v>
      </c>
      <c r="E68" s="4" t="s">
        <v>163</v>
      </c>
      <c r="F68" s="4" t="s">
        <v>114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4"/>
        <v>0</v>
      </c>
      <c r="W68" s="4" t="e">
        <f t="shared" ca="1" si="15"/>
        <v>#DIV/0!</v>
      </c>
      <c r="X68" s="4" t="e">
        <f t="shared" si="16"/>
        <v>#DIV/0!</v>
      </c>
      <c r="Y68" s="4" t="e">
        <f t="shared" si="17"/>
        <v>#DIV/0!</v>
      </c>
      <c r="Z68" s="4" t="e">
        <f t="shared" si="18"/>
        <v>#DIV/0!</v>
      </c>
      <c r="AA68" s="4" t="e">
        <f t="shared" si="19"/>
        <v>#DIV/0!</v>
      </c>
      <c r="AB68" s="4">
        <f t="shared" si="20"/>
        <v>0</v>
      </c>
    </row>
    <row r="69" spans="1:28" x14ac:dyDescent="0.2">
      <c r="A69" s="3" t="s">
        <v>164</v>
      </c>
      <c r="B69" s="3" t="s">
        <v>43</v>
      </c>
      <c r="C69" s="3">
        <v>22</v>
      </c>
      <c r="D69" s="3">
        <v>2</v>
      </c>
      <c r="E69" s="3" t="s">
        <v>78</v>
      </c>
      <c r="F69" s="3" t="s">
        <v>114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4"/>
        <v>0</v>
      </c>
      <c r="W69" s="3" t="e">
        <f t="shared" ca="1" si="15"/>
        <v>#DIV/0!</v>
      </c>
      <c r="X69" s="3" t="e">
        <f t="shared" si="16"/>
        <v>#DIV/0!</v>
      </c>
      <c r="Y69" s="3" t="e">
        <f t="shared" si="17"/>
        <v>#DIV/0!</v>
      </c>
      <c r="Z69" s="3" t="e">
        <f t="shared" si="18"/>
        <v>#DIV/0!</v>
      </c>
      <c r="AA69" s="3" t="e">
        <f t="shared" si="19"/>
        <v>#DIV/0!</v>
      </c>
      <c r="AB69" s="3">
        <f t="shared" si="20"/>
        <v>0</v>
      </c>
    </row>
    <row r="70" spans="1:28" x14ac:dyDescent="0.2">
      <c r="A70" s="4" t="s">
        <v>165</v>
      </c>
      <c r="B70" s="4" t="s">
        <v>43</v>
      </c>
      <c r="C70" s="4">
        <v>23</v>
      </c>
      <c r="D70" s="4">
        <v>0</v>
      </c>
      <c r="E70" s="4" t="s">
        <v>166</v>
      </c>
      <c r="F70" s="4" t="s">
        <v>114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4"/>
        <v>0</v>
      </c>
      <c r="W70" s="4" t="e">
        <f t="shared" ca="1" si="15"/>
        <v>#DIV/0!</v>
      </c>
      <c r="X70" s="4" t="e">
        <f t="shared" si="16"/>
        <v>#DIV/0!</v>
      </c>
      <c r="Y70" s="4" t="e">
        <f t="shared" si="17"/>
        <v>#DIV/0!</v>
      </c>
      <c r="Z70" s="4" t="e">
        <f t="shared" si="18"/>
        <v>#DIV/0!</v>
      </c>
      <c r="AA70" s="4" t="e">
        <f t="shared" si="19"/>
        <v>#DIV/0!</v>
      </c>
      <c r="AB70" s="4">
        <f t="shared" si="20"/>
        <v>0</v>
      </c>
    </row>
    <row r="71" spans="1:28" x14ac:dyDescent="0.2">
      <c r="A71" s="3" t="s">
        <v>167</v>
      </c>
      <c r="B71" s="3" t="s">
        <v>43</v>
      </c>
      <c r="C71" s="3">
        <v>26</v>
      </c>
      <c r="D71" s="3">
        <v>5</v>
      </c>
      <c r="E71" s="3" t="s">
        <v>168</v>
      </c>
      <c r="F71" s="3" t="s">
        <v>114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4"/>
        <v>0</v>
      </c>
      <c r="W71" s="3" t="e">
        <f t="shared" ca="1" si="15"/>
        <v>#DIV/0!</v>
      </c>
      <c r="X71" s="3" t="e">
        <f t="shared" si="16"/>
        <v>#DIV/0!</v>
      </c>
      <c r="Y71" s="3" t="e">
        <f t="shared" si="17"/>
        <v>#DIV/0!</v>
      </c>
      <c r="Z71" s="3" t="e">
        <f t="shared" si="18"/>
        <v>#DIV/0!</v>
      </c>
      <c r="AA71" s="3" t="e">
        <f t="shared" si="19"/>
        <v>#DIV/0!</v>
      </c>
      <c r="AB71" s="3">
        <f t="shared" si="20"/>
        <v>0</v>
      </c>
    </row>
    <row r="72" spans="1:28" x14ac:dyDescent="0.2">
      <c r="A72" s="4" t="s">
        <v>169</v>
      </c>
      <c r="B72" s="4" t="s">
        <v>43</v>
      </c>
      <c r="C72" s="4">
        <v>25</v>
      </c>
      <c r="D72" s="4">
        <v>1</v>
      </c>
      <c r="E72" s="4" t="s">
        <v>170</v>
      </c>
      <c r="F72" s="4" t="s">
        <v>114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4"/>
        <v>0</v>
      </c>
      <c r="W72" s="4" t="e">
        <f t="shared" ca="1" si="15"/>
        <v>#DIV/0!</v>
      </c>
      <c r="X72" s="4" t="e">
        <f t="shared" si="16"/>
        <v>#DIV/0!</v>
      </c>
      <c r="Y72" s="4" t="e">
        <f t="shared" si="17"/>
        <v>#DIV/0!</v>
      </c>
      <c r="Z72" s="4" t="e">
        <f t="shared" si="18"/>
        <v>#DIV/0!</v>
      </c>
      <c r="AA72" s="4" t="e">
        <f t="shared" si="19"/>
        <v>#DIV/0!</v>
      </c>
      <c r="AB72" s="4">
        <f t="shared" si="20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171</v>
      </c>
      <c r="B76" s="3" t="s">
        <v>38</v>
      </c>
      <c r="C76" s="3">
        <v>24</v>
      </c>
      <c r="D76" s="3">
        <v>1</v>
      </c>
      <c r="E76" s="3" t="s">
        <v>102</v>
      </c>
      <c r="F76" s="3" t="s">
        <v>114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21">($J76*0.04)+($K76*4)+($L76*-2)+($N76*0.1)+($O76*6)+($Q76)+($R76*0.1)+($S76*6)+($T76*-2)</f>
        <v>0</v>
      </c>
      <c r="W76" s="3" t="e">
        <f t="shared" ref="W76:W82" ca="1" si="22">$P76/$H$33</f>
        <v>#DIV/0!</v>
      </c>
      <c r="X76" s="3" t="e">
        <f t="shared" ref="X76:X82" si="23">$N76/$M76</f>
        <v>#DIV/0!</v>
      </c>
      <c r="Y76" s="3" t="e">
        <f t="shared" ref="Y76:Y82" si="24">$R76/$Q76</f>
        <v>#DIV/0!</v>
      </c>
      <c r="Z76" s="3" t="e">
        <f t="shared" ref="Z76:Z82" si="25">$I76/$H76</f>
        <v>#DIV/0!</v>
      </c>
      <c r="AA76" s="3" t="e">
        <f t="shared" ref="AA76:AA82" si="26">$K76/$H76</f>
        <v>#DIV/0!</v>
      </c>
      <c r="AB76" s="3">
        <f t="shared" ref="AB76:AB82" si="27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172</v>
      </c>
      <c r="B77" s="4" t="s">
        <v>38</v>
      </c>
      <c r="C77" s="4">
        <v>23</v>
      </c>
      <c r="D77" s="4">
        <v>2</v>
      </c>
      <c r="E77" s="4" t="s">
        <v>173</v>
      </c>
      <c r="F77" s="4" t="s">
        <v>114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21"/>
        <v>0</v>
      </c>
      <c r="W77" s="4" t="e">
        <f t="shared" ca="1" si="22"/>
        <v>#DIV/0!</v>
      </c>
      <c r="X77" s="4" t="e">
        <f t="shared" si="23"/>
        <v>#DIV/0!</v>
      </c>
      <c r="Y77" s="4" t="e">
        <f t="shared" si="24"/>
        <v>#DIV/0!</v>
      </c>
      <c r="Z77" s="4" t="e">
        <f t="shared" si="25"/>
        <v>#DIV/0!</v>
      </c>
      <c r="AA77" s="4" t="e">
        <f t="shared" si="26"/>
        <v>#DIV/0!</v>
      </c>
      <c r="AB77" s="4">
        <f t="shared" si="27"/>
        <v>0</v>
      </c>
    </row>
    <row r="78" spans="1:28" x14ac:dyDescent="0.2">
      <c r="A78" s="3" t="s">
        <v>174</v>
      </c>
      <c r="B78" s="3" t="s">
        <v>38</v>
      </c>
      <c r="C78" s="3">
        <v>25</v>
      </c>
      <c r="D78" s="3">
        <v>3</v>
      </c>
      <c r="E78" s="3" t="s">
        <v>175</v>
      </c>
      <c r="F78" s="3" t="s">
        <v>114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1"/>
        <v>0</v>
      </c>
      <c r="W78" s="3" t="e">
        <f t="shared" ca="1" si="22"/>
        <v>#DIV/0!</v>
      </c>
      <c r="X78" s="3" t="e">
        <f t="shared" si="23"/>
        <v>#DIV/0!</v>
      </c>
      <c r="Y78" s="3" t="e">
        <f t="shared" si="24"/>
        <v>#DIV/0!</v>
      </c>
      <c r="Z78" s="3" t="e">
        <f t="shared" si="25"/>
        <v>#DIV/0!</v>
      </c>
      <c r="AA78" s="3" t="e">
        <f t="shared" si="26"/>
        <v>#DIV/0!</v>
      </c>
      <c r="AB78" s="3">
        <f t="shared" si="27"/>
        <v>0</v>
      </c>
    </row>
    <row r="79" spans="1:28" x14ac:dyDescent="0.2">
      <c r="A79" s="4" t="s">
        <v>176</v>
      </c>
      <c r="B79" s="4" t="s">
        <v>38</v>
      </c>
      <c r="C79" s="4">
        <v>28</v>
      </c>
      <c r="D79" s="4">
        <v>3</v>
      </c>
      <c r="E79" s="4" t="s">
        <v>100</v>
      </c>
      <c r="F79" s="4" t="s">
        <v>114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1"/>
        <v>0</v>
      </c>
      <c r="W79" s="4" t="e">
        <f t="shared" ca="1" si="22"/>
        <v>#DIV/0!</v>
      </c>
      <c r="X79" s="4" t="e">
        <f t="shared" si="23"/>
        <v>#DIV/0!</v>
      </c>
      <c r="Y79" s="4" t="e">
        <f t="shared" si="24"/>
        <v>#DIV/0!</v>
      </c>
      <c r="Z79" s="4" t="e">
        <f t="shared" si="25"/>
        <v>#DIV/0!</v>
      </c>
      <c r="AA79" s="4" t="e">
        <f t="shared" si="26"/>
        <v>#DIV/0!</v>
      </c>
      <c r="AB79" s="4">
        <f t="shared" si="27"/>
        <v>0</v>
      </c>
    </row>
    <row r="80" spans="1:28" x14ac:dyDescent="0.2">
      <c r="A80" s="3" t="s">
        <v>177</v>
      </c>
      <c r="B80" s="3" t="s">
        <v>38</v>
      </c>
      <c r="C80" s="3">
        <v>22</v>
      </c>
      <c r="D80" s="3">
        <v>3</v>
      </c>
      <c r="E80" s="3" t="s">
        <v>178</v>
      </c>
      <c r="F80" s="3" t="s">
        <v>114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21"/>
        <v>0</v>
      </c>
      <c r="W80" s="3" t="e">
        <f t="shared" ca="1" si="22"/>
        <v>#DIV/0!</v>
      </c>
      <c r="X80" s="3" t="e">
        <f t="shared" si="23"/>
        <v>#DIV/0!</v>
      </c>
      <c r="Y80" s="3" t="e">
        <f t="shared" si="24"/>
        <v>#DIV/0!</v>
      </c>
      <c r="Z80" s="3" t="e">
        <f t="shared" si="25"/>
        <v>#DIV/0!</v>
      </c>
      <c r="AA80" s="3" t="e">
        <f t="shared" si="26"/>
        <v>#DIV/0!</v>
      </c>
      <c r="AB80" s="3">
        <f t="shared" si="27"/>
        <v>0</v>
      </c>
    </row>
    <row r="81" spans="1:28" x14ac:dyDescent="0.2">
      <c r="A81" s="4" t="s">
        <v>179</v>
      </c>
      <c r="B81" s="4" t="s">
        <v>38</v>
      </c>
      <c r="C81" s="4">
        <v>31</v>
      </c>
      <c r="D81" s="4">
        <v>8</v>
      </c>
      <c r="E81" s="4" t="s">
        <v>180</v>
      </c>
      <c r="F81" s="4" t="s">
        <v>114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21"/>
        <v>0</v>
      </c>
      <c r="W81" s="4" t="e">
        <f t="shared" ca="1" si="22"/>
        <v>#DIV/0!</v>
      </c>
      <c r="X81" s="4" t="e">
        <f t="shared" si="23"/>
        <v>#DIV/0!</v>
      </c>
      <c r="Y81" s="4" t="e">
        <f t="shared" si="24"/>
        <v>#DIV/0!</v>
      </c>
      <c r="Z81" s="4" t="e">
        <f t="shared" si="25"/>
        <v>#DIV/0!</v>
      </c>
      <c r="AA81" s="4" t="e">
        <f t="shared" si="26"/>
        <v>#DIV/0!</v>
      </c>
      <c r="AB81" s="4">
        <f t="shared" si="27"/>
        <v>0</v>
      </c>
    </row>
    <row r="82" spans="1:28" x14ac:dyDescent="0.2">
      <c r="A82" s="3" t="s">
        <v>181</v>
      </c>
      <c r="B82" s="3" t="s">
        <v>38</v>
      </c>
      <c r="C82" s="3">
        <v>27</v>
      </c>
      <c r="D82" s="3">
        <v>7</v>
      </c>
      <c r="E82" s="3" t="s">
        <v>182</v>
      </c>
      <c r="F82" s="3" t="s">
        <v>114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21"/>
        <v>0</v>
      </c>
      <c r="W82" s="3" t="e">
        <f t="shared" ca="1" si="22"/>
        <v>#DIV/0!</v>
      </c>
      <c r="X82" s="3" t="e">
        <f t="shared" si="23"/>
        <v>#DIV/0!</v>
      </c>
      <c r="Y82" s="3" t="e">
        <f t="shared" si="24"/>
        <v>#DIV/0!</v>
      </c>
      <c r="Z82" s="3" t="e">
        <f t="shared" si="25"/>
        <v>#DIV/0!</v>
      </c>
      <c r="AA82" s="3" t="e">
        <f t="shared" si="26"/>
        <v>#DIV/0!</v>
      </c>
      <c r="AB82" s="3">
        <f t="shared" si="27"/>
        <v>0</v>
      </c>
    </row>
  </sheetData>
  <phoneticPr fontId="2" type="noConversion"/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79"/>
  <sheetViews>
    <sheetView zoomScale="90" zoomScaleNormal="90" workbookViewId="0">
      <selection activeCell="A23" sqref="A23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183</v>
      </c>
      <c r="B2" s="3" t="s">
        <v>184</v>
      </c>
      <c r="C2" s="3" t="s">
        <v>115</v>
      </c>
      <c r="D2" s="3">
        <v>12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7</v>
      </c>
      <c r="K2" s="3">
        <v>16</v>
      </c>
      <c r="L2" s="3">
        <v>0</v>
      </c>
      <c r="M2" s="3">
        <v>13</v>
      </c>
      <c r="N2" s="3">
        <v>11</v>
      </c>
      <c r="O2" s="3">
        <v>74</v>
      </c>
      <c r="P2" s="3">
        <v>0</v>
      </c>
      <c r="Q2" s="3">
        <v>0</v>
      </c>
      <c r="R2" s="3">
        <v>0</v>
      </c>
      <c r="S2" s="3">
        <v>20</v>
      </c>
      <c r="T2" s="3">
        <v>3.13253012048193E-2</v>
      </c>
      <c r="U2" s="3">
        <v>2.28571428571429</v>
      </c>
      <c r="V2" s="3">
        <v>6.7272727272727302</v>
      </c>
      <c r="W2" s="3"/>
      <c r="X2" s="3"/>
      <c r="Y2" s="3">
        <f t="shared" ref="Y2:Y22" si="0">($G2*Cp_yd)+($H2*Cp_td)+($I2*Cint)+($J2*Ccar)+($K2*Cr_yd)+($L2*Cr_td)+($N2*Crec)+($O2*Crec_yd)+($P2*Crec_td)+($Q2*Cfmb)+($R2*Ctp_c)</f>
        <v>20</v>
      </c>
    </row>
    <row r="3" spans="1:25" x14ac:dyDescent="0.2">
      <c r="A3" s="4" t="s">
        <v>185</v>
      </c>
      <c r="B3" s="4" t="s">
        <v>184</v>
      </c>
      <c r="C3" s="4" t="s">
        <v>26</v>
      </c>
      <c r="D3" s="4">
        <v>2</v>
      </c>
      <c r="E3" s="4">
        <v>49</v>
      </c>
      <c r="F3" s="4">
        <v>22</v>
      </c>
      <c r="G3" s="4">
        <v>302</v>
      </c>
      <c r="H3" s="4">
        <v>0</v>
      </c>
      <c r="I3" s="4">
        <v>2</v>
      </c>
      <c r="J3" s="4">
        <v>3</v>
      </c>
      <c r="K3" s="4">
        <v>-5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5.58</v>
      </c>
      <c r="T3" s="4">
        <v>0</v>
      </c>
      <c r="U3" s="4">
        <v>-1.6666666666666701</v>
      </c>
      <c r="V3" s="4"/>
      <c r="W3" s="4">
        <v>0.44897959183673503</v>
      </c>
      <c r="X3" s="4">
        <v>0</v>
      </c>
      <c r="Y3" s="4">
        <f t="shared" si="0"/>
        <v>5.58</v>
      </c>
    </row>
    <row r="4" spans="1:25" x14ac:dyDescent="0.2">
      <c r="A4" s="3" t="s">
        <v>186</v>
      </c>
      <c r="B4" s="3" t="s">
        <v>184</v>
      </c>
      <c r="C4" s="3" t="s">
        <v>26</v>
      </c>
      <c r="D4" s="3">
        <v>12</v>
      </c>
      <c r="E4" s="3">
        <v>326</v>
      </c>
      <c r="F4" s="3">
        <v>203</v>
      </c>
      <c r="G4" s="3">
        <v>2242</v>
      </c>
      <c r="H4" s="3">
        <v>17</v>
      </c>
      <c r="I4" s="3">
        <v>7</v>
      </c>
      <c r="J4" s="3">
        <v>112</v>
      </c>
      <c r="K4" s="3">
        <v>764</v>
      </c>
      <c r="L4" s="3">
        <v>3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1</v>
      </c>
      <c r="S4" s="3">
        <v>236.08</v>
      </c>
      <c r="T4" s="3">
        <v>0</v>
      </c>
      <c r="U4" s="3">
        <v>6.8214285714285703</v>
      </c>
      <c r="V4" s="3"/>
      <c r="W4" s="3">
        <v>0.622699386503067</v>
      </c>
      <c r="X4" s="3">
        <v>5.2147239263803699E-2</v>
      </c>
      <c r="Y4" s="3">
        <f t="shared" si="0"/>
        <v>236.08</v>
      </c>
    </row>
    <row r="5" spans="1:25" x14ac:dyDescent="0.2">
      <c r="A5" s="4" t="s">
        <v>187</v>
      </c>
      <c r="B5" s="4" t="s">
        <v>184</v>
      </c>
      <c r="C5" s="4" t="s">
        <v>26</v>
      </c>
      <c r="D5" s="4">
        <v>5</v>
      </c>
      <c r="E5" s="4">
        <v>112</v>
      </c>
      <c r="F5" s="4">
        <v>75</v>
      </c>
      <c r="G5" s="4">
        <v>658</v>
      </c>
      <c r="H5" s="4">
        <v>2</v>
      </c>
      <c r="I5" s="4">
        <v>3</v>
      </c>
      <c r="J5" s="4">
        <v>43</v>
      </c>
      <c r="K5" s="4">
        <v>137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1</v>
      </c>
      <c r="S5" s="4">
        <v>50.02</v>
      </c>
      <c r="T5" s="4">
        <v>0</v>
      </c>
      <c r="U5" s="4">
        <v>3.18604651162791</v>
      </c>
      <c r="V5" s="4"/>
      <c r="W5" s="4">
        <v>0.66964285714285698</v>
      </c>
      <c r="X5" s="4">
        <v>1.7857142857142901E-2</v>
      </c>
      <c r="Y5" s="4">
        <f t="shared" si="0"/>
        <v>50.02</v>
      </c>
    </row>
    <row r="6" spans="1:25" x14ac:dyDescent="0.2">
      <c r="A6" s="3" t="s">
        <v>188</v>
      </c>
      <c r="B6" s="3" t="s">
        <v>184</v>
      </c>
      <c r="C6" s="3" t="s">
        <v>31</v>
      </c>
      <c r="D6" s="3">
        <v>9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87</v>
      </c>
      <c r="K6" s="3">
        <v>433</v>
      </c>
      <c r="L6" s="3">
        <v>3</v>
      </c>
      <c r="M6" s="3">
        <v>2</v>
      </c>
      <c r="N6" s="3">
        <v>0</v>
      </c>
      <c r="O6" s="3">
        <v>0</v>
      </c>
      <c r="P6" s="3">
        <v>0</v>
      </c>
      <c r="Q6" s="3">
        <v>1</v>
      </c>
      <c r="R6" s="3">
        <v>0</v>
      </c>
      <c r="S6" s="3">
        <v>59.3</v>
      </c>
      <c r="T6" s="3">
        <v>4.8192771084337397E-3</v>
      </c>
      <c r="U6" s="3">
        <v>4.9770114942528698</v>
      </c>
      <c r="V6" s="3"/>
      <c r="W6" s="3"/>
      <c r="X6" s="3"/>
      <c r="Y6" s="3">
        <f t="shared" si="0"/>
        <v>59.300000000000004</v>
      </c>
    </row>
    <row r="7" spans="1:25" x14ac:dyDescent="0.2">
      <c r="A7" s="4" t="s">
        <v>189</v>
      </c>
      <c r="B7" s="4" t="s">
        <v>184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92</v>
      </c>
      <c r="K7" s="4">
        <v>520</v>
      </c>
      <c r="L7" s="4">
        <v>2</v>
      </c>
      <c r="M7" s="4">
        <v>8</v>
      </c>
      <c r="N7" s="4">
        <v>7</v>
      </c>
      <c r="O7" s="4">
        <v>42</v>
      </c>
      <c r="P7" s="4">
        <v>1</v>
      </c>
      <c r="Q7" s="4">
        <v>0</v>
      </c>
      <c r="R7" s="4">
        <v>0</v>
      </c>
      <c r="S7" s="4">
        <v>81.2</v>
      </c>
      <c r="T7" s="4">
        <v>1.92771084337349E-2</v>
      </c>
      <c r="U7" s="4">
        <v>5.6521739130434803</v>
      </c>
      <c r="V7" s="4">
        <v>6</v>
      </c>
      <c r="W7" s="4"/>
      <c r="X7" s="4"/>
      <c r="Y7" s="4">
        <f t="shared" si="0"/>
        <v>81.2</v>
      </c>
    </row>
    <row r="8" spans="1:25" x14ac:dyDescent="0.2">
      <c r="A8" s="3" t="s">
        <v>190</v>
      </c>
      <c r="B8" s="3" t="s">
        <v>184</v>
      </c>
      <c r="C8" s="3" t="s">
        <v>31</v>
      </c>
      <c r="D8" s="3">
        <v>13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49</v>
      </c>
      <c r="K8" s="3">
        <v>262</v>
      </c>
      <c r="L8" s="3">
        <v>0</v>
      </c>
      <c r="M8" s="3">
        <v>12</v>
      </c>
      <c r="N8" s="3">
        <v>12</v>
      </c>
      <c r="O8" s="3">
        <v>58</v>
      </c>
      <c r="P8" s="3">
        <v>0</v>
      </c>
      <c r="Q8" s="3">
        <v>1</v>
      </c>
      <c r="R8" s="3">
        <v>0</v>
      </c>
      <c r="S8" s="3">
        <v>42</v>
      </c>
      <c r="T8" s="3">
        <v>2.89156626506024E-2</v>
      </c>
      <c r="U8" s="3">
        <v>5.3469387755101998</v>
      </c>
      <c r="V8" s="3">
        <v>4.8333333333333304</v>
      </c>
      <c r="W8" s="3"/>
      <c r="X8" s="3"/>
      <c r="Y8" s="3">
        <f t="shared" si="0"/>
        <v>42</v>
      </c>
    </row>
    <row r="9" spans="1:25" x14ac:dyDescent="0.2">
      <c r="A9" s="4" t="s">
        <v>191</v>
      </c>
      <c r="B9" s="4" t="s">
        <v>184</v>
      </c>
      <c r="C9" s="4" t="s">
        <v>31</v>
      </c>
      <c r="D9" s="4">
        <v>12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109</v>
      </c>
      <c r="K9" s="4">
        <v>482</v>
      </c>
      <c r="L9" s="4">
        <v>4</v>
      </c>
      <c r="M9" s="4">
        <v>26</v>
      </c>
      <c r="N9" s="4">
        <v>17</v>
      </c>
      <c r="O9" s="4">
        <v>89</v>
      </c>
      <c r="P9" s="4">
        <v>1</v>
      </c>
      <c r="Q9" s="4">
        <v>0</v>
      </c>
      <c r="R9" s="4">
        <v>0</v>
      </c>
      <c r="S9" s="4">
        <v>104.1</v>
      </c>
      <c r="T9" s="4">
        <v>6.26506024096386E-2</v>
      </c>
      <c r="U9" s="4">
        <v>4.4220183486238502</v>
      </c>
      <c r="V9" s="4">
        <v>5.2352941176470598</v>
      </c>
      <c r="W9" s="4"/>
      <c r="X9" s="4"/>
      <c r="Y9" s="4">
        <f t="shared" si="0"/>
        <v>104.10000000000001</v>
      </c>
    </row>
    <row r="10" spans="1:25" x14ac:dyDescent="0.2">
      <c r="A10" s="3" t="s">
        <v>192</v>
      </c>
      <c r="B10" s="3" t="s">
        <v>184</v>
      </c>
      <c r="C10" s="3" t="s">
        <v>31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8</v>
      </c>
      <c r="K10" s="3">
        <v>18</v>
      </c>
      <c r="L10" s="3">
        <v>0</v>
      </c>
      <c r="M10" s="3">
        <v>2</v>
      </c>
      <c r="N10" s="3">
        <v>2</v>
      </c>
      <c r="O10" s="3">
        <v>4</v>
      </c>
      <c r="P10" s="3">
        <v>0</v>
      </c>
      <c r="Q10" s="3">
        <v>0</v>
      </c>
      <c r="R10" s="3">
        <v>0</v>
      </c>
      <c r="S10" s="3">
        <v>4.2</v>
      </c>
      <c r="T10" s="3">
        <v>4.8192771084337397E-3</v>
      </c>
      <c r="U10" s="3">
        <v>2.25</v>
      </c>
      <c r="V10" s="3">
        <v>2</v>
      </c>
      <c r="W10" s="3"/>
      <c r="X10" s="3"/>
      <c r="Y10" s="3">
        <f t="shared" si="0"/>
        <v>4.2</v>
      </c>
    </row>
    <row r="11" spans="1:25" x14ac:dyDescent="0.2">
      <c r="A11" s="4" t="s">
        <v>193</v>
      </c>
      <c r="B11" s="4" t="s">
        <v>184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6</v>
      </c>
      <c r="N11" s="4">
        <v>4</v>
      </c>
      <c r="O11" s="4">
        <v>49</v>
      </c>
      <c r="P11" s="4">
        <v>0</v>
      </c>
      <c r="Q11" s="4">
        <v>0</v>
      </c>
      <c r="R11" s="4">
        <v>0</v>
      </c>
      <c r="S11" s="4">
        <v>8.9</v>
      </c>
      <c r="T11" s="4">
        <v>1.44578313253012E-2</v>
      </c>
      <c r="U11" s="4"/>
      <c r="V11" s="4">
        <v>12.25</v>
      </c>
      <c r="W11" s="4"/>
      <c r="X11" s="4"/>
      <c r="Y11" s="4">
        <f t="shared" si="0"/>
        <v>8.9</v>
      </c>
    </row>
    <row r="12" spans="1:25" x14ac:dyDescent="0.2">
      <c r="A12" s="3" t="s">
        <v>194</v>
      </c>
      <c r="B12" s="3" t="s">
        <v>184</v>
      </c>
      <c r="C12" s="3" t="s">
        <v>38</v>
      </c>
      <c r="D12" s="3">
        <v>14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60</v>
      </c>
      <c r="N12" s="3">
        <v>36</v>
      </c>
      <c r="O12" s="3">
        <v>373</v>
      </c>
      <c r="P12" s="3">
        <v>3</v>
      </c>
      <c r="Q12" s="3">
        <v>0</v>
      </c>
      <c r="R12" s="3">
        <v>0</v>
      </c>
      <c r="S12" s="3">
        <v>91.3</v>
      </c>
      <c r="T12" s="3">
        <v>0.14457831325301199</v>
      </c>
      <c r="U12" s="3"/>
      <c r="V12" s="3">
        <v>10.3611111111111</v>
      </c>
      <c r="W12" s="3"/>
      <c r="X12" s="3"/>
      <c r="Y12" s="3">
        <f t="shared" si="0"/>
        <v>91.300000000000011</v>
      </c>
    </row>
    <row r="13" spans="1:25" x14ac:dyDescent="0.2">
      <c r="A13" s="4" t="s">
        <v>195</v>
      </c>
      <c r="B13" s="4" t="s">
        <v>184</v>
      </c>
      <c r="C13" s="4" t="s">
        <v>38</v>
      </c>
      <c r="D13" s="4">
        <v>12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25</v>
      </c>
      <c r="N13" s="4">
        <v>14</v>
      </c>
      <c r="O13" s="4">
        <v>149</v>
      </c>
      <c r="P13" s="4">
        <v>2</v>
      </c>
      <c r="Q13" s="4">
        <v>0</v>
      </c>
      <c r="R13" s="4">
        <v>0</v>
      </c>
      <c r="S13" s="4">
        <v>40.9</v>
      </c>
      <c r="T13" s="4">
        <v>6.02409638554217E-2</v>
      </c>
      <c r="U13" s="4"/>
      <c r="V13" s="4">
        <v>10.6428571428571</v>
      </c>
      <c r="W13" s="4"/>
      <c r="X13" s="4"/>
      <c r="Y13" s="4">
        <f t="shared" si="0"/>
        <v>40.9</v>
      </c>
    </row>
    <row r="14" spans="1:25" x14ac:dyDescent="0.2">
      <c r="A14" s="3" t="s">
        <v>196</v>
      </c>
      <c r="B14" s="3" t="s">
        <v>184</v>
      </c>
      <c r="C14" s="3" t="s">
        <v>38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3</v>
      </c>
      <c r="K14" s="3">
        <v>8</v>
      </c>
      <c r="L14" s="3">
        <v>0</v>
      </c>
      <c r="M14" s="3">
        <v>113</v>
      </c>
      <c r="N14" s="3">
        <v>73</v>
      </c>
      <c r="O14" s="3">
        <v>847</v>
      </c>
      <c r="P14" s="3">
        <v>5</v>
      </c>
      <c r="Q14" s="3">
        <v>0</v>
      </c>
      <c r="R14" s="3">
        <v>0</v>
      </c>
      <c r="S14" s="3">
        <v>190.5</v>
      </c>
      <c r="T14" s="3">
        <v>0.27228915662650599</v>
      </c>
      <c r="U14" s="3">
        <v>2.6666666666666701</v>
      </c>
      <c r="V14" s="3">
        <v>11.6027397260274</v>
      </c>
      <c r="W14" s="3"/>
      <c r="X14" s="3"/>
      <c r="Y14" s="3">
        <f t="shared" si="0"/>
        <v>188.5</v>
      </c>
    </row>
    <row r="15" spans="1:25" x14ac:dyDescent="0.2">
      <c r="A15" s="4" t="s">
        <v>45</v>
      </c>
      <c r="B15" s="4" t="s">
        <v>184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</v>
      </c>
      <c r="K15" s="4">
        <v>1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0.1</v>
      </c>
      <c r="T15" s="4">
        <v>0</v>
      </c>
      <c r="U15" s="4">
        <v>1</v>
      </c>
      <c r="V15" s="4"/>
      <c r="W15" s="4"/>
      <c r="X15" s="4"/>
      <c r="Y15" s="4">
        <f t="shared" si="0"/>
        <v>0.1</v>
      </c>
    </row>
    <row r="16" spans="1:25" x14ac:dyDescent="0.2">
      <c r="A16" s="3" t="s">
        <v>197</v>
      </c>
      <c r="B16" s="3" t="s">
        <v>184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12</v>
      </c>
      <c r="K16" s="3">
        <v>84</v>
      </c>
      <c r="L16" s="3">
        <v>1</v>
      </c>
      <c r="M16" s="3">
        <v>49</v>
      </c>
      <c r="N16" s="3">
        <v>37</v>
      </c>
      <c r="O16" s="3">
        <v>407</v>
      </c>
      <c r="P16" s="3">
        <v>3</v>
      </c>
      <c r="Q16" s="3">
        <v>0</v>
      </c>
      <c r="R16" s="3">
        <v>0</v>
      </c>
      <c r="S16" s="3">
        <v>116.1</v>
      </c>
      <c r="T16" s="3">
        <v>0.118072289156627</v>
      </c>
      <c r="U16" s="3">
        <v>7</v>
      </c>
      <c r="V16" s="3">
        <v>11</v>
      </c>
      <c r="W16" s="3"/>
      <c r="X16" s="3"/>
      <c r="Y16" s="3">
        <f t="shared" si="0"/>
        <v>110.1</v>
      </c>
    </row>
    <row r="17" spans="1:25" x14ac:dyDescent="0.2">
      <c r="A17" s="4" t="s">
        <v>198</v>
      </c>
      <c r="B17" s="4" t="s">
        <v>184</v>
      </c>
      <c r="C17" s="4" t="s">
        <v>43</v>
      </c>
      <c r="D17" s="4">
        <v>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17</v>
      </c>
      <c r="N17" s="4">
        <v>9</v>
      </c>
      <c r="O17" s="4">
        <v>153</v>
      </c>
      <c r="P17" s="4">
        <v>0</v>
      </c>
      <c r="Q17" s="4">
        <v>0</v>
      </c>
      <c r="R17" s="4">
        <v>0</v>
      </c>
      <c r="S17" s="4">
        <v>24.3</v>
      </c>
      <c r="T17" s="4">
        <v>4.09638554216867E-2</v>
      </c>
      <c r="U17" s="4"/>
      <c r="V17" s="4">
        <v>17</v>
      </c>
      <c r="W17" s="4"/>
      <c r="X17" s="4"/>
      <c r="Y17" s="4">
        <f t="shared" si="0"/>
        <v>24.3</v>
      </c>
    </row>
    <row r="18" spans="1:25" x14ac:dyDescent="0.2">
      <c r="A18" s="3" t="s">
        <v>199</v>
      </c>
      <c r="B18" s="3" t="s">
        <v>184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75</v>
      </c>
      <c r="N18" s="3">
        <v>48</v>
      </c>
      <c r="O18" s="3">
        <v>458</v>
      </c>
      <c r="P18" s="3">
        <v>2</v>
      </c>
      <c r="Q18" s="3">
        <v>0</v>
      </c>
      <c r="R18" s="3">
        <v>0</v>
      </c>
      <c r="S18" s="3">
        <v>103.8</v>
      </c>
      <c r="T18" s="3">
        <v>0.180722891566265</v>
      </c>
      <c r="U18" s="3"/>
      <c r="V18" s="3">
        <v>9.5416666666666696</v>
      </c>
      <c r="W18" s="3"/>
      <c r="X18" s="3"/>
      <c r="Y18" s="3">
        <f t="shared" si="0"/>
        <v>105.80000000000001</v>
      </c>
    </row>
    <row r="19" spans="1:25" x14ac:dyDescent="0.2">
      <c r="A19" s="4" t="s">
        <v>200</v>
      </c>
      <c r="B19" s="4" t="s">
        <v>184</v>
      </c>
      <c r="C19" s="4" t="s">
        <v>43</v>
      </c>
      <c r="D19" s="4">
        <v>7</v>
      </c>
      <c r="E19" s="4">
        <v>1</v>
      </c>
      <c r="F19" s="4">
        <v>0</v>
      </c>
      <c r="G19" s="4">
        <v>0</v>
      </c>
      <c r="H19" s="4">
        <v>0</v>
      </c>
      <c r="I19" s="4">
        <v>1</v>
      </c>
      <c r="J19" s="4">
        <v>0</v>
      </c>
      <c r="K19" s="4">
        <v>0</v>
      </c>
      <c r="L19" s="4">
        <v>0</v>
      </c>
      <c r="M19" s="4">
        <v>17</v>
      </c>
      <c r="N19" s="4">
        <v>8</v>
      </c>
      <c r="O19" s="4">
        <v>62</v>
      </c>
      <c r="P19" s="4">
        <v>0</v>
      </c>
      <c r="Q19" s="4">
        <v>0</v>
      </c>
      <c r="R19" s="4">
        <v>0</v>
      </c>
      <c r="S19" s="4">
        <v>12.2</v>
      </c>
      <c r="T19" s="4">
        <v>4.09638554216867E-2</v>
      </c>
      <c r="U19" s="4"/>
      <c r="V19" s="4">
        <v>7.75</v>
      </c>
      <c r="W19" s="4">
        <v>0</v>
      </c>
      <c r="X19" s="4">
        <v>0</v>
      </c>
      <c r="Y19" s="4">
        <f t="shared" si="0"/>
        <v>12.2</v>
      </c>
    </row>
    <row r="20" spans="1:25" x14ac:dyDescent="0.2">
      <c r="A20" s="3" t="s">
        <v>201</v>
      </c>
      <c r="B20" s="3" t="s">
        <v>184</v>
      </c>
      <c r="C20" s="3" t="s">
        <v>43</v>
      </c>
      <c r="D20" s="3">
        <v>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28</v>
      </c>
      <c r="N20" s="3">
        <v>15</v>
      </c>
      <c r="O20" s="3">
        <v>285</v>
      </c>
      <c r="P20" s="3">
        <v>2</v>
      </c>
      <c r="Q20" s="3">
        <v>0</v>
      </c>
      <c r="R20" s="3">
        <v>0</v>
      </c>
      <c r="S20" s="3">
        <v>53.5</v>
      </c>
      <c r="T20" s="3">
        <v>6.7469879518072304E-2</v>
      </c>
      <c r="U20" s="3"/>
      <c r="V20" s="3">
        <v>19</v>
      </c>
      <c r="W20" s="3"/>
      <c r="X20" s="3"/>
      <c r="Y20" s="3">
        <f t="shared" si="0"/>
        <v>55.5</v>
      </c>
    </row>
    <row r="21" spans="1:25" x14ac:dyDescent="0.2">
      <c r="A21" s="4" t="s">
        <v>202</v>
      </c>
      <c r="B21" s="4" t="s">
        <v>184</v>
      </c>
      <c r="C21" s="4" t="s">
        <v>43</v>
      </c>
      <c r="D21" s="4">
        <v>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3</v>
      </c>
      <c r="O21" s="4">
        <v>119</v>
      </c>
      <c r="P21" s="4">
        <v>0</v>
      </c>
      <c r="Q21" s="4">
        <v>0</v>
      </c>
      <c r="R21" s="4">
        <v>0</v>
      </c>
      <c r="S21" s="4">
        <v>12.9</v>
      </c>
      <c r="T21" s="4">
        <v>1.20481927710843E-2</v>
      </c>
      <c r="U21" s="4"/>
      <c r="V21" s="4">
        <v>39.6666666666667</v>
      </c>
      <c r="W21" s="4"/>
      <c r="X21" s="4"/>
      <c r="Y21" s="4">
        <f t="shared" si="0"/>
        <v>14.9</v>
      </c>
    </row>
    <row r="22" spans="1:25" x14ac:dyDescent="0.2">
      <c r="A22" s="3" t="s">
        <v>203</v>
      </c>
      <c r="B22" s="3" t="s">
        <v>184</v>
      </c>
      <c r="C22" s="3" t="s">
        <v>43</v>
      </c>
      <c r="D22" s="3">
        <v>5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7</v>
      </c>
      <c r="N22" s="3">
        <v>4</v>
      </c>
      <c r="O22" s="3">
        <v>33</v>
      </c>
      <c r="P22" s="3">
        <v>0</v>
      </c>
      <c r="Q22" s="3">
        <v>0</v>
      </c>
      <c r="R22" s="3">
        <v>0</v>
      </c>
      <c r="S22" s="3">
        <v>7.3</v>
      </c>
      <c r="T22" s="3">
        <v>1.68674698795181E-2</v>
      </c>
      <c r="U22" s="3"/>
      <c r="V22" s="3">
        <v>8.25</v>
      </c>
      <c r="W22" s="3"/>
      <c r="X22" s="3"/>
      <c r="Y22" s="3">
        <f t="shared" si="0"/>
        <v>7.3000000000000007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184</v>
      </c>
      <c r="B31" s="3">
        <v>5922</v>
      </c>
      <c r="C31" s="3">
        <v>3202</v>
      </c>
      <c r="D31" s="3">
        <v>526</v>
      </c>
      <c r="E31" s="3">
        <v>2720</v>
      </c>
      <c r="F31" s="3">
        <v>14</v>
      </c>
      <c r="G31" s="3">
        <v>1264.28</v>
      </c>
      <c r="H31" s="3">
        <v>488</v>
      </c>
      <c r="I31" s="3">
        <v>0.61475409836065598</v>
      </c>
      <c r="J31" s="3">
        <v>19</v>
      </c>
      <c r="K31" s="3">
        <v>13</v>
      </c>
      <c r="L31" s="3">
        <v>5</v>
      </c>
      <c r="M31" s="3">
        <f ca="1">SUM(INDIRECT(A33 &amp; "_Table1[[#All],[f_custom]]"))</f>
        <v>1262.28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BAL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204</v>
      </c>
      <c r="B36" s="3" t="s">
        <v>26</v>
      </c>
      <c r="C36" s="3">
        <v>25</v>
      </c>
      <c r="D36" s="3">
        <v>1</v>
      </c>
      <c r="E36" s="3" t="s">
        <v>205</v>
      </c>
      <c r="F36" s="3" t="s">
        <v>184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206</v>
      </c>
      <c r="B37" s="4" t="s">
        <v>26</v>
      </c>
      <c r="C37" s="4">
        <v>25</v>
      </c>
      <c r="D37" s="4">
        <v>4</v>
      </c>
      <c r="E37" s="4" t="s">
        <v>207</v>
      </c>
      <c r="F37" s="4" t="s">
        <v>184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39" si="1">($J37*0.04)+($K37*4)+($L37*-2)+($N37*0.1)+($O37*6)+($Q37)+($R37*0.1)+($S37*6)+($T37*-2)</f>
        <v>0</v>
      </c>
      <c r="W37" s="4" t="e">
        <f t="shared" ref="W37:W39" ca="1" si="2">$P37/$H$33</f>
        <v>#DIV/0!</v>
      </c>
      <c r="X37" s="4" t="e">
        <f t="shared" ref="X37:X39" si="3">$N37/$M37</f>
        <v>#DIV/0!</v>
      </c>
      <c r="Y37" s="4" t="e">
        <f t="shared" ref="Y37:Y39" si="4">$R37/$Q37</f>
        <v>#DIV/0!</v>
      </c>
      <c r="Z37" s="4" t="e">
        <f t="shared" ref="Z37:Z39" si="5">$I37/$H37</f>
        <v>#DIV/0!</v>
      </c>
      <c r="AA37" s="4" t="e">
        <f t="shared" ref="AA36:AA39" si="6"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208</v>
      </c>
      <c r="B38" s="3" t="s">
        <v>26</v>
      </c>
      <c r="C38" s="3">
        <v>26</v>
      </c>
      <c r="D38" s="3">
        <v>6</v>
      </c>
      <c r="E38" s="3" t="s">
        <v>209</v>
      </c>
      <c r="F38" s="3" t="s">
        <v>184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1"/>
        <v>0</v>
      </c>
      <c r="W38" s="3" t="e">
        <f t="shared" ca="1" si="2"/>
        <v>#DIV/0!</v>
      </c>
      <c r="X38" s="3" t="e">
        <f t="shared" si="3"/>
        <v>#DIV/0!</v>
      </c>
      <c r="Y38" s="3" t="e">
        <f t="shared" si="4"/>
        <v>#DIV/0!</v>
      </c>
      <c r="Z38" s="3" t="e">
        <f t="shared" si="5"/>
        <v>#DIV/0!</v>
      </c>
      <c r="AA38" s="3" t="e">
        <f t="shared" si="6"/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">
      <c r="A39" s="4" t="s">
        <v>210</v>
      </c>
      <c r="B39" s="4" t="s">
        <v>26</v>
      </c>
      <c r="C39" s="4">
        <v>37</v>
      </c>
      <c r="D39" s="4">
        <v>8</v>
      </c>
      <c r="E39" s="4" t="s">
        <v>211</v>
      </c>
      <c r="F39" s="4" t="s">
        <v>184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 t="shared" si="1"/>
        <v>0</v>
      </c>
      <c r="W39" s="4" t="e">
        <f t="shared" ca="1" si="2"/>
        <v>#DIV/0!</v>
      </c>
      <c r="X39" s="4" t="e">
        <f t="shared" si="3"/>
        <v>#DIV/0!</v>
      </c>
      <c r="Y39" s="4" t="e">
        <f t="shared" si="4"/>
        <v>#DIV/0!</v>
      </c>
      <c r="Z39" s="4" t="e">
        <f t="shared" si="5"/>
        <v>#DIV/0!</v>
      </c>
      <c r="AA39" s="4" t="e">
        <f t="shared" si="6"/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212</v>
      </c>
      <c r="B46" s="3" t="s">
        <v>31</v>
      </c>
      <c r="C46" s="3">
        <v>24</v>
      </c>
      <c r="D46" s="3">
        <v>4</v>
      </c>
      <c r="E46" s="3" t="s">
        <v>213</v>
      </c>
      <c r="F46" s="3" t="s">
        <v>184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7">($J46*0.04)+($K46*4)+($L46*-2)+($N46*0.1)+($O46*6)+($Q46)+($R46*0.1)+($S46*6)+($T46*-2)</f>
        <v>0</v>
      </c>
      <c r="W46" s="3" t="e">
        <f t="shared" ref="W46:W51" ca="1" si="8">$P46/$H$33</f>
        <v>#DIV/0!</v>
      </c>
      <c r="X46" s="3" t="e">
        <f t="shared" ref="X46:X51" si="9">$N46/$M46</f>
        <v>#DIV/0!</v>
      </c>
      <c r="Y46" s="3" t="e">
        <f t="shared" ref="Y46:Y51" si="10">$R46/$Q46</f>
        <v>#DIV/0!</v>
      </c>
      <c r="Z46" s="3" t="e">
        <f t="shared" ref="Z46:Z51" si="11">$I46/$H46</f>
        <v>#DIV/0!</v>
      </c>
      <c r="AA46" s="3" t="e">
        <f t="shared" ref="AA46:AA51" si="12">$K46/$H46</f>
        <v>#DIV/0!</v>
      </c>
      <c r="AB46" s="3">
        <f t="shared" ref="AB46:AB51" si="13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214</v>
      </c>
      <c r="B47" s="4" t="s">
        <v>31</v>
      </c>
      <c r="C47" s="4">
        <v>28</v>
      </c>
      <c r="D47" s="4">
        <v>6</v>
      </c>
      <c r="E47" s="4" t="s">
        <v>215</v>
      </c>
      <c r="F47" s="4" t="s">
        <v>184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7"/>
        <v>0</v>
      </c>
      <c r="W47" s="4" t="e">
        <f t="shared" ca="1" si="8"/>
        <v>#DIV/0!</v>
      </c>
      <c r="X47" s="4" t="e">
        <f t="shared" si="9"/>
        <v>#DIV/0!</v>
      </c>
      <c r="Y47" s="4" t="e">
        <f t="shared" si="10"/>
        <v>#DIV/0!</v>
      </c>
      <c r="Z47" s="4" t="e">
        <f t="shared" si="11"/>
        <v>#DIV/0!</v>
      </c>
      <c r="AA47" s="4" t="e">
        <f t="shared" si="12"/>
        <v>#DIV/0!</v>
      </c>
      <c r="AB47" s="4">
        <f t="shared" si="13"/>
        <v>0</v>
      </c>
    </row>
    <row r="48" spans="1:28" x14ac:dyDescent="0.2">
      <c r="A48" s="3" t="s">
        <v>216</v>
      </c>
      <c r="B48" s="3" t="s">
        <v>31</v>
      </c>
      <c r="C48" s="3">
        <v>30</v>
      </c>
      <c r="D48" s="3">
        <v>9</v>
      </c>
      <c r="E48" s="3" t="s">
        <v>72</v>
      </c>
      <c r="F48" s="3" t="s">
        <v>184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7"/>
        <v>0</v>
      </c>
      <c r="W48" s="3" t="e">
        <f t="shared" ca="1" si="8"/>
        <v>#DIV/0!</v>
      </c>
      <c r="X48" s="3" t="e">
        <f t="shared" si="9"/>
        <v>#DIV/0!</v>
      </c>
      <c r="Y48" s="3" t="e">
        <f t="shared" si="10"/>
        <v>#DIV/0!</v>
      </c>
      <c r="Z48" s="3" t="e">
        <f t="shared" si="11"/>
        <v>#DIV/0!</v>
      </c>
      <c r="AA48" s="3" t="e">
        <f t="shared" si="12"/>
        <v>#DIV/0!</v>
      </c>
      <c r="AB48" s="3">
        <f t="shared" si="13"/>
        <v>0</v>
      </c>
    </row>
    <row r="49" spans="1:28" x14ac:dyDescent="0.2">
      <c r="A49" s="4" t="s">
        <v>217</v>
      </c>
      <c r="B49" s="4" t="s">
        <v>31</v>
      </c>
      <c r="C49" s="4">
        <v>25</v>
      </c>
      <c r="D49" s="4">
        <v>5</v>
      </c>
      <c r="E49" s="4" t="s">
        <v>218</v>
      </c>
      <c r="F49" s="4" t="s">
        <v>184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7"/>
        <v>0</v>
      </c>
      <c r="W49" s="4" t="e">
        <f t="shared" ca="1" si="8"/>
        <v>#DIV/0!</v>
      </c>
      <c r="X49" s="4" t="e">
        <f t="shared" si="9"/>
        <v>#DIV/0!</v>
      </c>
      <c r="Y49" s="4" t="e">
        <f t="shared" si="10"/>
        <v>#DIV/0!</v>
      </c>
      <c r="Z49" s="4" t="e">
        <f t="shared" si="11"/>
        <v>#DIV/0!</v>
      </c>
      <c r="AA49" s="4" t="e">
        <f t="shared" si="12"/>
        <v>#DIV/0!</v>
      </c>
      <c r="AB49" s="4">
        <f t="shared" si="13"/>
        <v>0</v>
      </c>
    </row>
    <row r="50" spans="1:28" x14ac:dyDescent="0.2">
      <c r="A50" s="3" t="s">
        <v>219</v>
      </c>
      <c r="B50" s="3" t="s">
        <v>31</v>
      </c>
      <c r="C50" s="3">
        <v>21</v>
      </c>
      <c r="D50" s="3">
        <v>0</v>
      </c>
      <c r="E50" s="3" t="s">
        <v>220</v>
      </c>
      <c r="F50" s="3" t="s">
        <v>184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7"/>
        <v>0</v>
      </c>
      <c r="W50" s="3" t="e">
        <f t="shared" ca="1" si="8"/>
        <v>#DIV/0!</v>
      </c>
      <c r="X50" s="3" t="e">
        <f t="shared" si="9"/>
        <v>#DIV/0!</v>
      </c>
      <c r="Y50" s="3" t="e">
        <f t="shared" si="10"/>
        <v>#DIV/0!</v>
      </c>
      <c r="Z50" s="3" t="e">
        <f t="shared" si="11"/>
        <v>#DIV/0!</v>
      </c>
      <c r="AA50" s="3" t="e">
        <f t="shared" si="12"/>
        <v>#DIV/0!</v>
      </c>
      <c r="AB50" s="3">
        <f t="shared" si="13"/>
        <v>0</v>
      </c>
    </row>
    <row r="51" spans="1:28" x14ac:dyDescent="0.2">
      <c r="A51" s="4" t="s">
        <v>221</v>
      </c>
      <c r="B51" s="4" t="s">
        <v>31</v>
      </c>
      <c r="C51" s="4">
        <v>24</v>
      </c>
      <c r="D51" s="4">
        <v>0</v>
      </c>
      <c r="E51" s="4" t="s">
        <v>222</v>
      </c>
      <c r="F51" s="4" t="s">
        <v>184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7"/>
        <v>0</v>
      </c>
      <c r="W51" s="4" t="e">
        <f t="shared" ca="1" si="8"/>
        <v>#DIV/0!</v>
      </c>
      <c r="X51" s="4" t="e">
        <f t="shared" si="9"/>
        <v>#DIV/0!</v>
      </c>
      <c r="Y51" s="4" t="e">
        <f t="shared" si="10"/>
        <v>#DIV/0!</v>
      </c>
      <c r="Z51" s="4" t="e">
        <f t="shared" si="11"/>
        <v>#DIV/0!</v>
      </c>
      <c r="AA51" s="4" t="e">
        <f>$K51/$H51</f>
        <v>#DIV/0!</v>
      </c>
      <c r="AB51" s="4">
        <f t="shared" si="13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223</v>
      </c>
      <c r="B61" s="3" t="s">
        <v>43</v>
      </c>
      <c r="C61" s="3">
        <v>30</v>
      </c>
      <c r="D61" s="3">
        <v>9</v>
      </c>
      <c r="E61" s="3" t="s">
        <v>78</v>
      </c>
      <c r="F61" s="3" t="s">
        <v>184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4">($J61*0.04)+($K61*4)+($L61*-2)+($N61*0.1)+($O61*6)+($Q61)+($R61*0.1)+($S61*6)+($T61*-2)</f>
        <v>0</v>
      </c>
      <c r="W61" s="3" t="e">
        <f t="shared" ref="W61:W72" ca="1" si="15">$P61/$H$33</f>
        <v>#DIV/0!</v>
      </c>
      <c r="X61" s="3" t="e">
        <f t="shared" ref="X61:X72" si="16">$N61/$M61</f>
        <v>#DIV/0!</v>
      </c>
      <c r="Y61" s="3" t="e">
        <f t="shared" ref="Y61:Y72" si="17">$R61/$Q61</f>
        <v>#DIV/0!</v>
      </c>
      <c r="Z61" s="3" t="e">
        <f t="shared" ref="Z61:Z72" si="18">$I61/$H61</f>
        <v>#DIV/0!</v>
      </c>
      <c r="AA61" s="3" t="e">
        <f t="shared" ref="AA61:AA72" si="19">$J61/$H61</f>
        <v>#DIV/0!</v>
      </c>
      <c r="AB61" s="3">
        <f t="shared" ref="AB61:AB72" si="20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224</v>
      </c>
      <c r="B62" s="4" t="s">
        <v>43</v>
      </c>
      <c r="C62" s="4">
        <v>23</v>
      </c>
      <c r="D62" s="4">
        <v>3</v>
      </c>
      <c r="E62" s="4" t="s">
        <v>225</v>
      </c>
      <c r="F62" s="4" t="s">
        <v>184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4"/>
        <v>0</v>
      </c>
      <c r="W62" s="4" t="e">
        <f t="shared" ca="1" si="15"/>
        <v>#DIV/0!</v>
      </c>
      <c r="X62" s="4" t="e">
        <f t="shared" si="16"/>
        <v>#DIV/0!</v>
      </c>
      <c r="Y62" s="4" t="e">
        <f t="shared" si="17"/>
        <v>#DIV/0!</v>
      </c>
      <c r="Z62" s="4" t="e">
        <f t="shared" si="18"/>
        <v>#DIV/0!</v>
      </c>
      <c r="AA62" s="4" t="e">
        <f t="shared" si="19"/>
        <v>#DIV/0!</v>
      </c>
      <c r="AB62" s="4">
        <f t="shared" si="20"/>
        <v>0</v>
      </c>
    </row>
    <row r="63" spans="1:28" x14ac:dyDescent="0.2">
      <c r="A63" s="3" t="s">
        <v>226</v>
      </c>
      <c r="B63" s="3" t="s">
        <v>43</v>
      </c>
      <c r="C63" s="3">
        <v>30</v>
      </c>
      <c r="D63" s="3">
        <v>9</v>
      </c>
      <c r="E63" s="3" t="s">
        <v>227</v>
      </c>
      <c r="F63" s="3" t="s">
        <v>184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4"/>
        <v>0</v>
      </c>
      <c r="W63" s="3" t="e">
        <f t="shared" ca="1" si="15"/>
        <v>#DIV/0!</v>
      </c>
      <c r="X63" s="3" t="e">
        <f t="shared" si="16"/>
        <v>#DIV/0!</v>
      </c>
      <c r="Y63" s="3" t="e">
        <f t="shared" si="17"/>
        <v>#DIV/0!</v>
      </c>
      <c r="Z63" s="3" t="e">
        <f t="shared" si="18"/>
        <v>#DIV/0!</v>
      </c>
      <c r="AA63" s="3" t="e">
        <f t="shared" si="19"/>
        <v>#DIV/0!</v>
      </c>
      <c r="AB63" s="3">
        <f t="shared" si="20"/>
        <v>0</v>
      </c>
    </row>
    <row r="64" spans="1:28" x14ac:dyDescent="0.2">
      <c r="A64" s="4" t="s">
        <v>228</v>
      </c>
      <c r="B64" s="4" t="s">
        <v>43</v>
      </c>
      <c r="C64" s="4">
        <v>25</v>
      </c>
      <c r="D64" s="4">
        <v>1</v>
      </c>
      <c r="E64" s="4" t="s">
        <v>66</v>
      </c>
      <c r="F64" s="4" t="s">
        <v>184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4"/>
        <v>0</v>
      </c>
      <c r="W64" s="4" t="e">
        <f t="shared" ca="1" si="15"/>
        <v>#DIV/0!</v>
      </c>
      <c r="X64" s="4" t="e">
        <f t="shared" si="16"/>
        <v>#DIV/0!</v>
      </c>
      <c r="Y64" s="4" t="e">
        <f t="shared" si="17"/>
        <v>#DIV/0!</v>
      </c>
      <c r="Z64" s="4" t="e">
        <f t="shared" si="18"/>
        <v>#DIV/0!</v>
      </c>
      <c r="AA64" s="4" t="e">
        <f t="shared" si="19"/>
        <v>#DIV/0!</v>
      </c>
      <c r="AB64" s="4">
        <f t="shared" si="20"/>
        <v>0</v>
      </c>
    </row>
    <row r="65" spans="1:28" x14ac:dyDescent="0.2">
      <c r="A65" s="3" t="s">
        <v>229</v>
      </c>
      <c r="B65" s="3" t="s">
        <v>43</v>
      </c>
      <c r="C65" s="3">
        <v>25</v>
      </c>
      <c r="D65" s="3">
        <v>1</v>
      </c>
      <c r="E65" s="3" t="s">
        <v>230</v>
      </c>
      <c r="F65" s="3" t="s">
        <v>184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4"/>
        <v>0</v>
      </c>
      <c r="W65" s="3" t="e">
        <f t="shared" ca="1" si="15"/>
        <v>#DIV/0!</v>
      </c>
      <c r="X65" s="3" t="e">
        <f t="shared" si="16"/>
        <v>#DIV/0!</v>
      </c>
      <c r="Y65" s="3" t="e">
        <f t="shared" si="17"/>
        <v>#DIV/0!</v>
      </c>
      <c r="Z65" s="3" t="e">
        <f t="shared" si="18"/>
        <v>#DIV/0!</v>
      </c>
      <c r="AA65" s="3" t="e">
        <f t="shared" si="19"/>
        <v>#DIV/0!</v>
      </c>
      <c r="AB65" s="3">
        <f t="shared" si="20"/>
        <v>0</v>
      </c>
    </row>
    <row r="66" spans="1:28" x14ac:dyDescent="0.2">
      <c r="A66" s="4" t="s">
        <v>231</v>
      </c>
      <c r="B66" s="4" t="s">
        <v>43</v>
      </c>
      <c r="C66" s="4">
        <v>22</v>
      </c>
      <c r="D66" s="4">
        <v>0</v>
      </c>
      <c r="E66" s="4" t="s">
        <v>232</v>
      </c>
      <c r="F66" s="4" t="s">
        <v>184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4"/>
        <v>0</v>
      </c>
      <c r="W66" s="4" t="e">
        <f t="shared" ca="1" si="15"/>
        <v>#DIV/0!</v>
      </c>
      <c r="X66" s="4" t="e">
        <f t="shared" si="16"/>
        <v>#DIV/0!</v>
      </c>
      <c r="Y66" s="4" t="e">
        <f t="shared" si="17"/>
        <v>#DIV/0!</v>
      </c>
      <c r="Z66" s="4" t="e">
        <f t="shared" si="18"/>
        <v>#DIV/0!</v>
      </c>
      <c r="AA66" s="4" t="e">
        <f t="shared" si="19"/>
        <v>#DIV/0!</v>
      </c>
      <c r="AB66" s="4">
        <f t="shared" si="20"/>
        <v>0</v>
      </c>
    </row>
    <row r="67" spans="1:28" x14ac:dyDescent="0.2">
      <c r="A67" s="3" t="s">
        <v>233</v>
      </c>
      <c r="B67" s="3" t="s">
        <v>43</v>
      </c>
      <c r="C67" s="3">
        <v>25</v>
      </c>
      <c r="D67" s="3">
        <v>4</v>
      </c>
      <c r="E67" s="3" t="s">
        <v>66</v>
      </c>
      <c r="F67" s="3" t="s">
        <v>184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4"/>
        <v>0</v>
      </c>
      <c r="W67" s="3" t="e">
        <f t="shared" ca="1" si="15"/>
        <v>#DIV/0!</v>
      </c>
      <c r="X67" s="3" t="e">
        <f t="shared" si="16"/>
        <v>#DIV/0!</v>
      </c>
      <c r="Y67" s="3" t="e">
        <f t="shared" si="17"/>
        <v>#DIV/0!</v>
      </c>
      <c r="Z67" s="3" t="e">
        <f t="shared" si="18"/>
        <v>#DIV/0!</v>
      </c>
      <c r="AA67" s="3" t="e">
        <f t="shared" si="19"/>
        <v>#DIV/0!</v>
      </c>
      <c r="AB67" s="3">
        <f t="shared" si="20"/>
        <v>0</v>
      </c>
    </row>
    <row r="68" spans="1:28" x14ac:dyDescent="0.2">
      <c r="A68" s="4" t="s">
        <v>234</v>
      </c>
      <c r="B68" s="4" t="s">
        <v>43</v>
      </c>
      <c r="C68" s="4">
        <v>22</v>
      </c>
      <c r="D68" s="4">
        <v>0</v>
      </c>
      <c r="E68" s="4" t="s">
        <v>235</v>
      </c>
      <c r="F68" s="4" t="s">
        <v>184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4"/>
        <v>0</v>
      </c>
      <c r="W68" s="4" t="e">
        <f t="shared" ca="1" si="15"/>
        <v>#DIV/0!</v>
      </c>
      <c r="X68" s="4" t="e">
        <f t="shared" si="16"/>
        <v>#DIV/0!</v>
      </c>
      <c r="Y68" s="4" t="e">
        <f t="shared" si="17"/>
        <v>#DIV/0!</v>
      </c>
      <c r="Z68" s="4" t="e">
        <f t="shared" si="18"/>
        <v>#DIV/0!</v>
      </c>
      <c r="AA68" s="4" t="e">
        <f t="shared" si="19"/>
        <v>#DIV/0!</v>
      </c>
      <c r="AB68" s="4">
        <f t="shared" si="20"/>
        <v>0</v>
      </c>
    </row>
    <row r="69" spans="1:28" x14ac:dyDescent="0.2">
      <c r="A69" s="3" t="s">
        <v>236</v>
      </c>
      <c r="B69" s="3" t="s">
        <v>43</v>
      </c>
      <c r="C69" s="3">
        <v>26</v>
      </c>
      <c r="D69" s="3">
        <v>4</v>
      </c>
      <c r="E69" s="3" t="s">
        <v>237</v>
      </c>
      <c r="F69" s="3" t="s">
        <v>184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4"/>
        <v>0</v>
      </c>
      <c r="W69" s="3" t="e">
        <f t="shared" ca="1" si="15"/>
        <v>#DIV/0!</v>
      </c>
      <c r="X69" s="3" t="e">
        <f t="shared" si="16"/>
        <v>#DIV/0!</v>
      </c>
      <c r="Y69" s="3" t="e">
        <f t="shared" si="17"/>
        <v>#DIV/0!</v>
      </c>
      <c r="Z69" s="3" t="e">
        <f t="shared" si="18"/>
        <v>#DIV/0!</v>
      </c>
      <c r="AA69" s="3" t="e">
        <f t="shared" si="19"/>
        <v>#DIV/0!</v>
      </c>
      <c r="AB69" s="3">
        <f t="shared" si="20"/>
        <v>0</v>
      </c>
    </row>
    <row r="70" spans="1:28" x14ac:dyDescent="0.2">
      <c r="A70" s="4" t="s">
        <v>238</v>
      </c>
      <c r="B70" s="4" t="s">
        <v>43</v>
      </c>
      <c r="C70" s="4">
        <v>24</v>
      </c>
      <c r="D70" s="4">
        <v>0</v>
      </c>
      <c r="E70" s="4" t="s">
        <v>215</v>
      </c>
      <c r="F70" s="4" t="s">
        <v>184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4"/>
        <v>0</v>
      </c>
      <c r="W70" s="4" t="e">
        <f t="shared" ca="1" si="15"/>
        <v>#DIV/0!</v>
      </c>
      <c r="X70" s="4" t="e">
        <f t="shared" si="16"/>
        <v>#DIV/0!</v>
      </c>
      <c r="Y70" s="4" t="e">
        <f t="shared" si="17"/>
        <v>#DIV/0!</v>
      </c>
      <c r="Z70" s="4" t="e">
        <f t="shared" si="18"/>
        <v>#DIV/0!</v>
      </c>
      <c r="AA70" s="4" t="e">
        <f t="shared" si="19"/>
        <v>#DIV/0!</v>
      </c>
      <c r="AB70" s="4">
        <f t="shared" si="20"/>
        <v>0</v>
      </c>
    </row>
    <row r="71" spans="1:28" x14ac:dyDescent="0.2">
      <c r="A71" s="3" t="s">
        <v>239</v>
      </c>
      <c r="B71" s="3" t="s">
        <v>43</v>
      </c>
      <c r="C71" s="3">
        <v>28</v>
      </c>
      <c r="D71" s="3">
        <v>5</v>
      </c>
      <c r="E71" s="3" t="s">
        <v>240</v>
      </c>
      <c r="F71" s="3" t="s">
        <v>184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4"/>
        <v>0</v>
      </c>
      <c r="W71" s="3" t="e">
        <f t="shared" ca="1" si="15"/>
        <v>#DIV/0!</v>
      </c>
      <c r="X71" s="3" t="e">
        <f t="shared" si="16"/>
        <v>#DIV/0!</v>
      </c>
      <c r="Y71" s="3" t="e">
        <f t="shared" si="17"/>
        <v>#DIV/0!</v>
      </c>
      <c r="Z71" s="3" t="e">
        <f t="shared" si="18"/>
        <v>#DIV/0!</v>
      </c>
      <c r="AA71" s="3" t="e">
        <f t="shared" si="19"/>
        <v>#DIV/0!</v>
      </c>
      <c r="AB71" s="3">
        <f t="shared" si="20"/>
        <v>0</v>
      </c>
    </row>
    <row r="72" spans="1:28" x14ac:dyDescent="0.2">
      <c r="A72" s="4" t="s">
        <v>241</v>
      </c>
      <c r="B72" s="4" t="s">
        <v>43</v>
      </c>
      <c r="C72" s="4">
        <v>24</v>
      </c>
      <c r="D72" s="4">
        <v>3</v>
      </c>
      <c r="E72" s="4" t="s">
        <v>218</v>
      </c>
      <c r="F72" s="4" t="s">
        <v>184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4"/>
        <v>0</v>
      </c>
      <c r="W72" s="4" t="e">
        <f t="shared" ca="1" si="15"/>
        <v>#DIV/0!</v>
      </c>
      <c r="X72" s="4" t="e">
        <f t="shared" si="16"/>
        <v>#DIV/0!</v>
      </c>
      <c r="Y72" s="4" t="e">
        <f t="shared" si="17"/>
        <v>#DIV/0!</v>
      </c>
      <c r="Z72" s="4" t="e">
        <f t="shared" si="18"/>
        <v>#DIV/0!</v>
      </c>
      <c r="AA72" s="4" t="e">
        <f t="shared" si="19"/>
        <v>#DIV/0!</v>
      </c>
      <c r="AB72" s="4">
        <f t="shared" si="20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242</v>
      </c>
      <c r="B76" s="3" t="s">
        <v>38</v>
      </c>
      <c r="C76" s="3">
        <v>27</v>
      </c>
      <c r="D76" s="3">
        <v>6</v>
      </c>
      <c r="E76" s="3" t="s">
        <v>68</v>
      </c>
      <c r="F76" s="3" t="s">
        <v>184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79" si="21">($J76*0.04)+($K76*4)+($L76*-2)+($N76*0.1)+($O76*6)+($Q76)+($R76*0.1)+($S76*6)+($T76*-2)</f>
        <v>0</v>
      </c>
      <c r="W76" s="3" t="e">
        <f t="shared" ref="W76:W79" ca="1" si="22">$P76/$H$33</f>
        <v>#DIV/0!</v>
      </c>
      <c r="X76" s="3" t="e">
        <f t="shared" ref="X76:X79" si="23">$N76/$M76</f>
        <v>#DIV/0!</v>
      </c>
      <c r="Y76" s="3" t="e">
        <f t="shared" ref="Y76:Y79" si="24">$R76/$Q76</f>
        <v>#DIV/0!</v>
      </c>
      <c r="Z76" s="3" t="e">
        <f t="shared" ref="Z76:Z79" si="25">$I76/$H76</f>
        <v>#DIV/0!</v>
      </c>
      <c r="AA76" s="3" t="e">
        <f t="shared" ref="AA76:AA79" si="26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">
      <c r="A77" s="4" t="s">
        <v>243</v>
      </c>
      <c r="B77" s="4" t="s">
        <v>38</v>
      </c>
      <c r="C77" s="4">
        <v>24</v>
      </c>
      <c r="D77" s="4">
        <v>2</v>
      </c>
      <c r="E77" s="4" t="s">
        <v>244</v>
      </c>
      <c r="F77" s="4" t="s">
        <v>184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21"/>
        <v>0</v>
      </c>
      <c r="W77" s="4" t="e">
        <f t="shared" ca="1" si="22"/>
        <v>#DIV/0!</v>
      </c>
      <c r="X77" s="4" t="e">
        <f t="shared" si="23"/>
        <v>#DIV/0!</v>
      </c>
      <c r="Y77" s="4" t="e">
        <f t="shared" si="24"/>
        <v>#DIV/0!</v>
      </c>
      <c r="Z77" s="4" t="e">
        <f t="shared" si="25"/>
        <v>#DIV/0!</v>
      </c>
      <c r="AA77" s="4" t="e">
        <f t="shared" si="26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">
      <c r="A78" s="3" t="s">
        <v>245</v>
      </c>
      <c r="B78" s="3" t="s">
        <v>38</v>
      </c>
      <c r="C78" s="3">
        <v>23</v>
      </c>
      <c r="D78" s="3">
        <v>2</v>
      </c>
      <c r="E78" s="3" t="s">
        <v>246</v>
      </c>
      <c r="F78" s="3" t="s">
        <v>184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1"/>
        <v>0</v>
      </c>
      <c r="W78" s="3" t="e">
        <f t="shared" ca="1" si="22"/>
        <v>#DIV/0!</v>
      </c>
      <c r="X78" s="3" t="e">
        <f t="shared" si="23"/>
        <v>#DIV/0!</v>
      </c>
      <c r="Y78" s="3" t="e">
        <f t="shared" si="24"/>
        <v>#DIV/0!</v>
      </c>
      <c r="Z78" s="3" t="e">
        <f t="shared" si="25"/>
        <v>#DIV/0!</v>
      </c>
      <c r="AA78" s="3" t="e">
        <f t="shared" si="26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">
      <c r="A79" s="4" t="s">
        <v>247</v>
      </c>
      <c r="B79" s="4" t="s">
        <v>38</v>
      </c>
      <c r="C79" s="4">
        <v>25</v>
      </c>
      <c r="D79" s="4">
        <v>0</v>
      </c>
      <c r="E79" s="4" t="s">
        <v>248</v>
      </c>
      <c r="F79" s="4" t="s">
        <v>184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1"/>
        <v>0</v>
      </c>
      <c r="W79" s="4" t="e">
        <f t="shared" ca="1" si="22"/>
        <v>#DIV/0!</v>
      </c>
      <c r="X79" s="4" t="e">
        <f t="shared" si="23"/>
        <v>#DIV/0!</v>
      </c>
      <c r="Y79" s="4" t="e">
        <f t="shared" si="24"/>
        <v>#DIV/0!</v>
      </c>
      <c r="Z79" s="4" t="e">
        <f t="shared" si="25"/>
        <v>#DIV/0!</v>
      </c>
      <c r="AA79" s="4" t="e">
        <f t="shared" si="26"/>
        <v>#DIV/0!</v>
      </c>
      <c r="AB79" s="4">
        <f>($J79*Cp_yd)+($K79*Cp_td)+($L79*Cint)+($M79*Ccar)+($N79*Cr_yd)+($O79*Cr_td)+(Q79*Crec)+($R79*Crec_yd)+($S79*Crec_td)+($T79*Cfmb)+($U79*Ctp_c)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B80"/>
  <sheetViews>
    <sheetView zoomScale="90" zoomScaleNormal="90" workbookViewId="0">
      <selection activeCell="A23" sqref="A23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249</v>
      </c>
      <c r="B2" s="3" t="s">
        <v>250</v>
      </c>
      <c r="C2" s="3" t="s">
        <v>115</v>
      </c>
      <c r="D2" s="3">
        <v>4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10</v>
      </c>
      <c r="N2" s="3">
        <v>8</v>
      </c>
      <c r="O2" s="3">
        <v>69</v>
      </c>
      <c r="P2" s="3">
        <v>1</v>
      </c>
      <c r="Q2" s="3">
        <v>0</v>
      </c>
      <c r="R2" s="3">
        <v>0</v>
      </c>
      <c r="S2" s="3">
        <v>20.9</v>
      </c>
      <c r="T2" s="3">
        <v>2.0491803278688499E-2</v>
      </c>
      <c r="U2" s="3"/>
      <c r="V2" s="3">
        <v>8.625</v>
      </c>
      <c r="W2" s="3"/>
      <c r="X2" s="3"/>
      <c r="Y2" s="3">
        <f t="shared" ref="Y2:Y22" si="0">($G2*Cp_yd)+($H2*Cp_td)+($I2*Cint)+($J2*Ccar)+($K2*Cr_yd)+($L2*Cr_td)+($N2*Crec)+($O2*Crec_yd)+($P2*Crec_td)+($Q2*Cfmb)+($R2*Ctp_c)</f>
        <v>20.9</v>
      </c>
    </row>
    <row r="3" spans="1:25" x14ac:dyDescent="0.2">
      <c r="A3" s="4" t="s">
        <v>251</v>
      </c>
      <c r="B3" s="4" t="s">
        <v>250</v>
      </c>
      <c r="C3" s="4" t="s">
        <v>26</v>
      </c>
      <c r="D3" s="4">
        <v>2</v>
      </c>
      <c r="E3" s="4">
        <v>7</v>
      </c>
      <c r="F3" s="4">
        <v>2</v>
      </c>
      <c r="G3" s="4">
        <v>8</v>
      </c>
      <c r="H3" s="4">
        <v>0</v>
      </c>
      <c r="I3" s="4">
        <v>0</v>
      </c>
      <c r="J3" s="4">
        <v>5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0.32</v>
      </c>
      <c r="T3" s="4">
        <v>0</v>
      </c>
      <c r="U3" s="4">
        <v>0</v>
      </c>
      <c r="V3" s="4"/>
      <c r="W3" s="4">
        <v>0.28571428571428598</v>
      </c>
      <c r="X3" s="4">
        <v>0</v>
      </c>
      <c r="Y3" s="4">
        <f t="shared" si="0"/>
        <v>0.32</v>
      </c>
    </row>
    <row r="4" spans="1:25" x14ac:dyDescent="0.2">
      <c r="A4" s="3" t="s">
        <v>252</v>
      </c>
      <c r="B4" s="3" t="s">
        <v>250</v>
      </c>
      <c r="C4" s="3" t="s">
        <v>26</v>
      </c>
      <c r="D4" s="3">
        <v>16</v>
      </c>
      <c r="E4" s="3">
        <v>567</v>
      </c>
      <c r="F4" s="3">
        <v>359</v>
      </c>
      <c r="G4" s="3">
        <v>4283</v>
      </c>
      <c r="H4" s="3">
        <v>35</v>
      </c>
      <c r="I4" s="3">
        <v>14</v>
      </c>
      <c r="J4" s="3">
        <v>124</v>
      </c>
      <c r="K4" s="3">
        <v>762</v>
      </c>
      <c r="L4" s="3">
        <v>7</v>
      </c>
      <c r="M4" s="3">
        <v>0</v>
      </c>
      <c r="N4" s="3">
        <v>0</v>
      </c>
      <c r="O4" s="3">
        <v>0</v>
      </c>
      <c r="P4" s="3">
        <v>0</v>
      </c>
      <c r="Q4" s="3">
        <v>5</v>
      </c>
      <c r="R4" s="3">
        <v>2</v>
      </c>
      <c r="S4" s="3">
        <v>395.52</v>
      </c>
      <c r="T4" s="3">
        <v>0</v>
      </c>
      <c r="U4" s="3">
        <v>6.1451612903225801</v>
      </c>
      <c r="V4" s="3"/>
      <c r="W4" s="3">
        <v>0.63315696649029996</v>
      </c>
      <c r="X4" s="3">
        <v>6.1728395061728399E-2</v>
      </c>
      <c r="Y4" s="3">
        <f t="shared" si="0"/>
        <v>395.52</v>
      </c>
    </row>
    <row r="5" spans="1:25" x14ac:dyDescent="0.2">
      <c r="A5" s="4" t="s">
        <v>253</v>
      </c>
      <c r="B5" s="4" t="s">
        <v>250</v>
      </c>
      <c r="C5" s="4" t="s">
        <v>31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</v>
      </c>
      <c r="K5" s="4">
        <v>4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0.4</v>
      </c>
      <c r="T5" s="4">
        <v>0</v>
      </c>
      <c r="U5" s="4">
        <v>2</v>
      </c>
      <c r="V5" s="4"/>
      <c r="W5" s="4"/>
      <c r="X5" s="4"/>
      <c r="Y5" s="4">
        <f t="shared" si="0"/>
        <v>0.4</v>
      </c>
    </row>
    <row r="6" spans="1:25" x14ac:dyDescent="0.2">
      <c r="A6" s="3" t="s">
        <v>254</v>
      </c>
      <c r="B6" s="3" t="s">
        <v>250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177</v>
      </c>
      <c r="K6" s="3">
        <v>819</v>
      </c>
      <c r="L6" s="3">
        <v>5</v>
      </c>
      <c r="M6" s="3">
        <v>52</v>
      </c>
      <c r="N6" s="3">
        <v>38</v>
      </c>
      <c r="O6" s="3">
        <v>280</v>
      </c>
      <c r="P6" s="3">
        <v>1</v>
      </c>
      <c r="Q6" s="3">
        <v>3</v>
      </c>
      <c r="R6" s="3">
        <v>0</v>
      </c>
      <c r="S6" s="3">
        <v>177.9</v>
      </c>
      <c r="T6" s="3">
        <v>0.10655737704918</v>
      </c>
      <c r="U6" s="3">
        <v>4.6271186440678003</v>
      </c>
      <c r="V6" s="3">
        <v>7.3684210526315796</v>
      </c>
      <c r="W6" s="3"/>
      <c r="X6" s="3"/>
      <c r="Y6" s="3">
        <f t="shared" si="0"/>
        <v>177.9</v>
      </c>
    </row>
    <row r="7" spans="1:25" x14ac:dyDescent="0.2">
      <c r="A7" s="4" t="s">
        <v>255</v>
      </c>
      <c r="B7" s="4" t="s">
        <v>250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89</v>
      </c>
      <c r="K7" s="4">
        <v>507</v>
      </c>
      <c r="L7" s="4">
        <v>2</v>
      </c>
      <c r="M7" s="4">
        <v>32</v>
      </c>
      <c r="N7" s="4">
        <v>21</v>
      </c>
      <c r="O7" s="4">
        <v>180</v>
      </c>
      <c r="P7" s="4">
        <v>1</v>
      </c>
      <c r="Q7" s="4">
        <v>1</v>
      </c>
      <c r="R7" s="4">
        <v>0</v>
      </c>
      <c r="S7" s="4">
        <v>105.7</v>
      </c>
      <c r="T7" s="4">
        <v>6.5573770491803296E-2</v>
      </c>
      <c r="U7" s="4">
        <v>5.69662921348315</v>
      </c>
      <c r="V7" s="4">
        <v>8.5714285714285694</v>
      </c>
      <c r="W7" s="4"/>
      <c r="X7" s="4"/>
      <c r="Y7" s="4">
        <f t="shared" si="0"/>
        <v>105.7</v>
      </c>
    </row>
    <row r="8" spans="1:25" x14ac:dyDescent="0.2">
      <c r="A8" s="3" t="s">
        <v>256</v>
      </c>
      <c r="B8" s="3" t="s">
        <v>250</v>
      </c>
      <c r="C8" s="3" t="s">
        <v>31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6</v>
      </c>
      <c r="K8" s="3">
        <v>-3</v>
      </c>
      <c r="L8" s="3">
        <v>0</v>
      </c>
      <c r="M8" s="3">
        <v>9</v>
      </c>
      <c r="N8" s="3">
        <v>5</v>
      </c>
      <c r="O8" s="3">
        <v>53</v>
      </c>
      <c r="P8" s="3">
        <v>1</v>
      </c>
      <c r="Q8" s="3">
        <v>0</v>
      </c>
      <c r="R8" s="3">
        <v>0</v>
      </c>
      <c r="S8" s="3">
        <v>28</v>
      </c>
      <c r="T8" s="3">
        <v>1.84426229508197E-2</v>
      </c>
      <c r="U8" s="3">
        <v>-0.5</v>
      </c>
      <c r="V8" s="3">
        <v>10.6</v>
      </c>
      <c r="W8" s="3"/>
      <c r="X8" s="3"/>
      <c r="Y8" s="3">
        <f t="shared" si="0"/>
        <v>16</v>
      </c>
    </row>
    <row r="9" spans="1:25" x14ac:dyDescent="0.2">
      <c r="A9" s="4" t="s">
        <v>257</v>
      </c>
      <c r="B9" s="4" t="s">
        <v>250</v>
      </c>
      <c r="C9" s="4" t="s">
        <v>31</v>
      </c>
      <c r="D9" s="4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17</v>
      </c>
      <c r="K9" s="4">
        <v>91</v>
      </c>
      <c r="L9" s="4">
        <v>0</v>
      </c>
      <c r="M9" s="4">
        <v>8</v>
      </c>
      <c r="N9" s="4">
        <v>7</v>
      </c>
      <c r="O9" s="4">
        <v>27</v>
      </c>
      <c r="P9" s="4">
        <v>0</v>
      </c>
      <c r="Q9" s="4">
        <v>1</v>
      </c>
      <c r="R9" s="4">
        <v>0</v>
      </c>
      <c r="S9" s="4">
        <v>16.8</v>
      </c>
      <c r="T9" s="4">
        <v>1.63934426229508E-2</v>
      </c>
      <c r="U9" s="4">
        <v>5.3529411764705896</v>
      </c>
      <c r="V9" s="4">
        <v>3.8571428571428599</v>
      </c>
      <c r="W9" s="4"/>
      <c r="X9" s="4"/>
      <c r="Y9" s="4">
        <f t="shared" si="0"/>
        <v>16.8</v>
      </c>
    </row>
    <row r="10" spans="1:25" x14ac:dyDescent="0.2">
      <c r="A10" s="3" t="s">
        <v>258</v>
      </c>
      <c r="B10" s="3" t="s">
        <v>250</v>
      </c>
      <c r="C10" s="3" t="s">
        <v>38</v>
      </c>
      <c r="D10" s="3">
        <v>15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65</v>
      </c>
      <c r="N10" s="3">
        <v>48</v>
      </c>
      <c r="O10" s="3">
        <v>517</v>
      </c>
      <c r="P10" s="3">
        <v>6</v>
      </c>
      <c r="Q10" s="3">
        <v>0</v>
      </c>
      <c r="R10" s="3">
        <v>0</v>
      </c>
      <c r="S10" s="3">
        <v>135.69999999999999</v>
      </c>
      <c r="T10" s="3">
        <v>0.133196721311475</v>
      </c>
      <c r="U10" s="3"/>
      <c r="V10" s="3">
        <v>10.7708333333333</v>
      </c>
      <c r="W10" s="3"/>
      <c r="X10" s="3"/>
      <c r="Y10" s="3">
        <f t="shared" si="0"/>
        <v>135.69999999999999</v>
      </c>
    </row>
    <row r="11" spans="1:25" x14ac:dyDescent="0.2">
      <c r="A11" s="4" t="s">
        <v>259</v>
      </c>
      <c r="B11" s="4" t="s">
        <v>250</v>
      </c>
      <c r="C11" s="4" t="s">
        <v>38</v>
      </c>
      <c r="D11" s="4">
        <v>6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11</v>
      </c>
      <c r="N11" s="4">
        <v>8</v>
      </c>
      <c r="O11" s="4">
        <v>84</v>
      </c>
      <c r="P11" s="4">
        <v>1</v>
      </c>
      <c r="Q11" s="4">
        <v>0</v>
      </c>
      <c r="R11" s="4">
        <v>0</v>
      </c>
      <c r="S11" s="4">
        <v>20.399999999999999</v>
      </c>
      <c r="T11" s="4">
        <v>2.2540983606557399E-2</v>
      </c>
      <c r="U11" s="4"/>
      <c r="V11" s="4">
        <v>10.5</v>
      </c>
      <c r="W11" s="4"/>
      <c r="X11" s="4"/>
      <c r="Y11" s="4">
        <f t="shared" si="0"/>
        <v>22.4</v>
      </c>
    </row>
    <row r="12" spans="1:25" x14ac:dyDescent="0.2">
      <c r="A12" s="3" t="s">
        <v>260</v>
      </c>
      <c r="B12" s="3" t="s">
        <v>250</v>
      </c>
      <c r="C12" s="3" t="s">
        <v>38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1</v>
      </c>
      <c r="O12" s="3">
        <v>7</v>
      </c>
      <c r="P12" s="3">
        <v>0</v>
      </c>
      <c r="Q12" s="3">
        <v>0</v>
      </c>
      <c r="R12" s="3">
        <v>0</v>
      </c>
      <c r="S12" s="3">
        <v>1.7</v>
      </c>
      <c r="T12" s="3">
        <v>2.04918032786885E-3</v>
      </c>
      <c r="U12" s="3"/>
      <c r="V12" s="3">
        <v>7</v>
      </c>
      <c r="W12" s="3"/>
      <c r="X12" s="3"/>
      <c r="Y12" s="3">
        <f t="shared" si="0"/>
        <v>1.7000000000000002</v>
      </c>
    </row>
    <row r="13" spans="1:25" x14ac:dyDescent="0.2">
      <c r="A13" s="4" t="s">
        <v>261</v>
      </c>
      <c r="B13" s="4" t="s">
        <v>250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2</v>
      </c>
      <c r="O13" s="4">
        <v>18</v>
      </c>
      <c r="P13" s="4">
        <v>0</v>
      </c>
      <c r="Q13" s="4">
        <v>0</v>
      </c>
      <c r="R13" s="4">
        <v>0</v>
      </c>
      <c r="S13" s="4">
        <v>3.8</v>
      </c>
      <c r="T13" s="4">
        <v>4.0983606557377103E-3</v>
      </c>
      <c r="U13" s="4"/>
      <c r="V13" s="4">
        <v>9</v>
      </c>
      <c r="W13" s="4"/>
      <c r="X13" s="4"/>
      <c r="Y13" s="4">
        <f t="shared" si="0"/>
        <v>3.8</v>
      </c>
    </row>
    <row r="14" spans="1:25" x14ac:dyDescent="0.2">
      <c r="A14" s="3" t="s">
        <v>262</v>
      </c>
      <c r="B14" s="3" t="s">
        <v>250</v>
      </c>
      <c r="C14" s="3" t="s">
        <v>43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93</v>
      </c>
      <c r="N14" s="3">
        <v>48</v>
      </c>
      <c r="O14" s="3">
        <v>836</v>
      </c>
      <c r="P14" s="3">
        <v>7</v>
      </c>
      <c r="Q14" s="3">
        <v>0</v>
      </c>
      <c r="R14" s="3">
        <v>0</v>
      </c>
      <c r="S14" s="3">
        <v>171.6</v>
      </c>
      <c r="T14" s="3">
        <v>0.19057377049180299</v>
      </c>
      <c r="U14" s="3"/>
      <c r="V14" s="3">
        <v>17.4166666666667</v>
      </c>
      <c r="W14" s="3"/>
      <c r="X14" s="3"/>
      <c r="Y14" s="3">
        <f t="shared" si="0"/>
        <v>173.60000000000002</v>
      </c>
    </row>
    <row r="15" spans="1:25" x14ac:dyDescent="0.2">
      <c r="A15" s="4" t="s">
        <v>263</v>
      </c>
      <c r="B15" s="4" t="s">
        <v>250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6</v>
      </c>
      <c r="N15" s="4">
        <v>4</v>
      </c>
      <c r="O15" s="4">
        <v>41</v>
      </c>
      <c r="P15" s="4">
        <v>0</v>
      </c>
      <c r="Q15" s="4">
        <v>0</v>
      </c>
      <c r="R15" s="4">
        <v>0</v>
      </c>
      <c r="S15" s="4">
        <v>8.1</v>
      </c>
      <c r="T15" s="4">
        <v>1.2295081967213101E-2</v>
      </c>
      <c r="U15" s="4"/>
      <c r="V15" s="4">
        <v>10.25</v>
      </c>
      <c r="W15" s="4"/>
      <c r="X15" s="4"/>
      <c r="Y15" s="4">
        <f t="shared" si="0"/>
        <v>8.1000000000000014</v>
      </c>
    </row>
    <row r="16" spans="1:25" x14ac:dyDescent="0.2">
      <c r="A16" s="3" t="s">
        <v>264</v>
      </c>
      <c r="B16" s="3" t="s">
        <v>250</v>
      </c>
      <c r="C16" s="3" t="s">
        <v>43</v>
      </c>
      <c r="D16" s="3">
        <v>15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9</v>
      </c>
      <c r="K16" s="3">
        <v>55</v>
      </c>
      <c r="L16" s="3">
        <v>1</v>
      </c>
      <c r="M16" s="3">
        <v>65</v>
      </c>
      <c r="N16" s="3">
        <v>42</v>
      </c>
      <c r="O16" s="3">
        <v>423</v>
      </c>
      <c r="P16" s="3">
        <v>4</v>
      </c>
      <c r="Q16" s="3">
        <v>0</v>
      </c>
      <c r="R16" s="3">
        <v>0</v>
      </c>
      <c r="S16" s="3">
        <v>119.8</v>
      </c>
      <c r="T16" s="3">
        <v>0.133196721311475</v>
      </c>
      <c r="U16" s="3">
        <v>6.1111111111111098</v>
      </c>
      <c r="V16" s="3">
        <v>10.0714285714286</v>
      </c>
      <c r="W16" s="3"/>
      <c r="X16" s="3"/>
      <c r="Y16" s="3">
        <f t="shared" si="0"/>
        <v>119.80000000000001</v>
      </c>
    </row>
    <row r="17" spans="1:25" x14ac:dyDescent="0.2">
      <c r="A17" s="4" t="s">
        <v>265</v>
      </c>
      <c r="B17" s="4" t="s">
        <v>250</v>
      </c>
      <c r="C17" s="4" t="s">
        <v>43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</v>
      </c>
      <c r="N17" s="4">
        <v>1</v>
      </c>
      <c r="O17" s="4">
        <v>42</v>
      </c>
      <c r="P17" s="4">
        <v>1</v>
      </c>
      <c r="Q17" s="4">
        <v>0</v>
      </c>
      <c r="R17" s="4">
        <v>0</v>
      </c>
      <c r="S17" s="4">
        <v>11.2</v>
      </c>
      <c r="T17" s="4">
        <v>4.0983606557377103E-3</v>
      </c>
      <c r="U17" s="4"/>
      <c r="V17" s="4">
        <v>42</v>
      </c>
      <c r="W17" s="4"/>
      <c r="X17" s="4"/>
      <c r="Y17" s="4">
        <f t="shared" si="0"/>
        <v>11.2</v>
      </c>
    </row>
    <row r="18" spans="1:25" x14ac:dyDescent="0.2">
      <c r="A18" s="3" t="s">
        <v>266</v>
      </c>
      <c r="B18" s="3" t="s">
        <v>250</v>
      </c>
      <c r="C18" s="3" t="s">
        <v>43</v>
      </c>
      <c r="D18" s="3">
        <v>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13</v>
      </c>
      <c r="N18" s="3">
        <v>6</v>
      </c>
      <c r="O18" s="3">
        <v>60</v>
      </c>
      <c r="P18" s="3">
        <v>0</v>
      </c>
      <c r="Q18" s="3">
        <v>0</v>
      </c>
      <c r="R18" s="3">
        <v>0</v>
      </c>
      <c r="S18" s="3">
        <v>12</v>
      </c>
      <c r="T18" s="3">
        <v>2.6639344262295101E-2</v>
      </c>
      <c r="U18" s="3"/>
      <c r="V18" s="3">
        <v>10</v>
      </c>
      <c r="W18" s="3"/>
      <c r="X18" s="3"/>
      <c r="Y18" s="3">
        <f t="shared" si="0"/>
        <v>12</v>
      </c>
    </row>
    <row r="19" spans="1:25" x14ac:dyDescent="0.2">
      <c r="A19" s="4" t="s">
        <v>267</v>
      </c>
      <c r="B19" s="4" t="s">
        <v>250</v>
      </c>
      <c r="C19" s="4" t="s">
        <v>43</v>
      </c>
      <c r="D19" s="4">
        <v>4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7</v>
      </c>
      <c r="N19" s="4">
        <v>4</v>
      </c>
      <c r="O19" s="4">
        <v>64</v>
      </c>
      <c r="P19" s="4">
        <v>0</v>
      </c>
      <c r="Q19" s="4">
        <v>0</v>
      </c>
      <c r="R19" s="4">
        <v>0</v>
      </c>
      <c r="S19" s="4">
        <v>10.4</v>
      </c>
      <c r="T19" s="4">
        <v>1.4344262295082E-2</v>
      </c>
      <c r="U19" s="4"/>
      <c r="V19" s="4">
        <v>16</v>
      </c>
      <c r="W19" s="4"/>
      <c r="X19" s="4"/>
      <c r="Y19" s="4">
        <f t="shared" si="0"/>
        <v>10.4</v>
      </c>
    </row>
    <row r="20" spans="1:25" x14ac:dyDescent="0.2">
      <c r="A20" s="3" t="s">
        <v>268</v>
      </c>
      <c r="B20" s="3" t="s">
        <v>250</v>
      </c>
      <c r="C20" s="3" t="s">
        <v>43</v>
      </c>
      <c r="D20" s="3">
        <v>10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20</v>
      </c>
      <c r="N20" s="3">
        <v>10</v>
      </c>
      <c r="O20" s="3">
        <v>161</v>
      </c>
      <c r="P20" s="3">
        <v>1</v>
      </c>
      <c r="Q20" s="3">
        <v>0</v>
      </c>
      <c r="R20" s="3">
        <v>0</v>
      </c>
      <c r="S20" s="3">
        <v>34.1</v>
      </c>
      <c r="T20" s="3">
        <v>4.0983606557376998E-2</v>
      </c>
      <c r="U20" s="3"/>
      <c r="V20" s="3">
        <v>16.100000000000001</v>
      </c>
      <c r="W20" s="3"/>
      <c r="X20" s="3"/>
      <c r="Y20" s="3">
        <f t="shared" si="0"/>
        <v>32.1</v>
      </c>
    </row>
    <row r="21" spans="1:25" x14ac:dyDescent="0.2">
      <c r="A21" s="4" t="s">
        <v>269</v>
      </c>
      <c r="B21" s="4" t="s">
        <v>250</v>
      </c>
      <c r="C21" s="4" t="s">
        <v>43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-3</v>
      </c>
      <c r="L21" s="4">
        <v>0</v>
      </c>
      <c r="M21" s="4">
        <v>154</v>
      </c>
      <c r="N21" s="4">
        <v>108</v>
      </c>
      <c r="O21" s="4">
        <v>1429</v>
      </c>
      <c r="P21" s="4">
        <v>11</v>
      </c>
      <c r="Q21" s="4">
        <v>0</v>
      </c>
      <c r="R21" s="4">
        <v>0</v>
      </c>
      <c r="S21" s="4">
        <v>316.60000000000002</v>
      </c>
      <c r="T21" s="4">
        <v>0.31557377049180302</v>
      </c>
      <c r="U21" s="4">
        <v>-3</v>
      </c>
      <c r="V21" s="4">
        <v>13.2314814814815</v>
      </c>
      <c r="W21" s="4"/>
      <c r="X21" s="4"/>
      <c r="Y21" s="4">
        <f t="shared" si="0"/>
        <v>316.60000000000002</v>
      </c>
    </row>
    <row r="22" spans="1:25" x14ac:dyDescent="0.2">
      <c r="A22" s="3" t="s">
        <v>270</v>
      </c>
      <c r="B22" s="3" t="s">
        <v>250</v>
      </c>
      <c r="C22" s="3" t="s">
        <v>43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2.04918032786885E-3</v>
      </c>
      <c r="U22" s="3"/>
      <c r="V22" s="3"/>
      <c r="W22" s="3"/>
      <c r="X22" s="3"/>
      <c r="Y22" s="3">
        <f t="shared" si="0"/>
        <v>0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250</v>
      </c>
      <c r="B31" s="3">
        <v>6523</v>
      </c>
      <c r="C31" s="3">
        <v>4291</v>
      </c>
      <c r="D31" s="3">
        <v>430</v>
      </c>
      <c r="E31" s="3">
        <v>2232</v>
      </c>
      <c r="F31" s="3">
        <v>15</v>
      </c>
      <c r="G31" s="3">
        <v>1590.94</v>
      </c>
      <c r="H31" s="3">
        <v>574</v>
      </c>
      <c r="I31" s="3">
        <v>0.62891986062717797</v>
      </c>
      <c r="J31" s="3">
        <v>35</v>
      </c>
      <c r="K31" s="3">
        <v>14</v>
      </c>
      <c r="L31" s="3">
        <v>10</v>
      </c>
      <c r="M31" s="3">
        <f ca="1">SUM(INDIRECT(A33 &amp; "_Table1[[#All],[f_custom]]"))</f>
        <v>1580.94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BUF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271</v>
      </c>
      <c r="B36" s="3" t="s">
        <v>26</v>
      </c>
      <c r="C36" s="3">
        <v>27</v>
      </c>
      <c r="D36" s="3">
        <v>6</v>
      </c>
      <c r="E36" s="3" t="s">
        <v>272</v>
      </c>
      <c r="F36" s="3" t="s">
        <v>250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273</v>
      </c>
      <c r="B37" s="4" t="s">
        <v>26</v>
      </c>
      <c r="C37" s="4">
        <v>27</v>
      </c>
      <c r="D37" s="4">
        <v>5</v>
      </c>
      <c r="E37" s="4" t="s">
        <v>70</v>
      </c>
      <c r="F37" s="4" t="s">
        <v>250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274</v>
      </c>
      <c r="B38" s="3" t="s">
        <v>26</v>
      </c>
      <c r="C38" s="3">
        <v>32</v>
      </c>
      <c r="D38" s="3">
        <v>10</v>
      </c>
      <c r="E38" s="3" t="s">
        <v>78</v>
      </c>
      <c r="F38" s="3" t="s">
        <v>250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275</v>
      </c>
      <c r="B46" s="3" t="s">
        <v>31</v>
      </c>
      <c r="C46" s="3">
        <v>23</v>
      </c>
      <c r="D46" s="3">
        <v>2</v>
      </c>
      <c r="E46" s="3" t="s">
        <v>173</v>
      </c>
      <c r="F46" s="3" t="s">
        <v>250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0" si="1">($J46*0.04)+($K46*4)+($L46*-2)+($N46*0.1)+($O46*6)+($Q46)+($R46*0.1)+($S46*6)+($T46*-2)</f>
        <v>0</v>
      </c>
      <c r="W46" s="3" t="e">
        <f t="shared" ref="W46:W50" ca="1" si="2">$P46/$H$33</f>
        <v>#DIV/0!</v>
      </c>
      <c r="X46" s="3" t="e">
        <f t="shared" ref="X46:X50" si="3">$N46/$M46</f>
        <v>#DIV/0!</v>
      </c>
      <c r="Y46" s="3" t="e">
        <f t="shared" ref="Y46:Y50" si="4">$R46/$Q46</f>
        <v>#DIV/0!</v>
      </c>
      <c r="Z46" s="3" t="e">
        <f t="shared" ref="Z46:Z50" si="5">$I46/$H46</f>
        <v>#DIV/0!</v>
      </c>
      <c r="AA46" s="3" t="e">
        <f>$K46/$H46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">
      <c r="A47" s="4" t="s">
        <v>276</v>
      </c>
      <c r="B47" s="4" t="s">
        <v>31</v>
      </c>
      <c r="C47" s="4">
        <v>25</v>
      </c>
      <c r="D47" s="4">
        <v>4</v>
      </c>
      <c r="E47" s="4" t="s">
        <v>277</v>
      </c>
      <c r="F47" s="4" t="s">
        <v>250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">
      <c r="A48" s="3" t="s">
        <v>278</v>
      </c>
      <c r="B48" s="3" t="s">
        <v>31</v>
      </c>
      <c r="C48" s="3">
        <v>26</v>
      </c>
      <c r="D48" s="3">
        <v>5</v>
      </c>
      <c r="E48" s="3" t="s">
        <v>153</v>
      </c>
      <c r="F48" s="3" t="s">
        <v>250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">
      <c r="A49" s="4" t="s">
        <v>279</v>
      </c>
      <c r="B49" s="4" t="s">
        <v>31</v>
      </c>
      <c r="C49" s="4">
        <v>24</v>
      </c>
      <c r="D49" s="4">
        <v>0</v>
      </c>
      <c r="E49" s="4" t="s">
        <v>280</v>
      </c>
      <c r="F49" s="4" t="s">
        <v>250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">
      <c r="A50" s="3" t="s">
        <v>281</v>
      </c>
      <c r="B50" s="3" t="s">
        <v>31</v>
      </c>
      <c r="C50" s="3">
        <v>33</v>
      </c>
      <c r="D50" s="3">
        <v>11</v>
      </c>
      <c r="E50" s="3" t="s">
        <v>282</v>
      </c>
      <c r="F50" s="3" t="s">
        <v>250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283</v>
      </c>
      <c r="B61" s="3" t="s">
        <v>43</v>
      </c>
      <c r="C61" s="3">
        <v>28</v>
      </c>
      <c r="D61" s="3">
        <v>3</v>
      </c>
      <c r="E61" s="3" t="s">
        <v>218</v>
      </c>
      <c r="F61" s="3" t="s">
        <v>250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6">($J61*0.04)+($K61*4)+($L61*-2)+($N61*0.1)+($O61*6)+($Q61)+($R61*0.1)+($S61*6)+($T61*-2)</f>
        <v>0</v>
      </c>
      <c r="W61" s="3" t="e">
        <f t="shared" ref="W61:W73" ca="1" si="7">$P61/$H$33</f>
        <v>#DIV/0!</v>
      </c>
      <c r="X61" s="3" t="e">
        <f t="shared" ref="X61:X73" si="8">$N61/$M61</f>
        <v>#DIV/0!</v>
      </c>
      <c r="Y61" s="3" t="e">
        <f t="shared" ref="Y61:Y73" si="9">$R61/$Q61</f>
        <v>#DIV/0!</v>
      </c>
      <c r="Z61" s="3" t="e">
        <f t="shared" ref="Z61:Z73" si="10">$I61/$H61</f>
        <v>#DIV/0!</v>
      </c>
      <c r="AA61" s="3" t="e">
        <f>$K61/$H61</f>
        <v>#DIV/0!</v>
      </c>
      <c r="AB61" s="3">
        <f t="shared" ref="AB61:AB73" si="11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284</v>
      </c>
      <c r="B62" s="4" t="s">
        <v>43</v>
      </c>
      <c r="C62" s="4">
        <v>24</v>
      </c>
      <c r="D62" s="4">
        <v>2</v>
      </c>
      <c r="E62" s="4" t="s">
        <v>285</v>
      </c>
      <c r="F62" s="4" t="s">
        <v>250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6"/>
        <v>0</v>
      </c>
      <c r="W62" s="4" t="e">
        <f t="shared" ca="1" si="7"/>
        <v>#DIV/0!</v>
      </c>
      <c r="X62" s="4" t="e">
        <f t="shared" si="8"/>
        <v>#DIV/0!</v>
      </c>
      <c r="Y62" s="4" t="e">
        <f t="shared" si="9"/>
        <v>#DIV/0!</v>
      </c>
      <c r="Z62" s="4" t="e">
        <f t="shared" si="10"/>
        <v>#DIV/0!</v>
      </c>
      <c r="AA62" s="4" t="e">
        <f>$K62/$H62</f>
        <v>#DIV/0!</v>
      </c>
      <c r="AB62" s="4">
        <f t="shared" si="11"/>
        <v>0</v>
      </c>
    </row>
    <row r="63" spans="1:28" x14ac:dyDescent="0.2">
      <c r="A63" s="3" t="s">
        <v>286</v>
      </c>
      <c r="B63" s="3" t="s">
        <v>43</v>
      </c>
      <c r="C63" s="3">
        <v>24</v>
      </c>
      <c r="D63" s="3">
        <v>4</v>
      </c>
      <c r="E63" s="3" t="s">
        <v>282</v>
      </c>
      <c r="F63" s="3" t="s">
        <v>250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6"/>
        <v>0</v>
      </c>
      <c r="W63" s="3" t="e">
        <f t="shared" ca="1" si="7"/>
        <v>#DIV/0!</v>
      </c>
      <c r="X63" s="3" t="e">
        <f t="shared" si="8"/>
        <v>#DIV/0!</v>
      </c>
      <c r="Y63" s="3" t="e">
        <f t="shared" si="9"/>
        <v>#DIV/0!</v>
      </c>
      <c r="Z63" s="3" t="e">
        <f t="shared" si="10"/>
        <v>#DIV/0!</v>
      </c>
      <c r="AA63" s="3" t="e">
        <f>$K63/$H63</f>
        <v>#DIV/0!</v>
      </c>
      <c r="AB63" s="3">
        <f t="shared" si="11"/>
        <v>0</v>
      </c>
    </row>
    <row r="64" spans="1:28" x14ac:dyDescent="0.2">
      <c r="A64" s="4" t="s">
        <v>287</v>
      </c>
      <c r="B64" s="4" t="s">
        <v>43</v>
      </c>
      <c r="C64" s="4">
        <v>29</v>
      </c>
      <c r="D64" s="4">
        <v>9</v>
      </c>
      <c r="E64" s="4" t="s">
        <v>232</v>
      </c>
      <c r="F64" s="4" t="s">
        <v>250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6"/>
        <v>0</v>
      </c>
      <c r="W64" s="4" t="e">
        <f t="shared" ca="1" si="7"/>
        <v>#DIV/0!</v>
      </c>
      <c r="X64" s="4" t="e">
        <f t="shared" si="8"/>
        <v>#DIV/0!</v>
      </c>
      <c r="Y64" s="4" t="e">
        <f t="shared" si="9"/>
        <v>#DIV/0!</v>
      </c>
      <c r="Z64" s="4" t="e">
        <f t="shared" si="10"/>
        <v>#DIV/0!</v>
      </c>
      <c r="AA64" s="4" t="e">
        <f>$K64/$H64</f>
        <v>#DIV/0!</v>
      </c>
      <c r="AB64" s="4">
        <f t="shared" si="11"/>
        <v>0</v>
      </c>
    </row>
    <row r="65" spans="1:28" x14ac:dyDescent="0.2">
      <c r="A65" s="3" t="s">
        <v>288</v>
      </c>
      <c r="B65" s="3" t="s">
        <v>43</v>
      </c>
      <c r="C65" s="3">
        <v>25</v>
      </c>
      <c r="D65" s="3">
        <v>5</v>
      </c>
      <c r="E65" s="3" t="s">
        <v>289</v>
      </c>
      <c r="F65" s="3" t="s">
        <v>250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6"/>
        <v>0</v>
      </c>
      <c r="W65" s="3" t="e">
        <f t="shared" ca="1" si="7"/>
        <v>#DIV/0!</v>
      </c>
      <c r="X65" s="3" t="e">
        <f t="shared" si="8"/>
        <v>#DIV/0!</v>
      </c>
      <c r="Y65" s="3" t="e">
        <f t="shared" si="9"/>
        <v>#DIV/0!</v>
      </c>
      <c r="Z65" s="3" t="e">
        <f t="shared" si="10"/>
        <v>#DIV/0!</v>
      </c>
      <c r="AA65" s="3" t="e">
        <f>$K65/$H65</f>
        <v>#DIV/0!</v>
      </c>
      <c r="AB65" s="3">
        <f t="shared" si="11"/>
        <v>0</v>
      </c>
    </row>
    <row r="66" spans="1:28" x14ac:dyDescent="0.2">
      <c r="A66" s="4" t="s">
        <v>290</v>
      </c>
      <c r="B66" s="4" t="s">
        <v>43</v>
      </c>
      <c r="C66" s="4">
        <v>26</v>
      </c>
      <c r="D66" s="4">
        <v>5</v>
      </c>
      <c r="E66" s="4" t="s">
        <v>291</v>
      </c>
      <c r="F66" s="4" t="s">
        <v>250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6"/>
        <v>0</v>
      </c>
      <c r="W66" s="4" t="e">
        <f t="shared" ca="1" si="7"/>
        <v>#DIV/0!</v>
      </c>
      <c r="X66" s="4" t="e">
        <f t="shared" si="8"/>
        <v>#DIV/0!</v>
      </c>
      <c r="Y66" s="4" t="e">
        <f t="shared" si="9"/>
        <v>#DIV/0!</v>
      </c>
      <c r="Z66" s="4" t="e">
        <f t="shared" si="10"/>
        <v>#DIV/0!</v>
      </c>
      <c r="AA66" s="4" t="e">
        <f>$K66/$H66</f>
        <v>#DIV/0!</v>
      </c>
      <c r="AB66" s="4">
        <f t="shared" si="11"/>
        <v>0</v>
      </c>
    </row>
    <row r="67" spans="1:28" x14ac:dyDescent="0.2">
      <c r="A67" s="3" t="s">
        <v>292</v>
      </c>
      <c r="B67" s="3" t="s">
        <v>43</v>
      </c>
      <c r="C67" s="3">
        <v>26</v>
      </c>
      <c r="D67" s="3">
        <v>3</v>
      </c>
      <c r="E67" s="3" t="s">
        <v>280</v>
      </c>
      <c r="F67" s="3" t="s">
        <v>250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6"/>
        <v>0</v>
      </c>
      <c r="W67" s="3" t="e">
        <f t="shared" ca="1" si="7"/>
        <v>#DIV/0!</v>
      </c>
      <c r="X67" s="3" t="e">
        <f t="shared" si="8"/>
        <v>#DIV/0!</v>
      </c>
      <c r="Y67" s="3" t="e">
        <f t="shared" si="9"/>
        <v>#DIV/0!</v>
      </c>
      <c r="Z67" s="3" t="e">
        <f t="shared" si="10"/>
        <v>#DIV/0!</v>
      </c>
      <c r="AA67" s="3" t="e">
        <f>$K67/$H67</f>
        <v>#DIV/0!</v>
      </c>
      <c r="AB67" s="3">
        <f t="shared" si="11"/>
        <v>0</v>
      </c>
    </row>
    <row r="68" spans="1:28" x14ac:dyDescent="0.2">
      <c r="A68" s="4" t="s">
        <v>293</v>
      </c>
      <c r="B68" s="4" t="s">
        <v>43</v>
      </c>
      <c r="C68" s="4">
        <v>25</v>
      </c>
      <c r="D68" s="4">
        <v>3</v>
      </c>
      <c r="E68" s="4" t="s">
        <v>294</v>
      </c>
      <c r="F68" s="4" t="s">
        <v>250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6"/>
        <v>0</v>
      </c>
      <c r="W68" s="4" t="e">
        <f t="shared" ca="1" si="7"/>
        <v>#DIV/0!</v>
      </c>
      <c r="X68" s="4" t="e">
        <f t="shared" si="8"/>
        <v>#DIV/0!</v>
      </c>
      <c r="Y68" s="4" t="e">
        <f t="shared" si="9"/>
        <v>#DIV/0!</v>
      </c>
      <c r="Z68" s="4" t="e">
        <f t="shared" si="10"/>
        <v>#DIV/0!</v>
      </c>
      <c r="AA68" s="4" t="e">
        <f>$K68/$H68</f>
        <v>#DIV/0!</v>
      </c>
      <c r="AB68" s="4">
        <f t="shared" si="11"/>
        <v>0</v>
      </c>
    </row>
    <row r="69" spans="1:28" x14ac:dyDescent="0.2">
      <c r="A69" s="3" t="s">
        <v>295</v>
      </c>
      <c r="B69" s="3" t="s">
        <v>43</v>
      </c>
      <c r="C69" s="3">
        <v>23</v>
      </c>
      <c r="D69" s="3">
        <v>2</v>
      </c>
      <c r="E69" s="3" t="s">
        <v>296</v>
      </c>
      <c r="F69" s="3" t="s">
        <v>250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6"/>
        <v>0</v>
      </c>
      <c r="W69" s="3" t="e">
        <f t="shared" ca="1" si="7"/>
        <v>#DIV/0!</v>
      </c>
      <c r="X69" s="3" t="e">
        <f t="shared" si="8"/>
        <v>#DIV/0!</v>
      </c>
      <c r="Y69" s="3" t="e">
        <f t="shared" si="9"/>
        <v>#DIV/0!</v>
      </c>
      <c r="Z69" s="3" t="e">
        <f t="shared" si="10"/>
        <v>#DIV/0!</v>
      </c>
      <c r="AA69" s="3" t="e">
        <f>$K69/$H69</f>
        <v>#DIV/0!</v>
      </c>
      <c r="AB69" s="3">
        <f t="shared" si="11"/>
        <v>0</v>
      </c>
    </row>
    <row r="70" spans="1:28" x14ac:dyDescent="0.2">
      <c r="A70" s="4" t="s">
        <v>297</v>
      </c>
      <c r="B70" s="4" t="s">
        <v>43</v>
      </c>
      <c r="C70" s="4">
        <v>23</v>
      </c>
      <c r="D70" s="4">
        <v>0</v>
      </c>
      <c r="E70" s="4" t="s">
        <v>298</v>
      </c>
      <c r="F70" s="4" t="s">
        <v>250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6"/>
        <v>0</v>
      </c>
      <c r="W70" s="4" t="e">
        <f t="shared" ca="1" si="7"/>
        <v>#DIV/0!</v>
      </c>
      <c r="X70" s="4" t="e">
        <f t="shared" si="8"/>
        <v>#DIV/0!</v>
      </c>
      <c r="Y70" s="4" t="e">
        <f t="shared" si="9"/>
        <v>#DIV/0!</v>
      </c>
      <c r="Z70" s="4" t="e">
        <f t="shared" si="10"/>
        <v>#DIV/0!</v>
      </c>
      <c r="AA70" s="4" t="e">
        <f>$K70/$H70</f>
        <v>#DIV/0!</v>
      </c>
      <c r="AB70" s="4">
        <f t="shared" si="11"/>
        <v>0</v>
      </c>
    </row>
    <row r="71" spans="1:28" x14ac:dyDescent="0.2">
      <c r="A71" s="3" t="s">
        <v>299</v>
      </c>
      <c r="B71" s="3" t="s">
        <v>43</v>
      </c>
      <c r="C71" s="3">
        <v>27</v>
      </c>
      <c r="D71" s="3">
        <v>6</v>
      </c>
      <c r="E71" s="3" t="s">
        <v>300</v>
      </c>
      <c r="F71" s="3" t="s">
        <v>250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6"/>
        <v>0</v>
      </c>
      <c r="W71" s="3" t="e">
        <f t="shared" ca="1" si="7"/>
        <v>#DIV/0!</v>
      </c>
      <c r="X71" s="3" t="e">
        <f t="shared" si="8"/>
        <v>#DIV/0!</v>
      </c>
      <c r="Y71" s="3" t="e">
        <f t="shared" si="9"/>
        <v>#DIV/0!</v>
      </c>
      <c r="Z71" s="3" t="e">
        <f t="shared" si="10"/>
        <v>#DIV/0!</v>
      </c>
      <c r="AA71" s="3" t="e">
        <f>$K71/$H71</f>
        <v>#DIV/0!</v>
      </c>
      <c r="AB71" s="3">
        <f t="shared" si="11"/>
        <v>0</v>
      </c>
    </row>
    <row r="72" spans="1:28" x14ac:dyDescent="0.2">
      <c r="A72" s="4" t="s">
        <v>301</v>
      </c>
      <c r="B72" s="4" t="s">
        <v>43</v>
      </c>
      <c r="C72" s="4">
        <v>23</v>
      </c>
      <c r="D72" s="4">
        <v>0</v>
      </c>
      <c r="E72" s="4" t="s">
        <v>178</v>
      </c>
      <c r="F72" s="4" t="s">
        <v>250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6"/>
        <v>0</v>
      </c>
      <c r="W72" s="4" t="e">
        <f t="shared" ca="1" si="7"/>
        <v>#DIV/0!</v>
      </c>
      <c r="X72" s="4" t="e">
        <f t="shared" si="8"/>
        <v>#DIV/0!</v>
      </c>
      <c r="Y72" s="4" t="e">
        <f t="shared" si="9"/>
        <v>#DIV/0!</v>
      </c>
      <c r="Z72" s="4" t="e">
        <f t="shared" si="10"/>
        <v>#DIV/0!</v>
      </c>
      <c r="AA72" s="4" t="e">
        <f>$K72/$H72</f>
        <v>#DIV/0!</v>
      </c>
      <c r="AB72" s="4">
        <f t="shared" si="11"/>
        <v>0</v>
      </c>
    </row>
    <row r="73" spans="1:28" x14ac:dyDescent="0.2">
      <c r="A73" s="3" t="s">
        <v>302</v>
      </c>
      <c r="B73" s="3" t="s">
        <v>43</v>
      </c>
      <c r="C73" s="3">
        <v>24</v>
      </c>
      <c r="D73" s="3">
        <v>0</v>
      </c>
      <c r="E73" s="3" t="s">
        <v>155</v>
      </c>
      <c r="F73" s="3" t="s">
        <v>250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6"/>
        <v>0</v>
      </c>
      <c r="W73" s="3" t="e">
        <f t="shared" ca="1" si="7"/>
        <v>#DIV/0!</v>
      </c>
      <c r="X73" s="3" t="e">
        <f t="shared" si="8"/>
        <v>#DIV/0!</v>
      </c>
      <c r="Y73" s="3" t="e">
        <f t="shared" si="9"/>
        <v>#DIV/0!</v>
      </c>
      <c r="Z73" s="3" t="e">
        <f t="shared" si="10"/>
        <v>#DIV/0!</v>
      </c>
      <c r="AA73" s="3" t="e">
        <f>$K73/$H73</f>
        <v>#DIV/0!</v>
      </c>
      <c r="AB73" s="3">
        <f t="shared" si="11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303</v>
      </c>
      <c r="B76" s="3" t="s">
        <v>38</v>
      </c>
      <c r="C76" s="3">
        <v>23</v>
      </c>
      <c r="D76" s="3">
        <v>0</v>
      </c>
      <c r="E76" s="3" t="s">
        <v>207</v>
      </c>
      <c r="F76" s="3" t="s">
        <v>250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0" si="12">($J76*0.04)+($K76*4)+($L76*-2)+($N76*0.1)+($O76*6)+($Q76)+($R76*0.1)+($S76*6)+($T76*-2)</f>
        <v>0</v>
      </c>
      <c r="W76" s="3" t="e">
        <f t="shared" ref="W76:W80" ca="1" si="13">$P76/$H$33</f>
        <v>#DIV/0!</v>
      </c>
      <c r="X76" s="3" t="e">
        <f t="shared" ref="X76:X80" si="14">$N76/$M76</f>
        <v>#DIV/0!</v>
      </c>
      <c r="Y76" s="3" t="e">
        <f t="shared" ref="Y76:Y80" si="15">$R76/$Q76</f>
        <v>#DIV/0!</v>
      </c>
      <c r="Z76" s="3" t="e">
        <f t="shared" ref="Z76:Z80" si="16">$I76/$H76</f>
        <v>#DIV/0!</v>
      </c>
      <c r="AA76" s="3" t="e">
        <f>$K76/$H76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">
      <c r="A77" s="4" t="s">
        <v>304</v>
      </c>
      <c r="B77" s="4" t="s">
        <v>38</v>
      </c>
      <c r="C77" s="4">
        <v>26</v>
      </c>
      <c r="D77" s="4">
        <v>5</v>
      </c>
      <c r="E77" s="4" t="s">
        <v>240</v>
      </c>
      <c r="F77" s="4" t="s">
        <v>250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2"/>
        <v>0</v>
      </c>
      <c r="W77" s="4" t="e">
        <f t="shared" ca="1" si="13"/>
        <v>#DIV/0!</v>
      </c>
      <c r="X77" s="4" t="e">
        <f t="shared" si="14"/>
        <v>#DIV/0!</v>
      </c>
      <c r="Y77" s="4" t="e">
        <f t="shared" si="15"/>
        <v>#DIV/0!</v>
      </c>
      <c r="Z77" s="4" t="e">
        <f t="shared" si="16"/>
        <v>#DIV/0!</v>
      </c>
      <c r="AA77" s="4" t="e">
        <f>$K77/$H77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">
      <c r="A78" s="3" t="s">
        <v>305</v>
      </c>
      <c r="B78" s="3" t="s">
        <v>38</v>
      </c>
      <c r="C78" s="3">
        <v>24</v>
      </c>
      <c r="D78" s="3">
        <v>2</v>
      </c>
      <c r="E78" s="3" t="s">
        <v>168</v>
      </c>
      <c r="F78" s="3" t="s">
        <v>250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2"/>
        <v>0</v>
      </c>
      <c r="W78" s="3" t="e">
        <f t="shared" ca="1" si="13"/>
        <v>#DIV/0!</v>
      </c>
      <c r="X78" s="3" t="e">
        <f t="shared" si="14"/>
        <v>#DIV/0!</v>
      </c>
      <c r="Y78" s="3" t="e">
        <f t="shared" si="15"/>
        <v>#DIV/0!</v>
      </c>
      <c r="Z78" s="3" t="e">
        <f t="shared" si="16"/>
        <v>#DIV/0!</v>
      </c>
      <c r="AA78" s="3" t="e">
        <f>$K78/$H78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">
      <c r="A79" s="4" t="s">
        <v>306</v>
      </c>
      <c r="B79" s="4" t="s">
        <v>38</v>
      </c>
      <c r="C79" s="4">
        <v>27</v>
      </c>
      <c r="D79" s="4">
        <v>4</v>
      </c>
      <c r="E79" s="4" t="s">
        <v>307</v>
      </c>
      <c r="F79" s="4" t="s">
        <v>250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2"/>
        <v>0</v>
      </c>
      <c r="W79" s="4" t="e">
        <f t="shared" ca="1" si="13"/>
        <v>#DIV/0!</v>
      </c>
      <c r="X79" s="4" t="e">
        <f t="shared" si="14"/>
        <v>#DIV/0!</v>
      </c>
      <c r="Y79" s="4" t="e">
        <f t="shared" si="15"/>
        <v>#DIV/0!</v>
      </c>
      <c r="Z79" s="4" t="e">
        <f t="shared" si="16"/>
        <v>#DIV/0!</v>
      </c>
      <c r="AA79" s="4" t="e">
        <f>$K79/$H79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">
      <c r="A80" s="3" t="s">
        <v>308</v>
      </c>
      <c r="B80" s="3" t="s">
        <v>38</v>
      </c>
      <c r="C80" s="3">
        <v>23</v>
      </c>
      <c r="D80" s="3">
        <v>0</v>
      </c>
      <c r="E80" s="3" t="s">
        <v>309</v>
      </c>
      <c r="F80" s="3" t="s">
        <v>250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2"/>
        <v>0</v>
      </c>
      <c r="W80" s="3" t="e">
        <f t="shared" ca="1" si="13"/>
        <v>#DIV/0!</v>
      </c>
      <c r="X80" s="3" t="e">
        <f t="shared" si="14"/>
        <v>#DIV/0!</v>
      </c>
      <c r="Y80" s="3" t="e">
        <f t="shared" si="15"/>
        <v>#DIV/0!</v>
      </c>
      <c r="Z80" s="3" t="e">
        <f t="shared" si="16"/>
        <v>#DIV/0!</v>
      </c>
      <c r="AA80" s="3" t="e">
        <f>$K80/$H80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B80"/>
  <sheetViews>
    <sheetView zoomScale="90" zoomScaleNormal="90" workbookViewId="0">
      <selection activeCell="A20" sqref="A20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310</v>
      </c>
      <c r="B2" s="3" t="s">
        <v>311</v>
      </c>
      <c r="C2" s="3" t="s">
        <v>26</v>
      </c>
      <c r="D2" s="3">
        <v>7</v>
      </c>
      <c r="E2" s="3">
        <v>206</v>
      </c>
      <c r="F2" s="3">
        <v>119</v>
      </c>
      <c r="G2" s="3">
        <v>1313</v>
      </c>
      <c r="H2" s="3">
        <v>6</v>
      </c>
      <c r="I2" s="3">
        <v>6</v>
      </c>
      <c r="J2" s="3">
        <v>16</v>
      </c>
      <c r="K2" s="3">
        <v>52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73.72</v>
      </c>
      <c r="T2" s="3">
        <v>0</v>
      </c>
      <c r="U2" s="3">
        <v>3.25</v>
      </c>
      <c r="V2" s="3"/>
      <c r="W2" s="3">
        <v>0.57766990291262099</v>
      </c>
      <c r="X2" s="3">
        <v>2.9126213592233E-2</v>
      </c>
      <c r="Y2" s="3">
        <f t="shared" ref="Y2:Y19" si="0">($G2*Cp_yd)+($H2*Cp_td)+($I2*Cint)+($J2*Ccar)+($K2*Cr_yd)+($L2*Cr_td)+($N2*Crec)+($O2*Crec_yd)+($P2*Crec_td)+($Q2*Cfmb)+($R2*Ctp_c)</f>
        <v>73.720000000000013</v>
      </c>
    </row>
    <row r="3" spans="1:25" x14ac:dyDescent="0.2">
      <c r="A3" s="4" t="s">
        <v>312</v>
      </c>
      <c r="B3" s="4" t="s">
        <v>311</v>
      </c>
      <c r="C3" s="4" t="s">
        <v>26</v>
      </c>
      <c r="D3" s="4">
        <v>1</v>
      </c>
      <c r="E3" s="4">
        <v>5</v>
      </c>
      <c r="F3" s="4">
        <v>3</v>
      </c>
      <c r="G3" s="4">
        <v>59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0.36</v>
      </c>
      <c r="T3" s="4">
        <v>0</v>
      </c>
      <c r="U3" s="4"/>
      <c r="V3" s="4"/>
      <c r="W3" s="4">
        <v>0.6</v>
      </c>
      <c r="X3" s="4">
        <v>0</v>
      </c>
      <c r="Y3" s="4">
        <f t="shared" si="0"/>
        <v>0.35999999999999988</v>
      </c>
    </row>
    <row r="4" spans="1:25" x14ac:dyDescent="0.2">
      <c r="A4" s="3" t="s">
        <v>313</v>
      </c>
      <c r="B4" s="3" t="s">
        <v>311</v>
      </c>
      <c r="C4" s="3" t="s">
        <v>26</v>
      </c>
      <c r="D4" s="3">
        <v>6</v>
      </c>
      <c r="E4" s="3">
        <v>106</v>
      </c>
      <c r="F4" s="3">
        <v>63</v>
      </c>
      <c r="G4" s="3">
        <v>731</v>
      </c>
      <c r="H4" s="3">
        <v>3</v>
      </c>
      <c r="I4" s="3">
        <v>3</v>
      </c>
      <c r="J4" s="3">
        <v>6</v>
      </c>
      <c r="K4" s="3">
        <v>39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39.14</v>
      </c>
      <c r="T4" s="3">
        <v>0</v>
      </c>
      <c r="U4" s="3">
        <v>6.5</v>
      </c>
      <c r="V4" s="3"/>
      <c r="W4" s="3">
        <v>0.59433962264150897</v>
      </c>
      <c r="X4" s="3">
        <v>2.83018867924528E-2</v>
      </c>
      <c r="Y4" s="3">
        <f t="shared" si="0"/>
        <v>39.14</v>
      </c>
    </row>
    <row r="5" spans="1:25" x14ac:dyDescent="0.2">
      <c r="A5" s="4" t="s">
        <v>314</v>
      </c>
      <c r="B5" s="4" t="s">
        <v>311</v>
      </c>
      <c r="C5" s="4" t="s">
        <v>26</v>
      </c>
      <c r="D5" s="4">
        <v>6</v>
      </c>
      <c r="E5" s="4">
        <v>140</v>
      </c>
      <c r="F5" s="4">
        <v>82</v>
      </c>
      <c r="G5" s="4">
        <v>1143</v>
      </c>
      <c r="H5" s="4">
        <v>7</v>
      </c>
      <c r="I5" s="4">
        <v>3</v>
      </c>
      <c r="J5" s="4">
        <v>26</v>
      </c>
      <c r="K5" s="4">
        <v>106</v>
      </c>
      <c r="L5" s="4">
        <v>2</v>
      </c>
      <c r="M5" s="4">
        <v>0</v>
      </c>
      <c r="N5" s="4">
        <v>0</v>
      </c>
      <c r="O5" s="4">
        <v>0</v>
      </c>
      <c r="P5" s="4">
        <v>0</v>
      </c>
      <c r="Q5" s="4">
        <v>2</v>
      </c>
      <c r="R5" s="4">
        <v>0</v>
      </c>
      <c r="S5" s="4">
        <v>86.32</v>
      </c>
      <c r="T5" s="4">
        <v>0</v>
      </c>
      <c r="U5" s="4">
        <v>4.0769230769230802</v>
      </c>
      <c r="V5" s="4"/>
      <c r="W5" s="4">
        <v>0.58571428571428596</v>
      </c>
      <c r="X5" s="4">
        <v>0.05</v>
      </c>
      <c r="Y5" s="4">
        <f t="shared" si="0"/>
        <v>86.32</v>
      </c>
    </row>
    <row r="6" spans="1:25" x14ac:dyDescent="0.2">
      <c r="A6" s="3" t="s">
        <v>315</v>
      </c>
      <c r="B6" s="3" t="s">
        <v>311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95</v>
      </c>
      <c r="K6" s="3">
        <v>466</v>
      </c>
      <c r="L6" s="3">
        <v>2</v>
      </c>
      <c r="M6" s="3">
        <v>17</v>
      </c>
      <c r="N6" s="3">
        <v>14</v>
      </c>
      <c r="O6" s="3">
        <v>171</v>
      </c>
      <c r="P6" s="3">
        <v>0</v>
      </c>
      <c r="Q6" s="3">
        <v>0</v>
      </c>
      <c r="R6" s="3">
        <v>0</v>
      </c>
      <c r="S6" s="3">
        <v>89.7</v>
      </c>
      <c r="T6" s="3">
        <v>2.9616724738675999E-2</v>
      </c>
      <c r="U6" s="3">
        <v>4.9052631578947397</v>
      </c>
      <c r="V6" s="3">
        <v>12.214285714285699</v>
      </c>
      <c r="W6" s="3"/>
      <c r="X6" s="3"/>
      <c r="Y6" s="3">
        <f t="shared" si="0"/>
        <v>89.699999999999989</v>
      </c>
    </row>
    <row r="7" spans="1:25" x14ac:dyDescent="0.2">
      <c r="A7" s="4" t="s">
        <v>316</v>
      </c>
      <c r="B7" s="4" t="s">
        <v>311</v>
      </c>
      <c r="C7" s="4" t="s">
        <v>31</v>
      </c>
      <c r="D7" s="4">
        <v>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85</v>
      </c>
      <c r="K7" s="4">
        <v>393</v>
      </c>
      <c r="L7" s="4">
        <v>2</v>
      </c>
      <c r="M7" s="4">
        <v>43</v>
      </c>
      <c r="N7" s="4">
        <v>33</v>
      </c>
      <c r="O7" s="4">
        <v>277</v>
      </c>
      <c r="P7" s="4">
        <v>1</v>
      </c>
      <c r="Q7" s="4">
        <v>0</v>
      </c>
      <c r="R7" s="4">
        <v>0</v>
      </c>
      <c r="S7" s="4">
        <v>118</v>
      </c>
      <c r="T7" s="4">
        <v>7.4912891986062699E-2</v>
      </c>
      <c r="U7" s="4">
        <v>4.6235294117647099</v>
      </c>
      <c r="V7" s="4">
        <v>8.3939393939393891</v>
      </c>
      <c r="W7" s="4"/>
      <c r="X7" s="4"/>
      <c r="Y7" s="4">
        <f t="shared" si="0"/>
        <v>118.00000000000001</v>
      </c>
    </row>
    <row r="8" spans="1:25" x14ac:dyDescent="0.2">
      <c r="A8" s="3" t="s">
        <v>317</v>
      </c>
      <c r="B8" s="3" t="s">
        <v>311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203</v>
      </c>
      <c r="K8" s="3">
        <v>914</v>
      </c>
      <c r="L8" s="3">
        <v>5</v>
      </c>
      <c r="M8" s="3">
        <v>9</v>
      </c>
      <c r="N8" s="3">
        <v>5</v>
      </c>
      <c r="O8" s="3">
        <v>26</v>
      </c>
      <c r="P8" s="3">
        <v>0</v>
      </c>
      <c r="Q8" s="3">
        <v>0</v>
      </c>
      <c r="R8" s="3">
        <v>1</v>
      </c>
      <c r="S8" s="3">
        <v>131</v>
      </c>
      <c r="T8" s="3">
        <v>1.5679442508710801E-2</v>
      </c>
      <c r="U8" s="3">
        <v>4.5024630541871904</v>
      </c>
      <c r="V8" s="3">
        <v>5.2</v>
      </c>
      <c r="W8" s="3"/>
      <c r="X8" s="3"/>
      <c r="Y8" s="3">
        <f t="shared" si="0"/>
        <v>131</v>
      </c>
    </row>
    <row r="9" spans="1:25" x14ac:dyDescent="0.2">
      <c r="A9" s="4" t="s">
        <v>318</v>
      </c>
      <c r="B9" s="4" t="s">
        <v>311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23</v>
      </c>
      <c r="K9" s="4">
        <v>77</v>
      </c>
      <c r="L9" s="4">
        <v>3</v>
      </c>
      <c r="M9" s="4">
        <v>12</v>
      </c>
      <c r="N9" s="4">
        <v>10</v>
      </c>
      <c r="O9" s="4">
        <v>93</v>
      </c>
      <c r="P9" s="4">
        <v>0</v>
      </c>
      <c r="Q9" s="4">
        <v>0</v>
      </c>
      <c r="R9" s="4">
        <v>0</v>
      </c>
      <c r="S9" s="4">
        <v>45</v>
      </c>
      <c r="T9" s="4">
        <v>2.0905923344947699E-2</v>
      </c>
      <c r="U9" s="4">
        <v>3.3478260869565202</v>
      </c>
      <c r="V9" s="4">
        <v>9.3000000000000007</v>
      </c>
      <c r="W9" s="4"/>
      <c r="X9" s="4"/>
      <c r="Y9" s="4">
        <f t="shared" si="0"/>
        <v>45</v>
      </c>
    </row>
    <row r="10" spans="1:25" x14ac:dyDescent="0.2">
      <c r="A10" s="3" t="s">
        <v>319</v>
      </c>
      <c r="B10" s="3" t="s">
        <v>311</v>
      </c>
      <c r="C10" s="3" t="s">
        <v>31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</v>
      </c>
      <c r="K10" s="3">
        <v>43</v>
      </c>
      <c r="L10" s="3">
        <v>0</v>
      </c>
      <c r="M10" s="3">
        <v>4</v>
      </c>
      <c r="N10" s="3">
        <v>2</v>
      </c>
      <c r="O10" s="3">
        <v>10</v>
      </c>
      <c r="P10" s="3">
        <v>0</v>
      </c>
      <c r="Q10" s="3">
        <v>0</v>
      </c>
      <c r="R10" s="3">
        <v>0</v>
      </c>
      <c r="S10" s="3">
        <v>7.3</v>
      </c>
      <c r="T10" s="3">
        <v>6.9686411149825801E-3</v>
      </c>
      <c r="U10" s="3">
        <v>4.7777777777777803</v>
      </c>
      <c r="V10" s="3">
        <v>5</v>
      </c>
      <c r="W10" s="3"/>
      <c r="X10" s="3"/>
      <c r="Y10" s="3">
        <f t="shared" si="0"/>
        <v>7.3</v>
      </c>
    </row>
    <row r="11" spans="1:25" x14ac:dyDescent="0.2">
      <c r="A11" s="4" t="s">
        <v>320</v>
      </c>
      <c r="B11" s="4" t="s">
        <v>311</v>
      </c>
      <c r="C11" s="4" t="s">
        <v>38</v>
      </c>
      <c r="D11" s="4">
        <v>6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9</v>
      </c>
      <c r="N11" s="4">
        <v>8</v>
      </c>
      <c r="O11" s="4">
        <v>100</v>
      </c>
      <c r="P11" s="4">
        <v>0</v>
      </c>
      <c r="Q11" s="4">
        <v>0</v>
      </c>
      <c r="R11" s="4">
        <v>0</v>
      </c>
      <c r="S11" s="4">
        <v>18</v>
      </c>
      <c r="T11" s="4">
        <v>1.5679442508710801E-2</v>
      </c>
      <c r="U11" s="4"/>
      <c r="V11" s="4">
        <v>12.5</v>
      </c>
      <c r="W11" s="4"/>
      <c r="X11" s="4"/>
      <c r="Y11" s="4">
        <f t="shared" si="0"/>
        <v>18</v>
      </c>
    </row>
    <row r="12" spans="1:25" x14ac:dyDescent="0.2">
      <c r="A12" s="3" t="s">
        <v>321</v>
      </c>
      <c r="B12" s="3" t="s">
        <v>311</v>
      </c>
      <c r="C12" s="3" t="s">
        <v>38</v>
      </c>
      <c r="D12" s="3">
        <v>13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30</v>
      </c>
      <c r="N12" s="3">
        <v>21</v>
      </c>
      <c r="O12" s="3">
        <v>197</v>
      </c>
      <c r="P12" s="3">
        <v>0</v>
      </c>
      <c r="Q12" s="3">
        <v>0</v>
      </c>
      <c r="R12" s="3">
        <v>0</v>
      </c>
      <c r="S12" s="3">
        <v>40.700000000000003</v>
      </c>
      <c r="T12" s="3">
        <v>5.2264808362369297E-2</v>
      </c>
      <c r="U12" s="3"/>
      <c r="V12" s="3">
        <v>9.3809523809523796</v>
      </c>
      <c r="W12" s="3"/>
      <c r="X12" s="3"/>
      <c r="Y12" s="3">
        <f t="shared" si="0"/>
        <v>40.700000000000003</v>
      </c>
    </row>
    <row r="13" spans="1:25" x14ac:dyDescent="0.2">
      <c r="A13" s="4" t="s">
        <v>322</v>
      </c>
      <c r="B13" s="4" t="s">
        <v>311</v>
      </c>
      <c r="C13" s="4" t="s">
        <v>38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6</v>
      </c>
      <c r="N13" s="4">
        <v>2</v>
      </c>
      <c r="O13" s="4">
        <v>46</v>
      </c>
      <c r="P13" s="4">
        <v>0</v>
      </c>
      <c r="Q13" s="4">
        <v>0</v>
      </c>
      <c r="R13" s="4">
        <v>0</v>
      </c>
      <c r="S13" s="4">
        <v>6.6</v>
      </c>
      <c r="T13" s="4">
        <v>1.04529616724739E-2</v>
      </c>
      <c r="U13" s="4"/>
      <c r="V13" s="4">
        <v>23</v>
      </c>
      <c r="W13" s="4"/>
      <c r="X13" s="4"/>
      <c r="Y13" s="4">
        <f t="shared" si="0"/>
        <v>6.6000000000000005</v>
      </c>
    </row>
    <row r="14" spans="1:25" x14ac:dyDescent="0.2">
      <c r="A14" s="3" t="s">
        <v>323</v>
      </c>
      <c r="B14" s="3" t="s">
        <v>311</v>
      </c>
      <c r="C14" s="3" t="s">
        <v>38</v>
      </c>
      <c r="D14" s="3">
        <v>14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32</v>
      </c>
      <c r="N14" s="3">
        <v>19</v>
      </c>
      <c r="O14" s="3">
        <v>174</v>
      </c>
      <c r="P14" s="3">
        <v>3</v>
      </c>
      <c r="Q14" s="3">
        <v>0</v>
      </c>
      <c r="R14" s="3">
        <v>0</v>
      </c>
      <c r="S14" s="3">
        <v>54.4</v>
      </c>
      <c r="T14" s="3">
        <v>5.5749128919860599E-2</v>
      </c>
      <c r="U14" s="3"/>
      <c r="V14" s="3">
        <v>9.1578947368421009</v>
      </c>
      <c r="W14" s="3"/>
      <c r="X14" s="3"/>
      <c r="Y14" s="3">
        <f t="shared" si="0"/>
        <v>54.400000000000006</v>
      </c>
    </row>
    <row r="15" spans="1:25" x14ac:dyDescent="0.2">
      <c r="A15" s="4" t="s">
        <v>324</v>
      </c>
      <c r="B15" s="4" t="s">
        <v>311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10</v>
      </c>
      <c r="K15" s="4">
        <v>53</v>
      </c>
      <c r="L15" s="4">
        <v>0</v>
      </c>
      <c r="M15" s="4">
        <v>118</v>
      </c>
      <c r="N15" s="4">
        <v>63</v>
      </c>
      <c r="O15" s="4">
        <v>888</v>
      </c>
      <c r="P15" s="4">
        <v>7</v>
      </c>
      <c r="Q15" s="4">
        <v>0</v>
      </c>
      <c r="R15" s="4">
        <v>0</v>
      </c>
      <c r="S15" s="4">
        <v>199.1</v>
      </c>
      <c r="T15" s="4">
        <v>0.20557491289198601</v>
      </c>
      <c r="U15" s="4">
        <v>5.3</v>
      </c>
      <c r="V15" s="4">
        <v>14.0952380952381</v>
      </c>
      <c r="W15" s="4"/>
      <c r="X15" s="4"/>
      <c r="Y15" s="4">
        <f t="shared" si="0"/>
        <v>199.10000000000002</v>
      </c>
    </row>
    <row r="16" spans="1:25" x14ac:dyDescent="0.2">
      <c r="A16" s="3" t="s">
        <v>325</v>
      </c>
      <c r="B16" s="3" t="s">
        <v>311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9</v>
      </c>
      <c r="K16" s="3">
        <v>65</v>
      </c>
      <c r="L16" s="3">
        <v>1</v>
      </c>
      <c r="M16" s="3">
        <v>32</v>
      </c>
      <c r="N16" s="3">
        <v>27</v>
      </c>
      <c r="O16" s="3">
        <v>272</v>
      </c>
      <c r="P16" s="3">
        <v>1</v>
      </c>
      <c r="Q16" s="3">
        <v>0</v>
      </c>
      <c r="R16" s="3">
        <v>0</v>
      </c>
      <c r="S16" s="3">
        <v>72.7</v>
      </c>
      <c r="T16" s="3">
        <v>5.5749128919860599E-2</v>
      </c>
      <c r="U16" s="3">
        <v>7.2222222222222197</v>
      </c>
      <c r="V16" s="3">
        <v>10.074074074074099</v>
      </c>
      <c r="W16" s="3"/>
      <c r="X16" s="3"/>
      <c r="Y16" s="3">
        <f t="shared" si="0"/>
        <v>72.7</v>
      </c>
    </row>
    <row r="17" spans="1:25" x14ac:dyDescent="0.2">
      <c r="A17" s="4" t="s">
        <v>50</v>
      </c>
      <c r="B17" s="4" t="s">
        <v>311</v>
      </c>
      <c r="C17" s="4" t="s">
        <v>43</v>
      </c>
      <c r="D17" s="4">
        <v>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27</v>
      </c>
      <c r="N17" s="4">
        <v>13</v>
      </c>
      <c r="O17" s="4">
        <v>206</v>
      </c>
      <c r="P17" s="4">
        <v>1</v>
      </c>
      <c r="Q17" s="4">
        <v>0</v>
      </c>
      <c r="R17" s="4">
        <v>0</v>
      </c>
      <c r="S17" s="4">
        <v>37.6</v>
      </c>
      <c r="T17" s="4">
        <v>4.7038327526132399E-2</v>
      </c>
      <c r="U17" s="4"/>
      <c r="V17" s="4">
        <v>15.846153846153801</v>
      </c>
      <c r="W17" s="4"/>
      <c r="X17" s="4"/>
      <c r="Y17" s="4">
        <f t="shared" si="0"/>
        <v>39.6</v>
      </c>
    </row>
    <row r="18" spans="1:25" x14ac:dyDescent="0.2">
      <c r="A18" s="3" t="s">
        <v>326</v>
      </c>
      <c r="B18" s="3" t="s">
        <v>311</v>
      </c>
      <c r="C18" s="3" t="s">
        <v>43</v>
      </c>
      <c r="D18" s="3">
        <v>15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41</v>
      </c>
      <c r="N18" s="3">
        <v>22</v>
      </c>
      <c r="O18" s="3">
        <v>296</v>
      </c>
      <c r="P18" s="3">
        <v>2</v>
      </c>
      <c r="Q18" s="3">
        <v>0</v>
      </c>
      <c r="R18" s="3">
        <v>0</v>
      </c>
      <c r="S18" s="3">
        <v>61.6</v>
      </c>
      <c r="T18" s="3">
        <v>7.1428571428571397E-2</v>
      </c>
      <c r="U18" s="3"/>
      <c r="V18" s="3">
        <v>13.454545454545499</v>
      </c>
      <c r="W18" s="3"/>
      <c r="X18" s="3"/>
      <c r="Y18" s="3">
        <f t="shared" si="0"/>
        <v>63.6</v>
      </c>
    </row>
    <row r="19" spans="1:25" x14ac:dyDescent="0.2">
      <c r="A19" s="4" t="s">
        <v>327</v>
      </c>
      <c r="B19" s="4" t="s">
        <v>311</v>
      </c>
      <c r="C19" s="4" t="s">
        <v>43</v>
      </c>
      <c r="D19" s="4">
        <v>13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47</v>
      </c>
      <c r="N19" s="4">
        <v>28</v>
      </c>
      <c r="O19" s="4">
        <v>490</v>
      </c>
      <c r="P19" s="4">
        <v>1</v>
      </c>
      <c r="Q19" s="4">
        <v>0</v>
      </c>
      <c r="R19" s="4">
        <v>0</v>
      </c>
      <c r="S19" s="4">
        <v>83</v>
      </c>
      <c r="T19" s="4">
        <v>8.1881533101045303E-2</v>
      </c>
      <c r="U19" s="4"/>
      <c r="V19" s="4">
        <v>17.5</v>
      </c>
      <c r="W19" s="4"/>
      <c r="X19" s="4"/>
      <c r="Y19" s="4">
        <f t="shared" si="0"/>
        <v>83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311</v>
      </c>
      <c r="B31" s="3">
        <v>5454</v>
      </c>
      <c r="C31" s="3">
        <v>3246</v>
      </c>
      <c r="D31" s="3">
        <v>482</v>
      </c>
      <c r="E31" s="3">
        <v>2208</v>
      </c>
      <c r="F31" s="3">
        <v>16</v>
      </c>
      <c r="G31" s="3">
        <v>1164.24</v>
      </c>
      <c r="H31" s="3">
        <v>457</v>
      </c>
      <c r="I31" s="3">
        <v>0.58424507658643299</v>
      </c>
      <c r="J31" s="3">
        <v>16</v>
      </c>
      <c r="K31" s="3">
        <v>13</v>
      </c>
      <c r="L31" s="3">
        <v>3</v>
      </c>
      <c r="M31" s="3">
        <f ca="1">SUM(INDIRECT(A33 &amp; "_Table1[[#All],[f_custom]]"))</f>
        <v>1168.24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CAR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328</v>
      </c>
      <c r="B36" s="3" t="s">
        <v>26</v>
      </c>
      <c r="C36" s="3">
        <v>24</v>
      </c>
      <c r="D36" s="3">
        <v>0</v>
      </c>
      <c r="E36" s="3" t="s">
        <v>240</v>
      </c>
      <c r="F36" s="3" t="s">
        <v>311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329</v>
      </c>
      <c r="B37" s="4" t="s">
        <v>26</v>
      </c>
      <c r="C37" s="4">
        <v>35</v>
      </c>
      <c r="D37" s="4">
        <v>12</v>
      </c>
      <c r="E37" s="4" t="s">
        <v>76</v>
      </c>
      <c r="F37" s="4" t="s">
        <v>311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330</v>
      </c>
      <c r="B38" s="3" t="s">
        <v>26</v>
      </c>
      <c r="C38" s="3">
        <v>27</v>
      </c>
      <c r="D38" s="3">
        <v>3</v>
      </c>
      <c r="E38" s="3" t="s">
        <v>111</v>
      </c>
      <c r="F38" s="3" t="s">
        <v>311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">
      <c r="A39" s="4" t="s">
        <v>331</v>
      </c>
      <c r="B39" s="4" t="s">
        <v>26</v>
      </c>
      <c r="C39" s="4">
        <v>22</v>
      </c>
      <c r="D39" s="4">
        <v>0</v>
      </c>
      <c r="E39" s="4" t="s">
        <v>153</v>
      </c>
      <c r="F39" s="4" t="s">
        <v>311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332</v>
      </c>
      <c r="B46" s="3" t="s">
        <v>31</v>
      </c>
      <c r="C46" s="3">
        <v>25</v>
      </c>
      <c r="D46" s="3">
        <v>2</v>
      </c>
      <c r="E46" s="3" t="s">
        <v>333</v>
      </c>
      <c r="F46" s="3" t="s">
        <v>311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$K46/$H46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">
      <c r="A47" s="4" t="s">
        <v>334</v>
      </c>
      <c r="B47" s="4" t="s">
        <v>31</v>
      </c>
      <c r="C47" s="4">
        <v>24</v>
      </c>
      <c r="D47" s="4">
        <v>1</v>
      </c>
      <c r="E47" s="4" t="s">
        <v>335</v>
      </c>
      <c r="F47" s="4" t="s">
        <v>311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$K47/$H47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">
      <c r="A48" s="3" t="s">
        <v>336</v>
      </c>
      <c r="B48" s="3" t="s">
        <v>31</v>
      </c>
      <c r="C48" s="3">
        <v>24</v>
      </c>
      <c r="D48" s="3">
        <v>3</v>
      </c>
      <c r="E48" s="3" t="s">
        <v>218</v>
      </c>
      <c r="F48" s="3" t="s">
        <v>311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$K48/$H48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">
      <c r="A49" s="4" t="s">
        <v>337</v>
      </c>
      <c r="B49" s="4" t="s">
        <v>31</v>
      </c>
      <c r="C49" s="4">
        <v>23</v>
      </c>
      <c r="D49" s="4">
        <v>0</v>
      </c>
      <c r="E49" s="4" t="s">
        <v>277</v>
      </c>
      <c r="F49" s="4" t="s">
        <v>311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$K49/$H49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">
      <c r="A50" s="3" t="s">
        <v>338</v>
      </c>
      <c r="B50" s="3" t="s">
        <v>31</v>
      </c>
      <c r="C50" s="3">
        <v>26</v>
      </c>
      <c r="D50" s="3">
        <v>5</v>
      </c>
      <c r="E50" s="3" t="s">
        <v>339</v>
      </c>
      <c r="F50" s="3" t="s">
        <v>311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$K50/$H50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340</v>
      </c>
      <c r="B61" s="3" t="s">
        <v>43</v>
      </c>
      <c r="C61" s="3">
        <v>30</v>
      </c>
      <c r="D61" s="3">
        <v>7</v>
      </c>
      <c r="E61" s="3" t="s">
        <v>341</v>
      </c>
      <c r="F61" s="3" t="s">
        <v>311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">($J61*0.04)+($K61*4)+($L61*-2)+($N61*0.1)+($O61*6)+($Q61)+($R61*0.1)+($S61*6)+($T61*-2)</f>
        <v>0</v>
      </c>
      <c r="W61" s="3" t="e">
        <f t="shared" ref="W61:W72" ca="1" si="2">$P61/$H$33</f>
        <v>#DIV/0!</v>
      </c>
      <c r="X61" s="3" t="e">
        <f t="shared" ref="X61:X72" si="3">$N61/$M61</f>
        <v>#DIV/0!</v>
      </c>
      <c r="Y61" s="3" t="e">
        <f t="shared" ref="Y61:Y72" si="4">$R61/$Q61</f>
        <v>#DIV/0!</v>
      </c>
      <c r="Z61" s="3" t="e">
        <f t="shared" ref="Z61:Z72" si="5">$I61/$H61</f>
        <v>#DIV/0!</v>
      </c>
      <c r="AA61" s="3" t="e">
        <f>$K61/$H61</f>
        <v>#DIV/0!</v>
      </c>
      <c r="AB61" s="3">
        <f t="shared" ref="AB61:AB72" si="6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342</v>
      </c>
      <c r="B62" s="4" t="s">
        <v>43</v>
      </c>
      <c r="C62" s="4">
        <v>26</v>
      </c>
      <c r="D62" s="4">
        <v>6</v>
      </c>
      <c r="E62" s="4" t="s">
        <v>227</v>
      </c>
      <c r="F62" s="4" t="s">
        <v>311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>$K62/$H62</f>
        <v>#DIV/0!</v>
      </c>
      <c r="AB62" s="4">
        <f t="shared" si="6"/>
        <v>0</v>
      </c>
    </row>
    <row r="63" spans="1:28" x14ac:dyDescent="0.2">
      <c r="A63" s="3" t="s">
        <v>343</v>
      </c>
      <c r="B63" s="3" t="s">
        <v>43</v>
      </c>
      <c r="C63" s="3">
        <v>26</v>
      </c>
      <c r="D63" s="3">
        <v>2</v>
      </c>
      <c r="E63" s="3" t="s">
        <v>344</v>
      </c>
      <c r="F63" s="3" t="s">
        <v>311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>$K63/$H63</f>
        <v>#DIV/0!</v>
      </c>
      <c r="AB63" s="3">
        <f t="shared" si="6"/>
        <v>0</v>
      </c>
    </row>
    <row r="64" spans="1:28" x14ac:dyDescent="0.2">
      <c r="A64" s="4" t="s">
        <v>345</v>
      </c>
      <c r="B64" s="4" t="s">
        <v>43</v>
      </c>
      <c r="C64" s="4">
        <v>23</v>
      </c>
      <c r="D64" s="4">
        <v>3</v>
      </c>
      <c r="E64" s="4" t="s">
        <v>227</v>
      </c>
      <c r="F64" s="4" t="s">
        <v>311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>$K64/$H64</f>
        <v>#DIV/0!</v>
      </c>
      <c r="AB64" s="4">
        <f t="shared" si="6"/>
        <v>0</v>
      </c>
    </row>
    <row r="65" spans="1:28" x14ac:dyDescent="0.2">
      <c r="A65" s="3" t="s">
        <v>346</v>
      </c>
      <c r="B65" s="3" t="s">
        <v>43</v>
      </c>
      <c r="C65" s="3">
        <v>22</v>
      </c>
      <c r="D65" s="3">
        <v>0</v>
      </c>
      <c r="E65" s="3" t="s">
        <v>240</v>
      </c>
      <c r="F65" s="3" t="s">
        <v>311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>$K65/$H65</f>
        <v>#DIV/0!</v>
      </c>
      <c r="AB65" s="3">
        <f t="shared" si="6"/>
        <v>0</v>
      </c>
    </row>
    <row r="66" spans="1:28" x14ac:dyDescent="0.2">
      <c r="A66" s="4" t="s">
        <v>347</v>
      </c>
      <c r="B66" s="4" t="s">
        <v>43</v>
      </c>
      <c r="C66" s="4">
        <v>26</v>
      </c>
      <c r="D66" s="4">
        <v>1</v>
      </c>
      <c r="E66" s="4" t="s">
        <v>213</v>
      </c>
      <c r="F66" s="4" t="s">
        <v>311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>$K66/$H66</f>
        <v>#DIV/0!</v>
      </c>
      <c r="AB66" s="4">
        <f t="shared" si="6"/>
        <v>0</v>
      </c>
    </row>
    <row r="67" spans="1:28" x14ac:dyDescent="0.2">
      <c r="A67" s="3" t="s">
        <v>348</v>
      </c>
      <c r="B67" s="3" t="s">
        <v>43</v>
      </c>
      <c r="C67" s="3">
        <v>24</v>
      </c>
      <c r="D67" s="3">
        <v>4</v>
      </c>
      <c r="E67" s="3" t="s">
        <v>84</v>
      </c>
      <c r="F67" s="3" t="s">
        <v>311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>$K67/$H67</f>
        <v>#DIV/0!</v>
      </c>
      <c r="AB67" s="3">
        <f t="shared" si="6"/>
        <v>0</v>
      </c>
    </row>
    <row r="68" spans="1:28" x14ac:dyDescent="0.2">
      <c r="A68" s="4" t="s">
        <v>349</v>
      </c>
      <c r="B68" s="4" t="s">
        <v>43</v>
      </c>
      <c r="C68" s="4">
        <v>24</v>
      </c>
      <c r="D68" s="4">
        <v>3</v>
      </c>
      <c r="E68" s="4" t="s">
        <v>341</v>
      </c>
      <c r="F68" s="4" t="s">
        <v>311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>$K68/$H68</f>
        <v>#DIV/0!</v>
      </c>
      <c r="AB68" s="4">
        <f t="shared" si="6"/>
        <v>0</v>
      </c>
    </row>
    <row r="69" spans="1:28" x14ac:dyDescent="0.2">
      <c r="A69" s="3" t="s">
        <v>350</v>
      </c>
      <c r="B69" s="3" t="s">
        <v>43</v>
      </c>
      <c r="C69" s="3">
        <v>32</v>
      </c>
      <c r="D69" s="3">
        <v>10</v>
      </c>
      <c r="E69" s="3" t="s">
        <v>351</v>
      </c>
      <c r="F69" s="3" t="s">
        <v>311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>$K69/$H69</f>
        <v>#DIV/0!</v>
      </c>
      <c r="AB69" s="3">
        <f t="shared" si="6"/>
        <v>0</v>
      </c>
    </row>
    <row r="70" spans="1:28" x14ac:dyDescent="0.2">
      <c r="A70" s="4" t="s">
        <v>352</v>
      </c>
      <c r="B70" s="4" t="s">
        <v>43</v>
      </c>
      <c r="C70" s="4">
        <v>23</v>
      </c>
      <c r="D70" s="4">
        <v>0</v>
      </c>
      <c r="E70" s="4" t="s">
        <v>341</v>
      </c>
      <c r="F70" s="4" t="s">
        <v>311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>$K70/$H70</f>
        <v>#DIV/0!</v>
      </c>
      <c r="AB70" s="4">
        <f t="shared" si="6"/>
        <v>0</v>
      </c>
    </row>
    <row r="71" spans="1:28" x14ac:dyDescent="0.2">
      <c r="A71" s="3" t="s">
        <v>353</v>
      </c>
      <c r="B71" s="3" t="s">
        <v>43</v>
      </c>
      <c r="C71" s="3">
        <v>28</v>
      </c>
      <c r="D71" s="3">
        <v>4</v>
      </c>
      <c r="E71" s="3" t="s">
        <v>173</v>
      </c>
      <c r="F71" s="3" t="s">
        <v>311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>$K71/$H71</f>
        <v>#DIV/0!</v>
      </c>
      <c r="AB71" s="3">
        <f t="shared" si="6"/>
        <v>0</v>
      </c>
    </row>
    <row r="72" spans="1:28" x14ac:dyDescent="0.2">
      <c r="A72" s="4" t="s">
        <v>354</v>
      </c>
      <c r="B72" s="4" t="s">
        <v>43</v>
      </c>
      <c r="C72" s="4">
        <v>25</v>
      </c>
      <c r="D72" s="4">
        <v>1</v>
      </c>
      <c r="E72" s="4" t="s">
        <v>89</v>
      </c>
      <c r="F72" s="4" t="s">
        <v>311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>$K72/$H72</f>
        <v>#DIV/0!</v>
      </c>
      <c r="AB72" s="4">
        <f t="shared" si="6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355</v>
      </c>
      <c r="B76" s="3" t="s">
        <v>38</v>
      </c>
      <c r="C76" s="3">
        <v>29</v>
      </c>
      <c r="D76" s="3">
        <v>6</v>
      </c>
      <c r="E76" s="3" t="s">
        <v>341</v>
      </c>
      <c r="F76" s="3" t="s">
        <v>311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$K76/$H76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">
      <c r="A77" s="4" t="s">
        <v>356</v>
      </c>
      <c r="B77" s="4" t="s">
        <v>38</v>
      </c>
      <c r="C77" s="4">
        <v>26</v>
      </c>
      <c r="D77" s="4">
        <v>3</v>
      </c>
      <c r="E77" s="4" t="s">
        <v>357</v>
      </c>
      <c r="F77" s="4" t="s">
        <v>311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$K77/$H77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">
      <c r="A78" s="3" t="s">
        <v>358</v>
      </c>
      <c r="B78" s="3" t="s">
        <v>38</v>
      </c>
      <c r="C78" s="3">
        <v>26</v>
      </c>
      <c r="D78" s="3">
        <v>2</v>
      </c>
      <c r="E78" s="3" t="s">
        <v>227</v>
      </c>
      <c r="F78" s="3" t="s">
        <v>311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$K78/$H78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">
      <c r="A79" s="4" t="s">
        <v>359</v>
      </c>
      <c r="B79" s="4" t="s">
        <v>38</v>
      </c>
      <c r="C79" s="4">
        <v>27</v>
      </c>
      <c r="D79" s="4">
        <v>6</v>
      </c>
      <c r="E79" s="4" t="s">
        <v>360</v>
      </c>
      <c r="F79" s="4" t="s">
        <v>311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$K79/$H79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">
      <c r="A80" s="3" t="s">
        <v>361</v>
      </c>
      <c r="B80" s="3" t="s">
        <v>38</v>
      </c>
      <c r="C80" s="3">
        <v>23</v>
      </c>
      <c r="D80" s="3">
        <v>3</v>
      </c>
      <c r="E80" s="3" t="s">
        <v>362</v>
      </c>
      <c r="F80" s="3" t="s">
        <v>311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$K80/$H80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81"/>
  <sheetViews>
    <sheetView topLeftCell="A3" zoomScale="90" zoomScaleNormal="90" workbookViewId="0">
      <selection activeCell="A24" sqref="A24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363</v>
      </c>
      <c r="B2" s="3" t="s">
        <v>364</v>
      </c>
      <c r="C2" s="3" t="s">
        <v>115</v>
      </c>
      <c r="D2" s="3">
        <v>1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1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2.1881838074398201E-3</v>
      </c>
      <c r="U2" s="3"/>
      <c r="V2" s="3"/>
      <c r="W2" s="3"/>
      <c r="X2" s="3"/>
      <c r="Y2" s="3">
        <f t="shared" ref="Y2:Y23" si="0">($G2*Cp_yd)+($H2*Cp_td)+($I2*Cint)+($J2*Ccar)+($K2*Cr_yd)+($L2*Cr_td)+($N2*Crec)+($O2*Crec_yd)+($P2*Crec_td)+($Q2*Cfmb)+($R2*Ctp_c)</f>
        <v>0</v>
      </c>
    </row>
    <row r="3" spans="1:25" x14ac:dyDescent="0.2">
      <c r="A3" s="4" t="s">
        <v>365</v>
      </c>
      <c r="B3" s="4" t="s">
        <v>364</v>
      </c>
      <c r="C3" s="4" t="s">
        <v>26</v>
      </c>
      <c r="D3" s="4">
        <v>15</v>
      </c>
      <c r="E3" s="4">
        <v>318</v>
      </c>
      <c r="F3" s="4">
        <v>192</v>
      </c>
      <c r="G3" s="4">
        <v>2242</v>
      </c>
      <c r="H3" s="4">
        <v>17</v>
      </c>
      <c r="I3" s="4">
        <v>11</v>
      </c>
      <c r="J3" s="4">
        <v>160</v>
      </c>
      <c r="K3" s="4">
        <v>1143</v>
      </c>
      <c r="L3" s="4">
        <v>8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1</v>
      </c>
      <c r="S3" s="4">
        <v>295.98</v>
      </c>
      <c r="T3" s="4">
        <v>0</v>
      </c>
      <c r="U3" s="4">
        <v>7.1437499999999998</v>
      </c>
      <c r="V3" s="4"/>
      <c r="W3" s="4">
        <v>0.60377358490566002</v>
      </c>
      <c r="X3" s="4">
        <v>5.3459119496855299E-2</v>
      </c>
      <c r="Y3" s="4">
        <f t="shared" si="0"/>
        <v>295.98</v>
      </c>
    </row>
    <row r="4" spans="1:25" x14ac:dyDescent="0.2">
      <c r="A4" s="3" t="s">
        <v>366</v>
      </c>
      <c r="B4" s="3" t="s">
        <v>364</v>
      </c>
      <c r="C4" s="3" t="s">
        <v>26</v>
      </c>
      <c r="D4" s="3">
        <v>3</v>
      </c>
      <c r="E4" s="3">
        <v>25</v>
      </c>
      <c r="F4" s="3">
        <v>14</v>
      </c>
      <c r="G4" s="3">
        <v>139</v>
      </c>
      <c r="H4" s="3">
        <v>1</v>
      </c>
      <c r="I4" s="3">
        <v>1</v>
      </c>
      <c r="J4" s="3">
        <v>2</v>
      </c>
      <c r="K4" s="3">
        <v>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8.26</v>
      </c>
      <c r="T4" s="3">
        <v>0</v>
      </c>
      <c r="U4" s="3">
        <v>3.5</v>
      </c>
      <c r="V4" s="3"/>
      <c r="W4" s="3">
        <v>0.56000000000000005</v>
      </c>
      <c r="X4" s="3">
        <v>0.04</v>
      </c>
      <c r="Y4" s="3">
        <f t="shared" si="0"/>
        <v>8.26</v>
      </c>
    </row>
    <row r="5" spans="1:25" x14ac:dyDescent="0.2">
      <c r="A5" s="4" t="s">
        <v>367</v>
      </c>
      <c r="B5" s="4" t="s">
        <v>364</v>
      </c>
      <c r="C5" s="4" t="s">
        <v>26</v>
      </c>
      <c r="D5" s="4">
        <v>1</v>
      </c>
      <c r="E5" s="4">
        <v>8</v>
      </c>
      <c r="F5" s="4">
        <v>2</v>
      </c>
      <c r="G5" s="4">
        <v>33</v>
      </c>
      <c r="H5" s="4">
        <v>0</v>
      </c>
      <c r="I5" s="4">
        <v>2</v>
      </c>
      <c r="J5" s="4">
        <v>2</v>
      </c>
      <c r="K5" s="4">
        <v>-2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-2.88</v>
      </c>
      <c r="T5" s="4">
        <v>0</v>
      </c>
      <c r="U5" s="4">
        <v>-1</v>
      </c>
      <c r="V5" s="4"/>
      <c r="W5" s="4">
        <v>0.25</v>
      </c>
      <c r="X5" s="4">
        <v>0</v>
      </c>
      <c r="Y5" s="4">
        <f t="shared" si="0"/>
        <v>-2.88</v>
      </c>
    </row>
    <row r="6" spans="1:25" x14ac:dyDescent="0.2">
      <c r="A6" s="3" t="s">
        <v>368</v>
      </c>
      <c r="B6" s="3" t="s">
        <v>364</v>
      </c>
      <c r="C6" s="3" t="s">
        <v>26</v>
      </c>
      <c r="D6" s="3">
        <v>2</v>
      </c>
      <c r="E6" s="3">
        <v>26</v>
      </c>
      <c r="F6" s="3">
        <v>15</v>
      </c>
      <c r="G6" s="3">
        <v>184</v>
      </c>
      <c r="H6" s="3">
        <v>1</v>
      </c>
      <c r="I6" s="3">
        <v>1</v>
      </c>
      <c r="J6" s="3">
        <v>4</v>
      </c>
      <c r="K6" s="3">
        <v>8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10.16</v>
      </c>
      <c r="T6" s="3">
        <v>0</v>
      </c>
      <c r="U6" s="3">
        <v>2</v>
      </c>
      <c r="V6" s="3"/>
      <c r="W6" s="3">
        <v>0.57692307692307698</v>
      </c>
      <c r="X6" s="3">
        <v>3.8461538461538498E-2</v>
      </c>
      <c r="Y6" s="3">
        <f t="shared" si="0"/>
        <v>10.16</v>
      </c>
    </row>
    <row r="7" spans="1:25" x14ac:dyDescent="0.2">
      <c r="A7" s="4" t="s">
        <v>369</v>
      </c>
      <c r="B7" s="4" t="s">
        <v>364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14</v>
      </c>
      <c r="K7" s="4">
        <v>64</v>
      </c>
      <c r="L7" s="4">
        <v>0</v>
      </c>
      <c r="M7" s="4">
        <v>1</v>
      </c>
      <c r="N7" s="4">
        <v>1</v>
      </c>
      <c r="O7" s="4">
        <v>33</v>
      </c>
      <c r="P7" s="4">
        <v>0</v>
      </c>
      <c r="Q7" s="4">
        <v>0</v>
      </c>
      <c r="R7" s="4">
        <v>0</v>
      </c>
      <c r="S7" s="4">
        <v>10.7</v>
      </c>
      <c r="T7" s="4">
        <v>2.1881838074398201E-3</v>
      </c>
      <c r="U7" s="4">
        <v>4.5714285714285703</v>
      </c>
      <c r="V7" s="4">
        <v>33</v>
      </c>
      <c r="W7" s="4"/>
      <c r="X7" s="4"/>
      <c r="Y7" s="4">
        <f t="shared" si="0"/>
        <v>10.700000000000001</v>
      </c>
    </row>
    <row r="8" spans="1:25" x14ac:dyDescent="0.2">
      <c r="A8" s="3" t="s">
        <v>370</v>
      </c>
      <c r="B8" s="3" t="s">
        <v>364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201</v>
      </c>
      <c r="K8" s="3">
        <v>801</v>
      </c>
      <c r="L8" s="3">
        <v>5</v>
      </c>
      <c r="M8" s="3">
        <v>40</v>
      </c>
      <c r="N8" s="3">
        <v>34</v>
      </c>
      <c r="O8" s="3">
        <v>316</v>
      </c>
      <c r="P8" s="3">
        <v>1</v>
      </c>
      <c r="Q8" s="3">
        <v>1</v>
      </c>
      <c r="R8" s="3">
        <v>0</v>
      </c>
      <c r="S8" s="3">
        <v>177.7</v>
      </c>
      <c r="T8" s="3">
        <v>8.7527352297592995E-2</v>
      </c>
      <c r="U8" s="3">
        <v>3.98507462686567</v>
      </c>
      <c r="V8" s="3">
        <v>9.2941176470588207</v>
      </c>
      <c r="W8" s="3"/>
      <c r="X8" s="3"/>
      <c r="Y8" s="3">
        <f t="shared" si="0"/>
        <v>179.70000000000002</v>
      </c>
    </row>
    <row r="9" spans="1:25" x14ac:dyDescent="0.2">
      <c r="A9" s="4" t="s">
        <v>371</v>
      </c>
      <c r="B9" s="4" t="s">
        <v>364</v>
      </c>
      <c r="C9" s="4" t="s">
        <v>31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129</v>
      </c>
      <c r="K9" s="4">
        <v>731</v>
      </c>
      <c r="L9" s="4">
        <v>4</v>
      </c>
      <c r="M9" s="4">
        <v>12</v>
      </c>
      <c r="N9" s="4">
        <v>9</v>
      </c>
      <c r="O9" s="4">
        <v>57</v>
      </c>
      <c r="P9" s="4">
        <v>1</v>
      </c>
      <c r="Q9" s="4">
        <v>0</v>
      </c>
      <c r="R9" s="4">
        <v>0</v>
      </c>
      <c r="S9" s="4">
        <v>117.8</v>
      </c>
      <c r="T9" s="4">
        <v>2.6258205689277898E-2</v>
      </c>
      <c r="U9" s="4">
        <v>5.6666666666666696</v>
      </c>
      <c r="V9" s="4">
        <v>6.3333333333333304</v>
      </c>
      <c r="W9" s="4"/>
      <c r="X9" s="4"/>
      <c r="Y9" s="4">
        <f t="shared" si="0"/>
        <v>117.80000000000001</v>
      </c>
    </row>
    <row r="10" spans="1:25" x14ac:dyDescent="0.2">
      <c r="A10" s="3" t="s">
        <v>372</v>
      </c>
      <c r="B10" s="3" t="s">
        <v>364</v>
      </c>
      <c r="C10" s="3" t="s">
        <v>31</v>
      </c>
      <c r="D10" s="3">
        <v>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24</v>
      </c>
      <c r="K10" s="3">
        <v>54</v>
      </c>
      <c r="L10" s="3">
        <v>0</v>
      </c>
      <c r="M10" s="3">
        <v>7</v>
      </c>
      <c r="N10" s="3">
        <v>1</v>
      </c>
      <c r="O10" s="3">
        <v>6</v>
      </c>
      <c r="P10" s="3">
        <v>0</v>
      </c>
      <c r="Q10" s="3">
        <v>0</v>
      </c>
      <c r="R10" s="3">
        <v>0</v>
      </c>
      <c r="S10" s="3">
        <v>7</v>
      </c>
      <c r="T10" s="3">
        <v>1.53172866520788E-2</v>
      </c>
      <c r="U10" s="3">
        <v>2.25</v>
      </c>
      <c r="V10" s="3">
        <v>6</v>
      </c>
      <c r="W10" s="3"/>
      <c r="X10" s="3"/>
      <c r="Y10" s="3">
        <f t="shared" si="0"/>
        <v>7</v>
      </c>
    </row>
    <row r="11" spans="1:25" x14ac:dyDescent="0.2">
      <c r="A11" s="4" t="s">
        <v>373</v>
      </c>
      <c r="B11" s="4" t="s">
        <v>364</v>
      </c>
      <c r="C11" s="4" t="s">
        <v>38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9</v>
      </c>
      <c r="L11" s="4">
        <v>0</v>
      </c>
      <c r="M11" s="4">
        <v>69</v>
      </c>
      <c r="N11" s="4">
        <v>50</v>
      </c>
      <c r="O11" s="4">
        <v>544</v>
      </c>
      <c r="P11" s="4">
        <v>7</v>
      </c>
      <c r="Q11" s="4">
        <v>0</v>
      </c>
      <c r="R11" s="4">
        <v>0</v>
      </c>
      <c r="S11" s="4">
        <v>147.30000000000001</v>
      </c>
      <c r="T11" s="4">
        <v>0.150984682713348</v>
      </c>
      <c r="U11" s="4">
        <v>4.5</v>
      </c>
      <c r="V11" s="4">
        <v>10.88</v>
      </c>
      <c r="W11" s="4"/>
      <c r="X11" s="4"/>
      <c r="Y11" s="4">
        <f t="shared" si="0"/>
        <v>147.30000000000001</v>
      </c>
    </row>
    <row r="12" spans="1:25" x14ac:dyDescent="0.2">
      <c r="A12" s="3" t="s">
        <v>374</v>
      </c>
      <c r="B12" s="3" t="s">
        <v>364</v>
      </c>
      <c r="C12" s="3" t="s">
        <v>38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2.1881838074398201E-3</v>
      </c>
      <c r="U12" s="3"/>
      <c r="V12" s="3"/>
      <c r="W12" s="3"/>
      <c r="X12" s="3"/>
      <c r="Y12" s="3">
        <f t="shared" si="0"/>
        <v>0</v>
      </c>
    </row>
    <row r="13" spans="1:25" x14ac:dyDescent="0.2">
      <c r="A13" s="4" t="s">
        <v>375</v>
      </c>
      <c r="B13" s="4" t="s">
        <v>364</v>
      </c>
      <c r="C13" s="4" t="s">
        <v>38</v>
      </c>
      <c r="D13" s="4">
        <v>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8</v>
      </c>
      <c r="N13" s="4">
        <v>4</v>
      </c>
      <c r="O13" s="4">
        <v>26</v>
      </c>
      <c r="P13" s="4">
        <v>0</v>
      </c>
      <c r="Q13" s="4">
        <v>0</v>
      </c>
      <c r="R13" s="4">
        <v>0</v>
      </c>
      <c r="S13" s="4">
        <v>6.6</v>
      </c>
      <c r="T13" s="4">
        <v>1.7505470459518599E-2</v>
      </c>
      <c r="U13" s="4"/>
      <c r="V13" s="4">
        <v>6.5</v>
      </c>
      <c r="W13" s="4"/>
      <c r="X13" s="4"/>
      <c r="Y13" s="4">
        <f t="shared" si="0"/>
        <v>6.6</v>
      </c>
    </row>
    <row r="14" spans="1:25" x14ac:dyDescent="0.2">
      <c r="A14" s="3" t="s">
        <v>376</v>
      </c>
      <c r="B14" s="3" t="s">
        <v>364</v>
      </c>
      <c r="C14" s="3" t="s">
        <v>38</v>
      </c>
      <c r="D14" s="3">
        <v>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4</v>
      </c>
      <c r="N14" s="3">
        <v>2</v>
      </c>
      <c r="O14" s="3">
        <v>26</v>
      </c>
      <c r="P14" s="3">
        <v>0</v>
      </c>
      <c r="Q14" s="3">
        <v>0</v>
      </c>
      <c r="R14" s="3">
        <v>0</v>
      </c>
      <c r="S14" s="3">
        <v>6.6</v>
      </c>
      <c r="T14" s="3">
        <v>8.7527352297592995E-3</v>
      </c>
      <c r="U14" s="3"/>
      <c r="V14" s="3">
        <v>13</v>
      </c>
      <c r="W14" s="3"/>
      <c r="X14" s="3"/>
      <c r="Y14" s="3">
        <f t="shared" si="0"/>
        <v>4.5999999999999996</v>
      </c>
    </row>
    <row r="15" spans="1:25" x14ac:dyDescent="0.2">
      <c r="A15" s="4" t="s">
        <v>377</v>
      </c>
      <c r="B15" s="4" t="s">
        <v>364</v>
      </c>
      <c r="C15" s="4" t="s">
        <v>43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16</v>
      </c>
      <c r="N15" s="4">
        <v>10</v>
      </c>
      <c r="O15" s="4">
        <v>135</v>
      </c>
      <c r="P15" s="4">
        <v>2</v>
      </c>
      <c r="Q15" s="4">
        <v>0</v>
      </c>
      <c r="R15" s="4">
        <v>0</v>
      </c>
      <c r="S15" s="4">
        <v>35.5</v>
      </c>
      <c r="T15" s="4">
        <v>3.5010940919037198E-2</v>
      </c>
      <c r="U15" s="4"/>
      <c r="V15" s="4">
        <v>13.5</v>
      </c>
      <c r="W15" s="4"/>
      <c r="X15" s="4"/>
      <c r="Y15" s="4">
        <f t="shared" si="0"/>
        <v>35.5</v>
      </c>
    </row>
    <row r="16" spans="1:25" x14ac:dyDescent="0.2">
      <c r="A16" s="3" t="s">
        <v>378</v>
      </c>
      <c r="B16" s="3" t="s">
        <v>364</v>
      </c>
      <c r="C16" s="3" t="s">
        <v>43</v>
      </c>
      <c r="D16" s="3">
        <v>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>
        <v>4</v>
      </c>
      <c r="L16" s="3">
        <v>0</v>
      </c>
      <c r="M16" s="3">
        <v>29</v>
      </c>
      <c r="N16" s="3">
        <v>14</v>
      </c>
      <c r="O16" s="3">
        <v>140</v>
      </c>
      <c r="P16" s="3">
        <v>0</v>
      </c>
      <c r="Q16" s="3">
        <v>0</v>
      </c>
      <c r="R16" s="3">
        <v>0</v>
      </c>
      <c r="S16" s="3">
        <v>26.4</v>
      </c>
      <c r="T16" s="3">
        <v>6.3457330415754895E-2</v>
      </c>
      <c r="U16" s="3">
        <v>4</v>
      </c>
      <c r="V16" s="3">
        <v>10</v>
      </c>
      <c r="W16" s="3"/>
      <c r="X16" s="3"/>
      <c r="Y16" s="3">
        <f t="shared" si="0"/>
        <v>28.4</v>
      </c>
    </row>
    <row r="17" spans="1:25" x14ac:dyDescent="0.2">
      <c r="A17" s="4" t="s">
        <v>379</v>
      </c>
      <c r="B17" s="4" t="s">
        <v>364</v>
      </c>
      <c r="C17" s="4" t="s">
        <v>43</v>
      </c>
      <c r="D17" s="4">
        <v>11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61</v>
      </c>
      <c r="N17" s="4">
        <v>40</v>
      </c>
      <c r="O17" s="4">
        <v>493</v>
      </c>
      <c r="P17" s="4">
        <v>2</v>
      </c>
      <c r="Q17" s="4">
        <v>0</v>
      </c>
      <c r="R17" s="4">
        <v>0</v>
      </c>
      <c r="S17" s="4">
        <v>101.5</v>
      </c>
      <c r="T17" s="4">
        <v>0.133479212253829</v>
      </c>
      <c r="U17" s="4">
        <v>2</v>
      </c>
      <c r="V17" s="4">
        <v>12.324999999999999</v>
      </c>
      <c r="W17" s="4"/>
      <c r="X17" s="4"/>
      <c r="Y17" s="4">
        <f t="shared" si="0"/>
        <v>101.5</v>
      </c>
    </row>
    <row r="18" spans="1:25" x14ac:dyDescent="0.2">
      <c r="A18" s="3" t="s">
        <v>380</v>
      </c>
      <c r="B18" s="3" t="s">
        <v>364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37</v>
      </c>
      <c r="L18" s="3">
        <v>0</v>
      </c>
      <c r="M18" s="3">
        <v>41</v>
      </c>
      <c r="N18" s="3">
        <v>19</v>
      </c>
      <c r="O18" s="3">
        <v>245</v>
      </c>
      <c r="P18" s="3">
        <v>3</v>
      </c>
      <c r="Q18" s="3">
        <v>0</v>
      </c>
      <c r="R18" s="3">
        <v>0</v>
      </c>
      <c r="S18" s="3">
        <v>65.2</v>
      </c>
      <c r="T18" s="3">
        <v>8.97155361050328E-2</v>
      </c>
      <c r="U18" s="3">
        <v>18.5</v>
      </c>
      <c r="V18" s="3">
        <v>12.894736842105299</v>
      </c>
      <c r="W18" s="3"/>
      <c r="X18" s="3"/>
      <c r="Y18" s="3">
        <f t="shared" si="0"/>
        <v>65.2</v>
      </c>
    </row>
    <row r="19" spans="1:25" x14ac:dyDescent="0.2">
      <c r="A19" s="4" t="s">
        <v>381</v>
      </c>
      <c r="B19" s="4" t="s">
        <v>364</v>
      </c>
      <c r="C19" s="4" t="s">
        <v>43</v>
      </c>
      <c r="D19" s="4">
        <v>16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6</v>
      </c>
      <c r="K19" s="4">
        <v>54</v>
      </c>
      <c r="L19" s="4">
        <v>0</v>
      </c>
      <c r="M19" s="4">
        <v>39</v>
      </c>
      <c r="N19" s="4">
        <v>22</v>
      </c>
      <c r="O19" s="4">
        <v>325</v>
      </c>
      <c r="P19" s="4">
        <v>1</v>
      </c>
      <c r="Q19" s="4">
        <v>0</v>
      </c>
      <c r="R19" s="4">
        <v>0</v>
      </c>
      <c r="S19" s="4">
        <v>63.9</v>
      </c>
      <c r="T19" s="4">
        <v>8.5339168490153203E-2</v>
      </c>
      <c r="U19" s="4">
        <v>9</v>
      </c>
      <c r="V19" s="4">
        <v>14.7727272727273</v>
      </c>
      <c r="W19" s="4"/>
      <c r="X19" s="4"/>
      <c r="Y19" s="4">
        <f t="shared" si="0"/>
        <v>65.900000000000006</v>
      </c>
    </row>
    <row r="20" spans="1:25" x14ac:dyDescent="0.2">
      <c r="A20" s="3" t="s">
        <v>382</v>
      </c>
      <c r="B20" s="3" t="s">
        <v>364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1</v>
      </c>
      <c r="K20" s="3">
        <v>-1</v>
      </c>
      <c r="L20" s="3">
        <v>0</v>
      </c>
      <c r="M20" s="3">
        <v>4</v>
      </c>
      <c r="N20" s="3">
        <v>1</v>
      </c>
      <c r="O20" s="3">
        <v>15</v>
      </c>
      <c r="P20" s="3">
        <v>0</v>
      </c>
      <c r="Q20" s="3">
        <v>0</v>
      </c>
      <c r="R20" s="3">
        <v>0</v>
      </c>
      <c r="S20" s="3">
        <v>0.4</v>
      </c>
      <c r="T20" s="3">
        <v>8.7527352297592995E-3</v>
      </c>
      <c r="U20" s="3">
        <v>-1</v>
      </c>
      <c r="V20" s="3">
        <v>15</v>
      </c>
      <c r="W20" s="3"/>
      <c r="X20" s="3"/>
      <c r="Y20" s="3">
        <f t="shared" si="0"/>
        <v>2.4</v>
      </c>
    </row>
    <row r="21" spans="1:25" x14ac:dyDescent="0.2">
      <c r="A21" s="4" t="s">
        <v>383</v>
      </c>
      <c r="B21" s="4" t="s">
        <v>364</v>
      </c>
      <c r="C21" s="4" t="s">
        <v>43</v>
      </c>
      <c r="D21" s="4">
        <v>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</v>
      </c>
      <c r="N21" s="4">
        <v>7</v>
      </c>
      <c r="O21" s="4">
        <v>116</v>
      </c>
      <c r="P21" s="4">
        <v>1</v>
      </c>
      <c r="Q21" s="4">
        <v>0</v>
      </c>
      <c r="R21" s="4">
        <v>0</v>
      </c>
      <c r="S21" s="4">
        <v>24.6</v>
      </c>
      <c r="T21" s="4">
        <v>1.9693654266958401E-2</v>
      </c>
      <c r="U21" s="4"/>
      <c r="V21" s="4">
        <v>16.571428571428601</v>
      </c>
      <c r="W21" s="4"/>
      <c r="X21" s="4"/>
      <c r="Y21" s="4">
        <f t="shared" si="0"/>
        <v>24.6</v>
      </c>
    </row>
    <row r="22" spans="1:25" x14ac:dyDescent="0.2">
      <c r="A22" s="3" t="s">
        <v>384</v>
      </c>
      <c r="B22" s="3" t="s">
        <v>364</v>
      </c>
      <c r="C22" s="3" t="s">
        <v>43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3</v>
      </c>
      <c r="N22" s="3">
        <v>2</v>
      </c>
      <c r="O22" s="3">
        <v>14</v>
      </c>
      <c r="P22" s="3">
        <v>0</v>
      </c>
      <c r="Q22" s="3">
        <v>0</v>
      </c>
      <c r="R22" s="3">
        <v>0</v>
      </c>
      <c r="S22" s="3">
        <v>3.4</v>
      </c>
      <c r="T22" s="3">
        <v>6.5645514223194703E-3</v>
      </c>
      <c r="U22" s="3"/>
      <c r="V22" s="3">
        <v>7</v>
      </c>
      <c r="W22" s="3"/>
      <c r="X22" s="3"/>
      <c r="Y22" s="3">
        <f t="shared" si="0"/>
        <v>3.4000000000000004</v>
      </c>
    </row>
    <row r="23" spans="1:25" x14ac:dyDescent="0.2">
      <c r="A23" s="4" t="s">
        <v>385</v>
      </c>
      <c r="B23" s="4" t="s">
        <v>364</v>
      </c>
      <c r="C23" s="4" t="s">
        <v>43</v>
      </c>
      <c r="D23" s="4">
        <v>9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9</v>
      </c>
      <c r="K23" s="4">
        <v>103</v>
      </c>
      <c r="L23" s="4">
        <v>1</v>
      </c>
      <c r="M23" s="4">
        <v>14</v>
      </c>
      <c r="N23" s="4">
        <v>7</v>
      </c>
      <c r="O23" s="4">
        <v>107</v>
      </c>
      <c r="P23" s="4">
        <v>1</v>
      </c>
      <c r="Q23" s="4">
        <v>1</v>
      </c>
      <c r="R23" s="4">
        <v>0</v>
      </c>
      <c r="S23" s="4">
        <v>38</v>
      </c>
      <c r="T23" s="4">
        <v>3.06345733041575E-2</v>
      </c>
      <c r="U23" s="4">
        <v>11.4444444444444</v>
      </c>
      <c r="V23" s="4">
        <v>15.285714285714301</v>
      </c>
      <c r="W23" s="4"/>
      <c r="X23" s="4"/>
      <c r="Y23" s="4">
        <f t="shared" si="0"/>
        <v>38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364</v>
      </c>
      <c r="B31" s="3">
        <v>5612</v>
      </c>
      <c r="C31" s="3">
        <v>2598</v>
      </c>
      <c r="D31" s="3">
        <v>558</v>
      </c>
      <c r="E31" s="3">
        <v>3014</v>
      </c>
      <c r="F31" s="3">
        <v>18</v>
      </c>
      <c r="G31" s="3">
        <v>1144.1199999999999</v>
      </c>
      <c r="H31" s="3">
        <v>377</v>
      </c>
      <c r="I31" s="3">
        <v>0.59151193633952304</v>
      </c>
      <c r="J31" s="3">
        <v>19</v>
      </c>
      <c r="K31" s="3">
        <v>15</v>
      </c>
      <c r="L31" s="3">
        <v>4</v>
      </c>
      <c r="M31" s="3">
        <f ca="1">SUM(INDIRECT(A33 &amp; "_Table1[[#All],[f_custom]]"))</f>
        <v>1150.1200000000001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CHI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386</v>
      </c>
      <c r="B36" s="3" t="s">
        <v>26</v>
      </c>
      <c r="C36" s="3">
        <v>23</v>
      </c>
      <c r="D36" s="3">
        <v>0</v>
      </c>
      <c r="E36" s="3" t="s">
        <v>387</v>
      </c>
      <c r="F36" s="3" t="s">
        <v>364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388</v>
      </c>
      <c r="B37" s="4" t="s">
        <v>26</v>
      </c>
      <c r="C37" s="4">
        <v>24</v>
      </c>
      <c r="D37" s="4">
        <v>3</v>
      </c>
      <c r="E37" s="4" t="s">
        <v>213</v>
      </c>
      <c r="F37" s="4" t="s">
        <v>364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389</v>
      </c>
      <c r="B38" s="3" t="s">
        <v>26</v>
      </c>
      <c r="C38" s="3">
        <v>29</v>
      </c>
      <c r="D38" s="3">
        <v>7</v>
      </c>
      <c r="E38" s="3" t="s">
        <v>74</v>
      </c>
      <c r="F38" s="3" t="s">
        <v>364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">
      <c r="A39" s="4" t="s">
        <v>390</v>
      </c>
      <c r="B39" s="4" t="s">
        <v>26</v>
      </c>
      <c r="C39" s="4">
        <v>28</v>
      </c>
      <c r="D39" s="4">
        <v>4</v>
      </c>
      <c r="E39" s="4" t="s">
        <v>391</v>
      </c>
      <c r="F39" s="4" t="s">
        <v>364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392</v>
      </c>
      <c r="B46" s="3" t="s">
        <v>31</v>
      </c>
      <c r="C46" s="3">
        <v>24</v>
      </c>
      <c r="D46" s="3">
        <v>2</v>
      </c>
      <c r="E46" s="3" t="s">
        <v>393</v>
      </c>
      <c r="F46" s="3" t="s">
        <v>364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$K46/$H46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">
      <c r="A47" s="4" t="s">
        <v>394</v>
      </c>
      <c r="B47" s="4" t="s">
        <v>31</v>
      </c>
      <c r="C47" s="4">
        <v>27</v>
      </c>
      <c r="D47" s="4">
        <v>6</v>
      </c>
      <c r="E47" s="4" t="s">
        <v>66</v>
      </c>
      <c r="F47" s="4" t="s">
        <v>364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$K47/$H47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">
      <c r="A48" s="3" t="s">
        <v>395</v>
      </c>
      <c r="B48" s="3" t="s">
        <v>31</v>
      </c>
      <c r="C48" s="3">
        <v>25</v>
      </c>
      <c r="D48" s="3">
        <v>3</v>
      </c>
      <c r="E48" s="3" t="s">
        <v>333</v>
      </c>
      <c r="F48" s="3" t="s">
        <v>364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$K48/$H48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">
      <c r="A49" s="4" t="s">
        <v>396</v>
      </c>
      <c r="B49" s="4" t="s">
        <v>31</v>
      </c>
      <c r="C49" s="4">
        <v>25</v>
      </c>
      <c r="D49" s="4">
        <v>5</v>
      </c>
      <c r="E49" s="4" t="s">
        <v>397</v>
      </c>
      <c r="F49" s="4" t="s">
        <v>364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$K49/$H49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">
      <c r="A50" s="3" t="s">
        <v>398</v>
      </c>
      <c r="B50" s="3" t="s">
        <v>31</v>
      </c>
      <c r="C50" s="3">
        <v>22</v>
      </c>
      <c r="D50" s="3">
        <v>0</v>
      </c>
      <c r="E50" s="3" t="s">
        <v>66</v>
      </c>
      <c r="F50" s="3" t="s">
        <v>364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$K50/$H50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399</v>
      </c>
      <c r="B61" s="3" t="s">
        <v>43</v>
      </c>
      <c r="C61" s="3">
        <v>25</v>
      </c>
      <c r="D61" s="3">
        <v>4</v>
      </c>
      <c r="E61" s="3" t="s">
        <v>362</v>
      </c>
      <c r="F61" s="3" t="s">
        <v>364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1">($J61*0.04)+($K61*4)+($L61*-2)+($N61*0.1)+($O61*6)+($Q61)+($R61*0.1)+($S61*6)+($T61*-2)</f>
        <v>0</v>
      </c>
      <c r="W61" s="3" t="e">
        <f t="shared" ref="W61:W71" ca="1" si="2">$P61/$H$33</f>
        <v>#DIV/0!</v>
      </c>
      <c r="X61" s="3" t="e">
        <f t="shared" ref="X61:X71" si="3">$N61/$M61</f>
        <v>#DIV/0!</v>
      </c>
      <c r="Y61" s="3" t="e">
        <f t="shared" ref="Y61:Y71" si="4">$R61/$Q61</f>
        <v>#DIV/0!</v>
      </c>
      <c r="Z61" s="3" t="e">
        <f t="shared" ref="Z61:Z71" si="5">$I61/$H61</f>
        <v>#DIV/0!</v>
      </c>
      <c r="AA61" s="3" t="e">
        <f>$K61/$H61</f>
        <v>#DIV/0!</v>
      </c>
      <c r="AB61" s="3">
        <f t="shared" ref="AB61:AB71" si="6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400</v>
      </c>
      <c r="B62" s="4" t="s">
        <v>43</v>
      </c>
      <c r="C62" s="4">
        <v>27</v>
      </c>
      <c r="D62" s="4">
        <v>5</v>
      </c>
      <c r="E62" s="4" t="s">
        <v>333</v>
      </c>
      <c r="F62" s="4" t="s">
        <v>364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>$K62/$H62</f>
        <v>#DIV/0!</v>
      </c>
      <c r="AB62" s="4">
        <f t="shared" si="6"/>
        <v>0</v>
      </c>
    </row>
    <row r="63" spans="1:28" x14ac:dyDescent="0.2">
      <c r="A63" s="3" t="s">
        <v>401</v>
      </c>
      <c r="B63" s="3" t="s">
        <v>43</v>
      </c>
      <c r="C63" s="3">
        <v>27</v>
      </c>
      <c r="D63" s="3">
        <v>4</v>
      </c>
      <c r="E63" s="3" t="s">
        <v>402</v>
      </c>
      <c r="F63" s="3" t="s">
        <v>364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>$K63/$H63</f>
        <v>#DIV/0!</v>
      </c>
      <c r="AB63" s="3">
        <f t="shared" si="6"/>
        <v>0</v>
      </c>
    </row>
    <row r="64" spans="1:28" x14ac:dyDescent="0.2">
      <c r="A64" s="4" t="s">
        <v>403</v>
      </c>
      <c r="B64" s="4" t="s">
        <v>43</v>
      </c>
      <c r="C64" s="4">
        <v>26</v>
      </c>
      <c r="D64" s="4">
        <v>2</v>
      </c>
      <c r="E64" s="4" t="s">
        <v>143</v>
      </c>
      <c r="F64" s="4" t="s">
        <v>364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>$K64/$H64</f>
        <v>#DIV/0!</v>
      </c>
      <c r="AB64" s="4">
        <f t="shared" si="6"/>
        <v>0</v>
      </c>
    </row>
    <row r="65" spans="1:28" x14ac:dyDescent="0.2">
      <c r="A65" s="3" t="s">
        <v>404</v>
      </c>
      <c r="B65" s="3" t="s">
        <v>43</v>
      </c>
      <c r="C65" s="3">
        <v>25</v>
      </c>
      <c r="D65" s="3">
        <v>4</v>
      </c>
      <c r="E65" s="3" t="s">
        <v>405</v>
      </c>
      <c r="F65" s="3" t="s">
        <v>364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>$K65/$H65</f>
        <v>#DIV/0!</v>
      </c>
      <c r="AB65" s="3">
        <f t="shared" si="6"/>
        <v>0</v>
      </c>
    </row>
    <row r="66" spans="1:28" x14ac:dyDescent="0.2">
      <c r="A66" s="4" t="s">
        <v>406</v>
      </c>
      <c r="B66" s="4" t="s">
        <v>43</v>
      </c>
      <c r="C66" s="4">
        <v>26</v>
      </c>
      <c r="D66" s="4">
        <v>6</v>
      </c>
      <c r="E66" s="4" t="s">
        <v>232</v>
      </c>
      <c r="F66" s="4" t="s">
        <v>364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>$K66/$H66</f>
        <v>#DIV/0!</v>
      </c>
      <c r="AB66" s="4">
        <f t="shared" si="6"/>
        <v>0</v>
      </c>
    </row>
    <row r="67" spans="1:28" x14ac:dyDescent="0.2">
      <c r="A67" s="3" t="s">
        <v>407</v>
      </c>
      <c r="B67" s="3" t="s">
        <v>43</v>
      </c>
      <c r="C67" s="3">
        <v>27</v>
      </c>
      <c r="D67" s="3">
        <v>6</v>
      </c>
      <c r="E67" s="3" t="s">
        <v>86</v>
      </c>
      <c r="F67" s="3" t="s">
        <v>364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>$K67/$H67</f>
        <v>#DIV/0!</v>
      </c>
      <c r="AB67" s="3">
        <f t="shared" si="6"/>
        <v>0</v>
      </c>
    </row>
    <row r="68" spans="1:28" x14ac:dyDescent="0.2">
      <c r="A68" s="4" t="s">
        <v>408</v>
      </c>
      <c r="B68" s="4" t="s">
        <v>43</v>
      </c>
      <c r="C68" s="4">
        <v>25</v>
      </c>
      <c r="D68" s="4">
        <v>2</v>
      </c>
      <c r="E68" s="4" t="s">
        <v>409</v>
      </c>
      <c r="F68" s="4" t="s">
        <v>364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>$K68/$H68</f>
        <v>#DIV/0!</v>
      </c>
      <c r="AB68" s="4">
        <f t="shared" si="6"/>
        <v>0</v>
      </c>
    </row>
    <row r="69" spans="1:28" x14ac:dyDescent="0.2">
      <c r="A69" s="3" t="s">
        <v>410</v>
      </c>
      <c r="B69" s="3" t="s">
        <v>43</v>
      </c>
      <c r="C69" s="3">
        <v>21</v>
      </c>
      <c r="D69" s="3">
        <v>0</v>
      </c>
      <c r="E69" s="3" t="s">
        <v>136</v>
      </c>
      <c r="F69" s="3" t="s">
        <v>364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>$K69/$H69</f>
        <v>#DIV/0!</v>
      </c>
      <c r="AB69" s="3">
        <f t="shared" si="6"/>
        <v>0</v>
      </c>
    </row>
    <row r="70" spans="1:28" x14ac:dyDescent="0.2">
      <c r="A70" s="4" t="s">
        <v>411</v>
      </c>
      <c r="B70" s="4" t="s">
        <v>43</v>
      </c>
      <c r="C70" s="4">
        <v>26</v>
      </c>
      <c r="D70" s="4">
        <v>6</v>
      </c>
      <c r="E70" s="4" t="s">
        <v>362</v>
      </c>
      <c r="F70" s="4" t="s">
        <v>364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>$K70/$H70</f>
        <v>#DIV/0!</v>
      </c>
      <c r="AB70" s="4">
        <f t="shared" si="6"/>
        <v>0</v>
      </c>
    </row>
    <row r="71" spans="1:28" x14ac:dyDescent="0.2">
      <c r="A71" s="3" t="s">
        <v>412</v>
      </c>
      <c r="B71" s="3" t="s">
        <v>43</v>
      </c>
      <c r="C71" s="3">
        <v>27</v>
      </c>
      <c r="D71" s="3">
        <v>4</v>
      </c>
      <c r="E71" s="3" t="s">
        <v>413</v>
      </c>
      <c r="F71" s="3" t="s">
        <v>364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>$K71/$H71</f>
        <v>#DIV/0!</v>
      </c>
      <c r="AB71" s="3">
        <f t="shared" si="6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414</v>
      </c>
      <c r="B76" s="3" t="s">
        <v>38</v>
      </c>
      <c r="C76" s="3">
        <v>26</v>
      </c>
      <c r="D76" s="3">
        <v>4</v>
      </c>
      <c r="E76" s="3" t="s">
        <v>415</v>
      </c>
      <c r="F76" s="3" t="s">
        <v>364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7">($J76*0.04)+($K76*4)+($L76*-2)+($N76*0.1)+($O76*6)+($Q76)+($R76*0.1)+($S76*6)+($T76*-2)</f>
        <v>0</v>
      </c>
      <c r="W76" s="3" t="e">
        <f t="shared" ref="W76:W81" ca="1" si="8">$P76/$H$33</f>
        <v>#DIV/0!</v>
      </c>
      <c r="X76" s="3" t="e">
        <f t="shared" ref="X76:X81" si="9">$N76/$M76</f>
        <v>#DIV/0!</v>
      </c>
      <c r="Y76" s="3" t="e">
        <f t="shared" ref="Y76:Y81" si="10">$R76/$Q76</f>
        <v>#DIV/0!</v>
      </c>
      <c r="Z76" s="3" t="e">
        <f t="shared" ref="Z76:Z81" si="11">$I76/$H76</f>
        <v>#DIV/0!</v>
      </c>
      <c r="AA76" s="3" t="e">
        <f>$K76/$H76</f>
        <v>#DIV/0!</v>
      </c>
      <c r="AB76" s="3">
        <f t="shared" ref="AB76:AB81" si="12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416</v>
      </c>
      <c r="B77" s="4" t="s">
        <v>38</v>
      </c>
      <c r="C77" s="4">
        <v>24</v>
      </c>
      <c r="D77" s="4">
        <v>4</v>
      </c>
      <c r="E77" s="4" t="s">
        <v>362</v>
      </c>
      <c r="F77" s="4" t="s">
        <v>364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7"/>
        <v>0</v>
      </c>
      <c r="W77" s="4" t="e">
        <f t="shared" ca="1" si="8"/>
        <v>#DIV/0!</v>
      </c>
      <c r="X77" s="4" t="e">
        <f t="shared" si="9"/>
        <v>#DIV/0!</v>
      </c>
      <c r="Y77" s="4" t="e">
        <f t="shared" si="10"/>
        <v>#DIV/0!</v>
      </c>
      <c r="Z77" s="4" t="e">
        <f t="shared" si="11"/>
        <v>#DIV/0!</v>
      </c>
      <c r="AA77" s="4" t="e">
        <f>$K77/$H77</f>
        <v>#DIV/0!</v>
      </c>
      <c r="AB77" s="4">
        <f t="shared" si="12"/>
        <v>0</v>
      </c>
    </row>
    <row r="78" spans="1:28" x14ac:dyDescent="0.2">
      <c r="A78" s="3" t="s">
        <v>417</v>
      </c>
      <c r="B78" s="3" t="s">
        <v>38</v>
      </c>
      <c r="C78" s="3">
        <v>39</v>
      </c>
      <c r="D78" s="3">
        <v>18</v>
      </c>
      <c r="E78" s="3" t="s">
        <v>418</v>
      </c>
      <c r="F78" s="3" t="s">
        <v>364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7"/>
        <v>0</v>
      </c>
      <c r="W78" s="3" t="e">
        <f t="shared" ca="1" si="8"/>
        <v>#DIV/0!</v>
      </c>
      <c r="X78" s="3" t="e">
        <f t="shared" si="9"/>
        <v>#DIV/0!</v>
      </c>
      <c r="Y78" s="3" t="e">
        <f t="shared" si="10"/>
        <v>#DIV/0!</v>
      </c>
      <c r="Z78" s="3" t="e">
        <f t="shared" si="11"/>
        <v>#DIV/0!</v>
      </c>
      <c r="AA78" s="3" t="e">
        <f>$K78/$H78</f>
        <v>#DIV/0!</v>
      </c>
      <c r="AB78" s="3">
        <f t="shared" si="12"/>
        <v>0</v>
      </c>
    </row>
    <row r="79" spans="1:28" x14ac:dyDescent="0.2">
      <c r="A79" s="4" t="s">
        <v>419</v>
      </c>
      <c r="B79" s="4" t="s">
        <v>38</v>
      </c>
      <c r="C79" s="4">
        <v>25</v>
      </c>
      <c r="D79" s="4">
        <v>4</v>
      </c>
      <c r="E79" s="4" t="s">
        <v>300</v>
      </c>
      <c r="F79" s="4" t="s">
        <v>364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7"/>
        <v>0</v>
      </c>
      <c r="W79" s="4" t="e">
        <f t="shared" ca="1" si="8"/>
        <v>#DIV/0!</v>
      </c>
      <c r="X79" s="4" t="e">
        <f t="shared" si="9"/>
        <v>#DIV/0!</v>
      </c>
      <c r="Y79" s="4" t="e">
        <f t="shared" si="10"/>
        <v>#DIV/0!</v>
      </c>
      <c r="Z79" s="4" t="e">
        <f t="shared" si="11"/>
        <v>#DIV/0!</v>
      </c>
      <c r="AA79" s="4" t="e">
        <f>$K79/$H79</f>
        <v>#DIV/0!</v>
      </c>
      <c r="AB79" s="4">
        <f t="shared" si="12"/>
        <v>0</v>
      </c>
    </row>
    <row r="80" spans="1:28" x14ac:dyDescent="0.2">
      <c r="A80" s="3" t="s">
        <v>420</v>
      </c>
      <c r="B80" s="3" t="s">
        <v>38</v>
      </c>
      <c r="C80" s="3"/>
      <c r="D80" s="3">
        <v>0</v>
      </c>
      <c r="E80" s="3" t="s">
        <v>421</v>
      </c>
      <c r="F80" s="3" t="s">
        <v>364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7"/>
        <v>0</v>
      </c>
      <c r="W80" s="3" t="e">
        <f t="shared" ca="1" si="8"/>
        <v>#DIV/0!</v>
      </c>
      <c r="X80" s="3" t="e">
        <f t="shared" si="9"/>
        <v>#DIV/0!</v>
      </c>
      <c r="Y80" s="3" t="e">
        <f t="shared" si="10"/>
        <v>#DIV/0!</v>
      </c>
      <c r="Z80" s="3" t="e">
        <f t="shared" si="11"/>
        <v>#DIV/0!</v>
      </c>
      <c r="AA80" s="3" t="e">
        <f>$K80/$H80</f>
        <v>#DIV/0!</v>
      </c>
      <c r="AB80" s="3">
        <f t="shared" si="12"/>
        <v>0</v>
      </c>
    </row>
    <row r="81" spans="1:28" x14ac:dyDescent="0.2">
      <c r="A81" s="4" t="s">
        <v>422</v>
      </c>
      <c r="B81" s="4" t="s">
        <v>38</v>
      </c>
      <c r="C81" s="4">
        <v>29</v>
      </c>
      <c r="D81" s="4">
        <v>6</v>
      </c>
      <c r="E81" s="4" t="s">
        <v>423</v>
      </c>
      <c r="F81" s="4" t="s">
        <v>364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7"/>
        <v>0</v>
      </c>
      <c r="W81" s="4" t="e">
        <f t="shared" ca="1" si="8"/>
        <v>#DIV/0!</v>
      </c>
      <c r="X81" s="4" t="e">
        <f t="shared" si="9"/>
        <v>#DIV/0!</v>
      </c>
      <c r="Y81" s="4" t="e">
        <f t="shared" si="10"/>
        <v>#DIV/0!</v>
      </c>
      <c r="Z81" s="4" t="e">
        <f t="shared" si="11"/>
        <v>#DIV/0!</v>
      </c>
      <c r="AA81" s="4" t="e">
        <f>$K81/$H81</f>
        <v>#DIV/0!</v>
      </c>
      <c r="AB81" s="4">
        <f t="shared" si="12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B82"/>
  <sheetViews>
    <sheetView zoomScale="90" zoomScaleNormal="90" workbookViewId="0">
      <selection activeCell="A19" sqref="A19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424</v>
      </c>
      <c r="B2" s="3" t="s">
        <v>425</v>
      </c>
      <c r="C2" s="3" t="s">
        <v>26</v>
      </c>
      <c r="D2" s="3">
        <v>1</v>
      </c>
      <c r="E2" s="3">
        <v>3</v>
      </c>
      <c r="F2" s="3">
        <v>3</v>
      </c>
      <c r="G2" s="3">
        <v>22</v>
      </c>
      <c r="H2" s="3">
        <v>0</v>
      </c>
      <c r="I2" s="3">
        <v>0</v>
      </c>
      <c r="J2" s="3">
        <v>3</v>
      </c>
      <c r="K2" s="3">
        <v>-1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0.78</v>
      </c>
      <c r="T2" s="3">
        <v>0</v>
      </c>
      <c r="U2" s="3">
        <v>-0.33333333333333298</v>
      </c>
      <c r="V2" s="3"/>
      <c r="W2" s="3">
        <v>1</v>
      </c>
      <c r="X2" s="3">
        <v>0</v>
      </c>
      <c r="Y2" s="3">
        <f t="shared" ref="Y2:Y18" si="0">($G2*Cp_yd)+($H2*Cp_td)+($I2*Cint)+($J2*Ccar)+($K2*Cr_yd)+($L2*Cr_td)+($N2*Crec)+($O2*Crec_yd)+($P2*Crec_td)+($Q2*Cfmb)+($R2*Ctp_c)</f>
        <v>0.78</v>
      </c>
    </row>
    <row r="3" spans="1:25" x14ac:dyDescent="0.2">
      <c r="A3" s="4" t="s">
        <v>426</v>
      </c>
      <c r="B3" s="4" t="s">
        <v>425</v>
      </c>
      <c r="C3" s="4" t="s">
        <v>26</v>
      </c>
      <c r="D3" s="4">
        <v>16</v>
      </c>
      <c r="E3" s="4">
        <v>606</v>
      </c>
      <c r="F3" s="4">
        <v>414</v>
      </c>
      <c r="G3" s="4">
        <v>4475</v>
      </c>
      <c r="H3" s="4">
        <v>35</v>
      </c>
      <c r="I3" s="4">
        <v>12</v>
      </c>
      <c r="J3" s="4">
        <v>75</v>
      </c>
      <c r="K3" s="4">
        <v>257</v>
      </c>
      <c r="L3" s="4">
        <v>5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3</v>
      </c>
      <c r="S3" s="4">
        <v>350.7</v>
      </c>
      <c r="T3" s="4">
        <v>0</v>
      </c>
      <c r="U3" s="4">
        <v>3.4266666666666699</v>
      </c>
      <c r="V3" s="4"/>
      <c r="W3" s="4">
        <v>0.683168316831683</v>
      </c>
      <c r="X3" s="4">
        <v>5.7755775577557802E-2</v>
      </c>
      <c r="Y3" s="4">
        <f t="shared" si="0"/>
        <v>350.7</v>
      </c>
    </row>
    <row r="4" spans="1:25" x14ac:dyDescent="0.2">
      <c r="A4" s="3" t="s">
        <v>427</v>
      </c>
      <c r="B4" s="3" t="s">
        <v>425</v>
      </c>
      <c r="C4" s="3" t="s">
        <v>31</v>
      </c>
      <c r="D4" s="3">
        <v>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4</v>
      </c>
      <c r="N4" s="3">
        <v>3</v>
      </c>
      <c r="O4" s="3">
        <v>38</v>
      </c>
      <c r="P4" s="3">
        <v>1</v>
      </c>
      <c r="Q4" s="3">
        <v>0</v>
      </c>
      <c r="R4" s="3">
        <v>0</v>
      </c>
      <c r="S4" s="3">
        <v>12.8</v>
      </c>
      <c r="T4" s="3">
        <v>1.0610079575596801E-2</v>
      </c>
      <c r="U4" s="3"/>
      <c r="V4" s="3">
        <v>12.6666666666667</v>
      </c>
      <c r="W4" s="3"/>
      <c r="X4" s="3"/>
      <c r="Y4" s="3">
        <f t="shared" si="0"/>
        <v>12.8</v>
      </c>
    </row>
    <row r="5" spans="1:25" x14ac:dyDescent="0.2">
      <c r="A5" s="4" t="s">
        <v>428</v>
      </c>
      <c r="B5" s="4" t="s">
        <v>425</v>
      </c>
      <c r="C5" s="4" t="s">
        <v>31</v>
      </c>
      <c r="D5" s="4">
        <v>14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210</v>
      </c>
      <c r="K5" s="4">
        <v>814</v>
      </c>
      <c r="L5" s="4">
        <v>7</v>
      </c>
      <c r="M5" s="4">
        <v>75</v>
      </c>
      <c r="N5" s="4">
        <v>60</v>
      </c>
      <c r="O5" s="4">
        <v>441</v>
      </c>
      <c r="P5" s="4">
        <v>2</v>
      </c>
      <c r="Q5" s="4">
        <v>0</v>
      </c>
      <c r="R5" s="4">
        <v>0</v>
      </c>
      <c r="S5" s="4">
        <v>239.5</v>
      </c>
      <c r="T5" s="4">
        <v>0.19893899204244</v>
      </c>
      <c r="U5" s="4">
        <v>3.8761904761904802</v>
      </c>
      <c r="V5" s="4">
        <v>7.35</v>
      </c>
      <c r="W5" s="4"/>
      <c r="X5" s="4"/>
      <c r="Y5" s="4">
        <f t="shared" si="0"/>
        <v>239.5</v>
      </c>
    </row>
    <row r="6" spans="1:25" x14ac:dyDescent="0.2">
      <c r="A6" s="3" t="s">
        <v>429</v>
      </c>
      <c r="B6" s="3" t="s">
        <v>425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95</v>
      </c>
      <c r="K6" s="3">
        <v>394</v>
      </c>
      <c r="L6" s="3">
        <v>2</v>
      </c>
      <c r="M6" s="3">
        <v>51</v>
      </c>
      <c r="N6" s="3">
        <v>38</v>
      </c>
      <c r="O6" s="3">
        <v>287</v>
      </c>
      <c r="P6" s="3">
        <v>4</v>
      </c>
      <c r="Q6" s="3">
        <v>0</v>
      </c>
      <c r="R6" s="3">
        <v>0</v>
      </c>
      <c r="S6" s="3">
        <v>142.1</v>
      </c>
      <c r="T6" s="3">
        <v>0.13527851458885901</v>
      </c>
      <c r="U6" s="3">
        <v>4.1473684210526303</v>
      </c>
      <c r="V6" s="3">
        <v>7.5526315789473699</v>
      </c>
      <c r="W6" s="3"/>
      <c r="X6" s="3"/>
      <c r="Y6" s="3">
        <f t="shared" si="0"/>
        <v>142.10000000000002</v>
      </c>
    </row>
    <row r="7" spans="1:25" x14ac:dyDescent="0.2">
      <c r="A7" s="4" t="s">
        <v>36</v>
      </c>
      <c r="B7" s="4" t="s">
        <v>425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6</v>
      </c>
      <c r="K7" s="4">
        <v>30</v>
      </c>
      <c r="L7" s="4">
        <v>0</v>
      </c>
      <c r="M7" s="4">
        <v>3</v>
      </c>
      <c r="N7" s="4">
        <v>2</v>
      </c>
      <c r="O7" s="4">
        <v>30</v>
      </c>
      <c r="P7" s="4">
        <v>0</v>
      </c>
      <c r="Q7" s="4">
        <v>0</v>
      </c>
      <c r="R7" s="4">
        <v>0</v>
      </c>
      <c r="S7" s="4">
        <v>8</v>
      </c>
      <c r="T7" s="4">
        <v>7.9575596816976093E-3</v>
      </c>
      <c r="U7" s="4">
        <v>5</v>
      </c>
      <c r="V7" s="4">
        <v>15</v>
      </c>
      <c r="W7" s="4"/>
      <c r="X7" s="4"/>
      <c r="Y7" s="4">
        <f t="shared" si="0"/>
        <v>8</v>
      </c>
    </row>
    <row r="8" spans="1:25" x14ac:dyDescent="0.2">
      <c r="A8" s="3" t="s">
        <v>430</v>
      </c>
      <c r="B8" s="3" t="s">
        <v>425</v>
      </c>
      <c r="C8" s="3" t="s">
        <v>38</v>
      </c>
      <c r="D8" s="3">
        <v>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4</v>
      </c>
      <c r="N8" s="3">
        <v>2</v>
      </c>
      <c r="O8" s="3">
        <v>5</v>
      </c>
      <c r="P8" s="3">
        <v>0</v>
      </c>
      <c r="Q8" s="3">
        <v>0</v>
      </c>
      <c r="R8" s="3">
        <v>0</v>
      </c>
      <c r="S8" s="3">
        <v>2.5</v>
      </c>
      <c r="T8" s="3">
        <v>1.0610079575596801E-2</v>
      </c>
      <c r="U8" s="3"/>
      <c r="V8" s="3">
        <v>2.5</v>
      </c>
      <c r="W8" s="3"/>
      <c r="X8" s="3"/>
      <c r="Y8" s="3">
        <f t="shared" si="0"/>
        <v>2.5</v>
      </c>
    </row>
    <row r="9" spans="1:25" x14ac:dyDescent="0.2">
      <c r="A9" s="4" t="s">
        <v>431</v>
      </c>
      <c r="B9" s="4" t="s">
        <v>425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</v>
      </c>
      <c r="N9" s="4">
        <v>2</v>
      </c>
      <c r="O9" s="4">
        <v>-2</v>
      </c>
      <c r="P9" s="4">
        <v>0</v>
      </c>
      <c r="Q9" s="4">
        <v>0</v>
      </c>
      <c r="R9" s="4">
        <v>0</v>
      </c>
      <c r="S9" s="4">
        <v>1.8</v>
      </c>
      <c r="T9" s="4">
        <v>5.3050397877984099E-3</v>
      </c>
      <c r="U9" s="4"/>
      <c r="V9" s="4">
        <v>-1</v>
      </c>
      <c r="W9" s="4"/>
      <c r="X9" s="4"/>
      <c r="Y9" s="4">
        <f t="shared" si="0"/>
        <v>1.8</v>
      </c>
    </row>
    <row r="10" spans="1:25" x14ac:dyDescent="0.2">
      <c r="A10" s="3" t="s">
        <v>432</v>
      </c>
      <c r="B10" s="3" t="s">
        <v>425</v>
      </c>
      <c r="C10" s="3" t="s">
        <v>38</v>
      </c>
      <c r="D10" s="3">
        <v>13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68</v>
      </c>
      <c r="N10" s="3">
        <v>52</v>
      </c>
      <c r="O10" s="3">
        <v>414</v>
      </c>
      <c r="P10" s="3">
        <v>2</v>
      </c>
      <c r="Q10" s="3">
        <v>0</v>
      </c>
      <c r="R10" s="3">
        <v>0</v>
      </c>
      <c r="S10" s="3">
        <v>105.4</v>
      </c>
      <c r="T10" s="3">
        <v>0.18037135278514599</v>
      </c>
      <c r="U10" s="3"/>
      <c r="V10" s="3">
        <v>7.9615384615384599</v>
      </c>
      <c r="W10" s="3"/>
      <c r="X10" s="3"/>
      <c r="Y10" s="3">
        <f t="shared" si="0"/>
        <v>105.4</v>
      </c>
    </row>
    <row r="11" spans="1:25" x14ac:dyDescent="0.2">
      <c r="A11" s="4" t="s">
        <v>433</v>
      </c>
      <c r="B11" s="4" t="s">
        <v>425</v>
      </c>
      <c r="C11" s="4" t="s">
        <v>38</v>
      </c>
      <c r="D11" s="4">
        <v>9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18</v>
      </c>
      <c r="N11" s="4">
        <v>17</v>
      </c>
      <c r="O11" s="4">
        <v>139</v>
      </c>
      <c r="P11" s="4">
        <v>1</v>
      </c>
      <c r="Q11" s="4">
        <v>0</v>
      </c>
      <c r="R11" s="4">
        <v>0</v>
      </c>
      <c r="S11" s="4">
        <v>36.9</v>
      </c>
      <c r="T11" s="4">
        <v>4.7745358090185701E-2</v>
      </c>
      <c r="U11" s="4"/>
      <c r="V11" s="4">
        <v>8.1764705882352899</v>
      </c>
      <c r="W11" s="4"/>
      <c r="X11" s="4"/>
      <c r="Y11" s="4">
        <f t="shared" si="0"/>
        <v>36.9</v>
      </c>
    </row>
    <row r="12" spans="1:25" x14ac:dyDescent="0.2">
      <c r="A12" s="3" t="s">
        <v>434</v>
      </c>
      <c r="B12" s="3" t="s">
        <v>425</v>
      </c>
      <c r="C12" s="3" t="s">
        <v>43</v>
      </c>
      <c r="D12" s="3">
        <v>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5</v>
      </c>
      <c r="K12" s="3">
        <v>8</v>
      </c>
      <c r="L12" s="3">
        <v>0</v>
      </c>
      <c r="M12" s="3">
        <v>134</v>
      </c>
      <c r="N12" s="3">
        <v>87</v>
      </c>
      <c r="O12" s="3">
        <v>1046</v>
      </c>
      <c r="P12" s="3">
        <v>9</v>
      </c>
      <c r="Q12" s="3">
        <v>0</v>
      </c>
      <c r="R12" s="3">
        <v>0</v>
      </c>
      <c r="S12" s="3">
        <v>242.4</v>
      </c>
      <c r="T12" s="3">
        <v>0.35543766578249297</v>
      </c>
      <c r="U12" s="3">
        <v>1.6</v>
      </c>
      <c r="V12" s="3">
        <v>12.022988505747101</v>
      </c>
      <c r="W12" s="3"/>
      <c r="X12" s="3"/>
      <c r="Y12" s="3">
        <f t="shared" si="0"/>
        <v>246.4</v>
      </c>
    </row>
    <row r="13" spans="1:25" x14ac:dyDescent="0.2">
      <c r="A13" s="4" t="s">
        <v>435</v>
      </c>
      <c r="B13" s="4" t="s">
        <v>425</v>
      </c>
      <c r="C13" s="4" t="s">
        <v>43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</v>
      </c>
      <c r="N13" s="4">
        <v>2</v>
      </c>
      <c r="O13" s="4">
        <v>38</v>
      </c>
      <c r="P13" s="4">
        <v>0</v>
      </c>
      <c r="Q13" s="4">
        <v>0</v>
      </c>
      <c r="R13" s="4">
        <v>0</v>
      </c>
      <c r="S13" s="4">
        <v>7.8</v>
      </c>
      <c r="T13" s="4">
        <v>2.6525198938991999E-2</v>
      </c>
      <c r="U13" s="4"/>
      <c r="V13" s="4">
        <v>19</v>
      </c>
      <c r="W13" s="4"/>
      <c r="X13" s="4"/>
      <c r="Y13" s="4">
        <f t="shared" si="0"/>
        <v>5.8000000000000007</v>
      </c>
    </row>
    <row r="14" spans="1:25" x14ac:dyDescent="0.2">
      <c r="A14" s="3" t="s">
        <v>436</v>
      </c>
      <c r="B14" s="3" t="s">
        <v>425</v>
      </c>
      <c r="C14" s="3" t="s">
        <v>43</v>
      </c>
      <c r="D14" s="3">
        <v>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2.6525198938992002E-3</v>
      </c>
      <c r="U14" s="3"/>
      <c r="V14" s="3"/>
      <c r="W14" s="3"/>
      <c r="X14" s="3"/>
      <c r="Y14" s="3">
        <f t="shared" si="0"/>
        <v>0</v>
      </c>
    </row>
    <row r="15" spans="1:25" x14ac:dyDescent="0.2">
      <c r="A15" s="4" t="s">
        <v>437</v>
      </c>
      <c r="B15" s="4" t="s">
        <v>425</v>
      </c>
      <c r="C15" s="4" t="s">
        <v>43</v>
      </c>
      <c r="D15" s="4">
        <v>16</v>
      </c>
      <c r="E15" s="4">
        <v>1</v>
      </c>
      <c r="F15" s="4">
        <v>1</v>
      </c>
      <c r="G15" s="4">
        <v>23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82</v>
      </c>
      <c r="N15" s="4">
        <v>58</v>
      </c>
      <c r="O15" s="4">
        <v>762</v>
      </c>
      <c r="P15" s="4">
        <v>5</v>
      </c>
      <c r="Q15" s="4">
        <v>0</v>
      </c>
      <c r="R15" s="4">
        <v>0</v>
      </c>
      <c r="S15" s="4">
        <v>167.12</v>
      </c>
      <c r="T15" s="4">
        <v>0.21750663129973499</v>
      </c>
      <c r="U15" s="4"/>
      <c r="V15" s="4">
        <v>13.137931034482801</v>
      </c>
      <c r="W15" s="4">
        <v>1</v>
      </c>
      <c r="X15" s="4">
        <v>0</v>
      </c>
      <c r="Y15" s="4">
        <f t="shared" si="0"/>
        <v>165.12</v>
      </c>
    </row>
    <row r="16" spans="1:25" x14ac:dyDescent="0.2">
      <c r="A16" s="3" t="s">
        <v>438</v>
      </c>
      <c r="B16" s="3" t="s">
        <v>425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109</v>
      </c>
      <c r="N16" s="3">
        <v>74</v>
      </c>
      <c r="O16" s="3">
        <v>1029</v>
      </c>
      <c r="P16" s="3">
        <v>7</v>
      </c>
      <c r="Q16" s="3">
        <v>0</v>
      </c>
      <c r="R16" s="3">
        <v>0</v>
      </c>
      <c r="S16" s="3">
        <v>220.9</v>
      </c>
      <c r="T16" s="3">
        <v>0.289124668435013</v>
      </c>
      <c r="U16" s="3"/>
      <c r="V16" s="3">
        <v>13.9054054054054</v>
      </c>
      <c r="W16" s="3"/>
      <c r="X16" s="3"/>
      <c r="Y16" s="3">
        <f t="shared" si="0"/>
        <v>218.9</v>
      </c>
    </row>
    <row r="17" spans="1:25" x14ac:dyDescent="0.2">
      <c r="A17" s="4" t="s">
        <v>439</v>
      </c>
      <c r="B17" s="4" t="s">
        <v>425</v>
      </c>
      <c r="C17" s="4" t="s">
        <v>43</v>
      </c>
      <c r="D17" s="4">
        <v>9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11</v>
      </c>
      <c r="L17" s="4">
        <v>0</v>
      </c>
      <c r="M17" s="4">
        <v>23</v>
      </c>
      <c r="N17" s="4">
        <v>15</v>
      </c>
      <c r="O17" s="4">
        <v>231</v>
      </c>
      <c r="P17" s="4">
        <v>4</v>
      </c>
      <c r="Q17" s="4">
        <v>0</v>
      </c>
      <c r="R17" s="4">
        <v>0</v>
      </c>
      <c r="S17" s="4">
        <v>63.2</v>
      </c>
      <c r="T17" s="4">
        <v>6.1007957559681698E-2</v>
      </c>
      <c r="U17" s="4">
        <v>11</v>
      </c>
      <c r="V17" s="4">
        <v>15.4</v>
      </c>
      <c r="W17" s="4"/>
      <c r="X17" s="4"/>
      <c r="Y17" s="4">
        <f t="shared" si="0"/>
        <v>63.2</v>
      </c>
    </row>
    <row r="18" spans="1:25" x14ac:dyDescent="0.2">
      <c r="A18" s="3" t="s">
        <v>440</v>
      </c>
      <c r="B18" s="3" t="s">
        <v>425</v>
      </c>
      <c r="C18" s="3" t="s">
        <v>43</v>
      </c>
      <c r="D18" s="3">
        <v>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4</v>
      </c>
      <c r="K18" s="3">
        <v>15</v>
      </c>
      <c r="L18" s="3">
        <v>0</v>
      </c>
      <c r="M18" s="3">
        <v>10</v>
      </c>
      <c r="N18" s="3">
        <v>6</v>
      </c>
      <c r="O18" s="3">
        <v>62</v>
      </c>
      <c r="P18" s="3">
        <v>0</v>
      </c>
      <c r="Q18" s="3">
        <v>0</v>
      </c>
      <c r="R18" s="3">
        <v>0</v>
      </c>
      <c r="S18" s="3">
        <v>13.7</v>
      </c>
      <c r="T18" s="3">
        <v>2.6525198938991999E-2</v>
      </c>
      <c r="U18" s="3">
        <v>3.75</v>
      </c>
      <c r="V18" s="3">
        <v>10.3333333333333</v>
      </c>
      <c r="W18" s="3"/>
      <c r="X18" s="3"/>
      <c r="Y18" s="3">
        <f t="shared" si="0"/>
        <v>13.7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425</v>
      </c>
      <c r="B31" s="3">
        <v>6048</v>
      </c>
      <c r="C31" s="3">
        <v>4520</v>
      </c>
      <c r="D31" s="3">
        <v>399</v>
      </c>
      <c r="E31" s="3">
        <v>1528</v>
      </c>
      <c r="F31" s="3">
        <v>14</v>
      </c>
      <c r="G31" s="3">
        <v>1615.6</v>
      </c>
      <c r="H31" s="3">
        <v>610</v>
      </c>
      <c r="I31" s="3">
        <v>0.68524590163934396</v>
      </c>
      <c r="J31" s="3">
        <v>35</v>
      </c>
      <c r="K31" s="3">
        <v>12</v>
      </c>
      <c r="L31" s="3">
        <v>3</v>
      </c>
      <c r="M31" s="3">
        <f ca="1">SUM(INDIRECT(A33 &amp; "_Table1[[#All],[f_custom]]"))</f>
        <v>1613.6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CIN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441</v>
      </c>
      <c r="B36" s="3" t="s">
        <v>26</v>
      </c>
      <c r="C36" s="3">
        <v>27</v>
      </c>
      <c r="D36" s="3">
        <v>1</v>
      </c>
      <c r="E36" s="3" t="s">
        <v>86</v>
      </c>
      <c r="F36" s="3" t="s">
        <v>425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442</v>
      </c>
      <c r="B37" s="4" t="s">
        <v>26</v>
      </c>
      <c r="C37" s="4">
        <v>26</v>
      </c>
      <c r="D37" s="4">
        <v>4</v>
      </c>
      <c r="E37" s="4" t="s">
        <v>227</v>
      </c>
      <c r="F37" s="4" t="s">
        <v>425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443</v>
      </c>
      <c r="B38" s="3" t="s">
        <v>26</v>
      </c>
      <c r="C38" s="3">
        <v>31</v>
      </c>
      <c r="D38" s="3">
        <v>8</v>
      </c>
      <c r="E38" s="3" t="s">
        <v>141</v>
      </c>
      <c r="F38" s="3" t="s">
        <v>425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">
      <c r="A39" s="4" t="s">
        <v>444</v>
      </c>
      <c r="B39" s="4" t="s">
        <v>26</v>
      </c>
      <c r="C39" s="4">
        <v>26</v>
      </c>
      <c r="D39" s="4">
        <v>2</v>
      </c>
      <c r="E39" s="4" t="s">
        <v>211</v>
      </c>
      <c r="F39" s="4" t="s">
        <v>425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445</v>
      </c>
      <c r="B46" s="3" t="s">
        <v>31</v>
      </c>
      <c r="C46" s="3">
        <v>23</v>
      </c>
      <c r="D46" s="3">
        <v>0</v>
      </c>
      <c r="E46" s="3" t="s">
        <v>446</v>
      </c>
      <c r="F46" s="3" t="s">
        <v>425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447</v>
      </c>
      <c r="B47" s="4" t="s">
        <v>31</v>
      </c>
      <c r="C47" s="4">
        <v>25</v>
      </c>
      <c r="D47" s="4">
        <v>3</v>
      </c>
      <c r="E47" s="4" t="s">
        <v>105</v>
      </c>
      <c r="F47" s="4" t="s">
        <v>425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448</v>
      </c>
      <c r="B48" s="3" t="s">
        <v>31</v>
      </c>
      <c r="C48" s="3">
        <v>27</v>
      </c>
      <c r="D48" s="3">
        <v>7</v>
      </c>
      <c r="E48" s="3" t="s">
        <v>68</v>
      </c>
      <c r="F48" s="3" t="s">
        <v>425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449</v>
      </c>
      <c r="B49" s="4" t="s">
        <v>31</v>
      </c>
      <c r="C49" s="4">
        <v>23</v>
      </c>
      <c r="D49" s="4">
        <v>0</v>
      </c>
      <c r="E49" s="4" t="s">
        <v>450</v>
      </c>
      <c r="F49" s="4" t="s">
        <v>425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451</v>
      </c>
      <c r="B50" s="3" t="s">
        <v>31</v>
      </c>
      <c r="C50" s="3">
        <v>24</v>
      </c>
      <c r="D50" s="3">
        <v>0</v>
      </c>
      <c r="E50" s="3" t="s">
        <v>89</v>
      </c>
      <c r="F50" s="3" t="s">
        <v>425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452</v>
      </c>
      <c r="B51" s="4" t="s">
        <v>31</v>
      </c>
      <c r="C51" s="4">
        <v>25</v>
      </c>
      <c r="D51" s="4">
        <v>5</v>
      </c>
      <c r="E51" s="4" t="s">
        <v>307</v>
      </c>
      <c r="F51" s="4" t="s">
        <v>425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453</v>
      </c>
      <c r="B61" s="3" t="s">
        <v>43</v>
      </c>
      <c r="C61" s="3">
        <v>29</v>
      </c>
      <c r="D61" s="3">
        <v>8</v>
      </c>
      <c r="E61" s="3" t="s">
        <v>74</v>
      </c>
      <c r="F61" s="3" t="s">
        <v>425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7">($J61*0.04)+($K61*4)+($L61*-2)+($N61*0.1)+($O61*6)+($Q61)+($R61*0.1)+($S61*6)+($T61*-2)</f>
        <v>0</v>
      </c>
      <c r="W61" s="3" t="e">
        <f t="shared" ref="W61:W72" ca="1" si="8">$P61/$H$33</f>
        <v>#DIV/0!</v>
      </c>
      <c r="X61" s="3" t="e">
        <f t="shared" ref="X61:X72" si="9">$N61/$M61</f>
        <v>#DIV/0!</v>
      </c>
      <c r="Y61" s="3" t="e">
        <f t="shared" ref="Y61:Y72" si="10">$R61/$Q61</f>
        <v>#DIV/0!</v>
      </c>
      <c r="Z61" s="3" t="e">
        <f t="shared" ref="Z61:Z72" si="11">$I61/$H61</f>
        <v>#DIV/0!</v>
      </c>
      <c r="AA61" s="3" t="e">
        <f>$K61/$H61</f>
        <v>#DIV/0!</v>
      </c>
      <c r="AB61" s="3">
        <f t="shared" ref="AB61:AB72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454</v>
      </c>
      <c r="B62" s="4" t="s">
        <v>43</v>
      </c>
      <c r="C62" s="4">
        <v>23</v>
      </c>
      <c r="D62" s="4">
        <v>0</v>
      </c>
      <c r="E62" s="4" t="s">
        <v>455</v>
      </c>
      <c r="F62" s="4" t="s">
        <v>425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456</v>
      </c>
      <c r="B63" s="3" t="s">
        <v>43</v>
      </c>
      <c r="C63" s="3">
        <v>23</v>
      </c>
      <c r="D63" s="3">
        <v>3</v>
      </c>
      <c r="E63" s="3" t="s">
        <v>227</v>
      </c>
      <c r="F63" s="3" t="s">
        <v>425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457</v>
      </c>
      <c r="B64" s="4" t="s">
        <v>43</v>
      </c>
      <c r="C64" s="4">
        <v>24</v>
      </c>
      <c r="D64" s="4">
        <v>4</v>
      </c>
      <c r="E64" s="4" t="s">
        <v>458</v>
      </c>
      <c r="F64" s="4" t="s">
        <v>425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459</v>
      </c>
      <c r="B65" s="3" t="s">
        <v>43</v>
      </c>
      <c r="C65" s="3">
        <v>24</v>
      </c>
      <c r="D65" s="3">
        <v>0</v>
      </c>
      <c r="E65" s="3" t="s">
        <v>460</v>
      </c>
      <c r="F65" s="3" t="s">
        <v>425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461</v>
      </c>
      <c r="B66" s="4" t="s">
        <v>43</v>
      </c>
      <c r="C66" s="4">
        <v>23</v>
      </c>
      <c r="D66" s="4">
        <v>0</v>
      </c>
      <c r="E66" s="4" t="s">
        <v>415</v>
      </c>
      <c r="F66" s="4" t="s">
        <v>425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462</v>
      </c>
      <c r="B67" s="3" t="s">
        <v>43</v>
      </c>
      <c r="C67" s="3">
        <v>27</v>
      </c>
      <c r="D67" s="3">
        <v>3</v>
      </c>
      <c r="E67" s="3" t="s">
        <v>102</v>
      </c>
      <c r="F67" s="3" t="s">
        <v>425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463</v>
      </c>
      <c r="B68" s="4" t="s">
        <v>43</v>
      </c>
      <c r="C68" s="4">
        <v>23</v>
      </c>
      <c r="D68" s="4">
        <v>0</v>
      </c>
      <c r="E68" s="4" t="s">
        <v>464</v>
      </c>
      <c r="F68" s="4" t="s">
        <v>425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465</v>
      </c>
      <c r="B69" s="3" t="s">
        <v>43</v>
      </c>
      <c r="C69" s="3">
        <v>24</v>
      </c>
      <c r="D69" s="3">
        <v>0</v>
      </c>
      <c r="E69" s="3" t="s">
        <v>62</v>
      </c>
      <c r="F69" s="3" t="s">
        <v>425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466</v>
      </c>
      <c r="B70" s="4" t="s">
        <v>43</v>
      </c>
      <c r="C70" s="4">
        <v>25</v>
      </c>
      <c r="D70" s="4">
        <v>1</v>
      </c>
      <c r="E70" s="4" t="s">
        <v>467</v>
      </c>
      <c r="F70" s="4" t="s">
        <v>425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468</v>
      </c>
      <c r="B71" s="3" t="s">
        <v>43</v>
      </c>
      <c r="C71" s="3">
        <v>26</v>
      </c>
      <c r="D71" s="3">
        <v>5</v>
      </c>
      <c r="E71" s="3" t="s">
        <v>248</v>
      </c>
      <c r="F71" s="3" t="s">
        <v>425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469</v>
      </c>
      <c r="B72" s="4" t="s">
        <v>43</v>
      </c>
      <c r="C72" s="4">
        <v>29</v>
      </c>
      <c r="D72" s="4">
        <v>6</v>
      </c>
      <c r="E72" s="4" t="s">
        <v>64</v>
      </c>
      <c r="F72" s="4" t="s">
        <v>425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470</v>
      </c>
      <c r="B76" s="3" t="s">
        <v>38</v>
      </c>
      <c r="C76" s="3">
        <v>26</v>
      </c>
      <c r="D76" s="3">
        <v>4</v>
      </c>
      <c r="E76" s="3" t="s">
        <v>418</v>
      </c>
      <c r="F76" s="3" t="s">
        <v>425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3">($J76*0.04)+($K76*4)+($L76*-2)+($N76*0.1)+($O76*6)+($Q76)+($R76*0.1)+($S76*6)+($T76*-2)</f>
        <v>0</v>
      </c>
      <c r="W76" s="3" t="e">
        <f t="shared" ref="W76:W82" ca="1" si="14">$P76/$H$33</f>
        <v>#DIV/0!</v>
      </c>
      <c r="X76" s="3" t="e">
        <f t="shared" ref="X76:X82" si="15">$N76/$M76</f>
        <v>#DIV/0!</v>
      </c>
      <c r="Y76" s="3" t="e">
        <f t="shared" ref="Y76:Y82" si="16">$R76/$Q76</f>
        <v>#DIV/0!</v>
      </c>
      <c r="Z76" s="3" t="e">
        <f t="shared" ref="Z76:Z82" si="17">$I76/$H76</f>
        <v>#DIV/0!</v>
      </c>
      <c r="AA76" s="3" t="e">
        <f>$K76/$H76</f>
        <v>#DIV/0!</v>
      </c>
      <c r="AB76" s="3">
        <f t="shared" ref="AB76:AB82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471</v>
      </c>
      <c r="B77" s="4" t="s">
        <v>38</v>
      </c>
      <c r="C77" s="4">
        <v>27</v>
      </c>
      <c r="D77" s="4">
        <v>2</v>
      </c>
      <c r="E77" s="4" t="s">
        <v>339</v>
      </c>
      <c r="F77" s="4" t="s">
        <v>425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472</v>
      </c>
      <c r="B78" s="3" t="s">
        <v>38</v>
      </c>
      <c r="C78" s="3">
        <v>28</v>
      </c>
      <c r="D78" s="3">
        <v>4</v>
      </c>
      <c r="E78" s="3" t="s">
        <v>473</v>
      </c>
      <c r="F78" s="3" t="s">
        <v>425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474</v>
      </c>
      <c r="B79" s="4" t="s">
        <v>38</v>
      </c>
      <c r="C79" s="4">
        <v>27</v>
      </c>
      <c r="D79" s="4">
        <v>5</v>
      </c>
      <c r="E79" s="4" t="s">
        <v>86</v>
      </c>
      <c r="F79" s="4" t="s">
        <v>425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475</v>
      </c>
      <c r="B80" s="3" t="s">
        <v>38</v>
      </c>
      <c r="C80" s="3">
        <v>25</v>
      </c>
      <c r="D80" s="3">
        <v>5</v>
      </c>
      <c r="E80" s="3" t="s">
        <v>153</v>
      </c>
      <c r="F80" s="3" t="s">
        <v>425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476</v>
      </c>
      <c r="B81" s="4" t="s">
        <v>38</v>
      </c>
      <c r="C81" s="4">
        <v>24</v>
      </c>
      <c r="D81" s="4">
        <v>0</v>
      </c>
      <c r="E81" s="4" t="s">
        <v>70</v>
      </c>
      <c r="F81" s="4" t="s">
        <v>425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  <row r="82" spans="1:28" x14ac:dyDescent="0.2">
      <c r="A82" s="3" t="s">
        <v>477</v>
      </c>
      <c r="B82" s="3" t="s">
        <v>38</v>
      </c>
      <c r="C82" s="3">
        <v>26</v>
      </c>
      <c r="D82" s="3">
        <v>4</v>
      </c>
      <c r="E82" s="3" t="s">
        <v>80</v>
      </c>
      <c r="F82" s="3" t="s">
        <v>425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3"/>
        <v>0</v>
      </c>
      <c r="W82" s="3" t="e">
        <f t="shared" ca="1" si="14"/>
        <v>#DIV/0!</v>
      </c>
      <c r="X82" s="3" t="e">
        <f t="shared" si="15"/>
        <v>#DIV/0!</v>
      </c>
      <c r="Y82" s="3" t="e">
        <f t="shared" si="16"/>
        <v>#DIV/0!</v>
      </c>
      <c r="Z82" s="3" t="e">
        <f t="shared" si="17"/>
        <v>#DIV/0!</v>
      </c>
      <c r="AA82" s="3" t="e">
        <f>$K82/$H82</f>
        <v>#DIV/0!</v>
      </c>
      <c r="AB82" s="3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81"/>
  <sheetViews>
    <sheetView zoomScale="90" zoomScaleNormal="90" workbookViewId="0">
      <selection activeCell="A19" sqref="A19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478</v>
      </c>
      <c r="B2" s="3" t="s">
        <v>479</v>
      </c>
      <c r="C2" s="3" t="s">
        <v>26</v>
      </c>
      <c r="D2" s="3">
        <v>6</v>
      </c>
      <c r="E2" s="3">
        <v>170</v>
      </c>
      <c r="F2" s="3">
        <v>99</v>
      </c>
      <c r="G2" s="3">
        <v>1102</v>
      </c>
      <c r="H2" s="3">
        <v>7</v>
      </c>
      <c r="I2" s="3">
        <v>5</v>
      </c>
      <c r="J2" s="3">
        <v>36</v>
      </c>
      <c r="K2" s="3">
        <v>175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85.58</v>
      </c>
      <c r="T2" s="3">
        <v>0</v>
      </c>
      <c r="U2" s="3">
        <v>4.8611111111111098</v>
      </c>
      <c r="V2" s="3"/>
      <c r="W2" s="3">
        <v>0.58235294117647096</v>
      </c>
      <c r="X2" s="3">
        <v>4.11764705882353E-2</v>
      </c>
      <c r="Y2" s="3">
        <f t="shared" ref="Y2:Y18" si="0">($G2*Cp_yd)+($H2*Cp_td)+($I2*Cint)+($J2*Ccar)+($K2*Cr_yd)+($L2*Cr_td)+($N2*Crec)+($O2*Crec_yd)+($P2*Crec_td)+($Q2*Cfmb)+($R2*Ctp_c)</f>
        <v>85.58</v>
      </c>
    </row>
    <row r="3" spans="1:25" x14ac:dyDescent="0.2">
      <c r="A3" s="4" t="s">
        <v>480</v>
      </c>
      <c r="B3" s="4" t="s">
        <v>479</v>
      </c>
      <c r="C3" s="4" t="s">
        <v>26</v>
      </c>
      <c r="D3" s="4">
        <v>14</v>
      </c>
      <c r="E3" s="4">
        <v>369</v>
      </c>
      <c r="F3" s="4">
        <v>236</v>
      </c>
      <c r="G3" s="4">
        <v>2608</v>
      </c>
      <c r="H3" s="4">
        <v>12</v>
      </c>
      <c r="I3" s="4">
        <v>6</v>
      </c>
      <c r="J3" s="4">
        <v>49</v>
      </c>
      <c r="K3" s="4">
        <v>243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4</v>
      </c>
      <c r="R3" s="4">
        <v>0</v>
      </c>
      <c r="S3" s="4">
        <v>168.62</v>
      </c>
      <c r="T3" s="4">
        <v>0</v>
      </c>
      <c r="U3" s="4">
        <v>4.9591836734693899</v>
      </c>
      <c r="V3" s="4"/>
      <c r="W3" s="4">
        <v>0.63956639566395701</v>
      </c>
      <c r="X3" s="4">
        <v>3.2520325203252001E-2</v>
      </c>
      <c r="Y3" s="4">
        <f t="shared" si="0"/>
        <v>168.62</v>
      </c>
    </row>
    <row r="4" spans="1:25" x14ac:dyDescent="0.2">
      <c r="A4" s="3" t="s">
        <v>481</v>
      </c>
      <c r="B4" s="3" t="s">
        <v>479</v>
      </c>
      <c r="C4" s="3" t="s">
        <v>31</v>
      </c>
      <c r="D4" s="3">
        <v>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</v>
      </c>
      <c r="K4" s="3">
        <v>-4</v>
      </c>
      <c r="L4" s="3">
        <v>0</v>
      </c>
      <c r="M4" s="3">
        <v>4</v>
      </c>
      <c r="N4" s="3">
        <v>2</v>
      </c>
      <c r="O4" s="3">
        <v>8</v>
      </c>
      <c r="P4" s="3">
        <v>0</v>
      </c>
      <c r="Q4" s="3">
        <v>0</v>
      </c>
      <c r="R4" s="3">
        <v>0</v>
      </c>
      <c r="S4" s="3">
        <v>2.4</v>
      </c>
      <c r="T4" s="3">
        <v>6.5573770491803296E-3</v>
      </c>
      <c r="U4" s="3">
        <v>-4</v>
      </c>
      <c r="V4" s="3">
        <v>4</v>
      </c>
      <c r="W4" s="3"/>
      <c r="X4" s="3"/>
      <c r="Y4" s="3">
        <f t="shared" si="0"/>
        <v>2.4000000000000004</v>
      </c>
    </row>
    <row r="5" spans="1:25" x14ac:dyDescent="0.2">
      <c r="A5" s="4" t="s">
        <v>253</v>
      </c>
      <c r="B5" s="4" t="s">
        <v>479</v>
      </c>
      <c r="C5" s="4" t="s">
        <v>31</v>
      </c>
      <c r="D5" s="4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4</v>
      </c>
      <c r="K5" s="4">
        <v>17</v>
      </c>
      <c r="L5" s="4">
        <v>0</v>
      </c>
      <c r="M5" s="4">
        <v>3</v>
      </c>
      <c r="N5" s="4">
        <v>3</v>
      </c>
      <c r="O5" s="4">
        <v>7</v>
      </c>
      <c r="P5" s="4">
        <v>0</v>
      </c>
      <c r="Q5" s="4">
        <v>0</v>
      </c>
      <c r="R5" s="4">
        <v>0</v>
      </c>
      <c r="S5" s="4">
        <v>5.4</v>
      </c>
      <c r="T5" s="4">
        <v>4.9180327868852498E-3</v>
      </c>
      <c r="U5" s="4">
        <v>4.25</v>
      </c>
      <c r="V5" s="4">
        <v>2.3333333333333299</v>
      </c>
      <c r="W5" s="4"/>
      <c r="X5" s="4"/>
      <c r="Y5" s="4">
        <f t="shared" si="0"/>
        <v>5.4</v>
      </c>
    </row>
    <row r="6" spans="1:25" x14ac:dyDescent="0.2">
      <c r="A6" s="3" t="s">
        <v>482</v>
      </c>
      <c r="B6" s="3" t="s">
        <v>479</v>
      </c>
      <c r="C6" s="3" t="s">
        <v>31</v>
      </c>
      <c r="D6" s="3">
        <v>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</v>
      </c>
      <c r="K6" s="3">
        <v>12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1.2</v>
      </c>
      <c r="T6" s="3">
        <v>0</v>
      </c>
      <c r="U6" s="3">
        <v>1.5</v>
      </c>
      <c r="V6" s="3"/>
      <c r="W6" s="3"/>
      <c r="X6" s="3"/>
      <c r="Y6" s="3">
        <f t="shared" si="0"/>
        <v>1.2000000000000002</v>
      </c>
    </row>
    <row r="7" spans="1:25" x14ac:dyDescent="0.2">
      <c r="A7" s="4" t="s">
        <v>483</v>
      </c>
      <c r="B7" s="4" t="s">
        <v>479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123</v>
      </c>
      <c r="K7" s="4">
        <v>468</v>
      </c>
      <c r="L7" s="4">
        <v>3</v>
      </c>
      <c r="M7" s="4">
        <v>44</v>
      </c>
      <c r="N7" s="4">
        <v>35</v>
      </c>
      <c r="O7" s="4">
        <v>210</v>
      </c>
      <c r="P7" s="4">
        <v>1</v>
      </c>
      <c r="Q7" s="4">
        <v>0</v>
      </c>
      <c r="R7" s="4">
        <v>0</v>
      </c>
      <c r="S7" s="4">
        <v>126.8</v>
      </c>
      <c r="T7" s="4">
        <v>7.2131147540983598E-2</v>
      </c>
      <c r="U7" s="4">
        <v>3.8048780487804899</v>
      </c>
      <c r="V7" s="4">
        <v>6</v>
      </c>
      <c r="W7" s="4"/>
      <c r="X7" s="4"/>
      <c r="Y7" s="4">
        <f t="shared" si="0"/>
        <v>126.80000000000001</v>
      </c>
    </row>
    <row r="8" spans="1:25" x14ac:dyDescent="0.2">
      <c r="A8" s="3" t="s">
        <v>484</v>
      </c>
      <c r="B8" s="3" t="s">
        <v>479</v>
      </c>
      <c r="C8" s="3" t="s">
        <v>31</v>
      </c>
      <c r="D8" s="3">
        <v>17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302</v>
      </c>
      <c r="K8" s="3">
        <v>1525</v>
      </c>
      <c r="L8" s="3">
        <v>12</v>
      </c>
      <c r="M8" s="3">
        <v>37</v>
      </c>
      <c r="N8" s="3">
        <v>27</v>
      </c>
      <c r="O8" s="3">
        <v>239</v>
      </c>
      <c r="P8" s="3">
        <v>1</v>
      </c>
      <c r="Q8" s="3">
        <v>1</v>
      </c>
      <c r="R8" s="3">
        <v>1</v>
      </c>
      <c r="S8" s="3">
        <v>281.39999999999998</v>
      </c>
      <c r="T8" s="3">
        <v>6.0655737704918E-2</v>
      </c>
      <c r="U8" s="3">
        <v>5.0496688741721902</v>
      </c>
      <c r="V8" s="3">
        <v>8.8518518518518494</v>
      </c>
      <c r="W8" s="3"/>
      <c r="X8" s="3"/>
      <c r="Y8" s="3">
        <f t="shared" si="0"/>
        <v>281.39999999999998</v>
      </c>
    </row>
    <row r="9" spans="1:25" x14ac:dyDescent="0.2">
      <c r="A9" s="4" t="s">
        <v>485</v>
      </c>
      <c r="B9" s="4" t="s">
        <v>479</v>
      </c>
      <c r="C9" s="4" t="s">
        <v>38</v>
      </c>
      <c r="D9" s="4">
        <v>14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</v>
      </c>
      <c r="K9" s="4">
        <v>-8</v>
      </c>
      <c r="L9" s="4">
        <v>0</v>
      </c>
      <c r="M9" s="4">
        <v>80</v>
      </c>
      <c r="N9" s="4">
        <v>58</v>
      </c>
      <c r="O9" s="4">
        <v>628</v>
      </c>
      <c r="P9" s="4">
        <v>4</v>
      </c>
      <c r="Q9" s="4">
        <v>0</v>
      </c>
      <c r="R9" s="4">
        <v>0</v>
      </c>
      <c r="S9" s="4">
        <v>142</v>
      </c>
      <c r="T9" s="4">
        <v>0.13114754098360701</v>
      </c>
      <c r="U9" s="4">
        <v>-4</v>
      </c>
      <c r="V9" s="4">
        <v>10.8275862068966</v>
      </c>
      <c r="W9" s="4"/>
      <c r="X9" s="4"/>
      <c r="Y9" s="4">
        <f t="shared" si="0"/>
        <v>144</v>
      </c>
    </row>
    <row r="10" spans="1:25" x14ac:dyDescent="0.2">
      <c r="A10" s="3" t="s">
        <v>486</v>
      </c>
      <c r="B10" s="3" t="s">
        <v>479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</v>
      </c>
      <c r="K10" s="3">
        <v>8</v>
      </c>
      <c r="L10" s="3">
        <v>0</v>
      </c>
      <c r="M10" s="3">
        <v>42</v>
      </c>
      <c r="N10" s="3">
        <v>31</v>
      </c>
      <c r="O10" s="3">
        <v>239</v>
      </c>
      <c r="P10" s="3">
        <v>1</v>
      </c>
      <c r="Q10" s="3">
        <v>0</v>
      </c>
      <c r="R10" s="3">
        <v>0</v>
      </c>
      <c r="S10" s="3">
        <v>61.7</v>
      </c>
      <c r="T10" s="3">
        <v>6.8852459016393405E-2</v>
      </c>
      <c r="U10" s="3">
        <v>8</v>
      </c>
      <c r="V10" s="3">
        <v>7.7096774193548399</v>
      </c>
      <c r="W10" s="3"/>
      <c r="X10" s="3"/>
      <c r="Y10" s="3">
        <f t="shared" si="0"/>
        <v>61.7</v>
      </c>
    </row>
    <row r="11" spans="1:25" x14ac:dyDescent="0.2">
      <c r="A11" s="4" t="s">
        <v>487</v>
      </c>
      <c r="B11" s="4" t="s">
        <v>479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1.63934426229508E-3</v>
      </c>
      <c r="U11" s="4"/>
      <c r="V11" s="4"/>
      <c r="W11" s="4"/>
      <c r="X11" s="4"/>
      <c r="Y11" s="4">
        <f t="shared" si="0"/>
        <v>0</v>
      </c>
    </row>
    <row r="12" spans="1:25" x14ac:dyDescent="0.2">
      <c r="A12" s="3" t="s">
        <v>488</v>
      </c>
      <c r="B12" s="3" t="s">
        <v>479</v>
      </c>
      <c r="C12" s="3" t="s">
        <v>38</v>
      </c>
      <c r="D12" s="3">
        <v>4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10</v>
      </c>
      <c r="N12" s="3">
        <v>5</v>
      </c>
      <c r="O12" s="3">
        <v>45</v>
      </c>
      <c r="P12" s="3">
        <v>0</v>
      </c>
      <c r="Q12" s="3">
        <v>0</v>
      </c>
      <c r="R12" s="3">
        <v>0</v>
      </c>
      <c r="S12" s="3">
        <v>9.5</v>
      </c>
      <c r="T12" s="3">
        <v>1.63934426229508E-2</v>
      </c>
      <c r="U12" s="3"/>
      <c r="V12" s="3">
        <v>9</v>
      </c>
      <c r="W12" s="3"/>
      <c r="X12" s="3"/>
      <c r="Y12" s="3">
        <f t="shared" si="0"/>
        <v>9.5</v>
      </c>
    </row>
    <row r="13" spans="1:25" x14ac:dyDescent="0.2">
      <c r="A13" s="4" t="s">
        <v>489</v>
      </c>
      <c r="B13" s="4" t="s">
        <v>479</v>
      </c>
      <c r="C13" s="4" t="s">
        <v>43</v>
      </c>
      <c r="D13" s="4">
        <v>17</v>
      </c>
      <c r="E13" s="4">
        <v>1</v>
      </c>
      <c r="F13" s="4">
        <v>0</v>
      </c>
      <c r="G13" s="4">
        <v>0</v>
      </c>
      <c r="H13" s="4">
        <v>0</v>
      </c>
      <c r="I13" s="4">
        <v>1</v>
      </c>
      <c r="J13" s="4">
        <v>0</v>
      </c>
      <c r="K13" s="4">
        <v>0</v>
      </c>
      <c r="L13" s="4">
        <v>0</v>
      </c>
      <c r="M13" s="4">
        <v>132</v>
      </c>
      <c r="N13" s="4">
        <v>78</v>
      </c>
      <c r="O13" s="4">
        <v>1160</v>
      </c>
      <c r="P13" s="4">
        <v>9</v>
      </c>
      <c r="Q13" s="4">
        <v>0</v>
      </c>
      <c r="R13" s="4">
        <v>0</v>
      </c>
      <c r="S13" s="4">
        <v>246</v>
      </c>
      <c r="T13" s="4">
        <v>0.21639344262295099</v>
      </c>
      <c r="U13" s="4"/>
      <c r="V13" s="4">
        <v>14.871794871794901</v>
      </c>
      <c r="W13" s="4">
        <v>0</v>
      </c>
      <c r="X13" s="4">
        <v>0</v>
      </c>
      <c r="Y13" s="4">
        <f t="shared" si="0"/>
        <v>246</v>
      </c>
    </row>
    <row r="14" spans="1:25" x14ac:dyDescent="0.2">
      <c r="A14" s="3" t="s">
        <v>490</v>
      </c>
      <c r="B14" s="3" t="s">
        <v>479</v>
      </c>
      <c r="C14" s="3" t="s">
        <v>43</v>
      </c>
      <c r="D14" s="3">
        <v>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4</v>
      </c>
      <c r="K14" s="3">
        <v>57</v>
      </c>
      <c r="L14" s="3">
        <v>1</v>
      </c>
      <c r="M14" s="3">
        <v>10</v>
      </c>
      <c r="N14" s="3">
        <v>4</v>
      </c>
      <c r="O14" s="3">
        <v>51</v>
      </c>
      <c r="P14" s="3">
        <v>0</v>
      </c>
      <c r="Q14" s="3">
        <v>0</v>
      </c>
      <c r="R14" s="3">
        <v>0</v>
      </c>
      <c r="S14" s="3">
        <v>18.8</v>
      </c>
      <c r="T14" s="3">
        <v>1.63934426229508E-2</v>
      </c>
      <c r="U14" s="3">
        <v>14.25</v>
      </c>
      <c r="V14" s="3">
        <v>12.75</v>
      </c>
      <c r="W14" s="3"/>
      <c r="X14" s="3"/>
      <c r="Y14" s="3">
        <f t="shared" si="0"/>
        <v>20.8</v>
      </c>
    </row>
    <row r="15" spans="1:25" x14ac:dyDescent="0.2">
      <c r="A15" s="4" t="s">
        <v>491</v>
      </c>
      <c r="B15" s="4" t="s">
        <v>479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</v>
      </c>
      <c r="N15" s="4">
        <v>2</v>
      </c>
      <c r="O15" s="4">
        <v>25</v>
      </c>
      <c r="P15" s="4">
        <v>0</v>
      </c>
      <c r="Q15" s="4">
        <v>0</v>
      </c>
      <c r="R15" s="4">
        <v>0</v>
      </c>
      <c r="S15" s="4">
        <v>4.5</v>
      </c>
      <c r="T15" s="4">
        <v>3.27868852459016E-3</v>
      </c>
      <c r="U15" s="4"/>
      <c r="V15" s="4">
        <v>12.5</v>
      </c>
      <c r="W15" s="4"/>
      <c r="X15" s="4"/>
      <c r="Y15" s="4">
        <f t="shared" si="0"/>
        <v>4.5</v>
      </c>
    </row>
    <row r="16" spans="1:25" x14ac:dyDescent="0.2">
      <c r="A16" s="3" t="s">
        <v>492</v>
      </c>
      <c r="B16" s="3" t="s">
        <v>479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35</v>
      </c>
      <c r="N16" s="3">
        <v>24</v>
      </c>
      <c r="O16" s="3">
        <v>214</v>
      </c>
      <c r="P16" s="3">
        <v>0</v>
      </c>
      <c r="Q16" s="3">
        <v>0</v>
      </c>
      <c r="R16" s="3">
        <v>0</v>
      </c>
      <c r="S16" s="3">
        <v>45.4</v>
      </c>
      <c r="T16" s="3">
        <v>5.7377049180327898E-2</v>
      </c>
      <c r="U16" s="3"/>
      <c r="V16" s="3">
        <v>8.9166666666666696</v>
      </c>
      <c r="W16" s="3"/>
      <c r="X16" s="3"/>
      <c r="Y16" s="3">
        <f t="shared" si="0"/>
        <v>45.400000000000006</v>
      </c>
    </row>
    <row r="17" spans="1:25" x14ac:dyDescent="0.2">
      <c r="A17" s="4" t="s">
        <v>493</v>
      </c>
      <c r="B17" s="4" t="s">
        <v>479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96</v>
      </c>
      <c r="N17" s="4">
        <v>61</v>
      </c>
      <c r="O17" s="4">
        <v>839</v>
      </c>
      <c r="P17" s="4">
        <v>3</v>
      </c>
      <c r="Q17" s="4">
        <v>0</v>
      </c>
      <c r="R17" s="4">
        <v>0</v>
      </c>
      <c r="S17" s="4">
        <v>167.1</v>
      </c>
      <c r="T17" s="4">
        <v>0.15737704918032799</v>
      </c>
      <c r="U17" s="4">
        <v>2</v>
      </c>
      <c r="V17" s="4">
        <v>13.7540983606557</v>
      </c>
      <c r="W17" s="4"/>
      <c r="X17" s="4"/>
      <c r="Y17" s="4">
        <f t="shared" si="0"/>
        <v>163.10000000000002</v>
      </c>
    </row>
    <row r="18" spans="1:25" x14ac:dyDescent="0.2">
      <c r="A18" s="3" t="s">
        <v>494</v>
      </c>
      <c r="B18" s="3" t="s">
        <v>479</v>
      </c>
      <c r="C18" s="3" t="s">
        <v>43</v>
      </c>
      <c r="D18" s="3">
        <v>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-5</v>
      </c>
      <c r="L18" s="3">
        <v>0</v>
      </c>
      <c r="M18" s="3">
        <v>10</v>
      </c>
      <c r="N18" s="3">
        <v>5</v>
      </c>
      <c r="O18" s="3">
        <v>45</v>
      </c>
      <c r="P18" s="3">
        <v>0</v>
      </c>
      <c r="Q18" s="3">
        <v>0</v>
      </c>
      <c r="R18" s="3">
        <v>0</v>
      </c>
      <c r="S18" s="3">
        <v>9</v>
      </c>
      <c r="T18" s="3">
        <v>1.63934426229508E-2</v>
      </c>
      <c r="U18" s="3">
        <v>-5</v>
      </c>
      <c r="V18" s="3">
        <v>9</v>
      </c>
      <c r="W18" s="3"/>
      <c r="X18" s="3"/>
      <c r="Y18" s="3">
        <f t="shared" si="0"/>
        <v>9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479</v>
      </c>
      <c r="B31" s="3">
        <v>6200</v>
      </c>
      <c r="C31" s="3">
        <v>3710</v>
      </c>
      <c r="D31" s="3">
        <v>532</v>
      </c>
      <c r="E31" s="3">
        <v>2490</v>
      </c>
      <c r="F31" s="3">
        <v>19</v>
      </c>
      <c r="G31" s="3">
        <v>1375.4</v>
      </c>
      <c r="H31" s="3">
        <v>540</v>
      </c>
      <c r="I31" s="3">
        <v>0.62037037037037002</v>
      </c>
      <c r="J31" s="3">
        <v>19</v>
      </c>
      <c r="K31" s="3">
        <v>12</v>
      </c>
      <c r="L31" s="3">
        <v>5</v>
      </c>
      <c r="M31" s="3">
        <f ca="1">SUM(INDIRECT(A33 &amp; "_Table1[[#All],[f_custom]]"))</f>
        <v>1375.4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CLE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495</v>
      </c>
      <c r="B36" s="3" t="s">
        <v>26</v>
      </c>
      <c r="C36" s="3">
        <v>28</v>
      </c>
      <c r="D36" s="3">
        <v>7</v>
      </c>
      <c r="E36" s="3" t="s">
        <v>143</v>
      </c>
      <c r="F36" s="3" t="s">
        <v>479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496</v>
      </c>
      <c r="B37" s="4" t="s">
        <v>26</v>
      </c>
      <c r="C37" s="4">
        <v>24</v>
      </c>
      <c r="D37" s="4">
        <v>3</v>
      </c>
      <c r="E37" s="4" t="s">
        <v>307</v>
      </c>
      <c r="F37" s="4" t="s">
        <v>479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497</v>
      </c>
      <c r="B38" s="3" t="s">
        <v>26</v>
      </c>
      <c r="C38" s="3">
        <v>23</v>
      </c>
      <c r="D38" s="3">
        <v>0</v>
      </c>
      <c r="E38" s="3" t="s">
        <v>418</v>
      </c>
      <c r="F38" s="3" t="s">
        <v>479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">
      <c r="A39" s="4" t="s">
        <v>498</v>
      </c>
      <c r="B39" s="4" t="s">
        <v>26</v>
      </c>
      <c r="C39" s="4">
        <v>27</v>
      </c>
      <c r="D39" s="4">
        <v>7</v>
      </c>
      <c r="E39" s="4" t="s">
        <v>458</v>
      </c>
      <c r="F39" s="4" t="s">
        <v>479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499</v>
      </c>
      <c r="B46" s="3" t="s">
        <v>31</v>
      </c>
      <c r="C46" s="3">
        <v>27</v>
      </c>
      <c r="D46" s="3">
        <v>6</v>
      </c>
      <c r="E46" s="3" t="s">
        <v>173</v>
      </c>
      <c r="F46" s="3" t="s">
        <v>479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500</v>
      </c>
      <c r="B47" s="4" t="s">
        <v>31</v>
      </c>
      <c r="C47" s="4">
        <v>25</v>
      </c>
      <c r="D47" s="4">
        <v>3</v>
      </c>
      <c r="E47" s="4" t="s">
        <v>418</v>
      </c>
      <c r="F47" s="4" t="s">
        <v>479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501</v>
      </c>
      <c r="B48" s="3" t="s">
        <v>31</v>
      </c>
      <c r="C48" s="3">
        <v>23</v>
      </c>
      <c r="D48" s="3">
        <v>2</v>
      </c>
      <c r="E48" s="3" t="s">
        <v>136</v>
      </c>
      <c r="F48" s="3" t="s">
        <v>479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502</v>
      </c>
      <c r="B49" s="4" t="s">
        <v>31</v>
      </c>
      <c r="C49" s="4">
        <v>22</v>
      </c>
      <c r="D49" s="4">
        <v>0</v>
      </c>
      <c r="E49" s="4" t="s">
        <v>455</v>
      </c>
      <c r="F49" s="4" t="s">
        <v>479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503</v>
      </c>
      <c r="B50" s="3" t="s">
        <v>31</v>
      </c>
      <c r="C50" s="3">
        <v>26</v>
      </c>
      <c r="D50" s="3">
        <v>2</v>
      </c>
      <c r="E50" s="3" t="s">
        <v>143</v>
      </c>
      <c r="F50" s="3" t="s">
        <v>479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504</v>
      </c>
      <c r="B51" s="4" t="s">
        <v>31</v>
      </c>
      <c r="C51" s="4">
        <v>29</v>
      </c>
      <c r="D51" s="4">
        <v>5</v>
      </c>
      <c r="E51" s="4" t="s">
        <v>240</v>
      </c>
      <c r="F51" s="4" t="s">
        <v>479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505</v>
      </c>
      <c r="B61" s="3" t="s">
        <v>43</v>
      </c>
      <c r="C61" s="3">
        <v>22</v>
      </c>
      <c r="D61" s="3">
        <v>2</v>
      </c>
      <c r="E61" s="3" t="s">
        <v>62</v>
      </c>
      <c r="F61" s="3" t="s">
        <v>479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7">($J61*0.04)+($K61*4)+($L61*-2)+($N61*0.1)+($O61*6)+($Q61)+($R61*0.1)+($S61*6)+($T61*-2)</f>
        <v>0</v>
      </c>
      <c r="W61" s="3" t="e">
        <f t="shared" ref="W61:W73" ca="1" si="8">$P61/$H$33</f>
        <v>#DIV/0!</v>
      </c>
      <c r="X61" s="3" t="e">
        <f t="shared" ref="X61:X73" si="9">$N61/$M61</f>
        <v>#DIV/0!</v>
      </c>
      <c r="Y61" s="3" t="e">
        <f t="shared" ref="Y61:Y73" si="10">$R61/$Q61</f>
        <v>#DIV/0!</v>
      </c>
      <c r="Z61" s="3" t="e">
        <f t="shared" ref="Z61:Z73" si="11">$I61/$H61</f>
        <v>#DIV/0!</v>
      </c>
      <c r="AA61" s="3" t="e">
        <f>$K61/$H61</f>
        <v>#DIV/0!</v>
      </c>
      <c r="AB61" s="3">
        <f t="shared" ref="AB61:AB73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506</v>
      </c>
      <c r="B62" s="4" t="s">
        <v>43</v>
      </c>
      <c r="C62" s="4">
        <v>29</v>
      </c>
      <c r="D62" s="4">
        <v>9</v>
      </c>
      <c r="E62" s="4" t="s">
        <v>153</v>
      </c>
      <c r="F62" s="4" t="s">
        <v>479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507</v>
      </c>
      <c r="B63" s="3" t="s">
        <v>43</v>
      </c>
      <c r="C63" s="3">
        <v>24</v>
      </c>
      <c r="D63" s="3">
        <v>3</v>
      </c>
      <c r="E63" s="3" t="s">
        <v>508</v>
      </c>
      <c r="F63" s="3" t="s">
        <v>479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509</v>
      </c>
      <c r="B64" s="4" t="s">
        <v>43</v>
      </c>
      <c r="C64" s="4">
        <v>32</v>
      </c>
      <c r="D64" s="4">
        <v>10</v>
      </c>
      <c r="E64" s="4" t="s">
        <v>66</v>
      </c>
      <c r="F64" s="4" t="s">
        <v>479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510</v>
      </c>
      <c r="B65" s="3" t="s">
        <v>43</v>
      </c>
      <c r="C65" s="3">
        <v>30</v>
      </c>
      <c r="D65" s="3">
        <v>8</v>
      </c>
      <c r="E65" s="3" t="s">
        <v>511</v>
      </c>
      <c r="F65" s="3" t="s">
        <v>479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512</v>
      </c>
      <c r="B66" s="4" t="s">
        <v>43</v>
      </c>
      <c r="C66" s="4">
        <v>25</v>
      </c>
      <c r="D66" s="4">
        <v>1</v>
      </c>
      <c r="E66" s="4" t="s">
        <v>397</v>
      </c>
      <c r="F66" s="4" t="s">
        <v>479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513</v>
      </c>
      <c r="B67" s="3" t="s">
        <v>43</v>
      </c>
      <c r="C67" s="3">
        <v>23</v>
      </c>
      <c r="D67" s="3">
        <v>3</v>
      </c>
      <c r="E67" s="3" t="s">
        <v>240</v>
      </c>
      <c r="F67" s="3" t="s">
        <v>479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514</v>
      </c>
      <c r="B68" s="4" t="s">
        <v>43</v>
      </c>
      <c r="C68" s="4">
        <v>24</v>
      </c>
      <c r="D68" s="4">
        <v>4</v>
      </c>
      <c r="E68" s="4" t="s">
        <v>105</v>
      </c>
      <c r="F68" s="4" t="s">
        <v>479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515</v>
      </c>
      <c r="B69" s="3" t="s">
        <v>43</v>
      </c>
      <c r="C69" s="3">
        <v>22</v>
      </c>
      <c r="D69" s="3">
        <v>3</v>
      </c>
      <c r="E69" s="3" t="s">
        <v>464</v>
      </c>
      <c r="F69" s="3" t="s">
        <v>479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516</v>
      </c>
      <c r="B70" s="4" t="s">
        <v>43</v>
      </c>
      <c r="C70" s="4">
        <v>23</v>
      </c>
      <c r="D70" s="4">
        <v>0</v>
      </c>
      <c r="E70" s="4" t="s">
        <v>143</v>
      </c>
      <c r="F70" s="4" t="s">
        <v>479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517</v>
      </c>
      <c r="B71" s="3" t="s">
        <v>43</v>
      </c>
      <c r="C71" s="3">
        <v>25</v>
      </c>
      <c r="D71" s="3">
        <v>1</v>
      </c>
      <c r="E71" s="3" t="s">
        <v>335</v>
      </c>
      <c r="F71" s="3" t="s">
        <v>479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518</v>
      </c>
      <c r="B72" s="4" t="s">
        <v>43</v>
      </c>
      <c r="C72" s="4">
        <v>24</v>
      </c>
      <c r="D72" s="4">
        <v>1</v>
      </c>
      <c r="E72" s="4" t="s">
        <v>519</v>
      </c>
      <c r="F72" s="4" t="s">
        <v>479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3" spans="1:28" x14ac:dyDescent="0.2">
      <c r="A73" s="3" t="s">
        <v>520</v>
      </c>
      <c r="B73" s="3" t="s">
        <v>43</v>
      </c>
      <c r="C73" s="3">
        <v>23</v>
      </c>
      <c r="D73" s="3">
        <v>2</v>
      </c>
      <c r="E73" s="3" t="s">
        <v>68</v>
      </c>
      <c r="F73" s="3" t="s">
        <v>479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7"/>
        <v>0</v>
      </c>
      <c r="W73" s="3" t="e">
        <f t="shared" ca="1" si="8"/>
        <v>#DIV/0!</v>
      </c>
      <c r="X73" s="3" t="e">
        <f t="shared" si="9"/>
        <v>#DIV/0!</v>
      </c>
      <c r="Y73" s="3" t="e">
        <f t="shared" si="10"/>
        <v>#DIV/0!</v>
      </c>
      <c r="Z73" s="3" t="e">
        <f t="shared" si="11"/>
        <v>#DIV/0!</v>
      </c>
      <c r="AA73" s="3" t="e">
        <f>$K73/$H73</f>
        <v>#DIV/0!</v>
      </c>
      <c r="AB73" s="3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521</v>
      </c>
      <c r="B76" s="3" t="s">
        <v>38</v>
      </c>
      <c r="C76" s="3">
        <v>31</v>
      </c>
      <c r="D76" s="3">
        <v>6</v>
      </c>
      <c r="E76" s="3" t="s">
        <v>282</v>
      </c>
      <c r="F76" s="3" t="s">
        <v>479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3">($J76*0.04)+($K76*4)+($L76*-2)+($N76*0.1)+($O76*6)+($Q76)+($R76*0.1)+($S76*6)+($T76*-2)</f>
        <v>0</v>
      </c>
      <c r="W76" s="3" t="e">
        <f t="shared" ref="W76:W81" ca="1" si="14">$P76/$H$33</f>
        <v>#DIV/0!</v>
      </c>
      <c r="X76" s="3" t="e">
        <f t="shared" ref="X76:X81" si="15">$N76/$M76</f>
        <v>#DIV/0!</v>
      </c>
      <c r="Y76" s="3" t="e">
        <f t="shared" ref="Y76:Y81" si="16">$R76/$Q76</f>
        <v>#DIV/0!</v>
      </c>
      <c r="Z76" s="3" t="e">
        <f t="shared" ref="Z76:Z81" si="17">$I76/$H76</f>
        <v>#DIV/0!</v>
      </c>
      <c r="AA76" s="3" t="e">
        <f>$K76/$H76</f>
        <v>#DIV/0!</v>
      </c>
      <c r="AB76" s="3">
        <f t="shared" ref="AB76:AB81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522</v>
      </c>
      <c r="B77" s="4" t="s">
        <v>38</v>
      </c>
      <c r="C77" s="4">
        <v>25</v>
      </c>
      <c r="D77" s="4">
        <v>4</v>
      </c>
      <c r="E77" s="4" t="s">
        <v>523</v>
      </c>
      <c r="F77" s="4" t="s">
        <v>479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524</v>
      </c>
      <c r="B78" s="3" t="s">
        <v>38</v>
      </c>
      <c r="C78" s="3">
        <v>25</v>
      </c>
      <c r="D78" s="3">
        <v>3</v>
      </c>
      <c r="E78" s="3" t="s">
        <v>153</v>
      </c>
      <c r="F78" s="3" t="s">
        <v>479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525</v>
      </c>
      <c r="B79" s="4" t="s">
        <v>38</v>
      </c>
      <c r="C79" s="4">
        <v>25</v>
      </c>
      <c r="D79" s="4">
        <v>0</v>
      </c>
      <c r="E79" s="4" t="s">
        <v>526</v>
      </c>
      <c r="F79" s="4" t="s">
        <v>479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527</v>
      </c>
      <c r="B80" s="3" t="s">
        <v>38</v>
      </c>
      <c r="C80" s="3">
        <v>23</v>
      </c>
      <c r="D80" s="3">
        <v>1</v>
      </c>
      <c r="E80" s="3" t="s">
        <v>523</v>
      </c>
      <c r="F80" s="3" t="s">
        <v>479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528</v>
      </c>
      <c r="B81" s="4" t="s">
        <v>38</v>
      </c>
      <c r="C81" s="4">
        <v>27</v>
      </c>
      <c r="D81" s="4">
        <v>7</v>
      </c>
      <c r="E81" s="4" t="s">
        <v>397</v>
      </c>
      <c r="F81" s="4" t="s">
        <v>479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B81"/>
  <sheetViews>
    <sheetView zoomScale="90" zoomScaleNormal="90" workbookViewId="0">
      <selection activeCell="A20" sqref="A20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529</v>
      </c>
      <c r="B2" s="3" t="s">
        <v>530</v>
      </c>
      <c r="C2" s="3" t="s">
        <v>26</v>
      </c>
      <c r="D2" s="3">
        <v>8</v>
      </c>
      <c r="E2" s="3">
        <v>162</v>
      </c>
      <c r="F2" s="3">
        <v>94</v>
      </c>
      <c r="G2" s="3">
        <v>1051</v>
      </c>
      <c r="H2" s="3">
        <v>5</v>
      </c>
      <c r="I2" s="3">
        <v>3</v>
      </c>
      <c r="J2" s="3">
        <v>9</v>
      </c>
      <c r="K2" s="3">
        <v>6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56.64</v>
      </c>
      <c r="T2" s="3">
        <v>0</v>
      </c>
      <c r="U2" s="3">
        <v>0.66666666666666696</v>
      </c>
      <c r="V2" s="3"/>
      <c r="W2" s="3">
        <v>0.58024691358024705</v>
      </c>
      <c r="X2" s="3">
        <v>3.0864197530864199E-2</v>
      </c>
      <c r="Y2" s="3">
        <f t="shared" ref="Y2:Y19" si="0">($G2*Cp_yd)+($H2*Cp_td)+($I2*Cint)+($J2*Ccar)+($K2*Cr_yd)+($L2*Cr_td)+($N2*Crec)+($O2*Crec_yd)+($P2*Crec_td)+($Q2*Cfmb)+($R2*Ctp_c)</f>
        <v>56.64</v>
      </c>
    </row>
    <row r="3" spans="1:25" x14ac:dyDescent="0.2">
      <c r="A3" s="4" t="s">
        <v>531</v>
      </c>
      <c r="B3" s="4" t="s">
        <v>530</v>
      </c>
      <c r="C3" s="4" t="s">
        <v>26</v>
      </c>
      <c r="D3" s="4">
        <v>12</v>
      </c>
      <c r="E3" s="4">
        <v>394</v>
      </c>
      <c r="F3" s="4">
        <v>261</v>
      </c>
      <c r="G3" s="4">
        <v>2860</v>
      </c>
      <c r="H3" s="4">
        <v>23</v>
      </c>
      <c r="I3" s="4">
        <v>15</v>
      </c>
      <c r="J3" s="4">
        <v>45</v>
      </c>
      <c r="K3" s="4">
        <v>182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198.6</v>
      </c>
      <c r="T3" s="4">
        <v>0</v>
      </c>
      <c r="U3" s="4">
        <v>4.0444444444444398</v>
      </c>
      <c r="V3" s="4"/>
      <c r="W3" s="4">
        <v>0.66243654822334996</v>
      </c>
      <c r="X3" s="4">
        <v>5.8375634517766499E-2</v>
      </c>
      <c r="Y3" s="4">
        <f t="shared" si="0"/>
        <v>198.6</v>
      </c>
    </row>
    <row r="4" spans="1:25" x14ac:dyDescent="0.2">
      <c r="A4" s="3" t="s">
        <v>532</v>
      </c>
      <c r="B4" s="3" t="s">
        <v>530</v>
      </c>
      <c r="C4" s="3" t="s">
        <v>31</v>
      </c>
      <c r="D4" s="3">
        <v>15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231</v>
      </c>
      <c r="K4" s="3">
        <v>876</v>
      </c>
      <c r="L4" s="3">
        <v>12</v>
      </c>
      <c r="M4" s="3">
        <v>23</v>
      </c>
      <c r="N4" s="3">
        <v>17</v>
      </c>
      <c r="O4" s="3">
        <v>92</v>
      </c>
      <c r="P4" s="3">
        <v>0</v>
      </c>
      <c r="Q4" s="3">
        <v>0</v>
      </c>
      <c r="R4" s="3">
        <v>0</v>
      </c>
      <c r="S4" s="3">
        <v>185.8</v>
      </c>
      <c r="T4" s="3">
        <v>4.2592592592592599E-2</v>
      </c>
      <c r="U4" s="3">
        <v>3.7922077922077899</v>
      </c>
      <c r="V4" s="3">
        <v>5.4117647058823497</v>
      </c>
      <c r="W4" s="3"/>
      <c r="X4" s="3"/>
      <c r="Y4" s="3">
        <f t="shared" si="0"/>
        <v>185.8</v>
      </c>
    </row>
    <row r="5" spans="1:25" x14ac:dyDescent="0.2">
      <c r="A5" s="4" t="s">
        <v>192</v>
      </c>
      <c r="B5" s="4" t="s">
        <v>530</v>
      </c>
      <c r="C5" s="4" t="s">
        <v>31</v>
      </c>
      <c r="D5" s="4">
        <v>6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38</v>
      </c>
      <c r="K5" s="4">
        <v>161</v>
      </c>
      <c r="L5" s="4">
        <v>1</v>
      </c>
      <c r="M5" s="4">
        <v>7</v>
      </c>
      <c r="N5" s="4">
        <v>6</v>
      </c>
      <c r="O5" s="4">
        <v>63</v>
      </c>
      <c r="P5" s="4">
        <v>0</v>
      </c>
      <c r="Q5" s="4">
        <v>0</v>
      </c>
      <c r="R5" s="4">
        <v>0</v>
      </c>
      <c r="S5" s="4">
        <v>34.4</v>
      </c>
      <c r="T5" s="4">
        <v>1.2962962962963001E-2</v>
      </c>
      <c r="U5" s="4">
        <v>4.2368421052631602</v>
      </c>
      <c r="V5" s="4">
        <v>10.5</v>
      </c>
      <c r="W5" s="4"/>
      <c r="X5" s="4"/>
      <c r="Y5" s="4">
        <f t="shared" si="0"/>
        <v>34.400000000000006</v>
      </c>
    </row>
    <row r="6" spans="1:25" x14ac:dyDescent="0.2">
      <c r="A6" s="3" t="s">
        <v>533</v>
      </c>
      <c r="B6" s="3" t="s">
        <v>530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193</v>
      </c>
      <c r="K6" s="3">
        <v>1007</v>
      </c>
      <c r="L6" s="3">
        <v>9</v>
      </c>
      <c r="M6" s="3">
        <v>55</v>
      </c>
      <c r="N6" s="3">
        <v>39</v>
      </c>
      <c r="O6" s="3">
        <v>371</v>
      </c>
      <c r="P6" s="3">
        <v>3</v>
      </c>
      <c r="Q6" s="3">
        <v>0</v>
      </c>
      <c r="R6" s="3">
        <v>0</v>
      </c>
      <c r="S6" s="3">
        <v>248.8</v>
      </c>
      <c r="T6" s="3">
        <v>0.101851851851852</v>
      </c>
      <c r="U6" s="3">
        <v>5.2176165803108798</v>
      </c>
      <c r="V6" s="3">
        <v>9.5128205128205092</v>
      </c>
      <c r="W6" s="3"/>
      <c r="X6" s="3"/>
      <c r="Y6" s="3">
        <f t="shared" si="0"/>
        <v>248.79999999999998</v>
      </c>
    </row>
    <row r="7" spans="1:25" x14ac:dyDescent="0.2">
      <c r="A7" s="4" t="s">
        <v>534</v>
      </c>
      <c r="B7" s="4" t="s">
        <v>530</v>
      </c>
      <c r="C7" s="4" t="s">
        <v>38</v>
      </c>
      <c r="D7" s="4">
        <v>15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89</v>
      </c>
      <c r="N7" s="4">
        <v>57</v>
      </c>
      <c r="O7" s="4">
        <v>577</v>
      </c>
      <c r="P7" s="4">
        <v>5</v>
      </c>
      <c r="Q7" s="4">
        <v>0</v>
      </c>
      <c r="R7" s="4">
        <v>0</v>
      </c>
      <c r="S7" s="4">
        <v>142.69999999999999</v>
      </c>
      <c r="T7" s="4">
        <v>0.164814814814815</v>
      </c>
      <c r="U7" s="4"/>
      <c r="V7" s="4">
        <v>10.1228070175439</v>
      </c>
      <c r="W7" s="4"/>
      <c r="X7" s="4"/>
      <c r="Y7" s="4">
        <f t="shared" si="0"/>
        <v>144.69999999999999</v>
      </c>
    </row>
    <row r="8" spans="1:25" x14ac:dyDescent="0.2">
      <c r="A8" s="3" t="s">
        <v>535</v>
      </c>
      <c r="B8" s="3" t="s">
        <v>530</v>
      </c>
      <c r="C8" s="3" t="s">
        <v>38</v>
      </c>
      <c r="D8" s="3">
        <v>11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22</v>
      </c>
      <c r="N8" s="3">
        <v>19</v>
      </c>
      <c r="O8" s="3">
        <v>174</v>
      </c>
      <c r="P8" s="3">
        <v>2</v>
      </c>
      <c r="Q8" s="3">
        <v>0</v>
      </c>
      <c r="R8" s="3">
        <v>0</v>
      </c>
      <c r="S8" s="3">
        <v>48.4</v>
      </c>
      <c r="T8" s="3">
        <v>4.0740740740740702E-2</v>
      </c>
      <c r="U8" s="3"/>
      <c r="V8" s="3">
        <v>9.1578947368421009</v>
      </c>
      <c r="W8" s="3"/>
      <c r="X8" s="3"/>
      <c r="Y8" s="3">
        <f t="shared" si="0"/>
        <v>48.400000000000006</v>
      </c>
    </row>
    <row r="9" spans="1:25" x14ac:dyDescent="0.2">
      <c r="A9" s="4" t="s">
        <v>536</v>
      </c>
      <c r="B9" s="4" t="s">
        <v>530</v>
      </c>
      <c r="C9" s="4" t="s">
        <v>38</v>
      </c>
      <c r="D9" s="4">
        <v>9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2</v>
      </c>
      <c r="L9" s="4">
        <v>1</v>
      </c>
      <c r="M9" s="4">
        <v>16</v>
      </c>
      <c r="N9" s="4">
        <v>11</v>
      </c>
      <c r="O9" s="4">
        <v>103</v>
      </c>
      <c r="P9" s="4">
        <v>2</v>
      </c>
      <c r="Q9" s="4">
        <v>0</v>
      </c>
      <c r="R9" s="4">
        <v>0</v>
      </c>
      <c r="S9" s="4">
        <v>39.5</v>
      </c>
      <c r="T9" s="4">
        <v>2.96296296296296E-2</v>
      </c>
      <c r="U9" s="4">
        <v>2</v>
      </c>
      <c r="V9" s="4">
        <v>9.3636363636363598</v>
      </c>
      <c r="W9" s="4"/>
      <c r="X9" s="4"/>
      <c r="Y9" s="4">
        <f t="shared" si="0"/>
        <v>39.5</v>
      </c>
    </row>
    <row r="10" spans="1:25" x14ac:dyDescent="0.2">
      <c r="A10" s="3" t="s">
        <v>537</v>
      </c>
      <c r="B10" s="3" t="s">
        <v>530</v>
      </c>
      <c r="C10" s="3" t="s">
        <v>38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3</v>
      </c>
      <c r="N10" s="3">
        <v>2</v>
      </c>
      <c r="O10" s="3">
        <v>11</v>
      </c>
      <c r="P10" s="3">
        <v>0</v>
      </c>
      <c r="Q10" s="3">
        <v>0</v>
      </c>
      <c r="R10" s="3">
        <v>0</v>
      </c>
      <c r="S10" s="3">
        <v>3.1</v>
      </c>
      <c r="T10" s="3">
        <v>5.5555555555555601E-3</v>
      </c>
      <c r="U10" s="3"/>
      <c r="V10" s="3">
        <v>5.5</v>
      </c>
      <c r="W10" s="3"/>
      <c r="X10" s="3"/>
      <c r="Y10" s="3">
        <f t="shared" si="0"/>
        <v>3.1</v>
      </c>
    </row>
    <row r="11" spans="1:25" x14ac:dyDescent="0.2">
      <c r="A11" s="4" t="s">
        <v>538</v>
      </c>
      <c r="B11" s="4" t="s">
        <v>530</v>
      </c>
      <c r="C11" s="4" t="s">
        <v>43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10</v>
      </c>
      <c r="K11" s="4">
        <v>47</v>
      </c>
      <c r="L11" s="4">
        <v>0</v>
      </c>
      <c r="M11" s="4">
        <v>156</v>
      </c>
      <c r="N11" s="4">
        <v>107</v>
      </c>
      <c r="O11" s="4">
        <v>1359</v>
      </c>
      <c r="P11" s="4">
        <v>9</v>
      </c>
      <c r="Q11" s="4">
        <v>0</v>
      </c>
      <c r="R11" s="4">
        <v>0</v>
      </c>
      <c r="S11" s="4">
        <v>301.60000000000002</v>
      </c>
      <c r="T11" s="4">
        <v>0.28888888888888897</v>
      </c>
      <c r="U11" s="4">
        <v>4.7</v>
      </c>
      <c r="V11" s="4">
        <v>12.7009345794393</v>
      </c>
      <c r="W11" s="4"/>
      <c r="X11" s="4"/>
      <c r="Y11" s="4">
        <f t="shared" si="0"/>
        <v>301.60000000000002</v>
      </c>
    </row>
    <row r="12" spans="1:25" x14ac:dyDescent="0.2">
      <c r="A12" s="3" t="s">
        <v>539</v>
      </c>
      <c r="B12" s="3" t="s">
        <v>530</v>
      </c>
      <c r="C12" s="3" t="s">
        <v>43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6</v>
      </c>
      <c r="N12" s="3">
        <v>2</v>
      </c>
      <c r="O12" s="3">
        <v>16</v>
      </c>
      <c r="P12" s="3">
        <v>0</v>
      </c>
      <c r="Q12" s="3">
        <v>0</v>
      </c>
      <c r="R12" s="3">
        <v>0</v>
      </c>
      <c r="S12" s="3">
        <v>3.6</v>
      </c>
      <c r="T12" s="3">
        <v>1.1111111111111099E-2</v>
      </c>
      <c r="U12" s="3"/>
      <c r="V12" s="3">
        <v>8</v>
      </c>
      <c r="W12" s="3"/>
      <c r="X12" s="3"/>
      <c r="Y12" s="3">
        <f t="shared" si="0"/>
        <v>3.6</v>
      </c>
    </row>
    <row r="13" spans="1:25" x14ac:dyDescent="0.2">
      <c r="A13" s="4" t="s">
        <v>540</v>
      </c>
      <c r="B13" s="4" t="s">
        <v>530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3</v>
      </c>
      <c r="N13" s="4">
        <v>2</v>
      </c>
      <c r="O13" s="4">
        <v>12</v>
      </c>
      <c r="P13" s="4">
        <v>0</v>
      </c>
      <c r="Q13" s="4">
        <v>0</v>
      </c>
      <c r="R13" s="4">
        <v>0</v>
      </c>
      <c r="S13" s="4">
        <v>3.2</v>
      </c>
      <c r="T13" s="4">
        <v>5.5555555555555601E-3</v>
      </c>
      <c r="U13" s="4"/>
      <c r="V13" s="4">
        <v>6</v>
      </c>
      <c r="W13" s="4"/>
      <c r="X13" s="4"/>
      <c r="Y13" s="4">
        <f t="shared" si="0"/>
        <v>3.2</v>
      </c>
    </row>
    <row r="14" spans="1:25" x14ac:dyDescent="0.2">
      <c r="A14" s="3" t="s">
        <v>541</v>
      </c>
      <c r="B14" s="3" t="s">
        <v>530</v>
      </c>
      <c r="C14" s="3" t="s">
        <v>43</v>
      </c>
      <c r="D14" s="3">
        <v>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1.85185185185185E-3</v>
      </c>
      <c r="U14" s="3"/>
      <c r="V14" s="3"/>
      <c r="W14" s="3"/>
      <c r="X14" s="3"/>
      <c r="Y14" s="3">
        <f t="shared" si="0"/>
        <v>0</v>
      </c>
    </row>
    <row r="15" spans="1:25" x14ac:dyDescent="0.2">
      <c r="A15" s="4" t="s">
        <v>542</v>
      </c>
      <c r="B15" s="4" t="s">
        <v>530</v>
      </c>
      <c r="C15" s="4" t="s">
        <v>43</v>
      </c>
      <c r="D15" s="4">
        <v>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</v>
      </c>
      <c r="K15" s="4">
        <v>17</v>
      </c>
      <c r="L15" s="4">
        <v>0</v>
      </c>
      <c r="M15" s="4">
        <v>2</v>
      </c>
      <c r="N15" s="4">
        <v>1</v>
      </c>
      <c r="O15" s="4">
        <v>9</v>
      </c>
      <c r="P15" s="4">
        <v>0</v>
      </c>
      <c r="Q15" s="4">
        <v>0</v>
      </c>
      <c r="R15" s="4">
        <v>0</v>
      </c>
      <c r="S15" s="4">
        <v>3.6</v>
      </c>
      <c r="T15" s="4">
        <v>3.7037037037036999E-3</v>
      </c>
      <c r="U15" s="4">
        <v>5.6666666666666696</v>
      </c>
      <c r="V15" s="4">
        <v>9</v>
      </c>
      <c r="W15" s="4"/>
      <c r="X15" s="4"/>
      <c r="Y15" s="4">
        <f t="shared" si="0"/>
        <v>3.6</v>
      </c>
    </row>
    <row r="16" spans="1:25" x14ac:dyDescent="0.2">
      <c r="A16" s="3" t="s">
        <v>543</v>
      </c>
      <c r="B16" s="3" t="s">
        <v>530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74</v>
      </c>
      <c r="N16" s="3">
        <v>39</v>
      </c>
      <c r="O16" s="3">
        <v>424</v>
      </c>
      <c r="P16" s="3">
        <v>4</v>
      </c>
      <c r="Q16" s="3">
        <v>0</v>
      </c>
      <c r="R16" s="3">
        <v>0</v>
      </c>
      <c r="S16" s="3">
        <v>105.4</v>
      </c>
      <c r="T16" s="3">
        <v>0.13703703703703701</v>
      </c>
      <c r="U16" s="3"/>
      <c r="V16" s="3">
        <v>10.871794871794901</v>
      </c>
      <c r="W16" s="3"/>
      <c r="X16" s="3"/>
      <c r="Y16" s="3">
        <f t="shared" si="0"/>
        <v>105.4</v>
      </c>
    </row>
    <row r="17" spans="1:25" x14ac:dyDescent="0.2">
      <c r="A17" s="4" t="s">
        <v>544</v>
      </c>
      <c r="B17" s="4" t="s">
        <v>530</v>
      </c>
      <c r="C17" s="4" t="s">
        <v>43</v>
      </c>
      <c r="D17" s="4">
        <v>15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74</v>
      </c>
      <c r="N17" s="4">
        <v>43</v>
      </c>
      <c r="O17" s="4">
        <v>555</v>
      </c>
      <c r="P17" s="4">
        <v>3</v>
      </c>
      <c r="Q17" s="4">
        <v>0</v>
      </c>
      <c r="R17" s="4">
        <v>0</v>
      </c>
      <c r="S17" s="4">
        <v>114.5</v>
      </c>
      <c r="T17" s="4">
        <v>0.13703703703703701</v>
      </c>
      <c r="U17" s="4"/>
      <c r="V17" s="4">
        <v>12.906976744186</v>
      </c>
      <c r="W17" s="4"/>
      <c r="X17" s="4"/>
      <c r="Y17" s="4">
        <f t="shared" si="0"/>
        <v>116.5</v>
      </c>
    </row>
    <row r="18" spans="1:25" x14ac:dyDescent="0.2">
      <c r="A18" s="3" t="s">
        <v>545</v>
      </c>
      <c r="B18" s="3" t="s">
        <v>530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4</v>
      </c>
      <c r="N18" s="3">
        <v>3</v>
      </c>
      <c r="O18" s="3">
        <v>24</v>
      </c>
      <c r="P18" s="3">
        <v>0</v>
      </c>
      <c r="Q18" s="3">
        <v>0</v>
      </c>
      <c r="R18" s="3">
        <v>0</v>
      </c>
      <c r="S18" s="3">
        <v>5.4</v>
      </c>
      <c r="T18" s="3">
        <v>7.4074074074074103E-3</v>
      </c>
      <c r="U18" s="3"/>
      <c r="V18" s="3">
        <v>8</v>
      </c>
      <c r="W18" s="3"/>
      <c r="X18" s="3"/>
      <c r="Y18" s="3">
        <f t="shared" si="0"/>
        <v>5.4</v>
      </c>
    </row>
    <row r="19" spans="1:25" x14ac:dyDescent="0.2">
      <c r="A19" s="4" t="s">
        <v>546</v>
      </c>
      <c r="B19" s="4" t="s">
        <v>530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10</v>
      </c>
      <c r="N19" s="4">
        <v>7</v>
      </c>
      <c r="O19" s="4">
        <v>121</v>
      </c>
      <c r="P19" s="4">
        <v>0</v>
      </c>
      <c r="Q19" s="4">
        <v>0</v>
      </c>
      <c r="R19" s="4">
        <v>0</v>
      </c>
      <c r="S19" s="4">
        <v>19.100000000000001</v>
      </c>
      <c r="T19" s="4">
        <v>1.85185185185185E-2</v>
      </c>
      <c r="U19" s="4"/>
      <c r="V19" s="4">
        <v>17.285714285714299</v>
      </c>
      <c r="W19" s="4"/>
      <c r="X19" s="4"/>
      <c r="Y19" s="4">
        <f t="shared" si="0"/>
        <v>19.100000000000001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530</v>
      </c>
      <c r="B31" s="3">
        <v>6209</v>
      </c>
      <c r="C31" s="3">
        <v>3911</v>
      </c>
      <c r="D31" s="3">
        <v>530</v>
      </c>
      <c r="E31" s="3">
        <v>2298</v>
      </c>
      <c r="F31" s="3">
        <v>24</v>
      </c>
      <c r="G31" s="3">
        <v>1514.34</v>
      </c>
      <c r="H31" s="3">
        <v>556</v>
      </c>
      <c r="I31" s="3">
        <v>0.638489208633094</v>
      </c>
      <c r="J31" s="3">
        <v>28</v>
      </c>
      <c r="K31" s="3">
        <v>18</v>
      </c>
      <c r="L31" s="3">
        <v>1</v>
      </c>
      <c r="M31" s="3">
        <f ca="1">SUM(INDIRECT(A33 &amp; "_Table1[[#All],[f_custom]]"))</f>
        <v>1518.34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DAL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547</v>
      </c>
      <c r="B36" s="3" t="s">
        <v>26</v>
      </c>
      <c r="C36" s="3">
        <v>28</v>
      </c>
      <c r="D36" s="3">
        <v>5</v>
      </c>
      <c r="E36" s="3" t="s">
        <v>344</v>
      </c>
      <c r="F36" s="3" t="s">
        <v>530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548</v>
      </c>
      <c r="B37" s="4" t="s">
        <v>26</v>
      </c>
      <c r="C37" s="4">
        <v>30</v>
      </c>
      <c r="D37" s="4">
        <v>8</v>
      </c>
      <c r="E37" s="4" t="s">
        <v>549</v>
      </c>
      <c r="F37" s="4" t="s">
        <v>530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550</v>
      </c>
      <c r="B38" s="3" t="s">
        <v>26</v>
      </c>
      <c r="C38" s="3">
        <v>29</v>
      </c>
      <c r="D38" s="3">
        <v>6</v>
      </c>
      <c r="E38" s="3" t="s">
        <v>309</v>
      </c>
      <c r="F38" s="3" t="s">
        <v>530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551</v>
      </c>
      <c r="B46" s="3" t="s">
        <v>31</v>
      </c>
      <c r="C46" s="3">
        <v>24</v>
      </c>
      <c r="D46" s="3">
        <v>2</v>
      </c>
      <c r="E46" s="3" t="s">
        <v>178</v>
      </c>
      <c r="F46" s="3" t="s">
        <v>530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552</v>
      </c>
      <c r="B47" s="4" t="s">
        <v>31</v>
      </c>
      <c r="C47" s="4">
        <v>25</v>
      </c>
      <c r="D47" s="4">
        <v>4</v>
      </c>
      <c r="E47" s="4" t="s">
        <v>341</v>
      </c>
      <c r="F47" s="4" t="s">
        <v>530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553</v>
      </c>
      <c r="B48" s="3" t="s">
        <v>31</v>
      </c>
      <c r="C48" s="3">
        <v>26</v>
      </c>
      <c r="D48" s="3">
        <v>6</v>
      </c>
      <c r="E48" s="3" t="s">
        <v>78</v>
      </c>
      <c r="F48" s="3" t="s">
        <v>530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554</v>
      </c>
      <c r="B49" s="4" t="s">
        <v>31</v>
      </c>
      <c r="C49" s="4">
        <v>23</v>
      </c>
      <c r="D49" s="4">
        <v>0</v>
      </c>
      <c r="E49" s="4" t="s">
        <v>555</v>
      </c>
      <c r="F49" s="4" t="s">
        <v>530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556</v>
      </c>
      <c r="B50" s="3" t="s">
        <v>31</v>
      </c>
      <c r="C50" s="3">
        <v>26</v>
      </c>
      <c r="D50" s="3">
        <v>5</v>
      </c>
      <c r="E50" s="3" t="s">
        <v>557</v>
      </c>
      <c r="F50" s="3" t="s">
        <v>530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558</v>
      </c>
      <c r="B51" s="4" t="s">
        <v>31</v>
      </c>
      <c r="C51" s="4">
        <v>21</v>
      </c>
      <c r="D51" s="4">
        <v>0</v>
      </c>
      <c r="E51" s="4" t="s">
        <v>559</v>
      </c>
      <c r="F51" s="4" t="s">
        <v>530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560</v>
      </c>
      <c r="B61" s="3" t="s">
        <v>43</v>
      </c>
      <c r="C61" s="3">
        <v>23</v>
      </c>
      <c r="D61" s="3">
        <v>0</v>
      </c>
      <c r="E61" s="3" t="s">
        <v>391</v>
      </c>
      <c r="F61" s="3" t="s">
        <v>530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4" si="7">($J61*0.04)+($K61*4)+($L61*-2)+($N61*0.1)+($O61*6)+($Q61)+($R61*0.1)+($S61*6)+($T61*-2)</f>
        <v>0</v>
      </c>
      <c r="W61" s="3" t="e">
        <f t="shared" ref="W61:W74" ca="1" si="8">$P61/$H$33</f>
        <v>#DIV/0!</v>
      </c>
      <c r="X61" s="3" t="e">
        <f t="shared" ref="X61:X74" si="9">$N61/$M61</f>
        <v>#DIV/0!</v>
      </c>
      <c r="Y61" s="3" t="e">
        <f t="shared" ref="Y61:Y74" si="10">$R61/$Q61</f>
        <v>#DIV/0!</v>
      </c>
      <c r="Z61" s="3" t="e">
        <f t="shared" ref="Z61:Z74" si="11">$I61/$H61</f>
        <v>#DIV/0!</v>
      </c>
      <c r="AA61" s="3" t="e">
        <f>$K61/$H61</f>
        <v>#DIV/0!</v>
      </c>
      <c r="AB61" s="3">
        <f t="shared" ref="AB61:AB74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561</v>
      </c>
      <c r="B62" s="4" t="s">
        <v>43</v>
      </c>
      <c r="C62" s="4">
        <v>23</v>
      </c>
      <c r="D62" s="4">
        <v>0</v>
      </c>
      <c r="E62" s="4" t="s">
        <v>341</v>
      </c>
      <c r="F62" s="4" t="s">
        <v>530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562</v>
      </c>
      <c r="B63" s="3" t="s">
        <v>43</v>
      </c>
      <c r="C63" s="3">
        <v>29</v>
      </c>
      <c r="D63" s="3">
        <v>10</v>
      </c>
      <c r="E63" s="3" t="s">
        <v>111</v>
      </c>
      <c r="F63" s="3" t="s">
        <v>530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563</v>
      </c>
      <c r="B64" s="4" t="s">
        <v>43</v>
      </c>
      <c r="C64" s="4">
        <v>25</v>
      </c>
      <c r="D64" s="4">
        <v>1</v>
      </c>
      <c r="E64" s="4" t="s">
        <v>240</v>
      </c>
      <c r="F64" s="4" t="s">
        <v>530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564</v>
      </c>
      <c r="B65" s="3" t="s">
        <v>43</v>
      </c>
      <c r="C65" s="3">
        <v>24</v>
      </c>
      <c r="D65" s="3">
        <v>0</v>
      </c>
      <c r="E65" s="3" t="s">
        <v>565</v>
      </c>
      <c r="F65" s="3" t="s">
        <v>530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566</v>
      </c>
      <c r="B66" s="4" t="s">
        <v>43</v>
      </c>
      <c r="C66" s="4">
        <v>25</v>
      </c>
      <c r="D66" s="4">
        <v>3</v>
      </c>
      <c r="E66" s="4" t="s">
        <v>102</v>
      </c>
      <c r="F66" s="4" t="s">
        <v>530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567</v>
      </c>
      <c r="B67" s="3" t="s">
        <v>43</v>
      </c>
      <c r="C67" s="3">
        <v>27</v>
      </c>
      <c r="D67" s="3">
        <v>6</v>
      </c>
      <c r="E67" s="3" t="s">
        <v>107</v>
      </c>
      <c r="F67" s="3" t="s">
        <v>530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568</v>
      </c>
      <c r="B68" s="4" t="s">
        <v>43</v>
      </c>
      <c r="C68" s="4">
        <v>24</v>
      </c>
      <c r="D68" s="4">
        <v>1</v>
      </c>
      <c r="E68" s="4" t="s">
        <v>569</v>
      </c>
      <c r="F68" s="4" t="s">
        <v>530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570</v>
      </c>
      <c r="B69" s="3" t="s">
        <v>43</v>
      </c>
      <c r="C69" s="3">
        <v>27</v>
      </c>
      <c r="D69" s="3">
        <v>4</v>
      </c>
      <c r="E69" s="3" t="s">
        <v>218</v>
      </c>
      <c r="F69" s="3" t="s">
        <v>530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571</v>
      </c>
      <c r="B70" s="4" t="s">
        <v>43</v>
      </c>
      <c r="C70" s="4">
        <v>24</v>
      </c>
      <c r="D70" s="4">
        <v>4</v>
      </c>
      <c r="E70" s="4" t="s">
        <v>68</v>
      </c>
      <c r="F70" s="4" t="s">
        <v>530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572</v>
      </c>
      <c r="B71" s="3" t="s">
        <v>43</v>
      </c>
      <c r="C71" s="3">
        <v>22</v>
      </c>
      <c r="D71" s="3">
        <v>0</v>
      </c>
      <c r="E71" s="3" t="s">
        <v>280</v>
      </c>
      <c r="F71" s="3" t="s">
        <v>530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573</v>
      </c>
      <c r="B72" s="4" t="s">
        <v>43</v>
      </c>
      <c r="C72" s="4">
        <v>23</v>
      </c>
      <c r="D72" s="4">
        <v>0</v>
      </c>
      <c r="E72" s="4" t="s">
        <v>574</v>
      </c>
      <c r="F72" s="4" t="s">
        <v>530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3" spans="1:28" x14ac:dyDescent="0.2">
      <c r="A73" s="3" t="s">
        <v>575</v>
      </c>
      <c r="B73" s="3" t="s">
        <v>43</v>
      </c>
      <c r="C73" s="3">
        <v>24</v>
      </c>
      <c r="D73" s="3">
        <v>2</v>
      </c>
      <c r="E73" s="3" t="s">
        <v>519</v>
      </c>
      <c r="F73" s="3" t="s">
        <v>530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7"/>
        <v>0</v>
      </c>
      <c r="W73" s="3" t="e">
        <f t="shared" ca="1" si="8"/>
        <v>#DIV/0!</v>
      </c>
      <c r="X73" s="3" t="e">
        <f t="shared" si="9"/>
        <v>#DIV/0!</v>
      </c>
      <c r="Y73" s="3" t="e">
        <f t="shared" si="10"/>
        <v>#DIV/0!</v>
      </c>
      <c r="Z73" s="3" t="e">
        <f t="shared" si="11"/>
        <v>#DIV/0!</v>
      </c>
      <c r="AA73" s="3" t="e">
        <f>$K73/$H73</f>
        <v>#DIV/0!</v>
      </c>
      <c r="AB73" s="3">
        <f t="shared" si="12"/>
        <v>0</v>
      </c>
    </row>
    <row r="74" spans="1:28" x14ac:dyDescent="0.2">
      <c r="A74" s="4" t="s">
        <v>576</v>
      </c>
      <c r="B74" s="4" t="s">
        <v>43</v>
      </c>
      <c r="C74" s="4">
        <v>27</v>
      </c>
      <c r="D74" s="4">
        <v>2</v>
      </c>
      <c r="E74" s="4" t="s">
        <v>76</v>
      </c>
      <c r="F74" s="4" t="s">
        <v>530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 t="shared" si="7"/>
        <v>0</v>
      </c>
      <c r="W74" s="4" t="e">
        <f t="shared" ca="1" si="8"/>
        <v>#DIV/0!</v>
      </c>
      <c r="X74" s="4" t="e">
        <f t="shared" si="9"/>
        <v>#DIV/0!</v>
      </c>
      <c r="Y74" s="4" t="e">
        <f t="shared" si="10"/>
        <v>#DIV/0!</v>
      </c>
      <c r="Z74" s="4" t="e">
        <f t="shared" si="11"/>
        <v>#DIV/0!</v>
      </c>
      <c r="AA74" s="4" t="e">
        <f>$K74/$H74</f>
        <v>#DIV/0!</v>
      </c>
      <c r="AB74" s="4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577</v>
      </c>
      <c r="B76" s="3" t="s">
        <v>38</v>
      </c>
      <c r="C76" s="3">
        <v>24</v>
      </c>
      <c r="D76" s="3">
        <v>0</v>
      </c>
      <c r="E76" s="3" t="s">
        <v>143</v>
      </c>
      <c r="F76" s="3" t="s">
        <v>530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3">($J76*0.04)+($K76*4)+($L76*-2)+($N76*0.1)+($O76*6)+($Q76)+($R76*0.1)+($S76*6)+($T76*-2)</f>
        <v>0</v>
      </c>
      <c r="W76" s="3" t="e">
        <f t="shared" ref="W76:W81" ca="1" si="14">$P76/$H$33</f>
        <v>#DIV/0!</v>
      </c>
      <c r="X76" s="3" t="e">
        <f t="shared" ref="X76:X81" si="15">$N76/$M76</f>
        <v>#DIV/0!</v>
      </c>
      <c r="Y76" s="3" t="e">
        <f t="shared" ref="Y76:Y81" si="16">$R76/$Q76</f>
        <v>#DIV/0!</v>
      </c>
      <c r="Z76" s="3" t="e">
        <f t="shared" ref="Z76:Z81" si="17">$I76/$H76</f>
        <v>#DIV/0!</v>
      </c>
      <c r="AA76" s="3" t="e">
        <f>$K76/$H76</f>
        <v>#DIV/0!</v>
      </c>
      <c r="AB76" s="3">
        <f t="shared" ref="AB76:AB81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578</v>
      </c>
      <c r="B77" s="4" t="s">
        <v>38</v>
      </c>
      <c r="C77" s="4">
        <v>24</v>
      </c>
      <c r="D77" s="4">
        <v>2</v>
      </c>
      <c r="E77" s="4" t="s">
        <v>72</v>
      </c>
      <c r="F77" s="4" t="s">
        <v>530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579</v>
      </c>
      <c r="B78" s="3" t="s">
        <v>38</v>
      </c>
      <c r="C78" s="3">
        <v>25</v>
      </c>
      <c r="D78" s="3">
        <v>1</v>
      </c>
      <c r="E78" s="3" t="s">
        <v>70</v>
      </c>
      <c r="F78" s="3" t="s">
        <v>530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580</v>
      </c>
      <c r="B79" s="4" t="s">
        <v>38</v>
      </c>
      <c r="C79" s="4">
        <v>24</v>
      </c>
      <c r="D79" s="4">
        <v>2</v>
      </c>
      <c r="E79" s="4" t="s">
        <v>360</v>
      </c>
      <c r="F79" s="4" t="s">
        <v>530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581</v>
      </c>
      <c r="B80" s="3" t="s">
        <v>38</v>
      </c>
      <c r="C80" s="3">
        <v>25</v>
      </c>
      <c r="D80" s="3">
        <v>4</v>
      </c>
      <c r="E80" s="3" t="s">
        <v>105</v>
      </c>
      <c r="F80" s="3" t="s">
        <v>530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582</v>
      </c>
      <c r="B81" s="4" t="s">
        <v>38</v>
      </c>
      <c r="C81" s="4">
        <v>24</v>
      </c>
      <c r="D81" s="4">
        <v>0</v>
      </c>
      <c r="E81" s="4" t="s">
        <v>105</v>
      </c>
      <c r="F81" s="4" t="s">
        <v>530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B81"/>
  <sheetViews>
    <sheetView zoomScale="90" zoomScaleNormal="90" workbookViewId="0">
      <selection activeCell="A26" sqref="A26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583</v>
      </c>
      <c r="B2" s="3" t="s">
        <v>584</v>
      </c>
      <c r="C2" s="3" t="s">
        <v>26</v>
      </c>
      <c r="D2" s="3">
        <v>4</v>
      </c>
      <c r="E2" s="3">
        <v>88</v>
      </c>
      <c r="F2" s="3">
        <v>53</v>
      </c>
      <c r="G2" s="3">
        <v>483</v>
      </c>
      <c r="H2" s="3">
        <v>2</v>
      </c>
      <c r="I2" s="3">
        <v>4</v>
      </c>
      <c r="J2" s="3">
        <v>6</v>
      </c>
      <c r="K2" s="3">
        <v>7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18.02</v>
      </c>
      <c r="T2" s="3">
        <v>0</v>
      </c>
      <c r="U2" s="3">
        <v>1.1666666666666701</v>
      </c>
      <c r="V2" s="3"/>
      <c r="W2" s="3">
        <v>0.60227272727272696</v>
      </c>
      <c r="X2" s="3">
        <v>2.27272727272727E-2</v>
      </c>
      <c r="Y2" s="3">
        <f t="shared" ref="Y2:Y25" si="0">($G2*Cp_yd)+($H2*Cp_td)+($I2*Cint)+($J2*Ccar)+($K2*Cr_yd)+($L2*Cr_td)+($N2*Crec)+($O2*Crec_yd)+($P2*Crec_td)+($Q2*Cfmb)+($R2*Ctp_c)</f>
        <v>18.02</v>
      </c>
    </row>
    <row r="3" spans="1:25" x14ac:dyDescent="0.2">
      <c r="A3" s="4" t="s">
        <v>585</v>
      </c>
      <c r="B3" s="4" t="s">
        <v>584</v>
      </c>
      <c r="C3" s="4" t="s">
        <v>26</v>
      </c>
      <c r="D3" s="4">
        <v>15</v>
      </c>
      <c r="E3" s="4">
        <v>483</v>
      </c>
      <c r="F3" s="4">
        <v>292</v>
      </c>
      <c r="G3" s="4">
        <v>3524</v>
      </c>
      <c r="H3" s="4">
        <v>16</v>
      </c>
      <c r="I3" s="4">
        <v>11</v>
      </c>
      <c r="J3" s="4">
        <v>55</v>
      </c>
      <c r="K3" s="4">
        <v>277</v>
      </c>
      <c r="L3" s="4">
        <v>3</v>
      </c>
      <c r="M3" s="4">
        <v>1</v>
      </c>
      <c r="N3" s="4">
        <v>1</v>
      </c>
      <c r="O3" s="4">
        <v>1</v>
      </c>
      <c r="P3" s="4">
        <v>0</v>
      </c>
      <c r="Q3" s="4">
        <v>2</v>
      </c>
      <c r="R3" s="4">
        <v>0</v>
      </c>
      <c r="S3" s="4">
        <v>225.76</v>
      </c>
      <c r="T3" s="4">
        <v>1.79856115107914E-3</v>
      </c>
      <c r="U3" s="4">
        <v>5.0363636363636397</v>
      </c>
      <c r="V3" s="4">
        <v>1</v>
      </c>
      <c r="W3" s="4">
        <v>0.60455486542443104</v>
      </c>
      <c r="X3" s="4">
        <v>3.3126293995859202E-2</v>
      </c>
      <c r="Y3" s="4">
        <f t="shared" si="0"/>
        <v>225.76000000000002</v>
      </c>
    </row>
    <row r="4" spans="1:25" x14ac:dyDescent="0.2">
      <c r="A4" s="3" t="s">
        <v>586</v>
      </c>
      <c r="B4" s="3" t="s">
        <v>584</v>
      </c>
      <c r="C4" s="3" t="s">
        <v>31</v>
      </c>
      <c r="D4" s="3">
        <v>5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26</v>
      </c>
      <c r="K4" s="3">
        <v>125</v>
      </c>
      <c r="L4" s="3">
        <v>0</v>
      </c>
      <c r="M4" s="3">
        <v>7</v>
      </c>
      <c r="N4" s="3">
        <v>6</v>
      </c>
      <c r="O4" s="3">
        <v>61</v>
      </c>
      <c r="P4" s="3">
        <v>0</v>
      </c>
      <c r="Q4" s="3">
        <v>0</v>
      </c>
      <c r="R4" s="3">
        <v>0</v>
      </c>
      <c r="S4" s="3">
        <v>24.6</v>
      </c>
      <c r="T4" s="3">
        <v>1.2589928057554E-2</v>
      </c>
      <c r="U4" s="3">
        <v>4.8076923076923102</v>
      </c>
      <c r="V4" s="3">
        <v>10.1666666666667</v>
      </c>
      <c r="W4" s="3"/>
      <c r="X4" s="3"/>
      <c r="Y4" s="3">
        <f t="shared" si="0"/>
        <v>24.6</v>
      </c>
    </row>
    <row r="5" spans="1:25" x14ac:dyDescent="0.2">
      <c r="A5" s="4" t="s">
        <v>587</v>
      </c>
      <c r="B5" s="4" t="s">
        <v>584</v>
      </c>
      <c r="C5" s="4" t="s">
        <v>31</v>
      </c>
      <c r="D5" s="4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</v>
      </c>
      <c r="K5" s="4">
        <v>4</v>
      </c>
      <c r="L5" s="4">
        <v>0</v>
      </c>
      <c r="M5" s="4">
        <v>1</v>
      </c>
      <c r="N5" s="4">
        <v>1</v>
      </c>
      <c r="O5" s="4">
        <v>3</v>
      </c>
      <c r="P5" s="4">
        <v>0</v>
      </c>
      <c r="Q5" s="4">
        <v>0</v>
      </c>
      <c r="R5" s="4">
        <v>0</v>
      </c>
      <c r="S5" s="4">
        <v>1.7</v>
      </c>
      <c r="T5" s="4">
        <v>1.79856115107914E-3</v>
      </c>
      <c r="U5" s="4">
        <v>1.3333333333333299</v>
      </c>
      <c r="V5" s="4">
        <v>3</v>
      </c>
      <c r="W5" s="4"/>
      <c r="X5" s="4"/>
      <c r="Y5" s="4">
        <f t="shared" si="0"/>
        <v>1.7</v>
      </c>
    </row>
    <row r="6" spans="1:25" x14ac:dyDescent="0.2">
      <c r="A6" s="3" t="s">
        <v>588</v>
      </c>
      <c r="B6" s="3" t="s">
        <v>584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47</v>
      </c>
      <c r="K6" s="3">
        <v>204</v>
      </c>
      <c r="L6" s="3">
        <v>0</v>
      </c>
      <c r="M6" s="3">
        <v>22</v>
      </c>
      <c r="N6" s="3">
        <v>16</v>
      </c>
      <c r="O6" s="3">
        <v>76</v>
      </c>
      <c r="P6" s="3">
        <v>0</v>
      </c>
      <c r="Q6" s="3">
        <v>1</v>
      </c>
      <c r="R6" s="3">
        <v>0</v>
      </c>
      <c r="S6" s="3">
        <v>42</v>
      </c>
      <c r="T6" s="3">
        <v>3.9568345323740997E-2</v>
      </c>
      <c r="U6" s="3">
        <v>4.3404255319148897</v>
      </c>
      <c r="V6" s="3">
        <v>4.75</v>
      </c>
      <c r="W6" s="3"/>
      <c r="X6" s="3"/>
      <c r="Y6" s="3">
        <f t="shared" si="0"/>
        <v>42.000000000000007</v>
      </c>
    </row>
    <row r="7" spans="1:25" x14ac:dyDescent="0.2">
      <c r="A7" s="4" t="s">
        <v>589</v>
      </c>
      <c r="B7" s="4" t="s">
        <v>584</v>
      </c>
      <c r="C7" s="4" t="s">
        <v>31</v>
      </c>
      <c r="D7" s="4">
        <v>12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160</v>
      </c>
      <c r="K7" s="4">
        <v>703</v>
      </c>
      <c r="L7" s="4">
        <v>5</v>
      </c>
      <c r="M7" s="4">
        <v>34</v>
      </c>
      <c r="N7" s="4">
        <v>26</v>
      </c>
      <c r="O7" s="4">
        <v>124</v>
      </c>
      <c r="P7" s="4">
        <v>0</v>
      </c>
      <c r="Q7" s="4">
        <v>0</v>
      </c>
      <c r="R7" s="4">
        <v>1</v>
      </c>
      <c r="S7" s="4">
        <v>140.69999999999999</v>
      </c>
      <c r="T7" s="4">
        <v>6.11510791366906E-2</v>
      </c>
      <c r="U7" s="4">
        <v>4.3937499999999998</v>
      </c>
      <c r="V7" s="4">
        <v>4.7692307692307701</v>
      </c>
      <c r="W7" s="4"/>
      <c r="X7" s="4"/>
      <c r="Y7" s="4">
        <f t="shared" si="0"/>
        <v>140.69999999999999</v>
      </c>
    </row>
    <row r="8" spans="1:25" x14ac:dyDescent="0.2">
      <c r="A8" s="3" t="s">
        <v>590</v>
      </c>
      <c r="B8" s="3" t="s">
        <v>584</v>
      </c>
      <c r="C8" s="3" t="s">
        <v>31</v>
      </c>
      <c r="D8" s="3">
        <v>8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24</v>
      </c>
      <c r="K8" s="3">
        <v>102</v>
      </c>
      <c r="L8" s="3">
        <v>0</v>
      </c>
      <c r="M8" s="3">
        <v>15</v>
      </c>
      <c r="N8" s="3">
        <v>9</v>
      </c>
      <c r="O8" s="3">
        <v>96</v>
      </c>
      <c r="P8" s="3">
        <v>0</v>
      </c>
      <c r="Q8" s="3">
        <v>0</v>
      </c>
      <c r="R8" s="3">
        <v>0</v>
      </c>
      <c r="S8" s="3">
        <v>28.8</v>
      </c>
      <c r="T8" s="3">
        <v>2.6978417266187001E-2</v>
      </c>
      <c r="U8" s="3">
        <v>4.25</v>
      </c>
      <c r="V8" s="3">
        <v>10.6666666666667</v>
      </c>
      <c r="W8" s="3"/>
      <c r="X8" s="3"/>
      <c r="Y8" s="3">
        <f t="shared" si="0"/>
        <v>28.800000000000004</v>
      </c>
    </row>
    <row r="9" spans="1:25" x14ac:dyDescent="0.2">
      <c r="A9" s="4" t="s">
        <v>591</v>
      </c>
      <c r="B9" s="4" t="s">
        <v>584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90</v>
      </c>
      <c r="K9" s="4">
        <v>318</v>
      </c>
      <c r="L9" s="4">
        <v>2</v>
      </c>
      <c r="M9" s="4">
        <v>32</v>
      </c>
      <c r="N9" s="4">
        <v>25</v>
      </c>
      <c r="O9" s="4">
        <v>223</v>
      </c>
      <c r="P9" s="4">
        <v>0</v>
      </c>
      <c r="Q9" s="4">
        <v>2</v>
      </c>
      <c r="R9" s="4">
        <v>0</v>
      </c>
      <c r="S9" s="4">
        <v>87.1</v>
      </c>
      <c r="T9" s="4">
        <v>5.7553956834532398E-2</v>
      </c>
      <c r="U9" s="4">
        <v>3.5333333333333301</v>
      </c>
      <c r="V9" s="4">
        <v>8.92</v>
      </c>
      <c r="W9" s="4"/>
      <c r="X9" s="4"/>
      <c r="Y9" s="4">
        <f t="shared" si="0"/>
        <v>87.1</v>
      </c>
    </row>
    <row r="10" spans="1:25" x14ac:dyDescent="0.2">
      <c r="A10" s="3" t="s">
        <v>592</v>
      </c>
      <c r="B10" s="3" t="s">
        <v>584</v>
      </c>
      <c r="C10" s="3" t="s">
        <v>31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16</v>
      </c>
      <c r="K10" s="3">
        <v>84</v>
      </c>
      <c r="L10" s="3">
        <v>1</v>
      </c>
      <c r="M10" s="3">
        <v>10</v>
      </c>
      <c r="N10" s="3">
        <v>8</v>
      </c>
      <c r="O10" s="3">
        <v>99</v>
      </c>
      <c r="P10" s="3">
        <v>1</v>
      </c>
      <c r="Q10" s="3">
        <v>0</v>
      </c>
      <c r="R10" s="3">
        <v>0</v>
      </c>
      <c r="S10" s="3">
        <v>38.299999999999997</v>
      </c>
      <c r="T10" s="3">
        <v>1.7985611510791401E-2</v>
      </c>
      <c r="U10" s="3">
        <v>5.25</v>
      </c>
      <c r="V10" s="3">
        <v>12.375</v>
      </c>
      <c r="W10" s="3"/>
      <c r="X10" s="3"/>
      <c r="Y10" s="3">
        <f t="shared" si="0"/>
        <v>38.299999999999997</v>
      </c>
    </row>
    <row r="11" spans="1:25" x14ac:dyDescent="0.2">
      <c r="A11" s="4" t="s">
        <v>593</v>
      </c>
      <c r="B11" s="4" t="s">
        <v>584</v>
      </c>
      <c r="C11" s="4" t="s">
        <v>31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1</v>
      </c>
      <c r="N11" s="4">
        <v>1</v>
      </c>
      <c r="O11" s="4">
        <v>24</v>
      </c>
      <c r="P11" s="4">
        <v>1</v>
      </c>
      <c r="Q11" s="4">
        <v>0</v>
      </c>
      <c r="R11" s="4">
        <v>0</v>
      </c>
      <c r="S11" s="4">
        <v>9.4</v>
      </c>
      <c r="T11" s="4">
        <v>1.79856115107914E-3</v>
      </c>
      <c r="U11" s="4">
        <v>0</v>
      </c>
      <c r="V11" s="4">
        <v>24</v>
      </c>
      <c r="W11" s="4"/>
      <c r="X11" s="4"/>
      <c r="Y11" s="4">
        <f t="shared" si="0"/>
        <v>9.4</v>
      </c>
    </row>
    <row r="12" spans="1:25" x14ac:dyDescent="0.2">
      <c r="A12" s="3" t="s">
        <v>594</v>
      </c>
      <c r="B12" s="3" t="s">
        <v>584</v>
      </c>
      <c r="C12" s="3" t="s">
        <v>38</v>
      </c>
      <c r="D12" s="3">
        <v>8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0</v>
      </c>
      <c r="L12" s="3">
        <v>0</v>
      </c>
      <c r="M12" s="3">
        <v>11</v>
      </c>
      <c r="N12" s="3">
        <v>5</v>
      </c>
      <c r="O12" s="3">
        <v>69</v>
      </c>
      <c r="P12" s="3">
        <v>0</v>
      </c>
      <c r="Q12" s="3">
        <v>0</v>
      </c>
      <c r="R12" s="3">
        <v>0</v>
      </c>
      <c r="S12" s="3">
        <v>11.9</v>
      </c>
      <c r="T12" s="3">
        <v>1.9784172661870499E-2</v>
      </c>
      <c r="U12" s="3">
        <v>0</v>
      </c>
      <c r="V12" s="3">
        <v>13.8</v>
      </c>
      <c r="W12" s="3"/>
      <c r="X12" s="3"/>
      <c r="Y12" s="3">
        <f t="shared" si="0"/>
        <v>11.9</v>
      </c>
    </row>
    <row r="13" spans="1:25" x14ac:dyDescent="0.2">
      <c r="A13" s="4" t="s">
        <v>595</v>
      </c>
      <c r="B13" s="4" t="s">
        <v>584</v>
      </c>
      <c r="C13" s="4" t="s">
        <v>38</v>
      </c>
      <c r="D13" s="4">
        <v>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18</v>
      </c>
      <c r="N13" s="4">
        <v>10</v>
      </c>
      <c r="O13" s="4">
        <v>95</v>
      </c>
      <c r="P13" s="4">
        <v>1</v>
      </c>
      <c r="Q13" s="4">
        <v>0</v>
      </c>
      <c r="R13" s="4">
        <v>0</v>
      </c>
      <c r="S13" s="4">
        <v>25.5</v>
      </c>
      <c r="T13" s="4">
        <v>3.2374100719424502E-2</v>
      </c>
      <c r="U13" s="4"/>
      <c r="V13" s="4">
        <v>9.5</v>
      </c>
      <c r="W13" s="4"/>
      <c r="X13" s="4"/>
      <c r="Y13" s="4">
        <f t="shared" si="0"/>
        <v>25.5</v>
      </c>
    </row>
    <row r="14" spans="1:25" x14ac:dyDescent="0.2">
      <c r="A14" s="3" t="s">
        <v>596</v>
      </c>
      <c r="B14" s="3" t="s">
        <v>584</v>
      </c>
      <c r="C14" s="3" t="s">
        <v>38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24</v>
      </c>
      <c r="N14" s="3">
        <v>15</v>
      </c>
      <c r="O14" s="3">
        <v>148</v>
      </c>
      <c r="P14" s="3">
        <v>1</v>
      </c>
      <c r="Q14" s="3">
        <v>0</v>
      </c>
      <c r="R14" s="3">
        <v>0</v>
      </c>
      <c r="S14" s="3">
        <v>35.799999999999997</v>
      </c>
      <c r="T14" s="3">
        <v>4.3165467625899297E-2</v>
      </c>
      <c r="U14" s="3"/>
      <c r="V14" s="3">
        <v>9.8666666666666707</v>
      </c>
      <c r="W14" s="3"/>
      <c r="X14" s="3"/>
      <c r="Y14" s="3">
        <f t="shared" si="0"/>
        <v>35.799999999999997</v>
      </c>
    </row>
    <row r="15" spans="1:25" x14ac:dyDescent="0.2">
      <c r="A15" s="4" t="s">
        <v>597</v>
      </c>
      <c r="B15" s="4" t="s">
        <v>584</v>
      </c>
      <c r="C15" s="4" t="s">
        <v>38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13</v>
      </c>
      <c r="N15" s="4">
        <v>9</v>
      </c>
      <c r="O15" s="4">
        <v>79</v>
      </c>
      <c r="P15" s="4">
        <v>2</v>
      </c>
      <c r="Q15" s="4">
        <v>0</v>
      </c>
      <c r="R15" s="4">
        <v>0</v>
      </c>
      <c r="S15" s="4">
        <v>28.9</v>
      </c>
      <c r="T15" s="4">
        <v>2.3381294964028802E-2</v>
      </c>
      <c r="U15" s="4"/>
      <c r="V15" s="4">
        <v>8.7777777777777803</v>
      </c>
      <c r="W15" s="4"/>
      <c r="X15" s="4"/>
      <c r="Y15" s="4">
        <f t="shared" si="0"/>
        <v>28.9</v>
      </c>
    </row>
    <row r="16" spans="1:25" x14ac:dyDescent="0.2">
      <c r="A16" s="3" t="s">
        <v>598</v>
      </c>
      <c r="B16" s="3" t="s">
        <v>584</v>
      </c>
      <c r="C16" s="3" t="s">
        <v>38</v>
      </c>
      <c r="D16" s="3">
        <v>10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55</v>
      </c>
      <c r="N16" s="3">
        <v>33</v>
      </c>
      <c r="O16" s="3">
        <v>411</v>
      </c>
      <c r="P16" s="3">
        <v>2</v>
      </c>
      <c r="Q16" s="3">
        <v>0</v>
      </c>
      <c r="R16" s="3">
        <v>0</v>
      </c>
      <c r="S16" s="3">
        <v>86.1</v>
      </c>
      <c r="T16" s="3">
        <v>9.89208633093525E-2</v>
      </c>
      <c r="U16" s="3"/>
      <c r="V16" s="3">
        <v>12.454545454545499</v>
      </c>
      <c r="W16" s="3"/>
      <c r="X16" s="3"/>
      <c r="Y16" s="3">
        <f t="shared" si="0"/>
        <v>86.1</v>
      </c>
    </row>
    <row r="17" spans="1:25" x14ac:dyDescent="0.2">
      <c r="A17" s="4" t="s">
        <v>599</v>
      </c>
      <c r="B17" s="4" t="s">
        <v>584</v>
      </c>
      <c r="C17" s="4" t="s">
        <v>43</v>
      </c>
      <c r="D17" s="4">
        <v>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14</v>
      </c>
      <c r="N17" s="4">
        <v>6</v>
      </c>
      <c r="O17" s="4">
        <v>42</v>
      </c>
      <c r="P17" s="4">
        <v>1</v>
      </c>
      <c r="Q17" s="4">
        <v>0</v>
      </c>
      <c r="R17" s="4">
        <v>0</v>
      </c>
      <c r="S17" s="4">
        <v>16.2</v>
      </c>
      <c r="T17" s="4">
        <v>2.5179856115107899E-2</v>
      </c>
      <c r="U17" s="4"/>
      <c r="V17" s="4">
        <v>7</v>
      </c>
      <c r="W17" s="4"/>
      <c r="X17" s="4"/>
      <c r="Y17" s="4">
        <f t="shared" si="0"/>
        <v>16.2</v>
      </c>
    </row>
    <row r="18" spans="1:25" x14ac:dyDescent="0.2">
      <c r="A18" s="3" t="s">
        <v>600</v>
      </c>
      <c r="B18" s="3" t="s">
        <v>584</v>
      </c>
      <c r="C18" s="3" t="s">
        <v>43</v>
      </c>
      <c r="D18" s="3">
        <v>15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5</v>
      </c>
      <c r="L18" s="3">
        <v>0</v>
      </c>
      <c r="M18" s="3">
        <v>109</v>
      </c>
      <c r="N18" s="3">
        <v>64</v>
      </c>
      <c r="O18" s="3">
        <v>829</v>
      </c>
      <c r="P18" s="3">
        <v>2</v>
      </c>
      <c r="Q18" s="3">
        <v>0</v>
      </c>
      <c r="R18" s="3">
        <v>0</v>
      </c>
      <c r="S18" s="3">
        <v>159.4</v>
      </c>
      <c r="T18" s="3">
        <v>0.19604316546762601</v>
      </c>
      <c r="U18" s="3">
        <v>5</v>
      </c>
      <c r="V18" s="3">
        <v>12.953125</v>
      </c>
      <c r="W18" s="3"/>
      <c r="X18" s="3"/>
      <c r="Y18" s="3">
        <f t="shared" si="0"/>
        <v>159.4</v>
      </c>
    </row>
    <row r="19" spans="1:25" x14ac:dyDescent="0.2">
      <c r="A19" s="4" t="s">
        <v>601</v>
      </c>
      <c r="B19" s="4" t="s">
        <v>584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6</v>
      </c>
      <c r="N19" s="4">
        <v>4</v>
      </c>
      <c r="O19" s="4">
        <v>74</v>
      </c>
      <c r="P19" s="4">
        <v>0</v>
      </c>
      <c r="Q19" s="4">
        <v>0</v>
      </c>
      <c r="R19" s="4">
        <v>0</v>
      </c>
      <c r="S19" s="4">
        <v>11.4</v>
      </c>
      <c r="T19" s="4">
        <v>1.07913669064748E-2</v>
      </c>
      <c r="U19" s="4"/>
      <c r="V19" s="4">
        <v>18.5</v>
      </c>
      <c r="W19" s="4"/>
      <c r="X19" s="4"/>
      <c r="Y19" s="4">
        <f t="shared" si="0"/>
        <v>11.4</v>
      </c>
    </row>
    <row r="20" spans="1:25" x14ac:dyDescent="0.2">
      <c r="A20" s="3" t="s">
        <v>602</v>
      </c>
      <c r="B20" s="3" t="s">
        <v>584</v>
      </c>
      <c r="C20" s="3" t="s">
        <v>43</v>
      </c>
      <c r="D20" s="3">
        <v>15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4</v>
      </c>
      <c r="K20" s="3">
        <v>40</v>
      </c>
      <c r="L20" s="3">
        <v>0</v>
      </c>
      <c r="M20" s="3">
        <v>100</v>
      </c>
      <c r="N20" s="3">
        <v>67</v>
      </c>
      <c r="O20" s="3">
        <v>972</v>
      </c>
      <c r="P20" s="3">
        <v>6</v>
      </c>
      <c r="Q20" s="3">
        <v>0</v>
      </c>
      <c r="R20" s="3">
        <v>0</v>
      </c>
      <c r="S20" s="3">
        <v>204.2</v>
      </c>
      <c r="T20" s="3">
        <v>0.17985611510791399</v>
      </c>
      <c r="U20" s="3">
        <v>10</v>
      </c>
      <c r="V20" s="3">
        <v>14.5074626865672</v>
      </c>
      <c r="W20" s="3"/>
      <c r="X20" s="3"/>
      <c r="Y20" s="3">
        <f t="shared" si="0"/>
        <v>204.2</v>
      </c>
    </row>
    <row r="21" spans="1:25" x14ac:dyDescent="0.2">
      <c r="A21" s="4" t="s">
        <v>603</v>
      </c>
      <c r="B21" s="4" t="s">
        <v>584</v>
      </c>
      <c r="C21" s="4" t="s">
        <v>43</v>
      </c>
      <c r="D21" s="4">
        <v>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2</v>
      </c>
      <c r="O21" s="4">
        <v>75</v>
      </c>
      <c r="P21" s="4">
        <v>1</v>
      </c>
      <c r="Q21" s="4">
        <v>0</v>
      </c>
      <c r="R21" s="4">
        <v>0</v>
      </c>
      <c r="S21" s="4">
        <v>15.5</v>
      </c>
      <c r="T21" s="4">
        <v>8.9928057553956796E-3</v>
      </c>
      <c r="U21" s="4"/>
      <c r="V21" s="4">
        <v>37.5</v>
      </c>
      <c r="W21" s="4"/>
      <c r="X21" s="4"/>
      <c r="Y21" s="4">
        <f t="shared" si="0"/>
        <v>15.5</v>
      </c>
    </row>
    <row r="22" spans="1:25" x14ac:dyDescent="0.2">
      <c r="A22" s="3" t="s">
        <v>604</v>
      </c>
      <c r="B22" s="3" t="s">
        <v>584</v>
      </c>
      <c r="C22" s="3" t="s">
        <v>43</v>
      </c>
      <c r="D22" s="3">
        <v>6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2</v>
      </c>
      <c r="K22" s="3">
        <v>23</v>
      </c>
      <c r="L22" s="3">
        <v>0</v>
      </c>
      <c r="M22" s="3">
        <v>14</v>
      </c>
      <c r="N22" s="3">
        <v>7</v>
      </c>
      <c r="O22" s="3">
        <v>165</v>
      </c>
      <c r="P22" s="3">
        <v>0</v>
      </c>
      <c r="Q22" s="3">
        <v>0</v>
      </c>
      <c r="R22" s="3">
        <v>0</v>
      </c>
      <c r="S22" s="3">
        <v>25.8</v>
      </c>
      <c r="T22" s="3">
        <v>2.5179856115107899E-2</v>
      </c>
      <c r="U22" s="3">
        <v>11.5</v>
      </c>
      <c r="V22" s="3">
        <v>23.571428571428601</v>
      </c>
      <c r="W22" s="3"/>
      <c r="X22" s="3"/>
      <c r="Y22" s="3">
        <f t="shared" si="0"/>
        <v>25.8</v>
      </c>
    </row>
    <row r="23" spans="1:25" x14ac:dyDescent="0.2">
      <c r="A23" s="4" t="s">
        <v>605</v>
      </c>
      <c r="B23" s="4" t="s">
        <v>584</v>
      </c>
      <c r="C23" s="4" t="s">
        <v>43</v>
      </c>
      <c r="D23" s="4">
        <v>11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2</v>
      </c>
      <c r="K23" s="4">
        <v>13</v>
      </c>
      <c r="L23" s="4">
        <v>0</v>
      </c>
      <c r="M23" s="4">
        <v>33</v>
      </c>
      <c r="N23" s="4">
        <v>24</v>
      </c>
      <c r="O23" s="4">
        <v>311</v>
      </c>
      <c r="P23" s="4">
        <v>0</v>
      </c>
      <c r="Q23" s="4">
        <v>0</v>
      </c>
      <c r="R23" s="4">
        <v>0</v>
      </c>
      <c r="S23" s="4">
        <v>56.4</v>
      </c>
      <c r="T23" s="4">
        <v>5.9352517985611503E-2</v>
      </c>
      <c r="U23" s="4">
        <v>6.5</v>
      </c>
      <c r="V23" s="4">
        <v>12.9583333333333</v>
      </c>
      <c r="W23" s="4"/>
      <c r="X23" s="4"/>
      <c r="Y23" s="4">
        <f t="shared" si="0"/>
        <v>56.400000000000006</v>
      </c>
    </row>
    <row r="24" spans="1:25" x14ac:dyDescent="0.2">
      <c r="A24" s="3" t="s">
        <v>606</v>
      </c>
      <c r="B24" s="3" t="s">
        <v>584</v>
      </c>
      <c r="C24" s="3" t="s">
        <v>43</v>
      </c>
      <c r="D24" s="3">
        <v>9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5</v>
      </c>
      <c r="K24" s="3">
        <v>30</v>
      </c>
      <c r="L24" s="3">
        <v>0</v>
      </c>
      <c r="M24" s="3">
        <v>9</v>
      </c>
      <c r="N24" s="3">
        <v>4</v>
      </c>
      <c r="O24" s="3">
        <v>2</v>
      </c>
      <c r="P24" s="3">
        <v>0</v>
      </c>
      <c r="Q24" s="3">
        <v>0</v>
      </c>
      <c r="R24" s="3">
        <v>0</v>
      </c>
      <c r="S24" s="3">
        <v>7.2</v>
      </c>
      <c r="T24" s="3">
        <v>1.6187050359712199E-2</v>
      </c>
      <c r="U24" s="3">
        <v>6</v>
      </c>
      <c r="V24" s="3">
        <v>0.5</v>
      </c>
      <c r="W24" s="3"/>
      <c r="X24" s="3"/>
      <c r="Y24" s="3">
        <f t="shared" si="0"/>
        <v>7.2</v>
      </c>
    </row>
    <row r="25" spans="1:25" x14ac:dyDescent="0.2">
      <c r="A25" s="4" t="s">
        <v>607</v>
      </c>
      <c r="B25" s="4" t="s">
        <v>584</v>
      </c>
      <c r="C25" s="4" t="s">
        <v>43</v>
      </c>
      <c r="D25" s="4">
        <v>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7</v>
      </c>
      <c r="N25" s="4">
        <v>2</v>
      </c>
      <c r="O25" s="4">
        <v>28</v>
      </c>
      <c r="P25" s="4">
        <v>0</v>
      </c>
      <c r="Q25" s="4">
        <v>0</v>
      </c>
      <c r="R25" s="4">
        <v>0</v>
      </c>
      <c r="S25" s="4">
        <v>4.8</v>
      </c>
      <c r="T25" s="4">
        <v>1.2589928057554E-2</v>
      </c>
      <c r="U25" s="4"/>
      <c r="V25" s="4">
        <v>14</v>
      </c>
      <c r="W25" s="4"/>
      <c r="X25" s="4"/>
      <c r="Y25" s="4">
        <f t="shared" si="0"/>
        <v>4.8000000000000007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584</v>
      </c>
      <c r="B31" s="3">
        <v>5942</v>
      </c>
      <c r="C31" s="3">
        <v>4007</v>
      </c>
      <c r="D31" s="3">
        <v>444</v>
      </c>
      <c r="E31" s="3">
        <v>1935</v>
      </c>
      <c r="F31" s="3">
        <v>11</v>
      </c>
      <c r="G31" s="3">
        <v>1305.48</v>
      </c>
      <c r="H31" s="3">
        <v>571</v>
      </c>
      <c r="I31" s="3">
        <v>0.60420315236427302</v>
      </c>
      <c r="J31" s="3">
        <v>18</v>
      </c>
      <c r="K31" s="3">
        <v>15</v>
      </c>
      <c r="L31" s="3">
        <v>6</v>
      </c>
      <c r="M31" s="3">
        <f ca="1">SUM(INDIRECT(A33 &amp; "_Table1[[#All],[f_custom]]"))</f>
        <v>1305.48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DEN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608</v>
      </c>
      <c r="B36" s="3" t="s">
        <v>26</v>
      </c>
      <c r="C36" s="3">
        <v>26</v>
      </c>
      <c r="D36" s="3">
        <v>2</v>
      </c>
      <c r="E36" s="3" t="s">
        <v>609</v>
      </c>
      <c r="F36" s="3" t="s">
        <v>584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610</v>
      </c>
      <c r="B37" s="4" t="s">
        <v>26</v>
      </c>
      <c r="C37" s="4">
        <v>27</v>
      </c>
      <c r="D37" s="4">
        <v>4</v>
      </c>
      <c r="E37" s="4" t="s">
        <v>464</v>
      </c>
      <c r="F37" s="4" t="s">
        <v>584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611</v>
      </c>
      <c r="B38" s="3" t="s">
        <v>26</v>
      </c>
      <c r="C38" s="3">
        <v>34</v>
      </c>
      <c r="D38" s="3">
        <v>12</v>
      </c>
      <c r="E38" s="3" t="s">
        <v>72</v>
      </c>
      <c r="F38" s="3" t="s">
        <v>584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612</v>
      </c>
      <c r="B46" s="3" t="s">
        <v>31</v>
      </c>
      <c r="C46" s="3">
        <v>23</v>
      </c>
      <c r="D46" s="3">
        <v>1</v>
      </c>
      <c r="E46" s="3" t="s">
        <v>613</v>
      </c>
      <c r="F46" s="3" t="s">
        <v>584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>$R46/$Q46</f>
        <v>#DIV/0!</v>
      </c>
      <c r="Z46" s="3" t="e">
        <f t="shared" ref="Z46:Z51" si="4">$I46/$H46</f>
        <v>#DIV/0!</v>
      </c>
      <c r="AA46" s="3" t="e">
        <f>$K46/$H46</f>
        <v>#DIV/0!</v>
      </c>
      <c r="AB46" s="3">
        <f t="shared" ref="AB46:AB51" si="5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614</v>
      </c>
      <c r="B47" s="4" t="s">
        <v>31</v>
      </c>
      <c r="C47" s="4">
        <v>25</v>
      </c>
      <c r="D47" s="4">
        <v>3</v>
      </c>
      <c r="E47" s="4" t="s">
        <v>362</v>
      </c>
      <c r="F47" s="4" t="s">
        <v>584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ref="Y46:Y51" si="6">$R47/$Q47</f>
        <v>#DIV/0!</v>
      </c>
      <c r="Z47" s="4" t="e">
        <f t="shared" si="4"/>
        <v>#DIV/0!</v>
      </c>
      <c r="AA47" s="4" t="e">
        <f>$K47/$H47</f>
        <v>#DIV/0!</v>
      </c>
      <c r="AB47" s="4">
        <f t="shared" si="5"/>
        <v>0</v>
      </c>
    </row>
    <row r="48" spans="1:28" x14ac:dyDescent="0.2">
      <c r="A48" s="3" t="s">
        <v>615</v>
      </c>
      <c r="B48" s="3" t="s">
        <v>31</v>
      </c>
      <c r="C48" s="3">
        <v>22</v>
      </c>
      <c r="D48" s="3">
        <v>0</v>
      </c>
      <c r="E48" s="3" t="s">
        <v>616</v>
      </c>
      <c r="F48" s="3" t="s">
        <v>584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6"/>
        <v>#DIV/0!</v>
      </c>
      <c r="Z48" s="3" t="e">
        <f t="shared" si="4"/>
        <v>#DIV/0!</v>
      </c>
      <c r="AA48" s="3" t="e">
        <f>$K48/$H48</f>
        <v>#DIV/0!</v>
      </c>
      <c r="AB48" s="3">
        <f t="shared" si="5"/>
        <v>0</v>
      </c>
    </row>
    <row r="49" spans="1:28" x14ac:dyDescent="0.2">
      <c r="A49" s="4" t="s">
        <v>617</v>
      </c>
      <c r="B49" s="4" t="s">
        <v>31</v>
      </c>
      <c r="C49" s="4">
        <v>27</v>
      </c>
      <c r="D49" s="4">
        <v>7</v>
      </c>
      <c r="E49" s="4" t="s">
        <v>68</v>
      </c>
      <c r="F49" s="4" t="s">
        <v>584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6"/>
        <v>#DIV/0!</v>
      </c>
      <c r="Z49" s="4" t="e">
        <f t="shared" si="4"/>
        <v>#DIV/0!</v>
      </c>
      <c r="AA49" s="4" t="e">
        <f>$K49/$H49</f>
        <v>#DIV/0!</v>
      </c>
      <c r="AB49" s="4">
        <f t="shared" si="5"/>
        <v>0</v>
      </c>
    </row>
    <row r="50" spans="1:28" x14ac:dyDescent="0.2">
      <c r="A50" s="3" t="s">
        <v>618</v>
      </c>
      <c r="B50" s="3" t="s">
        <v>31</v>
      </c>
      <c r="C50" s="3">
        <v>29</v>
      </c>
      <c r="D50" s="3">
        <v>8</v>
      </c>
      <c r="E50" s="3" t="s">
        <v>86</v>
      </c>
      <c r="F50" s="3" t="s">
        <v>584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6"/>
        <v>#DIV/0!</v>
      </c>
      <c r="Z50" s="3" t="e">
        <f t="shared" si="4"/>
        <v>#DIV/0!</v>
      </c>
      <c r="AA50" s="3" t="e">
        <f>$K50/$H50</f>
        <v>#DIV/0!</v>
      </c>
      <c r="AB50" s="3">
        <f t="shared" si="5"/>
        <v>0</v>
      </c>
    </row>
    <row r="51" spans="1:28" x14ac:dyDescent="0.2">
      <c r="A51" s="4" t="s">
        <v>619</v>
      </c>
      <c r="B51" s="4" t="s">
        <v>31</v>
      </c>
      <c r="C51" s="4">
        <v>23</v>
      </c>
      <c r="D51" s="4">
        <v>3</v>
      </c>
      <c r="E51" s="4" t="s">
        <v>163</v>
      </c>
      <c r="F51" s="4" t="s">
        <v>584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6"/>
        <v>#DIV/0!</v>
      </c>
      <c r="Z51" s="4" t="e">
        <f t="shared" si="4"/>
        <v>#DIV/0!</v>
      </c>
      <c r="AA51" s="4" t="e">
        <f>$K51/$H51</f>
        <v>#DIV/0!</v>
      </c>
      <c r="AB51" s="4">
        <f t="shared" si="5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620</v>
      </c>
      <c r="B61" s="3" t="s">
        <v>43</v>
      </c>
      <c r="C61" s="3">
        <v>25</v>
      </c>
      <c r="D61" s="3">
        <v>2</v>
      </c>
      <c r="E61" s="3" t="s">
        <v>211</v>
      </c>
      <c r="F61" s="3" t="s">
        <v>584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4" si="7">($J61*0.04)+($K61*4)+($L61*-2)+($N61*0.1)+($O61*6)+($Q61)+($R61*0.1)+($S61*6)+($T61*-2)</f>
        <v>0</v>
      </c>
      <c r="W61" s="3" t="e">
        <f t="shared" ref="W61:W74" ca="1" si="8">$P61/$H$33</f>
        <v>#DIV/0!</v>
      </c>
      <c r="X61" s="3" t="e">
        <f t="shared" ref="X61:X74" si="9">$N61/$M61</f>
        <v>#DIV/0!</v>
      </c>
      <c r="Y61" s="3" t="e">
        <f t="shared" ref="Y61:Y74" si="10">$R61/$Q61</f>
        <v>#DIV/0!</v>
      </c>
      <c r="Z61" s="3" t="e">
        <f t="shared" ref="Z61:Z74" si="11">$I61/$H61</f>
        <v>#DIV/0!</v>
      </c>
      <c r="AA61" s="3" t="e">
        <f t="shared" ref="AA61:AA74" si="12">$K61/$H61</f>
        <v>#DIV/0!</v>
      </c>
      <c r="AB61" s="3">
        <f t="shared" ref="AB61:AB74" si="13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621</v>
      </c>
      <c r="B62" s="4" t="s">
        <v>43</v>
      </c>
      <c r="C62" s="4">
        <v>25</v>
      </c>
      <c r="D62" s="4">
        <v>4</v>
      </c>
      <c r="E62" s="4" t="s">
        <v>143</v>
      </c>
      <c r="F62" s="4" t="s">
        <v>584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 t="shared" si="12"/>
        <v>#DIV/0!</v>
      </c>
      <c r="AB62" s="4">
        <f t="shared" si="13"/>
        <v>0</v>
      </c>
    </row>
    <row r="63" spans="1:28" x14ac:dyDescent="0.2">
      <c r="A63" s="3" t="s">
        <v>622</v>
      </c>
      <c r="B63" s="3" t="s">
        <v>43</v>
      </c>
      <c r="C63" s="3">
        <v>23</v>
      </c>
      <c r="D63" s="3">
        <v>0</v>
      </c>
      <c r="E63" s="3" t="s">
        <v>623</v>
      </c>
      <c r="F63" s="3" t="s">
        <v>584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 t="shared" si="12"/>
        <v>#DIV/0!</v>
      </c>
      <c r="AB63" s="3">
        <f t="shared" si="13"/>
        <v>0</v>
      </c>
    </row>
    <row r="64" spans="1:28" x14ac:dyDescent="0.2">
      <c r="A64" s="4" t="s">
        <v>624</v>
      </c>
      <c r="B64" s="4" t="s">
        <v>43</v>
      </c>
      <c r="C64" s="4">
        <v>26</v>
      </c>
      <c r="D64" s="4">
        <v>3</v>
      </c>
      <c r="E64" s="4" t="s">
        <v>95</v>
      </c>
      <c r="F64" s="4" t="s">
        <v>584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 t="shared" si="12"/>
        <v>#DIV/0!</v>
      </c>
      <c r="AB64" s="4">
        <f t="shared" si="13"/>
        <v>0</v>
      </c>
    </row>
    <row r="65" spans="1:28" x14ac:dyDescent="0.2">
      <c r="A65" s="3" t="s">
        <v>625</v>
      </c>
      <c r="B65" s="3" t="s">
        <v>43</v>
      </c>
      <c r="C65" s="3">
        <v>25</v>
      </c>
      <c r="D65" s="3">
        <v>4</v>
      </c>
      <c r="E65" s="3" t="s">
        <v>66</v>
      </c>
      <c r="F65" s="3" t="s">
        <v>584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 t="shared" si="12"/>
        <v>#DIV/0!</v>
      </c>
      <c r="AB65" s="3">
        <f t="shared" si="13"/>
        <v>0</v>
      </c>
    </row>
    <row r="66" spans="1:28" x14ac:dyDescent="0.2">
      <c r="A66" s="4" t="s">
        <v>626</v>
      </c>
      <c r="B66" s="4" t="s">
        <v>43</v>
      </c>
      <c r="C66" s="4">
        <v>24</v>
      </c>
      <c r="D66" s="4">
        <v>4</v>
      </c>
      <c r="E66" s="4" t="s">
        <v>153</v>
      </c>
      <c r="F66" s="4" t="s">
        <v>584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 t="shared" si="12"/>
        <v>#DIV/0!</v>
      </c>
      <c r="AB66" s="4">
        <f t="shared" si="13"/>
        <v>0</v>
      </c>
    </row>
    <row r="67" spans="1:28" x14ac:dyDescent="0.2">
      <c r="A67" s="3" t="s">
        <v>627</v>
      </c>
      <c r="B67" s="3" t="s">
        <v>43</v>
      </c>
      <c r="C67" s="3">
        <v>25</v>
      </c>
      <c r="D67" s="3">
        <v>2</v>
      </c>
      <c r="E67" s="3" t="s">
        <v>282</v>
      </c>
      <c r="F67" s="3" t="s">
        <v>584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 t="shared" si="12"/>
        <v>#DIV/0!</v>
      </c>
      <c r="AB67" s="3">
        <f t="shared" si="13"/>
        <v>0</v>
      </c>
    </row>
    <row r="68" spans="1:28" x14ac:dyDescent="0.2">
      <c r="A68" s="4" t="s">
        <v>628</v>
      </c>
      <c r="B68" s="4" t="s">
        <v>43</v>
      </c>
      <c r="C68" s="4">
        <v>26</v>
      </c>
      <c r="D68" s="4">
        <v>2</v>
      </c>
      <c r="E68" s="4" t="s">
        <v>629</v>
      </c>
      <c r="F68" s="4" t="s">
        <v>584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 t="shared" si="12"/>
        <v>#DIV/0!</v>
      </c>
      <c r="AB68" s="4">
        <f t="shared" si="13"/>
        <v>0</v>
      </c>
    </row>
    <row r="69" spans="1:28" x14ac:dyDescent="0.2">
      <c r="A69" s="3" t="s">
        <v>630</v>
      </c>
      <c r="B69" s="3" t="s">
        <v>43</v>
      </c>
      <c r="C69" s="3">
        <v>21</v>
      </c>
      <c r="D69" s="3">
        <v>0</v>
      </c>
      <c r="E69" s="3" t="s">
        <v>68</v>
      </c>
      <c r="F69" s="3" t="s">
        <v>584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 t="shared" si="12"/>
        <v>#DIV/0!</v>
      </c>
      <c r="AB69" s="3">
        <f t="shared" si="13"/>
        <v>0</v>
      </c>
    </row>
    <row r="70" spans="1:28" x14ac:dyDescent="0.2">
      <c r="A70" s="4" t="s">
        <v>631</v>
      </c>
      <c r="B70" s="4" t="s">
        <v>43</v>
      </c>
      <c r="C70" s="4">
        <v>29</v>
      </c>
      <c r="D70" s="4">
        <v>6</v>
      </c>
      <c r="E70" s="4" t="s">
        <v>207</v>
      </c>
      <c r="F70" s="4" t="s">
        <v>584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 t="shared" si="12"/>
        <v>#DIV/0!</v>
      </c>
      <c r="AB70" s="4">
        <f t="shared" si="13"/>
        <v>0</v>
      </c>
    </row>
    <row r="71" spans="1:28" x14ac:dyDescent="0.2">
      <c r="A71" s="3" t="s">
        <v>632</v>
      </c>
      <c r="B71" s="3" t="s">
        <v>43</v>
      </c>
      <c r="C71" s="3">
        <v>27</v>
      </c>
      <c r="D71" s="3">
        <v>6</v>
      </c>
      <c r="E71" s="3" t="s">
        <v>237</v>
      </c>
      <c r="F71" s="3" t="s">
        <v>584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 t="shared" si="12"/>
        <v>#DIV/0!</v>
      </c>
      <c r="AB71" s="3">
        <f t="shared" si="13"/>
        <v>0</v>
      </c>
    </row>
    <row r="72" spans="1:28" x14ac:dyDescent="0.2">
      <c r="A72" s="4" t="s">
        <v>633</v>
      </c>
      <c r="B72" s="4" t="s">
        <v>43</v>
      </c>
      <c r="C72" s="4">
        <v>25</v>
      </c>
      <c r="D72" s="4">
        <v>2</v>
      </c>
      <c r="E72" s="4" t="s">
        <v>277</v>
      </c>
      <c r="F72" s="4" t="s">
        <v>584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 t="shared" si="12"/>
        <v>#DIV/0!</v>
      </c>
      <c r="AB72" s="4">
        <f t="shared" si="13"/>
        <v>0</v>
      </c>
    </row>
    <row r="73" spans="1:28" x14ac:dyDescent="0.2">
      <c r="A73" s="3" t="s">
        <v>634</v>
      </c>
      <c r="B73" s="3" t="s">
        <v>43</v>
      </c>
      <c r="C73" s="3">
        <v>24</v>
      </c>
      <c r="D73" s="3">
        <v>2</v>
      </c>
      <c r="E73" s="3" t="s">
        <v>635</v>
      </c>
      <c r="F73" s="3" t="s">
        <v>584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7"/>
        <v>0</v>
      </c>
      <c r="W73" s="3" t="e">
        <f t="shared" ca="1" si="8"/>
        <v>#DIV/0!</v>
      </c>
      <c r="X73" s="3" t="e">
        <f t="shared" si="9"/>
        <v>#DIV/0!</v>
      </c>
      <c r="Y73" s="3" t="e">
        <f t="shared" si="10"/>
        <v>#DIV/0!</v>
      </c>
      <c r="Z73" s="3" t="e">
        <f t="shared" si="11"/>
        <v>#DIV/0!</v>
      </c>
      <c r="AA73" s="3" t="e">
        <f t="shared" si="12"/>
        <v>#DIV/0!</v>
      </c>
      <c r="AB73" s="3">
        <f t="shared" si="13"/>
        <v>0</v>
      </c>
    </row>
    <row r="74" spans="1:28" x14ac:dyDescent="0.2">
      <c r="A74" s="4" t="s">
        <v>636</v>
      </c>
      <c r="B74" s="4" t="s">
        <v>43</v>
      </c>
      <c r="C74" s="4"/>
      <c r="D74" s="4">
        <v>0</v>
      </c>
      <c r="E74" s="4" t="s">
        <v>637</v>
      </c>
      <c r="F74" s="4" t="s">
        <v>584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 t="shared" si="7"/>
        <v>0</v>
      </c>
      <c r="W74" s="4" t="e">
        <f t="shared" ca="1" si="8"/>
        <v>#DIV/0!</v>
      </c>
      <c r="X74" s="4" t="e">
        <f t="shared" si="9"/>
        <v>#DIV/0!</v>
      </c>
      <c r="Y74" s="4" t="e">
        <f t="shared" si="10"/>
        <v>#DIV/0!</v>
      </c>
      <c r="Z74" s="4" t="e">
        <f t="shared" si="11"/>
        <v>#DIV/0!</v>
      </c>
      <c r="AA74" s="4" t="e">
        <f t="shared" si="12"/>
        <v>#DIV/0!</v>
      </c>
      <c r="AB74" s="4">
        <f t="shared" si="13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638</v>
      </c>
      <c r="B76" s="3" t="s">
        <v>38</v>
      </c>
      <c r="C76" s="3">
        <v>24</v>
      </c>
      <c r="D76" s="3">
        <v>0</v>
      </c>
      <c r="E76" s="3" t="s">
        <v>341</v>
      </c>
      <c r="F76" s="3" t="s">
        <v>584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4">($J76*0.04)+($K76*4)+($L76*-2)+($N76*0.1)+($O76*6)+($Q76)+($R76*0.1)+($S76*6)+($T76*-2)</f>
        <v>0</v>
      </c>
      <c r="W76" s="3" t="e">
        <f t="shared" ref="W76:W81" ca="1" si="15">$P76/$H$33</f>
        <v>#DIV/0!</v>
      </c>
      <c r="X76" s="3" t="e">
        <f t="shared" ref="X76:X81" si="16">$N76/$M76</f>
        <v>#DIV/0!</v>
      </c>
      <c r="Y76" s="3" t="e">
        <f t="shared" ref="Y76:Y81" si="17">$R76/$Q76</f>
        <v>#DIV/0!</v>
      </c>
      <c r="Z76" s="3" t="e">
        <f t="shared" ref="Z76:Z81" si="18">$I76/$H76</f>
        <v>#DIV/0!</v>
      </c>
      <c r="AA76" s="3" t="e">
        <f t="shared" ref="AA76:AA81" si="19">$K76/$H76</f>
        <v>#DIV/0!</v>
      </c>
      <c r="AB76" s="3">
        <f t="shared" ref="AB76:AB81" si="20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639</v>
      </c>
      <c r="B77" s="4" t="s">
        <v>38</v>
      </c>
      <c r="C77" s="4">
        <v>23</v>
      </c>
      <c r="D77" s="4">
        <v>2</v>
      </c>
      <c r="E77" s="4" t="s">
        <v>418</v>
      </c>
      <c r="F77" s="4" t="s">
        <v>584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4"/>
        <v>0</v>
      </c>
      <c r="W77" s="4" t="e">
        <f t="shared" ca="1" si="15"/>
        <v>#DIV/0!</v>
      </c>
      <c r="X77" s="4" t="e">
        <f t="shared" si="16"/>
        <v>#DIV/0!</v>
      </c>
      <c r="Y77" s="4" t="e">
        <f t="shared" si="17"/>
        <v>#DIV/0!</v>
      </c>
      <c r="Z77" s="4" t="e">
        <f t="shared" si="18"/>
        <v>#DIV/0!</v>
      </c>
      <c r="AA77" s="4" t="e">
        <f t="shared" si="19"/>
        <v>#DIV/0!</v>
      </c>
      <c r="AB77" s="4">
        <f t="shared" si="20"/>
        <v>0</v>
      </c>
    </row>
    <row r="78" spans="1:28" x14ac:dyDescent="0.2">
      <c r="A78" s="3" t="s">
        <v>640</v>
      </c>
      <c r="B78" s="3" t="s">
        <v>38</v>
      </c>
      <c r="C78" s="3">
        <v>26</v>
      </c>
      <c r="D78" s="3">
        <v>2</v>
      </c>
      <c r="E78" s="3" t="s">
        <v>155</v>
      </c>
      <c r="F78" s="3" t="s">
        <v>584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4"/>
        <v>0</v>
      </c>
      <c r="W78" s="3" t="e">
        <f t="shared" ca="1" si="15"/>
        <v>#DIV/0!</v>
      </c>
      <c r="X78" s="3" t="e">
        <f t="shared" si="16"/>
        <v>#DIV/0!</v>
      </c>
      <c r="Y78" s="3" t="e">
        <f t="shared" si="17"/>
        <v>#DIV/0!</v>
      </c>
      <c r="Z78" s="3" t="e">
        <f t="shared" si="18"/>
        <v>#DIV/0!</v>
      </c>
      <c r="AA78" s="3" t="e">
        <f t="shared" si="19"/>
        <v>#DIV/0!</v>
      </c>
      <c r="AB78" s="3">
        <f t="shared" si="20"/>
        <v>0</v>
      </c>
    </row>
    <row r="79" spans="1:28" x14ac:dyDescent="0.2">
      <c r="A79" s="4" t="s">
        <v>641</v>
      </c>
      <c r="B79" s="4" t="s">
        <v>38</v>
      </c>
      <c r="C79" s="4">
        <v>31</v>
      </c>
      <c r="D79" s="4">
        <v>8</v>
      </c>
      <c r="E79" s="4" t="s">
        <v>642</v>
      </c>
      <c r="F79" s="4" t="s">
        <v>584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4"/>
        <v>0</v>
      </c>
      <c r="W79" s="4" t="e">
        <f t="shared" ca="1" si="15"/>
        <v>#DIV/0!</v>
      </c>
      <c r="X79" s="4" t="e">
        <f t="shared" si="16"/>
        <v>#DIV/0!</v>
      </c>
      <c r="Y79" s="4" t="e">
        <f t="shared" si="17"/>
        <v>#DIV/0!</v>
      </c>
      <c r="Z79" s="4" t="e">
        <f t="shared" si="18"/>
        <v>#DIV/0!</v>
      </c>
      <c r="AA79" s="4" t="e">
        <f t="shared" si="19"/>
        <v>#DIV/0!</v>
      </c>
      <c r="AB79" s="4">
        <f t="shared" si="20"/>
        <v>0</v>
      </c>
    </row>
    <row r="80" spans="1:28" x14ac:dyDescent="0.2">
      <c r="A80" s="3" t="s">
        <v>643</v>
      </c>
      <c r="B80" s="3" t="s">
        <v>38</v>
      </c>
      <c r="C80" s="3">
        <v>25</v>
      </c>
      <c r="D80" s="3">
        <v>4</v>
      </c>
      <c r="E80" s="3" t="s">
        <v>613</v>
      </c>
      <c r="F80" s="3" t="s">
        <v>584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4"/>
        <v>0</v>
      </c>
      <c r="W80" s="3" t="e">
        <f t="shared" ca="1" si="15"/>
        <v>#DIV/0!</v>
      </c>
      <c r="X80" s="3" t="e">
        <f t="shared" si="16"/>
        <v>#DIV/0!</v>
      </c>
      <c r="Y80" s="3" t="e">
        <f t="shared" si="17"/>
        <v>#DIV/0!</v>
      </c>
      <c r="Z80" s="3" t="e">
        <f t="shared" si="18"/>
        <v>#DIV/0!</v>
      </c>
      <c r="AA80" s="3" t="e">
        <f t="shared" si="19"/>
        <v>#DIV/0!</v>
      </c>
      <c r="AB80" s="3">
        <f t="shared" si="20"/>
        <v>0</v>
      </c>
    </row>
    <row r="81" spans="1:28" x14ac:dyDescent="0.2">
      <c r="A81" s="4" t="s">
        <v>644</v>
      </c>
      <c r="B81" s="4" t="s">
        <v>38</v>
      </c>
      <c r="C81" s="4">
        <v>26</v>
      </c>
      <c r="D81" s="4">
        <v>4</v>
      </c>
      <c r="E81" s="4" t="s">
        <v>645</v>
      </c>
      <c r="F81" s="4" t="s">
        <v>584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4"/>
        <v>0</v>
      </c>
      <c r="W81" s="4" t="e">
        <f t="shared" ca="1" si="15"/>
        <v>#DIV/0!</v>
      </c>
      <c r="X81" s="4" t="e">
        <f t="shared" si="16"/>
        <v>#DIV/0!</v>
      </c>
      <c r="Y81" s="4" t="e">
        <f t="shared" si="17"/>
        <v>#DIV/0!</v>
      </c>
      <c r="Z81" s="4" t="e">
        <f t="shared" si="18"/>
        <v>#DIV/0!</v>
      </c>
      <c r="AA81" s="4" t="e">
        <f t="shared" si="19"/>
        <v>#DIV/0!</v>
      </c>
      <c r="AB81" s="4">
        <f t="shared" si="20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B81"/>
  <sheetViews>
    <sheetView zoomScale="90" zoomScaleNormal="90" workbookViewId="0">
      <selection activeCell="A21" sqref="A21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646</v>
      </c>
      <c r="B2" s="3" t="s">
        <v>647</v>
      </c>
      <c r="C2" s="3" t="s">
        <v>115</v>
      </c>
      <c r="D2" s="3">
        <v>4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4</v>
      </c>
      <c r="L2" s="3">
        <v>0</v>
      </c>
      <c r="M2" s="3">
        <v>4</v>
      </c>
      <c r="N2" s="3">
        <v>1</v>
      </c>
      <c r="O2" s="3">
        <v>5</v>
      </c>
      <c r="P2" s="3">
        <v>0</v>
      </c>
      <c r="Q2" s="3">
        <v>0</v>
      </c>
      <c r="R2" s="3">
        <v>0</v>
      </c>
      <c r="S2" s="3">
        <v>1.9</v>
      </c>
      <c r="T2" s="3">
        <v>7.0052539404553398E-3</v>
      </c>
      <c r="U2" s="3">
        <v>4</v>
      </c>
      <c r="V2" s="3">
        <v>5</v>
      </c>
      <c r="W2" s="3"/>
      <c r="X2" s="3"/>
      <c r="Y2" s="3">
        <f t="shared" ref="Y2:Y20" si="0">($G2*Cp_yd)+($H2*Cp_td)+($I2*Cint)+($J2*Ccar)+($K2*Cr_yd)+($L2*Cr_td)+($N2*Crec)+($O2*Crec_yd)+($P2*Crec_td)+($Q2*Cfmb)+($R2*Ctp_c)</f>
        <v>1.9</v>
      </c>
    </row>
    <row r="3" spans="1:25" x14ac:dyDescent="0.2">
      <c r="A3" s="4" t="s">
        <v>648</v>
      </c>
      <c r="B3" s="4" t="s">
        <v>647</v>
      </c>
      <c r="C3" s="4" t="s">
        <v>26</v>
      </c>
      <c r="D3" s="4">
        <v>17</v>
      </c>
      <c r="E3" s="4">
        <v>587</v>
      </c>
      <c r="F3" s="4">
        <v>382</v>
      </c>
      <c r="G3" s="4">
        <v>4438</v>
      </c>
      <c r="H3" s="4">
        <v>29</v>
      </c>
      <c r="I3" s="4">
        <v>7</v>
      </c>
      <c r="J3" s="4">
        <v>29</v>
      </c>
      <c r="K3" s="4">
        <v>73</v>
      </c>
      <c r="L3" s="4">
        <v>0</v>
      </c>
      <c r="M3" s="4">
        <v>1</v>
      </c>
      <c r="N3" s="4">
        <v>1</v>
      </c>
      <c r="O3" s="4">
        <v>5</v>
      </c>
      <c r="P3" s="4">
        <v>0</v>
      </c>
      <c r="Q3" s="4">
        <v>4</v>
      </c>
      <c r="R3" s="4">
        <v>2</v>
      </c>
      <c r="S3" s="4">
        <v>284.32</v>
      </c>
      <c r="T3" s="4">
        <v>1.7513134851138399E-3</v>
      </c>
      <c r="U3" s="4">
        <v>2.5172413793103399</v>
      </c>
      <c r="V3" s="4">
        <v>5</v>
      </c>
      <c r="W3" s="4">
        <v>0.65076660988074997</v>
      </c>
      <c r="X3" s="4">
        <v>4.9403747870528099E-2</v>
      </c>
      <c r="Y3" s="4">
        <f t="shared" si="0"/>
        <v>284.32</v>
      </c>
    </row>
    <row r="4" spans="1:25" x14ac:dyDescent="0.2">
      <c r="A4" s="3" t="s">
        <v>649</v>
      </c>
      <c r="B4" s="3" t="s">
        <v>647</v>
      </c>
      <c r="C4" s="3" t="s">
        <v>26</v>
      </c>
      <c r="D4" s="3">
        <v>2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</v>
      </c>
      <c r="K4" s="3">
        <v>-4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-0.4</v>
      </c>
      <c r="T4" s="3">
        <v>0</v>
      </c>
      <c r="U4" s="3">
        <v>-0.8</v>
      </c>
      <c r="V4" s="3"/>
      <c r="W4" s="3"/>
      <c r="X4" s="3"/>
      <c r="Y4" s="3">
        <f t="shared" si="0"/>
        <v>-0.4</v>
      </c>
    </row>
    <row r="5" spans="1:25" x14ac:dyDescent="0.2">
      <c r="A5" s="4" t="s">
        <v>650</v>
      </c>
      <c r="B5" s="4" t="s">
        <v>647</v>
      </c>
      <c r="C5" s="4" t="s">
        <v>31</v>
      </c>
      <c r="D5" s="4">
        <v>6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23</v>
      </c>
      <c r="K5" s="4">
        <v>102</v>
      </c>
      <c r="L5" s="4">
        <v>0</v>
      </c>
      <c r="M5" s="4">
        <v>10</v>
      </c>
      <c r="N5" s="4">
        <v>9</v>
      </c>
      <c r="O5" s="4">
        <v>116</v>
      </c>
      <c r="P5" s="4">
        <v>0</v>
      </c>
      <c r="Q5" s="4">
        <v>0</v>
      </c>
      <c r="R5" s="4">
        <v>0</v>
      </c>
      <c r="S5" s="4">
        <v>30.8</v>
      </c>
      <c r="T5" s="4">
        <v>1.7513134851138399E-2</v>
      </c>
      <c r="U5" s="4">
        <v>4.4347826086956497</v>
      </c>
      <c r="V5" s="4">
        <v>12.8888888888889</v>
      </c>
      <c r="W5" s="4"/>
      <c r="X5" s="4"/>
      <c r="Y5" s="4">
        <f t="shared" si="0"/>
        <v>30.800000000000004</v>
      </c>
    </row>
    <row r="6" spans="1:25" x14ac:dyDescent="0.2">
      <c r="A6" s="3" t="s">
        <v>651</v>
      </c>
      <c r="B6" s="3" t="s">
        <v>647</v>
      </c>
      <c r="C6" s="3" t="s">
        <v>31</v>
      </c>
      <c r="D6" s="3">
        <v>14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99</v>
      </c>
      <c r="K6" s="3">
        <v>542</v>
      </c>
      <c r="L6" s="3">
        <v>5</v>
      </c>
      <c r="M6" s="3">
        <v>70</v>
      </c>
      <c r="N6" s="3">
        <v>48</v>
      </c>
      <c r="O6" s="3">
        <v>389</v>
      </c>
      <c r="P6" s="3">
        <v>3</v>
      </c>
      <c r="Q6" s="3">
        <v>0</v>
      </c>
      <c r="R6" s="3">
        <v>1</v>
      </c>
      <c r="S6" s="3">
        <v>191.1</v>
      </c>
      <c r="T6" s="3">
        <v>0.12259194395796801</v>
      </c>
      <c r="U6" s="3">
        <v>5.4747474747474696</v>
      </c>
      <c r="V6" s="3">
        <v>8.1041666666666696</v>
      </c>
      <c r="W6" s="3"/>
      <c r="X6" s="3"/>
      <c r="Y6" s="3">
        <f t="shared" si="0"/>
        <v>191.1</v>
      </c>
    </row>
    <row r="7" spans="1:25" x14ac:dyDescent="0.2">
      <c r="A7" s="4" t="s">
        <v>652</v>
      </c>
      <c r="B7" s="4" t="s">
        <v>647</v>
      </c>
      <c r="C7" s="4" t="s">
        <v>31</v>
      </c>
      <c r="D7" s="4">
        <v>12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42</v>
      </c>
      <c r="K7" s="4">
        <v>170</v>
      </c>
      <c r="L7" s="4">
        <v>1</v>
      </c>
      <c r="M7" s="4">
        <v>19</v>
      </c>
      <c r="N7" s="4">
        <v>12</v>
      </c>
      <c r="O7" s="4">
        <v>101</v>
      </c>
      <c r="P7" s="4">
        <v>1</v>
      </c>
      <c r="Q7" s="4">
        <v>0</v>
      </c>
      <c r="R7" s="4">
        <v>0</v>
      </c>
      <c r="S7" s="4">
        <v>51.1</v>
      </c>
      <c r="T7" s="4">
        <v>3.32749562171629E-2</v>
      </c>
      <c r="U7" s="4">
        <v>4.0476190476190501</v>
      </c>
      <c r="V7" s="4">
        <v>8.4166666666666696</v>
      </c>
      <c r="W7" s="4"/>
      <c r="X7" s="4"/>
      <c r="Y7" s="4">
        <f t="shared" si="0"/>
        <v>51.1</v>
      </c>
    </row>
    <row r="8" spans="1:25" x14ac:dyDescent="0.2">
      <c r="A8" s="3" t="s">
        <v>588</v>
      </c>
      <c r="B8" s="3" t="s">
        <v>647</v>
      </c>
      <c r="C8" s="3" t="s">
        <v>31</v>
      </c>
      <c r="D8" s="3">
        <v>17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262</v>
      </c>
      <c r="K8" s="3">
        <v>1066</v>
      </c>
      <c r="L8" s="3">
        <v>17</v>
      </c>
      <c r="M8" s="3">
        <v>16</v>
      </c>
      <c r="N8" s="3">
        <v>12</v>
      </c>
      <c r="O8" s="3">
        <v>73</v>
      </c>
      <c r="P8" s="3">
        <v>0</v>
      </c>
      <c r="Q8" s="3">
        <v>2</v>
      </c>
      <c r="R8" s="3">
        <v>1</v>
      </c>
      <c r="S8" s="3">
        <v>225.9</v>
      </c>
      <c r="T8" s="3">
        <v>2.8021015761821401E-2</v>
      </c>
      <c r="U8" s="3">
        <v>4.0687022900763399</v>
      </c>
      <c r="V8" s="3">
        <v>6.0833333333333304</v>
      </c>
      <c r="W8" s="3"/>
      <c r="X8" s="3"/>
      <c r="Y8" s="3">
        <f t="shared" si="0"/>
        <v>225.90000000000003</v>
      </c>
    </row>
    <row r="9" spans="1:25" x14ac:dyDescent="0.2">
      <c r="A9" s="4" t="s">
        <v>653</v>
      </c>
      <c r="B9" s="4" t="s">
        <v>647</v>
      </c>
      <c r="C9" s="4" t="s">
        <v>38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24</v>
      </c>
      <c r="N9" s="4">
        <v>18</v>
      </c>
      <c r="O9" s="4">
        <v>216</v>
      </c>
      <c r="P9" s="4">
        <v>4</v>
      </c>
      <c r="Q9" s="4">
        <v>0</v>
      </c>
      <c r="R9" s="4">
        <v>0</v>
      </c>
      <c r="S9" s="4">
        <v>63.6</v>
      </c>
      <c r="T9" s="4">
        <v>4.2031523642732001E-2</v>
      </c>
      <c r="U9" s="4"/>
      <c r="V9" s="4">
        <v>12</v>
      </c>
      <c r="W9" s="4"/>
      <c r="X9" s="4"/>
      <c r="Y9" s="4">
        <f t="shared" si="0"/>
        <v>63.6</v>
      </c>
    </row>
    <row r="10" spans="1:25" x14ac:dyDescent="0.2">
      <c r="A10" s="3" t="s">
        <v>654</v>
      </c>
      <c r="B10" s="3" t="s">
        <v>647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11</v>
      </c>
      <c r="N10" s="3">
        <v>11</v>
      </c>
      <c r="O10" s="3">
        <v>113</v>
      </c>
      <c r="P10" s="3">
        <v>1</v>
      </c>
      <c r="Q10" s="3">
        <v>0</v>
      </c>
      <c r="R10" s="3">
        <v>0</v>
      </c>
      <c r="S10" s="3">
        <v>28.3</v>
      </c>
      <c r="T10" s="3">
        <v>1.92644483362522E-2</v>
      </c>
      <c r="U10" s="3"/>
      <c r="V10" s="3">
        <v>10.2727272727273</v>
      </c>
      <c r="W10" s="3"/>
      <c r="X10" s="3"/>
      <c r="Y10" s="3">
        <f t="shared" si="0"/>
        <v>28.3</v>
      </c>
    </row>
    <row r="11" spans="1:25" x14ac:dyDescent="0.2">
      <c r="A11" s="4" t="s">
        <v>655</v>
      </c>
      <c r="B11" s="4" t="s">
        <v>647</v>
      </c>
      <c r="C11" s="4" t="s">
        <v>38</v>
      </c>
      <c r="D11" s="4">
        <v>8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15</v>
      </c>
      <c r="N11" s="4">
        <v>11</v>
      </c>
      <c r="O11" s="4">
        <v>60</v>
      </c>
      <c r="P11" s="4">
        <v>4</v>
      </c>
      <c r="Q11" s="4">
        <v>0</v>
      </c>
      <c r="R11" s="4">
        <v>0</v>
      </c>
      <c r="S11" s="4">
        <v>41</v>
      </c>
      <c r="T11" s="4">
        <v>2.62697022767075E-2</v>
      </c>
      <c r="U11" s="4"/>
      <c r="V11" s="4">
        <v>5.4545454545454497</v>
      </c>
      <c r="W11" s="4"/>
      <c r="X11" s="4"/>
      <c r="Y11" s="4">
        <f t="shared" si="0"/>
        <v>41</v>
      </c>
    </row>
    <row r="12" spans="1:25" x14ac:dyDescent="0.2">
      <c r="A12" s="3" t="s">
        <v>656</v>
      </c>
      <c r="B12" s="3" t="s">
        <v>647</v>
      </c>
      <c r="C12" s="3" t="s">
        <v>38</v>
      </c>
      <c r="D12" s="3">
        <v>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43</v>
      </c>
      <c r="N12" s="3">
        <v>26</v>
      </c>
      <c r="O12" s="3">
        <v>395</v>
      </c>
      <c r="P12" s="3">
        <v>3</v>
      </c>
      <c r="Q12" s="3">
        <v>0</v>
      </c>
      <c r="R12" s="3">
        <v>0</v>
      </c>
      <c r="S12" s="3">
        <v>85.5</v>
      </c>
      <c r="T12" s="3">
        <v>7.5306479859894901E-2</v>
      </c>
      <c r="U12" s="3"/>
      <c r="V12" s="3">
        <v>15.192307692307701</v>
      </c>
      <c r="W12" s="3"/>
      <c r="X12" s="3"/>
      <c r="Y12" s="3">
        <f t="shared" si="0"/>
        <v>83.5</v>
      </c>
    </row>
    <row r="13" spans="1:25" x14ac:dyDescent="0.2">
      <c r="A13" s="4" t="s">
        <v>657</v>
      </c>
      <c r="B13" s="4" t="s">
        <v>647</v>
      </c>
      <c r="C13" s="4" t="s">
        <v>43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9</v>
      </c>
      <c r="K13" s="4">
        <v>95</v>
      </c>
      <c r="L13" s="4">
        <v>0</v>
      </c>
      <c r="M13" s="4">
        <v>146</v>
      </c>
      <c r="N13" s="4">
        <v>106</v>
      </c>
      <c r="O13" s="4">
        <v>1161</v>
      </c>
      <c r="P13" s="4">
        <v>6</v>
      </c>
      <c r="Q13" s="4">
        <v>0</v>
      </c>
      <c r="R13" s="4">
        <v>0</v>
      </c>
      <c r="S13" s="4">
        <v>267.60000000000002</v>
      </c>
      <c r="T13" s="4">
        <v>0.25569176882661998</v>
      </c>
      <c r="U13" s="4">
        <v>10.5555555555556</v>
      </c>
      <c r="V13" s="4">
        <v>10.952830188679201</v>
      </c>
      <c r="W13" s="4"/>
      <c r="X13" s="4"/>
      <c r="Y13" s="4">
        <f t="shared" si="0"/>
        <v>267.60000000000002</v>
      </c>
    </row>
    <row r="14" spans="1:25" x14ac:dyDescent="0.2">
      <c r="A14" s="3" t="s">
        <v>658</v>
      </c>
      <c r="B14" s="3" t="s">
        <v>647</v>
      </c>
      <c r="C14" s="3" t="s">
        <v>43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52</v>
      </c>
      <c r="N14" s="3">
        <v>30</v>
      </c>
      <c r="O14" s="3">
        <v>502</v>
      </c>
      <c r="P14" s="3">
        <v>3</v>
      </c>
      <c r="Q14" s="3">
        <v>0</v>
      </c>
      <c r="R14" s="3">
        <v>0</v>
      </c>
      <c r="S14" s="3">
        <v>98.2</v>
      </c>
      <c r="T14" s="3">
        <v>9.1068301225919399E-2</v>
      </c>
      <c r="U14" s="3"/>
      <c r="V14" s="3">
        <v>16.733333333333299</v>
      </c>
      <c r="W14" s="3"/>
      <c r="X14" s="3"/>
      <c r="Y14" s="3">
        <f t="shared" si="0"/>
        <v>98.2</v>
      </c>
    </row>
    <row r="15" spans="1:25" x14ac:dyDescent="0.2">
      <c r="A15" s="4" t="s">
        <v>659</v>
      </c>
      <c r="B15" s="4" t="s">
        <v>647</v>
      </c>
      <c r="C15" s="4" t="s">
        <v>43</v>
      </c>
      <c r="D15" s="4">
        <v>12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59</v>
      </c>
      <c r="N15" s="4">
        <v>38</v>
      </c>
      <c r="O15" s="4">
        <v>479</v>
      </c>
      <c r="P15" s="4">
        <v>3</v>
      </c>
      <c r="Q15" s="4">
        <v>0</v>
      </c>
      <c r="R15" s="4">
        <v>0</v>
      </c>
      <c r="S15" s="4">
        <v>103.9</v>
      </c>
      <c r="T15" s="4">
        <v>0.103327495621716</v>
      </c>
      <c r="U15" s="4"/>
      <c r="V15" s="4">
        <v>12.605263157894701</v>
      </c>
      <c r="W15" s="4"/>
      <c r="X15" s="4"/>
      <c r="Y15" s="4">
        <f t="shared" si="0"/>
        <v>103.9</v>
      </c>
    </row>
    <row r="16" spans="1:25" x14ac:dyDescent="0.2">
      <c r="A16" s="3" t="s">
        <v>588</v>
      </c>
      <c r="B16" s="3" t="s">
        <v>647</v>
      </c>
      <c r="C16" s="3" t="s">
        <v>43</v>
      </c>
      <c r="D16" s="3">
        <v>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>
        <v>40</v>
      </c>
      <c r="L16" s="3">
        <v>0</v>
      </c>
      <c r="M16" s="3">
        <v>9</v>
      </c>
      <c r="N16" s="3">
        <v>1</v>
      </c>
      <c r="O16" s="3">
        <v>41</v>
      </c>
      <c r="P16" s="3">
        <v>1</v>
      </c>
      <c r="Q16" s="3">
        <v>0</v>
      </c>
      <c r="R16" s="3">
        <v>0</v>
      </c>
      <c r="S16" s="3">
        <v>15.1</v>
      </c>
      <c r="T16" s="3">
        <v>1.5761821366024501E-2</v>
      </c>
      <c r="U16" s="3">
        <v>40</v>
      </c>
      <c r="V16" s="3">
        <v>41</v>
      </c>
      <c r="W16" s="3"/>
      <c r="X16" s="3"/>
      <c r="Y16" s="3">
        <f t="shared" si="0"/>
        <v>15.100000000000001</v>
      </c>
    </row>
    <row r="17" spans="1:25" x14ac:dyDescent="0.2">
      <c r="A17" s="4" t="s">
        <v>660</v>
      </c>
      <c r="B17" s="4" t="s">
        <v>647</v>
      </c>
      <c r="C17" s="4" t="s">
        <v>43</v>
      </c>
      <c r="D17" s="4">
        <v>16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7</v>
      </c>
      <c r="K17" s="4">
        <v>36</v>
      </c>
      <c r="L17" s="4">
        <v>0</v>
      </c>
      <c r="M17" s="4">
        <v>64</v>
      </c>
      <c r="N17" s="4">
        <v>47</v>
      </c>
      <c r="O17" s="4">
        <v>616</v>
      </c>
      <c r="P17" s="4">
        <v>0</v>
      </c>
      <c r="Q17" s="4">
        <v>0</v>
      </c>
      <c r="R17" s="4">
        <v>0</v>
      </c>
      <c r="S17" s="4">
        <v>116.2</v>
      </c>
      <c r="T17" s="4">
        <v>0.11208406304728501</v>
      </c>
      <c r="U17" s="4">
        <v>5.1428571428571397</v>
      </c>
      <c r="V17" s="4">
        <v>13.106382978723399</v>
      </c>
      <c r="W17" s="4"/>
      <c r="X17" s="4"/>
      <c r="Y17" s="4">
        <f t="shared" si="0"/>
        <v>112.2</v>
      </c>
    </row>
    <row r="18" spans="1:25" x14ac:dyDescent="0.2">
      <c r="A18" s="3" t="s">
        <v>661</v>
      </c>
      <c r="B18" s="3" t="s">
        <v>647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7</v>
      </c>
      <c r="P18" s="3">
        <v>0</v>
      </c>
      <c r="Q18" s="3">
        <v>0</v>
      </c>
      <c r="R18" s="3">
        <v>0</v>
      </c>
      <c r="S18" s="3">
        <v>1.7</v>
      </c>
      <c r="T18" s="3">
        <v>1.7513134851138399E-3</v>
      </c>
      <c r="U18" s="3"/>
      <c r="V18" s="3">
        <v>7</v>
      </c>
      <c r="W18" s="3"/>
      <c r="X18" s="3"/>
      <c r="Y18" s="3">
        <f t="shared" si="0"/>
        <v>1.7000000000000002</v>
      </c>
    </row>
    <row r="19" spans="1:25" x14ac:dyDescent="0.2">
      <c r="A19" s="4" t="s">
        <v>662</v>
      </c>
      <c r="B19" s="4" t="s">
        <v>647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3</v>
      </c>
      <c r="N19" s="4">
        <v>2</v>
      </c>
      <c r="O19" s="4">
        <v>15</v>
      </c>
      <c r="P19" s="4">
        <v>0</v>
      </c>
      <c r="Q19" s="4">
        <v>0</v>
      </c>
      <c r="R19" s="4">
        <v>0</v>
      </c>
      <c r="S19" s="4">
        <v>3.5</v>
      </c>
      <c r="T19" s="4">
        <v>5.2539404553415096E-3</v>
      </c>
      <c r="U19" s="4"/>
      <c r="V19" s="4">
        <v>7.5</v>
      </c>
      <c r="W19" s="4"/>
      <c r="X19" s="4"/>
      <c r="Y19" s="4">
        <f t="shared" si="0"/>
        <v>3.5</v>
      </c>
    </row>
    <row r="20" spans="1:25" x14ac:dyDescent="0.2">
      <c r="A20" s="3" t="s">
        <v>663</v>
      </c>
      <c r="B20" s="3" t="s">
        <v>647</v>
      </c>
      <c r="C20" s="3" t="s">
        <v>43</v>
      </c>
      <c r="D20" s="3">
        <v>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15</v>
      </c>
      <c r="N20" s="3">
        <v>8</v>
      </c>
      <c r="O20" s="3">
        <v>141</v>
      </c>
      <c r="P20" s="3">
        <v>0</v>
      </c>
      <c r="Q20" s="3">
        <v>0</v>
      </c>
      <c r="R20" s="3">
        <v>0</v>
      </c>
      <c r="S20" s="3">
        <v>22.1</v>
      </c>
      <c r="T20" s="3">
        <v>2.62697022767075E-2</v>
      </c>
      <c r="U20" s="3"/>
      <c r="V20" s="3">
        <v>17.625</v>
      </c>
      <c r="W20" s="3"/>
      <c r="X20" s="3"/>
      <c r="Y20" s="3">
        <f t="shared" si="0"/>
        <v>22.1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647</v>
      </c>
      <c r="B31" s="3">
        <v>6562</v>
      </c>
      <c r="C31" s="3">
        <v>4438</v>
      </c>
      <c r="D31" s="3">
        <v>478</v>
      </c>
      <c r="E31" s="3">
        <v>2124</v>
      </c>
      <c r="F31" s="3">
        <v>23</v>
      </c>
      <c r="G31" s="3">
        <v>1631.42</v>
      </c>
      <c r="H31" s="3">
        <v>587</v>
      </c>
      <c r="I31" s="3">
        <v>0.65076660988074997</v>
      </c>
      <c r="J31" s="3">
        <v>29</v>
      </c>
      <c r="K31" s="3">
        <v>7</v>
      </c>
      <c r="L31" s="3">
        <v>6</v>
      </c>
      <c r="M31" s="3">
        <f ca="1">SUM(INDIRECT(A33 &amp; "_Table1[[#All],[f_custom]]"))</f>
        <v>1625.42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DET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664</v>
      </c>
      <c r="B36" s="3" t="s">
        <v>26</v>
      </c>
      <c r="C36" s="3">
        <v>30</v>
      </c>
      <c r="D36" s="3">
        <v>10</v>
      </c>
      <c r="E36" s="3" t="s">
        <v>209</v>
      </c>
      <c r="F36" s="3" t="s">
        <v>647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665</v>
      </c>
      <c r="B37" s="4" t="s">
        <v>26</v>
      </c>
      <c r="C37" s="4">
        <v>28</v>
      </c>
      <c r="D37" s="4">
        <v>8</v>
      </c>
      <c r="E37" s="4" t="s">
        <v>666</v>
      </c>
      <c r="F37" s="4" t="s">
        <v>647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667</v>
      </c>
      <c r="B38" s="3" t="s">
        <v>26</v>
      </c>
      <c r="C38" s="3">
        <v>25</v>
      </c>
      <c r="D38" s="3">
        <v>0</v>
      </c>
      <c r="E38" s="3" t="s">
        <v>143</v>
      </c>
      <c r="F38" s="3" t="s">
        <v>647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">
      <c r="A39" s="4" t="s">
        <v>668</v>
      </c>
      <c r="B39" s="4" t="s">
        <v>26</v>
      </c>
      <c r="C39" s="4">
        <v>23</v>
      </c>
      <c r="D39" s="4">
        <v>0</v>
      </c>
      <c r="E39" s="4" t="s">
        <v>559</v>
      </c>
      <c r="F39" s="4" t="s">
        <v>647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0" spans="1:28" x14ac:dyDescent="0.2">
      <c r="A40" s="3" t="s">
        <v>669</v>
      </c>
      <c r="B40" s="3" t="s">
        <v>26</v>
      </c>
      <c r="C40" s="3">
        <v>29</v>
      </c>
      <c r="D40" s="3">
        <v>7</v>
      </c>
      <c r="E40" s="3" t="s">
        <v>360</v>
      </c>
      <c r="F40" s="3" t="s">
        <v>647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f>($J40*0.04)+($K40*4)+($L40*-2)+($N40*0.1)+($O40*6)+($Q40)+($R40*0.1)+($S40*6)+($T40*-2)</f>
        <v>0</v>
      </c>
      <c r="W40" s="3" t="e">
        <f ca="1">$P40/$H$33</f>
        <v>#DIV/0!</v>
      </c>
      <c r="X40" s="3" t="e">
        <f>$N40/$M40</f>
        <v>#DIV/0!</v>
      </c>
      <c r="Y40" s="3" t="e">
        <f>$R40/$Q40</f>
        <v>#DIV/0!</v>
      </c>
      <c r="Z40" s="3" t="e">
        <f>$I40/$H40</f>
        <v>#DIV/0!</v>
      </c>
      <c r="AA40" s="3" t="e">
        <f>$K40/$H40</f>
        <v>#DIV/0!</v>
      </c>
      <c r="AB40" s="3">
        <f>($J40*Cp_yd)+($K40*Cp_td)+($L40*Cint)+($M40*Ccar)+($N40*Cr_yd)+($O40*Cr_td)+(Q40*Crec)+($R40*Crec_yd)+($S40*Crec_td)+($T40*Cfmb)+($U40*Ctp_c)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670</v>
      </c>
      <c r="B46" s="3" t="s">
        <v>31</v>
      </c>
      <c r="C46" s="3">
        <v>21</v>
      </c>
      <c r="D46" s="3">
        <v>0</v>
      </c>
      <c r="E46" s="3" t="s">
        <v>153</v>
      </c>
      <c r="F46" s="3" t="s">
        <v>647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3" si="1">($J46*0.04)+($K46*4)+($L46*-2)+($N46*0.1)+($O46*6)+($Q46)+($R46*0.1)+($S46*6)+($T46*-2)</f>
        <v>0</v>
      </c>
      <c r="W46" s="3" t="e">
        <f t="shared" ref="W46:W53" ca="1" si="2">$P46/$H$33</f>
        <v>#DIV/0!</v>
      </c>
      <c r="X46" s="3" t="e">
        <f t="shared" ref="X46:X53" si="3">$N46/$M46</f>
        <v>#DIV/0!</v>
      </c>
      <c r="Y46" s="3" t="e">
        <f t="shared" ref="Y46:Y53" si="4">$R46/$Q46</f>
        <v>#DIV/0!</v>
      </c>
      <c r="Z46" s="3" t="e">
        <f t="shared" ref="Z46:Z53" si="5">$I46/$H46</f>
        <v>#DIV/0!</v>
      </c>
      <c r="AA46" s="3" t="e">
        <f>$K46/$H46</f>
        <v>#DIV/0!</v>
      </c>
      <c r="AB46" s="3">
        <f t="shared" ref="AB46:AB53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671</v>
      </c>
      <c r="B47" s="4" t="s">
        <v>31</v>
      </c>
      <c r="C47" s="4">
        <v>23</v>
      </c>
      <c r="D47" s="4">
        <v>0</v>
      </c>
      <c r="E47" s="4" t="s">
        <v>225</v>
      </c>
      <c r="F47" s="4" t="s">
        <v>647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672</v>
      </c>
      <c r="B48" s="3" t="s">
        <v>31</v>
      </c>
      <c r="C48" s="3">
        <v>27</v>
      </c>
      <c r="D48" s="3">
        <v>6</v>
      </c>
      <c r="E48" s="3" t="s">
        <v>141</v>
      </c>
      <c r="F48" s="3" t="s">
        <v>647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673</v>
      </c>
      <c r="B49" s="4" t="s">
        <v>31</v>
      </c>
      <c r="C49" s="4">
        <v>23</v>
      </c>
      <c r="D49" s="4">
        <v>2</v>
      </c>
      <c r="E49" s="4" t="s">
        <v>111</v>
      </c>
      <c r="F49" s="4" t="s">
        <v>647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674</v>
      </c>
      <c r="B50" s="3" t="s">
        <v>31</v>
      </c>
      <c r="C50" s="3">
        <v>26</v>
      </c>
      <c r="D50" s="3">
        <v>5</v>
      </c>
      <c r="E50" s="3" t="s">
        <v>244</v>
      </c>
      <c r="F50" s="3" t="s">
        <v>647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675</v>
      </c>
      <c r="B51" s="4" t="s">
        <v>31</v>
      </c>
      <c r="C51" s="4">
        <v>26</v>
      </c>
      <c r="D51" s="4">
        <v>4</v>
      </c>
      <c r="E51" s="4" t="s">
        <v>248</v>
      </c>
      <c r="F51" s="4" t="s">
        <v>647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52" spans="1:28" x14ac:dyDescent="0.2">
      <c r="A52" s="3" t="s">
        <v>676</v>
      </c>
      <c r="B52" s="3" t="s">
        <v>31</v>
      </c>
      <c r="C52" s="3">
        <v>27</v>
      </c>
      <c r="D52" s="3">
        <v>2</v>
      </c>
      <c r="E52" s="3" t="s">
        <v>677</v>
      </c>
      <c r="F52" s="3" t="s">
        <v>647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>$K52/$H52</f>
        <v>#DIV/0!</v>
      </c>
      <c r="AB52" s="3">
        <f t="shared" si="6"/>
        <v>0</v>
      </c>
    </row>
    <row r="53" spans="1:28" x14ac:dyDescent="0.2">
      <c r="A53" s="4" t="s">
        <v>678</v>
      </c>
      <c r="B53" s="4" t="s">
        <v>31</v>
      </c>
      <c r="C53" s="4">
        <v>25</v>
      </c>
      <c r="D53" s="4">
        <v>5</v>
      </c>
      <c r="E53" s="4" t="s">
        <v>150</v>
      </c>
      <c r="F53" s="4" t="s">
        <v>647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f t="shared" si="1"/>
        <v>0</v>
      </c>
      <c r="W53" s="4" t="e">
        <f t="shared" ca="1" si="2"/>
        <v>#DIV/0!</v>
      </c>
      <c r="X53" s="4" t="e">
        <f t="shared" si="3"/>
        <v>#DIV/0!</v>
      </c>
      <c r="Y53" s="4" t="e">
        <f t="shared" si="4"/>
        <v>#DIV/0!</v>
      </c>
      <c r="Z53" s="4" t="e">
        <f t="shared" si="5"/>
        <v>#DIV/0!</v>
      </c>
      <c r="AA53" s="4" t="e">
        <f>$K53/$H53</f>
        <v>#DIV/0!</v>
      </c>
      <c r="AB53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679</v>
      </c>
      <c r="B61" s="3" t="s">
        <v>43</v>
      </c>
      <c r="C61" s="3">
        <v>26</v>
      </c>
      <c r="D61" s="3">
        <v>1</v>
      </c>
      <c r="E61" s="3" t="s">
        <v>182</v>
      </c>
      <c r="F61" s="3" t="s">
        <v>647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7">($J61*0.04)+($K61*4)+($L61*-2)+($N61*0.1)+($O61*6)+($Q61)+($R61*0.1)+($S61*6)+($T61*-2)</f>
        <v>0</v>
      </c>
      <c r="W61" s="3" t="e">
        <f t="shared" ref="W61:W73" ca="1" si="8">$P61/$H$33</f>
        <v>#DIV/0!</v>
      </c>
      <c r="X61" s="3" t="e">
        <f t="shared" ref="X61:X73" si="9">$N61/$M61</f>
        <v>#DIV/0!</v>
      </c>
      <c r="Y61" s="3" t="e">
        <f t="shared" ref="Y61:Y73" si="10">$R61/$Q61</f>
        <v>#DIV/0!</v>
      </c>
      <c r="Z61" s="3" t="e">
        <f t="shared" ref="Z61:Z73" si="11">$I61/$H61</f>
        <v>#DIV/0!</v>
      </c>
      <c r="AA61" s="3" t="e">
        <f>$K61/$H61</f>
        <v>#DIV/0!</v>
      </c>
      <c r="AB61" s="3">
        <f t="shared" ref="AB61:AB73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680</v>
      </c>
      <c r="B62" s="4" t="s">
        <v>43</v>
      </c>
      <c r="C62" s="4">
        <v>26</v>
      </c>
      <c r="D62" s="4">
        <v>3</v>
      </c>
      <c r="E62" s="4" t="s">
        <v>681</v>
      </c>
      <c r="F62" s="4" t="s">
        <v>647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682</v>
      </c>
      <c r="B63" s="3" t="s">
        <v>43</v>
      </c>
      <c r="C63" s="3">
        <v>23</v>
      </c>
      <c r="D63" s="3">
        <v>0</v>
      </c>
      <c r="E63" s="3" t="s">
        <v>205</v>
      </c>
      <c r="F63" s="3" t="s">
        <v>647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683</v>
      </c>
      <c r="B64" s="4" t="s">
        <v>43</v>
      </c>
      <c r="C64" s="4"/>
      <c r="D64" s="4">
        <v>0</v>
      </c>
      <c r="E64" s="4" t="s">
        <v>362</v>
      </c>
      <c r="F64" s="4" t="s">
        <v>647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684</v>
      </c>
      <c r="B65" s="3" t="s">
        <v>43</v>
      </c>
      <c r="C65" s="3">
        <v>23</v>
      </c>
      <c r="D65" s="3">
        <v>0</v>
      </c>
      <c r="E65" s="3" t="s">
        <v>170</v>
      </c>
      <c r="F65" s="3" t="s">
        <v>647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685</v>
      </c>
      <c r="B66" s="4" t="s">
        <v>43</v>
      </c>
      <c r="C66" s="4">
        <v>23</v>
      </c>
      <c r="D66" s="4">
        <v>0</v>
      </c>
      <c r="E66" s="4" t="s">
        <v>163</v>
      </c>
      <c r="F66" s="4" t="s">
        <v>647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686</v>
      </c>
      <c r="B67" s="3" t="s">
        <v>43</v>
      </c>
      <c r="C67" s="3">
        <v>33</v>
      </c>
      <c r="D67" s="3">
        <v>12</v>
      </c>
      <c r="E67" s="3" t="s">
        <v>666</v>
      </c>
      <c r="F67" s="3" t="s">
        <v>647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687</v>
      </c>
      <c r="B68" s="4" t="s">
        <v>43</v>
      </c>
      <c r="C68" s="4">
        <v>27</v>
      </c>
      <c r="D68" s="4">
        <v>3</v>
      </c>
      <c r="E68" s="4" t="s">
        <v>688</v>
      </c>
      <c r="F68" s="4" t="s">
        <v>647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689</v>
      </c>
      <c r="B69" s="3" t="s">
        <v>43</v>
      </c>
      <c r="C69" s="3">
        <v>25</v>
      </c>
      <c r="D69" s="3">
        <v>4</v>
      </c>
      <c r="E69" s="3" t="s">
        <v>393</v>
      </c>
      <c r="F69" s="3" t="s">
        <v>647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690</v>
      </c>
      <c r="B70" s="4" t="s">
        <v>43</v>
      </c>
      <c r="C70" s="4">
        <v>29</v>
      </c>
      <c r="D70" s="4">
        <v>7</v>
      </c>
      <c r="E70" s="4" t="s">
        <v>691</v>
      </c>
      <c r="F70" s="4" t="s">
        <v>647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692</v>
      </c>
      <c r="B71" s="3" t="s">
        <v>43</v>
      </c>
      <c r="C71" s="3">
        <v>28</v>
      </c>
      <c r="D71" s="3">
        <v>7</v>
      </c>
      <c r="E71" s="3" t="s">
        <v>307</v>
      </c>
      <c r="F71" s="3" t="s">
        <v>647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693</v>
      </c>
      <c r="B72" s="4" t="s">
        <v>43</v>
      </c>
      <c r="C72" s="4">
        <v>23</v>
      </c>
      <c r="D72" s="4">
        <v>3</v>
      </c>
      <c r="E72" s="4" t="s">
        <v>78</v>
      </c>
      <c r="F72" s="4" t="s">
        <v>647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3" spans="1:28" x14ac:dyDescent="0.2">
      <c r="A73" s="3" t="s">
        <v>694</v>
      </c>
      <c r="B73" s="3" t="s">
        <v>43</v>
      </c>
      <c r="C73" s="3">
        <v>22</v>
      </c>
      <c r="D73" s="3">
        <v>2</v>
      </c>
      <c r="E73" s="3" t="s">
        <v>153</v>
      </c>
      <c r="F73" s="3" t="s">
        <v>647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7"/>
        <v>0</v>
      </c>
      <c r="W73" s="3" t="e">
        <f t="shared" ca="1" si="8"/>
        <v>#DIV/0!</v>
      </c>
      <c r="X73" s="3" t="e">
        <f t="shared" si="9"/>
        <v>#DIV/0!</v>
      </c>
      <c r="Y73" s="3" t="e">
        <f t="shared" si="10"/>
        <v>#DIV/0!</v>
      </c>
      <c r="Z73" s="3" t="e">
        <f t="shared" si="11"/>
        <v>#DIV/0!</v>
      </c>
      <c r="AA73" s="3" t="e">
        <f>$K73/$H73</f>
        <v>#DIV/0!</v>
      </c>
      <c r="AB73" s="3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695</v>
      </c>
      <c r="B76" s="3" t="s">
        <v>38</v>
      </c>
      <c r="C76" s="3">
        <v>28</v>
      </c>
      <c r="D76" s="3">
        <v>6</v>
      </c>
      <c r="E76" s="3" t="s">
        <v>86</v>
      </c>
      <c r="F76" s="3" t="s">
        <v>647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3">($J76*0.04)+($K76*4)+($L76*-2)+($N76*0.1)+($O76*6)+($Q76)+($R76*0.1)+($S76*6)+($T76*-2)</f>
        <v>0</v>
      </c>
      <c r="W76" s="3" t="e">
        <f t="shared" ref="W76:W81" ca="1" si="14">$P76/$H$33</f>
        <v>#DIV/0!</v>
      </c>
      <c r="X76" s="3" t="e">
        <f t="shared" ref="X76:X81" si="15">$N76/$M76</f>
        <v>#DIV/0!</v>
      </c>
      <c r="Y76" s="3" t="e">
        <f t="shared" ref="Y76:Y81" si="16">$R76/$Q76</f>
        <v>#DIV/0!</v>
      </c>
      <c r="Z76" s="3" t="e">
        <f t="shared" ref="Z76:Z81" si="17">$I76/$H76</f>
        <v>#DIV/0!</v>
      </c>
      <c r="AA76" s="3" t="e">
        <f>$K76/$H76</f>
        <v>#DIV/0!</v>
      </c>
      <c r="AB76" s="3">
        <f t="shared" ref="AB76:AB81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696</v>
      </c>
      <c r="B77" s="4" t="s">
        <v>38</v>
      </c>
      <c r="C77" s="4">
        <v>28</v>
      </c>
      <c r="D77" s="4">
        <v>3</v>
      </c>
      <c r="E77" s="4" t="s">
        <v>697</v>
      </c>
      <c r="F77" s="4" t="s">
        <v>647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698</v>
      </c>
      <c r="B78" s="3" t="s">
        <v>38</v>
      </c>
      <c r="C78" s="3">
        <v>22</v>
      </c>
      <c r="D78" s="3">
        <v>0</v>
      </c>
      <c r="E78" s="3" t="s">
        <v>100</v>
      </c>
      <c r="F78" s="3" t="s">
        <v>647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699</v>
      </c>
      <c r="B79" s="4" t="s">
        <v>38</v>
      </c>
      <c r="C79" s="4">
        <v>24</v>
      </c>
      <c r="D79" s="4">
        <v>2</v>
      </c>
      <c r="E79" s="4" t="s">
        <v>333</v>
      </c>
      <c r="F79" s="4" t="s">
        <v>647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700</v>
      </c>
      <c r="B80" s="3" t="s">
        <v>38</v>
      </c>
      <c r="C80" s="3">
        <v>24</v>
      </c>
      <c r="D80" s="3">
        <v>3</v>
      </c>
      <c r="E80" s="3" t="s">
        <v>362</v>
      </c>
      <c r="F80" s="3" t="s">
        <v>647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701</v>
      </c>
      <c r="B81" s="4" t="s">
        <v>38</v>
      </c>
      <c r="C81" s="4">
        <v>26</v>
      </c>
      <c r="D81" s="4">
        <v>2</v>
      </c>
      <c r="E81" s="4" t="s">
        <v>702</v>
      </c>
      <c r="F81" s="4" t="s">
        <v>647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B80"/>
  <sheetViews>
    <sheetView zoomScale="90" zoomScaleNormal="90" workbookViewId="0">
      <selection activeCell="A20" sqref="A20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703</v>
      </c>
      <c r="B2" s="3" t="s">
        <v>704</v>
      </c>
      <c r="C2" s="3" t="s">
        <v>26</v>
      </c>
      <c r="D2" s="3">
        <v>17</v>
      </c>
      <c r="E2" s="3">
        <v>542</v>
      </c>
      <c r="F2" s="3">
        <v>350</v>
      </c>
      <c r="G2" s="3">
        <v>3695</v>
      </c>
      <c r="H2" s="3">
        <v>26</v>
      </c>
      <c r="I2" s="3">
        <v>12</v>
      </c>
      <c r="J2" s="3">
        <v>34</v>
      </c>
      <c r="K2" s="3">
        <v>94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4</v>
      </c>
      <c r="R2" s="3">
        <v>2</v>
      </c>
      <c r="S2" s="3">
        <v>239.2</v>
      </c>
      <c r="T2" s="3">
        <v>0</v>
      </c>
      <c r="U2" s="3">
        <v>2.7647058823529398</v>
      </c>
      <c r="V2" s="3"/>
      <c r="W2" s="3">
        <v>0.645756457564576</v>
      </c>
      <c r="X2" s="3">
        <v>4.7970479704797099E-2</v>
      </c>
      <c r="Y2" s="3">
        <f t="shared" ref="Y2:Y19" si="0">($G2*Cp_yd)+($H2*Cp_td)+($I2*Cint)+($J2*Ccar)+($K2*Cr_yd)+($L2*Cr_td)+($N2*Crec)+($O2*Crec_yd)+($P2*Crec_td)+($Q2*Cfmb)+($R2*Ctp_c)</f>
        <v>239.20000000000002</v>
      </c>
    </row>
    <row r="3" spans="1:25" x14ac:dyDescent="0.2">
      <c r="A3" s="4" t="s">
        <v>705</v>
      </c>
      <c r="B3" s="4" t="s">
        <v>704</v>
      </c>
      <c r="C3" s="4" t="s">
        <v>26</v>
      </c>
      <c r="D3" s="4">
        <v>4</v>
      </c>
      <c r="E3" s="4">
        <v>21</v>
      </c>
      <c r="F3" s="4">
        <v>14</v>
      </c>
      <c r="G3" s="4">
        <v>195</v>
      </c>
      <c r="H3" s="4">
        <v>1</v>
      </c>
      <c r="I3" s="4">
        <v>0</v>
      </c>
      <c r="J3" s="4">
        <v>1</v>
      </c>
      <c r="K3" s="4">
        <v>-1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11.7</v>
      </c>
      <c r="T3" s="4">
        <v>0</v>
      </c>
      <c r="U3" s="4">
        <v>-1</v>
      </c>
      <c r="V3" s="4"/>
      <c r="W3" s="4">
        <v>0.66666666666666696</v>
      </c>
      <c r="X3" s="4">
        <v>4.7619047619047603E-2</v>
      </c>
      <c r="Y3" s="4">
        <f t="shared" si="0"/>
        <v>11.700000000000001</v>
      </c>
    </row>
    <row r="4" spans="1:25" x14ac:dyDescent="0.2">
      <c r="A4" s="3" t="s">
        <v>706</v>
      </c>
      <c r="B4" s="3" t="s">
        <v>704</v>
      </c>
      <c r="C4" s="3" t="s">
        <v>31</v>
      </c>
      <c r="D4" s="3">
        <v>17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186</v>
      </c>
      <c r="K4" s="3">
        <v>770</v>
      </c>
      <c r="L4" s="3">
        <v>7</v>
      </c>
      <c r="M4" s="3">
        <v>43</v>
      </c>
      <c r="N4" s="3">
        <v>28</v>
      </c>
      <c r="O4" s="3">
        <v>206</v>
      </c>
      <c r="P4" s="3">
        <v>0</v>
      </c>
      <c r="Q4" s="3">
        <v>0</v>
      </c>
      <c r="R4" s="3">
        <v>0</v>
      </c>
      <c r="S4" s="3">
        <v>167.6</v>
      </c>
      <c r="T4" s="3">
        <v>7.3253833049403694E-2</v>
      </c>
      <c r="U4" s="3">
        <v>4.1397849462365599</v>
      </c>
      <c r="V4" s="3">
        <v>7.3571428571428603</v>
      </c>
      <c r="W4" s="3"/>
      <c r="X4" s="3"/>
      <c r="Y4" s="3">
        <f t="shared" si="0"/>
        <v>167.6</v>
      </c>
    </row>
    <row r="5" spans="1:25" x14ac:dyDescent="0.2">
      <c r="A5" s="4" t="s">
        <v>707</v>
      </c>
      <c r="B5" s="4" t="s">
        <v>704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213</v>
      </c>
      <c r="K5" s="4">
        <v>1121</v>
      </c>
      <c r="L5" s="4">
        <v>2</v>
      </c>
      <c r="M5" s="4">
        <v>72</v>
      </c>
      <c r="N5" s="4">
        <v>59</v>
      </c>
      <c r="O5" s="4">
        <v>395</v>
      </c>
      <c r="P5" s="4">
        <v>5</v>
      </c>
      <c r="Q5" s="4">
        <v>1</v>
      </c>
      <c r="R5" s="4">
        <v>0</v>
      </c>
      <c r="S5" s="4">
        <v>248.6</v>
      </c>
      <c r="T5" s="4">
        <v>0.12265758091993199</v>
      </c>
      <c r="U5" s="4">
        <v>5.2629107981220704</v>
      </c>
      <c r="V5" s="4">
        <v>6.6949152542372898</v>
      </c>
      <c r="W5" s="4"/>
      <c r="X5" s="4"/>
      <c r="Y5" s="4">
        <f t="shared" si="0"/>
        <v>250.60000000000002</v>
      </c>
    </row>
    <row r="6" spans="1:25" x14ac:dyDescent="0.2">
      <c r="A6" s="3" t="s">
        <v>708</v>
      </c>
      <c r="B6" s="3" t="s">
        <v>704</v>
      </c>
      <c r="C6" s="3" t="s">
        <v>31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</v>
      </c>
      <c r="K6" s="3">
        <v>7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0.7</v>
      </c>
      <c r="T6" s="3">
        <v>0</v>
      </c>
      <c r="U6" s="3">
        <v>7</v>
      </c>
      <c r="V6" s="3"/>
      <c r="W6" s="3"/>
      <c r="X6" s="3"/>
      <c r="Y6" s="3">
        <f t="shared" si="0"/>
        <v>0.70000000000000007</v>
      </c>
    </row>
    <row r="7" spans="1:25" x14ac:dyDescent="0.2">
      <c r="A7" s="4" t="s">
        <v>709</v>
      </c>
      <c r="B7" s="4" t="s">
        <v>704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10</v>
      </c>
      <c r="K7" s="4">
        <v>31</v>
      </c>
      <c r="L7" s="4">
        <v>0</v>
      </c>
      <c r="M7" s="4">
        <v>1</v>
      </c>
      <c r="N7" s="4">
        <v>1</v>
      </c>
      <c r="O7" s="4">
        <v>17</v>
      </c>
      <c r="P7" s="4">
        <v>0</v>
      </c>
      <c r="Q7" s="4">
        <v>0</v>
      </c>
      <c r="R7" s="4">
        <v>0</v>
      </c>
      <c r="S7" s="4">
        <v>5.8</v>
      </c>
      <c r="T7" s="4">
        <v>1.7035775127768301E-3</v>
      </c>
      <c r="U7" s="4">
        <v>3.1</v>
      </c>
      <c r="V7" s="4">
        <v>17</v>
      </c>
      <c r="W7" s="4"/>
      <c r="X7" s="4"/>
      <c r="Y7" s="4">
        <f t="shared" si="0"/>
        <v>5.8</v>
      </c>
    </row>
    <row r="8" spans="1:25" x14ac:dyDescent="0.2">
      <c r="A8" s="3" t="s">
        <v>710</v>
      </c>
      <c r="B8" s="3" t="s">
        <v>704</v>
      </c>
      <c r="C8" s="3" t="s">
        <v>38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15</v>
      </c>
      <c r="N8" s="3">
        <v>13</v>
      </c>
      <c r="O8" s="3">
        <v>114</v>
      </c>
      <c r="P8" s="3">
        <v>0</v>
      </c>
      <c r="Q8" s="3">
        <v>0</v>
      </c>
      <c r="R8" s="3">
        <v>0</v>
      </c>
      <c r="S8" s="3">
        <v>24.4</v>
      </c>
      <c r="T8" s="3">
        <v>2.55536626916525E-2</v>
      </c>
      <c r="U8" s="3"/>
      <c r="V8" s="3">
        <v>8.7692307692307701</v>
      </c>
      <c r="W8" s="3"/>
      <c r="X8" s="3"/>
      <c r="Y8" s="3">
        <f t="shared" si="0"/>
        <v>24.4</v>
      </c>
    </row>
    <row r="9" spans="1:25" x14ac:dyDescent="0.2">
      <c r="A9" s="4" t="s">
        <v>711</v>
      </c>
      <c r="B9" s="4" t="s">
        <v>704</v>
      </c>
      <c r="C9" s="4" t="s">
        <v>38</v>
      </c>
      <c r="D9" s="4">
        <v>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7</v>
      </c>
      <c r="N9" s="4">
        <v>6</v>
      </c>
      <c r="O9" s="4">
        <v>66</v>
      </c>
      <c r="P9" s="4">
        <v>2</v>
      </c>
      <c r="Q9" s="4">
        <v>0</v>
      </c>
      <c r="R9" s="4">
        <v>0</v>
      </c>
      <c r="S9" s="4">
        <v>26.6</v>
      </c>
      <c r="T9" s="4">
        <v>1.1925042589437799E-2</v>
      </c>
      <c r="U9" s="4"/>
      <c r="V9" s="4">
        <v>11</v>
      </c>
      <c r="W9" s="4"/>
      <c r="X9" s="4"/>
      <c r="Y9" s="4">
        <f t="shared" si="0"/>
        <v>24.6</v>
      </c>
    </row>
    <row r="10" spans="1:25" x14ac:dyDescent="0.2">
      <c r="A10" s="3" t="s">
        <v>712</v>
      </c>
      <c r="B10" s="3" t="s">
        <v>704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67</v>
      </c>
      <c r="N10" s="3">
        <v>53</v>
      </c>
      <c r="O10" s="3">
        <v>470</v>
      </c>
      <c r="P10" s="3">
        <v>2</v>
      </c>
      <c r="Q10" s="3">
        <v>0</v>
      </c>
      <c r="R10" s="3">
        <v>0</v>
      </c>
      <c r="S10" s="3">
        <v>112</v>
      </c>
      <c r="T10" s="3">
        <v>0.114139693356048</v>
      </c>
      <c r="U10" s="3"/>
      <c r="V10" s="3">
        <v>8.8679245283018897</v>
      </c>
      <c r="W10" s="3"/>
      <c r="X10" s="3"/>
      <c r="Y10" s="3">
        <f t="shared" si="0"/>
        <v>112</v>
      </c>
    </row>
    <row r="11" spans="1:25" x14ac:dyDescent="0.2">
      <c r="A11" s="4" t="s">
        <v>713</v>
      </c>
      <c r="B11" s="4" t="s">
        <v>704</v>
      </c>
      <c r="C11" s="4" t="s">
        <v>38</v>
      </c>
      <c r="D11" s="4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7</v>
      </c>
      <c r="N11" s="4">
        <v>4</v>
      </c>
      <c r="O11" s="4">
        <v>26</v>
      </c>
      <c r="P11" s="4">
        <v>0</v>
      </c>
      <c r="Q11" s="4">
        <v>0</v>
      </c>
      <c r="R11" s="4">
        <v>0</v>
      </c>
      <c r="S11" s="4">
        <v>6.6</v>
      </c>
      <c r="T11" s="4">
        <v>1.1925042589437799E-2</v>
      </c>
      <c r="U11" s="4"/>
      <c r="V11" s="4">
        <v>6.5</v>
      </c>
      <c r="W11" s="4"/>
      <c r="X11" s="4"/>
      <c r="Y11" s="4">
        <f t="shared" si="0"/>
        <v>6.6</v>
      </c>
    </row>
    <row r="12" spans="1:25" x14ac:dyDescent="0.2">
      <c r="A12" s="3" t="s">
        <v>714</v>
      </c>
      <c r="B12" s="3" t="s">
        <v>704</v>
      </c>
      <c r="C12" s="3" t="s">
        <v>43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0</v>
      </c>
      <c r="L12" s="3">
        <v>0</v>
      </c>
      <c r="M12" s="3">
        <v>100</v>
      </c>
      <c r="N12" s="3">
        <v>60</v>
      </c>
      <c r="O12" s="3">
        <v>788</v>
      </c>
      <c r="P12" s="3">
        <v>6</v>
      </c>
      <c r="Q12" s="3">
        <v>0</v>
      </c>
      <c r="R12" s="3">
        <v>0</v>
      </c>
      <c r="S12" s="3">
        <v>174.8</v>
      </c>
      <c r="T12" s="3">
        <v>0.17035775127768299</v>
      </c>
      <c r="U12" s="3">
        <v>0</v>
      </c>
      <c r="V12" s="3">
        <v>13.133333333333301</v>
      </c>
      <c r="W12" s="3"/>
      <c r="X12" s="3"/>
      <c r="Y12" s="3">
        <f t="shared" si="0"/>
        <v>174.8</v>
      </c>
    </row>
    <row r="13" spans="1:25" x14ac:dyDescent="0.2">
      <c r="A13" s="4" t="s">
        <v>703</v>
      </c>
      <c r="B13" s="4" t="s">
        <v>704</v>
      </c>
      <c r="C13" s="4" t="s">
        <v>43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8</v>
      </c>
      <c r="N13" s="4">
        <v>4</v>
      </c>
      <c r="O13" s="4">
        <v>50</v>
      </c>
      <c r="P13" s="4">
        <v>0</v>
      </c>
      <c r="Q13" s="4">
        <v>0</v>
      </c>
      <c r="R13" s="4">
        <v>0</v>
      </c>
      <c r="S13" s="4">
        <v>9</v>
      </c>
      <c r="T13" s="4">
        <v>1.36286201022147E-2</v>
      </c>
      <c r="U13" s="4"/>
      <c r="V13" s="4">
        <v>12.5</v>
      </c>
      <c r="W13" s="4"/>
      <c r="X13" s="4"/>
      <c r="Y13" s="4">
        <f t="shared" si="0"/>
        <v>9</v>
      </c>
    </row>
    <row r="14" spans="1:25" x14ac:dyDescent="0.2">
      <c r="A14" s="3" t="s">
        <v>715</v>
      </c>
      <c r="B14" s="3" t="s">
        <v>704</v>
      </c>
      <c r="C14" s="3" t="s">
        <v>43</v>
      </c>
      <c r="D14" s="3">
        <v>14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</v>
      </c>
      <c r="K14" s="3">
        <v>80</v>
      </c>
      <c r="L14" s="3">
        <v>2</v>
      </c>
      <c r="M14" s="3">
        <v>66</v>
      </c>
      <c r="N14" s="3">
        <v>41</v>
      </c>
      <c r="O14" s="3">
        <v>611</v>
      </c>
      <c r="P14" s="3">
        <v>7</v>
      </c>
      <c r="Q14" s="3">
        <v>0</v>
      </c>
      <c r="R14" s="3">
        <v>0</v>
      </c>
      <c r="S14" s="3">
        <v>164.1</v>
      </c>
      <c r="T14" s="3">
        <v>0.112436115843271</v>
      </c>
      <c r="U14" s="3">
        <v>11.4285714285714</v>
      </c>
      <c r="V14" s="3">
        <v>14.902439024390199</v>
      </c>
      <c r="W14" s="3"/>
      <c r="X14" s="3"/>
      <c r="Y14" s="3">
        <f t="shared" si="0"/>
        <v>164.1</v>
      </c>
    </row>
    <row r="15" spans="1:25" x14ac:dyDescent="0.2">
      <c r="A15" s="4" t="s">
        <v>716</v>
      </c>
      <c r="B15" s="4" t="s">
        <v>704</v>
      </c>
      <c r="C15" s="4" t="s">
        <v>43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1</v>
      </c>
      <c r="O15" s="4">
        <v>17</v>
      </c>
      <c r="P15" s="4">
        <v>0</v>
      </c>
      <c r="Q15" s="4">
        <v>0</v>
      </c>
      <c r="R15" s="4">
        <v>0</v>
      </c>
      <c r="S15" s="4">
        <v>2.7</v>
      </c>
      <c r="T15" s="4">
        <v>6.8143100511073298E-3</v>
      </c>
      <c r="U15" s="4"/>
      <c r="V15" s="4">
        <v>17</v>
      </c>
      <c r="W15" s="4"/>
      <c r="X15" s="4"/>
      <c r="Y15" s="4">
        <f t="shared" si="0"/>
        <v>2.7</v>
      </c>
    </row>
    <row r="16" spans="1:25" x14ac:dyDescent="0.2">
      <c r="A16" s="3" t="s">
        <v>717</v>
      </c>
      <c r="B16" s="3" t="s">
        <v>704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50</v>
      </c>
      <c r="N16" s="3">
        <v>34</v>
      </c>
      <c r="O16" s="3">
        <v>417</v>
      </c>
      <c r="P16" s="3">
        <v>1</v>
      </c>
      <c r="Q16" s="3">
        <v>0</v>
      </c>
      <c r="R16" s="3">
        <v>0</v>
      </c>
      <c r="S16" s="3">
        <v>81.7</v>
      </c>
      <c r="T16" s="3">
        <v>8.5178875638841606E-2</v>
      </c>
      <c r="U16" s="3"/>
      <c r="V16" s="3">
        <v>12.264705882352899</v>
      </c>
      <c r="W16" s="3"/>
      <c r="X16" s="3"/>
      <c r="Y16" s="3">
        <f t="shared" si="0"/>
        <v>81.7</v>
      </c>
    </row>
    <row r="17" spans="1:25" x14ac:dyDescent="0.2">
      <c r="A17" s="4" t="s">
        <v>718</v>
      </c>
      <c r="B17" s="4" t="s">
        <v>704</v>
      </c>
      <c r="C17" s="4" t="s">
        <v>43</v>
      </c>
      <c r="D17" s="4">
        <v>13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11</v>
      </c>
      <c r="L17" s="4">
        <v>0</v>
      </c>
      <c r="M17" s="4">
        <v>67</v>
      </c>
      <c r="N17" s="4">
        <v>42</v>
      </c>
      <c r="O17" s="4">
        <v>425</v>
      </c>
      <c r="P17" s="4">
        <v>3</v>
      </c>
      <c r="Q17" s="4">
        <v>0</v>
      </c>
      <c r="R17" s="4">
        <v>0</v>
      </c>
      <c r="S17" s="4">
        <v>101.6</v>
      </c>
      <c r="T17" s="4">
        <v>0.114139693356048</v>
      </c>
      <c r="U17" s="4">
        <v>11</v>
      </c>
      <c r="V17" s="4">
        <v>10.119047619047601</v>
      </c>
      <c r="W17" s="4"/>
      <c r="X17" s="4"/>
      <c r="Y17" s="4">
        <f t="shared" si="0"/>
        <v>103.6</v>
      </c>
    </row>
    <row r="18" spans="1:25" x14ac:dyDescent="0.2">
      <c r="A18" s="3" t="s">
        <v>719</v>
      </c>
      <c r="B18" s="3" t="s">
        <v>704</v>
      </c>
      <c r="C18" s="3" t="s">
        <v>43</v>
      </c>
      <c r="D18" s="3">
        <v>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10</v>
      </c>
      <c r="N18" s="3">
        <v>5</v>
      </c>
      <c r="O18" s="3">
        <v>82</v>
      </c>
      <c r="P18" s="3">
        <v>1</v>
      </c>
      <c r="Q18" s="3">
        <v>0</v>
      </c>
      <c r="R18" s="3">
        <v>0</v>
      </c>
      <c r="S18" s="3">
        <v>19.2</v>
      </c>
      <c r="T18" s="3">
        <v>1.7035775127768299E-2</v>
      </c>
      <c r="U18" s="3"/>
      <c r="V18" s="3">
        <v>16.399999999999999</v>
      </c>
      <c r="W18" s="3"/>
      <c r="X18" s="3"/>
      <c r="Y18" s="3">
        <f t="shared" si="0"/>
        <v>19.200000000000003</v>
      </c>
    </row>
    <row r="19" spans="1:25" x14ac:dyDescent="0.2">
      <c r="A19" s="4" t="s">
        <v>202</v>
      </c>
      <c r="B19" s="4" t="s">
        <v>704</v>
      </c>
      <c r="C19" s="4" t="s">
        <v>43</v>
      </c>
      <c r="D19" s="4">
        <v>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22</v>
      </c>
      <c r="N19" s="4">
        <v>13</v>
      </c>
      <c r="O19" s="4">
        <v>206</v>
      </c>
      <c r="P19" s="4">
        <v>0</v>
      </c>
      <c r="Q19" s="4">
        <v>0</v>
      </c>
      <c r="R19" s="4">
        <v>0</v>
      </c>
      <c r="S19" s="4">
        <v>33.6</v>
      </c>
      <c r="T19" s="4">
        <v>3.7478705281090298E-2</v>
      </c>
      <c r="U19" s="4"/>
      <c r="V19" s="4">
        <v>15.846153846153801</v>
      </c>
      <c r="W19" s="4"/>
      <c r="X19" s="4"/>
      <c r="Y19" s="4">
        <f t="shared" si="0"/>
        <v>33.6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704</v>
      </c>
      <c r="B31" s="3">
        <v>6003</v>
      </c>
      <c r="C31" s="3">
        <v>3890</v>
      </c>
      <c r="D31" s="3">
        <v>455</v>
      </c>
      <c r="E31" s="3">
        <v>2113</v>
      </c>
      <c r="F31" s="3">
        <v>12</v>
      </c>
      <c r="G31" s="3">
        <v>1429.9</v>
      </c>
      <c r="H31" s="3">
        <v>563</v>
      </c>
      <c r="I31" s="3">
        <v>0.64653641207815304</v>
      </c>
      <c r="J31" s="3">
        <v>27</v>
      </c>
      <c r="K31" s="3">
        <v>12</v>
      </c>
      <c r="L31" s="3">
        <v>5</v>
      </c>
      <c r="M31" s="3">
        <f ca="1">SUM(INDIRECT(A33 &amp; "_Table1[[#All],[f_custom]]"))</f>
        <v>1431.8999999999999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GB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720</v>
      </c>
      <c r="B36" s="3" t="s">
        <v>26</v>
      </c>
      <c r="C36" s="3">
        <v>25</v>
      </c>
      <c r="D36" s="3">
        <v>0</v>
      </c>
      <c r="E36" s="3" t="s">
        <v>339</v>
      </c>
      <c r="F36" s="3" t="s">
        <v>704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721</v>
      </c>
      <c r="B37" s="4" t="s">
        <v>26</v>
      </c>
      <c r="C37" s="4">
        <v>24</v>
      </c>
      <c r="D37" s="4">
        <v>4</v>
      </c>
      <c r="E37" s="4" t="s">
        <v>89</v>
      </c>
      <c r="F37" s="4" t="s">
        <v>704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722</v>
      </c>
      <c r="B38" s="3" t="s">
        <v>26</v>
      </c>
      <c r="C38" s="3">
        <v>27</v>
      </c>
      <c r="D38" s="3">
        <v>1</v>
      </c>
      <c r="E38" s="3" t="s">
        <v>182</v>
      </c>
      <c r="F38" s="3" t="s">
        <v>704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723</v>
      </c>
      <c r="B46" s="3" t="s">
        <v>31</v>
      </c>
      <c r="C46" s="3">
        <v>25</v>
      </c>
      <c r="D46" s="3">
        <v>4</v>
      </c>
      <c r="E46" s="3" t="s">
        <v>235</v>
      </c>
      <c r="F46" s="3" t="s">
        <v>704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>$K46/$H46</f>
        <v>#DIV/0!</v>
      </c>
      <c r="AB46" s="3">
        <f t="shared" ref="AB46:AB52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724</v>
      </c>
      <c r="B47" s="4" t="s">
        <v>31</v>
      </c>
      <c r="C47" s="4">
        <v>22</v>
      </c>
      <c r="D47" s="4">
        <v>1</v>
      </c>
      <c r="E47" s="4" t="s">
        <v>100</v>
      </c>
      <c r="F47" s="4" t="s">
        <v>704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725</v>
      </c>
      <c r="B48" s="3" t="s">
        <v>31</v>
      </c>
      <c r="C48" s="3">
        <v>28</v>
      </c>
      <c r="D48" s="3">
        <v>7</v>
      </c>
      <c r="E48" s="3" t="s">
        <v>726</v>
      </c>
      <c r="F48" s="3" t="s">
        <v>704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727</v>
      </c>
      <c r="B49" s="4" t="s">
        <v>31</v>
      </c>
      <c r="C49" s="4">
        <v>24</v>
      </c>
      <c r="D49" s="4">
        <v>1</v>
      </c>
      <c r="E49" s="4" t="s">
        <v>728</v>
      </c>
      <c r="F49" s="4" t="s">
        <v>704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729</v>
      </c>
      <c r="B50" s="3" t="s">
        <v>31</v>
      </c>
      <c r="C50" s="3">
        <v>22</v>
      </c>
      <c r="D50" s="3">
        <v>0</v>
      </c>
      <c r="E50" s="3" t="s">
        <v>309</v>
      </c>
      <c r="F50" s="3" t="s">
        <v>704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730</v>
      </c>
      <c r="B51" s="4" t="s">
        <v>31</v>
      </c>
      <c r="C51" s="4">
        <v>25</v>
      </c>
      <c r="D51" s="4">
        <v>3</v>
      </c>
      <c r="E51" s="4" t="s">
        <v>557</v>
      </c>
      <c r="F51" s="4" t="s">
        <v>704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52" spans="1:28" x14ac:dyDescent="0.2">
      <c r="A52" s="3" t="s">
        <v>731</v>
      </c>
      <c r="B52" s="3" t="s">
        <v>31</v>
      </c>
      <c r="C52" s="3">
        <v>24</v>
      </c>
      <c r="D52" s="3">
        <v>0</v>
      </c>
      <c r="E52" s="3" t="s">
        <v>93</v>
      </c>
      <c r="F52" s="3" t="s">
        <v>704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>$K52/$H52</f>
        <v>#DIV/0!</v>
      </c>
      <c r="AB52" s="3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732</v>
      </c>
      <c r="B61" s="3" t="s">
        <v>43</v>
      </c>
      <c r="C61" s="3">
        <v>23</v>
      </c>
      <c r="D61" s="3">
        <v>0</v>
      </c>
      <c r="E61" s="3" t="s">
        <v>733</v>
      </c>
      <c r="F61" s="3" t="s">
        <v>704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7">($J61*0.04)+($K61*4)+($L61*-2)+($N61*0.1)+($O61*6)+($Q61)+($R61*0.1)+($S61*6)+($T61*-2)</f>
        <v>0</v>
      </c>
      <c r="W61" s="3" t="e">
        <f t="shared" ref="W61:W72" ca="1" si="8">$P61/$H$33</f>
        <v>#DIV/0!</v>
      </c>
      <c r="X61" s="3" t="e">
        <f t="shared" ref="X61:X72" si="9">$N61/$M61</f>
        <v>#DIV/0!</v>
      </c>
      <c r="Y61" s="3" t="e">
        <f t="shared" ref="Y61:Y72" si="10">$R61/$Q61</f>
        <v>#DIV/0!</v>
      </c>
      <c r="Z61" s="3" t="e">
        <f t="shared" ref="Z61:Z72" si="11">$I61/$H61</f>
        <v>#DIV/0!</v>
      </c>
      <c r="AA61" s="3" t="e">
        <f>$K61/$H61</f>
        <v>#DIV/0!</v>
      </c>
      <c r="AB61" s="3">
        <f t="shared" ref="AB61:AB72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734</v>
      </c>
      <c r="B62" s="4" t="s">
        <v>43</v>
      </c>
      <c r="C62" s="4"/>
      <c r="D62" s="4">
        <v>0</v>
      </c>
      <c r="E62" s="4" t="s">
        <v>91</v>
      </c>
      <c r="F62" s="4" t="s">
        <v>704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735</v>
      </c>
      <c r="B63" s="3" t="s">
        <v>43</v>
      </c>
      <c r="C63" s="3">
        <v>23</v>
      </c>
      <c r="D63" s="3">
        <v>2</v>
      </c>
      <c r="E63" s="3" t="s">
        <v>736</v>
      </c>
      <c r="F63" s="3" t="s">
        <v>704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737</v>
      </c>
      <c r="B64" s="4" t="s">
        <v>43</v>
      </c>
      <c r="C64" s="4">
        <v>22</v>
      </c>
      <c r="D64" s="4">
        <v>0</v>
      </c>
      <c r="E64" s="4" t="s">
        <v>738</v>
      </c>
      <c r="F64" s="4" t="s">
        <v>704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739</v>
      </c>
      <c r="B65" s="3" t="s">
        <v>43</v>
      </c>
      <c r="C65" s="3">
        <v>23</v>
      </c>
      <c r="D65" s="3">
        <v>0</v>
      </c>
      <c r="E65" s="3" t="s">
        <v>240</v>
      </c>
      <c r="F65" s="3" t="s">
        <v>704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740</v>
      </c>
      <c r="B66" s="4" t="s">
        <v>43</v>
      </c>
      <c r="C66" s="4">
        <v>24</v>
      </c>
      <c r="D66" s="4">
        <v>1</v>
      </c>
      <c r="E66" s="4" t="s">
        <v>215</v>
      </c>
      <c r="F66" s="4" t="s">
        <v>704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741</v>
      </c>
      <c r="B67" s="3" t="s">
        <v>43</v>
      </c>
      <c r="C67" s="3">
        <v>25</v>
      </c>
      <c r="D67" s="3">
        <v>1</v>
      </c>
      <c r="E67" s="3" t="s">
        <v>742</v>
      </c>
      <c r="F67" s="3" t="s">
        <v>704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743</v>
      </c>
      <c r="B68" s="4" t="s">
        <v>43</v>
      </c>
      <c r="C68" s="4">
        <v>23</v>
      </c>
      <c r="D68" s="4">
        <v>0</v>
      </c>
      <c r="E68" s="4" t="s">
        <v>744</v>
      </c>
      <c r="F68" s="4" t="s">
        <v>704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745</v>
      </c>
      <c r="B69" s="3" t="s">
        <v>43</v>
      </c>
      <c r="C69" s="3">
        <v>25</v>
      </c>
      <c r="D69" s="3">
        <v>2</v>
      </c>
      <c r="E69" s="3" t="s">
        <v>248</v>
      </c>
      <c r="F69" s="3" t="s">
        <v>704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746</v>
      </c>
      <c r="B70" s="4" t="s">
        <v>43</v>
      </c>
      <c r="C70" s="4">
        <v>24</v>
      </c>
      <c r="D70" s="4">
        <v>2</v>
      </c>
      <c r="E70" s="4" t="s">
        <v>555</v>
      </c>
      <c r="F70" s="4" t="s">
        <v>704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747</v>
      </c>
      <c r="B71" s="3" t="s">
        <v>43</v>
      </c>
      <c r="C71" s="3">
        <v>23</v>
      </c>
      <c r="D71" s="3">
        <v>0</v>
      </c>
      <c r="E71" s="3" t="s">
        <v>405</v>
      </c>
      <c r="F71" s="3" t="s">
        <v>704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748</v>
      </c>
      <c r="B72" s="4" t="s">
        <v>43</v>
      </c>
      <c r="C72" s="4">
        <v>22</v>
      </c>
      <c r="D72" s="4">
        <v>0</v>
      </c>
      <c r="E72" s="4" t="s">
        <v>409</v>
      </c>
      <c r="F72" s="4" t="s">
        <v>704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749</v>
      </c>
      <c r="B76" s="3" t="s">
        <v>38</v>
      </c>
      <c r="C76" s="3">
        <v>24</v>
      </c>
      <c r="D76" s="3">
        <v>1</v>
      </c>
      <c r="E76" s="3" t="s">
        <v>248</v>
      </c>
      <c r="F76" s="3" t="s">
        <v>704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$K76/$H76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">
      <c r="A77" s="4" t="s">
        <v>750</v>
      </c>
      <c r="B77" s="4" t="s">
        <v>38</v>
      </c>
      <c r="C77" s="4">
        <v>26</v>
      </c>
      <c r="D77" s="4">
        <v>4</v>
      </c>
      <c r="E77" s="4" t="s">
        <v>455</v>
      </c>
      <c r="F77" s="4" t="s">
        <v>704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$K77/$H77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">
      <c r="A78" s="3" t="s">
        <v>751</v>
      </c>
      <c r="B78" s="3" t="s">
        <v>38</v>
      </c>
      <c r="C78" s="3">
        <v>26</v>
      </c>
      <c r="D78" s="3">
        <v>4</v>
      </c>
      <c r="E78" s="3" t="s">
        <v>136</v>
      </c>
      <c r="F78" s="3" t="s">
        <v>704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$K78/$H78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">
      <c r="A79" s="4" t="s">
        <v>752</v>
      </c>
      <c r="B79" s="4" t="s">
        <v>38</v>
      </c>
      <c r="C79" s="4">
        <v>22</v>
      </c>
      <c r="D79" s="4">
        <v>0</v>
      </c>
      <c r="E79" s="4" t="s">
        <v>753</v>
      </c>
      <c r="F79" s="4" t="s">
        <v>704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$K79/$H79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">
      <c r="A80" s="3" t="s">
        <v>754</v>
      </c>
      <c r="B80" s="3" t="s">
        <v>38</v>
      </c>
      <c r="C80" s="3">
        <v>22</v>
      </c>
      <c r="D80" s="3">
        <v>0</v>
      </c>
      <c r="E80" s="3" t="s">
        <v>111</v>
      </c>
      <c r="F80" s="3" t="s">
        <v>704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$K80/$H80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B83"/>
  <sheetViews>
    <sheetView zoomScale="90" zoomScaleNormal="90" workbookViewId="0">
      <selection activeCell="A25" sqref="A25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755</v>
      </c>
      <c r="B2" s="3" t="s">
        <v>756</v>
      </c>
      <c r="C2" s="3" t="s">
        <v>115</v>
      </c>
      <c r="D2" s="3">
        <v>7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8</v>
      </c>
      <c r="N2" s="3">
        <v>5</v>
      </c>
      <c r="O2" s="3">
        <v>19</v>
      </c>
      <c r="P2" s="3">
        <v>0</v>
      </c>
      <c r="Q2" s="3">
        <v>0</v>
      </c>
      <c r="R2" s="3">
        <v>0</v>
      </c>
      <c r="S2" s="3">
        <v>6.9</v>
      </c>
      <c r="T2" s="3">
        <v>1.42095914742451E-2</v>
      </c>
      <c r="U2" s="3"/>
      <c r="V2" s="3">
        <v>3.8</v>
      </c>
      <c r="W2" s="3"/>
      <c r="X2" s="3"/>
      <c r="Y2" s="3">
        <f t="shared" ref="Y2:Y24" si="0">($G2*Cp_yd)+($H2*Cp_td)+($I2*Cint)+($J2*Ccar)+($K2*Cr_yd)+($L2*Cr_td)+($N2*Crec)+($O2*Crec_yd)+($P2*Crec_td)+($Q2*Cfmb)+($R2*Ctp_c)</f>
        <v>6.9</v>
      </c>
    </row>
    <row r="3" spans="1:25" x14ac:dyDescent="0.2">
      <c r="A3" s="4" t="s">
        <v>757</v>
      </c>
      <c r="B3" s="4" t="s">
        <v>756</v>
      </c>
      <c r="C3" s="4" t="s">
        <v>26</v>
      </c>
      <c r="D3" s="4">
        <v>15</v>
      </c>
      <c r="E3" s="4">
        <v>479</v>
      </c>
      <c r="F3" s="4">
        <v>292</v>
      </c>
      <c r="G3" s="4">
        <v>3118</v>
      </c>
      <c r="H3" s="4">
        <v>17</v>
      </c>
      <c r="I3" s="4">
        <v>15</v>
      </c>
      <c r="J3" s="4">
        <v>32</v>
      </c>
      <c r="K3" s="4">
        <v>108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1</v>
      </c>
      <c r="S3" s="4">
        <v>181.52</v>
      </c>
      <c r="T3" s="4">
        <v>0</v>
      </c>
      <c r="U3" s="4">
        <v>3.375</v>
      </c>
      <c r="V3" s="4"/>
      <c r="W3" s="4">
        <v>0.60960334029227603</v>
      </c>
      <c r="X3" s="4">
        <v>3.54906054279749E-2</v>
      </c>
      <c r="Y3" s="4">
        <f t="shared" si="0"/>
        <v>181.52</v>
      </c>
    </row>
    <row r="4" spans="1:25" x14ac:dyDescent="0.2">
      <c r="A4" s="3" t="s">
        <v>758</v>
      </c>
      <c r="B4" s="3" t="s">
        <v>756</v>
      </c>
      <c r="C4" s="3" t="s">
        <v>26</v>
      </c>
      <c r="D4" s="3">
        <v>7</v>
      </c>
      <c r="E4" s="3">
        <v>20</v>
      </c>
      <c r="F4" s="3">
        <v>14</v>
      </c>
      <c r="G4" s="3">
        <v>108</v>
      </c>
      <c r="H4" s="3">
        <v>1</v>
      </c>
      <c r="I4" s="3">
        <v>0</v>
      </c>
      <c r="J4" s="3">
        <v>20</v>
      </c>
      <c r="K4" s="3">
        <v>75</v>
      </c>
      <c r="L4" s="3">
        <v>0</v>
      </c>
      <c r="M4" s="3">
        <v>1</v>
      </c>
      <c r="N4" s="3">
        <v>1</v>
      </c>
      <c r="O4" s="3">
        <v>4</v>
      </c>
      <c r="P4" s="3">
        <v>0</v>
      </c>
      <c r="Q4" s="3">
        <v>0</v>
      </c>
      <c r="R4" s="3">
        <v>0</v>
      </c>
      <c r="S4" s="3">
        <v>17.22</v>
      </c>
      <c r="T4" s="3">
        <v>1.7761989342806399E-3</v>
      </c>
      <c r="U4" s="3">
        <v>3.75</v>
      </c>
      <c r="V4" s="3">
        <v>4</v>
      </c>
      <c r="W4" s="3">
        <v>0.7</v>
      </c>
      <c r="X4" s="3">
        <v>0.05</v>
      </c>
      <c r="Y4" s="3">
        <f t="shared" si="0"/>
        <v>17.22</v>
      </c>
    </row>
    <row r="5" spans="1:25" x14ac:dyDescent="0.2">
      <c r="A5" s="4" t="s">
        <v>759</v>
      </c>
      <c r="B5" s="4" t="s">
        <v>756</v>
      </c>
      <c r="C5" s="4" t="s">
        <v>26</v>
      </c>
      <c r="D5" s="4">
        <v>2</v>
      </c>
      <c r="E5" s="4">
        <v>78</v>
      </c>
      <c r="F5" s="4">
        <v>46</v>
      </c>
      <c r="G5" s="4">
        <v>416</v>
      </c>
      <c r="H5" s="4">
        <v>2</v>
      </c>
      <c r="I5" s="4">
        <v>4</v>
      </c>
      <c r="J5" s="4">
        <v>6</v>
      </c>
      <c r="K5" s="4">
        <v>13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15.94</v>
      </c>
      <c r="T5" s="4">
        <v>0</v>
      </c>
      <c r="U5" s="4">
        <v>2.1666666666666701</v>
      </c>
      <c r="V5" s="4"/>
      <c r="W5" s="4">
        <v>0.58974358974358998</v>
      </c>
      <c r="X5" s="4">
        <v>2.5641025641025599E-2</v>
      </c>
      <c r="Y5" s="4">
        <f t="shared" si="0"/>
        <v>15.940000000000001</v>
      </c>
    </row>
    <row r="6" spans="1:25" x14ac:dyDescent="0.2">
      <c r="A6" s="3" t="s">
        <v>760</v>
      </c>
      <c r="B6" s="3" t="s">
        <v>756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42</v>
      </c>
      <c r="K6" s="3">
        <v>123</v>
      </c>
      <c r="L6" s="3">
        <v>1</v>
      </c>
      <c r="M6" s="3">
        <v>26</v>
      </c>
      <c r="N6" s="3">
        <v>20</v>
      </c>
      <c r="O6" s="3">
        <v>104</v>
      </c>
      <c r="P6" s="3">
        <v>0</v>
      </c>
      <c r="Q6" s="3">
        <v>0</v>
      </c>
      <c r="R6" s="3">
        <v>0</v>
      </c>
      <c r="S6" s="3">
        <v>48.7</v>
      </c>
      <c r="T6" s="3">
        <v>4.6181172291296597E-2</v>
      </c>
      <c r="U6" s="3">
        <v>2.9285714285714302</v>
      </c>
      <c r="V6" s="3">
        <v>5.2</v>
      </c>
      <c r="W6" s="3"/>
      <c r="X6" s="3"/>
      <c r="Y6" s="3">
        <f t="shared" si="0"/>
        <v>48.699999999999996</v>
      </c>
    </row>
    <row r="7" spans="1:25" x14ac:dyDescent="0.2">
      <c r="A7" s="4" t="s">
        <v>761</v>
      </c>
      <c r="B7" s="4" t="s">
        <v>756</v>
      </c>
      <c r="C7" s="4" t="s">
        <v>31</v>
      </c>
      <c r="D7" s="4">
        <v>13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220</v>
      </c>
      <c r="K7" s="4">
        <v>939</v>
      </c>
      <c r="L7" s="4">
        <v>4</v>
      </c>
      <c r="M7" s="4">
        <v>39</v>
      </c>
      <c r="N7" s="4">
        <v>30</v>
      </c>
      <c r="O7" s="4">
        <v>165</v>
      </c>
      <c r="P7" s="4">
        <v>1</v>
      </c>
      <c r="Q7" s="4">
        <v>2</v>
      </c>
      <c r="R7" s="4">
        <v>0</v>
      </c>
      <c r="S7" s="4">
        <v>166.4</v>
      </c>
      <c r="T7" s="4">
        <v>6.92717584369449E-2</v>
      </c>
      <c r="U7" s="4">
        <v>4.2681818181818203</v>
      </c>
      <c r="V7" s="4">
        <v>5.5</v>
      </c>
      <c r="W7" s="4"/>
      <c r="X7" s="4"/>
      <c r="Y7" s="4">
        <f t="shared" si="0"/>
        <v>166.4</v>
      </c>
    </row>
    <row r="8" spans="1:25" x14ac:dyDescent="0.2">
      <c r="A8" s="3" t="s">
        <v>33</v>
      </c>
      <c r="B8" s="3" t="s">
        <v>756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</v>
      </c>
      <c r="K8" s="3">
        <v>1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0.1</v>
      </c>
      <c r="T8" s="3">
        <v>0</v>
      </c>
      <c r="U8" s="3">
        <v>0.33333333333333298</v>
      </c>
      <c r="V8" s="3"/>
      <c r="W8" s="3"/>
      <c r="X8" s="3"/>
      <c r="Y8" s="3">
        <f t="shared" si="0"/>
        <v>0.1</v>
      </c>
    </row>
    <row r="9" spans="1:25" x14ac:dyDescent="0.2">
      <c r="A9" s="4" t="s">
        <v>762</v>
      </c>
      <c r="B9" s="4" t="s">
        <v>756</v>
      </c>
      <c r="C9" s="4" t="s">
        <v>31</v>
      </c>
      <c r="D9" s="4">
        <v>15</v>
      </c>
      <c r="E9" s="4">
        <v>1</v>
      </c>
      <c r="F9" s="4">
        <v>0</v>
      </c>
      <c r="G9" s="4">
        <v>0</v>
      </c>
      <c r="H9" s="4">
        <v>0</v>
      </c>
      <c r="I9" s="4">
        <v>0</v>
      </c>
      <c r="J9" s="4">
        <v>26</v>
      </c>
      <c r="K9" s="4">
        <v>80</v>
      </c>
      <c r="L9" s="4">
        <v>0</v>
      </c>
      <c r="M9" s="4">
        <v>51</v>
      </c>
      <c r="N9" s="4">
        <v>37</v>
      </c>
      <c r="O9" s="4">
        <v>204</v>
      </c>
      <c r="P9" s="4">
        <v>1</v>
      </c>
      <c r="Q9" s="4">
        <v>0</v>
      </c>
      <c r="R9" s="4">
        <v>0</v>
      </c>
      <c r="S9" s="4">
        <v>71.400000000000006</v>
      </c>
      <c r="T9" s="4">
        <v>9.0586145648312605E-2</v>
      </c>
      <c r="U9" s="4">
        <v>3.0769230769230802</v>
      </c>
      <c r="V9" s="4">
        <v>5.5135135135135096</v>
      </c>
      <c r="W9" s="4">
        <v>0</v>
      </c>
      <c r="X9" s="4">
        <v>0</v>
      </c>
      <c r="Y9" s="4">
        <f t="shared" si="0"/>
        <v>71.400000000000006</v>
      </c>
    </row>
    <row r="10" spans="1:25" x14ac:dyDescent="0.2">
      <c r="A10" s="3" t="s">
        <v>763</v>
      </c>
      <c r="B10" s="3" t="s">
        <v>756</v>
      </c>
      <c r="C10" s="3" t="s">
        <v>31</v>
      </c>
      <c r="D10" s="3">
        <v>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41</v>
      </c>
      <c r="K10" s="3">
        <v>117</v>
      </c>
      <c r="L10" s="3">
        <v>0</v>
      </c>
      <c r="M10" s="3">
        <v>8</v>
      </c>
      <c r="N10" s="3">
        <v>6</v>
      </c>
      <c r="O10" s="3">
        <v>33</v>
      </c>
      <c r="P10" s="3">
        <v>0</v>
      </c>
      <c r="Q10" s="3">
        <v>1</v>
      </c>
      <c r="R10" s="3">
        <v>0</v>
      </c>
      <c r="S10" s="3">
        <v>19</v>
      </c>
      <c r="T10" s="3">
        <v>1.42095914742451E-2</v>
      </c>
      <c r="U10" s="3">
        <v>2.8536585365853702</v>
      </c>
      <c r="V10" s="3">
        <v>5.5</v>
      </c>
      <c r="W10" s="3"/>
      <c r="X10" s="3"/>
      <c r="Y10" s="3">
        <f t="shared" si="0"/>
        <v>19.000000000000004</v>
      </c>
    </row>
    <row r="11" spans="1:25" x14ac:dyDescent="0.2">
      <c r="A11" s="4" t="s">
        <v>764</v>
      </c>
      <c r="B11" s="4" t="s">
        <v>756</v>
      </c>
      <c r="C11" s="4" t="s">
        <v>38</v>
      </c>
      <c r="D11" s="4">
        <v>9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28</v>
      </c>
      <c r="N11" s="4">
        <v>14</v>
      </c>
      <c r="O11" s="4">
        <v>128</v>
      </c>
      <c r="P11" s="4">
        <v>0</v>
      </c>
      <c r="Q11" s="4">
        <v>0</v>
      </c>
      <c r="R11" s="4">
        <v>0</v>
      </c>
      <c r="S11" s="4">
        <v>26.8</v>
      </c>
      <c r="T11" s="4">
        <v>4.9733570159857902E-2</v>
      </c>
      <c r="U11" s="4"/>
      <c r="V11" s="4">
        <v>9.1428571428571406</v>
      </c>
      <c r="W11" s="4"/>
      <c r="X11" s="4"/>
      <c r="Y11" s="4">
        <f t="shared" si="0"/>
        <v>26.8</v>
      </c>
    </row>
    <row r="12" spans="1:25" x14ac:dyDescent="0.2">
      <c r="A12" s="3" t="s">
        <v>765</v>
      </c>
      <c r="B12" s="3" t="s">
        <v>756</v>
      </c>
      <c r="C12" s="3" t="s">
        <v>38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54</v>
      </c>
      <c r="N12" s="3">
        <v>37</v>
      </c>
      <c r="O12" s="3">
        <v>495</v>
      </c>
      <c r="P12" s="3">
        <v>5</v>
      </c>
      <c r="Q12" s="3">
        <v>0</v>
      </c>
      <c r="R12" s="3">
        <v>0</v>
      </c>
      <c r="S12" s="3">
        <v>116.5</v>
      </c>
      <c r="T12" s="3">
        <v>9.59147424511545E-2</v>
      </c>
      <c r="U12" s="3"/>
      <c r="V12" s="3">
        <v>13.3783783783784</v>
      </c>
      <c r="W12" s="3"/>
      <c r="X12" s="3"/>
      <c r="Y12" s="3">
        <f t="shared" si="0"/>
        <v>116.5</v>
      </c>
    </row>
    <row r="13" spans="1:25" x14ac:dyDescent="0.2">
      <c r="A13" s="4" t="s">
        <v>766</v>
      </c>
      <c r="B13" s="4" t="s">
        <v>756</v>
      </c>
      <c r="C13" s="4" t="s">
        <v>38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2</v>
      </c>
      <c r="O13" s="4">
        <v>6</v>
      </c>
      <c r="P13" s="4">
        <v>0</v>
      </c>
      <c r="Q13" s="4">
        <v>0</v>
      </c>
      <c r="R13" s="4">
        <v>0</v>
      </c>
      <c r="S13" s="4">
        <v>2.6</v>
      </c>
      <c r="T13" s="4">
        <v>3.5523978685612799E-3</v>
      </c>
      <c r="U13" s="4"/>
      <c r="V13" s="4">
        <v>3</v>
      </c>
      <c r="W13" s="4"/>
      <c r="X13" s="4"/>
      <c r="Y13" s="4">
        <f t="shared" si="0"/>
        <v>2.6</v>
      </c>
    </row>
    <row r="14" spans="1:25" x14ac:dyDescent="0.2">
      <c r="A14" s="3" t="s">
        <v>767</v>
      </c>
      <c r="B14" s="3" t="s">
        <v>756</v>
      </c>
      <c r="C14" s="3" t="s">
        <v>38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23</v>
      </c>
      <c r="N14" s="3">
        <v>10</v>
      </c>
      <c r="O14" s="3">
        <v>145</v>
      </c>
      <c r="P14" s="3">
        <v>2</v>
      </c>
      <c r="Q14" s="3">
        <v>0</v>
      </c>
      <c r="R14" s="3">
        <v>0</v>
      </c>
      <c r="S14" s="3">
        <v>36.5</v>
      </c>
      <c r="T14" s="3">
        <v>4.0852575488454702E-2</v>
      </c>
      <c r="U14" s="3"/>
      <c r="V14" s="3">
        <v>14.5</v>
      </c>
      <c r="W14" s="3"/>
      <c r="X14" s="3"/>
      <c r="Y14" s="3">
        <f t="shared" si="0"/>
        <v>36.5</v>
      </c>
    </row>
    <row r="15" spans="1:25" x14ac:dyDescent="0.2">
      <c r="A15" s="4" t="s">
        <v>488</v>
      </c>
      <c r="B15" s="4" t="s">
        <v>756</v>
      </c>
      <c r="C15" s="4" t="s">
        <v>38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10</v>
      </c>
      <c r="N15" s="4">
        <v>7</v>
      </c>
      <c r="O15" s="4">
        <v>72</v>
      </c>
      <c r="P15" s="4">
        <v>0</v>
      </c>
      <c r="Q15" s="4">
        <v>0</v>
      </c>
      <c r="R15" s="4">
        <v>0</v>
      </c>
      <c r="S15" s="4">
        <v>14.2</v>
      </c>
      <c r="T15" s="4">
        <v>1.77619893428064E-2</v>
      </c>
      <c r="U15" s="4"/>
      <c r="V15" s="4">
        <v>10.285714285714301</v>
      </c>
      <c r="W15" s="4"/>
      <c r="X15" s="4"/>
      <c r="Y15" s="4">
        <f t="shared" si="0"/>
        <v>14.2</v>
      </c>
    </row>
    <row r="16" spans="1:25" x14ac:dyDescent="0.2">
      <c r="A16" s="3" t="s">
        <v>768</v>
      </c>
      <c r="B16" s="3" t="s">
        <v>756</v>
      </c>
      <c r="C16" s="3" t="s">
        <v>38</v>
      </c>
      <c r="D16" s="3">
        <v>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14</v>
      </c>
      <c r="N16" s="3">
        <v>7</v>
      </c>
      <c r="O16" s="3">
        <v>113</v>
      </c>
      <c r="P16" s="3">
        <v>2</v>
      </c>
      <c r="Q16" s="3">
        <v>0</v>
      </c>
      <c r="R16" s="3">
        <v>0</v>
      </c>
      <c r="S16" s="3">
        <v>30.3</v>
      </c>
      <c r="T16" s="3">
        <v>2.4866785079929E-2</v>
      </c>
      <c r="U16" s="3"/>
      <c r="V16" s="3">
        <v>16.1428571428571</v>
      </c>
      <c r="W16" s="3"/>
      <c r="X16" s="3"/>
      <c r="Y16" s="3">
        <f t="shared" si="0"/>
        <v>30.3</v>
      </c>
    </row>
    <row r="17" spans="1:25" x14ac:dyDescent="0.2">
      <c r="A17" s="4" t="s">
        <v>703</v>
      </c>
      <c r="B17" s="4" t="s">
        <v>756</v>
      </c>
      <c r="C17" s="4" t="s">
        <v>43</v>
      </c>
      <c r="D17" s="4">
        <v>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7</v>
      </c>
      <c r="L17" s="4">
        <v>0</v>
      </c>
      <c r="M17" s="4">
        <v>17</v>
      </c>
      <c r="N17" s="4">
        <v>12</v>
      </c>
      <c r="O17" s="4">
        <v>154</v>
      </c>
      <c r="P17" s="4">
        <v>1</v>
      </c>
      <c r="Q17" s="4">
        <v>0</v>
      </c>
      <c r="R17" s="4">
        <v>0</v>
      </c>
      <c r="S17" s="4">
        <v>34.1</v>
      </c>
      <c r="T17" s="4">
        <v>3.0195381882770898E-2</v>
      </c>
      <c r="U17" s="4">
        <v>3.5</v>
      </c>
      <c r="V17" s="4">
        <v>12.8333333333333</v>
      </c>
      <c r="W17" s="4"/>
      <c r="X17" s="4"/>
      <c r="Y17" s="4">
        <f t="shared" si="0"/>
        <v>34.1</v>
      </c>
    </row>
    <row r="18" spans="1:25" x14ac:dyDescent="0.2">
      <c r="A18" s="3" t="s">
        <v>769</v>
      </c>
      <c r="B18" s="3" t="s">
        <v>756</v>
      </c>
      <c r="C18" s="3" t="s">
        <v>43</v>
      </c>
      <c r="D18" s="3">
        <v>13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7</v>
      </c>
      <c r="L18" s="3">
        <v>0</v>
      </c>
      <c r="M18" s="3">
        <v>93</v>
      </c>
      <c r="N18" s="3">
        <v>57</v>
      </c>
      <c r="O18" s="3">
        <v>699</v>
      </c>
      <c r="P18" s="3">
        <v>3</v>
      </c>
      <c r="Q18" s="3">
        <v>0</v>
      </c>
      <c r="R18" s="3">
        <v>0</v>
      </c>
      <c r="S18" s="3">
        <v>145.6</v>
      </c>
      <c r="T18" s="3">
        <v>0.165186500888099</v>
      </c>
      <c r="U18" s="3">
        <v>3.5</v>
      </c>
      <c r="V18" s="3">
        <v>12.2631578947368</v>
      </c>
      <c r="W18" s="3"/>
      <c r="X18" s="3"/>
      <c r="Y18" s="3">
        <f t="shared" si="0"/>
        <v>145.60000000000002</v>
      </c>
    </row>
    <row r="19" spans="1:25" x14ac:dyDescent="0.2">
      <c r="A19" s="4" t="s">
        <v>770</v>
      </c>
      <c r="B19" s="4" t="s">
        <v>756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2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3.5523978685612799E-3</v>
      </c>
      <c r="U19" s="4"/>
      <c r="V19" s="4"/>
      <c r="W19" s="4"/>
      <c r="X19" s="4"/>
      <c r="Y19" s="4">
        <f t="shared" si="0"/>
        <v>0</v>
      </c>
    </row>
    <row r="20" spans="1:25" x14ac:dyDescent="0.2">
      <c r="A20" s="3" t="s">
        <v>771</v>
      </c>
      <c r="B20" s="3" t="s">
        <v>756</v>
      </c>
      <c r="C20" s="3" t="s">
        <v>43</v>
      </c>
      <c r="D20" s="3">
        <v>15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3</v>
      </c>
      <c r="K20" s="3">
        <v>3</v>
      </c>
      <c r="L20" s="3">
        <v>0</v>
      </c>
      <c r="M20" s="3">
        <v>74</v>
      </c>
      <c r="N20" s="3">
        <v>48</v>
      </c>
      <c r="O20" s="3">
        <v>548</v>
      </c>
      <c r="P20" s="3">
        <v>2</v>
      </c>
      <c r="Q20" s="3">
        <v>0</v>
      </c>
      <c r="R20" s="3">
        <v>0</v>
      </c>
      <c r="S20" s="3">
        <v>115.1</v>
      </c>
      <c r="T20" s="3">
        <v>0.13143872113676699</v>
      </c>
      <c r="U20" s="3">
        <v>1</v>
      </c>
      <c r="V20" s="3">
        <v>11.4166666666667</v>
      </c>
      <c r="W20" s="3"/>
      <c r="X20" s="3"/>
      <c r="Y20" s="3">
        <f t="shared" si="0"/>
        <v>115.1</v>
      </c>
    </row>
    <row r="21" spans="1:25" x14ac:dyDescent="0.2">
      <c r="A21" s="4" t="s">
        <v>772</v>
      </c>
      <c r="B21" s="4" t="s">
        <v>756</v>
      </c>
      <c r="C21" s="4" t="s">
        <v>43</v>
      </c>
      <c r="D21" s="4">
        <v>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1</v>
      </c>
      <c r="N21" s="4">
        <v>1</v>
      </c>
      <c r="O21" s="4">
        <v>7</v>
      </c>
      <c r="P21" s="4">
        <v>0</v>
      </c>
      <c r="Q21" s="4">
        <v>0</v>
      </c>
      <c r="R21" s="4">
        <v>0</v>
      </c>
      <c r="S21" s="4">
        <v>1.7</v>
      </c>
      <c r="T21" s="4">
        <v>1.7761989342806399E-3</v>
      </c>
      <c r="U21" s="4"/>
      <c r="V21" s="4">
        <v>7</v>
      </c>
      <c r="W21" s="4"/>
      <c r="X21" s="4"/>
      <c r="Y21" s="4">
        <f t="shared" si="0"/>
        <v>1.7000000000000002</v>
      </c>
    </row>
    <row r="22" spans="1:25" x14ac:dyDescent="0.2">
      <c r="A22" s="3" t="s">
        <v>773</v>
      </c>
      <c r="B22" s="3" t="s">
        <v>756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66</v>
      </c>
      <c r="N22" s="3">
        <v>37</v>
      </c>
      <c r="O22" s="3">
        <v>481</v>
      </c>
      <c r="P22" s="3">
        <v>2</v>
      </c>
      <c r="Q22" s="3">
        <v>0</v>
      </c>
      <c r="R22" s="3">
        <v>0</v>
      </c>
      <c r="S22" s="3">
        <v>97.1</v>
      </c>
      <c r="T22" s="3">
        <v>0.117229129662522</v>
      </c>
      <c r="U22" s="3"/>
      <c r="V22" s="3">
        <v>13</v>
      </c>
      <c r="W22" s="3"/>
      <c r="X22" s="3"/>
      <c r="Y22" s="3">
        <f t="shared" si="0"/>
        <v>97.1</v>
      </c>
    </row>
    <row r="23" spans="1:25" x14ac:dyDescent="0.2">
      <c r="A23" s="4" t="s">
        <v>774</v>
      </c>
      <c r="B23" s="4" t="s">
        <v>756</v>
      </c>
      <c r="C23" s="4" t="s">
        <v>43</v>
      </c>
      <c r="D23" s="4">
        <v>14</v>
      </c>
      <c r="E23" s="4">
        <v>1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40</v>
      </c>
      <c r="N23" s="4">
        <v>20</v>
      </c>
      <c r="O23" s="4">
        <v>257</v>
      </c>
      <c r="P23" s="4">
        <v>1</v>
      </c>
      <c r="Q23" s="4">
        <v>0</v>
      </c>
      <c r="R23" s="4">
        <v>0</v>
      </c>
      <c r="S23" s="4">
        <v>51.7</v>
      </c>
      <c r="T23" s="4">
        <v>7.1047957371225601E-2</v>
      </c>
      <c r="U23" s="4"/>
      <c r="V23" s="4">
        <v>12.85</v>
      </c>
      <c r="W23" s="4">
        <v>0</v>
      </c>
      <c r="X23" s="4">
        <v>0</v>
      </c>
      <c r="Y23" s="4">
        <f t="shared" si="0"/>
        <v>51.7</v>
      </c>
    </row>
    <row r="24" spans="1:25" x14ac:dyDescent="0.2">
      <c r="A24" s="3" t="s">
        <v>775</v>
      </c>
      <c r="B24" s="3" t="s">
        <v>756</v>
      </c>
      <c r="C24" s="3" t="s">
        <v>43</v>
      </c>
      <c r="D24" s="3">
        <v>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1</v>
      </c>
      <c r="N24" s="3">
        <v>1</v>
      </c>
      <c r="O24" s="3">
        <v>8</v>
      </c>
      <c r="P24" s="3">
        <v>0</v>
      </c>
      <c r="Q24" s="3">
        <v>0</v>
      </c>
      <c r="R24" s="3">
        <v>0</v>
      </c>
      <c r="S24" s="3">
        <v>1.8</v>
      </c>
      <c r="T24" s="3">
        <v>1.7761989342806399E-3</v>
      </c>
      <c r="U24" s="3"/>
      <c r="V24" s="3">
        <v>8</v>
      </c>
      <c r="W24" s="3"/>
      <c r="X24" s="3"/>
      <c r="Y24" s="3">
        <f t="shared" si="0"/>
        <v>1.8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756</v>
      </c>
      <c r="B31" s="3">
        <v>5115</v>
      </c>
      <c r="C31" s="3">
        <v>3642</v>
      </c>
      <c r="D31" s="3">
        <v>397</v>
      </c>
      <c r="E31" s="3">
        <v>1473</v>
      </c>
      <c r="F31" s="3">
        <v>7</v>
      </c>
      <c r="G31" s="3">
        <v>1201.18</v>
      </c>
      <c r="H31" s="3">
        <v>579</v>
      </c>
      <c r="I31" s="3">
        <v>0.60794473229706403</v>
      </c>
      <c r="J31" s="3">
        <v>20</v>
      </c>
      <c r="K31" s="3">
        <v>19</v>
      </c>
      <c r="L31" s="3">
        <v>7</v>
      </c>
      <c r="M31" s="3">
        <f ca="1">SUM(INDIRECT(A33 &amp; "_Table1[[#All],[f_custom]]"))</f>
        <v>1201.18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HOU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776</v>
      </c>
      <c r="B36" s="3" t="s">
        <v>26</v>
      </c>
      <c r="C36" s="3">
        <v>35</v>
      </c>
      <c r="D36" s="3">
        <v>11</v>
      </c>
      <c r="E36" s="3" t="s">
        <v>70</v>
      </c>
      <c r="F36" s="3" t="s">
        <v>756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777</v>
      </c>
      <c r="B37" s="4" t="s">
        <v>26</v>
      </c>
      <c r="C37" s="4">
        <v>24</v>
      </c>
      <c r="D37" s="4">
        <v>3</v>
      </c>
      <c r="E37" s="4" t="s">
        <v>102</v>
      </c>
      <c r="F37" s="4" t="s">
        <v>756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778</v>
      </c>
      <c r="B38" s="3" t="s">
        <v>26</v>
      </c>
      <c r="C38" s="3">
        <v>25</v>
      </c>
      <c r="D38" s="3">
        <v>1</v>
      </c>
      <c r="E38" s="3" t="s">
        <v>779</v>
      </c>
      <c r="F38" s="3" t="s">
        <v>756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">
      <c r="A39" s="4" t="s">
        <v>780</v>
      </c>
      <c r="B39" s="4" t="s">
        <v>26</v>
      </c>
      <c r="C39" s="4">
        <v>21</v>
      </c>
      <c r="D39" s="4">
        <v>0</v>
      </c>
      <c r="E39" s="4" t="s">
        <v>213</v>
      </c>
      <c r="F39" s="4" t="s">
        <v>756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781</v>
      </c>
      <c r="B46" s="3" t="s">
        <v>31</v>
      </c>
      <c r="C46" s="3">
        <v>28</v>
      </c>
      <c r="D46" s="3">
        <v>6</v>
      </c>
      <c r="E46" s="3" t="s">
        <v>136</v>
      </c>
      <c r="F46" s="3" t="s">
        <v>756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$K46/$H46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">
      <c r="A47" s="4" t="s">
        <v>782</v>
      </c>
      <c r="B47" s="4" t="s">
        <v>31</v>
      </c>
      <c r="C47" s="4">
        <v>25</v>
      </c>
      <c r="D47" s="4">
        <v>1</v>
      </c>
      <c r="E47" s="4" t="s">
        <v>136</v>
      </c>
      <c r="F47" s="4" t="s">
        <v>756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$K47/$H47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">
      <c r="A48" s="3" t="s">
        <v>783</v>
      </c>
      <c r="B48" s="3" t="s">
        <v>31</v>
      </c>
      <c r="C48" s="3">
        <v>29</v>
      </c>
      <c r="D48" s="3">
        <v>5</v>
      </c>
      <c r="E48" s="3" t="s">
        <v>72</v>
      </c>
      <c r="F48" s="3" t="s">
        <v>756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$K48/$H48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">
      <c r="A49" s="4" t="s">
        <v>784</v>
      </c>
      <c r="B49" s="4" t="s">
        <v>31</v>
      </c>
      <c r="C49" s="4">
        <v>23</v>
      </c>
      <c r="D49" s="4">
        <v>2</v>
      </c>
      <c r="E49" s="4" t="s">
        <v>178</v>
      </c>
      <c r="F49" s="4" t="s">
        <v>756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$K49/$H49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">
      <c r="A50" s="3" t="s">
        <v>785</v>
      </c>
      <c r="B50" s="3" t="s">
        <v>31</v>
      </c>
      <c r="C50" s="3">
        <v>25</v>
      </c>
      <c r="D50" s="3">
        <v>5</v>
      </c>
      <c r="E50" s="3" t="s">
        <v>523</v>
      </c>
      <c r="F50" s="3" t="s">
        <v>756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$K50/$H50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786</v>
      </c>
      <c r="B61" s="3" t="s">
        <v>43</v>
      </c>
      <c r="C61" s="3">
        <v>27</v>
      </c>
      <c r="D61" s="3">
        <v>1</v>
      </c>
      <c r="E61" s="3" t="s">
        <v>95</v>
      </c>
      <c r="F61" s="3" t="s">
        <v>756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1">($J61*0.04)+($K61*4)+($L61*-2)+($N61*0.1)+($O61*6)+($Q61)+($R61*0.1)+($S61*6)+($T61*-2)</f>
        <v>0</v>
      </c>
      <c r="W61" s="3" t="e">
        <f t="shared" ref="W61:W73" ca="1" si="2">$P61/$H$33</f>
        <v>#DIV/0!</v>
      </c>
      <c r="X61" s="3" t="e">
        <f t="shared" ref="X61:X73" si="3">$N61/$M61</f>
        <v>#DIV/0!</v>
      </c>
      <c r="Y61" s="3" t="e">
        <f t="shared" ref="Y61:Y73" si="4">$R61/$Q61</f>
        <v>#DIV/0!</v>
      </c>
      <c r="Z61" s="3" t="e">
        <f t="shared" ref="Z61:Z73" si="5">$I61/$H61</f>
        <v>#DIV/0!</v>
      </c>
      <c r="AA61" s="3" t="e">
        <f>$K61/$H61</f>
        <v>#DIV/0!</v>
      </c>
      <c r="AB61" s="3">
        <f t="shared" ref="AB61:AB73" si="6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787</v>
      </c>
      <c r="B62" s="4" t="s">
        <v>43</v>
      </c>
      <c r="C62" s="4">
        <v>27</v>
      </c>
      <c r="D62" s="4">
        <v>7</v>
      </c>
      <c r="E62" s="4" t="s">
        <v>213</v>
      </c>
      <c r="F62" s="4" t="s">
        <v>756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>$K62/$H62</f>
        <v>#DIV/0!</v>
      </c>
      <c r="AB62" s="4">
        <f t="shared" si="6"/>
        <v>0</v>
      </c>
    </row>
    <row r="63" spans="1:28" x14ac:dyDescent="0.2">
      <c r="A63" s="3" t="s">
        <v>788</v>
      </c>
      <c r="B63" s="3" t="s">
        <v>43</v>
      </c>
      <c r="C63" s="3">
        <v>25</v>
      </c>
      <c r="D63" s="3">
        <v>1</v>
      </c>
      <c r="E63" s="3" t="s">
        <v>455</v>
      </c>
      <c r="F63" s="3" t="s">
        <v>756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>$K63/$H63</f>
        <v>#DIV/0!</v>
      </c>
      <c r="AB63" s="3">
        <f t="shared" si="6"/>
        <v>0</v>
      </c>
    </row>
    <row r="64" spans="1:28" x14ac:dyDescent="0.2">
      <c r="A64" s="4" t="s">
        <v>789</v>
      </c>
      <c r="B64" s="4" t="s">
        <v>43</v>
      </c>
      <c r="C64" s="4">
        <v>24</v>
      </c>
      <c r="D64" s="4">
        <v>3</v>
      </c>
      <c r="E64" s="4" t="s">
        <v>105</v>
      </c>
      <c r="F64" s="4" t="s">
        <v>756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>$K64/$H64</f>
        <v>#DIV/0!</v>
      </c>
      <c r="AB64" s="4">
        <f t="shared" si="6"/>
        <v>0</v>
      </c>
    </row>
    <row r="65" spans="1:28" x14ac:dyDescent="0.2">
      <c r="A65" s="3" t="s">
        <v>790</v>
      </c>
      <c r="B65" s="3" t="s">
        <v>43</v>
      </c>
      <c r="C65" s="3">
        <v>23</v>
      </c>
      <c r="D65" s="3">
        <v>0</v>
      </c>
      <c r="E65" s="3" t="s">
        <v>70</v>
      </c>
      <c r="F65" s="3" t="s">
        <v>756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>$K65/$H65</f>
        <v>#DIV/0!</v>
      </c>
      <c r="AB65" s="3">
        <f t="shared" si="6"/>
        <v>0</v>
      </c>
    </row>
    <row r="66" spans="1:28" x14ac:dyDescent="0.2">
      <c r="A66" s="4" t="s">
        <v>791</v>
      </c>
      <c r="B66" s="4" t="s">
        <v>43</v>
      </c>
      <c r="C66" s="4">
        <v>30</v>
      </c>
      <c r="D66" s="4">
        <v>8</v>
      </c>
      <c r="E66" s="4" t="s">
        <v>458</v>
      </c>
      <c r="F66" s="4" t="s">
        <v>756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>$K66/$H66</f>
        <v>#DIV/0!</v>
      </c>
      <c r="AB66" s="4">
        <f t="shared" si="6"/>
        <v>0</v>
      </c>
    </row>
    <row r="67" spans="1:28" x14ac:dyDescent="0.2">
      <c r="A67" s="3" t="s">
        <v>792</v>
      </c>
      <c r="B67" s="3" t="s">
        <v>43</v>
      </c>
      <c r="C67" s="3">
        <v>23</v>
      </c>
      <c r="D67" s="3">
        <v>0</v>
      </c>
      <c r="E67" s="3" t="s">
        <v>244</v>
      </c>
      <c r="F67" s="3" t="s">
        <v>756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>$K67/$H67</f>
        <v>#DIV/0!</v>
      </c>
      <c r="AB67" s="3">
        <f t="shared" si="6"/>
        <v>0</v>
      </c>
    </row>
    <row r="68" spans="1:28" x14ac:dyDescent="0.2">
      <c r="A68" s="4" t="s">
        <v>793</v>
      </c>
      <c r="B68" s="4" t="s">
        <v>43</v>
      </c>
      <c r="C68" s="4">
        <v>24</v>
      </c>
      <c r="D68" s="4">
        <v>1</v>
      </c>
      <c r="E68" s="4" t="s">
        <v>205</v>
      </c>
      <c r="F68" s="4" t="s">
        <v>756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>$K68/$H68</f>
        <v>#DIV/0!</v>
      </c>
      <c r="AB68" s="4">
        <f t="shared" si="6"/>
        <v>0</v>
      </c>
    </row>
    <row r="69" spans="1:28" x14ac:dyDescent="0.2">
      <c r="A69" s="3" t="s">
        <v>794</v>
      </c>
      <c r="B69" s="3" t="s">
        <v>43</v>
      </c>
      <c r="C69" s="3">
        <v>24</v>
      </c>
      <c r="D69" s="3">
        <v>0</v>
      </c>
      <c r="E69" s="3" t="s">
        <v>795</v>
      </c>
      <c r="F69" s="3" t="s">
        <v>756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>$K69/$H69</f>
        <v>#DIV/0!</v>
      </c>
      <c r="AB69" s="3">
        <f t="shared" si="6"/>
        <v>0</v>
      </c>
    </row>
    <row r="70" spans="1:28" x14ac:dyDescent="0.2">
      <c r="A70" s="4" t="s">
        <v>796</v>
      </c>
      <c r="B70" s="4" t="s">
        <v>43</v>
      </c>
      <c r="C70" s="4">
        <v>23</v>
      </c>
      <c r="D70" s="4">
        <v>1</v>
      </c>
      <c r="E70" s="4" t="s">
        <v>153</v>
      </c>
      <c r="F70" s="4" t="s">
        <v>756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>$K70/$H70</f>
        <v>#DIV/0!</v>
      </c>
      <c r="AB70" s="4">
        <f t="shared" si="6"/>
        <v>0</v>
      </c>
    </row>
    <row r="71" spans="1:28" x14ac:dyDescent="0.2">
      <c r="A71" s="3" t="s">
        <v>797</v>
      </c>
      <c r="B71" s="3" t="s">
        <v>43</v>
      </c>
      <c r="C71" s="3">
        <v>26</v>
      </c>
      <c r="D71" s="3">
        <v>4</v>
      </c>
      <c r="E71" s="3" t="s">
        <v>467</v>
      </c>
      <c r="F71" s="3" t="s">
        <v>756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>$K71/$H71</f>
        <v>#DIV/0!</v>
      </c>
      <c r="AB71" s="3">
        <f t="shared" si="6"/>
        <v>0</v>
      </c>
    </row>
    <row r="72" spans="1:28" x14ac:dyDescent="0.2">
      <c r="A72" s="4" t="s">
        <v>798</v>
      </c>
      <c r="B72" s="4" t="s">
        <v>43</v>
      </c>
      <c r="C72" s="4">
        <v>22</v>
      </c>
      <c r="D72" s="4">
        <v>0</v>
      </c>
      <c r="E72" s="4" t="s">
        <v>74</v>
      </c>
      <c r="F72" s="4" t="s">
        <v>756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>$K72/$H72</f>
        <v>#DIV/0!</v>
      </c>
      <c r="AB72" s="4">
        <f t="shared" si="6"/>
        <v>0</v>
      </c>
    </row>
    <row r="73" spans="1:28" x14ac:dyDescent="0.2">
      <c r="A73" s="3" t="s">
        <v>799</v>
      </c>
      <c r="B73" s="3" t="s">
        <v>43</v>
      </c>
      <c r="C73" s="3">
        <v>31</v>
      </c>
      <c r="D73" s="3">
        <v>11</v>
      </c>
      <c r="E73" s="3" t="s">
        <v>78</v>
      </c>
      <c r="F73" s="3" t="s">
        <v>756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1"/>
        <v>0</v>
      </c>
      <c r="W73" s="3" t="e">
        <f t="shared" ca="1" si="2"/>
        <v>#DIV/0!</v>
      </c>
      <c r="X73" s="3" t="e">
        <f t="shared" si="3"/>
        <v>#DIV/0!</v>
      </c>
      <c r="Y73" s="3" t="e">
        <f t="shared" si="4"/>
        <v>#DIV/0!</v>
      </c>
      <c r="Z73" s="3" t="e">
        <f t="shared" si="5"/>
        <v>#DIV/0!</v>
      </c>
      <c r="AA73" s="3" t="e">
        <f>$K73/$H73</f>
        <v>#DIV/0!</v>
      </c>
      <c r="AB73" s="3">
        <f t="shared" si="6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800</v>
      </c>
      <c r="B76" s="3" t="s">
        <v>38</v>
      </c>
      <c r="C76" s="3">
        <v>23</v>
      </c>
      <c r="D76" s="3">
        <v>3</v>
      </c>
      <c r="E76" s="3" t="s">
        <v>397</v>
      </c>
      <c r="F76" s="3" t="s">
        <v>756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3" si="7">($J76*0.04)+($K76*4)+($L76*-2)+($N76*0.1)+($O76*6)+($Q76)+($R76*0.1)+($S76*6)+($T76*-2)</f>
        <v>0</v>
      </c>
      <c r="W76" s="3" t="e">
        <f t="shared" ref="W76:W83" ca="1" si="8">$P76/$H$33</f>
        <v>#DIV/0!</v>
      </c>
      <c r="X76" s="3" t="e">
        <f t="shared" ref="X76:X83" si="9">$N76/$M76</f>
        <v>#DIV/0!</v>
      </c>
      <c r="Y76" s="3" t="e">
        <f t="shared" ref="Y76:Y83" si="10">$R76/$Q76</f>
        <v>#DIV/0!</v>
      </c>
      <c r="Z76" s="3" t="e">
        <f t="shared" ref="Z76:Z83" si="11">$I76/$H76</f>
        <v>#DIV/0!</v>
      </c>
      <c r="AA76" s="3" t="e">
        <f>$K76/$H76</f>
        <v>#DIV/0!</v>
      </c>
      <c r="AB76" s="3">
        <f t="shared" ref="AB76:AB83" si="12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801</v>
      </c>
      <c r="B77" s="4" t="s">
        <v>38</v>
      </c>
      <c r="C77" s="4">
        <v>24</v>
      </c>
      <c r="D77" s="4">
        <v>2</v>
      </c>
      <c r="E77" s="4" t="s">
        <v>333</v>
      </c>
      <c r="F77" s="4" t="s">
        <v>756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7"/>
        <v>0</v>
      </c>
      <c r="W77" s="4" t="e">
        <f t="shared" ca="1" si="8"/>
        <v>#DIV/0!</v>
      </c>
      <c r="X77" s="4" t="e">
        <f t="shared" si="9"/>
        <v>#DIV/0!</v>
      </c>
      <c r="Y77" s="4" t="e">
        <f t="shared" si="10"/>
        <v>#DIV/0!</v>
      </c>
      <c r="Z77" s="4" t="e">
        <f t="shared" si="11"/>
        <v>#DIV/0!</v>
      </c>
      <c r="AA77" s="4" t="e">
        <f>$K77/$H77</f>
        <v>#DIV/0!</v>
      </c>
      <c r="AB77" s="4">
        <f t="shared" si="12"/>
        <v>0</v>
      </c>
    </row>
    <row r="78" spans="1:28" x14ac:dyDescent="0.2">
      <c r="A78" s="3" t="s">
        <v>802</v>
      </c>
      <c r="B78" s="3" t="s">
        <v>38</v>
      </c>
      <c r="C78" s="3">
        <v>23</v>
      </c>
      <c r="D78" s="3">
        <v>0</v>
      </c>
      <c r="E78" s="3" t="s">
        <v>803</v>
      </c>
      <c r="F78" s="3" t="s">
        <v>756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7"/>
        <v>0</v>
      </c>
      <c r="W78" s="3" t="e">
        <f t="shared" ca="1" si="8"/>
        <v>#DIV/0!</v>
      </c>
      <c r="X78" s="3" t="e">
        <f t="shared" si="9"/>
        <v>#DIV/0!</v>
      </c>
      <c r="Y78" s="3" t="e">
        <f t="shared" si="10"/>
        <v>#DIV/0!</v>
      </c>
      <c r="Z78" s="3" t="e">
        <f t="shared" si="11"/>
        <v>#DIV/0!</v>
      </c>
      <c r="AA78" s="3" t="e">
        <f>$K78/$H78</f>
        <v>#DIV/0!</v>
      </c>
      <c r="AB78" s="3">
        <f t="shared" si="12"/>
        <v>0</v>
      </c>
    </row>
    <row r="79" spans="1:28" x14ac:dyDescent="0.2">
      <c r="A79" s="4" t="s">
        <v>804</v>
      </c>
      <c r="B79" s="4" t="s">
        <v>38</v>
      </c>
      <c r="C79" s="4">
        <v>23</v>
      </c>
      <c r="D79" s="4">
        <v>2</v>
      </c>
      <c r="E79" s="4" t="s">
        <v>111</v>
      </c>
      <c r="F79" s="4" t="s">
        <v>756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7"/>
        <v>0</v>
      </c>
      <c r="W79" s="4" t="e">
        <f t="shared" ca="1" si="8"/>
        <v>#DIV/0!</v>
      </c>
      <c r="X79" s="4" t="e">
        <f t="shared" si="9"/>
        <v>#DIV/0!</v>
      </c>
      <c r="Y79" s="4" t="e">
        <f t="shared" si="10"/>
        <v>#DIV/0!</v>
      </c>
      <c r="Z79" s="4" t="e">
        <f t="shared" si="11"/>
        <v>#DIV/0!</v>
      </c>
      <c r="AA79" s="4" t="e">
        <f>$K79/$H79</f>
        <v>#DIV/0!</v>
      </c>
      <c r="AB79" s="4">
        <f t="shared" si="12"/>
        <v>0</v>
      </c>
    </row>
    <row r="80" spans="1:28" x14ac:dyDescent="0.2">
      <c r="A80" s="3" t="s">
        <v>805</v>
      </c>
      <c r="B80" s="3" t="s">
        <v>38</v>
      </c>
      <c r="C80" s="3">
        <v>29</v>
      </c>
      <c r="D80" s="3">
        <v>4</v>
      </c>
      <c r="E80" s="3" t="s">
        <v>806</v>
      </c>
      <c r="F80" s="3" t="s">
        <v>756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7"/>
        <v>0</v>
      </c>
      <c r="W80" s="3" t="e">
        <f t="shared" ca="1" si="8"/>
        <v>#DIV/0!</v>
      </c>
      <c r="X80" s="3" t="e">
        <f t="shared" si="9"/>
        <v>#DIV/0!</v>
      </c>
      <c r="Y80" s="3" t="e">
        <f t="shared" si="10"/>
        <v>#DIV/0!</v>
      </c>
      <c r="Z80" s="3" t="e">
        <f t="shared" si="11"/>
        <v>#DIV/0!</v>
      </c>
      <c r="AA80" s="3" t="e">
        <f>$K80/$H80</f>
        <v>#DIV/0!</v>
      </c>
      <c r="AB80" s="3">
        <f t="shared" si="12"/>
        <v>0</v>
      </c>
    </row>
    <row r="81" spans="1:28" x14ac:dyDescent="0.2">
      <c r="A81" s="4" t="s">
        <v>807</v>
      </c>
      <c r="B81" s="4" t="s">
        <v>38</v>
      </c>
      <c r="C81" s="4">
        <v>27</v>
      </c>
      <c r="D81" s="4">
        <v>6</v>
      </c>
      <c r="E81" s="4" t="s">
        <v>102</v>
      </c>
      <c r="F81" s="4" t="s">
        <v>756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7"/>
        <v>0</v>
      </c>
      <c r="W81" s="4" t="e">
        <f t="shared" ca="1" si="8"/>
        <v>#DIV/0!</v>
      </c>
      <c r="X81" s="4" t="e">
        <f t="shared" si="9"/>
        <v>#DIV/0!</v>
      </c>
      <c r="Y81" s="4" t="e">
        <f t="shared" si="10"/>
        <v>#DIV/0!</v>
      </c>
      <c r="Z81" s="4" t="e">
        <f t="shared" si="11"/>
        <v>#DIV/0!</v>
      </c>
      <c r="AA81" s="4" t="e">
        <f>$K81/$H81</f>
        <v>#DIV/0!</v>
      </c>
      <c r="AB81" s="4">
        <f t="shared" si="12"/>
        <v>0</v>
      </c>
    </row>
    <row r="82" spans="1:28" x14ac:dyDescent="0.2">
      <c r="A82" s="3" t="s">
        <v>808</v>
      </c>
      <c r="B82" s="3" t="s">
        <v>38</v>
      </c>
      <c r="C82" s="3">
        <v>31</v>
      </c>
      <c r="D82" s="3">
        <v>8</v>
      </c>
      <c r="E82" s="3" t="s">
        <v>726</v>
      </c>
      <c r="F82" s="3" t="s">
        <v>756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7"/>
        <v>0</v>
      </c>
      <c r="W82" s="3" t="e">
        <f t="shared" ca="1" si="8"/>
        <v>#DIV/0!</v>
      </c>
      <c r="X82" s="3" t="e">
        <f t="shared" si="9"/>
        <v>#DIV/0!</v>
      </c>
      <c r="Y82" s="3" t="e">
        <f t="shared" si="10"/>
        <v>#DIV/0!</v>
      </c>
      <c r="Z82" s="3" t="e">
        <f t="shared" si="11"/>
        <v>#DIV/0!</v>
      </c>
      <c r="AA82" s="3" t="e">
        <f>$K82/$H82</f>
        <v>#DIV/0!</v>
      </c>
      <c r="AB82" s="3">
        <f t="shared" si="12"/>
        <v>0</v>
      </c>
    </row>
    <row r="83" spans="1:28" x14ac:dyDescent="0.2">
      <c r="A83" s="4" t="s">
        <v>809</v>
      </c>
      <c r="B83" s="4" t="s">
        <v>38</v>
      </c>
      <c r="C83" s="4">
        <v>30</v>
      </c>
      <c r="D83" s="4">
        <v>8</v>
      </c>
      <c r="E83" s="4" t="s">
        <v>213</v>
      </c>
      <c r="F83" s="4" t="s">
        <v>756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f t="shared" si="7"/>
        <v>0</v>
      </c>
      <c r="W83" s="4" t="e">
        <f t="shared" ca="1" si="8"/>
        <v>#DIV/0!</v>
      </c>
      <c r="X83" s="4" t="e">
        <f t="shared" si="9"/>
        <v>#DIV/0!</v>
      </c>
      <c r="Y83" s="4" t="e">
        <f t="shared" si="10"/>
        <v>#DIV/0!</v>
      </c>
      <c r="Z83" s="4" t="e">
        <f t="shared" si="11"/>
        <v>#DIV/0!</v>
      </c>
      <c r="AA83" s="4" t="e">
        <f>$K83/$H83</f>
        <v>#DIV/0!</v>
      </c>
      <c r="AB83" s="4">
        <f t="shared" si="12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B84"/>
  <sheetViews>
    <sheetView zoomScale="90" zoomScaleNormal="90" workbookViewId="0">
      <selection activeCell="A21" sqref="A21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810</v>
      </c>
      <c r="B2" s="3" t="s">
        <v>811</v>
      </c>
      <c r="C2" s="3" t="s">
        <v>26</v>
      </c>
      <c r="D2" s="3">
        <v>12</v>
      </c>
      <c r="E2" s="3">
        <v>461</v>
      </c>
      <c r="F2" s="3">
        <v>309</v>
      </c>
      <c r="G2" s="3">
        <v>3057</v>
      </c>
      <c r="H2" s="3">
        <v>14</v>
      </c>
      <c r="I2" s="3">
        <v>13</v>
      </c>
      <c r="J2" s="3">
        <v>27</v>
      </c>
      <c r="K2" s="3">
        <v>70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5</v>
      </c>
      <c r="R2" s="3">
        <v>0</v>
      </c>
      <c r="S2" s="3">
        <v>155.28</v>
      </c>
      <c r="T2" s="3">
        <v>0</v>
      </c>
      <c r="U2" s="3">
        <v>2.5925925925925899</v>
      </c>
      <c r="V2" s="3"/>
      <c r="W2" s="3">
        <v>0.67028199566160496</v>
      </c>
      <c r="X2" s="3">
        <v>3.0368763557483702E-2</v>
      </c>
      <c r="Y2" s="3">
        <f t="shared" ref="Y2:Y20" si="0">($G2*Cp_yd)+($H2*Cp_td)+($I2*Cint)+($J2*Ccar)+($K2*Cr_yd)+($L2*Cr_td)+($N2*Crec)+($O2*Crec_yd)+($P2*Crec_td)+($Q2*Cfmb)+($R2*Ctp_c)</f>
        <v>155.28</v>
      </c>
    </row>
    <row r="3" spans="1:25" x14ac:dyDescent="0.2">
      <c r="A3" s="4" t="s">
        <v>812</v>
      </c>
      <c r="B3" s="4" t="s">
        <v>811</v>
      </c>
      <c r="C3" s="4" t="s">
        <v>26</v>
      </c>
      <c r="D3" s="4">
        <v>2</v>
      </c>
      <c r="E3" s="4">
        <v>42</v>
      </c>
      <c r="F3" s="4">
        <v>25</v>
      </c>
      <c r="G3" s="4">
        <v>224</v>
      </c>
      <c r="H3" s="4">
        <v>0</v>
      </c>
      <c r="I3" s="4">
        <v>4</v>
      </c>
      <c r="J3" s="4">
        <v>2</v>
      </c>
      <c r="K3" s="4">
        <v>8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1.76</v>
      </c>
      <c r="T3" s="4">
        <v>0</v>
      </c>
      <c r="U3" s="4">
        <v>4</v>
      </c>
      <c r="V3" s="4"/>
      <c r="W3" s="4">
        <v>0.59523809523809501</v>
      </c>
      <c r="X3" s="4">
        <v>0</v>
      </c>
      <c r="Y3" s="4">
        <f t="shared" si="0"/>
        <v>1.7600000000000009</v>
      </c>
    </row>
    <row r="4" spans="1:25" x14ac:dyDescent="0.2">
      <c r="A4" s="3" t="s">
        <v>813</v>
      </c>
      <c r="B4" s="3" t="s">
        <v>811</v>
      </c>
      <c r="C4" s="3" t="s">
        <v>26</v>
      </c>
      <c r="D4" s="3">
        <v>4</v>
      </c>
      <c r="E4" s="3">
        <v>101</v>
      </c>
      <c r="F4" s="3">
        <v>64</v>
      </c>
      <c r="G4" s="3">
        <v>573</v>
      </c>
      <c r="H4" s="3">
        <v>3</v>
      </c>
      <c r="I4" s="3">
        <v>3</v>
      </c>
      <c r="J4" s="3">
        <v>17</v>
      </c>
      <c r="K4" s="3">
        <v>87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35.619999999999997</v>
      </c>
      <c r="T4" s="3">
        <v>0</v>
      </c>
      <c r="U4" s="3">
        <v>5.1176470588235299</v>
      </c>
      <c r="V4" s="3"/>
      <c r="W4" s="3">
        <v>0.633663366336634</v>
      </c>
      <c r="X4" s="3">
        <v>2.9702970297029702E-2</v>
      </c>
      <c r="Y4" s="3">
        <f t="shared" si="0"/>
        <v>35.620000000000005</v>
      </c>
    </row>
    <row r="5" spans="1:25" x14ac:dyDescent="0.2">
      <c r="A5" s="4" t="s">
        <v>198</v>
      </c>
      <c r="B5" s="4" t="s">
        <v>811</v>
      </c>
      <c r="C5" s="4" t="s">
        <v>31</v>
      </c>
      <c r="D5" s="4">
        <v>12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68</v>
      </c>
      <c r="K5" s="4">
        <v>236</v>
      </c>
      <c r="L5" s="4">
        <v>1</v>
      </c>
      <c r="M5" s="4">
        <v>34</v>
      </c>
      <c r="N5" s="4">
        <v>30</v>
      </c>
      <c r="O5" s="4">
        <v>209</v>
      </c>
      <c r="P5" s="4">
        <v>1</v>
      </c>
      <c r="Q5" s="4">
        <v>1</v>
      </c>
      <c r="R5" s="4">
        <v>0</v>
      </c>
      <c r="S5" s="4">
        <v>84.5</v>
      </c>
      <c r="T5" s="4">
        <v>5.8721934369602803E-2</v>
      </c>
      <c r="U5" s="4">
        <v>3.47058823529412</v>
      </c>
      <c r="V5" s="4">
        <v>6.9666666666666703</v>
      </c>
      <c r="W5" s="4"/>
      <c r="X5" s="4"/>
      <c r="Y5" s="4">
        <f t="shared" si="0"/>
        <v>84.5</v>
      </c>
    </row>
    <row r="6" spans="1:25" x14ac:dyDescent="0.2">
      <c r="A6" s="3" t="s">
        <v>814</v>
      </c>
      <c r="B6" s="3" t="s">
        <v>811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192</v>
      </c>
      <c r="K6" s="3">
        <v>861</v>
      </c>
      <c r="L6" s="3">
        <v>4</v>
      </c>
      <c r="M6" s="3">
        <v>40</v>
      </c>
      <c r="N6" s="3">
        <v>28</v>
      </c>
      <c r="O6" s="3">
        <v>143</v>
      </c>
      <c r="P6" s="3">
        <v>0</v>
      </c>
      <c r="Q6" s="3">
        <v>3</v>
      </c>
      <c r="R6" s="3">
        <v>0</v>
      </c>
      <c r="S6" s="3">
        <v>146.4</v>
      </c>
      <c r="T6" s="3">
        <v>6.9084628670120898E-2</v>
      </c>
      <c r="U6" s="3">
        <v>4.484375</v>
      </c>
      <c r="V6" s="3">
        <v>5.1071428571428603</v>
      </c>
      <c r="W6" s="3"/>
      <c r="X6" s="3"/>
      <c r="Y6" s="3">
        <f t="shared" si="0"/>
        <v>146.40000000000003</v>
      </c>
    </row>
    <row r="7" spans="1:25" x14ac:dyDescent="0.2">
      <c r="A7" s="4" t="s">
        <v>815</v>
      </c>
      <c r="B7" s="4" t="s">
        <v>811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13</v>
      </c>
      <c r="K7" s="4">
        <v>58</v>
      </c>
      <c r="L7" s="4">
        <v>0</v>
      </c>
      <c r="M7" s="4">
        <v>8</v>
      </c>
      <c r="N7" s="4">
        <v>6</v>
      </c>
      <c r="O7" s="4">
        <v>29</v>
      </c>
      <c r="P7" s="4">
        <v>0</v>
      </c>
      <c r="Q7" s="4">
        <v>0</v>
      </c>
      <c r="R7" s="4">
        <v>0</v>
      </c>
      <c r="S7" s="4">
        <v>14.7</v>
      </c>
      <c r="T7" s="4">
        <v>1.38169257340242E-2</v>
      </c>
      <c r="U7" s="4">
        <v>4.4615384615384599</v>
      </c>
      <c r="V7" s="4">
        <v>4.8333333333333304</v>
      </c>
      <c r="W7" s="4"/>
      <c r="X7" s="4"/>
      <c r="Y7" s="4">
        <f t="shared" si="0"/>
        <v>14.700000000000001</v>
      </c>
    </row>
    <row r="8" spans="1:25" x14ac:dyDescent="0.2">
      <c r="A8" s="3" t="s">
        <v>256</v>
      </c>
      <c r="B8" s="3" t="s">
        <v>811</v>
      </c>
      <c r="C8" s="3" t="s">
        <v>31</v>
      </c>
      <c r="D8" s="3">
        <v>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18</v>
      </c>
      <c r="K8" s="3">
        <v>36</v>
      </c>
      <c r="L8" s="3">
        <v>1</v>
      </c>
      <c r="M8" s="3">
        <v>28</v>
      </c>
      <c r="N8" s="3">
        <v>25</v>
      </c>
      <c r="O8" s="3">
        <v>188</v>
      </c>
      <c r="P8" s="3">
        <v>0</v>
      </c>
      <c r="Q8" s="3">
        <v>0</v>
      </c>
      <c r="R8" s="3">
        <v>0</v>
      </c>
      <c r="S8" s="3">
        <v>53.4</v>
      </c>
      <c r="T8" s="3">
        <v>4.8359240069084597E-2</v>
      </c>
      <c r="U8" s="3">
        <v>2</v>
      </c>
      <c r="V8" s="3">
        <v>7.52</v>
      </c>
      <c r="W8" s="3"/>
      <c r="X8" s="3"/>
      <c r="Y8" s="3">
        <f t="shared" si="0"/>
        <v>53.400000000000006</v>
      </c>
    </row>
    <row r="9" spans="1:25" x14ac:dyDescent="0.2">
      <c r="A9" s="4" t="s">
        <v>816</v>
      </c>
      <c r="B9" s="4" t="s">
        <v>811</v>
      </c>
      <c r="C9" s="4" t="s">
        <v>31</v>
      </c>
      <c r="D9" s="4">
        <v>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15</v>
      </c>
      <c r="K9" s="4">
        <v>49</v>
      </c>
      <c r="L9" s="4">
        <v>0</v>
      </c>
      <c r="M9" s="4">
        <v>8</v>
      </c>
      <c r="N9" s="4">
        <v>6</v>
      </c>
      <c r="O9" s="4">
        <v>19</v>
      </c>
      <c r="P9" s="4">
        <v>0</v>
      </c>
      <c r="Q9" s="4">
        <v>0</v>
      </c>
      <c r="R9" s="4">
        <v>1</v>
      </c>
      <c r="S9" s="4">
        <v>14.8</v>
      </c>
      <c r="T9" s="4">
        <v>1.38169257340242E-2</v>
      </c>
      <c r="U9" s="4">
        <v>3.2666666666666702</v>
      </c>
      <c r="V9" s="4">
        <v>3.1666666666666701</v>
      </c>
      <c r="W9" s="4"/>
      <c r="X9" s="4"/>
      <c r="Y9" s="4">
        <f t="shared" si="0"/>
        <v>14.8</v>
      </c>
    </row>
    <row r="10" spans="1:25" x14ac:dyDescent="0.2">
      <c r="A10" s="3" t="s">
        <v>257</v>
      </c>
      <c r="B10" s="3" t="s">
        <v>811</v>
      </c>
      <c r="C10" s="3" t="s">
        <v>31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76</v>
      </c>
      <c r="K10" s="3">
        <v>365</v>
      </c>
      <c r="L10" s="3">
        <v>1</v>
      </c>
      <c r="M10" s="3">
        <v>5</v>
      </c>
      <c r="N10" s="3">
        <v>4</v>
      </c>
      <c r="O10" s="3">
        <v>12</v>
      </c>
      <c r="P10" s="3">
        <v>0</v>
      </c>
      <c r="Q10" s="3">
        <v>0</v>
      </c>
      <c r="R10" s="3">
        <v>0</v>
      </c>
      <c r="S10" s="3">
        <v>47.7</v>
      </c>
      <c r="T10" s="3">
        <v>8.6355785837651106E-3</v>
      </c>
      <c r="U10" s="3">
        <v>4.8026315789473699</v>
      </c>
      <c r="V10" s="3">
        <v>3</v>
      </c>
      <c r="W10" s="3"/>
      <c r="X10" s="3"/>
      <c r="Y10" s="3">
        <f t="shared" si="0"/>
        <v>47.7</v>
      </c>
    </row>
    <row r="11" spans="1:25" x14ac:dyDescent="0.2">
      <c r="A11" s="4" t="s">
        <v>817</v>
      </c>
      <c r="B11" s="4" t="s">
        <v>811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40</v>
      </c>
      <c r="N11" s="4">
        <v>25</v>
      </c>
      <c r="O11" s="4">
        <v>312</v>
      </c>
      <c r="P11" s="4">
        <v>3</v>
      </c>
      <c r="Q11" s="4">
        <v>0</v>
      </c>
      <c r="R11" s="4">
        <v>0</v>
      </c>
      <c r="S11" s="4">
        <v>74.2</v>
      </c>
      <c r="T11" s="4">
        <v>6.9084628670120898E-2</v>
      </c>
      <c r="U11" s="4"/>
      <c r="V11" s="4">
        <v>12.48</v>
      </c>
      <c r="W11" s="4"/>
      <c r="X11" s="4"/>
      <c r="Y11" s="4">
        <f t="shared" si="0"/>
        <v>74.2</v>
      </c>
    </row>
    <row r="12" spans="1:25" x14ac:dyDescent="0.2">
      <c r="A12" s="3" t="s">
        <v>818</v>
      </c>
      <c r="B12" s="3" t="s">
        <v>811</v>
      </c>
      <c r="C12" s="3" t="s">
        <v>38</v>
      </c>
      <c r="D12" s="3">
        <v>13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1</v>
      </c>
      <c r="K12" s="3">
        <v>0</v>
      </c>
      <c r="L12" s="3">
        <v>0</v>
      </c>
      <c r="M12" s="3">
        <v>40</v>
      </c>
      <c r="N12" s="3">
        <v>31</v>
      </c>
      <c r="O12" s="3">
        <v>302</v>
      </c>
      <c r="P12" s="3">
        <v>0</v>
      </c>
      <c r="Q12" s="3">
        <v>0</v>
      </c>
      <c r="R12" s="3">
        <v>0</v>
      </c>
      <c r="S12" s="3">
        <v>61.2</v>
      </c>
      <c r="T12" s="3">
        <v>6.9084628670120898E-2</v>
      </c>
      <c r="U12" s="3">
        <v>0</v>
      </c>
      <c r="V12" s="3">
        <v>9.7419354838709697</v>
      </c>
      <c r="W12" s="3"/>
      <c r="X12" s="3"/>
      <c r="Y12" s="3">
        <f t="shared" si="0"/>
        <v>61.2</v>
      </c>
    </row>
    <row r="13" spans="1:25" x14ac:dyDescent="0.2">
      <c r="A13" s="4" t="s">
        <v>819</v>
      </c>
      <c r="B13" s="4" t="s">
        <v>811</v>
      </c>
      <c r="C13" s="4" t="s">
        <v>38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28</v>
      </c>
      <c r="N13" s="4">
        <v>19</v>
      </c>
      <c r="O13" s="4">
        <v>189</v>
      </c>
      <c r="P13" s="4">
        <v>3</v>
      </c>
      <c r="Q13" s="4">
        <v>0</v>
      </c>
      <c r="R13" s="4">
        <v>0</v>
      </c>
      <c r="S13" s="4">
        <v>53.9</v>
      </c>
      <c r="T13" s="4">
        <v>4.8359240069084597E-2</v>
      </c>
      <c r="U13" s="4"/>
      <c r="V13" s="4">
        <v>9.9473684210526301</v>
      </c>
      <c r="W13" s="4"/>
      <c r="X13" s="4"/>
      <c r="Y13" s="4">
        <f t="shared" si="0"/>
        <v>55.900000000000006</v>
      </c>
    </row>
    <row r="14" spans="1:25" x14ac:dyDescent="0.2">
      <c r="A14" s="3" t="s">
        <v>820</v>
      </c>
      <c r="B14" s="3" t="s">
        <v>811</v>
      </c>
      <c r="C14" s="3" t="s">
        <v>43</v>
      </c>
      <c r="D14" s="3">
        <v>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8</v>
      </c>
      <c r="L14" s="3">
        <v>0</v>
      </c>
      <c r="M14" s="3">
        <v>22</v>
      </c>
      <c r="N14" s="3">
        <v>15</v>
      </c>
      <c r="O14" s="3">
        <v>207</v>
      </c>
      <c r="P14" s="3">
        <v>1</v>
      </c>
      <c r="Q14" s="3">
        <v>0</v>
      </c>
      <c r="R14" s="3">
        <v>0</v>
      </c>
      <c r="S14" s="3">
        <v>42.5</v>
      </c>
      <c r="T14" s="3">
        <v>3.7996545768566502E-2</v>
      </c>
      <c r="U14" s="3">
        <v>4</v>
      </c>
      <c r="V14" s="3">
        <v>13.8</v>
      </c>
      <c r="W14" s="3"/>
      <c r="X14" s="3"/>
      <c r="Y14" s="3">
        <f t="shared" si="0"/>
        <v>42.5</v>
      </c>
    </row>
    <row r="15" spans="1:25" x14ac:dyDescent="0.2">
      <c r="A15" s="4" t="s">
        <v>821</v>
      </c>
      <c r="B15" s="4" t="s">
        <v>811</v>
      </c>
      <c r="C15" s="4" t="s">
        <v>43</v>
      </c>
      <c r="D15" s="4">
        <v>16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78</v>
      </c>
      <c r="N15" s="4">
        <v>41</v>
      </c>
      <c r="O15" s="4">
        <v>593</v>
      </c>
      <c r="P15" s="4">
        <v>2</v>
      </c>
      <c r="Q15" s="4">
        <v>0</v>
      </c>
      <c r="R15" s="4">
        <v>0</v>
      </c>
      <c r="S15" s="4">
        <v>112.3</v>
      </c>
      <c r="T15" s="4">
        <v>0.13471502590673601</v>
      </c>
      <c r="U15" s="4"/>
      <c r="V15" s="4">
        <v>14.4634146341463</v>
      </c>
      <c r="W15" s="4"/>
      <c r="X15" s="4"/>
      <c r="Y15" s="4">
        <f t="shared" si="0"/>
        <v>112.30000000000001</v>
      </c>
    </row>
    <row r="16" spans="1:25" x14ac:dyDescent="0.2">
      <c r="A16" s="3" t="s">
        <v>822</v>
      </c>
      <c r="B16" s="3" t="s">
        <v>811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6</v>
      </c>
      <c r="N16" s="3">
        <v>2</v>
      </c>
      <c r="O16" s="3">
        <v>24</v>
      </c>
      <c r="P16" s="3">
        <v>0</v>
      </c>
      <c r="Q16" s="3">
        <v>0</v>
      </c>
      <c r="R16" s="3">
        <v>0</v>
      </c>
      <c r="S16" s="3">
        <v>4.4000000000000004</v>
      </c>
      <c r="T16" s="3">
        <v>1.03626943005181E-2</v>
      </c>
      <c r="U16" s="3"/>
      <c r="V16" s="3">
        <v>12</v>
      </c>
      <c r="W16" s="3"/>
      <c r="X16" s="3"/>
      <c r="Y16" s="3">
        <f t="shared" si="0"/>
        <v>4.4000000000000004</v>
      </c>
    </row>
    <row r="17" spans="1:25" x14ac:dyDescent="0.2">
      <c r="A17" s="4" t="s">
        <v>823</v>
      </c>
      <c r="B17" s="4" t="s">
        <v>811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20</v>
      </c>
      <c r="P17" s="4">
        <v>0</v>
      </c>
      <c r="Q17" s="4">
        <v>0</v>
      </c>
      <c r="R17" s="4">
        <v>0</v>
      </c>
      <c r="S17" s="4">
        <v>1</v>
      </c>
      <c r="T17" s="4">
        <v>1.72711571675302E-3</v>
      </c>
      <c r="U17" s="4"/>
      <c r="V17" s="4">
        <v>20</v>
      </c>
      <c r="W17" s="4"/>
      <c r="X17" s="4"/>
      <c r="Y17" s="4">
        <f t="shared" si="0"/>
        <v>3</v>
      </c>
    </row>
    <row r="18" spans="1:25" x14ac:dyDescent="0.2">
      <c r="A18" s="3" t="s">
        <v>824</v>
      </c>
      <c r="B18" s="3" t="s">
        <v>811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30</v>
      </c>
      <c r="L18" s="3">
        <v>0</v>
      </c>
      <c r="M18" s="3">
        <v>141</v>
      </c>
      <c r="N18" s="3">
        <v>99</v>
      </c>
      <c r="O18" s="3">
        <v>925</v>
      </c>
      <c r="P18" s="3">
        <v>4</v>
      </c>
      <c r="Q18" s="3">
        <v>0</v>
      </c>
      <c r="R18" s="3">
        <v>0</v>
      </c>
      <c r="S18" s="3">
        <v>216.5</v>
      </c>
      <c r="T18" s="3">
        <v>0.243523316062176</v>
      </c>
      <c r="U18" s="3">
        <v>10</v>
      </c>
      <c r="V18" s="3">
        <v>9.3434343434343408</v>
      </c>
      <c r="W18" s="3"/>
      <c r="X18" s="3"/>
      <c r="Y18" s="3">
        <f t="shared" si="0"/>
        <v>218.5</v>
      </c>
    </row>
    <row r="19" spans="1:25" x14ac:dyDescent="0.2">
      <c r="A19" s="4" t="s">
        <v>825</v>
      </c>
      <c r="B19" s="4" t="s">
        <v>811</v>
      </c>
      <c r="C19" s="4" t="s">
        <v>43</v>
      </c>
      <c r="D19" s="4">
        <v>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9</v>
      </c>
      <c r="N19" s="4">
        <v>3</v>
      </c>
      <c r="O19" s="4">
        <v>59</v>
      </c>
      <c r="P19" s="4">
        <v>0</v>
      </c>
      <c r="Q19" s="4">
        <v>0</v>
      </c>
      <c r="R19" s="4">
        <v>0</v>
      </c>
      <c r="S19" s="4">
        <v>8.9</v>
      </c>
      <c r="T19" s="4">
        <v>1.55440414507772E-2</v>
      </c>
      <c r="U19" s="4"/>
      <c r="V19" s="4">
        <v>19.6666666666667</v>
      </c>
      <c r="W19" s="4"/>
      <c r="X19" s="4"/>
      <c r="Y19" s="4">
        <f t="shared" si="0"/>
        <v>8.9</v>
      </c>
    </row>
    <row r="20" spans="1:25" x14ac:dyDescent="0.2">
      <c r="A20" s="3" t="s">
        <v>826</v>
      </c>
      <c r="B20" s="3" t="s">
        <v>811</v>
      </c>
      <c r="C20" s="3" t="s">
        <v>43</v>
      </c>
      <c r="D20" s="3">
        <v>17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5</v>
      </c>
      <c r="K20" s="3">
        <v>58</v>
      </c>
      <c r="L20" s="3">
        <v>0</v>
      </c>
      <c r="M20" s="3">
        <v>91</v>
      </c>
      <c r="N20" s="3">
        <v>63</v>
      </c>
      <c r="O20" s="3">
        <v>623</v>
      </c>
      <c r="P20" s="3">
        <v>3</v>
      </c>
      <c r="Q20" s="3">
        <v>0</v>
      </c>
      <c r="R20" s="3">
        <v>0</v>
      </c>
      <c r="S20" s="3">
        <v>149.1</v>
      </c>
      <c r="T20" s="3">
        <v>0.15716753022452501</v>
      </c>
      <c r="U20" s="3">
        <v>11.6</v>
      </c>
      <c r="V20" s="3">
        <v>9.8888888888888893</v>
      </c>
      <c r="W20" s="3"/>
      <c r="X20" s="3"/>
      <c r="Y20" s="3">
        <f t="shared" si="0"/>
        <v>149.1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811</v>
      </c>
      <c r="B31" s="3">
        <v>5720</v>
      </c>
      <c r="C31" s="3">
        <v>3854</v>
      </c>
      <c r="D31" s="3">
        <v>439</v>
      </c>
      <c r="E31" s="3">
        <v>1866</v>
      </c>
      <c r="F31" s="3">
        <v>8</v>
      </c>
      <c r="G31" s="3">
        <v>1278.1600000000001</v>
      </c>
      <c r="H31" s="3">
        <v>604</v>
      </c>
      <c r="I31" s="3">
        <v>0.65894039735099297</v>
      </c>
      <c r="J31" s="3">
        <v>17</v>
      </c>
      <c r="K31" s="3">
        <v>20</v>
      </c>
      <c r="L31" s="3">
        <v>10</v>
      </c>
      <c r="M31" s="3">
        <f ca="1">SUM(INDIRECT(A33 &amp; "_Table1[[#All],[f_custom]]"))</f>
        <v>1284.1599999999999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IND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827</v>
      </c>
      <c r="B36" s="3" t="s">
        <v>26</v>
      </c>
      <c r="C36" s="3">
        <v>24</v>
      </c>
      <c r="D36" s="3">
        <v>3</v>
      </c>
      <c r="E36" s="3" t="s">
        <v>66</v>
      </c>
      <c r="F36" s="3" t="s">
        <v>811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828</v>
      </c>
      <c r="B37" s="4" t="s">
        <v>26</v>
      </c>
      <c r="C37" s="4">
        <v>27</v>
      </c>
      <c r="D37" s="4">
        <v>5</v>
      </c>
      <c r="E37" s="4" t="s">
        <v>294</v>
      </c>
      <c r="F37" s="4" t="s">
        <v>811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829</v>
      </c>
      <c r="B38" s="3" t="s">
        <v>26</v>
      </c>
      <c r="C38" s="3">
        <v>21</v>
      </c>
      <c r="D38" s="3">
        <v>0</v>
      </c>
      <c r="E38" s="3" t="s">
        <v>178</v>
      </c>
      <c r="F38" s="3" t="s">
        <v>811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830</v>
      </c>
      <c r="B46" s="3" t="s">
        <v>31</v>
      </c>
      <c r="C46" s="3">
        <v>29</v>
      </c>
      <c r="D46" s="3">
        <v>8</v>
      </c>
      <c r="E46" s="3" t="s">
        <v>153</v>
      </c>
      <c r="F46" s="3" t="s">
        <v>811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>$K46/$H46</f>
        <v>#DIV/0!</v>
      </c>
      <c r="AB46" s="3">
        <f t="shared" ref="AB46:AB52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831</v>
      </c>
      <c r="B47" s="4" t="s">
        <v>31</v>
      </c>
      <c r="C47" s="4">
        <v>25</v>
      </c>
      <c r="D47" s="4">
        <v>3</v>
      </c>
      <c r="E47" s="4" t="s">
        <v>232</v>
      </c>
      <c r="F47" s="4" t="s">
        <v>811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832</v>
      </c>
      <c r="B48" s="3" t="s">
        <v>31</v>
      </c>
      <c r="C48" s="3">
        <v>22</v>
      </c>
      <c r="D48" s="3">
        <v>0</v>
      </c>
      <c r="E48" s="3" t="s">
        <v>141</v>
      </c>
      <c r="F48" s="3" t="s">
        <v>811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833</v>
      </c>
      <c r="B49" s="4" t="s">
        <v>31</v>
      </c>
      <c r="C49" s="4">
        <v>25</v>
      </c>
      <c r="D49" s="4">
        <v>2</v>
      </c>
      <c r="E49" s="4" t="s">
        <v>834</v>
      </c>
      <c r="F49" s="4" t="s">
        <v>811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835</v>
      </c>
      <c r="B50" s="3" t="s">
        <v>31</v>
      </c>
      <c r="C50" s="3">
        <v>24</v>
      </c>
      <c r="D50" s="3">
        <v>3</v>
      </c>
      <c r="E50" s="3" t="s">
        <v>697</v>
      </c>
      <c r="F50" s="3" t="s">
        <v>811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836</v>
      </c>
      <c r="B51" s="4" t="s">
        <v>31</v>
      </c>
      <c r="C51" s="4">
        <v>25</v>
      </c>
      <c r="D51" s="4">
        <v>4</v>
      </c>
      <c r="E51" s="4" t="s">
        <v>207</v>
      </c>
      <c r="F51" s="4" t="s">
        <v>811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52" spans="1:28" x14ac:dyDescent="0.2">
      <c r="A52" s="3" t="s">
        <v>837</v>
      </c>
      <c r="B52" s="3" t="s">
        <v>31</v>
      </c>
      <c r="C52" s="3">
        <v>24</v>
      </c>
      <c r="D52" s="3">
        <v>4</v>
      </c>
      <c r="E52" s="3" t="s">
        <v>72</v>
      </c>
      <c r="F52" s="3" t="s">
        <v>811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>$K52/$H52</f>
        <v>#DIV/0!</v>
      </c>
      <c r="AB52" s="3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838</v>
      </c>
      <c r="B61" s="3" t="s">
        <v>43</v>
      </c>
      <c r="C61" s="3"/>
      <c r="D61" s="3">
        <v>0</v>
      </c>
      <c r="E61" s="3" t="s">
        <v>839</v>
      </c>
      <c r="F61" s="3" t="s">
        <v>811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7">($J61*0.04)+($K61*4)+($L61*-2)+($N61*0.1)+($O61*6)+($Q61)+($R61*0.1)+($S61*6)+($T61*-2)</f>
        <v>0</v>
      </c>
      <c r="W61" s="3" t="e">
        <f t="shared" ref="W61:W73" ca="1" si="8">$P61/$H$33</f>
        <v>#DIV/0!</v>
      </c>
      <c r="X61" s="3" t="e">
        <f t="shared" ref="X61:X73" si="9">$N61/$M61</f>
        <v>#DIV/0!</v>
      </c>
      <c r="Y61" s="3" t="e">
        <f t="shared" ref="Y61:Y73" si="10">$R61/$Q61</f>
        <v>#DIV/0!</v>
      </c>
      <c r="Z61" s="3" t="e">
        <f t="shared" ref="Z61:Z73" si="11">$I61/$H61</f>
        <v>#DIV/0!</v>
      </c>
      <c r="AA61" s="3" t="e">
        <f>$K61/$H61</f>
        <v>#DIV/0!</v>
      </c>
      <c r="AB61" s="3">
        <f t="shared" ref="AB61:AB73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840</v>
      </c>
      <c r="B62" s="4" t="s">
        <v>43</v>
      </c>
      <c r="C62" s="4">
        <v>24</v>
      </c>
      <c r="D62" s="4">
        <v>0</v>
      </c>
      <c r="E62" s="4" t="s">
        <v>446</v>
      </c>
      <c r="F62" s="4" t="s">
        <v>811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841</v>
      </c>
      <c r="B63" s="3" t="s">
        <v>43</v>
      </c>
      <c r="C63" s="3">
        <v>22</v>
      </c>
      <c r="D63" s="3">
        <v>0</v>
      </c>
      <c r="E63" s="3" t="s">
        <v>163</v>
      </c>
      <c r="F63" s="3" t="s">
        <v>811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842</v>
      </c>
      <c r="B64" s="4" t="s">
        <v>43</v>
      </c>
      <c r="C64" s="4">
        <v>26</v>
      </c>
      <c r="D64" s="4">
        <v>5</v>
      </c>
      <c r="E64" s="4" t="s">
        <v>843</v>
      </c>
      <c r="F64" s="4" t="s">
        <v>811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844</v>
      </c>
      <c r="B65" s="3" t="s">
        <v>43</v>
      </c>
      <c r="C65" s="3">
        <v>28</v>
      </c>
      <c r="D65" s="3">
        <v>7</v>
      </c>
      <c r="E65" s="3" t="s">
        <v>173</v>
      </c>
      <c r="F65" s="3" t="s">
        <v>811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845</v>
      </c>
      <c r="B66" s="4" t="s">
        <v>43</v>
      </c>
      <c r="C66" s="4">
        <v>29</v>
      </c>
      <c r="D66" s="4">
        <v>9</v>
      </c>
      <c r="E66" s="4" t="s">
        <v>282</v>
      </c>
      <c r="F66" s="4" t="s">
        <v>811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846</v>
      </c>
      <c r="B67" s="3" t="s">
        <v>43</v>
      </c>
      <c r="C67" s="3">
        <v>23</v>
      </c>
      <c r="D67" s="3">
        <v>2</v>
      </c>
      <c r="E67" s="3" t="s">
        <v>136</v>
      </c>
      <c r="F67" s="3" t="s">
        <v>811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847</v>
      </c>
      <c r="B68" s="4" t="s">
        <v>43</v>
      </c>
      <c r="C68" s="4">
        <v>25</v>
      </c>
      <c r="D68" s="4">
        <v>4</v>
      </c>
      <c r="E68" s="4" t="s">
        <v>78</v>
      </c>
      <c r="F68" s="4" t="s">
        <v>811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848</v>
      </c>
      <c r="B69" s="3" t="s">
        <v>43</v>
      </c>
      <c r="C69" s="3">
        <v>23</v>
      </c>
      <c r="D69" s="3">
        <v>3</v>
      </c>
      <c r="E69" s="3" t="s">
        <v>458</v>
      </c>
      <c r="F69" s="3" t="s">
        <v>811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849</v>
      </c>
      <c r="B70" s="4" t="s">
        <v>43</v>
      </c>
      <c r="C70" s="4">
        <v>27</v>
      </c>
      <c r="D70" s="4">
        <v>4</v>
      </c>
      <c r="E70" s="4" t="s">
        <v>850</v>
      </c>
      <c r="F70" s="4" t="s">
        <v>811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851</v>
      </c>
      <c r="B71" s="3" t="s">
        <v>43</v>
      </c>
      <c r="C71" s="3">
        <v>26</v>
      </c>
      <c r="D71" s="3">
        <v>3</v>
      </c>
      <c r="E71" s="3" t="s">
        <v>852</v>
      </c>
      <c r="F71" s="3" t="s">
        <v>811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853</v>
      </c>
      <c r="B72" s="4" t="s">
        <v>43</v>
      </c>
      <c r="C72" s="4">
        <v>27</v>
      </c>
      <c r="D72" s="4">
        <v>5</v>
      </c>
      <c r="E72" s="4" t="s">
        <v>446</v>
      </c>
      <c r="F72" s="4" t="s">
        <v>811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3" spans="1:28" x14ac:dyDescent="0.2">
      <c r="A73" s="3" t="s">
        <v>854</v>
      </c>
      <c r="B73" s="3" t="s">
        <v>43</v>
      </c>
      <c r="C73" s="3">
        <v>26</v>
      </c>
      <c r="D73" s="3">
        <v>3</v>
      </c>
      <c r="E73" s="3" t="s">
        <v>84</v>
      </c>
      <c r="F73" s="3" t="s">
        <v>811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7"/>
        <v>0</v>
      </c>
      <c r="W73" s="3" t="e">
        <f t="shared" ca="1" si="8"/>
        <v>#DIV/0!</v>
      </c>
      <c r="X73" s="3" t="e">
        <f t="shared" si="9"/>
        <v>#DIV/0!</v>
      </c>
      <c r="Y73" s="3" t="e">
        <f t="shared" si="10"/>
        <v>#DIV/0!</v>
      </c>
      <c r="Z73" s="3" t="e">
        <f t="shared" si="11"/>
        <v>#DIV/0!</v>
      </c>
      <c r="AA73" s="3" t="e">
        <f>$K73/$H73</f>
        <v>#DIV/0!</v>
      </c>
      <c r="AB73" s="3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855</v>
      </c>
      <c r="B76" s="3" t="s">
        <v>38</v>
      </c>
      <c r="C76" s="3">
        <v>29</v>
      </c>
      <c r="D76" s="3">
        <v>6</v>
      </c>
      <c r="E76" s="3" t="s">
        <v>856</v>
      </c>
      <c r="F76" s="3" t="s">
        <v>811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4" si="13">($J76*0.04)+($K76*4)+($L76*-2)+($N76*0.1)+($O76*6)+($Q76)+($R76*0.1)+($S76*6)+($T76*-2)</f>
        <v>0</v>
      </c>
      <c r="W76" s="3" t="e">
        <f t="shared" ref="W76:W84" ca="1" si="14">$P76/$H$33</f>
        <v>#DIV/0!</v>
      </c>
      <c r="X76" s="3" t="e">
        <f t="shared" ref="X76:X84" si="15">$N76/$M76</f>
        <v>#DIV/0!</v>
      </c>
      <c r="Y76" s="3" t="e">
        <f t="shared" ref="Y76:Y84" si="16">$R76/$Q76</f>
        <v>#DIV/0!</v>
      </c>
      <c r="Z76" s="3" t="e">
        <f t="shared" ref="Z76:Z84" si="17">$I76/$H76</f>
        <v>#DIV/0!</v>
      </c>
      <c r="AA76" s="3" t="e">
        <f>$K76/$H76</f>
        <v>#DIV/0!</v>
      </c>
      <c r="AB76" s="3">
        <f t="shared" ref="AB76:AB84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857</v>
      </c>
      <c r="B77" s="4" t="s">
        <v>38</v>
      </c>
      <c r="C77" s="4">
        <v>29</v>
      </c>
      <c r="D77" s="4">
        <v>6</v>
      </c>
      <c r="E77" s="4" t="s">
        <v>205</v>
      </c>
      <c r="F77" s="4" t="s">
        <v>811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858</v>
      </c>
      <c r="B78" s="3" t="s">
        <v>38</v>
      </c>
      <c r="C78" s="3">
        <v>26</v>
      </c>
      <c r="D78" s="3">
        <v>2</v>
      </c>
      <c r="E78" s="3" t="s">
        <v>105</v>
      </c>
      <c r="F78" s="3" t="s">
        <v>811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859</v>
      </c>
      <c r="B79" s="4" t="s">
        <v>38</v>
      </c>
      <c r="C79" s="4">
        <v>25</v>
      </c>
      <c r="D79" s="4">
        <v>3</v>
      </c>
      <c r="E79" s="4" t="s">
        <v>237</v>
      </c>
      <c r="F79" s="4" t="s">
        <v>811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860</v>
      </c>
      <c r="B80" s="3" t="s">
        <v>38</v>
      </c>
      <c r="C80" s="3">
        <v>26</v>
      </c>
      <c r="D80" s="3">
        <v>1</v>
      </c>
      <c r="E80" s="3" t="s">
        <v>244</v>
      </c>
      <c r="F80" s="3" t="s">
        <v>811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861</v>
      </c>
      <c r="B81" s="4" t="s">
        <v>38</v>
      </c>
      <c r="C81" s="4">
        <v>24</v>
      </c>
      <c r="D81" s="4">
        <v>0</v>
      </c>
      <c r="E81" s="4" t="s">
        <v>397</v>
      </c>
      <c r="F81" s="4" t="s">
        <v>811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  <row r="82" spans="1:28" x14ac:dyDescent="0.2">
      <c r="A82" s="3" t="s">
        <v>862</v>
      </c>
      <c r="B82" s="3" t="s">
        <v>38</v>
      </c>
      <c r="C82" s="3">
        <v>25</v>
      </c>
      <c r="D82" s="3">
        <v>2</v>
      </c>
      <c r="E82" s="3" t="s">
        <v>616</v>
      </c>
      <c r="F82" s="3" t="s">
        <v>811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3"/>
        <v>0</v>
      </c>
      <c r="W82" s="3" t="e">
        <f t="shared" ca="1" si="14"/>
        <v>#DIV/0!</v>
      </c>
      <c r="X82" s="3" t="e">
        <f t="shared" si="15"/>
        <v>#DIV/0!</v>
      </c>
      <c r="Y82" s="3" t="e">
        <f t="shared" si="16"/>
        <v>#DIV/0!</v>
      </c>
      <c r="Z82" s="3" t="e">
        <f t="shared" si="17"/>
        <v>#DIV/0!</v>
      </c>
      <c r="AA82" s="3" t="e">
        <f>$K82/$H82</f>
        <v>#DIV/0!</v>
      </c>
      <c r="AB82" s="3">
        <f t="shared" si="18"/>
        <v>0</v>
      </c>
    </row>
    <row r="83" spans="1:28" x14ac:dyDescent="0.2">
      <c r="A83" s="4" t="s">
        <v>863</v>
      </c>
      <c r="B83" s="4" t="s">
        <v>38</v>
      </c>
      <c r="C83" s="4">
        <v>28</v>
      </c>
      <c r="D83" s="4">
        <v>6</v>
      </c>
      <c r="E83" s="4" t="s">
        <v>307</v>
      </c>
      <c r="F83" s="4" t="s">
        <v>811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f t="shared" si="13"/>
        <v>0</v>
      </c>
      <c r="W83" s="4" t="e">
        <f t="shared" ca="1" si="14"/>
        <v>#DIV/0!</v>
      </c>
      <c r="X83" s="4" t="e">
        <f t="shared" si="15"/>
        <v>#DIV/0!</v>
      </c>
      <c r="Y83" s="4" t="e">
        <f t="shared" si="16"/>
        <v>#DIV/0!</v>
      </c>
      <c r="Z83" s="4" t="e">
        <f t="shared" si="17"/>
        <v>#DIV/0!</v>
      </c>
      <c r="AA83" s="4" t="e">
        <f>$K83/$H83</f>
        <v>#DIV/0!</v>
      </c>
      <c r="AB83" s="4">
        <f t="shared" si="18"/>
        <v>0</v>
      </c>
    </row>
    <row r="84" spans="1:28" x14ac:dyDescent="0.2">
      <c r="A84" s="3" t="s">
        <v>864</v>
      </c>
      <c r="B84" s="3" t="s">
        <v>38</v>
      </c>
      <c r="C84" s="3">
        <v>24</v>
      </c>
      <c r="D84" s="3">
        <v>2</v>
      </c>
      <c r="E84" s="3" t="s">
        <v>409</v>
      </c>
      <c r="F84" s="3" t="s">
        <v>811</v>
      </c>
      <c r="G84" s="3">
        <v>0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f t="shared" si="13"/>
        <v>0</v>
      </c>
      <c r="W84" s="3" t="e">
        <f t="shared" ca="1" si="14"/>
        <v>#DIV/0!</v>
      </c>
      <c r="X84" s="3" t="e">
        <f t="shared" si="15"/>
        <v>#DIV/0!</v>
      </c>
      <c r="Y84" s="3" t="e">
        <f t="shared" si="16"/>
        <v>#DIV/0!</v>
      </c>
      <c r="Z84" s="3" t="e">
        <f t="shared" si="17"/>
        <v>#DIV/0!</v>
      </c>
      <c r="AA84" s="3" t="e">
        <f>$K84/$H84</f>
        <v>#DIV/0!</v>
      </c>
      <c r="AB84" s="3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B82"/>
  <sheetViews>
    <sheetView zoomScale="90" zoomScaleNormal="90" workbookViewId="0">
      <selection activeCell="A18" sqref="A18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865</v>
      </c>
      <c r="B2" s="3" t="s">
        <v>866</v>
      </c>
      <c r="C2" s="3" t="s">
        <v>26</v>
      </c>
      <c r="D2" s="3">
        <v>4</v>
      </c>
      <c r="E2" s="3">
        <v>11</v>
      </c>
      <c r="F2" s="3">
        <v>7</v>
      </c>
      <c r="G2" s="3">
        <v>35</v>
      </c>
      <c r="H2" s="3">
        <v>0</v>
      </c>
      <c r="I2" s="3">
        <v>1</v>
      </c>
      <c r="J2" s="3">
        <v>4</v>
      </c>
      <c r="K2" s="3">
        <v>-4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-1</v>
      </c>
      <c r="T2" s="3">
        <v>0</v>
      </c>
      <c r="U2" s="3">
        <v>-1</v>
      </c>
      <c r="V2" s="3"/>
      <c r="W2" s="3">
        <v>0.63636363636363602</v>
      </c>
      <c r="X2" s="3">
        <v>0</v>
      </c>
      <c r="Y2" s="3">
        <f t="shared" ref="Y2:Y16" si="0">($G2*Cp_yd)+($H2*Cp_td)+($I2*Cint)+($J2*Ccar)+($K2*Cr_yd)+($L2*Cr_td)+($N2*Crec)+($O2*Crec_yd)+($P2*Crec_td)+($Q2*Cfmb)+($R2*Ctp_c)</f>
        <v>-0.99999999999999989</v>
      </c>
    </row>
    <row r="3" spans="1:25" x14ac:dyDescent="0.2">
      <c r="A3" s="4" t="s">
        <v>867</v>
      </c>
      <c r="B3" s="4" t="s">
        <v>866</v>
      </c>
      <c r="C3" s="4" t="s">
        <v>26</v>
      </c>
      <c r="D3" s="4">
        <v>17</v>
      </c>
      <c r="E3" s="4">
        <v>584</v>
      </c>
      <c r="F3" s="4">
        <v>387</v>
      </c>
      <c r="G3" s="4">
        <v>4113</v>
      </c>
      <c r="H3" s="4">
        <v>25</v>
      </c>
      <c r="I3" s="4">
        <v>8</v>
      </c>
      <c r="J3" s="4">
        <v>62</v>
      </c>
      <c r="K3" s="4">
        <v>291</v>
      </c>
      <c r="L3" s="4">
        <v>5</v>
      </c>
      <c r="M3" s="4">
        <v>0</v>
      </c>
      <c r="N3" s="4">
        <v>0</v>
      </c>
      <c r="O3" s="4">
        <v>0</v>
      </c>
      <c r="P3" s="4">
        <v>0</v>
      </c>
      <c r="Q3" s="4">
        <v>9</v>
      </c>
      <c r="R3" s="4">
        <v>3</v>
      </c>
      <c r="S3" s="4">
        <v>295.62</v>
      </c>
      <c r="T3" s="4">
        <v>0</v>
      </c>
      <c r="U3" s="4">
        <v>4.6935483870967696</v>
      </c>
      <c r="V3" s="4"/>
      <c r="W3" s="4">
        <v>0.66267123287671204</v>
      </c>
      <c r="X3" s="4">
        <v>4.2808219178082203E-2</v>
      </c>
      <c r="Y3" s="4">
        <f t="shared" si="0"/>
        <v>295.62</v>
      </c>
    </row>
    <row r="4" spans="1:25" x14ac:dyDescent="0.2">
      <c r="A4" s="3" t="s">
        <v>868</v>
      </c>
      <c r="B4" s="3" t="s">
        <v>866</v>
      </c>
      <c r="C4" s="3" t="s">
        <v>31</v>
      </c>
      <c r="D4" s="3">
        <v>14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46</v>
      </c>
      <c r="K4" s="3">
        <v>194</v>
      </c>
      <c r="L4" s="3">
        <v>2</v>
      </c>
      <c r="M4" s="3">
        <v>26</v>
      </c>
      <c r="N4" s="3">
        <v>20</v>
      </c>
      <c r="O4" s="3">
        <v>126</v>
      </c>
      <c r="P4" s="3">
        <v>1</v>
      </c>
      <c r="Q4" s="3">
        <v>0</v>
      </c>
      <c r="R4" s="3">
        <v>0</v>
      </c>
      <c r="S4" s="3">
        <v>70</v>
      </c>
      <c r="T4" s="3">
        <v>4.3046357615894003E-2</v>
      </c>
      <c r="U4" s="3">
        <v>4.2173913043478297</v>
      </c>
      <c r="V4" s="3">
        <v>6.3</v>
      </c>
      <c r="W4" s="3"/>
      <c r="X4" s="3"/>
      <c r="Y4" s="3">
        <f t="shared" si="0"/>
        <v>70</v>
      </c>
    </row>
    <row r="5" spans="1:25" x14ac:dyDescent="0.2">
      <c r="A5" s="4" t="s">
        <v>869</v>
      </c>
      <c r="B5" s="4" t="s">
        <v>866</v>
      </c>
      <c r="C5" s="4" t="s">
        <v>31</v>
      </c>
      <c r="D5" s="4">
        <v>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81</v>
      </c>
      <c r="K5" s="4">
        <v>340</v>
      </c>
      <c r="L5" s="4">
        <v>3</v>
      </c>
      <c r="M5" s="4">
        <v>11</v>
      </c>
      <c r="N5" s="4">
        <v>9</v>
      </c>
      <c r="O5" s="4">
        <v>46</v>
      </c>
      <c r="P5" s="4">
        <v>1</v>
      </c>
      <c r="Q5" s="4">
        <v>0</v>
      </c>
      <c r="R5" s="4">
        <v>0</v>
      </c>
      <c r="S5" s="4">
        <v>71.599999999999994</v>
      </c>
      <c r="T5" s="4">
        <v>1.82119205298013E-2</v>
      </c>
      <c r="U5" s="4">
        <v>4.19753086419753</v>
      </c>
      <c r="V5" s="4">
        <v>5.1111111111111098</v>
      </c>
      <c r="W5" s="4"/>
      <c r="X5" s="4"/>
      <c r="Y5" s="4">
        <f t="shared" si="0"/>
        <v>71.599999999999994</v>
      </c>
    </row>
    <row r="6" spans="1:25" x14ac:dyDescent="0.2">
      <c r="A6" s="3" t="s">
        <v>870</v>
      </c>
      <c r="B6" s="3" t="s">
        <v>866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12</v>
      </c>
      <c r="K6" s="3">
        <v>42</v>
      </c>
      <c r="L6" s="3">
        <v>1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10.199999999999999</v>
      </c>
      <c r="T6" s="3">
        <v>0</v>
      </c>
      <c r="U6" s="3">
        <v>3.5</v>
      </c>
      <c r="V6" s="3"/>
      <c r="W6" s="3"/>
      <c r="X6" s="3"/>
      <c r="Y6" s="3">
        <f t="shared" si="0"/>
        <v>10.199999999999999</v>
      </c>
    </row>
    <row r="7" spans="1:25" x14ac:dyDescent="0.2">
      <c r="A7" s="4" t="s">
        <v>871</v>
      </c>
      <c r="B7" s="4" t="s">
        <v>866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220</v>
      </c>
      <c r="K7" s="4">
        <v>1125</v>
      </c>
      <c r="L7" s="4">
        <v>5</v>
      </c>
      <c r="M7" s="4">
        <v>45</v>
      </c>
      <c r="N7" s="4">
        <v>35</v>
      </c>
      <c r="O7" s="4">
        <v>316</v>
      </c>
      <c r="P7" s="4">
        <v>0</v>
      </c>
      <c r="Q7" s="4">
        <v>3</v>
      </c>
      <c r="R7" s="4">
        <v>1</v>
      </c>
      <c r="S7" s="4">
        <v>203.1</v>
      </c>
      <c r="T7" s="4">
        <v>7.4503311258278193E-2</v>
      </c>
      <c r="U7" s="4">
        <v>5.1136363636363598</v>
      </c>
      <c r="V7" s="4">
        <v>9.0285714285714302</v>
      </c>
      <c r="W7" s="4"/>
      <c r="X7" s="4"/>
      <c r="Y7" s="4">
        <f t="shared" si="0"/>
        <v>205.1</v>
      </c>
    </row>
    <row r="8" spans="1:25" x14ac:dyDescent="0.2">
      <c r="A8" s="3" t="s">
        <v>872</v>
      </c>
      <c r="B8" s="3" t="s">
        <v>866</v>
      </c>
      <c r="C8" s="3" t="s">
        <v>38</v>
      </c>
      <c r="D8" s="3">
        <v>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8</v>
      </c>
      <c r="N8" s="3">
        <v>6</v>
      </c>
      <c r="O8" s="3">
        <v>42</v>
      </c>
      <c r="P8" s="3">
        <v>0</v>
      </c>
      <c r="Q8" s="3">
        <v>0</v>
      </c>
      <c r="R8" s="3">
        <v>0</v>
      </c>
      <c r="S8" s="3">
        <v>10.199999999999999</v>
      </c>
      <c r="T8" s="3">
        <v>1.3245033112582801E-2</v>
      </c>
      <c r="U8" s="3"/>
      <c r="V8" s="3">
        <v>7</v>
      </c>
      <c r="W8" s="3"/>
      <c r="X8" s="3"/>
      <c r="Y8" s="3">
        <f t="shared" si="0"/>
        <v>10.199999999999999</v>
      </c>
    </row>
    <row r="9" spans="1:25" x14ac:dyDescent="0.2">
      <c r="A9" s="4" t="s">
        <v>873</v>
      </c>
      <c r="B9" s="4" t="s">
        <v>866</v>
      </c>
      <c r="C9" s="4" t="s">
        <v>38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13</v>
      </c>
      <c r="N9" s="4">
        <v>9</v>
      </c>
      <c r="O9" s="4">
        <v>135</v>
      </c>
      <c r="P9" s="4">
        <v>0</v>
      </c>
      <c r="Q9" s="4">
        <v>0</v>
      </c>
      <c r="R9" s="4">
        <v>0</v>
      </c>
      <c r="S9" s="4">
        <v>22.5</v>
      </c>
      <c r="T9" s="4">
        <v>2.1523178807947001E-2</v>
      </c>
      <c r="U9" s="4"/>
      <c r="V9" s="4">
        <v>15</v>
      </c>
      <c r="W9" s="4"/>
      <c r="X9" s="4"/>
      <c r="Y9" s="4">
        <f t="shared" si="0"/>
        <v>22.5</v>
      </c>
    </row>
    <row r="10" spans="1:25" x14ac:dyDescent="0.2">
      <c r="A10" s="3" t="s">
        <v>874</v>
      </c>
      <c r="B10" s="3" t="s">
        <v>866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</v>
      </c>
      <c r="K10" s="3">
        <v>13</v>
      </c>
      <c r="L10" s="3">
        <v>0</v>
      </c>
      <c r="M10" s="3">
        <v>98</v>
      </c>
      <c r="N10" s="3">
        <v>73</v>
      </c>
      <c r="O10" s="3">
        <v>766</v>
      </c>
      <c r="P10" s="3">
        <v>4</v>
      </c>
      <c r="Q10" s="3">
        <v>0</v>
      </c>
      <c r="R10" s="3">
        <v>0</v>
      </c>
      <c r="S10" s="3">
        <v>176.9</v>
      </c>
      <c r="T10" s="3">
        <v>0.16225165562913901</v>
      </c>
      <c r="U10" s="3">
        <v>6.5</v>
      </c>
      <c r="V10" s="3">
        <v>10.4931506849315</v>
      </c>
      <c r="W10" s="3"/>
      <c r="X10" s="3"/>
      <c r="Y10" s="3">
        <f t="shared" si="0"/>
        <v>174.9</v>
      </c>
    </row>
    <row r="11" spans="1:25" x14ac:dyDescent="0.2">
      <c r="A11" s="4" t="s">
        <v>875</v>
      </c>
      <c r="B11" s="4" t="s">
        <v>866</v>
      </c>
      <c r="C11" s="4" t="s">
        <v>38</v>
      </c>
      <c r="D11" s="4">
        <v>4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</v>
      </c>
      <c r="N11" s="4">
        <v>4</v>
      </c>
      <c r="O11" s="4">
        <v>40</v>
      </c>
      <c r="P11" s="4">
        <v>0</v>
      </c>
      <c r="Q11" s="4">
        <v>0</v>
      </c>
      <c r="R11" s="4">
        <v>0</v>
      </c>
      <c r="S11" s="4">
        <v>8</v>
      </c>
      <c r="T11" s="4">
        <v>6.6225165562913899E-3</v>
      </c>
      <c r="U11" s="4"/>
      <c r="V11" s="4">
        <v>10</v>
      </c>
      <c r="W11" s="4"/>
      <c r="X11" s="4"/>
      <c r="Y11" s="4">
        <f t="shared" si="0"/>
        <v>8</v>
      </c>
    </row>
    <row r="12" spans="1:25" x14ac:dyDescent="0.2">
      <c r="A12" s="3" t="s">
        <v>876</v>
      </c>
      <c r="B12" s="3" t="s">
        <v>866</v>
      </c>
      <c r="C12" s="3" t="s">
        <v>43</v>
      </c>
      <c r="D12" s="3">
        <v>17</v>
      </c>
      <c r="E12" s="3">
        <v>1</v>
      </c>
      <c r="F12" s="3">
        <v>0</v>
      </c>
      <c r="G12" s="3">
        <v>0</v>
      </c>
      <c r="H12" s="3">
        <v>0</v>
      </c>
      <c r="I12" s="3">
        <v>0</v>
      </c>
      <c r="J12" s="3">
        <v>5</v>
      </c>
      <c r="K12" s="3">
        <v>11</v>
      </c>
      <c r="L12" s="3">
        <v>0</v>
      </c>
      <c r="M12" s="3">
        <v>133</v>
      </c>
      <c r="N12" s="3">
        <v>84</v>
      </c>
      <c r="O12" s="3">
        <v>1108</v>
      </c>
      <c r="P12" s="3">
        <v>8</v>
      </c>
      <c r="Q12" s="3">
        <v>0</v>
      </c>
      <c r="R12" s="3">
        <v>0</v>
      </c>
      <c r="S12" s="3">
        <v>243.9</v>
      </c>
      <c r="T12" s="3">
        <v>0.22019867549668901</v>
      </c>
      <c r="U12" s="3">
        <v>2.2000000000000002</v>
      </c>
      <c r="V12" s="3">
        <v>13.1904761904762</v>
      </c>
      <c r="W12" s="3">
        <v>0</v>
      </c>
      <c r="X12" s="3">
        <v>0</v>
      </c>
      <c r="Y12" s="3">
        <f t="shared" si="0"/>
        <v>243.9</v>
      </c>
    </row>
    <row r="13" spans="1:25" x14ac:dyDescent="0.2">
      <c r="A13" s="4" t="s">
        <v>877</v>
      </c>
      <c r="B13" s="4" t="s">
        <v>866</v>
      </c>
      <c r="C13" s="4" t="s">
        <v>43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12</v>
      </c>
      <c r="K13" s="4">
        <v>86</v>
      </c>
      <c r="L13" s="4">
        <v>0</v>
      </c>
      <c r="M13" s="4">
        <v>30</v>
      </c>
      <c r="N13" s="4">
        <v>23</v>
      </c>
      <c r="O13" s="4">
        <v>187</v>
      </c>
      <c r="P13" s="4">
        <v>3</v>
      </c>
      <c r="Q13" s="4">
        <v>0</v>
      </c>
      <c r="R13" s="4">
        <v>0</v>
      </c>
      <c r="S13" s="4">
        <v>70.3</v>
      </c>
      <c r="T13" s="4">
        <v>4.96688741721854E-2</v>
      </c>
      <c r="U13" s="4">
        <v>7.1666666666666696</v>
      </c>
      <c r="V13" s="4">
        <v>8.1304347826087007</v>
      </c>
      <c r="W13" s="4"/>
      <c r="X13" s="4"/>
      <c r="Y13" s="4">
        <f t="shared" si="0"/>
        <v>68.3</v>
      </c>
    </row>
    <row r="14" spans="1:25" x14ac:dyDescent="0.2">
      <c r="A14" s="3" t="s">
        <v>878</v>
      </c>
      <c r="B14" s="3" t="s">
        <v>866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81</v>
      </c>
      <c r="N14" s="3">
        <v>46</v>
      </c>
      <c r="O14" s="3">
        <v>529</v>
      </c>
      <c r="P14" s="3">
        <v>3</v>
      </c>
      <c r="Q14" s="3">
        <v>0</v>
      </c>
      <c r="R14" s="3">
        <v>0</v>
      </c>
      <c r="S14" s="3">
        <v>116.9</v>
      </c>
      <c r="T14" s="3">
        <v>0.13410596026490099</v>
      </c>
      <c r="U14" s="3"/>
      <c r="V14" s="3">
        <v>11.5</v>
      </c>
      <c r="W14" s="3"/>
      <c r="X14" s="3"/>
      <c r="Y14" s="3">
        <f t="shared" si="0"/>
        <v>116.9</v>
      </c>
    </row>
    <row r="15" spans="1:25" x14ac:dyDescent="0.2">
      <c r="A15" s="4" t="s">
        <v>879</v>
      </c>
      <c r="B15" s="4" t="s">
        <v>866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3</v>
      </c>
      <c r="O15" s="4">
        <v>30</v>
      </c>
      <c r="P15" s="4">
        <v>0</v>
      </c>
      <c r="Q15" s="4">
        <v>0</v>
      </c>
      <c r="R15" s="4">
        <v>0</v>
      </c>
      <c r="S15" s="4">
        <v>6</v>
      </c>
      <c r="T15" s="4">
        <v>6.6225165562913899E-3</v>
      </c>
      <c r="U15" s="4"/>
      <c r="V15" s="4">
        <v>10</v>
      </c>
      <c r="W15" s="4"/>
      <c r="X15" s="4"/>
      <c r="Y15" s="4">
        <f t="shared" si="0"/>
        <v>6</v>
      </c>
    </row>
    <row r="16" spans="1:25" x14ac:dyDescent="0.2">
      <c r="A16" s="3" t="s">
        <v>880</v>
      </c>
      <c r="B16" s="3" t="s">
        <v>866</v>
      </c>
      <c r="C16" s="3" t="s">
        <v>43</v>
      </c>
      <c r="D16" s="3">
        <v>16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18</v>
      </c>
      <c r="L16" s="3">
        <v>0</v>
      </c>
      <c r="M16" s="3">
        <v>121</v>
      </c>
      <c r="N16" s="3">
        <v>82</v>
      </c>
      <c r="O16" s="3">
        <v>823</v>
      </c>
      <c r="P16" s="3">
        <v>5</v>
      </c>
      <c r="Q16" s="3">
        <v>0</v>
      </c>
      <c r="R16" s="3">
        <v>0</v>
      </c>
      <c r="S16" s="3">
        <v>198.1</v>
      </c>
      <c r="T16" s="3">
        <v>0.20033112582781501</v>
      </c>
      <c r="U16" s="3">
        <v>4.5</v>
      </c>
      <c r="V16" s="3">
        <v>10.0365853658537</v>
      </c>
      <c r="W16" s="3"/>
      <c r="X16" s="3"/>
      <c r="Y16" s="3">
        <f t="shared" si="0"/>
        <v>196.10000000000002</v>
      </c>
    </row>
    <row r="30" spans="1:13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">
      <c r="A31" s="3" t="s">
        <v>866</v>
      </c>
      <c r="B31" s="3">
        <v>6264</v>
      </c>
      <c r="C31" s="3">
        <v>4148</v>
      </c>
      <c r="D31" s="3">
        <v>448</v>
      </c>
      <c r="E31" s="3">
        <v>2116</v>
      </c>
      <c r="F31" s="3">
        <v>16</v>
      </c>
      <c r="G31" s="3">
        <v>1502.32</v>
      </c>
      <c r="H31" s="3">
        <v>596</v>
      </c>
      <c r="I31" s="3">
        <v>0.66107382550335603</v>
      </c>
      <c r="J31" s="3">
        <v>25</v>
      </c>
      <c r="K31" s="3">
        <v>9</v>
      </c>
      <c r="L31" s="3">
        <v>12</v>
      </c>
      <c r="M31" s="3">
        <f ca="1">SUM(INDIRECT(A33 &amp; "_Table1[[#All],[f_custom]]"))</f>
        <v>1498.3200000000002</v>
      </c>
    </row>
    <row r="32" spans="1:13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JAX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881</v>
      </c>
      <c r="B36" s="3" t="s">
        <v>26</v>
      </c>
      <c r="C36" s="3">
        <v>29</v>
      </c>
      <c r="D36" s="3">
        <v>7</v>
      </c>
      <c r="E36" s="3" t="s">
        <v>100</v>
      </c>
      <c r="F36" s="3" t="s">
        <v>866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882</v>
      </c>
      <c r="B37" s="4" t="s">
        <v>26</v>
      </c>
      <c r="C37" s="4">
        <v>23</v>
      </c>
      <c r="D37" s="4">
        <v>3</v>
      </c>
      <c r="E37" s="4" t="s">
        <v>458</v>
      </c>
      <c r="F37" s="4" t="s">
        <v>866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883</v>
      </c>
      <c r="B38" s="3" t="s">
        <v>26</v>
      </c>
      <c r="C38" s="3">
        <v>25</v>
      </c>
      <c r="D38" s="3">
        <v>0</v>
      </c>
      <c r="E38" s="3" t="s">
        <v>884</v>
      </c>
      <c r="F38" s="3" t="s">
        <v>866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885</v>
      </c>
      <c r="B46" s="3" t="s">
        <v>31</v>
      </c>
      <c r="C46" s="3">
        <v>21</v>
      </c>
      <c r="D46" s="3">
        <v>0</v>
      </c>
      <c r="E46" s="3" t="s">
        <v>464</v>
      </c>
      <c r="F46" s="3" t="s">
        <v>866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886</v>
      </c>
      <c r="B47" s="4" t="s">
        <v>31</v>
      </c>
      <c r="C47" s="4">
        <v>23</v>
      </c>
      <c r="D47" s="4">
        <v>2</v>
      </c>
      <c r="E47" s="4" t="s">
        <v>240</v>
      </c>
      <c r="F47" s="4" t="s">
        <v>866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887</v>
      </c>
      <c r="B48" s="3" t="s">
        <v>31</v>
      </c>
      <c r="C48" s="3">
        <v>24</v>
      </c>
      <c r="D48" s="3">
        <v>3</v>
      </c>
      <c r="E48" s="3" t="s">
        <v>458</v>
      </c>
      <c r="F48" s="3" t="s">
        <v>866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888</v>
      </c>
      <c r="B49" s="4" t="s">
        <v>31</v>
      </c>
      <c r="C49" s="4">
        <v>26</v>
      </c>
      <c r="D49" s="4">
        <v>4</v>
      </c>
      <c r="E49" s="4" t="s">
        <v>393</v>
      </c>
      <c r="F49" s="4" t="s">
        <v>866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889</v>
      </c>
      <c r="B50" s="3" t="s">
        <v>31</v>
      </c>
      <c r="C50" s="3">
        <v>27</v>
      </c>
      <c r="D50" s="3">
        <v>5</v>
      </c>
      <c r="E50" s="3" t="s">
        <v>80</v>
      </c>
      <c r="F50" s="3" t="s">
        <v>866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890</v>
      </c>
      <c r="B51" s="4" t="s">
        <v>31</v>
      </c>
      <c r="C51" s="4">
        <v>26</v>
      </c>
      <c r="D51" s="4">
        <v>4</v>
      </c>
      <c r="E51" s="4" t="s">
        <v>74</v>
      </c>
      <c r="F51" s="4" t="s">
        <v>866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891</v>
      </c>
      <c r="B61" s="3" t="s">
        <v>43</v>
      </c>
      <c r="C61" s="3">
        <v>28</v>
      </c>
      <c r="D61" s="3">
        <v>7</v>
      </c>
      <c r="E61" s="3" t="s">
        <v>211</v>
      </c>
      <c r="F61" s="3" t="s">
        <v>866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7">($J61*0.04)+($K61*4)+($L61*-2)+($N61*0.1)+($O61*6)+($Q61)+($R61*0.1)+($S61*6)+($T61*-2)</f>
        <v>0</v>
      </c>
      <c r="W61" s="3" t="e">
        <f t="shared" ref="W61:W73" ca="1" si="8">$P61/$H$33</f>
        <v>#DIV/0!</v>
      </c>
      <c r="X61" s="3" t="e">
        <f t="shared" ref="X61:X73" si="9">$N61/$M61</f>
        <v>#DIV/0!</v>
      </c>
      <c r="Y61" s="3" t="e">
        <f t="shared" ref="Y61:Y73" si="10">$R61/$Q61</f>
        <v>#DIV/0!</v>
      </c>
      <c r="Z61" s="3" t="e">
        <f t="shared" ref="Z61:Z73" si="11">$I61/$H61</f>
        <v>#DIV/0!</v>
      </c>
      <c r="AA61" s="3" t="e">
        <f>$K61/$H61</f>
        <v>#DIV/0!</v>
      </c>
      <c r="AB61" s="3">
        <f t="shared" ref="AB61:AB73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892</v>
      </c>
      <c r="B62" s="4" t="s">
        <v>43</v>
      </c>
      <c r="C62" s="4">
        <v>23</v>
      </c>
      <c r="D62" s="4">
        <v>1</v>
      </c>
      <c r="E62" s="4" t="s">
        <v>362</v>
      </c>
      <c r="F62" s="4" t="s">
        <v>866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893</v>
      </c>
      <c r="B63" s="3" t="s">
        <v>43</v>
      </c>
      <c r="C63" s="3">
        <v>24</v>
      </c>
      <c r="D63" s="3">
        <v>0</v>
      </c>
      <c r="E63" s="3" t="s">
        <v>894</v>
      </c>
      <c r="F63" s="3" t="s">
        <v>866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895</v>
      </c>
      <c r="B64" s="4" t="s">
        <v>43</v>
      </c>
      <c r="C64" s="4">
        <v>26</v>
      </c>
      <c r="D64" s="4">
        <v>3</v>
      </c>
      <c r="E64" s="4" t="s">
        <v>282</v>
      </c>
      <c r="F64" s="4" t="s">
        <v>866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896</v>
      </c>
      <c r="B65" s="3" t="s">
        <v>43</v>
      </c>
      <c r="C65" s="3">
        <v>23</v>
      </c>
      <c r="D65" s="3">
        <v>0</v>
      </c>
      <c r="E65" s="3" t="s">
        <v>227</v>
      </c>
      <c r="F65" s="3" t="s">
        <v>866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897</v>
      </c>
      <c r="B66" s="4" t="s">
        <v>43</v>
      </c>
      <c r="C66" s="4">
        <v>25</v>
      </c>
      <c r="D66" s="4">
        <v>2</v>
      </c>
      <c r="E66" s="4" t="s">
        <v>898</v>
      </c>
      <c r="F66" s="4" t="s">
        <v>866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899</v>
      </c>
      <c r="B67" s="3" t="s">
        <v>43</v>
      </c>
      <c r="C67" s="3">
        <v>28</v>
      </c>
      <c r="D67" s="3">
        <v>7</v>
      </c>
      <c r="E67" s="3" t="s">
        <v>220</v>
      </c>
      <c r="F67" s="3" t="s">
        <v>866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900</v>
      </c>
      <c r="B68" s="4" t="s">
        <v>43</v>
      </c>
      <c r="C68" s="4">
        <v>26</v>
      </c>
      <c r="D68" s="4">
        <v>6</v>
      </c>
      <c r="E68" s="4" t="s">
        <v>307</v>
      </c>
      <c r="F68" s="4" t="s">
        <v>866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901</v>
      </c>
      <c r="B69" s="3" t="s">
        <v>43</v>
      </c>
      <c r="C69" s="3">
        <v>24</v>
      </c>
      <c r="D69" s="3">
        <v>0</v>
      </c>
      <c r="E69" s="3" t="s">
        <v>248</v>
      </c>
      <c r="F69" s="3" t="s">
        <v>866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902</v>
      </c>
      <c r="B70" s="4" t="s">
        <v>43</v>
      </c>
      <c r="C70" s="4">
        <v>25</v>
      </c>
      <c r="D70" s="4">
        <v>2</v>
      </c>
      <c r="E70" s="4" t="s">
        <v>72</v>
      </c>
      <c r="F70" s="4" t="s">
        <v>866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903</v>
      </c>
      <c r="B71" s="3" t="s">
        <v>43</v>
      </c>
      <c r="C71" s="3">
        <v>28</v>
      </c>
      <c r="D71" s="3">
        <v>5</v>
      </c>
      <c r="E71" s="3" t="s">
        <v>153</v>
      </c>
      <c r="F71" s="3" t="s">
        <v>866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904</v>
      </c>
      <c r="B72" s="4" t="s">
        <v>43</v>
      </c>
      <c r="C72" s="4">
        <v>21</v>
      </c>
      <c r="D72" s="4">
        <v>0</v>
      </c>
      <c r="E72" s="4" t="s">
        <v>339</v>
      </c>
      <c r="F72" s="4" t="s">
        <v>866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3" spans="1:28" x14ac:dyDescent="0.2">
      <c r="A73" s="3" t="s">
        <v>905</v>
      </c>
      <c r="B73" s="3" t="s">
        <v>43</v>
      </c>
      <c r="C73" s="3">
        <v>23</v>
      </c>
      <c r="D73" s="3">
        <v>1</v>
      </c>
      <c r="E73" s="3" t="s">
        <v>464</v>
      </c>
      <c r="F73" s="3" t="s">
        <v>866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7"/>
        <v>0</v>
      </c>
      <c r="W73" s="3" t="e">
        <f t="shared" ca="1" si="8"/>
        <v>#DIV/0!</v>
      </c>
      <c r="X73" s="3" t="e">
        <f t="shared" si="9"/>
        <v>#DIV/0!</v>
      </c>
      <c r="Y73" s="3" t="e">
        <f t="shared" si="10"/>
        <v>#DIV/0!</v>
      </c>
      <c r="Z73" s="3" t="e">
        <f t="shared" si="11"/>
        <v>#DIV/0!</v>
      </c>
      <c r="AA73" s="3" t="e">
        <f>$K73/$H73</f>
        <v>#DIV/0!</v>
      </c>
      <c r="AB73" s="3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906</v>
      </c>
      <c r="B76" s="3" t="s">
        <v>38</v>
      </c>
      <c r="C76" s="3">
        <v>28</v>
      </c>
      <c r="D76" s="3">
        <v>7</v>
      </c>
      <c r="E76" s="3" t="s">
        <v>240</v>
      </c>
      <c r="F76" s="3" t="s">
        <v>866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3">($J76*0.04)+($K76*4)+($L76*-2)+($N76*0.1)+($O76*6)+($Q76)+($R76*0.1)+($S76*6)+($T76*-2)</f>
        <v>0</v>
      </c>
      <c r="W76" s="3" t="e">
        <f t="shared" ref="W76:W82" ca="1" si="14">$P76/$H$33</f>
        <v>#DIV/0!</v>
      </c>
      <c r="X76" s="3" t="e">
        <f t="shared" ref="X76:X82" si="15">$N76/$M76</f>
        <v>#DIV/0!</v>
      </c>
      <c r="Y76" s="3" t="e">
        <f t="shared" ref="Y76:Y82" si="16">$R76/$Q76</f>
        <v>#DIV/0!</v>
      </c>
      <c r="Z76" s="3" t="e">
        <f t="shared" ref="Z76:Z82" si="17">$I76/$H76</f>
        <v>#DIV/0!</v>
      </c>
      <c r="AA76" s="3" t="e">
        <f>$K76/$H76</f>
        <v>#DIV/0!</v>
      </c>
      <c r="AB76" s="3">
        <f t="shared" ref="AB76:AB82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907</v>
      </c>
      <c r="B77" s="4" t="s">
        <v>38</v>
      </c>
      <c r="C77" s="4">
        <v>25</v>
      </c>
      <c r="D77" s="4">
        <v>3</v>
      </c>
      <c r="E77" s="4" t="s">
        <v>213</v>
      </c>
      <c r="F77" s="4" t="s">
        <v>866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908</v>
      </c>
      <c r="B78" s="3" t="s">
        <v>38</v>
      </c>
      <c r="C78" s="3">
        <v>25</v>
      </c>
      <c r="D78" s="3">
        <v>1</v>
      </c>
      <c r="E78" s="3" t="s">
        <v>909</v>
      </c>
      <c r="F78" s="3" t="s">
        <v>866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910</v>
      </c>
      <c r="B79" s="4" t="s">
        <v>38</v>
      </c>
      <c r="C79" s="4">
        <v>25</v>
      </c>
      <c r="D79" s="4">
        <v>1</v>
      </c>
      <c r="E79" s="4" t="s">
        <v>335</v>
      </c>
      <c r="F79" s="4" t="s">
        <v>866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911</v>
      </c>
      <c r="B80" s="3" t="s">
        <v>38</v>
      </c>
      <c r="C80" s="3">
        <v>27</v>
      </c>
      <c r="D80" s="3">
        <v>2</v>
      </c>
      <c r="E80" s="3" t="s">
        <v>912</v>
      </c>
      <c r="F80" s="3" t="s">
        <v>866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913</v>
      </c>
      <c r="B81" s="4" t="s">
        <v>38</v>
      </c>
      <c r="C81" s="4">
        <v>22</v>
      </c>
      <c r="D81" s="4">
        <v>0</v>
      </c>
      <c r="E81" s="4" t="s">
        <v>339</v>
      </c>
      <c r="F81" s="4" t="s">
        <v>866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  <row r="82" spans="1:28" x14ac:dyDescent="0.2">
      <c r="A82" s="3" t="s">
        <v>914</v>
      </c>
      <c r="B82" s="3" t="s">
        <v>38</v>
      </c>
      <c r="C82" s="3">
        <v>23</v>
      </c>
      <c r="D82" s="3">
        <v>0</v>
      </c>
      <c r="E82" s="3" t="s">
        <v>136</v>
      </c>
      <c r="F82" s="3" t="s">
        <v>866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3"/>
        <v>0</v>
      </c>
      <c r="W82" s="3" t="e">
        <f t="shared" ca="1" si="14"/>
        <v>#DIV/0!</v>
      </c>
      <c r="X82" s="3" t="e">
        <f t="shared" si="15"/>
        <v>#DIV/0!</v>
      </c>
      <c r="Y82" s="3" t="e">
        <f t="shared" si="16"/>
        <v>#DIV/0!</v>
      </c>
      <c r="Z82" s="3" t="e">
        <f t="shared" si="17"/>
        <v>#DIV/0!</v>
      </c>
      <c r="AA82" s="3" t="e">
        <f>$K82/$H82</f>
        <v>#DIV/0!</v>
      </c>
      <c r="AB82" s="3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B82"/>
  <sheetViews>
    <sheetView zoomScale="90" zoomScaleNormal="90" workbookViewId="0">
      <selection activeCell="A19" sqref="A19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915</v>
      </c>
      <c r="B2" s="3" t="s">
        <v>916</v>
      </c>
      <c r="C2" s="3" t="s">
        <v>115</v>
      </c>
      <c r="D2" s="3">
        <v>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5</v>
      </c>
      <c r="K2" s="3">
        <v>7</v>
      </c>
      <c r="L2" s="3">
        <v>0</v>
      </c>
      <c r="M2" s="3">
        <v>3</v>
      </c>
      <c r="N2" s="3">
        <v>2</v>
      </c>
      <c r="O2" s="3">
        <v>11</v>
      </c>
      <c r="P2" s="3">
        <v>0</v>
      </c>
      <c r="Q2" s="3">
        <v>0</v>
      </c>
      <c r="R2" s="3">
        <v>0</v>
      </c>
      <c r="S2" s="3">
        <v>3.8</v>
      </c>
      <c r="T2" s="3">
        <v>5.0335570469798698E-3</v>
      </c>
      <c r="U2" s="3">
        <v>1.4</v>
      </c>
      <c r="V2" s="3">
        <v>5.5</v>
      </c>
      <c r="W2" s="3"/>
      <c r="X2" s="3"/>
      <c r="Y2" s="3">
        <f t="shared" ref="Y2:Y18" si="0">($G2*Cp_yd)+($H2*Cp_td)+($I2*Cint)+($J2*Ccar)+($K2*Cr_yd)+($L2*Cr_td)+($N2*Crec)+($O2*Crec_yd)+($P2*Crec_td)+($Q2*Cfmb)+($R2*Ctp_c)</f>
        <v>3.8000000000000003</v>
      </c>
    </row>
    <row r="3" spans="1:25" x14ac:dyDescent="0.2">
      <c r="A3" s="4" t="s">
        <v>917</v>
      </c>
      <c r="B3" s="4" t="s">
        <v>916</v>
      </c>
      <c r="C3" s="4" t="s">
        <v>26</v>
      </c>
      <c r="D3" s="4">
        <v>2</v>
      </c>
      <c r="E3" s="4">
        <v>2</v>
      </c>
      <c r="F3" s="4">
        <v>0</v>
      </c>
      <c r="G3" s="4">
        <v>0</v>
      </c>
      <c r="H3" s="4">
        <v>0</v>
      </c>
      <c r="I3" s="4">
        <v>0</v>
      </c>
      <c r="J3" s="4">
        <v>5</v>
      </c>
      <c r="K3" s="4">
        <v>-5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-0.5</v>
      </c>
      <c r="T3" s="4">
        <v>0</v>
      </c>
      <c r="U3" s="4">
        <v>-1</v>
      </c>
      <c r="V3" s="4"/>
      <c r="W3" s="4">
        <v>0</v>
      </c>
      <c r="X3" s="4">
        <v>0</v>
      </c>
      <c r="Y3" s="4">
        <f t="shared" si="0"/>
        <v>-0.5</v>
      </c>
    </row>
    <row r="4" spans="1:25" x14ac:dyDescent="0.2">
      <c r="A4" s="3" t="s">
        <v>918</v>
      </c>
      <c r="B4" s="3" t="s">
        <v>916</v>
      </c>
      <c r="C4" s="3" t="s">
        <v>26</v>
      </c>
      <c r="D4" s="3">
        <v>17</v>
      </c>
      <c r="E4" s="3">
        <v>648</v>
      </c>
      <c r="F4" s="3">
        <v>435</v>
      </c>
      <c r="G4" s="3">
        <v>5250</v>
      </c>
      <c r="H4" s="3">
        <v>41</v>
      </c>
      <c r="I4" s="3">
        <v>12</v>
      </c>
      <c r="J4" s="3">
        <v>61</v>
      </c>
      <c r="K4" s="3">
        <v>358</v>
      </c>
      <c r="L4" s="3">
        <v>4</v>
      </c>
      <c r="M4" s="3">
        <v>1</v>
      </c>
      <c r="N4" s="3">
        <v>1</v>
      </c>
      <c r="O4" s="3">
        <v>6</v>
      </c>
      <c r="P4" s="3">
        <v>0</v>
      </c>
      <c r="Q4" s="3">
        <v>0</v>
      </c>
      <c r="R4" s="3">
        <v>3</v>
      </c>
      <c r="S4" s="3">
        <v>417.4</v>
      </c>
      <c r="T4" s="3">
        <v>1.6778523489932901E-3</v>
      </c>
      <c r="U4" s="3">
        <v>5.8688524590163897</v>
      </c>
      <c r="V4" s="3">
        <v>6</v>
      </c>
      <c r="W4" s="3">
        <v>0.67129629629629595</v>
      </c>
      <c r="X4" s="3">
        <v>6.3271604938271594E-2</v>
      </c>
      <c r="Y4" s="3">
        <f t="shared" si="0"/>
        <v>417.40000000000003</v>
      </c>
    </row>
    <row r="5" spans="1:25" x14ac:dyDescent="0.2">
      <c r="A5" s="4" t="s">
        <v>919</v>
      </c>
      <c r="B5" s="4" t="s">
        <v>916</v>
      </c>
      <c r="C5" s="4" t="s">
        <v>31</v>
      </c>
      <c r="D5" s="4">
        <v>10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71</v>
      </c>
      <c r="K5" s="4">
        <v>302</v>
      </c>
      <c r="L5" s="4">
        <v>3</v>
      </c>
      <c r="M5" s="4">
        <v>23</v>
      </c>
      <c r="N5" s="4">
        <v>17</v>
      </c>
      <c r="O5" s="4">
        <v>151</v>
      </c>
      <c r="P5" s="4">
        <v>3</v>
      </c>
      <c r="Q5" s="4">
        <v>0</v>
      </c>
      <c r="R5" s="4">
        <v>0</v>
      </c>
      <c r="S5" s="4">
        <v>98.3</v>
      </c>
      <c r="T5" s="4">
        <v>3.8590604026845603E-2</v>
      </c>
      <c r="U5" s="4">
        <v>4.2535211267605604</v>
      </c>
      <c r="V5" s="4">
        <v>8.8823529411764692</v>
      </c>
      <c r="W5" s="4"/>
      <c r="X5" s="4"/>
      <c r="Y5" s="4">
        <f t="shared" si="0"/>
        <v>98.300000000000011</v>
      </c>
    </row>
    <row r="6" spans="1:25" x14ac:dyDescent="0.2">
      <c r="A6" s="3" t="s">
        <v>920</v>
      </c>
      <c r="B6" s="3" t="s">
        <v>916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170</v>
      </c>
      <c r="K6" s="3">
        <v>830</v>
      </c>
      <c r="L6" s="3">
        <v>5</v>
      </c>
      <c r="M6" s="3">
        <v>14</v>
      </c>
      <c r="N6" s="3">
        <v>13</v>
      </c>
      <c r="O6" s="3">
        <v>130</v>
      </c>
      <c r="P6" s="3">
        <v>0</v>
      </c>
      <c r="Q6" s="3">
        <v>2</v>
      </c>
      <c r="R6" s="3">
        <v>0</v>
      </c>
      <c r="S6" s="3">
        <v>135</v>
      </c>
      <c r="T6" s="3">
        <v>2.3489932885905999E-2</v>
      </c>
      <c r="U6" s="3">
        <v>4.8823529411764701</v>
      </c>
      <c r="V6" s="3">
        <v>10</v>
      </c>
      <c r="W6" s="3"/>
      <c r="X6" s="3"/>
      <c r="Y6" s="3">
        <f t="shared" si="0"/>
        <v>135</v>
      </c>
    </row>
    <row r="7" spans="1:25" x14ac:dyDescent="0.2">
      <c r="A7" s="4" t="s">
        <v>921</v>
      </c>
      <c r="B7" s="4" t="s">
        <v>916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72</v>
      </c>
      <c r="K7" s="4">
        <v>291</v>
      </c>
      <c r="L7" s="4">
        <v>1</v>
      </c>
      <c r="M7" s="4">
        <v>71</v>
      </c>
      <c r="N7" s="4">
        <v>56</v>
      </c>
      <c r="O7" s="4">
        <v>512</v>
      </c>
      <c r="P7" s="4">
        <v>9</v>
      </c>
      <c r="Q7" s="4">
        <v>0</v>
      </c>
      <c r="R7" s="4">
        <v>0</v>
      </c>
      <c r="S7" s="4">
        <v>196.3</v>
      </c>
      <c r="T7" s="4">
        <v>0.119127516778523</v>
      </c>
      <c r="U7" s="4">
        <v>4.0416666666666696</v>
      </c>
      <c r="V7" s="4">
        <v>9.1428571428571406</v>
      </c>
      <c r="W7" s="4"/>
      <c r="X7" s="4"/>
      <c r="Y7" s="4">
        <f t="shared" si="0"/>
        <v>196.3</v>
      </c>
    </row>
    <row r="8" spans="1:25" x14ac:dyDescent="0.2">
      <c r="A8" s="3" t="s">
        <v>922</v>
      </c>
      <c r="B8" s="3" t="s">
        <v>916</v>
      </c>
      <c r="C8" s="3" t="s">
        <v>31</v>
      </c>
      <c r="D8" s="3">
        <v>5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70</v>
      </c>
      <c r="L8" s="3">
        <v>1</v>
      </c>
      <c r="M8" s="3">
        <v>1</v>
      </c>
      <c r="N8" s="3">
        <v>1</v>
      </c>
      <c r="O8" s="3">
        <v>22</v>
      </c>
      <c r="P8" s="3">
        <v>0</v>
      </c>
      <c r="Q8" s="3">
        <v>0</v>
      </c>
      <c r="R8" s="3">
        <v>0</v>
      </c>
      <c r="S8" s="3">
        <v>16.2</v>
      </c>
      <c r="T8" s="3">
        <v>1.6778523489932901E-3</v>
      </c>
      <c r="U8" s="3">
        <v>4.1176470588235299</v>
      </c>
      <c r="V8" s="3">
        <v>22</v>
      </c>
      <c r="W8" s="3"/>
      <c r="X8" s="3"/>
      <c r="Y8" s="3">
        <f t="shared" si="0"/>
        <v>16.2</v>
      </c>
    </row>
    <row r="9" spans="1:25" x14ac:dyDescent="0.2">
      <c r="A9" s="4" t="s">
        <v>923</v>
      </c>
      <c r="B9" s="4" t="s">
        <v>916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</v>
      </c>
      <c r="N9" s="4">
        <v>2</v>
      </c>
      <c r="O9" s="4">
        <v>20</v>
      </c>
      <c r="P9" s="4">
        <v>1</v>
      </c>
      <c r="Q9" s="4">
        <v>0</v>
      </c>
      <c r="R9" s="4">
        <v>0</v>
      </c>
      <c r="S9" s="4">
        <v>10</v>
      </c>
      <c r="T9" s="4">
        <v>3.3557046979865801E-3</v>
      </c>
      <c r="U9" s="4"/>
      <c r="V9" s="4">
        <v>10</v>
      </c>
      <c r="W9" s="4"/>
      <c r="X9" s="4"/>
      <c r="Y9" s="4">
        <f t="shared" si="0"/>
        <v>10</v>
      </c>
    </row>
    <row r="10" spans="1:25" x14ac:dyDescent="0.2">
      <c r="A10" s="3" t="s">
        <v>924</v>
      </c>
      <c r="B10" s="3" t="s">
        <v>916</v>
      </c>
      <c r="C10" s="3" t="s">
        <v>38</v>
      </c>
      <c r="D10" s="3">
        <v>9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13</v>
      </c>
      <c r="N10" s="3">
        <v>9</v>
      </c>
      <c r="O10" s="3">
        <v>108</v>
      </c>
      <c r="P10" s="3">
        <v>2</v>
      </c>
      <c r="Q10" s="3">
        <v>0</v>
      </c>
      <c r="R10" s="3">
        <v>0</v>
      </c>
      <c r="S10" s="3">
        <v>31.8</v>
      </c>
      <c r="T10" s="3">
        <v>2.18120805369128E-2</v>
      </c>
      <c r="U10" s="3"/>
      <c r="V10" s="3">
        <v>12</v>
      </c>
      <c r="W10" s="3"/>
      <c r="X10" s="3"/>
      <c r="Y10" s="3">
        <f t="shared" si="0"/>
        <v>31.8</v>
      </c>
    </row>
    <row r="11" spans="1:25" x14ac:dyDescent="0.2">
      <c r="A11" s="4" t="s">
        <v>925</v>
      </c>
      <c r="B11" s="4" t="s">
        <v>916</v>
      </c>
      <c r="C11" s="4" t="s">
        <v>38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1</v>
      </c>
      <c r="L11" s="4">
        <v>1</v>
      </c>
      <c r="M11" s="4">
        <v>34</v>
      </c>
      <c r="N11" s="4">
        <v>28</v>
      </c>
      <c r="O11" s="4">
        <v>299</v>
      </c>
      <c r="P11" s="4">
        <v>1</v>
      </c>
      <c r="Q11" s="4">
        <v>0</v>
      </c>
      <c r="R11" s="4">
        <v>0</v>
      </c>
      <c r="S11" s="4">
        <v>70</v>
      </c>
      <c r="T11" s="4">
        <v>5.7046979865771799E-2</v>
      </c>
      <c r="U11" s="4">
        <v>1</v>
      </c>
      <c r="V11" s="4">
        <v>10.6785714285714</v>
      </c>
      <c r="W11" s="4"/>
      <c r="X11" s="4"/>
      <c r="Y11" s="4">
        <f t="shared" si="0"/>
        <v>70</v>
      </c>
    </row>
    <row r="12" spans="1:25" x14ac:dyDescent="0.2">
      <c r="A12" s="3" t="s">
        <v>926</v>
      </c>
      <c r="B12" s="3" t="s">
        <v>916</v>
      </c>
      <c r="C12" s="3" t="s">
        <v>38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5</v>
      </c>
      <c r="L12" s="3">
        <v>0</v>
      </c>
      <c r="M12" s="3">
        <v>152</v>
      </c>
      <c r="N12" s="3">
        <v>110</v>
      </c>
      <c r="O12" s="3">
        <v>1338</v>
      </c>
      <c r="P12" s="3">
        <v>12</v>
      </c>
      <c r="Q12" s="3">
        <v>0</v>
      </c>
      <c r="R12" s="3">
        <v>0</v>
      </c>
      <c r="S12" s="3">
        <v>316.3</v>
      </c>
      <c r="T12" s="3">
        <v>0.25503355704698</v>
      </c>
      <c r="U12" s="3">
        <v>2.5</v>
      </c>
      <c r="V12" s="3">
        <v>12.1636363636364</v>
      </c>
      <c r="W12" s="3"/>
      <c r="X12" s="3"/>
      <c r="Y12" s="3">
        <f t="shared" si="0"/>
        <v>316.3</v>
      </c>
    </row>
    <row r="13" spans="1:25" x14ac:dyDescent="0.2">
      <c r="A13" s="4" t="s">
        <v>927</v>
      </c>
      <c r="B13" s="4" t="s">
        <v>916</v>
      </c>
      <c r="C13" s="4" t="s">
        <v>43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101</v>
      </c>
      <c r="N13" s="4">
        <v>78</v>
      </c>
      <c r="O13" s="4">
        <v>933</v>
      </c>
      <c r="P13" s="4">
        <v>3</v>
      </c>
      <c r="Q13" s="4">
        <v>0</v>
      </c>
      <c r="R13" s="4">
        <v>0</v>
      </c>
      <c r="S13" s="4">
        <v>185.3</v>
      </c>
      <c r="T13" s="4">
        <v>0.16946308724832199</v>
      </c>
      <c r="U13" s="4"/>
      <c r="V13" s="4">
        <v>11.961538461538501</v>
      </c>
      <c r="W13" s="4"/>
      <c r="X13" s="4"/>
      <c r="Y13" s="4">
        <f t="shared" si="0"/>
        <v>189.3</v>
      </c>
    </row>
    <row r="14" spans="1:25" x14ac:dyDescent="0.2">
      <c r="A14" s="3" t="s">
        <v>928</v>
      </c>
      <c r="B14" s="3" t="s">
        <v>916</v>
      </c>
      <c r="C14" s="3" t="s">
        <v>43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34</v>
      </c>
      <c r="N14" s="3">
        <v>15</v>
      </c>
      <c r="O14" s="3">
        <v>315</v>
      </c>
      <c r="P14" s="3">
        <v>2</v>
      </c>
      <c r="Q14" s="3">
        <v>0</v>
      </c>
      <c r="R14" s="3">
        <v>0</v>
      </c>
      <c r="S14" s="3">
        <v>58.5</v>
      </c>
      <c r="T14" s="3">
        <v>5.7046979865771799E-2</v>
      </c>
      <c r="U14" s="3"/>
      <c r="V14" s="3">
        <v>21</v>
      </c>
      <c r="W14" s="3"/>
      <c r="X14" s="3"/>
      <c r="Y14" s="3">
        <f t="shared" si="0"/>
        <v>58.5</v>
      </c>
    </row>
    <row r="15" spans="1:25" x14ac:dyDescent="0.2">
      <c r="A15" s="4" t="s">
        <v>929</v>
      </c>
      <c r="B15" s="4" t="s">
        <v>916</v>
      </c>
      <c r="C15" s="4" t="s">
        <v>43</v>
      </c>
      <c r="D15" s="4">
        <v>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5</v>
      </c>
      <c r="K15" s="4">
        <v>59</v>
      </c>
      <c r="L15" s="4">
        <v>1</v>
      </c>
      <c r="M15" s="4">
        <v>17</v>
      </c>
      <c r="N15" s="4">
        <v>14</v>
      </c>
      <c r="O15" s="4">
        <v>171</v>
      </c>
      <c r="P15" s="4">
        <v>2</v>
      </c>
      <c r="Q15" s="4">
        <v>0</v>
      </c>
      <c r="R15" s="4">
        <v>0</v>
      </c>
      <c r="S15" s="4">
        <v>55</v>
      </c>
      <c r="T15" s="4">
        <v>2.85234899328859E-2</v>
      </c>
      <c r="U15" s="4">
        <v>11.8</v>
      </c>
      <c r="V15" s="4">
        <v>12.214285714285699</v>
      </c>
      <c r="W15" s="4"/>
      <c r="X15" s="4"/>
      <c r="Y15" s="4">
        <f t="shared" si="0"/>
        <v>55</v>
      </c>
    </row>
    <row r="16" spans="1:25" x14ac:dyDescent="0.2">
      <c r="A16" s="3" t="s">
        <v>930</v>
      </c>
      <c r="B16" s="3" t="s">
        <v>916</v>
      </c>
      <c r="C16" s="3" t="s">
        <v>43</v>
      </c>
      <c r="D16" s="3">
        <v>8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31</v>
      </c>
      <c r="L16" s="3">
        <v>2</v>
      </c>
      <c r="M16" s="3">
        <v>34</v>
      </c>
      <c r="N16" s="3">
        <v>25</v>
      </c>
      <c r="O16" s="3">
        <v>297</v>
      </c>
      <c r="P16" s="3">
        <v>4</v>
      </c>
      <c r="Q16" s="3">
        <v>0</v>
      </c>
      <c r="R16" s="3">
        <v>0</v>
      </c>
      <c r="S16" s="3">
        <v>93.8</v>
      </c>
      <c r="T16" s="3">
        <v>5.7046979865771799E-2</v>
      </c>
      <c r="U16" s="3">
        <v>7.75</v>
      </c>
      <c r="V16" s="3">
        <v>11.88</v>
      </c>
      <c r="W16" s="3"/>
      <c r="X16" s="3"/>
      <c r="Y16" s="3">
        <f t="shared" si="0"/>
        <v>93.800000000000011</v>
      </c>
    </row>
    <row r="17" spans="1:25" x14ac:dyDescent="0.2">
      <c r="A17" s="4" t="s">
        <v>931</v>
      </c>
      <c r="B17" s="4" t="s">
        <v>916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-3</v>
      </c>
      <c r="L17" s="4">
        <v>0</v>
      </c>
      <c r="M17" s="4">
        <v>81</v>
      </c>
      <c r="N17" s="4">
        <v>42</v>
      </c>
      <c r="O17" s="4">
        <v>687</v>
      </c>
      <c r="P17" s="4">
        <v>2</v>
      </c>
      <c r="Q17" s="4">
        <v>0</v>
      </c>
      <c r="R17" s="4">
        <v>0</v>
      </c>
      <c r="S17" s="4">
        <v>122.4</v>
      </c>
      <c r="T17" s="4">
        <v>0.13590604026845601</v>
      </c>
      <c r="U17" s="4">
        <v>-3</v>
      </c>
      <c r="V17" s="4">
        <v>16.3571428571429</v>
      </c>
      <c r="W17" s="4"/>
      <c r="X17" s="4"/>
      <c r="Y17" s="4">
        <f t="shared" si="0"/>
        <v>122.4</v>
      </c>
    </row>
    <row r="18" spans="1:25" x14ac:dyDescent="0.2">
      <c r="A18" s="3" t="s">
        <v>932</v>
      </c>
      <c r="B18" s="3" t="s">
        <v>916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24</v>
      </c>
      <c r="L18" s="3">
        <v>0</v>
      </c>
      <c r="M18" s="3">
        <v>33</v>
      </c>
      <c r="N18" s="3">
        <v>22</v>
      </c>
      <c r="O18" s="3">
        <v>250</v>
      </c>
      <c r="P18" s="3">
        <v>0</v>
      </c>
      <c r="Q18" s="3">
        <v>0</v>
      </c>
      <c r="R18" s="3">
        <v>0</v>
      </c>
      <c r="S18" s="3">
        <v>49.4</v>
      </c>
      <c r="T18" s="3">
        <v>5.5369127516778499E-2</v>
      </c>
      <c r="U18" s="3">
        <v>8</v>
      </c>
      <c r="V18" s="3">
        <v>11.363636363636401</v>
      </c>
      <c r="W18" s="3"/>
      <c r="X18" s="3"/>
      <c r="Y18" s="3">
        <f t="shared" si="0"/>
        <v>49.4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916</v>
      </c>
      <c r="B31" s="3">
        <v>7220</v>
      </c>
      <c r="C31" s="3">
        <v>5250</v>
      </c>
      <c r="D31" s="3">
        <v>417</v>
      </c>
      <c r="E31" s="3">
        <v>1970</v>
      </c>
      <c r="F31" s="3">
        <v>18</v>
      </c>
      <c r="G31" s="3">
        <v>1859</v>
      </c>
      <c r="H31" s="3">
        <v>650</v>
      </c>
      <c r="I31" s="3">
        <v>0.66923076923076896</v>
      </c>
      <c r="J31" s="3">
        <v>41</v>
      </c>
      <c r="K31" s="3">
        <v>12</v>
      </c>
      <c r="L31" s="3">
        <v>2</v>
      </c>
      <c r="M31" s="3">
        <f ca="1">SUM(INDIRECT(A33 &amp; "_Table1[[#All],[f_custom]]"))</f>
        <v>1863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KC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933</v>
      </c>
      <c r="B36" s="3" t="s">
        <v>26</v>
      </c>
      <c r="C36" s="3">
        <v>25</v>
      </c>
      <c r="D36" s="3">
        <v>3</v>
      </c>
      <c r="E36" s="3" t="s">
        <v>237</v>
      </c>
      <c r="F36" s="3" t="s">
        <v>916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($J36*Cp_yd)+($K36*Cp_td)+($L36*Cint)+($M36*Ccar)+($N36*Cr_td)+($O36*Cr_yd)+(Q36*Crec)+($R36*Crec_yd)+($S36*Crec_td)+($T36*Cfmb)+($U36*Ctp_c)</f>
        <v>0</v>
      </c>
    </row>
    <row r="37" spans="1:28" x14ac:dyDescent="0.2">
      <c r="A37" s="4" t="s">
        <v>934</v>
      </c>
      <c r="B37" s="4" t="s">
        <v>26</v>
      </c>
      <c r="C37" s="4">
        <v>33</v>
      </c>
      <c r="D37" s="4">
        <v>13</v>
      </c>
      <c r="E37" s="4" t="s">
        <v>613</v>
      </c>
      <c r="F37" s="4" t="s">
        <v>916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($J37*Cp_yd)+($K37*Cp_td)+($L37*Cint)+($M37*Ccar)+($N37*Cr_td)+($O37*Cr_yd)+(Q37*Crec)+($R37*Crec_yd)+($S37*Crec_td)+($T37*Cfmb)+($U37*Ctp_c)</f>
        <v>0</v>
      </c>
    </row>
    <row r="38" spans="1:28" x14ac:dyDescent="0.2">
      <c r="A38" s="3" t="s">
        <v>935</v>
      </c>
      <c r="B38" s="3" t="s">
        <v>26</v>
      </c>
      <c r="C38" s="3">
        <v>27</v>
      </c>
      <c r="D38" s="3">
        <v>7</v>
      </c>
      <c r="E38" s="3" t="s">
        <v>511</v>
      </c>
      <c r="F38" s="3" t="s">
        <v>916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($J38*Cp_yd)+($K38*Cp_td)+($L38*Cint)+($M38*Ccar)+($N38*Cr_td)+($O38*Cr_yd)+(Q38*Crec)+($R38*Crec_yd)+($S38*Crec_td)+($T38*Cfmb)+($U38*Ctp_c)</f>
        <v>0</v>
      </c>
    </row>
    <row r="39" spans="1:28" x14ac:dyDescent="0.2">
      <c r="A39" s="4" t="s">
        <v>936</v>
      </c>
      <c r="B39" s="4" t="s">
        <v>26</v>
      </c>
      <c r="C39" s="4">
        <v>25</v>
      </c>
      <c r="D39" s="4">
        <v>1</v>
      </c>
      <c r="E39" s="4" t="s">
        <v>753</v>
      </c>
      <c r="F39" s="4" t="s">
        <v>916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($J39*Cp_yd)+($K39*Cp_td)+($L39*Cint)+($M39*Ccar)+($N39*Cr_td)+($O39*Cr_yd)+(Q39*Crec)+($R39*Crec_yd)+($S39*Crec_td)+($T39*Cfmb)+($U39*Ctp_c)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937</v>
      </c>
      <c r="B46" s="3" t="s">
        <v>31</v>
      </c>
      <c r="C46" s="3">
        <v>24</v>
      </c>
      <c r="D46" s="3">
        <v>4</v>
      </c>
      <c r="E46" s="3" t="s">
        <v>227</v>
      </c>
      <c r="F46" s="3" t="s">
        <v>916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$K46/$H46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">
      <c r="A47" s="4" t="s">
        <v>938</v>
      </c>
      <c r="B47" s="4" t="s">
        <v>31</v>
      </c>
      <c r="C47" s="4">
        <v>31</v>
      </c>
      <c r="D47" s="4">
        <v>10</v>
      </c>
      <c r="E47" s="4" t="s">
        <v>939</v>
      </c>
      <c r="F47" s="4" t="s">
        <v>916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$K47/$H47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">
      <c r="A48" s="3" t="s">
        <v>940</v>
      </c>
      <c r="B48" s="3" t="s">
        <v>31</v>
      </c>
      <c r="C48" s="3">
        <v>24</v>
      </c>
      <c r="D48" s="3">
        <v>2</v>
      </c>
      <c r="E48" s="3" t="s">
        <v>215</v>
      </c>
      <c r="F48" s="3" t="s">
        <v>916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$K48/$H48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">
      <c r="A49" s="4" t="s">
        <v>941</v>
      </c>
      <c r="B49" s="4" t="s">
        <v>31</v>
      </c>
      <c r="C49" s="4">
        <v>25</v>
      </c>
      <c r="D49" s="4">
        <v>3</v>
      </c>
      <c r="E49" s="4" t="s">
        <v>178</v>
      </c>
      <c r="F49" s="4" t="s">
        <v>916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$K49/$H49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">
      <c r="A50" s="3" t="s">
        <v>942</v>
      </c>
      <c r="B50" s="3" t="s">
        <v>31</v>
      </c>
      <c r="C50" s="3">
        <v>23</v>
      </c>
      <c r="D50" s="3">
        <v>0</v>
      </c>
      <c r="E50" s="3" t="s">
        <v>943</v>
      </c>
      <c r="F50" s="3" t="s">
        <v>916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$K50/$H50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944</v>
      </c>
      <c r="B61" s="3" t="s">
        <v>43</v>
      </c>
      <c r="C61" s="3">
        <v>25</v>
      </c>
      <c r="D61" s="3">
        <v>0</v>
      </c>
      <c r="E61" s="3" t="s">
        <v>666</v>
      </c>
      <c r="F61" s="3" t="s">
        <v>916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4" si="1">($J61*0.04)+($K61*4)+($L61*-2)+($N61*0.1)+($O61*6)+($Q61)+($R61*0.1)+($S61*6)+($T61*-2)</f>
        <v>0</v>
      </c>
      <c r="W61" s="3" t="e">
        <f t="shared" ref="W61:W74" ca="1" si="2">$P61/$H$33</f>
        <v>#DIV/0!</v>
      </c>
      <c r="X61" s="3" t="e">
        <f t="shared" ref="X61:X74" si="3">$N61/$M61</f>
        <v>#DIV/0!</v>
      </c>
      <c r="Y61" s="3" t="e">
        <f t="shared" ref="Y61:Y74" si="4">$R61/$Q61</f>
        <v>#DIV/0!</v>
      </c>
      <c r="Z61" s="3" t="e">
        <f t="shared" ref="Z61:Z74" si="5">$I61/$H61</f>
        <v>#DIV/0!</v>
      </c>
      <c r="AA61" s="3" t="e">
        <f>$K61/$H61</f>
        <v>#DIV/0!</v>
      </c>
      <c r="AB61" s="3">
        <f t="shared" ref="AB61:AB74" si="6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945</v>
      </c>
      <c r="B62" s="4" t="s">
        <v>43</v>
      </c>
      <c r="C62" s="4">
        <v>22</v>
      </c>
      <c r="D62" s="4">
        <v>1</v>
      </c>
      <c r="E62" s="4" t="s">
        <v>240</v>
      </c>
      <c r="F62" s="4" t="s">
        <v>916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>$K62/$H62</f>
        <v>#DIV/0!</v>
      </c>
      <c r="AB62" s="4">
        <f t="shared" si="6"/>
        <v>0</v>
      </c>
    </row>
    <row r="63" spans="1:28" x14ac:dyDescent="0.2">
      <c r="A63" s="3" t="s">
        <v>946</v>
      </c>
      <c r="B63" s="3" t="s">
        <v>43</v>
      </c>
      <c r="C63" s="3">
        <v>24</v>
      </c>
      <c r="D63" s="3">
        <v>1</v>
      </c>
      <c r="E63" s="3" t="s">
        <v>360</v>
      </c>
      <c r="F63" s="3" t="s">
        <v>916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>$K63/$H63</f>
        <v>#DIV/0!</v>
      </c>
      <c r="AB63" s="3">
        <f t="shared" si="6"/>
        <v>0</v>
      </c>
    </row>
    <row r="64" spans="1:28" x14ac:dyDescent="0.2">
      <c r="A64" s="4" t="s">
        <v>947</v>
      </c>
      <c r="B64" s="4" t="s">
        <v>43</v>
      </c>
      <c r="C64" s="4">
        <v>27</v>
      </c>
      <c r="D64" s="4">
        <v>6</v>
      </c>
      <c r="E64" s="4" t="s">
        <v>298</v>
      </c>
      <c r="F64" s="4" t="s">
        <v>916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>$K64/$H64</f>
        <v>#DIV/0!</v>
      </c>
      <c r="AB64" s="4">
        <f t="shared" si="6"/>
        <v>0</v>
      </c>
    </row>
    <row r="65" spans="1:28" x14ac:dyDescent="0.2">
      <c r="A65" s="3" t="s">
        <v>948</v>
      </c>
      <c r="B65" s="3" t="s">
        <v>43</v>
      </c>
      <c r="C65" s="3">
        <v>22</v>
      </c>
      <c r="D65" s="3">
        <v>2</v>
      </c>
      <c r="E65" s="3" t="s">
        <v>357</v>
      </c>
      <c r="F65" s="3" t="s">
        <v>916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>$K65/$H65</f>
        <v>#DIV/0!</v>
      </c>
      <c r="AB65" s="3">
        <f t="shared" si="6"/>
        <v>0</v>
      </c>
    </row>
    <row r="66" spans="1:28" x14ac:dyDescent="0.2">
      <c r="A66" s="4" t="s">
        <v>949</v>
      </c>
      <c r="B66" s="4" t="s">
        <v>43</v>
      </c>
      <c r="C66" s="4">
        <v>25</v>
      </c>
      <c r="D66" s="4">
        <v>1</v>
      </c>
      <c r="E66" s="4" t="s">
        <v>458</v>
      </c>
      <c r="F66" s="4" t="s">
        <v>916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>$K66/$H66</f>
        <v>#DIV/0!</v>
      </c>
      <c r="AB66" s="4">
        <f t="shared" si="6"/>
        <v>0</v>
      </c>
    </row>
    <row r="67" spans="1:28" x14ac:dyDescent="0.2">
      <c r="A67" s="3" t="s">
        <v>950</v>
      </c>
      <c r="B67" s="3" t="s">
        <v>43</v>
      </c>
      <c r="C67" s="3">
        <v>23</v>
      </c>
      <c r="D67" s="3">
        <v>0</v>
      </c>
      <c r="E67" s="3" t="s">
        <v>280</v>
      </c>
      <c r="F67" s="3" t="s">
        <v>916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>$K67/$H67</f>
        <v>#DIV/0!</v>
      </c>
      <c r="AB67" s="3">
        <f t="shared" si="6"/>
        <v>0</v>
      </c>
    </row>
    <row r="68" spans="1:28" x14ac:dyDescent="0.2">
      <c r="A68" s="4" t="s">
        <v>951</v>
      </c>
      <c r="B68" s="4" t="s">
        <v>43</v>
      </c>
      <c r="C68" s="4">
        <v>23</v>
      </c>
      <c r="D68" s="4">
        <v>0</v>
      </c>
      <c r="E68" s="4" t="s">
        <v>237</v>
      </c>
      <c r="F68" s="4" t="s">
        <v>916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>$K68/$H68</f>
        <v>#DIV/0!</v>
      </c>
      <c r="AB68" s="4">
        <f t="shared" si="6"/>
        <v>0</v>
      </c>
    </row>
    <row r="69" spans="1:28" x14ac:dyDescent="0.2">
      <c r="A69" s="3" t="s">
        <v>952</v>
      </c>
      <c r="B69" s="3" t="s">
        <v>43</v>
      </c>
      <c r="C69" s="3">
        <v>23</v>
      </c>
      <c r="D69" s="3">
        <v>2</v>
      </c>
      <c r="E69" s="3" t="s">
        <v>458</v>
      </c>
      <c r="F69" s="3" t="s">
        <v>916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>$K69/$H69</f>
        <v>#DIV/0!</v>
      </c>
      <c r="AB69" s="3">
        <f t="shared" si="6"/>
        <v>0</v>
      </c>
    </row>
    <row r="70" spans="1:28" x14ac:dyDescent="0.2">
      <c r="A70" s="4" t="s">
        <v>953</v>
      </c>
      <c r="B70" s="4" t="s">
        <v>43</v>
      </c>
      <c r="C70" s="4">
        <v>24</v>
      </c>
      <c r="D70" s="4">
        <v>0</v>
      </c>
      <c r="E70" s="4" t="s">
        <v>954</v>
      </c>
      <c r="F70" s="4" t="s">
        <v>916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>$K70/$H70</f>
        <v>#DIV/0!</v>
      </c>
      <c r="AB70" s="4">
        <f t="shared" si="6"/>
        <v>0</v>
      </c>
    </row>
    <row r="71" spans="1:28" x14ac:dyDescent="0.2">
      <c r="A71" s="3" t="s">
        <v>955</v>
      </c>
      <c r="B71" s="3" t="s">
        <v>43</v>
      </c>
      <c r="C71" s="3">
        <v>23</v>
      </c>
      <c r="D71" s="3">
        <v>3</v>
      </c>
      <c r="E71" s="3" t="s">
        <v>100</v>
      </c>
      <c r="F71" s="3" t="s">
        <v>916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>$K71/$H71</f>
        <v>#DIV/0!</v>
      </c>
      <c r="AB71" s="3">
        <f t="shared" si="6"/>
        <v>0</v>
      </c>
    </row>
    <row r="72" spans="1:28" x14ac:dyDescent="0.2">
      <c r="A72" s="4" t="s">
        <v>956</v>
      </c>
      <c r="B72" s="4" t="s">
        <v>43</v>
      </c>
      <c r="C72" s="4">
        <v>24</v>
      </c>
      <c r="D72" s="4">
        <v>3</v>
      </c>
      <c r="E72" s="4" t="s">
        <v>178</v>
      </c>
      <c r="F72" s="4" t="s">
        <v>916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>$K72/$H72</f>
        <v>#DIV/0!</v>
      </c>
      <c r="AB72" s="4">
        <f t="shared" si="6"/>
        <v>0</v>
      </c>
    </row>
    <row r="73" spans="1:28" x14ac:dyDescent="0.2">
      <c r="A73" s="3" t="s">
        <v>957</v>
      </c>
      <c r="B73" s="3" t="s">
        <v>43</v>
      </c>
      <c r="C73" s="3">
        <v>28</v>
      </c>
      <c r="D73" s="3">
        <v>6</v>
      </c>
      <c r="E73" s="3" t="s">
        <v>80</v>
      </c>
      <c r="F73" s="3" t="s">
        <v>916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1"/>
        <v>0</v>
      </c>
      <c r="W73" s="3" t="e">
        <f t="shared" ca="1" si="2"/>
        <v>#DIV/0!</v>
      </c>
      <c r="X73" s="3" t="e">
        <f t="shared" si="3"/>
        <v>#DIV/0!</v>
      </c>
      <c r="Y73" s="3" t="e">
        <f t="shared" si="4"/>
        <v>#DIV/0!</v>
      </c>
      <c r="Z73" s="3" t="e">
        <f t="shared" si="5"/>
        <v>#DIV/0!</v>
      </c>
      <c r="AA73" s="3" t="e">
        <f>$K73/$H73</f>
        <v>#DIV/0!</v>
      </c>
      <c r="AB73" s="3">
        <f t="shared" si="6"/>
        <v>0</v>
      </c>
    </row>
    <row r="74" spans="1:28" x14ac:dyDescent="0.2">
      <c r="A74" s="4" t="s">
        <v>958</v>
      </c>
      <c r="B74" s="4" t="s">
        <v>43</v>
      </c>
      <c r="C74" s="4">
        <v>27</v>
      </c>
      <c r="D74" s="4">
        <v>6</v>
      </c>
      <c r="E74" s="4" t="s">
        <v>959</v>
      </c>
      <c r="F74" s="4" t="s">
        <v>916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 t="shared" si="1"/>
        <v>0</v>
      </c>
      <c r="W74" s="4" t="e">
        <f t="shared" ca="1" si="2"/>
        <v>#DIV/0!</v>
      </c>
      <c r="X74" s="4" t="e">
        <f t="shared" si="3"/>
        <v>#DIV/0!</v>
      </c>
      <c r="Y74" s="4" t="e">
        <f t="shared" si="4"/>
        <v>#DIV/0!</v>
      </c>
      <c r="Z74" s="4" t="e">
        <f t="shared" si="5"/>
        <v>#DIV/0!</v>
      </c>
      <c r="AA74" s="4" t="e">
        <f>$K74/$H74</f>
        <v>#DIV/0!</v>
      </c>
      <c r="AB74" s="4">
        <f t="shared" si="6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960</v>
      </c>
      <c r="B76" s="3" t="s">
        <v>38</v>
      </c>
      <c r="C76" s="3">
        <v>32</v>
      </c>
      <c r="D76" s="3">
        <v>9</v>
      </c>
      <c r="E76" s="3" t="s">
        <v>68</v>
      </c>
      <c r="F76" s="3" t="s">
        <v>916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7">($J76*0.04)+($K76*4)+($L76*-2)+($N76*0.1)+($O76*6)+($Q76)+($R76*0.1)+($S76*6)+($T76*-2)</f>
        <v>0</v>
      </c>
      <c r="W76" s="3" t="e">
        <f t="shared" ref="W76:W82" ca="1" si="8">$P76/$H$33</f>
        <v>#DIV/0!</v>
      </c>
      <c r="X76" s="3" t="e">
        <f t="shared" ref="X76:X82" si="9">$N76/$M76</f>
        <v>#DIV/0!</v>
      </c>
      <c r="Y76" s="3" t="e">
        <f t="shared" ref="Y76:Y82" si="10">$R76/$Q76</f>
        <v>#DIV/0!</v>
      </c>
      <c r="Z76" s="3" t="e">
        <f t="shared" ref="Z76:Z82" si="11">$I76/$H76</f>
        <v>#DIV/0!</v>
      </c>
      <c r="AA76" s="3" t="e">
        <f>$K76/$H76</f>
        <v>#DIV/0!</v>
      </c>
      <c r="AB76" s="3">
        <f t="shared" ref="AB76:AB82" si="12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961</v>
      </c>
      <c r="B77" s="4" t="s">
        <v>38</v>
      </c>
      <c r="C77" s="4">
        <v>27</v>
      </c>
      <c r="D77" s="4">
        <v>3</v>
      </c>
      <c r="E77" s="4" t="s">
        <v>613</v>
      </c>
      <c r="F77" s="4" t="s">
        <v>916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7"/>
        <v>0</v>
      </c>
      <c r="W77" s="4" t="e">
        <f t="shared" ca="1" si="8"/>
        <v>#DIV/0!</v>
      </c>
      <c r="X77" s="4" t="e">
        <f t="shared" si="9"/>
        <v>#DIV/0!</v>
      </c>
      <c r="Y77" s="4" t="e">
        <f t="shared" si="10"/>
        <v>#DIV/0!</v>
      </c>
      <c r="Z77" s="4" t="e">
        <f t="shared" si="11"/>
        <v>#DIV/0!</v>
      </c>
      <c r="AA77" s="4" t="e">
        <f>$K77/$H77</f>
        <v>#DIV/0!</v>
      </c>
      <c r="AB77" s="4">
        <f t="shared" si="12"/>
        <v>0</v>
      </c>
    </row>
    <row r="78" spans="1:28" x14ac:dyDescent="0.2">
      <c r="A78" s="3" t="s">
        <v>962</v>
      </c>
      <c r="B78" s="3" t="s">
        <v>38</v>
      </c>
      <c r="C78" s="3">
        <v>27</v>
      </c>
      <c r="D78" s="3">
        <v>1</v>
      </c>
      <c r="E78" s="3" t="s">
        <v>82</v>
      </c>
      <c r="F78" s="3" t="s">
        <v>916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7"/>
        <v>0</v>
      </c>
      <c r="W78" s="3" t="e">
        <f t="shared" ca="1" si="8"/>
        <v>#DIV/0!</v>
      </c>
      <c r="X78" s="3" t="e">
        <f t="shared" si="9"/>
        <v>#DIV/0!</v>
      </c>
      <c r="Y78" s="3" t="e">
        <f t="shared" si="10"/>
        <v>#DIV/0!</v>
      </c>
      <c r="Z78" s="3" t="e">
        <f t="shared" si="11"/>
        <v>#DIV/0!</v>
      </c>
      <c r="AA78" s="3" t="e">
        <f>$K78/$H78</f>
        <v>#DIV/0!</v>
      </c>
      <c r="AB78" s="3">
        <f t="shared" si="12"/>
        <v>0</v>
      </c>
    </row>
    <row r="79" spans="1:28" x14ac:dyDescent="0.2">
      <c r="A79" s="4" t="s">
        <v>963</v>
      </c>
      <c r="B79" s="4" t="s">
        <v>38</v>
      </c>
      <c r="C79" s="4">
        <v>27</v>
      </c>
      <c r="D79" s="4">
        <v>3</v>
      </c>
      <c r="E79" s="4" t="s">
        <v>964</v>
      </c>
      <c r="F79" s="4" t="s">
        <v>916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7"/>
        <v>0</v>
      </c>
      <c r="W79" s="4" t="e">
        <f t="shared" ca="1" si="8"/>
        <v>#DIV/0!</v>
      </c>
      <c r="X79" s="4" t="e">
        <f t="shared" si="9"/>
        <v>#DIV/0!</v>
      </c>
      <c r="Y79" s="4" t="e">
        <f t="shared" si="10"/>
        <v>#DIV/0!</v>
      </c>
      <c r="Z79" s="4" t="e">
        <f t="shared" si="11"/>
        <v>#DIV/0!</v>
      </c>
      <c r="AA79" s="4" t="e">
        <f>$K79/$H79</f>
        <v>#DIV/0!</v>
      </c>
      <c r="AB79" s="4">
        <f t="shared" si="12"/>
        <v>0</v>
      </c>
    </row>
    <row r="80" spans="1:28" x14ac:dyDescent="0.2">
      <c r="A80" s="3" t="s">
        <v>965</v>
      </c>
      <c r="B80" s="3" t="s">
        <v>38</v>
      </c>
      <c r="C80" s="3">
        <v>22</v>
      </c>
      <c r="D80" s="3">
        <v>0</v>
      </c>
      <c r="E80" s="3" t="s">
        <v>298</v>
      </c>
      <c r="F80" s="3" t="s">
        <v>916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7"/>
        <v>0</v>
      </c>
      <c r="W80" s="3" t="e">
        <f t="shared" ca="1" si="8"/>
        <v>#DIV/0!</v>
      </c>
      <c r="X80" s="3" t="e">
        <f t="shared" si="9"/>
        <v>#DIV/0!</v>
      </c>
      <c r="Y80" s="3" t="e">
        <f t="shared" si="10"/>
        <v>#DIV/0!</v>
      </c>
      <c r="Z80" s="3" t="e">
        <f t="shared" si="11"/>
        <v>#DIV/0!</v>
      </c>
      <c r="AA80" s="3" t="e">
        <f>$K80/$H80</f>
        <v>#DIV/0!</v>
      </c>
      <c r="AB80" s="3">
        <f t="shared" si="12"/>
        <v>0</v>
      </c>
    </row>
    <row r="81" spans="1:28" x14ac:dyDescent="0.2">
      <c r="A81" s="4" t="s">
        <v>966</v>
      </c>
      <c r="B81" s="4" t="s">
        <v>38</v>
      </c>
      <c r="C81" s="4">
        <v>24</v>
      </c>
      <c r="D81" s="4">
        <v>3</v>
      </c>
      <c r="E81" s="4" t="s">
        <v>697</v>
      </c>
      <c r="F81" s="4" t="s">
        <v>916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7"/>
        <v>0</v>
      </c>
      <c r="W81" s="4" t="e">
        <f t="shared" ca="1" si="8"/>
        <v>#DIV/0!</v>
      </c>
      <c r="X81" s="4" t="e">
        <f t="shared" si="9"/>
        <v>#DIV/0!</v>
      </c>
      <c r="Y81" s="4" t="e">
        <f t="shared" si="10"/>
        <v>#DIV/0!</v>
      </c>
      <c r="Z81" s="4" t="e">
        <f t="shared" si="11"/>
        <v>#DIV/0!</v>
      </c>
      <c r="AA81" s="4" t="e">
        <f>$K81/$H81</f>
        <v>#DIV/0!</v>
      </c>
      <c r="AB81" s="4">
        <f t="shared" si="12"/>
        <v>0</v>
      </c>
    </row>
    <row r="82" spans="1:28" x14ac:dyDescent="0.2">
      <c r="A82" s="3" t="s">
        <v>967</v>
      </c>
      <c r="B82" s="3" t="s">
        <v>38</v>
      </c>
      <c r="C82" s="3">
        <v>33</v>
      </c>
      <c r="D82" s="3">
        <v>11</v>
      </c>
      <c r="E82" s="3" t="s">
        <v>136</v>
      </c>
      <c r="F82" s="3" t="s">
        <v>916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7"/>
        <v>0</v>
      </c>
      <c r="W82" s="3" t="e">
        <f t="shared" ca="1" si="8"/>
        <v>#DIV/0!</v>
      </c>
      <c r="X82" s="3" t="e">
        <f t="shared" si="9"/>
        <v>#DIV/0!</v>
      </c>
      <c r="Y82" s="3" t="e">
        <f t="shared" si="10"/>
        <v>#DIV/0!</v>
      </c>
      <c r="Z82" s="3" t="e">
        <f t="shared" si="11"/>
        <v>#DIV/0!</v>
      </c>
      <c r="AA82" s="3" t="e">
        <f>$K82/$H82</f>
        <v>#DIV/0!</v>
      </c>
      <c r="AB82" s="3">
        <f t="shared" si="12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B81"/>
  <sheetViews>
    <sheetView zoomScale="90" zoomScaleNormal="90" workbookViewId="0">
      <selection activeCell="A22" sqref="A22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968</v>
      </c>
      <c r="B2" s="3" t="s">
        <v>969</v>
      </c>
      <c r="C2" s="3" t="s">
        <v>26</v>
      </c>
      <c r="D2" s="3">
        <v>3</v>
      </c>
      <c r="E2" s="3">
        <v>12</v>
      </c>
      <c r="F2" s="3">
        <v>8</v>
      </c>
      <c r="G2" s="3">
        <v>52</v>
      </c>
      <c r="H2" s="3">
        <v>1</v>
      </c>
      <c r="I2" s="3">
        <v>0</v>
      </c>
      <c r="J2" s="3">
        <v>1</v>
      </c>
      <c r="K2" s="3">
        <v>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1</v>
      </c>
      <c r="S2" s="3">
        <v>8.48</v>
      </c>
      <c r="T2" s="3">
        <v>0</v>
      </c>
      <c r="U2" s="3">
        <v>4</v>
      </c>
      <c r="V2" s="3"/>
      <c r="W2" s="3">
        <v>0.66666666666666696</v>
      </c>
      <c r="X2" s="3">
        <v>8.3333333333333301E-2</v>
      </c>
      <c r="Y2" s="3">
        <f t="shared" ref="Y2:Y21" si="0">($G2*Cp_yd)+($H2*Cp_td)+($I2*Cint)+($J2*Ccar)+($K2*Cr_yd)+($L2*Cr_td)+($N2*Crec)+($O2*Crec_yd)+($P2*Crec_td)+($Q2*Cfmb)+($R2*Ctp_c)</f>
        <v>8.48</v>
      </c>
    </row>
    <row r="3" spans="1:25" x14ac:dyDescent="0.2">
      <c r="A3" s="4" t="s">
        <v>970</v>
      </c>
      <c r="B3" s="4" t="s">
        <v>969</v>
      </c>
      <c r="C3" s="4" t="s">
        <v>26</v>
      </c>
      <c r="D3" s="4">
        <v>17</v>
      </c>
      <c r="E3" s="4">
        <v>699</v>
      </c>
      <c r="F3" s="4">
        <v>477</v>
      </c>
      <c r="G3" s="4">
        <v>4739</v>
      </c>
      <c r="H3" s="4">
        <v>25</v>
      </c>
      <c r="I3" s="4">
        <v>10</v>
      </c>
      <c r="J3" s="4">
        <v>54</v>
      </c>
      <c r="K3" s="4">
        <v>147</v>
      </c>
      <c r="L3" s="4">
        <v>0</v>
      </c>
      <c r="M3" s="4">
        <v>2</v>
      </c>
      <c r="N3" s="4">
        <v>2</v>
      </c>
      <c r="O3" s="4">
        <v>-10</v>
      </c>
      <c r="P3" s="4">
        <v>0</v>
      </c>
      <c r="Q3" s="4">
        <v>3</v>
      </c>
      <c r="R3" s="4">
        <v>1</v>
      </c>
      <c r="S3" s="4">
        <v>281.26</v>
      </c>
      <c r="T3" s="4">
        <v>3.07692307692308E-3</v>
      </c>
      <c r="U3" s="4">
        <v>2.7222222222222201</v>
      </c>
      <c r="V3" s="4">
        <v>-5</v>
      </c>
      <c r="W3" s="4">
        <v>0.68240343347639498</v>
      </c>
      <c r="X3" s="4">
        <v>3.5765379113018601E-2</v>
      </c>
      <c r="Y3" s="4">
        <f t="shared" si="0"/>
        <v>281.26</v>
      </c>
    </row>
    <row r="4" spans="1:25" x14ac:dyDescent="0.2">
      <c r="A4" s="3" t="s">
        <v>971</v>
      </c>
      <c r="B4" s="3" t="s">
        <v>969</v>
      </c>
      <c r="C4" s="3" t="s">
        <v>31</v>
      </c>
      <c r="D4" s="3">
        <v>17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204</v>
      </c>
      <c r="K4" s="3">
        <v>915</v>
      </c>
      <c r="L4" s="3">
        <v>13</v>
      </c>
      <c r="M4" s="3">
        <v>127</v>
      </c>
      <c r="N4" s="3">
        <v>107</v>
      </c>
      <c r="O4" s="3">
        <v>722</v>
      </c>
      <c r="P4" s="3">
        <v>5</v>
      </c>
      <c r="Q4" s="3">
        <v>2</v>
      </c>
      <c r="R4" s="3">
        <v>0</v>
      </c>
      <c r="S4" s="3">
        <v>372.7</v>
      </c>
      <c r="T4" s="3">
        <v>0.19538461538461499</v>
      </c>
      <c r="U4" s="3">
        <v>4.4852941176470598</v>
      </c>
      <c r="V4" s="3">
        <v>6.7476635514018701</v>
      </c>
      <c r="W4" s="3"/>
      <c r="X4" s="3"/>
      <c r="Y4" s="3">
        <f t="shared" si="0"/>
        <v>374.7</v>
      </c>
    </row>
    <row r="5" spans="1:25" x14ac:dyDescent="0.2">
      <c r="A5" s="4" t="s">
        <v>972</v>
      </c>
      <c r="B5" s="4" t="s">
        <v>969</v>
      </c>
      <c r="C5" s="4" t="s">
        <v>31</v>
      </c>
      <c r="D5" s="4">
        <v>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18</v>
      </c>
      <c r="K5" s="4">
        <v>41</v>
      </c>
      <c r="L5" s="4">
        <v>0</v>
      </c>
      <c r="M5" s="4">
        <v>3</v>
      </c>
      <c r="N5" s="4">
        <v>3</v>
      </c>
      <c r="O5" s="4">
        <v>13</v>
      </c>
      <c r="P5" s="4">
        <v>0</v>
      </c>
      <c r="Q5" s="4">
        <v>0</v>
      </c>
      <c r="R5" s="4">
        <v>0</v>
      </c>
      <c r="S5" s="4">
        <v>8.4</v>
      </c>
      <c r="T5" s="4">
        <v>4.6153846153846202E-3</v>
      </c>
      <c r="U5" s="4">
        <v>2.2777777777777799</v>
      </c>
      <c r="V5" s="4">
        <v>4.3333333333333304</v>
      </c>
      <c r="W5" s="4"/>
      <c r="X5" s="4"/>
      <c r="Y5" s="4">
        <f t="shared" si="0"/>
        <v>8.4</v>
      </c>
    </row>
    <row r="6" spans="1:25" x14ac:dyDescent="0.2">
      <c r="A6" s="3" t="s">
        <v>973</v>
      </c>
      <c r="B6" s="3" t="s">
        <v>969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69</v>
      </c>
      <c r="K6" s="3">
        <v>287</v>
      </c>
      <c r="L6" s="3">
        <v>2</v>
      </c>
      <c r="M6" s="3">
        <v>25</v>
      </c>
      <c r="N6" s="3">
        <v>14</v>
      </c>
      <c r="O6" s="3">
        <v>101</v>
      </c>
      <c r="P6" s="3">
        <v>0</v>
      </c>
      <c r="Q6" s="3">
        <v>0</v>
      </c>
      <c r="R6" s="3">
        <v>0</v>
      </c>
      <c r="S6" s="3">
        <v>64.8</v>
      </c>
      <c r="T6" s="3">
        <v>3.8461538461538498E-2</v>
      </c>
      <c r="U6" s="3">
        <v>4.1594202898550696</v>
      </c>
      <c r="V6" s="3">
        <v>7.21428571428571</v>
      </c>
      <c r="W6" s="3"/>
      <c r="X6" s="3"/>
      <c r="Y6" s="3">
        <f t="shared" si="0"/>
        <v>64.800000000000011</v>
      </c>
    </row>
    <row r="7" spans="1:25" x14ac:dyDescent="0.2">
      <c r="A7" s="4" t="s">
        <v>974</v>
      </c>
      <c r="B7" s="4" t="s">
        <v>969</v>
      </c>
      <c r="C7" s="4" t="s">
        <v>31</v>
      </c>
      <c r="D7" s="4">
        <v>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13</v>
      </c>
      <c r="K7" s="4">
        <v>19</v>
      </c>
      <c r="L7" s="4">
        <v>0</v>
      </c>
      <c r="M7" s="4">
        <v>2</v>
      </c>
      <c r="N7" s="4">
        <v>2</v>
      </c>
      <c r="O7" s="4">
        <v>14</v>
      </c>
      <c r="P7" s="4">
        <v>0</v>
      </c>
      <c r="Q7" s="4">
        <v>0</v>
      </c>
      <c r="R7" s="4">
        <v>0</v>
      </c>
      <c r="S7" s="4">
        <v>5.3</v>
      </c>
      <c r="T7" s="4">
        <v>3.07692307692308E-3</v>
      </c>
      <c r="U7" s="4">
        <v>1.4615384615384599</v>
      </c>
      <c r="V7" s="4">
        <v>7</v>
      </c>
      <c r="W7" s="4"/>
      <c r="X7" s="4"/>
      <c r="Y7" s="4">
        <f t="shared" si="0"/>
        <v>5.3000000000000007</v>
      </c>
    </row>
    <row r="8" spans="1:25" x14ac:dyDescent="0.2">
      <c r="A8" s="3" t="s">
        <v>975</v>
      </c>
      <c r="B8" s="3" t="s">
        <v>969</v>
      </c>
      <c r="C8" s="3" t="s">
        <v>31</v>
      </c>
      <c r="D8" s="3">
        <v>10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36</v>
      </c>
      <c r="K8" s="3">
        <v>106</v>
      </c>
      <c r="L8" s="3">
        <v>0</v>
      </c>
      <c r="M8" s="3">
        <v>13</v>
      </c>
      <c r="N8" s="3">
        <v>9</v>
      </c>
      <c r="O8" s="3">
        <v>53</v>
      </c>
      <c r="P8" s="3">
        <v>0</v>
      </c>
      <c r="Q8" s="3">
        <v>0</v>
      </c>
      <c r="R8" s="3">
        <v>0</v>
      </c>
      <c r="S8" s="3">
        <v>24.9</v>
      </c>
      <c r="T8" s="3">
        <v>0.02</v>
      </c>
      <c r="U8" s="3">
        <v>2.9444444444444402</v>
      </c>
      <c r="V8" s="3">
        <v>5.8888888888888902</v>
      </c>
      <c r="W8" s="3"/>
      <c r="X8" s="3"/>
      <c r="Y8" s="3">
        <f t="shared" si="0"/>
        <v>24.900000000000002</v>
      </c>
    </row>
    <row r="9" spans="1:25" x14ac:dyDescent="0.2">
      <c r="A9" s="4" t="s">
        <v>976</v>
      </c>
      <c r="B9" s="4" t="s">
        <v>969</v>
      </c>
      <c r="C9" s="4" t="s">
        <v>31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4</v>
      </c>
      <c r="K9" s="4">
        <v>8</v>
      </c>
      <c r="L9" s="4">
        <v>0</v>
      </c>
      <c r="M9" s="4">
        <v>8</v>
      </c>
      <c r="N9" s="4">
        <v>5</v>
      </c>
      <c r="O9" s="4">
        <v>8</v>
      </c>
      <c r="P9" s="4">
        <v>2</v>
      </c>
      <c r="Q9" s="4">
        <v>0</v>
      </c>
      <c r="R9" s="4">
        <v>0</v>
      </c>
      <c r="S9" s="4">
        <v>18.600000000000001</v>
      </c>
      <c r="T9" s="4">
        <v>1.2307692307692301E-2</v>
      </c>
      <c r="U9" s="4">
        <v>2</v>
      </c>
      <c r="V9" s="4">
        <v>1.6</v>
      </c>
      <c r="W9" s="4"/>
      <c r="X9" s="4"/>
      <c r="Y9" s="4">
        <f t="shared" si="0"/>
        <v>18.600000000000001</v>
      </c>
    </row>
    <row r="10" spans="1:25" x14ac:dyDescent="0.2">
      <c r="A10" s="3" t="s">
        <v>977</v>
      </c>
      <c r="B10" s="3" t="s">
        <v>969</v>
      </c>
      <c r="C10" s="3" t="s">
        <v>38</v>
      </c>
      <c r="D10" s="3">
        <v>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12</v>
      </c>
      <c r="N10" s="3">
        <v>10</v>
      </c>
      <c r="O10" s="3">
        <v>130</v>
      </c>
      <c r="P10" s="3">
        <v>1</v>
      </c>
      <c r="Q10" s="3">
        <v>0</v>
      </c>
      <c r="R10" s="3">
        <v>0</v>
      </c>
      <c r="S10" s="3">
        <v>29</v>
      </c>
      <c r="T10" s="3">
        <v>1.8461538461538501E-2</v>
      </c>
      <c r="U10" s="3"/>
      <c r="V10" s="3">
        <v>13</v>
      </c>
      <c r="W10" s="3"/>
      <c r="X10" s="3"/>
      <c r="Y10" s="3">
        <f t="shared" si="0"/>
        <v>29</v>
      </c>
    </row>
    <row r="11" spans="1:25" x14ac:dyDescent="0.2">
      <c r="A11" s="4" t="s">
        <v>978</v>
      </c>
      <c r="B11" s="4" t="s">
        <v>969</v>
      </c>
      <c r="C11" s="4" t="s">
        <v>38</v>
      </c>
      <c r="D11" s="4">
        <v>15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87</v>
      </c>
      <c r="N11" s="4">
        <v>58</v>
      </c>
      <c r="O11" s="4">
        <v>555</v>
      </c>
      <c r="P11" s="4">
        <v>4</v>
      </c>
      <c r="Q11" s="4">
        <v>0</v>
      </c>
      <c r="R11" s="4">
        <v>0</v>
      </c>
      <c r="S11" s="4">
        <v>139.5</v>
      </c>
      <c r="T11" s="4">
        <v>0.133846153846154</v>
      </c>
      <c r="U11" s="4">
        <v>0</v>
      </c>
      <c r="V11" s="4">
        <v>9.5689655172413808</v>
      </c>
      <c r="W11" s="4"/>
      <c r="X11" s="4"/>
      <c r="Y11" s="4">
        <f t="shared" si="0"/>
        <v>137.5</v>
      </c>
    </row>
    <row r="12" spans="1:25" x14ac:dyDescent="0.2">
      <c r="A12" s="3" t="s">
        <v>979</v>
      </c>
      <c r="B12" s="3" t="s">
        <v>969</v>
      </c>
      <c r="C12" s="3" t="s">
        <v>38</v>
      </c>
      <c r="D12" s="3">
        <v>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</v>
      </c>
      <c r="N12" s="3">
        <v>1</v>
      </c>
      <c r="O12" s="3">
        <v>4</v>
      </c>
      <c r="P12" s="3">
        <v>0</v>
      </c>
      <c r="Q12" s="3">
        <v>0</v>
      </c>
      <c r="R12" s="3">
        <v>0</v>
      </c>
      <c r="S12" s="3">
        <v>1.4</v>
      </c>
      <c r="T12" s="3">
        <v>6.1538461538461504E-3</v>
      </c>
      <c r="U12" s="3"/>
      <c r="V12" s="3">
        <v>4</v>
      </c>
      <c r="W12" s="3"/>
      <c r="X12" s="3"/>
      <c r="Y12" s="3">
        <f t="shared" si="0"/>
        <v>1.4</v>
      </c>
    </row>
    <row r="13" spans="1:25" x14ac:dyDescent="0.2">
      <c r="A13" s="4" t="s">
        <v>980</v>
      </c>
      <c r="B13" s="4" t="s">
        <v>969</v>
      </c>
      <c r="C13" s="4" t="s">
        <v>38</v>
      </c>
      <c r="D13" s="4">
        <v>3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5</v>
      </c>
      <c r="N13" s="4">
        <v>4</v>
      </c>
      <c r="O13" s="4">
        <v>17</v>
      </c>
      <c r="P13" s="4">
        <v>0</v>
      </c>
      <c r="Q13" s="4">
        <v>0</v>
      </c>
      <c r="R13" s="4">
        <v>0</v>
      </c>
      <c r="S13" s="4">
        <v>5.7</v>
      </c>
      <c r="T13" s="4">
        <v>7.6923076923076901E-3</v>
      </c>
      <c r="U13" s="4"/>
      <c r="V13" s="4">
        <v>4.25</v>
      </c>
      <c r="W13" s="4"/>
      <c r="X13" s="4"/>
      <c r="Y13" s="4">
        <f t="shared" si="0"/>
        <v>5.7</v>
      </c>
    </row>
    <row r="14" spans="1:25" x14ac:dyDescent="0.2">
      <c r="A14" s="3" t="s">
        <v>981</v>
      </c>
      <c r="B14" s="3" t="s">
        <v>969</v>
      </c>
      <c r="C14" s="3" t="s">
        <v>38</v>
      </c>
      <c r="D14" s="3">
        <v>8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18</v>
      </c>
      <c r="N14" s="3">
        <v>10</v>
      </c>
      <c r="O14" s="3">
        <v>72</v>
      </c>
      <c r="P14" s="3">
        <v>0</v>
      </c>
      <c r="Q14" s="3">
        <v>0</v>
      </c>
      <c r="R14" s="3">
        <v>0</v>
      </c>
      <c r="S14" s="3">
        <v>17.2</v>
      </c>
      <c r="T14" s="3">
        <v>2.76923076923077E-2</v>
      </c>
      <c r="U14" s="3"/>
      <c r="V14" s="3">
        <v>7.2</v>
      </c>
      <c r="W14" s="3"/>
      <c r="X14" s="3"/>
      <c r="Y14" s="3">
        <f t="shared" si="0"/>
        <v>17.2</v>
      </c>
    </row>
    <row r="15" spans="1:25" x14ac:dyDescent="0.2">
      <c r="A15" s="4" t="s">
        <v>982</v>
      </c>
      <c r="B15" s="4" t="s">
        <v>969</v>
      </c>
      <c r="C15" s="4" t="s">
        <v>43</v>
      </c>
      <c r="D15" s="4">
        <v>16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2</v>
      </c>
      <c r="K15" s="4">
        <v>-15</v>
      </c>
      <c r="L15" s="4">
        <v>0</v>
      </c>
      <c r="M15" s="4">
        <v>65</v>
      </c>
      <c r="N15" s="4">
        <v>46</v>
      </c>
      <c r="O15" s="4">
        <v>538</v>
      </c>
      <c r="P15" s="4">
        <v>3</v>
      </c>
      <c r="Q15" s="4">
        <v>0</v>
      </c>
      <c r="R15" s="4">
        <v>0</v>
      </c>
      <c r="S15" s="4">
        <v>114.3</v>
      </c>
      <c r="T15" s="4">
        <v>0.1</v>
      </c>
      <c r="U15" s="4">
        <v>-7.5</v>
      </c>
      <c r="V15" s="4">
        <v>11.695652173913</v>
      </c>
      <c r="W15" s="4"/>
      <c r="X15" s="4"/>
      <c r="Y15" s="4">
        <f t="shared" si="0"/>
        <v>116.30000000000001</v>
      </c>
    </row>
    <row r="16" spans="1:25" x14ac:dyDescent="0.2">
      <c r="A16" s="3" t="s">
        <v>983</v>
      </c>
      <c r="B16" s="3" t="s">
        <v>969</v>
      </c>
      <c r="C16" s="3" t="s">
        <v>43</v>
      </c>
      <c r="D16" s="3">
        <v>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4</v>
      </c>
      <c r="N16" s="3">
        <v>2</v>
      </c>
      <c r="O16" s="3">
        <v>64</v>
      </c>
      <c r="P16" s="3">
        <v>0</v>
      </c>
      <c r="Q16" s="3">
        <v>0</v>
      </c>
      <c r="R16" s="3">
        <v>0</v>
      </c>
      <c r="S16" s="3">
        <v>8.4</v>
      </c>
      <c r="T16" s="3">
        <v>6.1538461538461504E-3</v>
      </c>
      <c r="U16" s="3"/>
      <c r="V16" s="3">
        <v>32</v>
      </c>
      <c r="W16" s="3"/>
      <c r="X16" s="3"/>
      <c r="Y16" s="3">
        <f t="shared" si="0"/>
        <v>8.4</v>
      </c>
    </row>
    <row r="17" spans="1:25" x14ac:dyDescent="0.2">
      <c r="A17" s="4" t="s">
        <v>984</v>
      </c>
      <c r="B17" s="4" t="s">
        <v>969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</v>
      </c>
      <c r="N17" s="4">
        <v>1</v>
      </c>
      <c r="O17" s="4">
        <v>5</v>
      </c>
      <c r="P17" s="4">
        <v>0</v>
      </c>
      <c r="Q17" s="4">
        <v>0</v>
      </c>
      <c r="R17" s="4">
        <v>0</v>
      </c>
      <c r="S17" s="4">
        <v>1.5</v>
      </c>
      <c r="T17" s="4">
        <v>3.07692307692308E-3</v>
      </c>
      <c r="U17" s="4"/>
      <c r="V17" s="4">
        <v>5</v>
      </c>
      <c r="W17" s="4"/>
      <c r="X17" s="4"/>
      <c r="Y17" s="4">
        <f t="shared" si="0"/>
        <v>1.5</v>
      </c>
    </row>
    <row r="18" spans="1:25" x14ac:dyDescent="0.2">
      <c r="A18" s="3" t="s">
        <v>985</v>
      </c>
      <c r="B18" s="3" t="s">
        <v>969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4</v>
      </c>
      <c r="L18" s="3">
        <v>0</v>
      </c>
      <c r="M18" s="3">
        <v>107</v>
      </c>
      <c r="N18" s="3">
        <v>72</v>
      </c>
      <c r="O18" s="3">
        <v>769</v>
      </c>
      <c r="P18" s="3">
        <v>3</v>
      </c>
      <c r="Q18" s="3">
        <v>0</v>
      </c>
      <c r="R18" s="3">
        <v>0</v>
      </c>
      <c r="S18" s="3">
        <v>169.3</v>
      </c>
      <c r="T18" s="3">
        <v>0.164615384615385</v>
      </c>
      <c r="U18" s="3">
        <v>4</v>
      </c>
      <c r="V18" s="3">
        <v>10.6805555555556</v>
      </c>
      <c r="W18" s="3"/>
      <c r="X18" s="3"/>
      <c r="Y18" s="3">
        <f t="shared" si="0"/>
        <v>167.3</v>
      </c>
    </row>
    <row r="19" spans="1:25" x14ac:dyDescent="0.2">
      <c r="A19" s="4" t="s">
        <v>759</v>
      </c>
      <c r="B19" s="4" t="s">
        <v>969</v>
      </c>
      <c r="C19" s="4" t="s">
        <v>43</v>
      </c>
      <c r="D19" s="4">
        <v>10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1</v>
      </c>
      <c r="K19" s="4">
        <v>8</v>
      </c>
      <c r="L19" s="4">
        <v>0</v>
      </c>
      <c r="M19" s="4">
        <v>89</v>
      </c>
      <c r="N19" s="4">
        <v>66</v>
      </c>
      <c r="O19" s="4">
        <v>752</v>
      </c>
      <c r="P19" s="4">
        <v>4</v>
      </c>
      <c r="Q19" s="4">
        <v>0</v>
      </c>
      <c r="R19" s="4">
        <v>0</v>
      </c>
      <c r="S19" s="4">
        <v>164</v>
      </c>
      <c r="T19" s="4">
        <v>0.13692307692307701</v>
      </c>
      <c r="U19" s="4">
        <v>8</v>
      </c>
      <c r="V19" s="4">
        <v>11.3939393939394</v>
      </c>
      <c r="W19" s="4"/>
      <c r="X19" s="4"/>
      <c r="Y19" s="4">
        <f t="shared" si="0"/>
        <v>166</v>
      </c>
    </row>
    <row r="20" spans="1:25" x14ac:dyDescent="0.2">
      <c r="A20" s="3" t="s">
        <v>986</v>
      </c>
      <c r="B20" s="3" t="s">
        <v>969</v>
      </c>
      <c r="C20" s="3" t="s">
        <v>43</v>
      </c>
      <c r="D20" s="3">
        <v>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21</v>
      </c>
      <c r="N20" s="3">
        <v>10</v>
      </c>
      <c r="O20" s="3">
        <v>89</v>
      </c>
      <c r="P20" s="3">
        <v>0</v>
      </c>
      <c r="Q20" s="3">
        <v>0</v>
      </c>
      <c r="R20" s="3">
        <v>0</v>
      </c>
      <c r="S20" s="3">
        <v>18.899999999999999</v>
      </c>
      <c r="T20" s="3">
        <v>3.2307692307692301E-2</v>
      </c>
      <c r="U20" s="3"/>
      <c r="V20" s="3">
        <v>8.9</v>
      </c>
      <c r="W20" s="3"/>
      <c r="X20" s="3"/>
      <c r="Y20" s="3">
        <f t="shared" si="0"/>
        <v>18.899999999999999</v>
      </c>
    </row>
    <row r="21" spans="1:25" x14ac:dyDescent="0.2">
      <c r="A21" s="4" t="s">
        <v>37</v>
      </c>
      <c r="B21" s="4" t="s">
        <v>969</v>
      </c>
      <c r="C21" s="4" t="s">
        <v>43</v>
      </c>
      <c r="D21" s="4">
        <v>13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93</v>
      </c>
      <c r="N21" s="4">
        <v>63</v>
      </c>
      <c r="O21" s="4">
        <v>895</v>
      </c>
      <c r="P21" s="4">
        <v>4</v>
      </c>
      <c r="Q21" s="4">
        <v>0</v>
      </c>
      <c r="R21" s="4">
        <v>0</v>
      </c>
      <c r="S21" s="4">
        <v>176.5</v>
      </c>
      <c r="T21" s="4">
        <v>0.14307692307692299</v>
      </c>
      <c r="U21" s="4"/>
      <c r="V21" s="4">
        <v>14.2063492063492</v>
      </c>
      <c r="W21" s="4"/>
      <c r="X21" s="4"/>
      <c r="Y21" s="4">
        <f t="shared" si="0"/>
        <v>176.5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969</v>
      </c>
      <c r="B31" s="3">
        <v>6315</v>
      </c>
      <c r="C31" s="3">
        <v>4791</v>
      </c>
      <c r="D31" s="3">
        <v>404</v>
      </c>
      <c r="E31" s="3">
        <v>1524</v>
      </c>
      <c r="F31" s="3">
        <v>15</v>
      </c>
      <c r="G31" s="3">
        <v>1630.14</v>
      </c>
      <c r="H31" s="3">
        <v>711</v>
      </c>
      <c r="I31" s="3">
        <v>0.68213783403656802</v>
      </c>
      <c r="J31" s="3">
        <v>26</v>
      </c>
      <c r="K31" s="3">
        <v>10</v>
      </c>
      <c r="L31" s="3">
        <v>5</v>
      </c>
      <c r="M31" s="3">
        <f ca="1">SUM(INDIRECT(A33 &amp; "_Table1[[#All],[f_custom]]"))</f>
        <v>1632.1400000000003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LAC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987</v>
      </c>
      <c r="B36" s="3" t="s">
        <v>26</v>
      </c>
      <c r="C36" s="3">
        <v>22</v>
      </c>
      <c r="D36" s="3">
        <v>0</v>
      </c>
      <c r="E36" s="3" t="s">
        <v>76</v>
      </c>
      <c r="F36" s="3" t="s">
        <v>969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988</v>
      </c>
      <c r="B37" s="4" t="s">
        <v>26</v>
      </c>
      <c r="C37" s="4">
        <v>25</v>
      </c>
      <c r="D37" s="4">
        <v>4</v>
      </c>
      <c r="E37" s="4" t="s">
        <v>205</v>
      </c>
      <c r="F37" s="4" t="s">
        <v>969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989</v>
      </c>
      <c r="B38" s="3" t="s">
        <v>26</v>
      </c>
      <c r="C38" s="3">
        <v>27</v>
      </c>
      <c r="D38" s="3">
        <v>5</v>
      </c>
      <c r="E38" s="3" t="s">
        <v>555</v>
      </c>
      <c r="F38" s="3" t="s">
        <v>969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990</v>
      </c>
      <c r="B46" s="3" t="s">
        <v>31</v>
      </c>
      <c r="C46" s="3">
        <v>24</v>
      </c>
      <c r="D46" s="3">
        <v>0</v>
      </c>
      <c r="E46" s="3" t="s">
        <v>991</v>
      </c>
      <c r="F46" s="3" t="s">
        <v>969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992</v>
      </c>
      <c r="B47" s="4" t="s">
        <v>31</v>
      </c>
      <c r="C47" s="4">
        <v>28</v>
      </c>
      <c r="D47" s="4">
        <v>7</v>
      </c>
      <c r="E47" s="4" t="s">
        <v>993</v>
      </c>
      <c r="F47" s="4" t="s">
        <v>969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994</v>
      </c>
      <c r="B48" s="3" t="s">
        <v>31</v>
      </c>
      <c r="C48" s="3">
        <v>24</v>
      </c>
      <c r="D48" s="3">
        <v>0</v>
      </c>
      <c r="E48" s="3" t="s">
        <v>995</v>
      </c>
      <c r="F48" s="3" t="s">
        <v>969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996</v>
      </c>
      <c r="B49" s="4" t="s">
        <v>31</v>
      </c>
      <c r="C49" s="4">
        <v>25</v>
      </c>
      <c r="D49" s="4">
        <v>4</v>
      </c>
      <c r="E49" s="4" t="s">
        <v>418</v>
      </c>
      <c r="F49" s="4" t="s">
        <v>969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997</v>
      </c>
      <c r="B50" s="3" t="s">
        <v>31</v>
      </c>
      <c r="C50" s="3">
        <v>23</v>
      </c>
      <c r="D50" s="3">
        <v>0</v>
      </c>
      <c r="E50" s="3" t="s">
        <v>998</v>
      </c>
      <c r="F50" s="3" t="s">
        <v>969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999</v>
      </c>
      <c r="B51" s="4" t="s">
        <v>31</v>
      </c>
      <c r="C51" s="4">
        <v>22</v>
      </c>
      <c r="D51" s="4">
        <v>2</v>
      </c>
      <c r="E51" s="4" t="s">
        <v>307</v>
      </c>
      <c r="F51" s="4" t="s">
        <v>969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1000</v>
      </c>
      <c r="B61" s="3" t="s">
        <v>43</v>
      </c>
      <c r="C61" s="3">
        <v>31</v>
      </c>
      <c r="D61" s="3">
        <v>11</v>
      </c>
      <c r="E61" s="3" t="s">
        <v>666</v>
      </c>
      <c r="F61" s="3" t="s">
        <v>969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7">($J61*0.04)+($K61*4)+($L61*-2)+($N61*0.1)+($O61*6)+($Q61)+($R61*0.1)+($S61*6)+($T61*-2)</f>
        <v>0</v>
      </c>
      <c r="W61" s="3" t="e">
        <f t="shared" ref="W61:W72" ca="1" si="8">$P61/$H$33</f>
        <v>#DIV/0!</v>
      </c>
      <c r="X61" s="3" t="e">
        <f t="shared" ref="X61:X72" si="9">$N61/$M61</f>
        <v>#DIV/0!</v>
      </c>
      <c r="Y61" s="3" t="e">
        <f t="shared" ref="Y61:Y72" si="10">$R61/$Q61</f>
        <v>#DIV/0!</v>
      </c>
      <c r="Z61" s="3" t="e">
        <f t="shared" ref="Z61:Z72" si="11">$I61/$H61</f>
        <v>#DIV/0!</v>
      </c>
      <c r="AA61" s="3" t="e">
        <f>$K61/$H61</f>
        <v>#DIV/0!</v>
      </c>
      <c r="AB61" s="3">
        <f t="shared" ref="AB61:AB72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1001</v>
      </c>
      <c r="B62" s="4" t="s">
        <v>43</v>
      </c>
      <c r="C62" s="4">
        <v>25</v>
      </c>
      <c r="D62" s="4">
        <v>0</v>
      </c>
      <c r="E62" s="4" t="s">
        <v>78</v>
      </c>
      <c r="F62" s="4" t="s">
        <v>969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1002</v>
      </c>
      <c r="B63" s="3" t="s">
        <v>43</v>
      </c>
      <c r="C63" s="3">
        <v>22</v>
      </c>
      <c r="D63" s="3">
        <v>0</v>
      </c>
      <c r="E63" s="3" t="s">
        <v>76</v>
      </c>
      <c r="F63" s="3" t="s">
        <v>969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1003</v>
      </c>
      <c r="B64" s="4" t="s">
        <v>43</v>
      </c>
      <c r="C64" s="4">
        <v>27</v>
      </c>
      <c r="D64" s="4">
        <v>2</v>
      </c>
      <c r="E64" s="4" t="s">
        <v>1004</v>
      </c>
      <c r="F64" s="4" t="s">
        <v>969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1005</v>
      </c>
      <c r="B65" s="3" t="s">
        <v>43</v>
      </c>
      <c r="C65" s="3">
        <v>26</v>
      </c>
      <c r="D65" s="3">
        <v>4</v>
      </c>
      <c r="E65" s="3" t="s">
        <v>508</v>
      </c>
      <c r="F65" s="3" t="s">
        <v>969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1006</v>
      </c>
      <c r="B66" s="4" t="s">
        <v>43</v>
      </c>
      <c r="C66" s="4">
        <v>27</v>
      </c>
      <c r="D66" s="4">
        <v>2</v>
      </c>
      <c r="E66" s="4" t="s">
        <v>296</v>
      </c>
      <c r="F66" s="4" t="s">
        <v>969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1007</v>
      </c>
      <c r="B67" s="3" t="s">
        <v>43</v>
      </c>
      <c r="C67" s="3">
        <v>21</v>
      </c>
      <c r="D67" s="3">
        <v>0</v>
      </c>
      <c r="E67" s="3" t="s">
        <v>76</v>
      </c>
      <c r="F67" s="3" t="s">
        <v>969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1008</v>
      </c>
      <c r="B68" s="4" t="s">
        <v>43</v>
      </c>
      <c r="C68" s="4">
        <v>23</v>
      </c>
      <c r="D68" s="4">
        <v>3</v>
      </c>
      <c r="E68" s="4" t="s">
        <v>143</v>
      </c>
      <c r="F68" s="4" t="s">
        <v>969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1009</v>
      </c>
      <c r="B69" s="3" t="s">
        <v>43</v>
      </c>
      <c r="C69" s="3">
        <v>27</v>
      </c>
      <c r="D69" s="3">
        <v>3</v>
      </c>
      <c r="E69" s="3" t="s">
        <v>555</v>
      </c>
      <c r="F69" s="3" t="s">
        <v>969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1010</v>
      </c>
      <c r="B70" s="4" t="s">
        <v>43</v>
      </c>
      <c r="C70" s="4">
        <v>28</v>
      </c>
      <c r="D70" s="4">
        <v>7</v>
      </c>
      <c r="E70" s="4" t="s">
        <v>458</v>
      </c>
      <c r="F70" s="4" t="s">
        <v>969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1011</v>
      </c>
      <c r="B71" s="3" t="s">
        <v>43</v>
      </c>
      <c r="C71" s="3">
        <v>24</v>
      </c>
      <c r="D71" s="3">
        <v>0</v>
      </c>
      <c r="E71" s="3" t="s">
        <v>1012</v>
      </c>
      <c r="F71" s="3" t="s">
        <v>969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1013</v>
      </c>
      <c r="B72" s="4" t="s">
        <v>43</v>
      </c>
      <c r="C72" s="4"/>
      <c r="D72" s="4">
        <v>0</v>
      </c>
      <c r="E72" s="4" t="s">
        <v>62</v>
      </c>
      <c r="F72" s="4" t="s">
        <v>969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1014</v>
      </c>
      <c r="B76" s="3" t="s">
        <v>38</v>
      </c>
      <c r="C76" s="3">
        <v>29</v>
      </c>
      <c r="D76" s="3">
        <v>7</v>
      </c>
      <c r="E76" s="3" t="s">
        <v>519</v>
      </c>
      <c r="F76" s="3" t="s">
        <v>969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3">($J76*0.04)+($K76*4)+($L76*-2)+($N76*0.1)+($O76*6)+($Q76)+($R76*0.1)+($S76*6)+($T76*-2)</f>
        <v>0</v>
      </c>
      <c r="W76" s="3" t="e">
        <f t="shared" ref="W76:W81" ca="1" si="14">$P76/$H$33</f>
        <v>#DIV/0!</v>
      </c>
      <c r="X76" s="3" t="e">
        <f t="shared" ref="X76:X81" si="15">$N76/$M76</f>
        <v>#DIV/0!</v>
      </c>
      <c r="Y76" s="3" t="e">
        <f t="shared" ref="Y76:Y81" si="16">$R76/$Q76</f>
        <v>#DIV/0!</v>
      </c>
      <c r="Z76" s="3" t="e">
        <f t="shared" ref="Z76:Z81" si="17">$I76/$H76</f>
        <v>#DIV/0!</v>
      </c>
      <c r="AA76" s="3" t="e">
        <f>$K76/$H76</f>
        <v>#DIV/0!</v>
      </c>
      <c r="AB76" s="3">
        <f t="shared" ref="AB76:AB81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1015</v>
      </c>
      <c r="B77" s="4" t="s">
        <v>38</v>
      </c>
      <c r="C77" s="4">
        <v>22</v>
      </c>
      <c r="D77" s="4">
        <v>0</v>
      </c>
      <c r="E77" s="4" t="s">
        <v>418</v>
      </c>
      <c r="F77" s="4" t="s">
        <v>969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1016</v>
      </c>
      <c r="B78" s="3" t="s">
        <v>38</v>
      </c>
      <c r="C78" s="3">
        <v>25</v>
      </c>
      <c r="D78" s="3">
        <v>1</v>
      </c>
      <c r="E78" s="3" t="s">
        <v>205</v>
      </c>
      <c r="F78" s="3" t="s">
        <v>969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1017</v>
      </c>
      <c r="B79" s="4" t="s">
        <v>38</v>
      </c>
      <c r="C79" s="4">
        <v>24</v>
      </c>
      <c r="D79" s="4">
        <v>3</v>
      </c>
      <c r="E79" s="4" t="s">
        <v>173</v>
      </c>
      <c r="F79" s="4" t="s">
        <v>969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1018</v>
      </c>
      <c r="B80" s="3" t="s">
        <v>38</v>
      </c>
      <c r="C80" s="3">
        <v>26</v>
      </c>
      <c r="D80" s="3">
        <v>4</v>
      </c>
      <c r="E80" s="3" t="s">
        <v>1019</v>
      </c>
      <c r="F80" s="3" t="s">
        <v>969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1020</v>
      </c>
      <c r="B81" s="4" t="s">
        <v>38</v>
      </c>
      <c r="C81" s="4">
        <v>24</v>
      </c>
      <c r="D81" s="4">
        <v>2</v>
      </c>
      <c r="E81" s="4" t="s">
        <v>98</v>
      </c>
      <c r="F81" s="4" t="s">
        <v>969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AB82"/>
  <sheetViews>
    <sheetView zoomScale="90" zoomScaleNormal="90" workbookViewId="0">
      <selection activeCell="A23" sqref="A23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310</v>
      </c>
      <c r="B2" s="3" t="s">
        <v>1021</v>
      </c>
      <c r="C2" s="3" t="s">
        <v>26</v>
      </c>
      <c r="D2" s="3">
        <v>5</v>
      </c>
      <c r="E2" s="3">
        <v>129</v>
      </c>
      <c r="F2" s="3">
        <v>82</v>
      </c>
      <c r="G2" s="3">
        <v>850</v>
      </c>
      <c r="H2" s="3">
        <v>4</v>
      </c>
      <c r="I2" s="3">
        <v>2</v>
      </c>
      <c r="J2" s="3">
        <v>15</v>
      </c>
      <c r="K2" s="3">
        <v>37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47.7</v>
      </c>
      <c r="T2" s="3">
        <v>0</v>
      </c>
      <c r="U2" s="3">
        <v>2.4666666666666699</v>
      </c>
      <c r="V2" s="3"/>
      <c r="W2" s="3">
        <v>0.63565891472868197</v>
      </c>
      <c r="X2" s="3">
        <v>3.1007751937984499E-2</v>
      </c>
      <c r="Y2" s="3">
        <f t="shared" ref="Y2:Y22" si="0">($G2*Cp_yd)+($H2*Cp_td)+($I2*Cint)+($J2*Ccar)+($K2*Cr_yd)+($L2*Cr_td)+($N2*Crec)+($O2*Crec_yd)+($P2*Crec_td)+($Q2*Cfmb)+($R2*Ctp_c)</f>
        <v>47.7</v>
      </c>
    </row>
    <row r="3" spans="1:25" x14ac:dyDescent="0.2">
      <c r="A3" s="4" t="s">
        <v>1022</v>
      </c>
      <c r="B3" s="4" t="s">
        <v>1021</v>
      </c>
      <c r="C3" s="4" t="s">
        <v>26</v>
      </c>
      <c r="D3" s="4">
        <v>5</v>
      </c>
      <c r="E3" s="4">
        <v>34</v>
      </c>
      <c r="F3" s="4">
        <v>19</v>
      </c>
      <c r="G3" s="4">
        <v>161</v>
      </c>
      <c r="H3" s="4">
        <v>1</v>
      </c>
      <c r="I3" s="4">
        <v>2</v>
      </c>
      <c r="J3" s="4">
        <v>19</v>
      </c>
      <c r="K3" s="4">
        <v>90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15.44</v>
      </c>
      <c r="T3" s="4">
        <v>0</v>
      </c>
      <c r="U3" s="4">
        <v>4.7368421052631602</v>
      </c>
      <c r="V3" s="4"/>
      <c r="W3" s="4">
        <v>0.55882352941176505</v>
      </c>
      <c r="X3" s="4">
        <v>2.9411764705882401E-2</v>
      </c>
      <c r="Y3" s="4">
        <f t="shared" si="0"/>
        <v>15.440000000000001</v>
      </c>
    </row>
    <row r="4" spans="1:25" x14ac:dyDescent="0.2">
      <c r="A4" s="3" t="s">
        <v>1023</v>
      </c>
      <c r="B4" s="3" t="s">
        <v>1021</v>
      </c>
      <c r="C4" s="3" t="s">
        <v>26</v>
      </c>
      <c r="D4" s="3">
        <v>2</v>
      </c>
      <c r="E4" s="3">
        <v>62</v>
      </c>
      <c r="F4" s="3">
        <v>38</v>
      </c>
      <c r="G4" s="3">
        <v>390</v>
      </c>
      <c r="H4" s="3">
        <v>1</v>
      </c>
      <c r="I4" s="3">
        <v>3</v>
      </c>
      <c r="J4" s="3">
        <v>8</v>
      </c>
      <c r="K4" s="3">
        <v>32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14.8</v>
      </c>
      <c r="T4" s="3">
        <v>0</v>
      </c>
      <c r="U4" s="3">
        <v>4</v>
      </c>
      <c r="V4" s="3"/>
      <c r="W4" s="3">
        <v>0.61290322580645196</v>
      </c>
      <c r="X4" s="3">
        <v>1.6129032258064498E-2</v>
      </c>
      <c r="Y4" s="3">
        <f t="shared" si="0"/>
        <v>14.8</v>
      </c>
    </row>
    <row r="5" spans="1:25" x14ac:dyDescent="0.2">
      <c r="A5" s="4" t="s">
        <v>1024</v>
      </c>
      <c r="B5" s="4" t="s">
        <v>1021</v>
      </c>
      <c r="C5" s="4" t="s">
        <v>26</v>
      </c>
      <c r="D5" s="4">
        <v>9</v>
      </c>
      <c r="E5" s="4">
        <v>303</v>
      </c>
      <c r="F5" s="4">
        <v>206</v>
      </c>
      <c r="G5" s="4">
        <v>2087</v>
      </c>
      <c r="H5" s="4">
        <v>10</v>
      </c>
      <c r="I5" s="4">
        <v>8</v>
      </c>
      <c r="J5" s="4">
        <v>13</v>
      </c>
      <c r="K5" s="4">
        <v>9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3</v>
      </c>
      <c r="R5" s="4">
        <v>0</v>
      </c>
      <c r="S5" s="4">
        <v>108.38</v>
      </c>
      <c r="T5" s="4">
        <v>0</v>
      </c>
      <c r="U5" s="4">
        <v>0.69230769230769196</v>
      </c>
      <c r="V5" s="4"/>
      <c r="W5" s="4">
        <v>0.67986798679867999</v>
      </c>
      <c r="X5" s="4">
        <v>3.3003300330033E-2</v>
      </c>
      <c r="Y5" s="4">
        <f t="shared" si="0"/>
        <v>108.38000000000001</v>
      </c>
    </row>
    <row r="6" spans="1:25" x14ac:dyDescent="0.2">
      <c r="A6" s="3" t="s">
        <v>1025</v>
      </c>
      <c r="B6" s="3" t="s">
        <v>1021</v>
      </c>
      <c r="C6" s="3" t="s">
        <v>31</v>
      </c>
      <c r="D6" s="3">
        <v>15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188</v>
      </c>
      <c r="K6" s="3">
        <v>786</v>
      </c>
      <c r="L6" s="3">
        <v>7</v>
      </c>
      <c r="M6" s="3">
        <v>18</v>
      </c>
      <c r="N6" s="3">
        <v>13</v>
      </c>
      <c r="O6" s="3">
        <v>117</v>
      </c>
      <c r="P6" s="3">
        <v>0</v>
      </c>
      <c r="Q6" s="3">
        <v>2</v>
      </c>
      <c r="R6" s="3">
        <v>0</v>
      </c>
      <c r="S6" s="3">
        <v>141.30000000000001</v>
      </c>
      <c r="T6" s="3">
        <v>2.53164556962025E-2</v>
      </c>
      <c r="U6" s="3">
        <v>4.18085106382979</v>
      </c>
      <c r="V6" s="3">
        <v>9</v>
      </c>
      <c r="W6" s="3"/>
      <c r="X6" s="3"/>
      <c r="Y6" s="3">
        <f t="shared" si="0"/>
        <v>141.30000000000001</v>
      </c>
    </row>
    <row r="7" spans="1:25" x14ac:dyDescent="0.2">
      <c r="A7" s="4" t="s">
        <v>1026</v>
      </c>
      <c r="B7" s="4" t="s">
        <v>1021</v>
      </c>
      <c r="C7" s="4" t="s">
        <v>31</v>
      </c>
      <c r="D7" s="4">
        <v>10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70</v>
      </c>
      <c r="K7" s="4">
        <v>283</v>
      </c>
      <c r="L7" s="4">
        <v>3</v>
      </c>
      <c r="M7" s="4">
        <v>22</v>
      </c>
      <c r="N7" s="4">
        <v>17</v>
      </c>
      <c r="O7" s="4">
        <v>102</v>
      </c>
      <c r="P7" s="4">
        <v>0</v>
      </c>
      <c r="Q7" s="4">
        <v>0</v>
      </c>
      <c r="R7" s="4">
        <v>0</v>
      </c>
      <c r="S7" s="4">
        <v>73.5</v>
      </c>
      <c r="T7" s="4">
        <v>3.0942334739803099E-2</v>
      </c>
      <c r="U7" s="4">
        <v>4.04285714285714</v>
      </c>
      <c r="V7" s="4">
        <v>6</v>
      </c>
      <c r="W7" s="4"/>
      <c r="X7" s="4"/>
      <c r="Y7" s="4">
        <f t="shared" si="0"/>
        <v>73.5</v>
      </c>
    </row>
    <row r="8" spans="1:25" x14ac:dyDescent="0.2">
      <c r="A8" s="3" t="s">
        <v>1027</v>
      </c>
      <c r="B8" s="3" t="s">
        <v>1021</v>
      </c>
      <c r="C8" s="3" t="s">
        <v>31</v>
      </c>
      <c r="D8" s="3">
        <v>8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35</v>
      </c>
      <c r="K8" s="3">
        <v>139</v>
      </c>
      <c r="L8" s="3">
        <v>0</v>
      </c>
      <c r="M8" s="3">
        <v>12</v>
      </c>
      <c r="N8" s="3">
        <v>9</v>
      </c>
      <c r="O8" s="3">
        <v>76</v>
      </c>
      <c r="P8" s="3">
        <v>0</v>
      </c>
      <c r="Q8" s="3">
        <v>0</v>
      </c>
      <c r="R8" s="3">
        <v>0</v>
      </c>
      <c r="S8" s="3">
        <v>30.5</v>
      </c>
      <c r="T8" s="3">
        <v>1.68776371308017E-2</v>
      </c>
      <c r="U8" s="3">
        <v>3.9714285714285702</v>
      </c>
      <c r="V8" s="3">
        <v>8.4444444444444393</v>
      </c>
      <c r="W8" s="3"/>
      <c r="X8" s="3"/>
      <c r="Y8" s="3">
        <f t="shared" si="0"/>
        <v>30.5</v>
      </c>
    </row>
    <row r="9" spans="1:25" x14ac:dyDescent="0.2">
      <c r="A9" s="4" t="s">
        <v>48</v>
      </c>
      <c r="B9" s="4" t="s">
        <v>1021</v>
      </c>
      <c r="C9" s="4" t="s">
        <v>31</v>
      </c>
      <c r="D9" s="4">
        <v>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</v>
      </c>
      <c r="K9" s="4">
        <v>81</v>
      </c>
      <c r="L9" s="4">
        <v>1</v>
      </c>
      <c r="M9" s="4">
        <v>6</v>
      </c>
      <c r="N9" s="4">
        <v>5</v>
      </c>
      <c r="O9" s="4">
        <v>37</v>
      </c>
      <c r="P9" s="4">
        <v>0</v>
      </c>
      <c r="Q9" s="4">
        <v>0</v>
      </c>
      <c r="R9" s="4">
        <v>0</v>
      </c>
      <c r="S9" s="4">
        <v>22.8</v>
      </c>
      <c r="T9" s="4">
        <v>8.4388185654008397E-3</v>
      </c>
      <c r="U9" s="4">
        <v>4.5</v>
      </c>
      <c r="V9" s="4">
        <v>7.4</v>
      </c>
      <c r="W9" s="4"/>
      <c r="X9" s="4"/>
      <c r="Y9" s="4">
        <f t="shared" si="0"/>
        <v>22.8</v>
      </c>
    </row>
    <row r="10" spans="1:25" x14ac:dyDescent="0.2">
      <c r="A10" s="3" t="s">
        <v>1028</v>
      </c>
      <c r="B10" s="3" t="s">
        <v>1021</v>
      </c>
      <c r="C10" s="3" t="s">
        <v>31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</v>
      </c>
      <c r="K10" s="3">
        <v>21</v>
      </c>
      <c r="L10" s="3">
        <v>0</v>
      </c>
      <c r="M10" s="3">
        <v>5</v>
      </c>
      <c r="N10" s="3">
        <v>5</v>
      </c>
      <c r="O10" s="3">
        <v>29</v>
      </c>
      <c r="P10" s="3">
        <v>0</v>
      </c>
      <c r="Q10" s="3">
        <v>0</v>
      </c>
      <c r="R10" s="3">
        <v>0</v>
      </c>
      <c r="S10" s="3">
        <v>10</v>
      </c>
      <c r="T10" s="3">
        <v>7.0323488045007003E-3</v>
      </c>
      <c r="U10" s="3">
        <v>2.3333333333333299</v>
      </c>
      <c r="V10" s="3">
        <v>5.8</v>
      </c>
      <c r="W10" s="3"/>
      <c r="X10" s="3"/>
      <c r="Y10" s="3">
        <f t="shared" si="0"/>
        <v>10</v>
      </c>
    </row>
    <row r="11" spans="1:25" x14ac:dyDescent="0.2">
      <c r="A11" s="4" t="s">
        <v>1029</v>
      </c>
      <c r="B11" s="4" t="s">
        <v>1021</v>
      </c>
      <c r="C11" s="4" t="s">
        <v>38</v>
      </c>
      <c r="D11" s="4">
        <v>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11</v>
      </c>
      <c r="N11" s="4">
        <v>7</v>
      </c>
      <c r="O11" s="4">
        <v>109</v>
      </c>
      <c r="P11" s="4">
        <v>0</v>
      </c>
      <c r="Q11" s="4">
        <v>0</v>
      </c>
      <c r="R11" s="4">
        <v>0</v>
      </c>
      <c r="S11" s="4">
        <v>17.899999999999999</v>
      </c>
      <c r="T11" s="4">
        <v>1.5471167369901499E-2</v>
      </c>
      <c r="U11" s="4"/>
      <c r="V11" s="4">
        <v>15.5714285714286</v>
      </c>
      <c r="W11" s="4"/>
      <c r="X11" s="4"/>
      <c r="Y11" s="4">
        <f t="shared" si="0"/>
        <v>17.899999999999999</v>
      </c>
    </row>
    <row r="12" spans="1:25" x14ac:dyDescent="0.2">
      <c r="A12" s="3" t="s">
        <v>1030</v>
      </c>
      <c r="B12" s="3" t="s">
        <v>1021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2</v>
      </c>
      <c r="N12" s="3">
        <v>2</v>
      </c>
      <c r="O12" s="3">
        <v>35</v>
      </c>
      <c r="P12" s="3">
        <v>0</v>
      </c>
      <c r="Q12" s="3">
        <v>0</v>
      </c>
      <c r="R12" s="3">
        <v>0</v>
      </c>
      <c r="S12" s="3">
        <v>5.5</v>
      </c>
      <c r="T12" s="3">
        <v>2.81293952180028E-3</v>
      </c>
      <c r="U12" s="3"/>
      <c r="V12" s="3">
        <v>17.5</v>
      </c>
      <c r="W12" s="3"/>
      <c r="X12" s="3"/>
      <c r="Y12" s="3">
        <f t="shared" si="0"/>
        <v>5.5</v>
      </c>
    </row>
    <row r="13" spans="1:25" x14ac:dyDescent="0.2">
      <c r="A13" s="4" t="s">
        <v>1031</v>
      </c>
      <c r="B13" s="4" t="s">
        <v>1021</v>
      </c>
      <c r="C13" s="4" t="s">
        <v>38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108</v>
      </c>
      <c r="N13" s="4">
        <v>72</v>
      </c>
      <c r="O13" s="4">
        <v>620</v>
      </c>
      <c r="P13" s="4">
        <v>3</v>
      </c>
      <c r="Q13" s="4">
        <v>0</v>
      </c>
      <c r="R13" s="4">
        <v>0</v>
      </c>
      <c r="S13" s="4">
        <v>152</v>
      </c>
      <c r="T13" s="4">
        <v>0.151898734177215</v>
      </c>
      <c r="U13" s="4"/>
      <c r="V13" s="4">
        <v>8.6111111111111107</v>
      </c>
      <c r="W13" s="4"/>
      <c r="X13" s="4"/>
      <c r="Y13" s="4">
        <f t="shared" si="0"/>
        <v>152</v>
      </c>
    </row>
    <row r="14" spans="1:25" x14ac:dyDescent="0.2">
      <c r="A14" s="3" t="s">
        <v>1032</v>
      </c>
      <c r="B14" s="3" t="s">
        <v>1021</v>
      </c>
      <c r="C14" s="3" t="s">
        <v>43</v>
      </c>
      <c r="D14" s="3">
        <v>10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52</v>
      </c>
      <c r="N14" s="3">
        <v>33</v>
      </c>
      <c r="O14" s="3">
        <v>339</v>
      </c>
      <c r="P14" s="3">
        <v>3</v>
      </c>
      <c r="Q14" s="3">
        <v>0</v>
      </c>
      <c r="R14" s="3">
        <v>0</v>
      </c>
      <c r="S14" s="3">
        <v>84.9</v>
      </c>
      <c r="T14" s="3">
        <v>7.3136427566807299E-2</v>
      </c>
      <c r="U14" s="3"/>
      <c r="V14" s="3">
        <v>10.2727272727273</v>
      </c>
      <c r="W14" s="3"/>
      <c r="X14" s="3"/>
      <c r="Y14" s="3">
        <f t="shared" si="0"/>
        <v>84.9</v>
      </c>
    </row>
    <row r="15" spans="1:25" x14ac:dyDescent="0.2">
      <c r="A15" s="4" t="s">
        <v>1033</v>
      </c>
      <c r="B15" s="4" t="s">
        <v>1021</v>
      </c>
      <c r="C15" s="4" t="s">
        <v>43</v>
      </c>
      <c r="D15" s="4">
        <v>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2</v>
      </c>
      <c r="O15" s="4">
        <v>13</v>
      </c>
      <c r="P15" s="4">
        <v>0</v>
      </c>
      <c r="Q15" s="4">
        <v>0</v>
      </c>
      <c r="R15" s="4">
        <v>0</v>
      </c>
      <c r="S15" s="4">
        <v>3.3</v>
      </c>
      <c r="T15" s="4">
        <v>5.6258790436005601E-3</v>
      </c>
      <c r="U15" s="4"/>
      <c r="V15" s="4">
        <v>6.5</v>
      </c>
      <c r="W15" s="4"/>
      <c r="X15" s="4"/>
      <c r="Y15" s="4">
        <f t="shared" si="0"/>
        <v>3.3</v>
      </c>
    </row>
    <row r="16" spans="1:25" x14ac:dyDescent="0.2">
      <c r="A16" s="3" t="s">
        <v>1034</v>
      </c>
      <c r="B16" s="3" t="s">
        <v>1021</v>
      </c>
      <c r="C16" s="3" t="s">
        <v>43</v>
      </c>
      <c r="D16" s="3">
        <v>16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17</v>
      </c>
      <c r="K16" s="3">
        <v>80</v>
      </c>
      <c r="L16" s="3">
        <v>0</v>
      </c>
      <c r="M16" s="3">
        <v>32</v>
      </c>
      <c r="N16" s="3">
        <v>24</v>
      </c>
      <c r="O16" s="3">
        <v>156</v>
      </c>
      <c r="P16" s="3">
        <v>0</v>
      </c>
      <c r="Q16" s="3">
        <v>0</v>
      </c>
      <c r="R16" s="3">
        <v>0</v>
      </c>
      <c r="S16" s="3">
        <v>47.6</v>
      </c>
      <c r="T16" s="3">
        <v>4.5007032348804502E-2</v>
      </c>
      <c r="U16" s="3">
        <v>4.7058823529411802</v>
      </c>
      <c r="V16" s="3">
        <v>6.5</v>
      </c>
      <c r="W16" s="3"/>
      <c r="X16" s="3"/>
      <c r="Y16" s="3">
        <f t="shared" si="0"/>
        <v>47.6</v>
      </c>
    </row>
    <row r="17" spans="1:25" x14ac:dyDescent="0.2">
      <c r="A17" s="4" t="s">
        <v>1035</v>
      </c>
      <c r="B17" s="4" t="s">
        <v>1021</v>
      </c>
      <c r="C17" s="4" t="s">
        <v>43</v>
      </c>
      <c r="D17" s="4">
        <v>14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17</v>
      </c>
      <c r="L17" s="4">
        <v>1</v>
      </c>
      <c r="M17" s="4">
        <v>61</v>
      </c>
      <c r="N17" s="4">
        <v>39</v>
      </c>
      <c r="O17" s="4">
        <v>376</v>
      </c>
      <c r="P17" s="4">
        <v>0</v>
      </c>
      <c r="Q17" s="4">
        <v>0</v>
      </c>
      <c r="R17" s="4">
        <v>0</v>
      </c>
      <c r="S17" s="4">
        <v>84.3</v>
      </c>
      <c r="T17" s="4">
        <v>8.5794655414908605E-2</v>
      </c>
      <c r="U17" s="4">
        <v>17</v>
      </c>
      <c r="V17" s="4">
        <v>9.6410256410256405</v>
      </c>
      <c r="W17" s="4"/>
      <c r="X17" s="4"/>
      <c r="Y17" s="4">
        <f t="shared" si="0"/>
        <v>84.300000000000011</v>
      </c>
    </row>
    <row r="18" spans="1:25" x14ac:dyDescent="0.2">
      <c r="A18" s="3" t="s">
        <v>1036</v>
      </c>
      <c r="B18" s="3" t="s">
        <v>1021</v>
      </c>
      <c r="C18" s="3" t="s">
        <v>43</v>
      </c>
      <c r="D18" s="3">
        <v>9</v>
      </c>
      <c r="E18" s="3">
        <v>1</v>
      </c>
      <c r="F18" s="3">
        <v>0</v>
      </c>
      <c r="G18" s="3">
        <v>0</v>
      </c>
      <c r="H18" s="3">
        <v>0</v>
      </c>
      <c r="I18" s="3">
        <v>0</v>
      </c>
      <c r="J18" s="3">
        <v>9</v>
      </c>
      <c r="K18" s="3">
        <v>52</v>
      </c>
      <c r="L18" s="3">
        <v>1</v>
      </c>
      <c r="M18" s="3">
        <v>98</v>
      </c>
      <c r="N18" s="3">
        <v>75</v>
      </c>
      <c r="O18" s="3">
        <v>812</v>
      </c>
      <c r="P18" s="3">
        <v>6</v>
      </c>
      <c r="Q18" s="3">
        <v>0</v>
      </c>
      <c r="R18" s="3">
        <v>0</v>
      </c>
      <c r="S18" s="3">
        <v>201.4</v>
      </c>
      <c r="T18" s="3">
        <v>0.137834036568214</v>
      </c>
      <c r="U18" s="3">
        <v>5.7777777777777803</v>
      </c>
      <c r="V18" s="3">
        <v>10.8266666666667</v>
      </c>
      <c r="W18" s="3">
        <v>0</v>
      </c>
      <c r="X18" s="3">
        <v>0</v>
      </c>
      <c r="Y18" s="3">
        <f t="shared" si="0"/>
        <v>203.4</v>
      </c>
    </row>
    <row r="19" spans="1:25" x14ac:dyDescent="0.2">
      <c r="A19" s="4" t="s">
        <v>1037</v>
      </c>
      <c r="B19" s="4" t="s">
        <v>1021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6</v>
      </c>
      <c r="P19" s="4">
        <v>0</v>
      </c>
      <c r="Q19" s="4">
        <v>0</v>
      </c>
      <c r="R19" s="4">
        <v>0</v>
      </c>
      <c r="S19" s="4">
        <v>1.6</v>
      </c>
      <c r="T19" s="4">
        <v>1.40646976090014E-3</v>
      </c>
      <c r="U19" s="4"/>
      <c r="V19" s="4">
        <v>6</v>
      </c>
      <c r="W19" s="4"/>
      <c r="X19" s="4"/>
      <c r="Y19" s="4">
        <f t="shared" si="0"/>
        <v>1.6</v>
      </c>
    </row>
    <row r="20" spans="1:25" x14ac:dyDescent="0.2">
      <c r="A20" s="3" t="s">
        <v>1038</v>
      </c>
      <c r="B20" s="3" t="s">
        <v>1021</v>
      </c>
      <c r="C20" s="3" t="s">
        <v>43</v>
      </c>
      <c r="D20" s="3">
        <v>2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7.0323488045007003E-3</v>
      </c>
      <c r="U20" s="3"/>
      <c r="V20" s="3"/>
      <c r="W20" s="3"/>
      <c r="X20" s="3"/>
      <c r="Y20" s="3">
        <f t="shared" si="0"/>
        <v>0</v>
      </c>
    </row>
    <row r="21" spans="1:25" x14ac:dyDescent="0.2">
      <c r="A21" s="4" t="s">
        <v>1039</v>
      </c>
      <c r="B21" s="4" t="s">
        <v>1021</v>
      </c>
      <c r="C21" s="4" t="s">
        <v>43</v>
      </c>
      <c r="D21" s="4">
        <v>12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9</v>
      </c>
      <c r="K21" s="4">
        <v>34</v>
      </c>
      <c r="L21" s="4">
        <v>1</v>
      </c>
      <c r="M21" s="4">
        <v>35</v>
      </c>
      <c r="N21" s="4">
        <v>18</v>
      </c>
      <c r="O21" s="4">
        <v>298</v>
      </c>
      <c r="P21" s="4">
        <v>1</v>
      </c>
      <c r="Q21" s="4">
        <v>0</v>
      </c>
      <c r="R21" s="4">
        <v>0</v>
      </c>
      <c r="S21" s="4">
        <v>63.2</v>
      </c>
      <c r="T21" s="4">
        <v>4.92264416315049E-2</v>
      </c>
      <c r="U21" s="4">
        <v>3.7777777777777799</v>
      </c>
      <c r="V21" s="4">
        <v>16.5555555555556</v>
      </c>
      <c r="W21" s="4"/>
      <c r="X21" s="4"/>
      <c r="Y21" s="4">
        <f t="shared" si="0"/>
        <v>63.2</v>
      </c>
    </row>
    <row r="22" spans="1:25" x14ac:dyDescent="0.2">
      <c r="A22" s="3" t="s">
        <v>1040</v>
      </c>
      <c r="B22" s="3" t="s">
        <v>1021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44</v>
      </c>
      <c r="N22" s="3">
        <v>24</v>
      </c>
      <c r="O22" s="3">
        <v>369</v>
      </c>
      <c r="P22" s="3">
        <v>3</v>
      </c>
      <c r="Q22" s="3">
        <v>0</v>
      </c>
      <c r="R22" s="3">
        <v>0</v>
      </c>
      <c r="S22" s="3">
        <v>78.900000000000006</v>
      </c>
      <c r="T22" s="3">
        <v>6.1884669479606198E-2</v>
      </c>
      <c r="U22" s="3"/>
      <c r="V22" s="3">
        <v>15.375</v>
      </c>
      <c r="W22" s="3"/>
      <c r="X22" s="3"/>
      <c r="Y22" s="3">
        <f t="shared" si="0"/>
        <v>78.900000000000006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1021</v>
      </c>
      <c r="B31" s="3">
        <v>5194</v>
      </c>
      <c r="C31" s="3">
        <v>3488</v>
      </c>
      <c r="D31" s="3">
        <v>411</v>
      </c>
      <c r="E31" s="3">
        <v>1661</v>
      </c>
      <c r="F31" s="3">
        <v>15</v>
      </c>
      <c r="G31" s="3">
        <v>1205.02</v>
      </c>
      <c r="H31" s="3">
        <v>529</v>
      </c>
      <c r="I31" s="3">
        <v>0.65217389999999997</v>
      </c>
      <c r="J31" s="3">
        <v>16</v>
      </c>
      <c r="K31" s="3">
        <v>15</v>
      </c>
      <c r="L31" s="3">
        <v>7</v>
      </c>
      <c r="M31" s="3">
        <f ca="1">SUM(INDIRECT(A33 &amp; "_Table1[[#All],[f_custom]]"))</f>
        <v>1207.02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LAR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1041</v>
      </c>
      <c r="B36" s="3" t="s">
        <v>26</v>
      </c>
      <c r="C36" s="3">
        <v>25</v>
      </c>
      <c r="D36" s="3">
        <v>0</v>
      </c>
      <c r="E36" s="3" t="s">
        <v>173</v>
      </c>
      <c r="F36" s="3" t="s">
        <v>1021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1042</v>
      </c>
      <c r="B37" s="4" t="s">
        <v>26</v>
      </c>
      <c r="C37" s="4">
        <v>27</v>
      </c>
      <c r="D37" s="4">
        <v>4</v>
      </c>
      <c r="E37" s="4" t="s">
        <v>296</v>
      </c>
      <c r="F37" s="4" t="s">
        <v>1021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1043</v>
      </c>
      <c r="B38" s="3" t="s">
        <v>26</v>
      </c>
      <c r="C38" s="3">
        <v>35</v>
      </c>
      <c r="D38" s="3">
        <v>15</v>
      </c>
      <c r="E38" s="3" t="s">
        <v>173</v>
      </c>
      <c r="F38" s="3" t="s">
        <v>1021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">
      <c r="A39" s="4" t="s">
        <v>1044</v>
      </c>
      <c r="B39" s="4" t="s">
        <v>26</v>
      </c>
      <c r="C39" s="4">
        <v>24</v>
      </c>
      <c r="D39" s="4">
        <v>0</v>
      </c>
      <c r="E39" s="4" t="s">
        <v>1045</v>
      </c>
      <c r="F39" s="4" t="s">
        <v>1021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1046</v>
      </c>
      <c r="B46" s="3" t="s">
        <v>31</v>
      </c>
      <c r="C46" s="3">
        <v>24</v>
      </c>
      <c r="D46" s="3">
        <v>3</v>
      </c>
      <c r="E46" s="3" t="s">
        <v>1012</v>
      </c>
      <c r="F46" s="3" t="s">
        <v>1021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$K46/$H46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1047</v>
      </c>
      <c r="B47" s="4" t="s">
        <v>31</v>
      </c>
      <c r="C47" s="4">
        <v>22</v>
      </c>
      <c r="D47" s="4">
        <v>0</v>
      </c>
      <c r="E47" s="4" t="s">
        <v>240</v>
      </c>
      <c r="F47" s="4" t="s">
        <v>1021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$K47/$H47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">
      <c r="A48" s="3" t="s">
        <v>1048</v>
      </c>
      <c r="B48" s="3" t="s">
        <v>31</v>
      </c>
      <c r="C48" s="3">
        <v>27</v>
      </c>
      <c r="D48" s="3">
        <v>5</v>
      </c>
      <c r="E48" s="3" t="s">
        <v>205</v>
      </c>
      <c r="F48" s="3" t="s">
        <v>1021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$K48/$H48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">
      <c r="A49" s="4" t="s">
        <v>1049</v>
      </c>
      <c r="B49" s="4" t="s">
        <v>31</v>
      </c>
      <c r="C49" s="4">
        <v>24</v>
      </c>
      <c r="D49" s="4">
        <v>2</v>
      </c>
      <c r="E49" s="4" t="s">
        <v>280</v>
      </c>
      <c r="F49" s="4" t="s">
        <v>1021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$K49/$H49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">
      <c r="A50" s="3" t="s">
        <v>1050</v>
      </c>
      <c r="B50" s="3" t="s">
        <v>31</v>
      </c>
      <c r="C50" s="3">
        <v>22</v>
      </c>
      <c r="D50" s="3">
        <v>2</v>
      </c>
      <c r="E50" s="3" t="s">
        <v>362</v>
      </c>
      <c r="F50" s="3" t="s">
        <v>1021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$K50/$H50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1051</v>
      </c>
      <c r="B61" s="3" t="s">
        <v>43</v>
      </c>
      <c r="C61" s="3">
        <v>23</v>
      </c>
      <c r="D61" s="3">
        <v>3</v>
      </c>
      <c r="E61" s="3" t="s">
        <v>209</v>
      </c>
      <c r="F61" s="3" t="s">
        <v>1021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">($J61*0.04)+($K61*4)+($L61*-2)+($N61*0.1)+($O61*6)+($Q61)+($R61*0.1)+($S61*6)+($T61*-2)</f>
        <v>0</v>
      </c>
      <c r="W61" s="3" t="e">
        <f t="shared" ref="W61:W72" ca="1" si="2">$P61/$H$33</f>
        <v>#DIV/0!</v>
      </c>
      <c r="X61" s="3" t="e">
        <f t="shared" ref="X61:X72" si="3">$N61/$M61</f>
        <v>#DIV/0!</v>
      </c>
      <c r="Y61" s="3" t="e">
        <f t="shared" ref="Y61:Y72" si="4">$R61/$Q61</f>
        <v>#DIV/0!</v>
      </c>
      <c r="Z61" s="3" t="e">
        <f t="shared" ref="Z61:Z72" si="5">$I61/$H61</f>
        <v>#DIV/0!</v>
      </c>
      <c r="AA61" s="3" t="e">
        <f>$K61/$H61</f>
        <v>#DIV/0!</v>
      </c>
      <c r="AB61" s="3">
        <f t="shared" ref="AB61:AB72" si="6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1052</v>
      </c>
      <c r="B62" s="4" t="s">
        <v>43</v>
      </c>
      <c r="C62" s="4">
        <v>24</v>
      </c>
      <c r="D62" s="4">
        <v>0</v>
      </c>
      <c r="E62" s="4" t="s">
        <v>795</v>
      </c>
      <c r="F62" s="4" t="s">
        <v>1021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>$K62/$H62</f>
        <v>#DIV/0!</v>
      </c>
      <c r="AB62" s="4">
        <f t="shared" si="6"/>
        <v>0</v>
      </c>
    </row>
    <row r="63" spans="1:28" x14ac:dyDescent="0.2">
      <c r="A63" s="3" t="s">
        <v>1053</v>
      </c>
      <c r="B63" s="3" t="s">
        <v>43</v>
      </c>
      <c r="C63" s="3">
        <v>22</v>
      </c>
      <c r="D63" s="3">
        <v>0</v>
      </c>
      <c r="E63" s="3" t="s">
        <v>209</v>
      </c>
      <c r="F63" s="3" t="s">
        <v>1021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>$K63/$H63</f>
        <v>#DIV/0!</v>
      </c>
      <c r="AB63" s="3">
        <f t="shared" si="6"/>
        <v>0</v>
      </c>
    </row>
    <row r="64" spans="1:28" x14ac:dyDescent="0.2">
      <c r="A64" s="4" t="s">
        <v>1054</v>
      </c>
      <c r="B64" s="4" t="s">
        <v>43</v>
      </c>
      <c r="C64" s="4">
        <v>27</v>
      </c>
      <c r="D64" s="4">
        <v>4</v>
      </c>
      <c r="E64" s="4" t="s">
        <v>178</v>
      </c>
      <c r="F64" s="4" t="s">
        <v>1021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>$K64/$H64</f>
        <v>#DIV/0!</v>
      </c>
      <c r="AB64" s="4">
        <f t="shared" si="6"/>
        <v>0</v>
      </c>
    </row>
    <row r="65" spans="1:28" x14ac:dyDescent="0.2">
      <c r="A65" s="3" t="s">
        <v>1055</v>
      </c>
      <c r="B65" s="3" t="s">
        <v>43</v>
      </c>
      <c r="C65" s="3">
        <v>24</v>
      </c>
      <c r="D65" s="3">
        <v>4</v>
      </c>
      <c r="E65" s="3" t="s">
        <v>225</v>
      </c>
      <c r="F65" s="3" t="s">
        <v>1021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>$K65/$H65</f>
        <v>#DIV/0!</v>
      </c>
      <c r="AB65" s="3">
        <f t="shared" si="6"/>
        <v>0</v>
      </c>
    </row>
    <row r="66" spans="1:28" x14ac:dyDescent="0.2">
      <c r="A66" s="4" t="s">
        <v>1056</v>
      </c>
      <c r="B66" s="4" t="s">
        <v>43</v>
      </c>
      <c r="C66" s="4">
        <v>30</v>
      </c>
      <c r="D66" s="4">
        <v>7</v>
      </c>
      <c r="E66" s="4" t="s">
        <v>413</v>
      </c>
      <c r="F66" s="4" t="s">
        <v>1021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>$K66/$H66</f>
        <v>#DIV/0!</v>
      </c>
      <c r="AB66" s="4">
        <f t="shared" si="6"/>
        <v>0</v>
      </c>
    </row>
    <row r="67" spans="1:28" x14ac:dyDescent="0.2">
      <c r="A67" s="3" t="s">
        <v>1057</v>
      </c>
      <c r="B67" s="3" t="s">
        <v>43</v>
      </c>
      <c r="C67" s="3">
        <v>24</v>
      </c>
      <c r="D67" s="3">
        <v>2</v>
      </c>
      <c r="E67" s="3" t="s">
        <v>1058</v>
      </c>
      <c r="F67" s="3" t="s">
        <v>1021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>$K67/$H67</f>
        <v>#DIV/0!</v>
      </c>
      <c r="AB67" s="3">
        <f t="shared" si="6"/>
        <v>0</v>
      </c>
    </row>
    <row r="68" spans="1:28" x14ac:dyDescent="0.2">
      <c r="A68" s="4" t="s">
        <v>1059</v>
      </c>
      <c r="B68" s="4" t="s">
        <v>43</v>
      </c>
      <c r="C68" s="4">
        <v>23</v>
      </c>
      <c r="D68" s="4">
        <v>0</v>
      </c>
      <c r="E68" s="4" t="s">
        <v>82</v>
      </c>
      <c r="F68" s="4" t="s">
        <v>1021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>$K68/$H68</f>
        <v>#DIV/0!</v>
      </c>
      <c r="AB68" s="4">
        <f t="shared" si="6"/>
        <v>0</v>
      </c>
    </row>
    <row r="69" spans="1:28" x14ac:dyDescent="0.2">
      <c r="A69" s="3" t="s">
        <v>1060</v>
      </c>
      <c r="B69" s="3" t="s">
        <v>43</v>
      </c>
      <c r="C69" s="3">
        <v>28</v>
      </c>
      <c r="D69" s="3">
        <v>8</v>
      </c>
      <c r="E69" s="3" t="s">
        <v>178</v>
      </c>
      <c r="F69" s="3" t="s">
        <v>1021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>$K69/$H69</f>
        <v>#DIV/0!</v>
      </c>
      <c r="AB69" s="3">
        <f t="shared" si="6"/>
        <v>0</v>
      </c>
    </row>
    <row r="70" spans="1:28" x14ac:dyDescent="0.2">
      <c r="A70" s="4" t="s">
        <v>1061</v>
      </c>
      <c r="B70" s="4" t="s">
        <v>43</v>
      </c>
      <c r="C70" s="4">
        <v>26</v>
      </c>
      <c r="D70" s="4">
        <v>3</v>
      </c>
      <c r="E70" s="4" t="s">
        <v>362</v>
      </c>
      <c r="F70" s="4" t="s">
        <v>1021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>$K70/$H70</f>
        <v>#DIV/0!</v>
      </c>
      <c r="AB70" s="4">
        <f t="shared" si="6"/>
        <v>0</v>
      </c>
    </row>
    <row r="71" spans="1:28" x14ac:dyDescent="0.2">
      <c r="A71" s="3" t="s">
        <v>1062</v>
      </c>
      <c r="B71" s="3" t="s">
        <v>43</v>
      </c>
      <c r="C71" s="3">
        <v>25</v>
      </c>
      <c r="D71" s="3">
        <v>0</v>
      </c>
      <c r="E71" s="3" t="s">
        <v>1063</v>
      </c>
      <c r="F71" s="3" t="s">
        <v>1021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>$K71/$H71</f>
        <v>#DIV/0!</v>
      </c>
      <c r="AB71" s="3">
        <f t="shared" si="6"/>
        <v>0</v>
      </c>
    </row>
    <row r="72" spans="1:28" x14ac:dyDescent="0.2">
      <c r="A72" s="4" t="s">
        <v>1064</v>
      </c>
      <c r="B72" s="4" t="s">
        <v>43</v>
      </c>
      <c r="C72" s="4">
        <v>25</v>
      </c>
      <c r="D72" s="4">
        <v>2</v>
      </c>
      <c r="E72" s="4" t="s">
        <v>1065</v>
      </c>
      <c r="F72" s="4" t="s">
        <v>1021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>$K72/$H72</f>
        <v>#DIV/0!</v>
      </c>
      <c r="AB72" s="4">
        <f t="shared" si="6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1066</v>
      </c>
      <c r="B76" s="3" t="s">
        <v>38</v>
      </c>
      <c r="C76" s="3">
        <v>22</v>
      </c>
      <c r="D76" s="3">
        <v>0</v>
      </c>
      <c r="E76" s="3" t="s">
        <v>458</v>
      </c>
      <c r="F76" s="3" t="s">
        <v>1021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7">($J76*0.04)+($K76*4)+($L76*-2)+($N76*0.1)+($O76*6)+($Q76)+($R76*0.1)+($S76*6)+($T76*-2)</f>
        <v>0</v>
      </c>
      <c r="W76" s="3" t="e">
        <f t="shared" ref="W76:W82" ca="1" si="8">$P76/$H$33</f>
        <v>#DIV/0!</v>
      </c>
      <c r="X76" s="3" t="e">
        <f t="shared" ref="X76:X82" si="9">$N76/$M76</f>
        <v>#DIV/0!</v>
      </c>
      <c r="Y76" s="3" t="e">
        <f t="shared" ref="Y76:Y82" si="10">$R76/$Q76</f>
        <v>#DIV/0!</v>
      </c>
      <c r="Z76" s="3" t="e">
        <f t="shared" ref="Z76:Z82" si="11">$I76/$H76</f>
        <v>#DIV/0!</v>
      </c>
      <c r="AA76" s="3" t="e">
        <f>$K76/$H76</f>
        <v>#DIV/0!</v>
      </c>
      <c r="AB76" s="3">
        <f t="shared" ref="AB76:AB82" si="12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1067</v>
      </c>
      <c r="B77" s="4" t="s">
        <v>38</v>
      </c>
      <c r="C77" s="4">
        <v>30</v>
      </c>
      <c r="D77" s="4">
        <v>8</v>
      </c>
      <c r="E77" s="4" t="s">
        <v>1068</v>
      </c>
      <c r="F77" s="4" t="s">
        <v>1021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7"/>
        <v>0</v>
      </c>
      <c r="W77" s="4" t="e">
        <f t="shared" ca="1" si="8"/>
        <v>#DIV/0!</v>
      </c>
      <c r="X77" s="4" t="e">
        <f t="shared" si="9"/>
        <v>#DIV/0!</v>
      </c>
      <c r="Y77" s="4" t="e">
        <f t="shared" si="10"/>
        <v>#DIV/0!</v>
      </c>
      <c r="Z77" s="4" t="e">
        <f t="shared" si="11"/>
        <v>#DIV/0!</v>
      </c>
      <c r="AA77" s="4" t="e">
        <f>$K77/$H77</f>
        <v>#DIV/0!</v>
      </c>
      <c r="AB77" s="4">
        <f t="shared" si="12"/>
        <v>0</v>
      </c>
    </row>
    <row r="78" spans="1:28" x14ac:dyDescent="0.2">
      <c r="A78" s="3" t="s">
        <v>1069</v>
      </c>
      <c r="B78" s="3" t="s">
        <v>38</v>
      </c>
      <c r="C78" s="3">
        <v>26</v>
      </c>
      <c r="D78" s="3">
        <v>4</v>
      </c>
      <c r="E78" s="3" t="s">
        <v>62</v>
      </c>
      <c r="F78" s="3" t="s">
        <v>1021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7"/>
        <v>0</v>
      </c>
      <c r="W78" s="3" t="e">
        <f t="shared" ca="1" si="8"/>
        <v>#DIV/0!</v>
      </c>
      <c r="X78" s="3" t="e">
        <f t="shared" si="9"/>
        <v>#DIV/0!</v>
      </c>
      <c r="Y78" s="3" t="e">
        <f t="shared" si="10"/>
        <v>#DIV/0!</v>
      </c>
      <c r="Z78" s="3" t="e">
        <f t="shared" si="11"/>
        <v>#DIV/0!</v>
      </c>
      <c r="AA78" s="3" t="e">
        <f>$K78/$H78</f>
        <v>#DIV/0!</v>
      </c>
      <c r="AB78" s="3">
        <f t="shared" si="12"/>
        <v>0</v>
      </c>
    </row>
    <row r="79" spans="1:28" x14ac:dyDescent="0.2">
      <c r="A79" s="4" t="s">
        <v>1070</v>
      </c>
      <c r="B79" s="4" t="s">
        <v>38</v>
      </c>
      <c r="C79" s="4">
        <v>26</v>
      </c>
      <c r="D79" s="4">
        <v>2</v>
      </c>
      <c r="E79" s="4" t="s">
        <v>93</v>
      </c>
      <c r="F79" s="4" t="s">
        <v>1021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7"/>
        <v>0</v>
      </c>
      <c r="W79" s="4" t="e">
        <f t="shared" ca="1" si="8"/>
        <v>#DIV/0!</v>
      </c>
      <c r="X79" s="4" t="e">
        <f t="shared" si="9"/>
        <v>#DIV/0!</v>
      </c>
      <c r="Y79" s="4" t="e">
        <f t="shared" si="10"/>
        <v>#DIV/0!</v>
      </c>
      <c r="Z79" s="4" t="e">
        <f t="shared" si="11"/>
        <v>#DIV/0!</v>
      </c>
      <c r="AA79" s="4" t="e">
        <f>$K79/$H79</f>
        <v>#DIV/0!</v>
      </c>
      <c r="AB79" s="4">
        <f t="shared" si="12"/>
        <v>0</v>
      </c>
    </row>
    <row r="80" spans="1:28" x14ac:dyDescent="0.2">
      <c r="A80" s="3" t="s">
        <v>1071</v>
      </c>
      <c r="B80" s="3" t="s">
        <v>38</v>
      </c>
      <c r="C80" s="3">
        <v>24</v>
      </c>
      <c r="D80" s="3">
        <v>3</v>
      </c>
      <c r="E80" s="3" t="s">
        <v>235</v>
      </c>
      <c r="F80" s="3" t="s">
        <v>1021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7"/>
        <v>0</v>
      </c>
      <c r="W80" s="3" t="e">
        <f t="shared" ca="1" si="8"/>
        <v>#DIV/0!</v>
      </c>
      <c r="X80" s="3" t="e">
        <f t="shared" si="9"/>
        <v>#DIV/0!</v>
      </c>
      <c r="Y80" s="3" t="e">
        <f t="shared" si="10"/>
        <v>#DIV/0!</v>
      </c>
      <c r="Z80" s="3" t="e">
        <f t="shared" si="11"/>
        <v>#DIV/0!</v>
      </c>
      <c r="AA80" s="3" t="e">
        <f>$K80/$H80</f>
        <v>#DIV/0!</v>
      </c>
      <c r="AB80" s="3">
        <f t="shared" si="12"/>
        <v>0</v>
      </c>
    </row>
    <row r="81" spans="1:28" x14ac:dyDescent="0.2">
      <c r="A81" s="4" t="s">
        <v>1072</v>
      </c>
      <c r="B81" s="4" t="s">
        <v>38</v>
      </c>
      <c r="C81" s="4">
        <v>24</v>
      </c>
      <c r="D81" s="4">
        <v>1</v>
      </c>
      <c r="E81" s="4" t="s">
        <v>1012</v>
      </c>
      <c r="F81" s="4" t="s">
        <v>1021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7"/>
        <v>0</v>
      </c>
      <c r="W81" s="4" t="e">
        <f t="shared" ca="1" si="8"/>
        <v>#DIV/0!</v>
      </c>
      <c r="X81" s="4" t="e">
        <f t="shared" si="9"/>
        <v>#DIV/0!</v>
      </c>
      <c r="Y81" s="4" t="e">
        <f t="shared" si="10"/>
        <v>#DIV/0!</v>
      </c>
      <c r="Z81" s="4" t="e">
        <f t="shared" si="11"/>
        <v>#DIV/0!</v>
      </c>
      <c r="AA81" s="4" t="e">
        <f>$K81/$H81</f>
        <v>#DIV/0!</v>
      </c>
      <c r="AB81" s="4">
        <f t="shared" si="12"/>
        <v>0</v>
      </c>
    </row>
    <row r="82" spans="1:28" x14ac:dyDescent="0.2">
      <c r="A82" s="3" t="s">
        <v>1073</v>
      </c>
      <c r="B82" s="3" t="s">
        <v>38</v>
      </c>
      <c r="C82" s="3">
        <v>22</v>
      </c>
      <c r="D82" s="3">
        <v>0</v>
      </c>
      <c r="E82" s="3" t="s">
        <v>168</v>
      </c>
      <c r="F82" s="3" t="s">
        <v>1021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7"/>
        <v>0</v>
      </c>
      <c r="W82" s="3" t="e">
        <f t="shared" ca="1" si="8"/>
        <v>#DIV/0!</v>
      </c>
      <c r="X82" s="3" t="e">
        <f t="shared" si="9"/>
        <v>#DIV/0!</v>
      </c>
      <c r="Y82" s="3" t="e">
        <f t="shared" si="10"/>
        <v>#DIV/0!</v>
      </c>
      <c r="Z82" s="3" t="e">
        <f t="shared" si="11"/>
        <v>#DIV/0!</v>
      </c>
      <c r="AA82" s="3" t="e">
        <f>$K82/$H82</f>
        <v>#DIV/0!</v>
      </c>
      <c r="AB82" s="3">
        <f t="shared" si="12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B81"/>
  <sheetViews>
    <sheetView zoomScale="90" zoomScaleNormal="90" workbookViewId="0">
      <selection activeCell="A17" sqref="A17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1074</v>
      </c>
      <c r="B2" s="3" t="s">
        <v>1075</v>
      </c>
      <c r="C2" s="3" t="s">
        <v>115</v>
      </c>
      <c r="D2" s="3">
        <v>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6</v>
      </c>
      <c r="N2" s="3">
        <v>5</v>
      </c>
      <c r="O2" s="3">
        <v>10</v>
      </c>
      <c r="P2" s="3">
        <v>0</v>
      </c>
      <c r="Q2" s="3">
        <v>0</v>
      </c>
      <c r="R2" s="3">
        <v>0</v>
      </c>
      <c r="S2" s="3">
        <v>6</v>
      </c>
      <c r="T2" s="3">
        <v>1.13421550094518E-2</v>
      </c>
      <c r="U2" s="3"/>
      <c r="V2" s="3">
        <v>2</v>
      </c>
      <c r="W2" s="3"/>
      <c r="X2" s="3"/>
      <c r="Y2" s="3">
        <f t="shared" ref="Y2:Y16" si="0">($G2*Cp_yd)+($H2*Cp_td)+($I2*Cint)+($J2*Ccar)+($K2*Cr_yd)+($L2*Cr_td)+($N2*Crec)+($O2*Crec_yd)+($P2*Crec_td)+($Q2*Cfmb)+($R2*Ctp_c)</f>
        <v>6</v>
      </c>
    </row>
    <row r="3" spans="1:25" x14ac:dyDescent="0.2">
      <c r="A3" s="4" t="s">
        <v>1076</v>
      </c>
      <c r="B3" s="4" t="s">
        <v>1075</v>
      </c>
      <c r="C3" s="4" t="s">
        <v>26</v>
      </c>
      <c r="D3" s="4">
        <v>15</v>
      </c>
      <c r="E3" s="4">
        <v>502</v>
      </c>
      <c r="F3" s="4">
        <v>305</v>
      </c>
      <c r="G3" s="4">
        <v>3522</v>
      </c>
      <c r="H3" s="4">
        <v>24</v>
      </c>
      <c r="I3" s="4">
        <v>14</v>
      </c>
      <c r="J3" s="4">
        <v>24</v>
      </c>
      <c r="K3" s="4">
        <v>102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219.08</v>
      </c>
      <c r="T3" s="4">
        <v>0</v>
      </c>
      <c r="U3" s="4">
        <v>4.25</v>
      </c>
      <c r="V3" s="4"/>
      <c r="W3" s="4">
        <v>0.60756972111553798</v>
      </c>
      <c r="X3" s="4">
        <v>4.7808764940239001E-2</v>
      </c>
      <c r="Y3" s="4">
        <f t="shared" si="0"/>
        <v>219.07999999999998</v>
      </c>
    </row>
    <row r="4" spans="1:25" x14ac:dyDescent="0.2">
      <c r="A4" s="3" t="s">
        <v>1077</v>
      </c>
      <c r="B4" s="3" t="s">
        <v>1075</v>
      </c>
      <c r="C4" s="3" t="s">
        <v>26</v>
      </c>
      <c r="D4" s="3">
        <v>3</v>
      </c>
      <c r="E4" s="3">
        <v>83</v>
      </c>
      <c r="F4" s="3">
        <v>53</v>
      </c>
      <c r="G4" s="3">
        <v>656</v>
      </c>
      <c r="H4" s="3">
        <v>4</v>
      </c>
      <c r="I4" s="3">
        <v>3</v>
      </c>
      <c r="J4" s="3">
        <v>14</v>
      </c>
      <c r="K4" s="3">
        <v>84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42.64</v>
      </c>
      <c r="T4" s="3">
        <v>0</v>
      </c>
      <c r="U4" s="3">
        <v>6</v>
      </c>
      <c r="V4" s="3"/>
      <c r="W4" s="3">
        <v>0.63855421686747005</v>
      </c>
      <c r="X4" s="3">
        <v>4.81927710843374E-2</v>
      </c>
      <c r="Y4" s="3">
        <f t="shared" si="0"/>
        <v>42.64</v>
      </c>
    </row>
    <row r="5" spans="1:25" x14ac:dyDescent="0.2">
      <c r="A5" s="4" t="s">
        <v>1078</v>
      </c>
      <c r="B5" s="4" t="s">
        <v>1075</v>
      </c>
      <c r="C5" s="4" t="s">
        <v>31</v>
      </c>
      <c r="D5" s="4">
        <v>13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4</v>
      </c>
      <c r="K5" s="4">
        <v>20</v>
      </c>
      <c r="L5" s="4">
        <v>0</v>
      </c>
      <c r="M5" s="4">
        <v>32</v>
      </c>
      <c r="N5" s="4">
        <v>25</v>
      </c>
      <c r="O5" s="4">
        <v>211</v>
      </c>
      <c r="P5" s="4">
        <v>1</v>
      </c>
      <c r="Q5" s="4">
        <v>0</v>
      </c>
      <c r="R5" s="4">
        <v>0</v>
      </c>
      <c r="S5" s="4">
        <v>54.1</v>
      </c>
      <c r="T5" s="4">
        <v>6.0491493383742899E-2</v>
      </c>
      <c r="U5" s="4">
        <v>5</v>
      </c>
      <c r="V5" s="4">
        <v>8.44</v>
      </c>
      <c r="W5" s="4"/>
      <c r="X5" s="4"/>
      <c r="Y5" s="4">
        <f t="shared" si="0"/>
        <v>54.1</v>
      </c>
    </row>
    <row r="6" spans="1:25" x14ac:dyDescent="0.2">
      <c r="A6" s="3" t="s">
        <v>1079</v>
      </c>
      <c r="B6" s="3" t="s">
        <v>1075</v>
      </c>
      <c r="C6" s="3" t="s">
        <v>31</v>
      </c>
      <c r="D6" s="3">
        <v>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</v>
      </c>
      <c r="K6" s="3">
        <v>66</v>
      </c>
      <c r="L6" s="3">
        <v>0</v>
      </c>
      <c r="M6" s="3">
        <v>9</v>
      </c>
      <c r="N6" s="3">
        <v>9</v>
      </c>
      <c r="O6" s="3">
        <v>57</v>
      </c>
      <c r="P6" s="3">
        <v>1</v>
      </c>
      <c r="Q6" s="3">
        <v>0</v>
      </c>
      <c r="R6" s="3">
        <v>0</v>
      </c>
      <c r="S6" s="3">
        <v>27.3</v>
      </c>
      <c r="T6" s="3">
        <v>1.70132325141777E-2</v>
      </c>
      <c r="U6" s="3">
        <v>3.8823529411764701</v>
      </c>
      <c r="V6" s="3">
        <v>6.3333333333333304</v>
      </c>
      <c r="W6" s="3"/>
      <c r="X6" s="3"/>
      <c r="Y6" s="3">
        <f t="shared" si="0"/>
        <v>27.3</v>
      </c>
    </row>
    <row r="7" spans="1:25" x14ac:dyDescent="0.2">
      <c r="A7" s="4" t="s">
        <v>1080</v>
      </c>
      <c r="B7" s="4" t="s">
        <v>1075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340</v>
      </c>
      <c r="K7" s="4">
        <v>1653</v>
      </c>
      <c r="L7" s="4">
        <v>12</v>
      </c>
      <c r="M7" s="4">
        <v>64</v>
      </c>
      <c r="N7" s="4">
        <v>53</v>
      </c>
      <c r="O7" s="4">
        <v>400</v>
      </c>
      <c r="P7" s="4">
        <v>0</v>
      </c>
      <c r="Q7" s="4">
        <v>0</v>
      </c>
      <c r="R7" s="4">
        <v>0</v>
      </c>
      <c r="S7" s="4">
        <v>328.3</v>
      </c>
      <c r="T7" s="4">
        <v>0.12098298676748601</v>
      </c>
      <c r="U7" s="4">
        <v>4.8617647058823499</v>
      </c>
      <c r="V7" s="4">
        <v>7.5471698113207504</v>
      </c>
      <c r="W7" s="4"/>
      <c r="X7" s="4"/>
      <c r="Y7" s="4">
        <f t="shared" si="0"/>
        <v>330.3</v>
      </c>
    </row>
    <row r="8" spans="1:25" x14ac:dyDescent="0.2">
      <c r="A8" s="3" t="s">
        <v>1081</v>
      </c>
      <c r="B8" s="3" t="s">
        <v>1075</v>
      </c>
      <c r="C8" s="3" t="s">
        <v>31</v>
      </c>
      <c r="D8" s="3">
        <v>11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7</v>
      </c>
      <c r="T8" s="3">
        <v>0</v>
      </c>
      <c r="U8" s="3">
        <v>4.1176470588235299</v>
      </c>
      <c r="V8" s="3"/>
      <c r="W8" s="3"/>
      <c r="X8" s="3"/>
      <c r="Y8" s="3">
        <f t="shared" si="0"/>
        <v>7</v>
      </c>
    </row>
    <row r="9" spans="1:25" x14ac:dyDescent="0.2">
      <c r="A9" s="4" t="s">
        <v>1082</v>
      </c>
      <c r="B9" s="4" t="s">
        <v>1075</v>
      </c>
      <c r="C9" s="4" t="s">
        <v>38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43</v>
      </c>
      <c r="N9" s="4">
        <v>28</v>
      </c>
      <c r="O9" s="4">
        <v>388</v>
      </c>
      <c r="P9" s="4">
        <v>3</v>
      </c>
      <c r="Q9" s="4">
        <v>0</v>
      </c>
      <c r="R9" s="4">
        <v>0</v>
      </c>
      <c r="S9" s="4">
        <v>84.8</v>
      </c>
      <c r="T9" s="4">
        <v>8.1285444234404494E-2</v>
      </c>
      <c r="U9" s="4"/>
      <c r="V9" s="4">
        <v>13.8571428571429</v>
      </c>
      <c r="W9" s="4"/>
      <c r="X9" s="4"/>
      <c r="Y9" s="4">
        <f t="shared" si="0"/>
        <v>84.800000000000011</v>
      </c>
    </row>
    <row r="10" spans="1:25" x14ac:dyDescent="0.2">
      <c r="A10" s="3" t="s">
        <v>1083</v>
      </c>
      <c r="B10" s="3" t="s">
        <v>1075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54</v>
      </c>
      <c r="N10" s="3">
        <v>33</v>
      </c>
      <c r="O10" s="3">
        <v>420</v>
      </c>
      <c r="P10" s="3">
        <v>2</v>
      </c>
      <c r="Q10" s="3">
        <v>0</v>
      </c>
      <c r="R10" s="3">
        <v>0</v>
      </c>
      <c r="S10" s="3">
        <v>87</v>
      </c>
      <c r="T10" s="3">
        <v>0.102079395085066</v>
      </c>
      <c r="U10" s="3"/>
      <c r="V10" s="3">
        <v>12.7272727272727</v>
      </c>
      <c r="W10" s="3"/>
      <c r="X10" s="3"/>
      <c r="Y10" s="3">
        <f t="shared" si="0"/>
        <v>87</v>
      </c>
    </row>
    <row r="11" spans="1:25" x14ac:dyDescent="0.2">
      <c r="A11" s="4" t="s">
        <v>1084</v>
      </c>
      <c r="B11" s="4" t="s">
        <v>1075</v>
      </c>
      <c r="C11" s="4" t="s">
        <v>38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</v>
      </c>
      <c r="N11" s="4">
        <v>3</v>
      </c>
      <c r="O11" s="4">
        <v>19</v>
      </c>
      <c r="P11" s="4">
        <v>0</v>
      </c>
      <c r="Q11" s="4">
        <v>0</v>
      </c>
      <c r="R11" s="4">
        <v>0</v>
      </c>
      <c r="S11" s="4">
        <v>4.9000000000000004</v>
      </c>
      <c r="T11" s="4">
        <v>7.5614366729678598E-3</v>
      </c>
      <c r="U11" s="4"/>
      <c r="V11" s="4">
        <v>6.3333333333333304</v>
      </c>
      <c r="W11" s="4"/>
      <c r="X11" s="4"/>
      <c r="Y11" s="4">
        <f t="shared" si="0"/>
        <v>4.9000000000000004</v>
      </c>
    </row>
    <row r="12" spans="1:25" x14ac:dyDescent="0.2">
      <c r="A12" s="3" t="s">
        <v>1085</v>
      </c>
      <c r="B12" s="3" t="s">
        <v>1075</v>
      </c>
      <c r="C12" s="3" t="s">
        <v>43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3</v>
      </c>
      <c r="K12" s="3">
        <v>-1</v>
      </c>
      <c r="L12" s="3">
        <v>0</v>
      </c>
      <c r="M12" s="3">
        <v>180</v>
      </c>
      <c r="N12" s="3">
        <v>100</v>
      </c>
      <c r="O12" s="3">
        <v>1516</v>
      </c>
      <c r="P12" s="3">
        <v>14</v>
      </c>
      <c r="Q12" s="3">
        <v>0</v>
      </c>
      <c r="R12" s="3">
        <v>0</v>
      </c>
      <c r="S12" s="3">
        <v>335.5</v>
      </c>
      <c r="T12" s="3">
        <v>0.34026465028355402</v>
      </c>
      <c r="U12" s="3">
        <v>-0.33333333333333298</v>
      </c>
      <c r="V12" s="3">
        <v>15.16</v>
      </c>
      <c r="W12" s="3"/>
      <c r="X12" s="3"/>
      <c r="Y12" s="3">
        <f t="shared" si="0"/>
        <v>335.5</v>
      </c>
    </row>
    <row r="13" spans="1:25" x14ac:dyDescent="0.2">
      <c r="A13" s="4" t="s">
        <v>1086</v>
      </c>
      <c r="B13" s="4" t="s">
        <v>1075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4</v>
      </c>
      <c r="K13" s="4">
        <v>26</v>
      </c>
      <c r="L13" s="4">
        <v>0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2.6</v>
      </c>
      <c r="T13" s="4">
        <v>1.8903591682419699E-3</v>
      </c>
      <c r="U13" s="4">
        <v>6.5</v>
      </c>
      <c r="V13" s="4"/>
      <c r="W13" s="4"/>
      <c r="X13" s="4"/>
      <c r="Y13" s="4">
        <f t="shared" si="0"/>
        <v>2.6</v>
      </c>
    </row>
    <row r="14" spans="1:25" x14ac:dyDescent="0.2">
      <c r="A14" s="3" t="s">
        <v>1087</v>
      </c>
      <c r="B14" s="3" t="s">
        <v>1075</v>
      </c>
      <c r="C14" s="3" t="s">
        <v>43</v>
      </c>
      <c r="D14" s="3">
        <v>10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50</v>
      </c>
      <c r="N14" s="3">
        <v>36</v>
      </c>
      <c r="O14" s="3">
        <v>330</v>
      </c>
      <c r="P14" s="3">
        <v>2</v>
      </c>
      <c r="Q14" s="3">
        <v>0</v>
      </c>
      <c r="R14" s="3">
        <v>0</v>
      </c>
      <c r="S14" s="3">
        <v>79</v>
      </c>
      <c r="T14" s="3">
        <v>9.4517958412098299E-2</v>
      </c>
      <c r="U14" s="3"/>
      <c r="V14" s="3">
        <v>9.1666666666666696</v>
      </c>
      <c r="W14" s="3"/>
      <c r="X14" s="3"/>
      <c r="Y14" s="3">
        <f t="shared" si="0"/>
        <v>81</v>
      </c>
    </row>
    <row r="15" spans="1:25" x14ac:dyDescent="0.2">
      <c r="A15" s="4" t="s">
        <v>1088</v>
      </c>
      <c r="B15" s="4" t="s">
        <v>1075</v>
      </c>
      <c r="C15" s="4" t="s">
        <v>43</v>
      </c>
      <c r="D15" s="4">
        <v>9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21</v>
      </c>
      <c r="N15" s="4">
        <v>10</v>
      </c>
      <c r="O15" s="4">
        <v>141</v>
      </c>
      <c r="P15" s="4">
        <v>1</v>
      </c>
      <c r="Q15" s="4">
        <v>0</v>
      </c>
      <c r="R15" s="4">
        <v>0</v>
      </c>
      <c r="S15" s="4">
        <v>30.1</v>
      </c>
      <c r="T15" s="4">
        <v>3.9697542533081297E-2</v>
      </c>
      <c r="U15" s="4"/>
      <c r="V15" s="4">
        <v>14.1</v>
      </c>
      <c r="W15" s="4"/>
      <c r="X15" s="4"/>
      <c r="Y15" s="4">
        <f t="shared" si="0"/>
        <v>30.1</v>
      </c>
    </row>
    <row r="16" spans="1:25" x14ac:dyDescent="0.2">
      <c r="A16" s="3" t="s">
        <v>1089</v>
      </c>
      <c r="B16" s="3" t="s">
        <v>1075</v>
      </c>
      <c r="C16" s="3" t="s">
        <v>43</v>
      </c>
      <c r="D16" s="3">
        <v>17</v>
      </c>
      <c r="E16" s="3">
        <v>1</v>
      </c>
      <c r="F16" s="3">
        <v>1</v>
      </c>
      <c r="G16" s="3">
        <v>4</v>
      </c>
      <c r="H16" s="3">
        <v>0</v>
      </c>
      <c r="I16" s="3">
        <v>0</v>
      </c>
      <c r="J16" s="3">
        <v>4</v>
      </c>
      <c r="K16" s="3">
        <v>40</v>
      </c>
      <c r="L16" s="3">
        <v>0</v>
      </c>
      <c r="M16" s="3">
        <v>94</v>
      </c>
      <c r="N16" s="3">
        <v>57</v>
      </c>
      <c r="O16" s="3">
        <v>690</v>
      </c>
      <c r="P16" s="3">
        <v>4</v>
      </c>
      <c r="Q16" s="3">
        <v>0</v>
      </c>
      <c r="R16" s="3">
        <v>0</v>
      </c>
      <c r="S16" s="3">
        <v>154.16</v>
      </c>
      <c r="T16" s="3">
        <v>0.177693761814745</v>
      </c>
      <c r="U16" s="3">
        <v>10</v>
      </c>
      <c r="V16" s="3">
        <v>12.105263157894701</v>
      </c>
      <c r="W16" s="3">
        <v>1</v>
      </c>
      <c r="X16" s="3">
        <v>0</v>
      </c>
      <c r="Y16" s="3">
        <f t="shared" si="0"/>
        <v>154.16</v>
      </c>
    </row>
    <row r="30" spans="1:13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">
      <c r="A31" s="3" t="s">
        <v>1075</v>
      </c>
      <c r="B31" s="3">
        <v>6242</v>
      </c>
      <c r="C31" s="3">
        <v>4182</v>
      </c>
      <c r="D31" s="3">
        <v>427</v>
      </c>
      <c r="E31" s="3">
        <v>2060</v>
      </c>
      <c r="F31" s="3">
        <v>12</v>
      </c>
      <c r="G31" s="3">
        <v>1462.48</v>
      </c>
      <c r="H31" s="3">
        <v>586</v>
      </c>
      <c r="I31" s="3">
        <v>0.61262798634812299</v>
      </c>
      <c r="J31" s="3">
        <v>28</v>
      </c>
      <c r="K31" s="3">
        <v>17</v>
      </c>
      <c r="L31" s="3">
        <v>1</v>
      </c>
      <c r="M31" s="3">
        <f ca="1">SUM(INDIRECT(A33 &amp; "_Table1[[#All],[f_custom]]"))</f>
        <v>1466.4799999999998</v>
      </c>
    </row>
    <row r="32" spans="1:13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LV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1090</v>
      </c>
      <c r="B36" s="3" t="s">
        <v>26</v>
      </c>
      <c r="C36" s="3">
        <v>24</v>
      </c>
      <c r="D36" s="3">
        <v>1</v>
      </c>
      <c r="E36" s="3" t="s">
        <v>666</v>
      </c>
      <c r="F36" s="3" t="s">
        <v>1075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1091</v>
      </c>
      <c r="B37" s="4" t="s">
        <v>26</v>
      </c>
      <c r="C37" s="4">
        <v>31</v>
      </c>
      <c r="D37" s="4">
        <v>10</v>
      </c>
      <c r="E37" s="4" t="s">
        <v>1092</v>
      </c>
      <c r="F37" s="4" t="s">
        <v>1075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1093</v>
      </c>
      <c r="B38" s="3" t="s">
        <v>26</v>
      </c>
      <c r="C38" s="3">
        <v>37</v>
      </c>
      <c r="D38" s="3">
        <v>15</v>
      </c>
      <c r="E38" s="3" t="s">
        <v>744</v>
      </c>
      <c r="F38" s="3" t="s">
        <v>1075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">
      <c r="A39" s="4" t="s">
        <v>1094</v>
      </c>
      <c r="B39" s="4" t="s">
        <v>26</v>
      </c>
      <c r="C39" s="4">
        <v>24</v>
      </c>
      <c r="D39" s="4">
        <v>0</v>
      </c>
      <c r="E39" s="4" t="s">
        <v>62</v>
      </c>
      <c r="F39" s="4" t="s">
        <v>1075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1095</v>
      </c>
      <c r="B46" s="3" t="s">
        <v>31</v>
      </c>
      <c r="C46" s="3">
        <v>30</v>
      </c>
      <c r="D46" s="3">
        <v>9</v>
      </c>
      <c r="E46" s="3" t="s">
        <v>248</v>
      </c>
      <c r="F46" s="3" t="s">
        <v>1075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4" si="1">($J46*0.04)+($K46*4)+($L46*-2)+($N46*0.1)+($O46*6)+($Q46)+($R46*0.1)+($S46*6)+($T46*-2)</f>
        <v>0</v>
      </c>
      <c r="W46" s="3" t="e">
        <f t="shared" ref="W46:W54" ca="1" si="2">$P46/$H$33</f>
        <v>#DIV/0!</v>
      </c>
      <c r="X46" s="3" t="e">
        <f t="shared" ref="X46:X54" si="3">$N46/$M46</f>
        <v>#DIV/0!</v>
      </c>
      <c r="Y46" s="3" t="e">
        <f t="shared" ref="Y46:Y54" si="4">$R46/$Q46</f>
        <v>#DIV/0!</v>
      </c>
      <c r="Z46" s="3" t="e">
        <f t="shared" ref="Z46:Z54" si="5">$I46/$H46</f>
        <v>#DIV/0!</v>
      </c>
      <c r="AA46" s="3" t="e">
        <f>$K46/$H46</f>
        <v>#DIV/0!</v>
      </c>
      <c r="AB46" s="3">
        <f t="shared" ref="AB46:AB54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1096</v>
      </c>
      <c r="B47" s="4" t="s">
        <v>31</v>
      </c>
      <c r="C47" s="4">
        <v>33</v>
      </c>
      <c r="D47" s="4">
        <v>11</v>
      </c>
      <c r="E47" s="4" t="s">
        <v>240</v>
      </c>
      <c r="F47" s="4" t="s">
        <v>1075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1097</v>
      </c>
      <c r="B48" s="3" t="s">
        <v>31</v>
      </c>
      <c r="C48" s="3">
        <v>25</v>
      </c>
      <c r="D48" s="3">
        <v>2</v>
      </c>
      <c r="E48" s="3" t="s">
        <v>418</v>
      </c>
      <c r="F48" s="3" t="s">
        <v>1075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1098</v>
      </c>
      <c r="B49" s="4" t="s">
        <v>31</v>
      </c>
      <c r="C49" s="4">
        <v>25</v>
      </c>
      <c r="D49" s="4">
        <v>5</v>
      </c>
      <c r="E49" s="4" t="s">
        <v>153</v>
      </c>
      <c r="F49" s="4" t="s">
        <v>1075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1099</v>
      </c>
      <c r="B50" s="3" t="s">
        <v>31</v>
      </c>
      <c r="C50" s="3">
        <v>22</v>
      </c>
      <c r="D50" s="3">
        <v>2</v>
      </c>
      <c r="E50" s="3" t="s">
        <v>1100</v>
      </c>
      <c r="F50" s="3" t="s">
        <v>1075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1101</v>
      </c>
      <c r="B51" s="4" t="s">
        <v>31</v>
      </c>
      <c r="C51" s="4">
        <v>26</v>
      </c>
      <c r="D51" s="4">
        <v>3</v>
      </c>
      <c r="E51" s="4" t="s">
        <v>89</v>
      </c>
      <c r="F51" s="4" t="s">
        <v>1075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52" spans="1:28" x14ac:dyDescent="0.2">
      <c r="A52" s="3" t="s">
        <v>1102</v>
      </c>
      <c r="B52" s="3" t="s">
        <v>31</v>
      </c>
      <c r="C52" s="3">
        <v>26</v>
      </c>
      <c r="D52" s="3">
        <v>3</v>
      </c>
      <c r="E52" s="3" t="s">
        <v>1065</v>
      </c>
      <c r="F52" s="3" t="s">
        <v>1075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>$K52/$H52</f>
        <v>#DIV/0!</v>
      </c>
      <c r="AB52" s="3">
        <f t="shared" si="6"/>
        <v>0</v>
      </c>
    </row>
    <row r="53" spans="1:28" x14ac:dyDescent="0.2">
      <c r="A53" s="4" t="s">
        <v>1103</v>
      </c>
      <c r="B53" s="4" t="s">
        <v>31</v>
      </c>
      <c r="C53" s="4">
        <v>23</v>
      </c>
      <c r="D53" s="4">
        <v>2</v>
      </c>
      <c r="E53" s="4" t="s">
        <v>173</v>
      </c>
      <c r="F53" s="4" t="s">
        <v>1075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f t="shared" si="1"/>
        <v>0</v>
      </c>
      <c r="W53" s="4" t="e">
        <f t="shared" ca="1" si="2"/>
        <v>#DIV/0!</v>
      </c>
      <c r="X53" s="4" t="e">
        <f t="shared" si="3"/>
        <v>#DIV/0!</v>
      </c>
      <c r="Y53" s="4" t="e">
        <f t="shared" si="4"/>
        <v>#DIV/0!</v>
      </c>
      <c r="Z53" s="4" t="e">
        <f t="shared" si="5"/>
        <v>#DIV/0!</v>
      </c>
      <c r="AA53" s="4" t="e">
        <f>$K53/$H53</f>
        <v>#DIV/0!</v>
      </c>
      <c r="AB53" s="4">
        <f t="shared" si="6"/>
        <v>0</v>
      </c>
    </row>
    <row r="54" spans="1:28" x14ac:dyDescent="0.2">
      <c r="A54" s="3" t="s">
        <v>1104</v>
      </c>
      <c r="B54" s="3" t="s">
        <v>31</v>
      </c>
      <c r="C54" s="3">
        <v>31</v>
      </c>
      <c r="D54" s="3">
        <v>9</v>
      </c>
      <c r="E54" s="3" t="s">
        <v>68</v>
      </c>
      <c r="F54" s="3" t="s">
        <v>1075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f t="shared" si="1"/>
        <v>0</v>
      </c>
      <c r="W54" s="3" t="e">
        <f t="shared" ca="1" si="2"/>
        <v>#DIV/0!</v>
      </c>
      <c r="X54" s="3" t="e">
        <f t="shared" si="3"/>
        <v>#DIV/0!</v>
      </c>
      <c r="Y54" s="3" t="e">
        <f t="shared" si="4"/>
        <v>#DIV/0!</v>
      </c>
      <c r="Z54" s="3" t="e">
        <f t="shared" si="5"/>
        <v>#DIV/0!</v>
      </c>
      <c r="AA54" s="3" t="e">
        <f>$K54/$H54</f>
        <v>#DIV/0!</v>
      </c>
      <c r="AB54" s="3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1105</v>
      </c>
      <c r="B61" s="3" t="s">
        <v>43</v>
      </c>
      <c r="C61" s="3">
        <v>30</v>
      </c>
      <c r="D61" s="3">
        <v>10</v>
      </c>
      <c r="E61" s="3" t="s">
        <v>280</v>
      </c>
      <c r="F61" s="3" t="s">
        <v>1075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7">($J61*0.04)+($K61*4)+($L61*-2)+($N61*0.1)+($O61*6)+($Q61)+($R61*0.1)+($S61*6)+($T61*-2)</f>
        <v>0</v>
      </c>
      <c r="W61" s="3" t="e">
        <f t="shared" ref="W61:W71" ca="1" si="8">$P61/$H$33</f>
        <v>#DIV/0!</v>
      </c>
      <c r="X61" s="3" t="e">
        <f t="shared" ref="X61:X71" si="9">$N61/$M61</f>
        <v>#DIV/0!</v>
      </c>
      <c r="Y61" s="3" t="e">
        <f t="shared" ref="Y61:Y71" si="10">$R61/$Q61</f>
        <v>#DIV/0!</v>
      </c>
      <c r="Z61" s="3" t="e">
        <f t="shared" ref="Z61:Z71" si="11">$I61/$H61</f>
        <v>#DIV/0!</v>
      </c>
      <c r="AA61" s="3" t="e">
        <f>$K61/$H61</f>
        <v>#DIV/0!</v>
      </c>
      <c r="AB61" s="3">
        <f t="shared" ref="AB61:AB71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1106</v>
      </c>
      <c r="B62" s="4" t="s">
        <v>43</v>
      </c>
      <c r="C62" s="4">
        <v>30</v>
      </c>
      <c r="D62" s="4">
        <v>6</v>
      </c>
      <c r="E62" s="4" t="s">
        <v>1107</v>
      </c>
      <c r="F62" s="4" t="s">
        <v>1075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1108</v>
      </c>
      <c r="B63" s="3" t="s">
        <v>43</v>
      </c>
      <c r="C63" s="3">
        <v>30</v>
      </c>
      <c r="D63" s="3">
        <v>7</v>
      </c>
      <c r="E63" s="3" t="s">
        <v>1109</v>
      </c>
      <c r="F63" s="3" t="s">
        <v>1075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1110</v>
      </c>
      <c r="B64" s="4" t="s">
        <v>43</v>
      </c>
      <c r="C64" s="4">
        <v>30</v>
      </c>
      <c r="D64" s="4">
        <v>9</v>
      </c>
      <c r="E64" s="4" t="s">
        <v>397</v>
      </c>
      <c r="F64" s="4" t="s">
        <v>1075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1111</v>
      </c>
      <c r="B65" s="3" t="s">
        <v>43</v>
      </c>
      <c r="C65" s="3">
        <v>27</v>
      </c>
      <c r="D65" s="3">
        <v>1</v>
      </c>
      <c r="E65" s="3" t="s">
        <v>218</v>
      </c>
      <c r="F65" s="3" t="s">
        <v>1075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1112</v>
      </c>
      <c r="B66" s="4" t="s">
        <v>43</v>
      </c>
      <c r="C66" s="4">
        <v>26</v>
      </c>
      <c r="D66" s="4">
        <v>5</v>
      </c>
      <c r="E66" s="4" t="s">
        <v>1113</v>
      </c>
      <c r="F66" s="4" t="s">
        <v>1075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1114</v>
      </c>
      <c r="B67" s="3" t="s">
        <v>43</v>
      </c>
      <c r="C67" s="3">
        <v>27</v>
      </c>
      <c r="D67" s="3">
        <v>5</v>
      </c>
      <c r="E67" s="3" t="s">
        <v>458</v>
      </c>
      <c r="F67" s="3" t="s">
        <v>1075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1115</v>
      </c>
      <c r="B68" s="4" t="s">
        <v>43</v>
      </c>
      <c r="C68" s="4">
        <v>27</v>
      </c>
      <c r="D68" s="4">
        <v>6</v>
      </c>
      <c r="E68" s="4" t="s">
        <v>153</v>
      </c>
      <c r="F68" s="4" t="s">
        <v>1075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1116</v>
      </c>
      <c r="B69" s="3" t="s">
        <v>43</v>
      </c>
      <c r="C69" s="3">
        <v>22</v>
      </c>
      <c r="D69" s="3">
        <v>0</v>
      </c>
      <c r="E69" s="3" t="s">
        <v>136</v>
      </c>
      <c r="F69" s="3" t="s">
        <v>1075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1117</v>
      </c>
      <c r="B70" s="4" t="s">
        <v>43</v>
      </c>
      <c r="C70" s="4">
        <v>26</v>
      </c>
      <c r="D70" s="4">
        <v>1</v>
      </c>
      <c r="E70" s="4" t="s">
        <v>1118</v>
      </c>
      <c r="F70" s="4" t="s">
        <v>1075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1119</v>
      </c>
      <c r="B71" s="3" t="s">
        <v>43</v>
      </c>
      <c r="C71" s="3">
        <v>26</v>
      </c>
      <c r="D71" s="3">
        <v>4</v>
      </c>
      <c r="E71" s="3" t="s">
        <v>549</v>
      </c>
      <c r="F71" s="3" t="s">
        <v>1075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1120</v>
      </c>
      <c r="B76" s="3" t="s">
        <v>38</v>
      </c>
      <c r="C76" s="3">
        <v>25</v>
      </c>
      <c r="D76" s="3">
        <v>1</v>
      </c>
      <c r="E76" s="3" t="s">
        <v>207</v>
      </c>
      <c r="F76" s="3" t="s">
        <v>1075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3">($J76*0.04)+($K76*4)+($L76*-2)+($N76*0.1)+($O76*6)+($Q76)+($R76*0.1)+($S76*6)+($T76*-2)</f>
        <v>0</v>
      </c>
      <c r="W76" s="3" t="e">
        <f t="shared" ref="W76:W81" ca="1" si="14">$P76/$H$33</f>
        <v>#DIV/0!</v>
      </c>
      <c r="X76" s="3" t="e">
        <f t="shared" ref="X76:X81" si="15">$N76/$M76</f>
        <v>#DIV/0!</v>
      </c>
      <c r="Y76" s="3" t="e">
        <f t="shared" ref="Y76:Y81" si="16">$R76/$Q76</f>
        <v>#DIV/0!</v>
      </c>
      <c r="Z76" s="3" t="e">
        <f t="shared" ref="Z76:Z81" si="17">$I76/$H76</f>
        <v>#DIV/0!</v>
      </c>
      <c r="AA76" s="3" t="e">
        <f>$K76/$H76</f>
        <v>#DIV/0!</v>
      </c>
      <c r="AB76" s="3">
        <f t="shared" ref="AB76:AB81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1121</v>
      </c>
      <c r="B77" s="4" t="s">
        <v>38</v>
      </c>
      <c r="C77" s="4">
        <v>29</v>
      </c>
      <c r="D77" s="4">
        <v>7</v>
      </c>
      <c r="E77" s="4" t="s">
        <v>272</v>
      </c>
      <c r="F77" s="4" t="s">
        <v>1075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1122</v>
      </c>
      <c r="B78" s="3" t="s">
        <v>38</v>
      </c>
      <c r="C78" s="3">
        <v>28</v>
      </c>
      <c r="D78" s="3">
        <v>8</v>
      </c>
      <c r="E78" s="3" t="s">
        <v>102</v>
      </c>
      <c r="F78" s="3" t="s">
        <v>1075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1123</v>
      </c>
      <c r="B79" s="4" t="s">
        <v>38</v>
      </c>
      <c r="C79" s="4">
        <v>26</v>
      </c>
      <c r="D79" s="4">
        <v>4</v>
      </c>
      <c r="E79" s="4" t="s">
        <v>415</v>
      </c>
      <c r="F79" s="4" t="s">
        <v>1075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1124</v>
      </c>
      <c r="B80" s="3" t="s">
        <v>38</v>
      </c>
      <c r="C80" s="3">
        <v>22</v>
      </c>
      <c r="D80" s="3">
        <v>0</v>
      </c>
      <c r="E80" s="3" t="s">
        <v>362</v>
      </c>
      <c r="F80" s="3" t="s">
        <v>1075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1125</v>
      </c>
      <c r="B81" s="4" t="s">
        <v>38</v>
      </c>
      <c r="C81" s="4">
        <v>24</v>
      </c>
      <c r="D81" s="4">
        <v>0</v>
      </c>
      <c r="E81" s="4" t="s">
        <v>464</v>
      </c>
      <c r="F81" s="4" t="s">
        <v>1075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B81"/>
  <sheetViews>
    <sheetView topLeftCell="A2" zoomScale="90" zoomScaleNormal="90" workbookViewId="0">
      <selection activeCell="A21" sqref="A21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1126</v>
      </c>
      <c r="B2" s="3" t="s">
        <v>1127</v>
      </c>
      <c r="C2" s="3" t="s">
        <v>115</v>
      </c>
      <c r="D2" s="3">
        <v>12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6</v>
      </c>
      <c r="K2" s="3">
        <v>8</v>
      </c>
      <c r="L2" s="3">
        <v>1</v>
      </c>
      <c r="M2" s="3">
        <v>23</v>
      </c>
      <c r="N2" s="3">
        <v>15</v>
      </c>
      <c r="O2" s="3">
        <v>105</v>
      </c>
      <c r="P2" s="3">
        <v>1</v>
      </c>
      <c r="Q2" s="3">
        <v>0</v>
      </c>
      <c r="R2" s="3">
        <v>0</v>
      </c>
      <c r="S2" s="3">
        <v>38.299999999999997</v>
      </c>
      <c r="T2" s="3">
        <v>3.9249146757679203E-2</v>
      </c>
      <c r="U2" s="3">
        <v>1.3333333333333299</v>
      </c>
      <c r="V2" s="3">
        <v>7</v>
      </c>
      <c r="W2" s="3"/>
      <c r="X2" s="3"/>
      <c r="Y2" s="3">
        <f t="shared" ref="Y2:Y20" si="0">($G2*Cp_yd)+($H2*Cp_td)+($I2*Cint)+($J2*Ccar)+($K2*Cr_yd)+($L2*Cr_td)+($N2*Crec)+($O2*Crec_yd)+($P2*Crec_td)+($Q2*Cfmb)+($R2*Ctp_c)</f>
        <v>38.299999999999997</v>
      </c>
    </row>
    <row r="3" spans="1:25" x14ac:dyDescent="0.2">
      <c r="A3" s="4" t="s">
        <v>1128</v>
      </c>
      <c r="B3" s="4" t="s">
        <v>1127</v>
      </c>
      <c r="C3" s="4" t="s">
        <v>26</v>
      </c>
      <c r="D3" s="4">
        <v>7</v>
      </c>
      <c r="E3" s="4">
        <v>105</v>
      </c>
      <c r="F3" s="4">
        <v>60</v>
      </c>
      <c r="G3" s="4">
        <v>534</v>
      </c>
      <c r="H3" s="4">
        <v>1</v>
      </c>
      <c r="I3" s="4">
        <v>3</v>
      </c>
      <c r="J3" s="4">
        <v>14</v>
      </c>
      <c r="K3" s="4">
        <v>21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17.46</v>
      </c>
      <c r="T3" s="4">
        <v>0</v>
      </c>
      <c r="U3" s="4">
        <v>1.5</v>
      </c>
      <c r="V3" s="4"/>
      <c r="W3" s="4">
        <v>0.57142857142857095</v>
      </c>
      <c r="X3" s="4">
        <v>9.5238095238095195E-3</v>
      </c>
      <c r="Y3" s="4">
        <f t="shared" si="0"/>
        <v>17.46</v>
      </c>
    </row>
    <row r="4" spans="1:25" x14ac:dyDescent="0.2">
      <c r="A4" s="3" t="s">
        <v>1129</v>
      </c>
      <c r="B4" s="3" t="s">
        <v>1127</v>
      </c>
      <c r="C4" s="3" t="s">
        <v>26</v>
      </c>
      <c r="D4" s="3">
        <v>5</v>
      </c>
      <c r="E4" s="3">
        <v>79</v>
      </c>
      <c r="F4" s="3">
        <v>49</v>
      </c>
      <c r="G4" s="3">
        <v>683</v>
      </c>
      <c r="H4" s="3">
        <v>4</v>
      </c>
      <c r="I4" s="3">
        <v>4</v>
      </c>
      <c r="J4" s="3">
        <v>3</v>
      </c>
      <c r="K4" s="3">
        <v>27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38.020000000000003</v>
      </c>
      <c r="T4" s="3">
        <v>0</v>
      </c>
      <c r="U4" s="3">
        <v>9</v>
      </c>
      <c r="V4" s="3"/>
      <c r="W4" s="3">
        <v>0.620253164556962</v>
      </c>
      <c r="X4" s="3">
        <v>5.0632911392405097E-2</v>
      </c>
      <c r="Y4" s="3">
        <f t="shared" si="0"/>
        <v>38.020000000000003</v>
      </c>
    </row>
    <row r="5" spans="1:25" x14ac:dyDescent="0.2">
      <c r="A5" s="4" t="s">
        <v>1130</v>
      </c>
      <c r="B5" s="4" t="s">
        <v>1127</v>
      </c>
      <c r="C5" s="4" t="s">
        <v>26</v>
      </c>
      <c r="D5" s="4">
        <v>13</v>
      </c>
      <c r="E5" s="4">
        <v>400</v>
      </c>
      <c r="F5" s="4">
        <v>259</v>
      </c>
      <c r="G5" s="4">
        <v>3548</v>
      </c>
      <c r="H5" s="4">
        <v>25</v>
      </c>
      <c r="I5" s="4">
        <v>8</v>
      </c>
      <c r="J5" s="4">
        <v>24</v>
      </c>
      <c r="K5" s="4">
        <v>70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230.92</v>
      </c>
      <c r="T5" s="4">
        <v>0</v>
      </c>
      <c r="U5" s="4">
        <v>2.9166666666666701</v>
      </c>
      <c r="V5" s="4"/>
      <c r="W5" s="4">
        <v>0.64749999999999996</v>
      </c>
      <c r="X5" s="4">
        <v>6.25E-2</v>
      </c>
      <c r="Y5" s="4">
        <f t="shared" si="0"/>
        <v>230.92000000000002</v>
      </c>
    </row>
    <row r="6" spans="1:25" x14ac:dyDescent="0.2">
      <c r="A6" s="3" t="s">
        <v>586</v>
      </c>
      <c r="B6" s="3" t="s">
        <v>1127</v>
      </c>
      <c r="C6" s="3" t="s">
        <v>31</v>
      </c>
      <c r="D6" s="3">
        <v>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42</v>
      </c>
      <c r="K6" s="3">
        <v>120</v>
      </c>
      <c r="L6" s="3">
        <v>2</v>
      </c>
      <c r="M6" s="3">
        <v>17</v>
      </c>
      <c r="N6" s="3">
        <v>10</v>
      </c>
      <c r="O6" s="3">
        <v>96</v>
      </c>
      <c r="P6" s="3">
        <v>1</v>
      </c>
      <c r="Q6" s="3">
        <v>0</v>
      </c>
      <c r="R6" s="3">
        <v>0</v>
      </c>
      <c r="S6" s="3">
        <v>49.6</v>
      </c>
      <c r="T6" s="3">
        <v>2.90102389078498E-2</v>
      </c>
      <c r="U6" s="3">
        <v>2.8571428571428599</v>
      </c>
      <c r="V6" s="3">
        <v>9.6</v>
      </c>
      <c r="W6" s="3"/>
      <c r="X6" s="3"/>
      <c r="Y6" s="3">
        <f t="shared" si="0"/>
        <v>49.6</v>
      </c>
    </row>
    <row r="7" spans="1:25" x14ac:dyDescent="0.2">
      <c r="A7" s="4" t="s">
        <v>1131</v>
      </c>
      <c r="B7" s="4" t="s">
        <v>1127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84</v>
      </c>
      <c r="K7" s="4">
        <v>392</v>
      </c>
      <c r="L7" s="4">
        <v>3</v>
      </c>
      <c r="M7" s="4">
        <v>24</v>
      </c>
      <c r="N7" s="4">
        <v>12</v>
      </c>
      <c r="O7" s="4">
        <v>94</v>
      </c>
      <c r="P7" s="4">
        <v>1</v>
      </c>
      <c r="Q7" s="4">
        <v>0</v>
      </c>
      <c r="R7" s="4">
        <v>0</v>
      </c>
      <c r="S7" s="4">
        <v>84.6</v>
      </c>
      <c r="T7" s="4">
        <v>4.0955631399317398E-2</v>
      </c>
      <c r="U7" s="4">
        <v>4.6666666666666696</v>
      </c>
      <c r="V7" s="4">
        <v>7.8333333333333304</v>
      </c>
      <c r="W7" s="4"/>
      <c r="X7" s="4"/>
      <c r="Y7" s="4">
        <f t="shared" si="0"/>
        <v>84.600000000000009</v>
      </c>
    </row>
    <row r="8" spans="1:25" x14ac:dyDescent="0.2">
      <c r="A8" s="3" t="s">
        <v>1132</v>
      </c>
      <c r="B8" s="3" t="s">
        <v>1127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10</v>
      </c>
      <c r="K8" s="3">
        <v>26</v>
      </c>
      <c r="L8" s="3">
        <v>0</v>
      </c>
      <c r="M8" s="3">
        <v>6</v>
      </c>
      <c r="N8" s="3">
        <v>4</v>
      </c>
      <c r="O8" s="3">
        <v>28</v>
      </c>
      <c r="P8" s="3">
        <v>0</v>
      </c>
      <c r="Q8" s="3">
        <v>0</v>
      </c>
      <c r="R8" s="3">
        <v>0</v>
      </c>
      <c r="S8" s="3">
        <v>9.4</v>
      </c>
      <c r="T8" s="3">
        <v>1.02389078498294E-2</v>
      </c>
      <c r="U8" s="3">
        <v>2.6</v>
      </c>
      <c r="V8" s="3">
        <v>7</v>
      </c>
      <c r="W8" s="3"/>
      <c r="X8" s="3"/>
      <c r="Y8" s="3">
        <f t="shared" si="0"/>
        <v>9.4</v>
      </c>
    </row>
    <row r="9" spans="1:25" x14ac:dyDescent="0.2">
      <c r="A9" s="4" t="s">
        <v>1133</v>
      </c>
      <c r="B9" s="4" t="s">
        <v>1127</v>
      </c>
      <c r="C9" s="4" t="s">
        <v>31</v>
      </c>
      <c r="D9" s="4">
        <v>16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181</v>
      </c>
      <c r="K9" s="4">
        <v>891</v>
      </c>
      <c r="L9" s="4">
        <v>3</v>
      </c>
      <c r="M9" s="4">
        <v>42</v>
      </c>
      <c r="N9" s="4">
        <v>31</v>
      </c>
      <c r="O9" s="4">
        <v>202</v>
      </c>
      <c r="P9" s="4">
        <v>2</v>
      </c>
      <c r="Q9" s="4">
        <v>1</v>
      </c>
      <c r="R9" s="4">
        <v>0</v>
      </c>
      <c r="S9" s="4">
        <v>168.3</v>
      </c>
      <c r="T9" s="4">
        <v>7.16723549488055E-2</v>
      </c>
      <c r="U9" s="4">
        <v>4.9226519337016601</v>
      </c>
      <c r="V9" s="4">
        <v>6.5161290322580596</v>
      </c>
      <c r="W9" s="4"/>
      <c r="X9" s="4"/>
      <c r="Y9" s="4">
        <f t="shared" si="0"/>
        <v>168.3</v>
      </c>
    </row>
    <row r="10" spans="1:25" x14ac:dyDescent="0.2">
      <c r="A10" s="3" t="s">
        <v>1134</v>
      </c>
      <c r="B10" s="3" t="s">
        <v>1127</v>
      </c>
      <c r="C10" s="3" t="s">
        <v>31</v>
      </c>
      <c r="D10" s="3">
        <v>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12</v>
      </c>
      <c r="K10" s="3">
        <v>64</v>
      </c>
      <c r="L10" s="3">
        <v>1</v>
      </c>
      <c r="M10" s="3">
        <v>1</v>
      </c>
      <c r="N10" s="3">
        <v>1</v>
      </c>
      <c r="O10" s="3">
        <v>8</v>
      </c>
      <c r="P10" s="3">
        <v>0</v>
      </c>
      <c r="Q10" s="3">
        <v>0</v>
      </c>
      <c r="R10" s="3">
        <v>0</v>
      </c>
      <c r="S10" s="3">
        <v>14.2</v>
      </c>
      <c r="T10" s="3">
        <v>1.70648464163823E-3</v>
      </c>
      <c r="U10" s="3">
        <v>5.3333333333333304</v>
      </c>
      <c r="V10" s="3">
        <v>8</v>
      </c>
      <c r="W10" s="3"/>
      <c r="X10" s="3"/>
      <c r="Y10" s="3">
        <f t="shared" si="0"/>
        <v>14.200000000000001</v>
      </c>
    </row>
    <row r="11" spans="1:25" x14ac:dyDescent="0.2">
      <c r="A11" s="4" t="s">
        <v>1135</v>
      </c>
      <c r="B11" s="4" t="s">
        <v>1127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1</v>
      </c>
      <c r="L11" s="4">
        <v>1</v>
      </c>
      <c r="M11" s="4">
        <v>20</v>
      </c>
      <c r="N11" s="4">
        <v>15</v>
      </c>
      <c r="O11" s="4">
        <v>129</v>
      </c>
      <c r="P11" s="4">
        <v>1</v>
      </c>
      <c r="Q11" s="4">
        <v>0</v>
      </c>
      <c r="R11" s="4">
        <v>0</v>
      </c>
      <c r="S11" s="4">
        <v>40</v>
      </c>
      <c r="T11" s="4">
        <v>3.4129692832764499E-2</v>
      </c>
      <c r="U11" s="4">
        <v>0.5</v>
      </c>
      <c r="V11" s="4">
        <v>8.6</v>
      </c>
      <c r="W11" s="4"/>
      <c r="X11" s="4"/>
      <c r="Y11" s="4">
        <f t="shared" si="0"/>
        <v>40</v>
      </c>
    </row>
    <row r="12" spans="1:25" x14ac:dyDescent="0.2">
      <c r="A12" s="3" t="s">
        <v>1136</v>
      </c>
      <c r="B12" s="3" t="s">
        <v>1127</v>
      </c>
      <c r="C12" s="3" t="s">
        <v>38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52</v>
      </c>
      <c r="N12" s="3">
        <v>32</v>
      </c>
      <c r="O12" s="3">
        <v>362</v>
      </c>
      <c r="P12" s="3">
        <v>5</v>
      </c>
      <c r="Q12" s="3">
        <v>0</v>
      </c>
      <c r="R12" s="3">
        <v>0</v>
      </c>
      <c r="S12" s="3">
        <v>98.2</v>
      </c>
      <c r="T12" s="3">
        <v>8.8737201365187701E-2</v>
      </c>
      <c r="U12" s="3"/>
      <c r="V12" s="3">
        <v>11.3125</v>
      </c>
      <c r="W12" s="3"/>
      <c r="X12" s="3"/>
      <c r="Y12" s="3">
        <f t="shared" si="0"/>
        <v>98.2</v>
      </c>
    </row>
    <row r="13" spans="1:25" x14ac:dyDescent="0.2">
      <c r="A13" s="4" t="s">
        <v>1137</v>
      </c>
      <c r="B13" s="4" t="s">
        <v>1127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3</v>
      </c>
      <c r="N13" s="4">
        <v>2</v>
      </c>
      <c r="O13" s="4">
        <v>17</v>
      </c>
      <c r="P13" s="4">
        <v>0</v>
      </c>
      <c r="Q13" s="4">
        <v>0</v>
      </c>
      <c r="R13" s="4">
        <v>0</v>
      </c>
      <c r="S13" s="4">
        <v>1.7</v>
      </c>
      <c r="T13" s="4">
        <v>5.1194539249146799E-3</v>
      </c>
      <c r="U13" s="4"/>
      <c r="V13" s="4">
        <v>8.5</v>
      </c>
      <c r="W13" s="4"/>
      <c r="X13" s="4"/>
      <c r="Y13" s="4">
        <f t="shared" si="0"/>
        <v>3.7</v>
      </c>
    </row>
    <row r="14" spans="1:25" x14ac:dyDescent="0.2">
      <c r="A14" s="3" t="s">
        <v>1138</v>
      </c>
      <c r="B14" s="3" t="s">
        <v>1127</v>
      </c>
      <c r="C14" s="3" t="s">
        <v>43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1</v>
      </c>
      <c r="K14" s="3">
        <v>8</v>
      </c>
      <c r="L14" s="3">
        <v>0</v>
      </c>
      <c r="M14" s="3">
        <v>18</v>
      </c>
      <c r="N14" s="3">
        <v>12</v>
      </c>
      <c r="O14" s="3">
        <v>136</v>
      </c>
      <c r="P14" s="3">
        <v>0</v>
      </c>
      <c r="Q14" s="3">
        <v>0</v>
      </c>
      <c r="R14" s="3">
        <v>0</v>
      </c>
      <c r="S14" s="3">
        <v>26.4</v>
      </c>
      <c r="T14" s="3">
        <v>3.0716723549488099E-2</v>
      </c>
      <c r="U14" s="3">
        <v>8</v>
      </c>
      <c r="V14" s="3">
        <v>11.3333333333333</v>
      </c>
      <c r="W14" s="3"/>
      <c r="X14" s="3"/>
      <c r="Y14" s="3">
        <f t="shared" si="0"/>
        <v>26.400000000000002</v>
      </c>
    </row>
    <row r="15" spans="1:25" x14ac:dyDescent="0.2">
      <c r="A15" s="4" t="s">
        <v>1139</v>
      </c>
      <c r="B15" s="4" t="s">
        <v>1127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</v>
      </c>
      <c r="N15" s="4">
        <v>1</v>
      </c>
      <c r="O15" s="4">
        <v>3</v>
      </c>
      <c r="P15" s="4">
        <v>0</v>
      </c>
      <c r="Q15" s="4">
        <v>0</v>
      </c>
      <c r="R15" s="4">
        <v>0</v>
      </c>
      <c r="S15" s="4">
        <v>1.3</v>
      </c>
      <c r="T15" s="4">
        <v>1.70648464163823E-3</v>
      </c>
      <c r="U15" s="4"/>
      <c r="V15" s="4">
        <v>3</v>
      </c>
      <c r="W15" s="4"/>
      <c r="X15" s="4"/>
      <c r="Y15" s="4">
        <f t="shared" si="0"/>
        <v>1.3</v>
      </c>
    </row>
    <row r="16" spans="1:25" x14ac:dyDescent="0.2">
      <c r="A16" s="3" t="s">
        <v>1140</v>
      </c>
      <c r="B16" s="3" t="s">
        <v>1127</v>
      </c>
      <c r="C16" s="3" t="s">
        <v>43</v>
      </c>
      <c r="D16" s="3">
        <v>17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3</v>
      </c>
      <c r="K16" s="3">
        <v>26</v>
      </c>
      <c r="L16" s="3">
        <v>0</v>
      </c>
      <c r="M16" s="3">
        <v>117</v>
      </c>
      <c r="N16" s="3">
        <v>75</v>
      </c>
      <c r="O16" s="3">
        <v>1356</v>
      </c>
      <c r="P16" s="3">
        <v>8</v>
      </c>
      <c r="Q16" s="3">
        <v>0</v>
      </c>
      <c r="R16" s="3">
        <v>0</v>
      </c>
      <c r="S16" s="3">
        <v>259.2</v>
      </c>
      <c r="T16" s="3">
        <v>0.19965870307167199</v>
      </c>
      <c r="U16" s="3">
        <v>8.6666666666666696</v>
      </c>
      <c r="V16" s="3">
        <v>18.079999999999998</v>
      </c>
      <c r="W16" s="3"/>
      <c r="X16" s="3"/>
      <c r="Y16" s="3">
        <f t="shared" si="0"/>
        <v>261.2</v>
      </c>
    </row>
    <row r="17" spans="1:25" x14ac:dyDescent="0.2">
      <c r="A17" s="4" t="s">
        <v>1141</v>
      </c>
      <c r="B17" s="4" t="s">
        <v>1127</v>
      </c>
      <c r="C17" s="4" t="s">
        <v>43</v>
      </c>
      <c r="D17" s="4">
        <v>8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14</v>
      </c>
      <c r="N17" s="4">
        <v>9</v>
      </c>
      <c r="O17" s="4">
        <v>102</v>
      </c>
      <c r="P17" s="4">
        <v>2</v>
      </c>
      <c r="Q17" s="4">
        <v>0</v>
      </c>
      <c r="R17" s="4">
        <v>0</v>
      </c>
      <c r="S17" s="4">
        <v>31.2</v>
      </c>
      <c r="T17" s="4">
        <v>2.38907849829352E-2</v>
      </c>
      <c r="U17" s="4"/>
      <c r="V17" s="4">
        <v>11.3333333333333</v>
      </c>
      <c r="W17" s="4"/>
      <c r="X17" s="4"/>
      <c r="Y17" s="4">
        <f t="shared" si="0"/>
        <v>31.200000000000003</v>
      </c>
    </row>
    <row r="18" spans="1:25" x14ac:dyDescent="0.2">
      <c r="A18" s="3" t="s">
        <v>1142</v>
      </c>
      <c r="B18" s="3" t="s">
        <v>1127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3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5.1194539249146799E-3</v>
      </c>
      <c r="U18" s="3"/>
      <c r="V18" s="3"/>
      <c r="W18" s="3"/>
      <c r="X18" s="3"/>
      <c r="Y18" s="3">
        <f t="shared" si="0"/>
        <v>0</v>
      </c>
    </row>
    <row r="19" spans="1:25" x14ac:dyDescent="0.2">
      <c r="A19" s="4" t="s">
        <v>1143</v>
      </c>
      <c r="B19" s="4" t="s">
        <v>1127</v>
      </c>
      <c r="C19" s="4" t="s">
        <v>43</v>
      </c>
      <c r="D19" s="4">
        <v>17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7</v>
      </c>
      <c r="K19" s="4">
        <v>32</v>
      </c>
      <c r="L19" s="4">
        <v>1</v>
      </c>
      <c r="M19" s="4">
        <v>170</v>
      </c>
      <c r="N19" s="4">
        <v>119</v>
      </c>
      <c r="O19" s="4">
        <v>1710</v>
      </c>
      <c r="P19" s="4">
        <v>7</v>
      </c>
      <c r="Q19" s="4">
        <v>0</v>
      </c>
      <c r="R19" s="4">
        <v>0</v>
      </c>
      <c r="S19" s="4">
        <v>341.2</v>
      </c>
      <c r="T19" s="4">
        <v>0.290102389078498</v>
      </c>
      <c r="U19" s="4">
        <v>4.5714285714285703</v>
      </c>
      <c r="V19" s="4">
        <v>14.3697478991597</v>
      </c>
      <c r="W19" s="4"/>
      <c r="X19" s="4"/>
      <c r="Y19" s="4">
        <f t="shared" si="0"/>
        <v>341.2</v>
      </c>
    </row>
    <row r="20" spans="1:25" x14ac:dyDescent="0.2">
      <c r="A20" s="3" t="s">
        <v>1144</v>
      </c>
      <c r="B20" s="3" t="s">
        <v>1127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51</v>
      </c>
      <c r="N20" s="3">
        <v>30</v>
      </c>
      <c r="O20" s="3">
        <v>417</v>
      </c>
      <c r="P20" s="3">
        <v>2</v>
      </c>
      <c r="Q20" s="3">
        <v>0</v>
      </c>
      <c r="R20" s="3">
        <v>0</v>
      </c>
      <c r="S20" s="3">
        <v>83.7</v>
      </c>
      <c r="T20" s="3">
        <v>8.7030716723549506E-2</v>
      </c>
      <c r="U20" s="3"/>
      <c r="V20" s="3">
        <v>13.9</v>
      </c>
      <c r="W20" s="3"/>
      <c r="X20" s="3"/>
      <c r="Y20" s="3">
        <f t="shared" si="0"/>
        <v>83.7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1127</v>
      </c>
      <c r="B31" s="3">
        <v>6451</v>
      </c>
      <c r="C31" s="3">
        <v>4765</v>
      </c>
      <c r="D31" s="3">
        <v>389</v>
      </c>
      <c r="E31" s="3">
        <v>1686</v>
      </c>
      <c r="F31" s="3">
        <v>12</v>
      </c>
      <c r="G31" s="3">
        <v>1533.7</v>
      </c>
      <c r="H31" s="3">
        <v>584</v>
      </c>
      <c r="I31" s="3">
        <v>0.63013698630137005</v>
      </c>
      <c r="J31" s="3">
        <v>30</v>
      </c>
      <c r="K31" s="3">
        <v>15</v>
      </c>
      <c r="L31" s="3">
        <v>4</v>
      </c>
      <c r="M31" s="3">
        <f ca="1">SUM(INDIRECT(A33 &amp; "_Table1[[#All],[f_custom]]"))</f>
        <v>1537.7000000000003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MIA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1145</v>
      </c>
      <c r="B36" s="3" t="s">
        <v>26</v>
      </c>
      <c r="C36" s="3">
        <v>25</v>
      </c>
      <c r="D36" s="3">
        <v>4</v>
      </c>
      <c r="E36" s="3" t="s">
        <v>153</v>
      </c>
      <c r="F36" s="3" t="s">
        <v>1127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1146</v>
      </c>
      <c r="B37" s="4" t="s">
        <v>26</v>
      </c>
      <c r="C37" s="4">
        <v>26</v>
      </c>
      <c r="D37" s="4">
        <v>2</v>
      </c>
      <c r="E37" s="4" t="s">
        <v>559</v>
      </c>
      <c r="F37" s="4" t="s">
        <v>1127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1147</v>
      </c>
      <c r="B38" s="3" t="s">
        <v>26</v>
      </c>
      <c r="C38" s="3">
        <v>28</v>
      </c>
      <c r="D38" s="3">
        <v>5</v>
      </c>
      <c r="E38" s="3" t="s">
        <v>1068</v>
      </c>
      <c r="F38" s="3" t="s">
        <v>1127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1148</v>
      </c>
      <c r="B46" s="3" t="s">
        <v>31</v>
      </c>
      <c r="C46" s="3">
        <v>21</v>
      </c>
      <c r="D46" s="3">
        <v>0</v>
      </c>
      <c r="E46" s="3" t="s">
        <v>307</v>
      </c>
      <c r="F46" s="3" t="s">
        <v>1127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1149</v>
      </c>
      <c r="B47" s="4" t="s">
        <v>31</v>
      </c>
      <c r="C47" s="4">
        <v>24</v>
      </c>
      <c r="D47" s="4">
        <v>4</v>
      </c>
      <c r="E47" s="4" t="s">
        <v>86</v>
      </c>
      <c r="F47" s="4" t="s">
        <v>1127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1150</v>
      </c>
      <c r="B48" s="3" t="s">
        <v>31</v>
      </c>
      <c r="C48" s="3">
        <v>23</v>
      </c>
      <c r="D48" s="3">
        <v>0</v>
      </c>
      <c r="E48" s="3" t="s">
        <v>82</v>
      </c>
      <c r="F48" s="3" t="s">
        <v>1127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1151</v>
      </c>
      <c r="B49" s="4" t="s">
        <v>31</v>
      </c>
      <c r="C49" s="4">
        <v>26</v>
      </c>
      <c r="D49" s="4">
        <v>5</v>
      </c>
      <c r="E49" s="4" t="s">
        <v>86</v>
      </c>
      <c r="F49" s="4" t="s">
        <v>1127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1152</v>
      </c>
      <c r="B50" s="3" t="s">
        <v>31</v>
      </c>
      <c r="C50" s="3">
        <v>31</v>
      </c>
      <c r="D50" s="3">
        <v>9</v>
      </c>
      <c r="E50" s="3" t="s">
        <v>62</v>
      </c>
      <c r="F50" s="3" t="s">
        <v>1127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1153</v>
      </c>
      <c r="B51" s="4" t="s">
        <v>31</v>
      </c>
      <c r="C51" s="4">
        <v>26</v>
      </c>
      <c r="D51" s="4">
        <v>6</v>
      </c>
      <c r="E51" s="4" t="s">
        <v>508</v>
      </c>
      <c r="F51" s="4" t="s">
        <v>1127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1154</v>
      </c>
      <c r="B61" s="3" t="s">
        <v>43</v>
      </c>
      <c r="C61" s="3">
        <v>27</v>
      </c>
      <c r="D61" s="3">
        <v>6</v>
      </c>
      <c r="E61" s="3" t="s">
        <v>397</v>
      </c>
      <c r="F61" s="3" t="s">
        <v>1127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7">($J61*0.04)+($K61*4)+($L61*-2)+($N61*0.1)+($O61*6)+($Q61)+($R61*0.1)+($S61*6)+($T61*-2)</f>
        <v>0</v>
      </c>
      <c r="W61" s="3" t="e">
        <f t="shared" ref="W61:W71" ca="1" si="8">$P61/$H$33</f>
        <v>#DIV/0!</v>
      </c>
      <c r="X61" s="3" t="e">
        <f t="shared" ref="X61:X71" si="9">$N61/$M61</f>
        <v>#DIV/0!</v>
      </c>
      <c r="Y61" s="3" t="e">
        <f t="shared" ref="Y61:Y71" si="10">$R61/$Q61</f>
        <v>#DIV/0!</v>
      </c>
      <c r="Z61" s="3" t="e">
        <f t="shared" ref="Z61:Z71" si="11">$I61/$H61</f>
        <v>#DIV/0!</v>
      </c>
      <c r="AA61" s="3" t="e">
        <f>$K61/$H61</f>
        <v>#DIV/0!</v>
      </c>
      <c r="AB61" s="3">
        <f t="shared" ref="AB61:AB71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1155</v>
      </c>
      <c r="B62" s="4" t="s">
        <v>43</v>
      </c>
      <c r="C62" s="4">
        <v>30</v>
      </c>
      <c r="D62" s="4">
        <v>8</v>
      </c>
      <c r="E62" s="4" t="s">
        <v>391</v>
      </c>
      <c r="F62" s="4" t="s">
        <v>1127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1156</v>
      </c>
      <c r="B63" s="3" t="s">
        <v>43</v>
      </c>
      <c r="C63" s="3">
        <v>24</v>
      </c>
      <c r="D63" s="3">
        <v>0</v>
      </c>
      <c r="E63" s="3" t="s">
        <v>629</v>
      </c>
      <c r="F63" s="3" t="s">
        <v>1127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1157</v>
      </c>
      <c r="B64" s="4" t="s">
        <v>43</v>
      </c>
      <c r="C64" s="4">
        <v>26</v>
      </c>
      <c r="D64" s="4">
        <v>5</v>
      </c>
      <c r="E64" s="4" t="s">
        <v>511</v>
      </c>
      <c r="F64" s="4" t="s">
        <v>1127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1158</v>
      </c>
      <c r="B65" s="3" t="s">
        <v>43</v>
      </c>
      <c r="C65" s="3">
        <v>28</v>
      </c>
      <c r="D65" s="3">
        <v>5</v>
      </c>
      <c r="E65" s="3" t="s">
        <v>294</v>
      </c>
      <c r="F65" s="3" t="s">
        <v>1127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1159</v>
      </c>
      <c r="B66" s="4" t="s">
        <v>43</v>
      </c>
      <c r="C66" s="4">
        <v>24</v>
      </c>
      <c r="D66" s="4">
        <v>0</v>
      </c>
      <c r="E66" s="4" t="s">
        <v>1068</v>
      </c>
      <c r="F66" s="4" t="s">
        <v>1127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1160</v>
      </c>
      <c r="B67" s="3" t="s">
        <v>43</v>
      </c>
      <c r="C67" s="3">
        <v>23</v>
      </c>
      <c r="D67" s="3">
        <v>2</v>
      </c>
      <c r="E67" s="3" t="s">
        <v>511</v>
      </c>
      <c r="F67" s="3" t="s">
        <v>1127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1161</v>
      </c>
      <c r="B68" s="4" t="s">
        <v>43</v>
      </c>
      <c r="C68" s="4">
        <v>29</v>
      </c>
      <c r="D68" s="4">
        <v>8</v>
      </c>
      <c r="E68" s="4" t="s">
        <v>1162</v>
      </c>
      <c r="F68" s="4" t="s">
        <v>1127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1163</v>
      </c>
      <c r="B69" s="3" t="s">
        <v>43</v>
      </c>
      <c r="C69" s="3">
        <v>24</v>
      </c>
      <c r="D69" s="3">
        <v>1</v>
      </c>
      <c r="E69" s="3" t="s">
        <v>240</v>
      </c>
      <c r="F69" s="3" t="s">
        <v>1127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1164</v>
      </c>
      <c r="B70" s="4" t="s">
        <v>43</v>
      </c>
      <c r="C70" s="4">
        <v>24</v>
      </c>
      <c r="D70" s="4">
        <v>3</v>
      </c>
      <c r="E70" s="4" t="s">
        <v>153</v>
      </c>
      <c r="F70" s="4" t="s">
        <v>1127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1165</v>
      </c>
      <c r="B71" s="3" t="s">
        <v>43</v>
      </c>
      <c r="C71" s="3">
        <v>28</v>
      </c>
      <c r="D71" s="3">
        <v>6</v>
      </c>
      <c r="E71" s="3" t="s">
        <v>296</v>
      </c>
      <c r="F71" s="3" t="s">
        <v>1127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1166</v>
      </c>
      <c r="B76" s="3" t="s">
        <v>38</v>
      </c>
      <c r="C76" s="3">
        <v>25</v>
      </c>
      <c r="D76" s="3">
        <v>2</v>
      </c>
      <c r="E76" s="3" t="s">
        <v>1167</v>
      </c>
      <c r="F76" s="3" t="s">
        <v>1127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3">($J76*0.04)+($K76*4)+($L76*-2)+($N76*0.1)+($O76*6)+($Q76)+($R76*0.1)+($S76*6)+($T76*-2)</f>
        <v>0</v>
      </c>
      <c r="W76" s="3" t="e">
        <f t="shared" ref="W76:W81" ca="1" si="14">$P76/$H$33</f>
        <v>#DIV/0!</v>
      </c>
      <c r="X76" s="3" t="e">
        <f t="shared" ref="X76:X81" si="15">$N76/$M76</f>
        <v>#DIV/0!</v>
      </c>
      <c r="Y76" s="3" t="e">
        <f t="shared" ref="Y76:Y81" si="16">$R76/$Q76</f>
        <v>#DIV/0!</v>
      </c>
      <c r="Z76" s="3" t="e">
        <f t="shared" ref="Z76:Z81" si="17">$I76/$H76</f>
        <v>#DIV/0!</v>
      </c>
      <c r="AA76" s="3" t="e">
        <f>$K76/$H76</f>
        <v>#DIV/0!</v>
      </c>
      <c r="AB76" s="3">
        <f t="shared" ref="AB76:AB81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1168</v>
      </c>
      <c r="B77" s="4" t="s">
        <v>38</v>
      </c>
      <c r="C77" s="4">
        <v>22</v>
      </c>
      <c r="D77" s="4">
        <v>0</v>
      </c>
      <c r="E77" s="4" t="s">
        <v>102</v>
      </c>
      <c r="F77" s="4" t="s">
        <v>1127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1169</v>
      </c>
      <c r="B78" s="3" t="s">
        <v>38</v>
      </c>
      <c r="C78" s="3">
        <v>23</v>
      </c>
      <c r="D78" s="3">
        <v>0</v>
      </c>
      <c r="E78" s="3" t="s">
        <v>1170</v>
      </c>
      <c r="F78" s="3" t="s">
        <v>1127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1171</v>
      </c>
      <c r="B79" s="4" t="s">
        <v>38</v>
      </c>
      <c r="C79" s="4">
        <v>30</v>
      </c>
      <c r="D79" s="4">
        <v>9</v>
      </c>
      <c r="E79" s="4" t="s">
        <v>215</v>
      </c>
      <c r="F79" s="4" t="s">
        <v>1127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1172</v>
      </c>
      <c r="B80" s="3" t="s">
        <v>38</v>
      </c>
      <c r="C80" s="3">
        <v>29</v>
      </c>
      <c r="D80" s="3">
        <v>6</v>
      </c>
      <c r="E80" s="3" t="s">
        <v>1173</v>
      </c>
      <c r="F80" s="3" t="s">
        <v>1127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1174</v>
      </c>
      <c r="B81" s="4" t="s">
        <v>38</v>
      </c>
      <c r="C81" s="4">
        <v>28</v>
      </c>
      <c r="D81" s="4">
        <v>6</v>
      </c>
      <c r="E81" s="4" t="s">
        <v>362</v>
      </c>
      <c r="F81" s="4" t="s">
        <v>1127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B81"/>
  <sheetViews>
    <sheetView zoomScale="90" zoomScaleNormal="90" workbookViewId="0">
      <selection activeCell="A19" sqref="A19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1175</v>
      </c>
      <c r="B2" s="3" t="s">
        <v>1176</v>
      </c>
      <c r="C2" s="3" t="s">
        <v>115</v>
      </c>
      <c r="D2" s="3">
        <v>9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</v>
      </c>
      <c r="K2" s="3">
        <v>7</v>
      </c>
      <c r="L2" s="3">
        <v>2</v>
      </c>
      <c r="M2" s="3">
        <v>12</v>
      </c>
      <c r="N2" s="3">
        <v>10</v>
      </c>
      <c r="O2" s="3">
        <v>86</v>
      </c>
      <c r="P2" s="3">
        <v>0</v>
      </c>
      <c r="Q2" s="3">
        <v>0</v>
      </c>
      <c r="R2" s="3">
        <v>0</v>
      </c>
      <c r="S2" s="3">
        <v>31.3</v>
      </c>
      <c r="T2" s="3">
        <v>2.0547945205479499E-2</v>
      </c>
      <c r="U2" s="3">
        <v>1.75</v>
      </c>
      <c r="V2" s="3">
        <v>8.6</v>
      </c>
      <c r="W2" s="3"/>
      <c r="X2" s="3"/>
      <c r="Y2" s="3">
        <f t="shared" ref="Y2:Y17" si="0">($G2*Cp_yd)+($H2*Cp_td)+($I2*Cint)+($J2*Ccar)+($K2*Cr_yd)+($L2*Cr_td)+($N2*Crec)+($O2*Crec_yd)+($P2*Crec_td)+($Q2*Cfmb)+($R2*Ctp_c)</f>
        <v>31.299999999999997</v>
      </c>
    </row>
    <row r="3" spans="1:25" x14ac:dyDescent="0.2">
      <c r="A3" s="4" t="s">
        <v>1177</v>
      </c>
      <c r="B3" s="4" t="s">
        <v>1176</v>
      </c>
      <c r="C3" s="4" t="s">
        <v>26</v>
      </c>
      <c r="D3" s="4">
        <v>17</v>
      </c>
      <c r="E3" s="4">
        <v>643</v>
      </c>
      <c r="F3" s="4">
        <v>424</v>
      </c>
      <c r="G3" s="4">
        <v>4547</v>
      </c>
      <c r="H3" s="4">
        <v>29</v>
      </c>
      <c r="I3" s="4">
        <v>14</v>
      </c>
      <c r="J3" s="4">
        <v>31</v>
      </c>
      <c r="K3" s="4">
        <v>97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3</v>
      </c>
      <c r="S3" s="4">
        <v>291.58</v>
      </c>
      <c r="T3" s="4">
        <v>0</v>
      </c>
      <c r="U3" s="4">
        <v>3.12903225806452</v>
      </c>
      <c r="V3" s="4"/>
      <c r="W3" s="4">
        <v>0.65940902021772896</v>
      </c>
      <c r="X3" s="4">
        <v>4.5101088646967297E-2</v>
      </c>
      <c r="Y3" s="4">
        <f t="shared" si="0"/>
        <v>291.58</v>
      </c>
    </row>
    <row r="4" spans="1:25" x14ac:dyDescent="0.2">
      <c r="A4" s="3" t="s">
        <v>1178</v>
      </c>
      <c r="B4" s="3" t="s">
        <v>1176</v>
      </c>
      <c r="C4" s="3" t="s">
        <v>26</v>
      </c>
      <c r="D4" s="3">
        <v>4</v>
      </c>
      <c r="E4" s="3">
        <v>25</v>
      </c>
      <c r="F4" s="3">
        <v>21</v>
      </c>
      <c r="G4" s="3">
        <v>224</v>
      </c>
      <c r="H4" s="3">
        <v>1</v>
      </c>
      <c r="I4" s="3">
        <v>1</v>
      </c>
      <c r="J4" s="3">
        <v>4</v>
      </c>
      <c r="K4" s="3">
        <v>8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11.76</v>
      </c>
      <c r="T4" s="3">
        <v>0</v>
      </c>
      <c r="U4" s="3">
        <v>2</v>
      </c>
      <c r="V4" s="3"/>
      <c r="W4" s="3">
        <v>0.84</v>
      </c>
      <c r="X4" s="3">
        <v>0.04</v>
      </c>
      <c r="Y4" s="3">
        <f t="shared" si="0"/>
        <v>11.760000000000002</v>
      </c>
    </row>
    <row r="5" spans="1:25" x14ac:dyDescent="0.2">
      <c r="A5" s="4" t="s">
        <v>1179</v>
      </c>
      <c r="B5" s="4" t="s">
        <v>1176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74</v>
      </c>
      <c r="K5" s="4">
        <v>283</v>
      </c>
      <c r="L5" s="4">
        <v>5</v>
      </c>
      <c r="M5" s="4">
        <v>18</v>
      </c>
      <c r="N5" s="4">
        <v>15</v>
      </c>
      <c r="O5" s="4">
        <v>91</v>
      </c>
      <c r="P5" s="4">
        <v>1</v>
      </c>
      <c r="Q5" s="4">
        <v>0</v>
      </c>
      <c r="R5" s="4">
        <v>0</v>
      </c>
      <c r="S5" s="4">
        <v>88.4</v>
      </c>
      <c r="T5" s="4">
        <v>3.0821917808219201E-2</v>
      </c>
      <c r="U5" s="4">
        <v>3.8243243243243201</v>
      </c>
      <c r="V5" s="4">
        <v>6.06666666666667</v>
      </c>
      <c r="W5" s="4"/>
      <c r="X5" s="4"/>
      <c r="Y5" s="4">
        <f t="shared" si="0"/>
        <v>88.399999999999991</v>
      </c>
    </row>
    <row r="6" spans="1:25" x14ac:dyDescent="0.2">
      <c r="A6" s="3" t="s">
        <v>1180</v>
      </c>
      <c r="B6" s="3" t="s">
        <v>1176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264</v>
      </c>
      <c r="K6" s="3">
        <v>1173</v>
      </c>
      <c r="L6" s="3">
        <v>8</v>
      </c>
      <c r="M6" s="3">
        <v>56</v>
      </c>
      <c r="N6" s="3">
        <v>39</v>
      </c>
      <c r="O6" s="3">
        <v>295</v>
      </c>
      <c r="P6" s="3">
        <v>2</v>
      </c>
      <c r="Q6" s="3">
        <v>4</v>
      </c>
      <c r="R6" s="3">
        <v>0</v>
      </c>
      <c r="S6" s="3">
        <v>237.8</v>
      </c>
      <c r="T6" s="3">
        <v>9.5890410958904104E-2</v>
      </c>
      <c r="U6" s="3">
        <v>4.4431818181818201</v>
      </c>
      <c r="V6" s="3">
        <v>7.5641025641025603</v>
      </c>
      <c r="W6" s="3"/>
      <c r="X6" s="3"/>
      <c r="Y6" s="3">
        <f t="shared" si="0"/>
        <v>237.8</v>
      </c>
    </row>
    <row r="7" spans="1:25" x14ac:dyDescent="0.2">
      <c r="A7" s="4" t="s">
        <v>1181</v>
      </c>
      <c r="B7" s="4" t="s">
        <v>1176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9</v>
      </c>
      <c r="K7" s="4">
        <v>14</v>
      </c>
      <c r="L7" s="4">
        <v>0</v>
      </c>
      <c r="M7" s="4">
        <v>2</v>
      </c>
      <c r="N7" s="4">
        <v>2</v>
      </c>
      <c r="O7" s="4">
        <v>21</v>
      </c>
      <c r="P7" s="4">
        <v>0</v>
      </c>
      <c r="Q7" s="4">
        <v>0</v>
      </c>
      <c r="R7" s="4">
        <v>0</v>
      </c>
      <c r="S7" s="4">
        <v>11.5</v>
      </c>
      <c r="T7" s="4">
        <v>3.4246575342465799E-3</v>
      </c>
      <c r="U7" s="4">
        <v>1.55555555555556</v>
      </c>
      <c r="V7" s="4">
        <v>10.5</v>
      </c>
      <c r="W7" s="4"/>
      <c r="X7" s="4"/>
      <c r="Y7" s="4">
        <f t="shared" si="0"/>
        <v>5.5</v>
      </c>
    </row>
    <row r="8" spans="1:25" x14ac:dyDescent="0.2">
      <c r="A8" s="3" t="s">
        <v>1182</v>
      </c>
      <c r="B8" s="3" t="s">
        <v>1176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6</v>
      </c>
      <c r="K8" s="3">
        <v>20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2</v>
      </c>
      <c r="T8" s="3">
        <v>0</v>
      </c>
      <c r="U8" s="3">
        <v>3.3333333333333299</v>
      </c>
      <c r="V8" s="3"/>
      <c r="W8" s="3"/>
      <c r="X8" s="3"/>
      <c r="Y8" s="3">
        <f t="shared" si="0"/>
        <v>2</v>
      </c>
    </row>
    <row r="9" spans="1:25" x14ac:dyDescent="0.2">
      <c r="A9" s="4" t="s">
        <v>1183</v>
      </c>
      <c r="B9" s="4" t="s">
        <v>1176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</v>
      </c>
      <c r="N9" s="4">
        <v>3</v>
      </c>
      <c r="O9" s="4">
        <v>26</v>
      </c>
      <c r="P9" s="4">
        <v>0</v>
      </c>
      <c r="Q9" s="4">
        <v>0</v>
      </c>
      <c r="R9" s="4">
        <v>0</v>
      </c>
      <c r="S9" s="4">
        <v>5.6</v>
      </c>
      <c r="T9" s="4">
        <v>5.1369863013698601E-3</v>
      </c>
      <c r="U9" s="4"/>
      <c r="V9" s="4">
        <v>8.6666666666666696</v>
      </c>
      <c r="W9" s="4"/>
      <c r="X9" s="4"/>
      <c r="Y9" s="4">
        <f t="shared" si="0"/>
        <v>5.6</v>
      </c>
    </row>
    <row r="10" spans="1:25" x14ac:dyDescent="0.2">
      <c r="A10" s="3" t="s">
        <v>1184</v>
      </c>
      <c r="B10" s="3" t="s">
        <v>1176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36</v>
      </c>
      <c r="N10" s="3">
        <v>25</v>
      </c>
      <c r="O10" s="3">
        <v>182</v>
      </c>
      <c r="P10" s="3">
        <v>2</v>
      </c>
      <c r="Q10" s="3">
        <v>0</v>
      </c>
      <c r="R10" s="3">
        <v>0</v>
      </c>
      <c r="S10" s="3">
        <v>55.2</v>
      </c>
      <c r="T10" s="3">
        <v>6.1643835616438401E-2</v>
      </c>
      <c r="U10" s="3"/>
      <c r="V10" s="3">
        <v>7.28</v>
      </c>
      <c r="W10" s="3"/>
      <c r="X10" s="3"/>
      <c r="Y10" s="3">
        <f t="shared" si="0"/>
        <v>55.2</v>
      </c>
    </row>
    <row r="11" spans="1:25" x14ac:dyDescent="0.2">
      <c r="A11" s="4" t="s">
        <v>1185</v>
      </c>
      <c r="B11" s="4" t="s">
        <v>1176</v>
      </c>
      <c r="C11" s="4" t="s">
        <v>38</v>
      </c>
      <c r="D11" s="4">
        <v>13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21</v>
      </c>
      <c r="N11" s="4">
        <v>19</v>
      </c>
      <c r="O11" s="4">
        <v>140</v>
      </c>
      <c r="P11" s="4">
        <v>1</v>
      </c>
      <c r="Q11" s="4">
        <v>0</v>
      </c>
      <c r="R11" s="4">
        <v>0</v>
      </c>
      <c r="S11" s="4">
        <v>39</v>
      </c>
      <c r="T11" s="4">
        <v>3.5958904109588997E-2</v>
      </c>
      <c r="U11" s="4"/>
      <c r="V11" s="4">
        <v>7.3684210526315796</v>
      </c>
      <c r="W11" s="4"/>
      <c r="X11" s="4"/>
      <c r="Y11" s="4">
        <f t="shared" si="0"/>
        <v>39</v>
      </c>
    </row>
    <row r="12" spans="1:25" x14ac:dyDescent="0.2">
      <c r="A12" s="3" t="s">
        <v>656</v>
      </c>
      <c r="B12" s="3" t="s">
        <v>1176</v>
      </c>
      <c r="C12" s="3" t="s">
        <v>38</v>
      </c>
      <c r="D12" s="3">
        <v>10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86</v>
      </c>
      <c r="N12" s="3">
        <v>60</v>
      </c>
      <c r="O12" s="3">
        <v>519</v>
      </c>
      <c r="P12" s="3">
        <v>3</v>
      </c>
      <c r="Q12" s="3">
        <v>0</v>
      </c>
      <c r="R12" s="3">
        <v>0</v>
      </c>
      <c r="S12" s="3">
        <v>129.9</v>
      </c>
      <c r="T12" s="3">
        <v>0.147260273972603</v>
      </c>
      <c r="U12" s="3"/>
      <c r="V12" s="3">
        <v>8.65</v>
      </c>
      <c r="W12" s="3"/>
      <c r="X12" s="3"/>
      <c r="Y12" s="3">
        <f t="shared" si="0"/>
        <v>129.9</v>
      </c>
    </row>
    <row r="13" spans="1:25" x14ac:dyDescent="0.2">
      <c r="A13" s="4" t="s">
        <v>1186</v>
      </c>
      <c r="B13" s="4" t="s">
        <v>1176</v>
      </c>
      <c r="C13" s="4" t="s">
        <v>43</v>
      </c>
      <c r="D13" s="4">
        <v>17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</v>
      </c>
      <c r="K13" s="4">
        <v>4</v>
      </c>
      <c r="L13" s="4">
        <v>0</v>
      </c>
      <c r="M13" s="4">
        <v>107</v>
      </c>
      <c r="N13" s="4">
        <v>70</v>
      </c>
      <c r="O13" s="4">
        <v>716</v>
      </c>
      <c r="P13" s="4">
        <v>6</v>
      </c>
      <c r="Q13" s="4">
        <v>0</v>
      </c>
      <c r="R13" s="4">
        <v>0</v>
      </c>
      <c r="S13" s="4">
        <v>180</v>
      </c>
      <c r="T13" s="4">
        <v>0.18321917808219201</v>
      </c>
      <c r="U13" s="4">
        <v>4</v>
      </c>
      <c r="V13" s="4">
        <v>10.228571428571399</v>
      </c>
      <c r="W13" s="4"/>
      <c r="X13" s="4"/>
      <c r="Y13" s="4">
        <f t="shared" si="0"/>
        <v>178</v>
      </c>
    </row>
    <row r="14" spans="1:25" x14ac:dyDescent="0.2">
      <c r="A14" s="3" t="s">
        <v>1187</v>
      </c>
      <c r="B14" s="3" t="s">
        <v>1176</v>
      </c>
      <c r="C14" s="3" t="s">
        <v>43</v>
      </c>
      <c r="D14" s="3">
        <v>17</v>
      </c>
      <c r="E14" s="3">
        <v>2</v>
      </c>
      <c r="F14" s="3">
        <v>2</v>
      </c>
      <c r="G14" s="3">
        <v>34</v>
      </c>
      <c r="H14" s="3">
        <v>0</v>
      </c>
      <c r="I14" s="3">
        <v>0</v>
      </c>
      <c r="J14" s="3">
        <v>4</v>
      </c>
      <c r="K14" s="3">
        <v>24</v>
      </c>
      <c r="L14" s="3">
        <v>1</v>
      </c>
      <c r="M14" s="3">
        <v>184</v>
      </c>
      <c r="N14" s="3">
        <v>128</v>
      </c>
      <c r="O14" s="3">
        <v>1809</v>
      </c>
      <c r="P14" s="3">
        <v>8</v>
      </c>
      <c r="Q14" s="3">
        <v>0</v>
      </c>
      <c r="R14" s="3">
        <v>0</v>
      </c>
      <c r="S14" s="3">
        <v>368.66</v>
      </c>
      <c r="T14" s="3">
        <v>0.31506849315068503</v>
      </c>
      <c r="U14" s="3">
        <v>6</v>
      </c>
      <c r="V14" s="3">
        <v>14.1328125</v>
      </c>
      <c r="W14" s="3">
        <v>1</v>
      </c>
      <c r="X14" s="3">
        <v>0</v>
      </c>
      <c r="Y14" s="3">
        <f t="shared" si="0"/>
        <v>366.65999999999997</v>
      </c>
    </row>
    <row r="15" spans="1:25" x14ac:dyDescent="0.2">
      <c r="A15" s="4" t="s">
        <v>1188</v>
      </c>
      <c r="B15" s="4" t="s">
        <v>1176</v>
      </c>
      <c r="C15" s="4" t="s">
        <v>43</v>
      </c>
      <c r="D15" s="4">
        <v>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13</v>
      </c>
      <c r="N15" s="4">
        <v>9</v>
      </c>
      <c r="O15" s="4">
        <v>179</v>
      </c>
      <c r="P15" s="4">
        <v>1</v>
      </c>
      <c r="Q15" s="4">
        <v>0</v>
      </c>
      <c r="R15" s="4">
        <v>0</v>
      </c>
      <c r="S15" s="4">
        <v>32.9</v>
      </c>
      <c r="T15" s="4">
        <v>2.22602739726027E-2</v>
      </c>
      <c r="U15" s="4"/>
      <c r="V15" s="4">
        <v>19.8888888888889</v>
      </c>
      <c r="W15" s="4"/>
      <c r="X15" s="4"/>
      <c r="Y15" s="4">
        <f t="shared" si="0"/>
        <v>32.900000000000006</v>
      </c>
    </row>
    <row r="16" spans="1:25" x14ac:dyDescent="0.2">
      <c r="A16" s="3" t="s">
        <v>1189</v>
      </c>
      <c r="B16" s="3" t="s">
        <v>1176</v>
      </c>
      <c r="C16" s="3" t="s">
        <v>43</v>
      </c>
      <c r="D16" s="3">
        <v>10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25</v>
      </c>
      <c r="L16" s="3">
        <v>0</v>
      </c>
      <c r="M16" s="3">
        <v>13</v>
      </c>
      <c r="N16" s="3">
        <v>8</v>
      </c>
      <c r="O16" s="3">
        <v>104</v>
      </c>
      <c r="P16" s="3">
        <v>1</v>
      </c>
      <c r="Q16" s="3">
        <v>0</v>
      </c>
      <c r="R16" s="3">
        <v>0</v>
      </c>
      <c r="S16" s="3">
        <v>26.9</v>
      </c>
      <c r="T16" s="3">
        <v>2.22602739726027E-2</v>
      </c>
      <c r="U16" s="3">
        <v>6.25</v>
      </c>
      <c r="V16" s="3">
        <v>13</v>
      </c>
      <c r="W16" s="3"/>
      <c r="X16" s="3"/>
      <c r="Y16" s="3">
        <f t="shared" si="0"/>
        <v>26.9</v>
      </c>
    </row>
    <row r="17" spans="1:25" x14ac:dyDescent="0.2">
      <c r="A17" s="4" t="s">
        <v>1190</v>
      </c>
      <c r="B17" s="4" t="s">
        <v>1176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3</v>
      </c>
      <c r="K17" s="4">
        <v>6</v>
      </c>
      <c r="L17" s="4">
        <v>0</v>
      </c>
      <c r="M17" s="4">
        <v>90</v>
      </c>
      <c r="N17" s="4">
        <v>60</v>
      </c>
      <c r="O17" s="4">
        <v>650</v>
      </c>
      <c r="P17" s="4">
        <v>5</v>
      </c>
      <c r="Q17" s="4">
        <v>0</v>
      </c>
      <c r="R17" s="4">
        <v>0</v>
      </c>
      <c r="S17" s="4">
        <v>155.6</v>
      </c>
      <c r="T17" s="4">
        <v>0.15410958904109601</v>
      </c>
      <c r="U17" s="4">
        <v>2</v>
      </c>
      <c r="V17" s="4">
        <v>10.8333333333333</v>
      </c>
      <c r="W17" s="4"/>
      <c r="X17" s="4"/>
      <c r="Y17" s="4">
        <f t="shared" si="0"/>
        <v>155.6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1176</v>
      </c>
      <c r="B31" s="3">
        <v>6466</v>
      </c>
      <c r="C31" s="3">
        <v>4805</v>
      </c>
      <c r="D31" s="3">
        <v>404</v>
      </c>
      <c r="E31" s="3">
        <v>1661</v>
      </c>
      <c r="F31" s="3">
        <v>18</v>
      </c>
      <c r="G31" s="3">
        <v>1668.1</v>
      </c>
      <c r="H31" s="3">
        <v>670</v>
      </c>
      <c r="I31" s="3">
        <v>0.66716417910447801</v>
      </c>
      <c r="J31" s="3">
        <v>30</v>
      </c>
      <c r="K31" s="3">
        <v>15</v>
      </c>
      <c r="L31" s="3">
        <v>7</v>
      </c>
      <c r="M31" s="3">
        <f ca="1">SUM(INDIRECT(A33 &amp; "_Table1[[#All],[f_custom]]"))</f>
        <v>1658.1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MIN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1191</v>
      </c>
      <c r="B36" s="3" t="s">
        <v>26</v>
      </c>
      <c r="C36" s="3">
        <v>34</v>
      </c>
      <c r="D36" s="3">
        <v>12</v>
      </c>
      <c r="E36" s="3" t="s">
        <v>744</v>
      </c>
      <c r="F36" s="3" t="s">
        <v>1176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1192</v>
      </c>
      <c r="B37" s="4" t="s">
        <v>26</v>
      </c>
      <c r="C37" s="4">
        <v>25</v>
      </c>
      <c r="D37" s="4">
        <v>0</v>
      </c>
      <c r="E37" s="4" t="s">
        <v>82</v>
      </c>
      <c r="F37" s="4" t="s">
        <v>1176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1193</v>
      </c>
      <c r="B38" s="3" t="s">
        <v>26</v>
      </c>
      <c r="C38" s="3">
        <v>28</v>
      </c>
      <c r="D38" s="3">
        <v>5</v>
      </c>
      <c r="E38" s="3" t="s">
        <v>898</v>
      </c>
      <c r="F38" s="3" t="s">
        <v>1176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1194</v>
      </c>
      <c r="B46" s="3" t="s">
        <v>31</v>
      </c>
      <c r="C46" s="3">
        <v>25</v>
      </c>
      <c r="D46" s="3">
        <v>2</v>
      </c>
      <c r="E46" s="3" t="s">
        <v>163</v>
      </c>
      <c r="F46" s="3" t="s">
        <v>1176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1195</v>
      </c>
      <c r="B47" s="4" t="s">
        <v>31</v>
      </c>
      <c r="C47" s="4"/>
      <c r="D47" s="4">
        <v>0</v>
      </c>
      <c r="E47" s="4" t="s">
        <v>1196</v>
      </c>
      <c r="F47" s="4" t="s">
        <v>1176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1197</v>
      </c>
      <c r="B48" s="3" t="s">
        <v>31</v>
      </c>
      <c r="C48" s="3">
        <v>25</v>
      </c>
      <c r="D48" s="3">
        <v>5</v>
      </c>
      <c r="E48" s="3" t="s">
        <v>296</v>
      </c>
      <c r="F48" s="3" t="s">
        <v>1176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1198</v>
      </c>
      <c r="B49" s="4" t="s">
        <v>31</v>
      </c>
      <c r="C49" s="4">
        <v>22</v>
      </c>
      <c r="D49" s="4">
        <v>0</v>
      </c>
      <c r="E49" s="4" t="s">
        <v>335</v>
      </c>
      <c r="F49" s="4" t="s">
        <v>1176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1199</v>
      </c>
      <c r="B50" s="3" t="s">
        <v>31</v>
      </c>
      <c r="C50" s="3">
        <v>25</v>
      </c>
      <c r="D50" s="3">
        <v>3</v>
      </c>
      <c r="E50" s="3" t="s">
        <v>244</v>
      </c>
      <c r="F50" s="3" t="s">
        <v>1176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1200</v>
      </c>
      <c r="B51" s="4" t="s">
        <v>31</v>
      </c>
      <c r="C51" s="4">
        <v>24</v>
      </c>
      <c r="D51" s="4">
        <v>2</v>
      </c>
      <c r="E51" s="4" t="s">
        <v>393</v>
      </c>
      <c r="F51" s="4" t="s">
        <v>1176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1201</v>
      </c>
      <c r="B61" s="3" t="s">
        <v>43</v>
      </c>
      <c r="C61" s="3">
        <v>21</v>
      </c>
      <c r="D61" s="3">
        <v>0</v>
      </c>
      <c r="E61" s="3" t="s">
        <v>78</v>
      </c>
      <c r="F61" s="3" t="s">
        <v>1176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7">($J61*0.04)+($K61*4)+($L61*-2)+($N61*0.1)+($O61*6)+($Q61)+($R61*0.1)+($S61*6)+($T61*-2)</f>
        <v>0</v>
      </c>
      <c r="W61" s="3" t="e">
        <f t="shared" ref="W61:W73" ca="1" si="8">$P61/$H$33</f>
        <v>#DIV/0!</v>
      </c>
      <c r="X61" s="3" t="e">
        <f t="shared" ref="X61:X73" si="9">$N61/$M61</f>
        <v>#DIV/0!</v>
      </c>
      <c r="Y61" s="3" t="e">
        <f t="shared" ref="Y61:Y73" si="10">$R61/$Q61</f>
        <v>#DIV/0!</v>
      </c>
      <c r="Z61" s="3" t="e">
        <f t="shared" ref="Z61:Z73" si="11">$I61/$H61</f>
        <v>#DIV/0!</v>
      </c>
      <c r="AA61" s="3" t="e">
        <f>$K61/$H61</f>
        <v>#DIV/0!</v>
      </c>
      <c r="AB61" s="3">
        <f t="shared" ref="AB61:AB73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1202</v>
      </c>
      <c r="B62" s="4" t="s">
        <v>43</v>
      </c>
      <c r="C62" s="4">
        <v>24</v>
      </c>
      <c r="D62" s="4">
        <v>1</v>
      </c>
      <c r="E62" s="4" t="s">
        <v>232</v>
      </c>
      <c r="F62" s="4" t="s">
        <v>1176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1203</v>
      </c>
      <c r="B63" s="3" t="s">
        <v>43</v>
      </c>
      <c r="C63" s="3">
        <v>25</v>
      </c>
      <c r="D63" s="3">
        <v>5</v>
      </c>
      <c r="E63" s="3" t="s">
        <v>155</v>
      </c>
      <c r="F63" s="3" t="s">
        <v>1176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1204</v>
      </c>
      <c r="B64" s="4" t="s">
        <v>43</v>
      </c>
      <c r="C64" s="4">
        <v>26</v>
      </c>
      <c r="D64" s="4">
        <v>0</v>
      </c>
      <c r="E64" s="4" t="s">
        <v>1068</v>
      </c>
      <c r="F64" s="4" t="s">
        <v>1176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1205</v>
      </c>
      <c r="B65" s="3" t="s">
        <v>43</v>
      </c>
      <c r="C65" s="3">
        <v>25</v>
      </c>
      <c r="D65" s="3">
        <v>2</v>
      </c>
      <c r="E65" s="3" t="s">
        <v>1206</v>
      </c>
      <c r="F65" s="3" t="s">
        <v>1176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1207</v>
      </c>
      <c r="B66" s="4" t="s">
        <v>43</v>
      </c>
      <c r="C66" s="4">
        <v>24</v>
      </c>
      <c r="D66" s="4">
        <v>4</v>
      </c>
      <c r="E66" s="4" t="s">
        <v>227</v>
      </c>
      <c r="F66" s="4" t="s">
        <v>1176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1208</v>
      </c>
      <c r="B67" s="3" t="s">
        <v>43</v>
      </c>
      <c r="C67" s="3">
        <v>23</v>
      </c>
      <c r="D67" s="3">
        <v>0</v>
      </c>
      <c r="E67" s="3" t="s">
        <v>995</v>
      </c>
      <c r="F67" s="3" t="s">
        <v>1176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1209</v>
      </c>
      <c r="B68" s="4" t="s">
        <v>43</v>
      </c>
      <c r="C68" s="4">
        <v>24</v>
      </c>
      <c r="D68" s="4">
        <v>2</v>
      </c>
      <c r="E68" s="4" t="s">
        <v>744</v>
      </c>
      <c r="F68" s="4" t="s">
        <v>1176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1210</v>
      </c>
      <c r="B69" s="3" t="s">
        <v>43</v>
      </c>
      <c r="C69" s="3">
        <v>26</v>
      </c>
      <c r="D69" s="3">
        <v>4</v>
      </c>
      <c r="E69" s="3" t="s">
        <v>397</v>
      </c>
      <c r="F69" s="3" t="s">
        <v>1176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1211</v>
      </c>
      <c r="B70" s="4" t="s">
        <v>43</v>
      </c>
      <c r="C70" s="4">
        <v>27</v>
      </c>
      <c r="D70" s="4">
        <v>6</v>
      </c>
      <c r="E70" s="4" t="s">
        <v>178</v>
      </c>
      <c r="F70" s="4" t="s">
        <v>1176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1212</v>
      </c>
      <c r="B71" s="3" t="s">
        <v>43</v>
      </c>
      <c r="C71" s="3">
        <v>24</v>
      </c>
      <c r="D71" s="3">
        <v>3</v>
      </c>
      <c r="E71" s="3" t="s">
        <v>220</v>
      </c>
      <c r="F71" s="3" t="s">
        <v>1176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1213</v>
      </c>
      <c r="B72" s="4" t="s">
        <v>43</v>
      </c>
      <c r="C72" s="4">
        <v>24</v>
      </c>
      <c r="D72" s="4">
        <v>4</v>
      </c>
      <c r="E72" s="4" t="s">
        <v>76</v>
      </c>
      <c r="F72" s="4" t="s">
        <v>1176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3" spans="1:28" x14ac:dyDescent="0.2">
      <c r="A73" s="3" t="s">
        <v>1214</v>
      </c>
      <c r="B73" s="3" t="s">
        <v>43</v>
      </c>
      <c r="C73" s="3">
        <v>25</v>
      </c>
      <c r="D73" s="3">
        <v>0</v>
      </c>
      <c r="E73" s="3" t="s">
        <v>333</v>
      </c>
      <c r="F73" s="3" t="s">
        <v>1176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7"/>
        <v>0</v>
      </c>
      <c r="W73" s="3" t="e">
        <f t="shared" ca="1" si="8"/>
        <v>#DIV/0!</v>
      </c>
      <c r="X73" s="3" t="e">
        <f t="shared" si="9"/>
        <v>#DIV/0!</v>
      </c>
      <c r="Y73" s="3" t="e">
        <f t="shared" si="10"/>
        <v>#DIV/0!</v>
      </c>
      <c r="Z73" s="3" t="e">
        <f t="shared" si="11"/>
        <v>#DIV/0!</v>
      </c>
      <c r="AA73" s="3" t="e">
        <f>$K73/$H73</f>
        <v>#DIV/0!</v>
      </c>
      <c r="AB73" s="3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1215</v>
      </c>
      <c r="B76" s="3" t="s">
        <v>38</v>
      </c>
      <c r="C76" s="3">
        <v>26</v>
      </c>
      <c r="D76" s="3">
        <v>5</v>
      </c>
      <c r="E76" s="3" t="s">
        <v>100</v>
      </c>
      <c r="F76" s="3" t="s">
        <v>1176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3">($J76*0.04)+($K76*4)+($L76*-2)+($N76*0.1)+($O76*6)+($Q76)+($R76*0.1)+($S76*6)+($T76*-2)</f>
        <v>0</v>
      </c>
      <c r="W76" s="3" t="e">
        <f t="shared" ref="W76:W81" ca="1" si="14">$P76/$H$33</f>
        <v>#DIV/0!</v>
      </c>
      <c r="X76" s="3" t="e">
        <f t="shared" ref="X76:X81" si="15">$N76/$M76</f>
        <v>#DIV/0!</v>
      </c>
      <c r="Y76" s="3" t="e">
        <f t="shared" ref="Y76:Y81" si="16">$R76/$Q76</f>
        <v>#DIV/0!</v>
      </c>
      <c r="Z76" s="3" t="e">
        <f t="shared" ref="Z76:Z81" si="17">$I76/$H76</f>
        <v>#DIV/0!</v>
      </c>
      <c r="AA76" s="3" t="e">
        <f>$K76/$H76</f>
        <v>#DIV/0!</v>
      </c>
      <c r="AB76" s="3">
        <f t="shared" ref="AB76:AB81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1216</v>
      </c>
      <c r="B77" s="4" t="s">
        <v>38</v>
      </c>
      <c r="C77" s="4">
        <v>28</v>
      </c>
      <c r="D77" s="4">
        <v>6</v>
      </c>
      <c r="E77" s="4" t="s">
        <v>205</v>
      </c>
      <c r="F77" s="4" t="s">
        <v>1176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1217</v>
      </c>
      <c r="B78" s="3" t="s">
        <v>38</v>
      </c>
      <c r="C78" s="3">
        <v>24</v>
      </c>
      <c r="D78" s="3">
        <v>2</v>
      </c>
      <c r="E78" s="3" t="s">
        <v>341</v>
      </c>
      <c r="F78" s="3" t="s">
        <v>1176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1218</v>
      </c>
      <c r="B79" s="4" t="s">
        <v>38</v>
      </c>
      <c r="C79" s="4">
        <v>26</v>
      </c>
      <c r="D79" s="4">
        <v>5</v>
      </c>
      <c r="E79" s="4" t="s">
        <v>894</v>
      </c>
      <c r="F79" s="4" t="s">
        <v>1176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1219</v>
      </c>
      <c r="B80" s="3" t="s">
        <v>38</v>
      </c>
      <c r="C80" s="3">
        <v>23</v>
      </c>
      <c r="D80" s="3">
        <v>0</v>
      </c>
      <c r="E80" s="3" t="s">
        <v>393</v>
      </c>
      <c r="F80" s="3" t="s">
        <v>1176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1220</v>
      </c>
      <c r="B81" s="4" t="s">
        <v>38</v>
      </c>
      <c r="C81" s="4">
        <v>29</v>
      </c>
      <c r="D81" s="4">
        <v>3</v>
      </c>
      <c r="E81" s="4" t="s">
        <v>391</v>
      </c>
      <c r="F81" s="4" t="s">
        <v>1176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B81"/>
  <sheetViews>
    <sheetView zoomScale="90" zoomScaleNormal="90" workbookViewId="0">
      <selection activeCell="A20" sqref="A20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1221</v>
      </c>
      <c r="B2" s="3" t="s">
        <v>1222</v>
      </c>
      <c r="C2" s="3" t="s">
        <v>26</v>
      </c>
      <c r="D2" s="3">
        <v>1</v>
      </c>
      <c r="E2" s="3">
        <v>6</v>
      </c>
      <c r="F2" s="3">
        <v>5</v>
      </c>
      <c r="G2" s="3">
        <v>37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1.48</v>
      </c>
      <c r="T2" s="3">
        <v>0</v>
      </c>
      <c r="U2" s="3"/>
      <c r="V2" s="3"/>
      <c r="W2" s="3">
        <v>0.83333333333333304</v>
      </c>
      <c r="X2" s="3">
        <v>0</v>
      </c>
      <c r="Y2" s="3">
        <f t="shared" ref="Y2:Y18" si="0">($G2*Cp_yd)+($H2*Cp_td)+($I2*Cint)+($J2*Ccar)+($K2*Cr_yd)+($L2*Cr_td)+($N2*Crec)+($O2*Crec_yd)+($P2*Crec_td)+($Q2*Cfmb)+($R2*Ctp_c)</f>
        <v>1.48</v>
      </c>
    </row>
    <row r="3" spans="1:25" x14ac:dyDescent="0.2">
      <c r="A3" s="4" t="s">
        <v>1223</v>
      </c>
      <c r="B3" s="4" t="s">
        <v>1222</v>
      </c>
      <c r="C3" s="4" t="s">
        <v>26</v>
      </c>
      <c r="D3" s="4">
        <v>4</v>
      </c>
      <c r="E3" s="4">
        <v>92</v>
      </c>
      <c r="F3" s="4">
        <v>65</v>
      </c>
      <c r="G3" s="4">
        <v>781</v>
      </c>
      <c r="H3" s="4">
        <v>5</v>
      </c>
      <c r="I3" s="4">
        <v>3</v>
      </c>
      <c r="J3" s="4">
        <v>10</v>
      </c>
      <c r="K3" s="4">
        <v>0</v>
      </c>
      <c r="L3" s="4">
        <v>0</v>
      </c>
      <c r="M3" s="4">
        <v>1</v>
      </c>
      <c r="N3" s="4">
        <v>1</v>
      </c>
      <c r="O3" s="4">
        <v>-6</v>
      </c>
      <c r="P3" s="4">
        <v>0</v>
      </c>
      <c r="Q3" s="4">
        <v>3</v>
      </c>
      <c r="R3" s="4">
        <v>0</v>
      </c>
      <c r="S3" s="4">
        <v>39.64</v>
      </c>
      <c r="T3" s="4">
        <v>1.49253731343284E-3</v>
      </c>
      <c r="U3" s="4">
        <v>0</v>
      </c>
      <c r="V3" s="4">
        <v>-6</v>
      </c>
      <c r="W3" s="4">
        <v>0.70652173913043503</v>
      </c>
      <c r="X3" s="4">
        <v>5.4347826086956499E-2</v>
      </c>
      <c r="Y3" s="4">
        <f t="shared" si="0"/>
        <v>39.64</v>
      </c>
    </row>
    <row r="4" spans="1:25" x14ac:dyDescent="0.2">
      <c r="A4" s="3" t="s">
        <v>878</v>
      </c>
      <c r="B4" s="3" t="s">
        <v>1222</v>
      </c>
      <c r="C4" s="3" t="s">
        <v>26</v>
      </c>
      <c r="D4" s="3">
        <v>14</v>
      </c>
      <c r="E4" s="3">
        <v>442</v>
      </c>
      <c r="F4" s="3">
        <v>288</v>
      </c>
      <c r="G4" s="3">
        <v>2997</v>
      </c>
      <c r="H4" s="3">
        <v>14</v>
      </c>
      <c r="I4" s="3">
        <v>11</v>
      </c>
      <c r="J4" s="3">
        <v>47</v>
      </c>
      <c r="K4" s="3">
        <v>102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1</v>
      </c>
      <c r="S4" s="3">
        <v>170.08</v>
      </c>
      <c r="T4" s="3">
        <v>0</v>
      </c>
      <c r="U4" s="3">
        <v>2.1702127659574502</v>
      </c>
      <c r="V4" s="3"/>
      <c r="W4" s="3">
        <v>0.65158371040723995</v>
      </c>
      <c r="X4" s="3">
        <v>3.1674208144796399E-2</v>
      </c>
      <c r="Y4" s="3">
        <f t="shared" si="0"/>
        <v>170.07999999999998</v>
      </c>
    </row>
    <row r="5" spans="1:25" x14ac:dyDescent="0.2">
      <c r="A5" s="4" t="s">
        <v>1224</v>
      </c>
      <c r="B5" s="4" t="s">
        <v>1222</v>
      </c>
      <c r="C5" s="4" t="s">
        <v>31</v>
      </c>
      <c r="D5" s="4">
        <v>11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106</v>
      </c>
      <c r="K5" s="4">
        <v>462</v>
      </c>
      <c r="L5" s="4">
        <v>3</v>
      </c>
      <c r="M5" s="4">
        <v>23</v>
      </c>
      <c r="N5" s="4">
        <v>17</v>
      </c>
      <c r="O5" s="4">
        <v>97</v>
      </c>
      <c r="P5" s="4">
        <v>0</v>
      </c>
      <c r="Q5" s="4">
        <v>0</v>
      </c>
      <c r="R5" s="4">
        <v>0</v>
      </c>
      <c r="S5" s="4">
        <v>90.9</v>
      </c>
      <c r="T5" s="4">
        <v>3.4328358208955197E-2</v>
      </c>
      <c r="U5" s="4">
        <v>4.35849056603774</v>
      </c>
      <c r="V5" s="4">
        <v>5.7058823529411802</v>
      </c>
      <c r="W5" s="4"/>
      <c r="X5" s="4"/>
      <c r="Y5" s="4">
        <f t="shared" si="0"/>
        <v>90.9</v>
      </c>
    </row>
    <row r="6" spans="1:25" x14ac:dyDescent="0.2">
      <c r="A6" s="3" t="s">
        <v>814</v>
      </c>
      <c r="B6" s="3" t="s">
        <v>1222</v>
      </c>
      <c r="C6" s="3" t="s">
        <v>31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10</v>
      </c>
      <c r="K6" s="3">
        <v>9</v>
      </c>
      <c r="L6" s="3">
        <v>0</v>
      </c>
      <c r="M6" s="3">
        <v>1</v>
      </c>
      <c r="N6" s="3">
        <v>1</v>
      </c>
      <c r="O6" s="3">
        <v>8</v>
      </c>
      <c r="P6" s="3">
        <v>0</v>
      </c>
      <c r="Q6" s="3">
        <v>0</v>
      </c>
      <c r="R6" s="3">
        <v>0</v>
      </c>
      <c r="S6" s="3">
        <v>2.7</v>
      </c>
      <c r="T6" s="3">
        <v>1.49253731343284E-3</v>
      </c>
      <c r="U6" s="3">
        <v>0.9</v>
      </c>
      <c r="V6" s="3">
        <v>8</v>
      </c>
      <c r="W6" s="3"/>
      <c r="X6" s="3"/>
      <c r="Y6" s="3">
        <f t="shared" si="0"/>
        <v>2.7</v>
      </c>
    </row>
    <row r="7" spans="1:25" x14ac:dyDescent="0.2">
      <c r="A7" s="4" t="s">
        <v>1225</v>
      </c>
      <c r="B7" s="4" t="s">
        <v>1222</v>
      </c>
      <c r="C7" s="4" t="s">
        <v>31</v>
      </c>
      <c r="D7" s="4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18</v>
      </c>
      <c r="K7" s="4">
        <v>52</v>
      </c>
      <c r="L7" s="4">
        <v>1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11.2</v>
      </c>
      <c r="T7" s="4">
        <v>0</v>
      </c>
      <c r="U7" s="4">
        <v>2.8888888888888902</v>
      </c>
      <c r="V7" s="4"/>
      <c r="W7" s="4"/>
      <c r="X7" s="4"/>
      <c r="Y7" s="4">
        <f t="shared" si="0"/>
        <v>11.2</v>
      </c>
    </row>
    <row r="8" spans="1:25" x14ac:dyDescent="0.2">
      <c r="A8" s="3" t="s">
        <v>1226</v>
      </c>
      <c r="B8" s="3" t="s">
        <v>1222</v>
      </c>
      <c r="C8" s="3" t="s">
        <v>31</v>
      </c>
      <c r="D8" s="3">
        <v>4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10</v>
      </c>
      <c r="K8" s="3">
        <v>100</v>
      </c>
      <c r="L8" s="3">
        <v>1</v>
      </c>
      <c r="M8" s="3">
        <v>7</v>
      </c>
      <c r="N8" s="3">
        <v>7</v>
      </c>
      <c r="O8" s="3">
        <v>42</v>
      </c>
      <c r="P8" s="3">
        <v>0</v>
      </c>
      <c r="Q8" s="3">
        <v>0</v>
      </c>
      <c r="R8" s="3">
        <v>0</v>
      </c>
      <c r="S8" s="3">
        <v>27.2</v>
      </c>
      <c r="T8" s="3">
        <v>1.04477611940299E-2</v>
      </c>
      <c r="U8" s="3">
        <v>10</v>
      </c>
      <c r="V8" s="3">
        <v>6</v>
      </c>
      <c r="W8" s="3"/>
      <c r="X8" s="3"/>
      <c r="Y8" s="3">
        <f t="shared" si="0"/>
        <v>27.2</v>
      </c>
    </row>
    <row r="9" spans="1:25" x14ac:dyDescent="0.2">
      <c r="A9" s="4" t="s">
        <v>1227</v>
      </c>
      <c r="B9" s="4" t="s">
        <v>1222</v>
      </c>
      <c r="C9" s="4" t="s">
        <v>31</v>
      </c>
      <c r="D9" s="4">
        <v>17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210</v>
      </c>
      <c r="K9" s="4">
        <v>1040</v>
      </c>
      <c r="L9" s="4">
        <v>5</v>
      </c>
      <c r="M9" s="4">
        <v>88</v>
      </c>
      <c r="N9" s="4">
        <v>69</v>
      </c>
      <c r="O9" s="4">
        <v>421</v>
      </c>
      <c r="P9" s="4">
        <v>1</v>
      </c>
      <c r="Q9" s="4">
        <v>1</v>
      </c>
      <c r="R9" s="4">
        <v>0</v>
      </c>
      <c r="S9" s="4">
        <v>249.1</v>
      </c>
      <c r="T9" s="4">
        <v>0.13134328358208999</v>
      </c>
      <c r="U9" s="4">
        <v>4.9523809523809499</v>
      </c>
      <c r="V9" s="4">
        <v>6.1014492753623202</v>
      </c>
      <c r="W9" s="4"/>
      <c r="X9" s="4"/>
      <c r="Y9" s="4">
        <f t="shared" si="0"/>
        <v>249.1</v>
      </c>
    </row>
    <row r="10" spans="1:25" x14ac:dyDescent="0.2">
      <c r="A10" s="3" t="s">
        <v>1228</v>
      </c>
      <c r="B10" s="3" t="s">
        <v>1222</v>
      </c>
      <c r="C10" s="3" t="s">
        <v>38</v>
      </c>
      <c r="D10" s="3">
        <v>16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59</v>
      </c>
      <c r="N10" s="3">
        <v>41</v>
      </c>
      <c r="O10" s="3">
        <v>509</v>
      </c>
      <c r="P10" s="3">
        <v>2</v>
      </c>
      <c r="Q10" s="3">
        <v>0</v>
      </c>
      <c r="R10" s="3">
        <v>0</v>
      </c>
      <c r="S10" s="3">
        <v>103.9</v>
      </c>
      <c r="T10" s="3">
        <v>8.8059701492537307E-2</v>
      </c>
      <c r="U10" s="3"/>
      <c r="V10" s="3">
        <v>12.4146341463415</v>
      </c>
      <c r="W10" s="3"/>
      <c r="X10" s="3"/>
      <c r="Y10" s="3">
        <f t="shared" si="0"/>
        <v>103.9</v>
      </c>
    </row>
    <row r="11" spans="1:25" x14ac:dyDescent="0.2">
      <c r="A11" s="4" t="s">
        <v>1229</v>
      </c>
      <c r="B11" s="4" t="s">
        <v>1222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5</v>
      </c>
      <c r="L11" s="4">
        <v>0</v>
      </c>
      <c r="M11" s="4">
        <v>38</v>
      </c>
      <c r="N11" s="4">
        <v>27</v>
      </c>
      <c r="O11" s="4">
        <v>245</v>
      </c>
      <c r="P11" s="4">
        <v>0</v>
      </c>
      <c r="Q11" s="4">
        <v>0</v>
      </c>
      <c r="R11" s="4">
        <v>0</v>
      </c>
      <c r="S11" s="4">
        <v>52</v>
      </c>
      <c r="T11" s="4">
        <v>5.6716417910447799E-2</v>
      </c>
      <c r="U11" s="4">
        <v>5</v>
      </c>
      <c r="V11" s="4">
        <v>9.0740740740740709</v>
      </c>
      <c r="W11" s="4"/>
      <c r="X11" s="4"/>
      <c r="Y11" s="4">
        <f t="shared" si="0"/>
        <v>52</v>
      </c>
    </row>
    <row r="12" spans="1:25" x14ac:dyDescent="0.2">
      <c r="A12" s="3" t="s">
        <v>1230</v>
      </c>
      <c r="B12" s="3" t="s">
        <v>1222</v>
      </c>
      <c r="C12" s="3" t="s">
        <v>43</v>
      </c>
      <c r="D12" s="3">
        <v>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47</v>
      </c>
      <c r="N12" s="3">
        <v>31</v>
      </c>
      <c r="O12" s="3">
        <v>539</v>
      </c>
      <c r="P12" s="3">
        <v>3</v>
      </c>
      <c r="Q12" s="3">
        <v>0</v>
      </c>
      <c r="R12" s="3">
        <v>0</v>
      </c>
      <c r="S12" s="3">
        <v>102.9</v>
      </c>
      <c r="T12" s="3">
        <v>7.01492537313433E-2</v>
      </c>
      <c r="U12" s="3"/>
      <c r="V12" s="3">
        <v>17.387096774193498</v>
      </c>
      <c r="W12" s="3"/>
      <c r="X12" s="3"/>
      <c r="Y12" s="3">
        <f t="shared" si="0"/>
        <v>102.9</v>
      </c>
    </row>
    <row r="13" spans="1:25" x14ac:dyDescent="0.2">
      <c r="A13" s="4" t="s">
        <v>1231</v>
      </c>
      <c r="B13" s="4" t="s">
        <v>1222</v>
      </c>
      <c r="C13" s="4" t="s">
        <v>43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2</v>
      </c>
      <c r="K13" s="4">
        <v>9</v>
      </c>
      <c r="L13" s="4">
        <v>0</v>
      </c>
      <c r="M13" s="4">
        <v>96</v>
      </c>
      <c r="N13" s="4">
        <v>67</v>
      </c>
      <c r="O13" s="4">
        <v>804</v>
      </c>
      <c r="P13" s="4">
        <v>6</v>
      </c>
      <c r="Q13" s="4">
        <v>0</v>
      </c>
      <c r="R13" s="4">
        <v>0</v>
      </c>
      <c r="S13" s="4">
        <v>184.3</v>
      </c>
      <c r="T13" s="4">
        <v>0.143283582089552</v>
      </c>
      <c r="U13" s="4">
        <v>4.5</v>
      </c>
      <c r="V13" s="4">
        <v>12</v>
      </c>
      <c r="W13" s="4"/>
      <c r="X13" s="4"/>
      <c r="Y13" s="4">
        <f t="shared" si="0"/>
        <v>184.3</v>
      </c>
    </row>
    <row r="14" spans="1:25" x14ac:dyDescent="0.2">
      <c r="A14" s="3" t="s">
        <v>1232</v>
      </c>
      <c r="B14" s="3" t="s">
        <v>1222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6</v>
      </c>
      <c r="K14" s="3">
        <v>39</v>
      </c>
      <c r="L14" s="3">
        <v>0</v>
      </c>
      <c r="M14" s="3">
        <v>48</v>
      </c>
      <c r="N14" s="3">
        <v>35</v>
      </c>
      <c r="O14" s="3">
        <v>434</v>
      </c>
      <c r="P14" s="3">
        <v>1</v>
      </c>
      <c r="Q14" s="3">
        <v>0</v>
      </c>
      <c r="R14" s="3">
        <v>0</v>
      </c>
      <c r="S14" s="3">
        <v>88.3</v>
      </c>
      <c r="T14" s="3">
        <v>7.1641791044776096E-2</v>
      </c>
      <c r="U14" s="3">
        <v>6.5</v>
      </c>
      <c r="V14" s="3">
        <v>12.4</v>
      </c>
      <c r="W14" s="3"/>
      <c r="X14" s="3"/>
      <c r="Y14" s="3">
        <f t="shared" si="0"/>
        <v>88.300000000000011</v>
      </c>
    </row>
    <row r="15" spans="1:25" x14ac:dyDescent="0.2">
      <c r="A15" s="4" t="s">
        <v>1233</v>
      </c>
      <c r="B15" s="4" t="s">
        <v>1222</v>
      </c>
      <c r="C15" s="4" t="s">
        <v>43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2</v>
      </c>
      <c r="O15" s="4">
        <v>20</v>
      </c>
      <c r="P15" s="4">
        <v>0</v>
      </c>
      <c r="Q15" s="4">
        <v>0</v>
      </c>
      <c r="R15" s="4">
        <v>0</v>
      </c>
      <c r="S15" s="4">
        <v>4</v>
      </c>
      <c r="T15" s="4">
        <v>5.9701492537313399E-3</v>
      </c>
      <c r="U15" s="4"/>
      <c r="V15" s="4">
        <v>10</v>
      </c>
      <c r="W15" s="4"/>
      <c r="X15" s="4"/>
      <c r="Y15" s="4">
        <f t="shared" si="0"/>
        <v>4</v>
      </c>
    </row>
    <row r="16" spans="1:25" x14ac:dyDescent="0.2">
      <c r="A16" s="3" t="s">
        <v>1234</v>
      </c>
      <c r="B16" s="3" t="s">
        <v>1222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53</v>
      </c>
      <c r="N16" s="3">
        <v>31</v>
      </c>
      <c r="O16" s="3">
        <v>362</v>
      </c>
      <c r="P16" s="3">
        <v>2</v>
      </c>
      <c r="Q16" s="3">
        <v>0</v>
      </c>
      <c r="R16" s="3">
        <v>0</v>
      </c>
      <c r="S16" s="3">
        <v>75.2</v>
      </c>
      <c r="T16" s="3">
        <v>7.9104477611940296E-2</v>
      </c>
      <c r="U16" s="3"/>
      <c r="V16" s="3">
        <v>11.677419354838699</v>
      </c>
      <c r="W16" s="3"/>
      <c r="X16" s="3"/>
      <c r="Y16" s="3">
        <f t="shared" si="0"/>
        <v>79.2</v>
      </c>
    </row>
    <row r="17" spans="1:25" x14ac:dyDescent="0.2">
      <c r="A17" s="4" t="s">
        <v>1235</v>
      </c>
      <c r="B17" s="4" t="s">
        <v>1222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-2</v>
      </c>
      <c r="L17" s="4">
        <v>0</v>
      </c>
      <c r="M17" s="4">
        <v>4</v>
      </c>
      <c r="N17" s="4">
        <v>3</v>
      </c>
      <c r="O17" s="4">
        <v>15</v>
      </c>
      <c r="P17" s="4">
        <v>1</v>
      </c>
      <c r="Q17" s="4">
        <v>0</v>
      </c>
      <c r="R17" s="4">
        <v>0</v>
      </c>
      <c r="S17" s="4">
        <v>10.3</v>
      </c>
      <c r="T17" s="4">
        <v>5.9701492537313399E-3</v>
      </c>
      <c r="U17" s="4">
        <v>-1</v>
      </c>
      <c r="V17" s="4">
        <v>5</v>
      </c>
      <c r="W17" s="4"/>
      <c r="X17" s="4"/>
      <c r="Y17" s="4">
        <f t="shared" si="0"/>
        <v>10.3</v>
      </c>
    </row>
    <row r="18" spans="1:25" x14ac:dyDescent="0.2">
      <c r="A18" s="3" t="s">
        <v>1236</v>
      </c>
      <c r="B18" s="3" t="s">
        <v>1222</v>
      </c>
      <c r="C18" s="3" t="s">
        <v>43</v>
      </c>
      <c r="D18" s="3"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16</v>
      </c>
      <c r="L18" s="3">
        <v>1</v>
      </c>
      <c r="M18" s="3">
        <v>45</v>
      </c>
      <c r="N18" s="3">
        <v>22</v>
      </c>
      <c r="O18" s="3">
        <v>247</v>
      </c>
      <c r="P18" s="3">
        <v>2</v>
      </c>
      <c r="Q18" s="3">
        <v>0</v>
      </c>
      <c r="R18" s="3">
        <v>0</v>
      </c>
      <c r="S18" s="3">
        <v>66.3</v>
      </c>
      <c r="T18" s="3">
        <v>6.7164179104477598E-2</v>
      </c>
      <c r="U18" s="3">
        <v>5.3333333333333304</v>
      </c>
      <c r="V18" s="3">
        <v>11.2272727272727</v>
      </c>
      <c r="W18" s="3"/>
      <c r="X18" s="3"/>
      <c r="Y18" s="3">
        <f t="shared" si="0"/>
        <v>66.300000000000011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1222</v>
      </c>
      <c r="B31" s="3">
        <v>5647</v>
      </c>
      <c r="C31" s="3">
        <v>3815</v>
      </c>
      <c r="D31" s="3">
        <v>425</v>
      </c>
      <c r="E31" s="3">
        <v>1832</v>
      </c>
      <c r="F31" s="3">
        <v>12</v>
      </c>
      <c r="G31" s="3">
        <v>1279.5</v>
      </c>
      <c r="H31" s="3">
        <v>540</v>
      </c>
      <c r="I31" s="3">
        <v>0.66296296296296298</v>
      </c>
      <c r="J31" s="3">
        <v>19</v>
      </c>
      <c r="K31" s="3">
        <v>14</v>
      </c>
      <c r="L31" s="3">
        <v>5</v>
      </c>
      <c r="M31" s="3">
        <f ca="1">SUM(INDIRECT(A33 &amp; "_Table1[[#All],[f_custom]]"))</f>
        <v>1283.4999999999998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NE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1237</v>
      </c>
      <c r="B36" s="3" t="s">
        <v>26</v>
      </c>
      <c r="C36" s="3">
        <v>24</v>
      </c>
      <c r="D36" s="3">
        <v>0</v>
      </c>
      <c r="E36" s="3" t="s">
        <v>209</v>
      </c>
      <c r="F36" s="3" t="s">
        <v>1222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1238</v>
      </c>
      <c r="B37" s="4" t="s">
        <v>26</v>
      </c>
      <c r="C37" s="4">
        <v>24</v>
      </c>
      <c r="D37" s="4">
        <v>3</v>
      </c>
      <c r="E37" s="4" t="s">
        <v>153</v>
      </c>
      <c r="F37" s="4" t="s">
        <v>1222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1239</v>
      </c>
      <c r="B38" s="3" t="s">
        <v>26</v>
      </c>
      <c r="C38" s="3">
        <v>27</v>
      </c>
      <c r="D38" s="3">
        <v>5</v>
      </c>
      <c r="E38" s="3" t="s">
        <v>339</v>
      </c>
      <c r="F38" s="3" t="s">
        <v>1222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">
      <c r="A39" s="4" t="s">
        <v>1240</v>
      </c>
      <c r="B39" s="4" t="s">
        <v>26</v>
      </c>
      <c r="C39" s="4">
        <v>24</v>
      </c>
      <c r="D39" s="4">
        <v>2</v>
      </c>
      <c r="E39" s="4" t="s">
        <v>1068</v>
      </c>
      <c r="F39" s="4" t="s">
        <v>1222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1241</v>
      </c>
      <c r="B46" s="3" t="s">
        <v>31</v>
      </c>
      <c r="C46" s="3">
        <v>28</v>
      </c>
      <c r="D46" s="3">
        <v>8</v>
      </c>
      <c r="E46" s="3" t="s">
        <v>213</v>
      </c>
      <c r="F46" s="3" t="s">
        <v>1222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1242</v>
      </c>
      <c r="B47" s="4" t="s">
        <v>31</v>
      </c>
      <c r="C47" s="4">
        <v>22</v>
      </c>
      <c r="D47" s="4">
        <v>2</v>
      </c>
      <c r="E47" s="4" t="s">
        <v>341</v>
      </c>
      <c r="F47" s="4" t="s">
        <v>1222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1243</v>
      </c>
      <c r="B48" s="3" t="s">
        <v>31</v>
      </c>
      <c r="C48" s="3">
        <v>26</v>
      </c>
      <c r="D48" s="3">
        <v>1</v>
      </c>
      <c r="E48" s="3" t="s">
        <v>246</v>
      </c>
      <c r="F48" s="3" t="s">
        <v>1222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1244</v>
      </c>
      <c r="B49" s="4" t="s">
        <v>31</v>
      </c>
      <c r="C49" s="4">
        <v>25</v>
      </c>
      <c r="D49" s="4">
        <v>3</v>
      </c>
      <c r="E49" s="4" t="s">
        <v>68</v>
      </c>
      <c r="F49" s="4" t="s">
        <v>1222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1245</v>
      </c>
      <c r="B50" s="3" t="s">
        <v>31</v>
      </c>
      <c r="C50" s="3">
        <v>24</v>
      </c>
      <c r="D50" s="3">
        <v>2</v>
      </c>
      <c r="E50" s="3" t="s">
        <v>753</v>
      </c>
      <c r="F50" s="3" t="s">
        <v>1222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1246</v>
      </c>
      <c r="B51" s="4" t="s">
        <v>31</v>
      </c>
      <c r="C51" s="4">
        <v>25</v>
      </c>
      <c r="D51" s="4">
        <v>3</v>
      </c>
      <c r="E51" s="4" t="s">
        <v>1247</v>
      </c>
      <c r="F51" s="4" t="s">
        <v>1222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1248</v>
      </c>
      <c r="B61" s="3" t="s">
        <v>43</v>
      </c>
      <c r="C61" s="3">
        <v>28</v>
      </c>
      <c r="D61" s="3">
        <v>7</v>
      </c>
      <c r="E61" s="3" t="s">
        <v>413</v>
      </c>
      <c r="F61" s="3" t="s">
        <v>1222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7">($J61*0.04)+($K61*4)+($L61*-2)+($N61*0.1)+($O61*6)+($Q61)+($R61*0.1)+($S61*6)+($T61*-2)</f>
        <v>0</v>
      </c>
      <c r="W61" s="3" t="e">
        <f t="shared" ref="W61:W72" ca="1" si="8">$P61/$H$33</f>
        <v>#DIV/0!</v>
      </c>
      <c r="X61" s="3" t="e">
        <f t="shared" ref="X61:X72" si="9">$N61/$M61</f>
        <v>#DIV/0!</v>
      </c>
      <c r="Y61" s="3" t="e">
        <f t="shared" ref="Y61:Y72" si="10">$R61/$Q61</f>
        <v>#DIV/0!</v>
      </c>
      <c r="Z61" s="3" t="e">
        <f t="shared" ref="Z61:Z72" si="11">$I61/$H61</f>
        <v>#DIV/0!</v>
      </c>
      <c r="AA61" s="3" t="e">
        <f>$K61/$H61</f>
        <v>#DIV/0!</v>
      </c>
      <c r="AB61" s="3">
        <f t="shared" ref="AB61:AB72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1249</v>
      </c>
      <c r="B62" s="4" t="s">
        <v>43</v>
      </c>
      <c r="C62" s="4">
        <v>21</v>
      </c>
      <c r="D62" s="4">
        <v>0</v>
      </c>
      <c r="E62" s="4" t="s">
        <v>227</v>
      </c>
      <c r="F62" s="4" t="s">
        <v>1222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1250</v>
      </c>
      <c r="B63" s="3" t="s">
        <v>43</v>
      </c>
      <c r="C63" s="3">
        <v>22</v>
      </c>
      <c r="D63" s="3">
        <v>0</v>
      </c>
      <c r="E63" s="3" t="s">
        <v>1251</v>
      </c>
      <c r="F63" s="3" t="s">
        <v>1222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1252</v>
      </c>
      <c r="B64" s="4" t="s">
        <v>43</v>
      </c>
      <c r="C64" s="4">
        <v>27</v>
      </c>
      <c r="D64" s="4">
        <v>4</v>
      </c>
      <c r="E64" s="4" t="s">
        <v>393</v>
      </c>
      <c r="F64" s="4" t="s">
        <v>1222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1253</v>
      </c>
      <c r="B65" s="3" t="s">
        <v>43</v>
      </c>
      <c r="C65" s="3">
        <v>30</v>
      </c>
      <c r="D65" s="3">
        <v>9</v>
      </c>
      <c r="E65" s="3" t="s">
        <v>102</v>
      </c>
      <c r="F65" s="3" t="s">
        <v>1222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1254</v>
      </c>
      <c r="B66" s="4" t="s">
        <v>43</v>
      </c>
      <c r="C66" s="4">
        <v>25</v>
      </c>
      <c r="D66" s="4">
        <v>1</v>
      </c>
      <c r="E66" s="4" t="s">
        <v>282</v>
      </c>
      <c r="F66" s="4" t="s">
        <v>1222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1255</v>
      </c>
      <c r="B67" s="3" t="s">
        <v>43</v>
      </c>
      <c r="C67" s="3">
        <v>30</v>
      </c>
      <c r="D67" s="3">
        <v>9</v>
      </c>
      <c r="E67" s="3" t="s">
        <v>209</v>
      </c>
      <c r="F67" s="3" t="s">
        <v>1222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1256</v>
      </c>
      <c r="B68" s="4" t="s">
        <v>43</v>
      </c>
      <c r="C68" s="4">
        <v>22</v>
      </c>
      <c r="D68" s="4">
        <v>0</v>
      </c>
      <c r="E68" s="4" t="s">
        <v>1257</v>
      </c>
      <c r="F68" s="4" t="s">
        <v>1222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1258</v>
      </c>
      <c r="B69" s="3" t="s">
        <v>43</v>
      </c>
      <c r="C69" s="3">
        <v>37</v>
      </c>
      <c r="D69" s="3">
        <v>16</v>
      </c>
      <c r="E69" s="3" t="s">
        <v>418</v>
      </c>
      <c r="F69" s="3" t="s">
        <v>1222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1259</v>
      </c>
      <c r="B70" s="4" t="s">
        <v>43</v>
      </c>
      <c r="C70" s="4">
        <v>26</v>
      </c>
      <c r="D70" s="4">
        <v>7</v>
      </c>
      <c r="E70" s="4" t="s">
        <v>78</v>
      </c>
      <c r="F70" s="4" t="s">
        <v>1222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1260</v>
      </c>
      <c r="B71" s="3" t="s">
        <v>43</v>
      </c>
      <c r="C71" s="3">
        <v>23</v>
      </c>
      <c r="D71" s="3">
        <v>2</v>
      </c>
      <c r="E71" s="3" t="s">
        <v>393</v>
      </c>
      <c r="F71" s="3" t="s">
        <v>1222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1261</v>
      </c>
      <c r="B72" s="4" t="s">
        <v>43</v>
      </c>
      <c r="C72" s="4">
        <v>25</v>
      </c>
      <c r="D72" s="4">
        <v>2</v>
      </c>
      <c r="E72" s="4" t="s">
        <v>1262</v>
      </c>
      <c r="F72" s="4" t="s">
        <v>1222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1263</v>
      </c>
      <c r="B76" s="3" t="s">
        <v>38</v>
      </c>
      <c r="C76" s="3">
        <v>28</v>
      </c>
      <c r="D76" s="3">
        <v>6</v>
      </c>
      <c r="E76" s="3" t="s">
        <v>998</v>
      </c>
      <c r="F76" s="3" t="s">
        <v>1222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3">($J76*0.04)+($K76*4)+($L76*-2)+($N76*0.1)+($O76*6)+($Q76)+($R76*0.1)+($S76*6)+($T76*-2)</f>
        <v>0</v>
      </c>
      <c r="W76" s="3" t="e">
        <f t="shared" ref="W76:W81" ca="1" si="14">$P76/$H$33</f>
        <v>#DIV/0!</v>
      </c>
      <c r="X76" s="3" t="e">
        <f t="shared" ref="X76:X81" si="15">$N76/$M76</f>
        <v>#DIV/0!</v>
      </c>
      <c r="Y76" s="3" t="e">
        <f t="shared" ref="Y76:Y81" si="16">$R76/$Q76</f>
        <v>#DIV/0!</v>
      </c>
      <c r="Z76" s="3" t="e">
        <f t="shared" ref="Z76:Z81" si="17">$I76/$H76</f>
        <v>#DIV/0!</v>
      </c>
      <c r="AA76" s="3" t="e">
        <f>$K76/$H76</f>
        <v>#DIV/0!</v>
      </c>
      <c r="AB76" s="3">
        <f t="shared" ref="AB76:AB81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1264</v>
      </c>
      <c r="B77" s="4" t="s">
        <v>38</v>
      </c>
      <c r="C77" s="4">
        <v>27</v>
      </c>
      <c r="D77" s="4">
        <v>6</v>
      </c>
      <c r="E77" s="4" t="s">
        <v>339</v>
      </c>
      <c r="F77" s="4" t="s">
        <v>1222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1265</v>
      </c>
      <c r="B78" s="3" t="s">
        <v>38</v>
      </c>
      <c r="C78" s="3">
        <v>28</v>
      </c>
      <c r="D78" s="3">
        <v>8</v>
      </c>
      <c r="E78" s="3" t="s">
        <v>175</v>
      </c>
      <c r="F78" s="3" t="s">
        <v>1222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1266</v>
      </c>
      <c r="B79" s="4" t="s">
        <v>38</v>
      </c>
      <c r="C79" s="4">
        <v>25</v>
      </c>
      <c r="D79" s="4">
        <v>0</v>
      </c>
      <c r="E79" s="4" t="s">
        <v>574</v>
      </c>
      <c r="F79" s="4" t="s">
        <v>1222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1267</v>
      </c>
      <c r="B80" s="3" t="s">
        <v>38</v>
      </c>
      <c r="C80" s="3">
        <v>27</v>
      </c>
      <c r="D80" s="3">
        <v>1</v>
      </c>
      <c r="E80" s="3" t="s">
        <v>744</v>
      </c>
      <c r="F80" s="3" t="s">
        <v>1222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1268</v>
      </c>
      <c r="B81" s="4" t="s">
        <v>38</v>
      </c>
      <c r="C81" s="4">
        <v>26</v>
      </c>
      <c r="D81" s="4">
        <v>1</v>
      </c>
      <c r="E81" s="4" t="s">
        <v>95</v>
      </c>
      <c r="F81" s="4" t="s">
        <v>1222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B82"/>
  <sheetViews>
    <sheetView zoomScale="90" zoomScaleNormal="90" workbookViewId="0">
      <selection activeCell="A27" sqref="A27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1269</v>
      </c>
      <c r="B2" s="3" t="s">
        <v>1270</v>
      </c>
      <c r="C2" s="3" t="s">
        <v>115</v>
      </c>
      <c r="D2" s="3">
        <v>5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</v>
      </c>
      <c r="K2" s="3">
        <v>9</v>
      </c>
      <c r="L2" s="3">
        <v>0</v>
      </c>
      <c r="M2" s="3">
        <v>3</v>
      </c>
      <c r="N2" s="3">
        <v>3</v>
      </c>
      <c r="O2" s="3">
        <v>9</v>
      </c>
      <c r="P2" s="3">
        <v>0</v>
      </c>
      <c r="Q2" s="3">
        <v>0</v>
      </c>
      <c r="R2" s="3">
        <v>0</v>
      </c>
      <c r="S2" s="3">
        <v>4.8</v>
      </c>
      <c r="T2" s="3">
        <v>5.5555555555555601E-3</v>
      </c>
      <c r="U2" s="3">
        <v>2.25</v>
      </c>
      <c r="V2" s="3">
        <v>3</v>
      </c>
      <c r="W2" s="3"/>
      <c r="X2" s="3"/>
      <c r="Y2" s="3">
        <f t="shared" ref="Y2:Y25" si="0">($G2*Cp_yd)+($H2*Cp_td)+($I2*Cint)+($J2*Ccar)+($K2*Cr_yd)+($L2*Cr_td)+($N2*Crec)+($O2*Crec_yd)+($P2*Crec_td)+($Q2*Cfmb)+($R2*Ctp_c)</f>
        <v>4.8</v>
      </c>
    </row>
    <row r="3" spans="1:25" x14ac:dyDescent="0.2">
      <c r="A3" s="4" t="s">
        <v>1271</v>
      </c>
      <c r="B3" s="4" t="s">
        <v>1270</v>
      </c>
      <c r="C3" s="4" t="s">
        <v>26</v>
      </c>
      <c r="D3" s="4">
        <v>14</v>
      </c>
      <c r="E3" s="4">
        <v>378</v>
      </c>
      <c r="F3" s="4">
        <v>252</v>
      </c>
      <c r="G3" s="4">
        <v>2871</v>
      </c>
      <c r="H3" s="4">
        <v>18</v>
      </c>
      <c r="I3" s="4">
        <v>9</v>
      </c>
      <c r="J3" s="4">
        <v>30</v>
      </c>
      <c r="K3" s="4">
        <v>54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1</v>
      </c>
      <c r="S3" s="4">
        <v>174.24</v>
      </c>
      <c r="T3" s="4">
        <v>0</v>
      </c>
      <c r="U3" s="4">
        <v>1.8</v>
      </c>
      <c r="V3" s="4"/>
      <c r="W3" s="4">
        <v>0.66666666666666696</v>
      </c>
      <c r="X3" s="4">
        <v>4.7619047619047603E-2</v>
      </c>
      <c r="Y3" s="4">
        <f t="shared" si="0"/>
        <v>174.24</v>
      </c>
    </row>
    <row r="4" spans="1:25" x14ac:dyDescent="0.2">
      <c r="A4" s="3" t="s">
        <v>1272</v>
      </c>
      <c r="B4" s="3" t="s">
        <v>1270</v>
      </c>
      <c r="C4" s="3" t="s">
        <v>26</v>
      </c>
      <c r="D4" s="3">
        <v>3</v>
      </c>
      <c r="E4" s="3">
        <v>115</v>
      </c>
      <c r="F4" s="3">
        <v>73</v>
      </c>
      <c r="G4" s="3">
        <v>858</v>
      </c>
      <c r="H4" s="3">
        <v>4</v>
      </c>
      <c r="I4" s="3">
        <v>5</v>
      </c>
      <c r="J4" s="3">
        <v>5</v>
      </c>
      <c r="K4" s="3">
        <v>16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>
        <v>43.92</v>
      </c>
      <c r="T4" s="3">
        <v>0</v>
      </c>
      <c r="U4" s="3">
        <v>3.2</v>
      </c>
      <c r="V4" s="3"/>
      <c r="W4" s="3">
        <v>0.63478260869565195</v>
      </c>
      <c r="X4" s="3">
        <v>3.4782608695652202E-2</v>
      </c>
      <c r="Y4" s="3">
        <f t="shared" si="0"/>
        <v>43.92</v>
      </c>
    </row>
    <row r="5" spans="1:25" x14ac:dyDescent="0.2">
      <c r="A5" s="4" t="s">
        <v>1273</v>
      </c>
      <c r="B5" s="4" t="s">
        <v>1270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223</v>
      </c>
      <c r="K5" s="4">
        <v>897</v>
      </c>
      <c r="L5" s="4">
        <v>2</v>
      </c>
      <c r="M5" s="4">
        <v>77</v>
      </c>
      <c r="N5" s="4">
        <v>57</v>
      </c>
      <c r="O5" s="4">
        <v>490</v>
      </c>
      <c r="P5" s="4">
        <v>2</v>
      </c>
      <c r="Q5" s="4">
        <v>2</v>
      </c>
      <c r="R5" s="4">
        <v>0</v>
      </c>
      <c r="S5" s="4">
        <v>211.7</v>
      </c>
      <c r="T5" s="4">
        <v>0.14259259259259299</v>
      </c>
      <c r="U5" s="4">
        <v>4.0224215246636801</v>
      </c>
      <c r="V5" s="4">
        <v>8.5964912280701693</v>
      </c>
      <c r="W5" s="4"/>
      <c r="X5" s="4"/>
      <c r="Y5" s="4">
        <f t="shared" si="0"/>
        <v>215.7</v>
      </c>
    </row>
    <row r="6" spans="1:25" x14ac:dyDescent="0.2">
      <c r="A6" s="3" t="s">
        <v>253</v>
      </c>
      <c r="B6" s="3" t="s">
        <v>1270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12</v>
      </c>
      <c r="K6" s="3">
        <v>24</v>
      </c>
      <c r="L6" s="3">
        <v>0</v>
      </c>
      <c r="M6" s="3">
        <v>4</v>
      </c>
      <c r="N6" s="3">
        <v>4</v>
      </c>
      <c r="O6" s="3">
        <v>47</v>
      </c>
      <c r="P6" s="3">
        <v>0</v>
      </c>
      <c r="Q6" s="3">
        <v>1</v>
      </c>
      <c r="R6" s="3">
        <v>0</v>
      </c>
      <c r="S6" s="3">
        <v>9.1</v>
      </c>
      <c r="T6" s="3">
        <v>7.4074074074074103E-3</v>
      </c>
      <c r="U6" s="3">
        <v>2</v>
      </c>
      <c r="V6" s="3">
        <v>11.75</v>
      </c>
      <c r="W6" s="3"/>
      <c r="X6" s="3"/>
      <c r="Y6" s="3">
        <f t="shared" si="0"/>
        <v>9.1000000000000014</v>
      </c>
    </row>
    <row r="7" spans="1:25" x14ac:dyDescent="0.2">
      <c r="A7" s="4" t="s">
        <v>1274</v>
      </c>
      <c r="B7" s="4" t="s">
        <v>1270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11</v>
      </c>
      <c r="K7" s="4">
        <v>38</v>
      </c>
      <c r="L7" s="4">
        <v>0</v>
      </c>
      <c r="M7" s="4">
        <v>1</v>
      </c>
      <c r="N7" s="4">
        <v>1</v>
      </c>
      <c r="O7" s="4">
        <v>7</v>
      </c>
      <c r="P7" s="4">
        <v>0</v>
      </c>
      <c r="Q7" s="4">
        <v>0</v>
      </c>
      <c r="R7" s="4">
        <v>0</v>
      </c>
      <c r="S7" s="4">
        <v>5.5</v>
      </c>
      <c r="T7" s="4">
        <v>1.85185185185185E-3</v>
      </c>
      <c r="U7" s="4">
        <v>3.4545454545454501</v>
      </c>
      <c r="V7" s="4">
        <v>7</v>
      </c>
      <c r="W7" s="4"/>
      <c r="X7" s="4"/>
      <c r="Y7" s="4">
        <f t="shared" si="0"/>
        <v>5.5000000000000009</v>
      </c>
    </row>
    <row r="8" spans="1:25" x14ac:dyDescent="0.2">
      <c r="A8" s="3" t="s">
        <v>33</v>
      </c>
      <c r="B8" s="3" t="s">
        <v>1270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</v>
      </c>
      <c r="K8" s="3">
        <v>13</v>
      </c>
      <c r="L8" s="3">
        <v>0</v>
      </c>
      <c r="M8" s="3">
        <v>1</v>
      </c>
      <c r="N8" s="3">
        <v>1</v>
      </c>
      <c r="O8" s="3">
        <v>9</v>
      </c>
      <c r="P8" s="3">
        <v>0</v>
      </c>
      <c r="Q8" s="3">
        <v>0</v>
      </c>
      <c r="R8" s="3">
        <v>0</v>
      </c>
      <c r="S8" s="3">
        <v>3.2</v>
      </c>
      <c r="T8" s="3">
        <v>1.85185185185185E-3</v>
      </c>
      <c r="U8" s="3">
        <v>3.25</v>
      </c>
      <c r="V8" s="3">
        <v>9</v>
      </c>
      <c r="W8" s="3"/>
      <c r="X8" s="3"/>
      <c r="Y8" s="3">
        <f t="shared" si="0"/>
        <v>3.1999999999999997</v>
      </c>
    </row>
    <row r="9" spans="1:25" x14ac:dyDescent="0.2">
      <c r="A9" s="4" t="s">
        <v>1275</v>
      </c>
      <c r="B9" s="4" t="s">
        <v>1270</v>
      </c>
      <c r="C9" s="4" t="s">
        <v>31</v>
      </c>
      <c r="D9" s="4">
        <v>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1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0.1</v>
      </c>
      <c r="T9" s="4">
        <v>0</v>
      </c>
      <c r="U9" s="4">
        <v>1</v>
      </c>
      <c r="V9" s="4"/>
      <c r="W9" s="4"/>
      <c r="X9" s="4"/>
      <c r="Y9" s="4">
        <f t="shared" si="0"/>
        <v>0.1</v>
      </c>
    </row>
    <row r="10" spans="1:25" x14ac:dyDescent="0.2">
      <c r="A10" s="3" t="s">
        <v>589</v>
      </c>
      <c r="B10" s="3" t="s">
        <v>1270</v>
      </c>
      <c r="C10" s="3" t="s">
        <v>31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11</v>
      </c>
      <c r="K10" s="3">
        <v>57</v>
      </c>
      <c r="L10" s="3">
        <v>1</v>
      </c>
      <c r="M10" s="3">
        <v>1</v>
      </c>
      <c r="N10" s="3">
        <v>1</v>
      </c>
      <c r="O10" s="3">
        <v>8</v>
      </c>
      <c r="P10" s="3">
        <v>0</v>
      </c>
      <c r="Q10" s="3">
        <v>0</v>
      </c>
      <c r="R10" s="3">
        <v>0</v>
      </c>
      <c r="S10" s="3">
        <v>13.5</v>
      </c>
      <c r="T10" s="3">
        <v>1.85185185185185E-3</v>
      </c>
      <c r="U10" s="3">
        <v>5.1818181818181799</v>
      </c>
      <c r="V10" s="3">
        <v>8</v>
      </c>
      <c r="W10" s="3"/>
      <c r="X10" s="3"/>
      <c r="Y10" s="3">
        <f t="shared" si="0"/>
        <v>13.5</v>
      </c>
    </row>
    <row r="11" spans="1:25" x14ac:dyDescent="0.2">
      <c r="A11" s="4" t="s">
        <v>1276</v>
      </c>
      <c r="B11" s="4" t="s">
        <v>1270</v>
      </c>
      <c r="C11" s="4" t="s">
        <v>31</v>
      </c>
      <c r="D11" s="4">
        <v>10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62</v>
      </c>
      <c r="K11" s="4">
        <v>233</v>
      </c>
      <c r="L11" s="4">
        <v>1</v>
      </c>
      <c r="M11" s="4">
        <v>18</v>
      </c>
      <c r="N11" s="4">
        <v>16</v>
      </c>
      <c r="O11" s="4">
        <v>68</v>
      </c>
      <c r="P11" s="4">
        <v>0</v>
      </c>
      <c r="Q11" s="4">
        <v>1</v>
      </c>
      <c r="R11" s="4">
        <v>1</v>
      </c>
      <c r="S11" s="4">
        <v>50.1</v>
      </c>
      <c r="T11" s="4">
        <v>3.3333333333333298E-2</v>
      </c>
      <c r="U11" s="4">
        <v>3.7580645161290298</v>
      </c>
      <c r="V11" s="4">
        <v>4.25</v>
      </c>
      <c r="W11" s="4"/>
      <c r="X11" s="4"/>
      <c r="Y11" s="4">
        <f t="shared" si="0"/>
        <v>52.099999999999994</v>
      </c>
    </row>
    <row r="12" spans="1:25" x14ac:dyDescent="0.2">
      <c r="A12" s="3" t="s">
        <v>879</v>
      </c>
      <c r="B12" s="3" t="s">
        <v>1270</v>
      </c>
      <c r="C12" s="3" t="s">
        <v>31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8</v>
      </c>
      <c r="L12" s="3">
        <v>0</v>
      </c>
      <c r="M12" s="3">
        <v>2</v>
      </c>
      <c r="N12" s="3">
        <v>2</v>
      </c>
      <c r="O12" s="3">
        <v>12</v>
      </c>
      <c r="P12" s="3">
        <v>0</v>
      </c>
      <c r="Q12" s="3">
        <v>0</v>
      </c>
      <c r="R12" s="3">
        <v>0</v>
      </c>
      <c r="S12" s="3">
        <v>4</v>
      </c>
      <c r="T12" s="3">
        <v>3.7037037037036999E-3</v>
      </c>
      <c r="U12" s="3">
        <v>4</v>
      </c>
      <c r="V12" s="3">
        <v>6</v>
      </c>
      <c r="W12" s="3"/>
      <c r="X12" s="3"/>
      <c r="Y12" s="3">
        <f t="shared" si="0"/>
        <v>4</v>
      </c>
    </row>
    <row r="13" spans="1:25" x14ac:dyDescent="0.2">
      <c r="A13" s="4" t="s">
        <v>1277</v>
      </c>
      <c r="B13" s="4" t="s">
        <v>1270</v>
      </c>
      <c r="C13" s="4" t="s">
        <v>38</v>
      </c>
      <c r="D13" s="4">
        <v>12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22</v>
      </c>
      <c r="N13" s="4">
        <v>18</v>
      </c>
      <c r="O13" s="4">
        <v>207</v>
      </c>
      <c r="P13" s="4">
        <v>1</v>
      </c>
      <c r="Q13" s="4">
        <v>0</v>
      </c>
      <c r="R13" s="4">
        <v>0</v>
      </c>
      <c r="S13" s="4">
        <v>44.7</v>
      </c>
      <c r="T13" s="4">
        <v>4.0740740740740702E-2</v>
      </c>
      <c r="U13" s="4"/>
      <c r="V13" s="4">
        <v>11.5</v>
      </c>
      <c r="W13" s="4"/>
      <c r="X13" s="4"/>
      <c r="Y13" s="4">
        <f t="shared" si="0"/>
        <v>44.7</v>
      </c>
    </row>
    <row r="14" spans="1:25" x14ac:dyDescent="0.2">
      <c r="A14" s="3" t="s">
        <v>1074</v>
      </c>
      <c r="B14" s="3" t="s">
        <v>1270</v>
      </c>
      <c r="C14" s="3" t="s">
        <v>38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65</v>
      </c>
      <c r="N14" s="3">
        <v>42</v>
      </c>
      <c r="O14" s="3">
        <v>508</v>
      </c>
      <c r="P14" s="3">
        <v>7</v>
      </c>
      <c r="Q14" s="3">
        <v>0</v>
      </c>
      <c r="R14" s="3">
        <v>0</v>
      </c>
      <c r="S14" s="3">
        <v>134.80000000000001</v>
      </c>
      <c r="T14" s="3">
        <v>0.12037037037037</v>
      </c>
      <c r="U14" s="3"/>
      <c r="V14" s="3">
        <v>12.0952380952381</v>
      </c>
      <c r="W14" s="3"/>
      <c r="X14" s="3"/>
      <c r="Y14" s="3">
        <f t="shared" si="0"/>
        <v>134.80000000000001</v>
      </c>
    </row>
    <row r="15" spans="1:25" x14ac:dyDescent="0.2">
      <c r="A15" s="4" t="s">
        <v>1278</v>
      </c>
      <c r="B15" s="4" t="s">
        <v>1270</v>
      </c>
      <c r="C15" s="4" t="s">
        <v>38</v>
      </c>
      <c r="D15" s="4">
        <v>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</v>
      </c>
      <c r="N15" s="4">
        <v>2</v>
      </c>
      <c r="O15" s="4">
        <v>13</v>
      </c>
      <c r="P15" s="4">
        <v>0</v>
      </c>
      <c r="Q15" s="4">
        <v>0</v>
      </c>
      <c r="R15" s="4">
        <v>0</v>
      </c>
      <c r="S15" s="4">
        <v>3.3</v>
      </c>
      <c r="T15" s="4">
        <v>3.7037037037036999E-3</v>
      </c>
      <c r="U15" s="4"/>
      <c r="V15" s="4">
        <v>6.5</v>
      </c>
      <c r="W15" s="4"/>
      <c r="X15" s="4"/>
      <c r="Y15" s="4">
        <f t="shared" si="0"/>
        <v>3.3</v>
      </c>
    </row>
    <row r="16" spans="1:25" x14ac:dyDescent="0.2">
      <c r="A16" s="3" t="s">
        <v>1143</v>
      </c>
      <c r="B16" s="3" t="s">
        <v>1270</v>
      </c>
      <c r="C16" s="3" t="s">
        <v>38</v>
      </c>
      <c r="D16" s="3">
        <v>16</v>
      </c>
      <c r="E16" s="3">
        <v>19</v>
      </c>
      <c r="F16" s="3">
        <v>13</v>
      </c>
      <c r="G16" s="3">
        <v>240</v>
      </c>
      <c r="H16" s="3">
        <v>2</v>
      </c>
      <c r="I16" s="3">
        <v>0</v>
      </c>
      <c r="J16" s="3">
        <v>96</v>
      </c>
      <c r="K16" s="3">
        <v>575</v>
      </c>
      <c r="L16" s="3">
        <v>7</v>
      </c>
      <c r="M16" s="3">
        <v>13</v>
      </c>
      <c r="N16" s="3">
        <v>9</v>
      </c>
      <c r="O16" s="3">
        <v>77</v>
      </c>
      <c r="P16" s="3">
        <v>2</v>
      </c>
      <c r="Q16" s="3">
        <v>0</v>
      </c>
      <c r="R16" s="3">
        <v>0</v>
      </c>
      <c r="S16" s="3">
        <v>145.80000000000001</v>
      </c>
      <c r="T16" s="3">
        <v>2.4074074074074098E-2</v>
      </c>
      <c r="U16" s="3">
        <v>5.9895833333333304</v>
      </c>
      <c r="V16" s="3">
        <v>8.5555555555555607</v>
      </c>
      <c r="W16" s="3">
        <v>0.68421052631578905</v>
      </c>
      <c r="X16" s="3">
        <v>0.105263157894737</v>
      </c>
      <c r="Y16" s="3">
        <f t="shared" si="0"/>
        <v>145.79999999999998</v>
      </c>
    </row>
    <row r="17" spans="1:25" x14ac:dyDescent="0.2">
      <c r="A17" s="4" t="s">
        <v>1279</v>
      </c>
      <c r="B17" s="4" t="s">
        <v>1270</v>
      </c>
      <c r="C17" s="4" t="s">
        <v>43</v>
      </c>
      <c r="D17" s="4">
        <v>15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119</v>
      </c>
      <c r="N17" s="4">
        <v>72</v>
      </c>
      <c r="O17" s="4">
        <v>1042</v>
      </c>
      <c r="P17" s="4">
        <v>4</v>
      </c>
      <c r="Q17" s="4">
        <v>0</v>
      </c>
      <c r="R17" s="4">
        <v>0</v>
      </c>
      <c r="S17" s="4">
        <v>198.2</v>
      </c>
      <c r="T17" s="4">
        <v>0.22037037037036999</v>
      </c>
      <c r="U17" s="4"/>
      <c r="V17" s="4">
        <v>14.4722222222222</v>
      </c>
      <c r="W17" s="4"/>
      <c r="X17" s="4"/>
      <c r="Y17" s="4">
        <f t="shared" si="0"/>
        <v>200.2</v>
      </c>
    </row>
    <row r="18" spans="1:25" x14ac:dyDescent="0.2">
      <c r="A18" s="3" t="s">
        <v>1280</v>
      </c>
      <c r="B18" s="3" t="s">
        <v>1270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2</v>
      </c>
      <c r="N18" s="3">
        <v>2</v>
      </c>
      <c r="O18" s="3">
        <v>13</v>
      </c>
      <c r="P18" s="3">
        <v>0</v>
      </c>
      <c r="Q18" s="3">
        <v>0</v>
      </c>
      <c r="R18" s="3">
        <v>0</v>
      </c>
      <c r="S18" s="3">
        <v>3.3</v>
      </c>
      <c r="T18" s="3">
        <v>3.7037037037036999E-3</v>
      </c>
      <c r="U18" s="3"/>
      <c r="V18" s="3">
        <v>6.5</v>
      </c>
      <c r="W18" s="3"/>
      <c r="X18" s="3"/>
      <c r="Y18" s="3">
        <f t="shared" si="0"/>
        <v>3.3</v>
      </c>
    </row>
    <row r="19" spans="1:25" x14ac:dyDescent="0.2">
      <c r="A19" s="4" t="s">
        <v>1281</v>
      </c>
      <c r="B19" s="4" t="s">
        <v>1270</v>
      </c>
      <c r="C19" s="4" t="s">
        <v>43</v>
      </c>
      <c r="D19" s="4">
        <v>9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39</v>
      </c>
      <c r="N19" s="4">
        <v>25</v>
      </c>
      <c r="O19" s="4">
        <v>272</v>
      </c>
      <c r="P19" s="4">
        <v>1</v>
      </c>
      <c r="Q19" s="4">
        <v>0</v>
      </c>
      <c r="R19" s="4">
        <v>0</v>
      </c>
      <c r="S19" s="4">
        <v>60.2</v>
      </c>
      <c r="T19" s="4">
        <v>7.2222222222222202E-2</v>
      </c>
      <c r="U19" s="4"/>
      <c r="V19" s="4">
        <v>10.88</v>
      </c>
      <c r="W19" s="4"/>
      <c r="X19" s="4"/>
      <c r="Y19" s="4">
        <f t="shared" si="0"/>
        <v>58.2</v>
      </c>
    </row>
    <row r="20" spans="1:25" x14ac:dyDescent="0.2">
      <c r="A20" s="3" t="s">
        <v>1282</v>
      </c>
      <c r="B20" s="3" t="s">
        <v>1270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4</v>
      </c>
      <c r="N20" s="3">
        <v>2</v>
      </c>
      <c r="O20" s="3">
        <v>18</v>
      </c>
      <c r="P20" s="3">
        <v>0</v>
      </c>
      <c r="Q20" s="3">
        <v>0</v>
      </c>
      <c r="R20" s="3">
        <v>0</v>
      </c>
      <c r="S20" s="3">
        <v>3.8</v>
      </c>
      <c r="T20" s="3">
        <v>7.4074074074074103E-3</v>
      </c>
      <c r="U20" s="3"/>
      <c r="V20" s="3">
        <v>9</v>
      </c>
      <c r="W20" s="3"/>
      <c r="X20" s="3"/>
      <c r="Y20" s="3">
        <f t="shared" si="0"/>
        <v>3.8</v>
      </c>
    </row>
    <row r="21" spans="1:25" x14ac:dyDescent="0.2">
      <c r="A21" s="4" t="s">
        <v>1283</v>
      </c>
      <c r="B21" s="4" t="s">
        <v>1270</v>
      </c>
      <c r="C21" s="4" t="s">
        <v>43</v>
      </c>
      <c r="D21" s="4">
        <v>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2</v>
      </c>
      <c r="O21" s="4">
        <v>74</v>
      </c>
      <c r="P21" s="4">
        <v>0</v>
      </c>
      <c r="Q21" s="4">
        <v>0</v>
      </c>
      <c r="R21" s="4">
        <v>0</v>
      </c>
      <c r="S21" s="4">
        <v>9.4</v>
      </c>
      <c r="T21" s="4">
        <v>9.2592592592592605E-3</v>
      </c>
      <c r="U21" s="4"/>
      <c r="V21" s="4">
        <v>37</v>
      </c>
      <c r="W21" s="4"/>
      <c r="X21" s="4"/>
      <c r="Y21" s="4">
        <f t="shared" si="0"/>
        <v>9.4</v>
      </c>
    </row>
    <row r="22" spans="1:25" x14ac:dyDescent="0.2">
      <c r="A22" s="3" t="s">
        <v>1284</v>
      </c>
      <c r="B22" s="3" t="s">
        <v>1270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32</v>
      </c>
      <c r="N22" s="3">
        <v>16</v>
      </c>
      <c r="O22" s="3">
        <v>158</v>
      </c>
      <c r="P22" s="3">
        <v>1</v>
      </c>
      <c r="Q22" s="3">
        <v>0</v>
      </c>
      <c r="R22" s="3">
        <v>0</v>
      </c>
      <c r="S22" s="3">
        <v>37.799999999999997</v>
      </c>
      <c r="T22" s="3">
        <v>5.9259259259259303E-2</v>
      </c>
      <c r="U22" s="3"/>
      <c r="V22" s="3">
        <v>9.875</v>
      </c>
      <c r="W22" s="3"/>
      <c r="X22" s="3"/>
      <c r="Y22" s="3">
        <f t="shared" si="0"/>
        <v>37.799999999999997</v>
      </c>
    </row>
    <row r="23" spans="1:25" x14ac:dyDescent="0.2">
      <c r="A23" s="4" t="s">
        <v>435</v>
      </c>
      <c r="B23" s="4" t="s">
        <v>1270</v>
      </c>
      <c r="C23" s="4" t="s">
        <v>43</v>
      </c>
      <c r="D23" s="4">
        <v>3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22</v>
      </c>
      <c r="N23" s="4">
        <v>16</v>
      </c>
      <c r="O23" s="4">
        <v>171</v>
      </c>
      <c r="P23" s="4">
        <v>3</v>
      </c>
      <c r="Q23" s="4">
        <v>0</v>
      </c>
      <c r="R23" s="4">
        <v>0</v>
      </c>
      <c r="S23" s="4">
        <v>51.1</v>
      </c>
      <c r="T23" s="4">
        <v>4.0740740740740702E-2</v>
      </c>
      <c r="U23" s="4"/>
      <c r="V23" s="4">
        <v>10.6875</v>
      </c>
      <c r="W23" s="4"/>
      <c r="X23" s="4"/>
      <c r="Y23" s="4">
        <f t="shared" si="0"/>
        <v>51.1</v>
      </c>
    </row>
    <row r="24" spans="1:25" x14ac:dyDescent="0.2">
      <c r="A24" s="3" t="s">
        <v>1285</v>
      </c>
      <c r="B24" s="3" t="s">
        <v>1270</v>
      </c>
      <c r="C24" s="3" t="s">
        <v>43</v>
      </c>
      <c r="D24" s="3">
        <v>11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4</v>
      </c>
      <c r="K24" s="3">
        <v>57</v>
      </c>
      <c r="L24" s="3">
        <v>1</v>
      </c>
      <c r="M24" s="3">
        <v>34</v>
      </c>
      <c r="N24" s="3">
        <v>28</v>
      </c>
      <c r="O24" s="3">
        <v>488</v>
      </c>
      <c r="P24" s="3">
        <v>2</v>
      </c>
      <c r="Q24" s="3">
        <v>0</v>
      </c>
      <c r="R24" s="3">
        <v>0</v>
      </c>
      <c r="S24" s="3">
        <v>100.5</v>
      </c>
      <c r="T24" s="3">
        <v>6.2962962962962998E-2</v>
      </c>
      <c r="U24" s="3">
        <v>14.25</v>
      </c>
      <c r="V24" s="3">
        <v>17.428571428571399</v>
      </c>
      <c r="W24" s="3"/>
      <c r="X24" s="3"/>
      <c r="Y24" s="3">
        <f t="shared" si="0"/>
        <v>100.5</v>
      </c>
    </row>
    <row r="25" spans="1:25" x14ac:dyDescent="0.2">
      <c r="A25" s="4" t="s">
        <v>1286</v>
      </c>
      <c r="B25" s="4" t="s">
        <v>1270</v>
      </c>
      <c r="C25" s="4" t="s">
        <v>43</v>
      </c>
      <c r="D25" s="4">
        <v>9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27</v>
      </c>
      <c r="N25" s="4">
        <v>19</v>
      </c>
      <c r="O25" s="4">
        <v>278</v>
      </c>
      <c r="P25" s="4">
        <v>1</v>
      </c>
      <c r="Q25" s="4">
        <v>0</v>
      </c>
      <c r="R25" s="4">
        <v>0</v>
      </c>
      <c r="S25" s="4">
        <v>52.8</v>
      </c>
      <c r="T25" s="4">
        <v>0.05</v>
      </c>
      <c r="U25" s="4"/>
      <c r="V25" s="4">
        <v>14.6315789473684</v>
      </c>
      <c r="W25" s="4"/>
      <c r="X25" s="4"/>
      <c r="Y25" s="4">
        <f t="shared" si="0"/>
        <v>52.8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1270</v>
      </c>
      <c r="B31" s="3">
        <v>5951</v>
      </c>
      <c r="C31" s="3">
        <v>3969</v>
      </c>
      <c r="D31" s="3">
        <v>465</v>
      </c>
      <c r="E31" s="3">
        <v>1982</v>
      </c>
      <c r="F31" s="3">
        <v>12</v>
      </c>
      <c r="G31" s="3">
        <v>1365.86</v>
      </c>
      <c r="H31" s="3">
        <v>512</v>
      </c>
      <c r="I31" s="3">
        <v>0.66015625</v>
      </c>
      <c r="J31" s="3">
        <v>24</v>
      </c>
      <c r="K31" s="3">
        <v>14</v>
      </c>
      <c r="L31" s="3">
        <v>5</v>
      </c>
      <c r="M31" s="3">
        <f ca="1">SUM(INDIRECT(A33 &amp; "_Table1[[#All],[f_custom]]"))</f>
        <v>1371.86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NO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1287</v>
      </c>
      <c r="B36" s="3" t="s">
        <v>26</v>
      </c>
      <c r="C36" s="3">
        <v>32</v>
      </c>
      <c r="D36" s="3">
        <v>10</v>
      </c>
      <c r="E36" s="3" t="s">
        <v>280</v>
      </c>
      <c r="F36" s="3" t="s">
        <v>1270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1288</v>
      </c>
      <c r="B37" s="4" t="s">
        <v>26</v>
      </c>
      <c r="C37" s="4">
        <v>24</v>
      </c>
      <c r="D37" s="4">
        <v>0</v>
      </c>
      <c r="E37" s="4" t="s">
        <v>280</v>
      </c>
      <c r="F37" s="4" t="s">
        <v>1270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1289</v>
      </c>
      <c r="B38" s="3" t="s">
        <v>26</v>
      </c>
      <c r="C38" s="3">
        <v>29</v>
      </c>
      <c r="D38" s="3">
        <v>9</v>
      </c>
      <c r="E38" s="3" t="s">
        <v>1012</v>
      </c>
      <c r="F38" s="3" t="s">
        <v>1270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1290</v>
      </c>
      <c r="B46" s="3" t="s">
        <v>31</v>
      </c>
      <c r="C46" s="3">
        <v>26</v>
      </c>
      <c r="D46" s="3">
        <v>1</v>
      </c>
      <c r="E46" s="3" t="s">
        <v>163</v>
      </c>
      <c r="F46" s="3" t="s">
        <v>1270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>$K46/$H46</f>
        <v>#DIV/0!</v>
      </c>
      <c r="AB46" s="3">
        <f t="shared" ref="AB46:AB52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1291</v>
      </c>
      <c r="B47" s="4" t="s">
        <v>31</v>
      </c>
      <c r="C47" s="4">
        <v>24</v>
      </c>
      <c r="D47" s="4">
        <v>4</v>
      </c>
      <c r="E47" s="4" t="s">
        <v>155</v>
      </c>
      <c r="F47" s="4" t="s">
        <v>1270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1292</v>
      </c>
      <c r="B48" s="3" t="s">
        <v>31</v>
      </c>
      <c r="C48" s="3">
        <v>28</v>
      </c>
      <c r="D48" s="3">
        <v>7</v>
      </c>
      <c r="E48" s="3" t="s">
        <v>143</v>
      </c>
      <c r="F48" s="3" t="s">
        <v>1270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1293</v>
      </c>
      <c r="B49" s="4" t="s">
        <v>31</v>
      </c>
      <c r="C49" s="4">
        <v>24</v>
      </c>
      <c r="D49" s="4">
        <v>0</v>
      </c>
      <c r="E49" s="4" t="s">
        <v>291</v>
      </c>
      <c r="F49" s="4" t="s">
        <v>1270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1294</v>
      </c>
      <c r="B50" s="3" t="s">
        <v>31</v>
      </c>
      <c r="C50" s="3">
        <v>21</v>
      </c>
      <c r="D50" s="3">
        <v>0</v>
      </c>
      <c r="E50" s="3" t="s">
        <v>76</v>
      </c>
      <c r="F50" s="3" t="s">
        <v>1270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1295</v>
      </c>
      <c r="B51" s="4" t="s">
        <v>31</v>
      </c>
      <c r="C51" s="4">
        <v>28</v>
      </c>
      <c r="D51" s="4">
        <v>6</v>
      </c>
      <c r="E51" s="4" t="s">
        <v>227</v>
      </c>
      <c r="F51" s="4" t="s">
        <v>1270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52" spans="1:28" x14ac:dyDescent="0.2">
      <c r="A52" s="3" t="s">
        <v>1296</v>
      </c>
      <c r="B52" s="3" t="s">
        <v>31</v>
      </c>
      <c r="C52" s="3">
        <v>28</v>
      </c>
      <c r="D52" s="3">
        <v>7</v>
      </c>
      <c r="E52" s="3" t="s">
        <v>82</v>
      </c>
      <c r="F52" s="3" t="s">
        <v>1270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>$K52/$H52</f>
        <v>#DIV/0!</v>
      </c>
      <c r="AB52" s="3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1297</v>
      </c>
      <c r="B61" s="3" t="s">
        <v>43</v>
      </c>
      <c r="C61" s="3">
        <v>24</v>
      </c>
      <c r="D61" s="3">
        <v>1</v>
      </c>
      <c r="E61" s="3" t="s">
        <v>519</v>
      </c>
      <c r="F61" s="3" t="s">
        <v>1270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7">($J61*0.04)+($K61*4)+($L61*-2)+($N61*0.1)+($O61*6)+($Q61)+($R61*0.1)+($S61*6)+($T61*-2)</f>
        <v>0</v>
      </c>
      <c r="W61" s="3" t="e">
        <f t="shared" ref="W61:W72" ca="1" si="8">$P61/$H$33</f>
        <v>#DIV/0!</v>
      </c>
      <c r="X61" s="3" t="e">
        <f t="shared" ref="X61:X72" si="9">$N61/$M61</f>
        <v>#DIV/0!</v>
      </c>
      <c r="Y61" s="3" t="e">
        <f t="shared" ref="Y61:Y72" si="10">$R61/$Q61</f>
        <v>#DIV/0!</v>
      </c>
      <c r="Z61" s="3" t="e">
        <f t="shared" ref="Z61:Z72" si="11">$I61/$H61</f>
        <v>#DIV/0!</v>
      </c>
      <c r="AA61" s="3" t="e">
        <f>$K61/$H61</f>
        <v>#DIV/0!</v>
      </c>
      <c r="AB61" s="3">
        <f t="shared" ref="AB61:AB72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1298</v>
      </c>
      <c r="B62" s="4" t="s">
        <v>43</v>
      </c>
      <c r="C62" s="4">
        <v>25</v>
      </c>
      <c r="D62" s="4">
        <v>3</v>
      </c>
      <c r="E62" s="4" t="s">
        <v>150</v>
      </c>
      <c r="F62" s="4" t="s">
        <v>1270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1299</v>
      </c>
      <c r="B63" s="3" t="s">
        <v>43</v>
      </c>
      <c r="C63" s="3">
        <v>23</v>
      </c>
      <c r="D63" s="3">
        <v>0</v>
      </c>
      <c r="E63" s="3" t="s">
        <v>1300</v>
      </c>
      <c r="F63" s="3" t="s">
        <v>1270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1301</v>
      </c>
      <c r="B64" s="4" t="s">
        <v>43</v>
      </c>
      <c r="C64" s="4">
        <v>24</v>
      </c>
      <c r="D64" s="4">
        <v>4</v>
      </c>
      <c r="E64" s="4" t="s">
        <v>341</v>
      </c>
      <c r="F64" s="4" t="s">
        <v>1270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1302</v>
      </c>
      <c r="B65" s="3" t="s">
        <v>43</v>
      </c>
      <c r="C65" s="3">
        <v>24</v>
      </c>
      <c r="D65" s="3">
        <v>1</v>
      </c>
      <c r="E65" s="3" t="s">
        <v>227</v>
      </c>
      <c r="F65" s="3" t="s">
        <v>1270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1303</v>
      </c>
      <c r="B66" s="4" t="s">
        <v>43</v>
      </c>
      <c r="C66" s="4">
        <v>29</v>
      </c>
      <c r="D66" s="4">
        <v>4</v>
      </c>
      <c r="E66" s="4" t="s">
        <v>391</v>
      </c>
      <c r="F66" s="4" t="s">
        <v>1270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1304</v>
      </c>
      <c r="B67" s="3" t="s">
        <v>43</v>
      </c>
      <c r="C67" s="3">
        <v>26</v>
      </c>
      <c r="D67" s="3">
        <v>1</v>
      </c>
      <c r="E67" s="3" t="s">
        <v>1305</v>
      </c>
      <c r="F67" s="3" t="s">
        <v>1270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1306</v>
      </c>
      <c r="B68" s="4" t="s">
        <v>43</v>
      </c>
      <c r="C68" s="4">
        <v>23</v>
      </c>
      <c r="D68" s="4">
        <v>2</v>
      </c>
      <c r="E68" s="4" t="s">
        <v>213</v>
      </c>
      <c r="F68" s="4" t="s">
        <v>1270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1307</v>
      </c>
      <c r="B69" s="3" t="s">
        <v>43</v>
      </c>
      <c r="C69" s="3">
        <v>23</v>
      </c>
      <c r="D69" s="3">
        <v>0</v>
      </c>
      <c r="E69" s="3" t="s">
        <v>95</v>
      </c>
      <c r="F69" s="3" t="s">
        <v>1270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1308</v>
      </c>
      <c r="B70" s="4" t="s">
        <v>43</v>
      </c>
      <c r="C70" s="4">
        <v>24</v>
      </c>
      <c r="D70" s="4">
        <v>2</v>
      </c>
      <c r="E70" s="4" t="s">
        <v>1309</v>
      </c>
      <c r="F70" s="4" t="s">
        <v>1270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1310</v>
      </c>
      <c r="B71" s="3" t="s">
        <v>43</v>
      </c>
      <c r="C71" s="3">
        <v>27</v>
      </c>
      <c r="D71" s="3">
        <v>6</v>
      </c>
      <c r="E71" s="3" t="s">
        <v>282</v>
      </c>
      <c r="F71" s="3" t="s">
        <v>1270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1311</v>
      </c>
      <c r="B72" s="4" t="s">
        <v>43</v>
      </c>
      <c r="C72" s="4">
        <v>30</v>
      </c>
      <c r="D72" s="4">
        <v>8</v>
      </c>
      <c r="E72" s="4" t="s">
        <v>213</v>
      </c>
      <c r="F72" s="4" t="s">
        <v>1270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1312</v>
      </c>
      <c r="B76" s="3" t="s">
        <v>38</v>
      </c>
      <c r="C76" s="3">
        <v>36</v>
      </c>
      <c r="D76" s="3">
        <v>13</v>
      </c>
      <c r="E76" s="3" t="s">
        <v>397</v>
      </c>
      <c r="F76" s="3" t="s">
        <v>1270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3">($J76*0.04)+($K76*4)+($L76*-2)+($N76*0.1)+($O76*6)+($Q76)+($R76*0.1)+($S76*6)+($T76*-2)</f>
        <v>0</v>
      </c>
      <c r="W76" s="3" t="e">
        <f t="shared" ref="W76:W82" ca="1" si="14">$P76/$H$33</f>
        <v>#DIV/0!</v>
      </c>
      <c r="X76" s="3" t="e">
        <f t="shared" ref="X76:X82" si="15">$N76/$M76</f>
        <v>#DIV/0!</v>
      </c>
      <c r="Y76" s="3" t="e">
        <f t="shared" ref="Y76:Y82" si="16">$R76/$Q76</f>
        <v>#DIV/0!</v>
      </c>
      <c r="Z76" s="3" t="e">
        <f t="shared" ref="Z76:Z82" si="17">$I76/$H76</f>
        <v>#DIV/0!</v>
      </c>
      <c r="AA76" s="3" t="e">
        <f>$K76/$H76</f>
        <v>#DIV/0!</v>
      </c>
      <c r="AB76" s="3">
        <f t="shared" ref="AB76:AB82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1313</v>
      </c>
      <c r="B77" s="4" t="s">
        <v>38</v>
      </c>
      <c r="C77" s="4">
        <v>32</v>
      </c>
      <c r="D77" s="4">
        <v>7</v>
      </c>
      <c r="E77" s="4" t="s">
        <v>82</v>
      </c>
      <c r="F77" s="4" t="s">
        <v>1270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1314</v>
      </c>
      <c r="B78" s="3" t="s">
        <v>38</v>
      </c>
      <c r="C78" s="3">
        <v>29</v>
      </c>
      <c r="D78" s="3">
        <v>7</v>
      </c>
      <c r="E78" s="3" t="s">
        <v>74</v>
      </c>
      <c r="F78" s="3" t="s">
        <v>1270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1315</v>
      </c>
      <c r="B79" s="4" t="s">
        <v>38</v>
      </c>
      <c r="C79" s="4">
        <v>29</v>
      </c>
      <c r="D79" s="4">
        <v>9</v>
      </c>
      <c r="E79" s="4" t="s">
        <v>339</v>
      </c>
      <c r="F79" s="4" t="s">
        <v>1270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1316</v>
      </c>
      <c r="B80" s="3" t="s">
        <v>38</v>
      </c>
      <c r="C80" s="3">
        <v>26</v>
      </c>
      <c r="D80" s="3">
        <v>4</v>
      </c>
      <c r="E80" s="3" t="s">
        <v>205</v>
      </c>
      <c r="F80" s="3" t="s">
        <v>1270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1317</v>
      </c>
      <c r="B81" s="4" t="s">
        <v>38</v>
      </c>
      <c r="C81" s="4">
        <v>25</v>
      </c>
      <c r="D81" s="4">
        <v>1</v>
      </c>
      <c r="E81" s="4" t="s">
        <v>74</v>
      </c>
      <c r="F81" s="4" t="s">
        <v>1270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  <row r="82" spans="1:28" x14ac:dyDescent="0.2">
      <c r="A82" s="3" t="s">
        <v>1318</v>
      </c>
      <c r="B82" s="3" t="s">
        <v>38</v>
      </c>
      <c r="C82" s="3">
        <v>26</v>
      </c>
      <c r="D82" s="3">
        <v>5</v>
      </c>
      <c r="E82" s="3" t="s">
        <v>227</v>
      </c>
      <c r="F82" s="3" t="s">
        <v>1270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3"/>
        <v>0</v>
      </c>
      <c r="W82" s="3" t="e">
        <f t="shared" ca="1" si="14"/>
        <v>#DIV/0!</v>
      </c>
      <c r="X82" s="3" t="e">
        <f t="shared" si="15"/>
        <v>#DIV/0!</v>
      </c>
      <c r="Y82" s="3" t="e">
        <f t="shared" si="16"/>
        <v>#DIV/0!</v>
      </c>
      <c r="Z82" s="3" t="e">
        <f t="shared" si="17"/>
        <v>#DIV/0!</v>
      </c>
      <c r="AA82" s="3" t="e">
        <f>$K82/$H82</f>
        <v>#DIV/0!</v>
      </c>
      <c r="AB82" s="3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B80"/>
  <sheetViews>
    <sheetView zoomScale="90" zoomScaleNormal="90" workbookViewId="0">
      <selection activeCell="A22" sqref="A22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1319</v>
      </c>
      <c r="B2" s="3" t="s">
        <v>1320</v>
      </c>
      <c r="C2" s="3" t="s">
        <v>26</v>
      </c>
      <c r="D2" s="3">
        <v>16</v>
      </c>
      <c r="E2" s="3">
        <v>472</v>
      </c>
      <c r="F2" s="3">
        <v>317</v>
      </c>
      <c r="G2" s="3">
        <v>3205</v>
      </c>
      <c r="H2" s="3">
        <v>15</v>
      </c>
      <c r="I2" s="3">
        <v>5</v>
      </c>
      <c r="J2" s="3">
        <v>120</v>
      </c>
      <c r="K2" s="3">
        <v>708</v>
      </c>
      <c r="L2" s="3">
        <v>7</v>
      </c>
      <c r="M2" s="3">
        <v>0</v>
      </c>
      <c r="N2" s="3">
        <v>0</v>
      </c>
      <c r="O2" s="3">
        <v>0</v>
      </c>
      <c r="P2" s="3">
        <v>0</v>
      </c>
      <c r="Q2" s="3">
        <v>3</v>
      </c>
      <c r="R2" s="3">
        <v>2</v>
      </c>
      <c r="S2" s="3">
        <v>289</v>
      </c>
      <c r="T2" s="3">
        <v>0</v>
      </c>
      <c r="U2" s="3">
        <v>5.9</v>
      </c>
      <c r="V2" s="3"/>
      <c r="W2" s="3">
        <v>0.67161016949152497</v>
      </c>
      <c r="X2" s="3">
        <v>3.17796610169492E-2</v>
      </c>
      <c r="Y2" s="3">
        <f t="shared" ref="Y2:Y21" si="0">($G2*Cp_yd)+($H2*Cp_td)+($I2*Cint)+($J2*Ccar)+($K2*Cr_yd)+($L2*Cr_td)+($N2*Crec)+($O2*Crec_yd)+($P2*Crec_td)+($Q2*Cfmb)+($R2*Ctp_c)</f>
        <v>289</v>
      </c>
    </row>
    <row r="3" spans="1:25" x14ac:dyDescent="0.2">
      <c r="A3" s="4" t="s">
        <v>1321</v>
      </c>
      <c r="B3" s="4" t="s">
        <v>1320</v>
      </c>
      <c r="C3" s="4" t="s">
        <v>26</v>
      </c>
      <c r="D3" s="4">
        <v>1</v>
      </c>
      <c r="E3" s="4">
        <v>40</v>
      </c>
      <c r="F3" s="4">
        <v>23</v>
      </c>
      <c r="G3" s="4">
        <v>168</v>
      </c>
      <c r="H3" s="4">
        <v>1</v>
      </c>
      <c r="I3" s="4">
        <v>0</v>
      </c>
      <c r="J3" s="4">
        <v>6</v>
      </c>
      <c r="K3" s="4">
        <v>41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20.82</v>
      </c>
      <c r="T3" s="4">
        <v>0</v>
      </c>
      <c r="U3" s="4">
        <v>6.8333333333333304</v>
      </c>
      <c r="V3" s="4"/>
      <c r="W3" s="4">
        <v>0.57499999999999996</v>
      </c>
      <c r="X3" s="4">
        <v>2.5000000000000001E-2</v>
      </c>
      <c r="Y3" s="4">
        <f t="shared" si="0"/>
        <v>20.82</v>
      </c>
    </row>
    <row r="4" spans="1:25" x14ac:dyDescent="0.2">
      <c r="A4" s="3" t="s">
        <v>440</v>
      </c>
      <c r="B4" s="3" t="s">
        <v>1320</v>
      </c>
      <c r="C4" s="3" t="s">
        <v>26</v>
      </c>
      <c r="D4" s="3">
        <v>2</v>
      </c>
      <c r="E4" s="3">
        <v>8</v>
      </c>
      <c r="F4" s="3">
        <v>6</v>
      </c>
      <c r="G4" s="3">
        <v>58</v>
      </c>
      <c r="H4" s="3">
        <v>1</v>
      </c>
      <c r="I4" s="3">
        <v>1</v>
      </c>
      <c r="J4" s="3">
        <v>5</v>
      </c>
      <c r="K4" s="3">
        <v>70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1</v>
      </c>
      <c r="S4" s="3">
        <v>11.32</v>
      </c>
      <c r="T4" s="3">
        <v>0</v>
      </c>
      <c r="U4" s="3">
        <v>14</v>
      </c>
      <c r="V4" s="3"/>
      <c r="W4" s="3">
        <v>0.75</v>
      </c>
      <c r="X4" s="3">
        <v>0.125</v>
      </c>
      <c r="Y4" s="3">
        <f t="shared" si="0"/>
        <v>11.32</v>
      </c>
    </row>
    <row r="5" spans="1:25" x14ac:dyDescent="0.2">
      <c r="A5" s="4" t="s">
        <v>1322</v>
      </c>
      <c r="B5" s="4" t="s">
        <v>1320</v>
      </c>
      <c r="C5" s="4" t="s">
        <v>31</v>
      </c>
      <c r="D5" s="4">
        <v>8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31</v>
      </c>
      <c r="K5" s="4">
        <v>141</v>
      </c>
      <c r="L5" s="4">
        <v>1</v>
      </c>
      <c r="M5" s="4">
        <v>8</v>
      </c>
      <c r="N5" s="4">
        <v>5</v>
      </c>
      <c r="O5" s="4">
        <v>39</v>
      </c>
      <c r="P5" s="4">
        <v>0</v>
      </c>
      <c r="Q5" s="4">
        <v>0</v>
      </c>
      <c r="R5" s="4">
        <v>0</v>
      </c>
      <c r="S5" s="4">
        <v>29</v>
      </c>
      <c r="T5" s="4">
        <v>1.5625E-2</v>
      </c>
      <c r="U5" s="4">
        <v>4.5483870967741904</v>
      </c>
      <c r="V5" s="4">
        <v>7.8</v>
      </c>
      <c r="W5" s="4"/>
      <c r="X5" s="4"/>
      <c r="Y5" s="4">
        <f t="shared" si="0"/>
        <v>29</v>
      </c>
    </row>
    <row r="6" spans="1:25" x14ac:dyDescent="0.2">
      <c r="A6" s="3" t="s">
        <v>1323</v>
      </c>
      <c r="B6" s="3" t="s">
        <v>1320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54</v>
      </c>
      <c r="K6" s="3">
        <v>220</v>
      </c>
      <c r="L6" s="3">
        <v>1</v>
      </c>
      <c r="M6" s="3">
        <v>25</v>
      </c>
      <c r="N6" s="3">
        <v>20</v>
      </c>
      <c r="O6" s="3">
        <v>118</v>
      </c>
      <c r="P6" s="3">
        <v>0</v>
      </c>
      <c r="Q6" s="3">
        <v>0</v>
      </c>
      <c r="R6" s="3">
        <v>0</v>
      </c>
      <c r="S6" s="3">
        <v>59.8</v>
      </c>
      <c r="T6" s="3">
        <v>4.8828125E-2</v>
      </c>
      <c r="U6" s="3">
        <v>4.07407407407407</v>
      </c>
      <c r="V6" s="3">
        <v>5.9</v>
      </c>
      <c r="W6" s="3"/>
      <c r="X6" s="3"/>
      <c r="Y6" s="3">
        <f t="shared" si="0"/>
        <v>59.8</v>
      </c>
    </row>
    <row r="7" spans="1:25" x14ac:dyDescent="0.2">
      <c r="A7" s="4" t="s">
        <v>1324</v>
      </c>
      <c r="B7" s="4" t="s">
        <v>1320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295</v>
      </c>
      <c r="K7" s="4">
        <v>1312</v>
      </c>
      <c r="L7" s="4">
        <v>10</v>
      </c>
      <c r="M7" s="4">
        <v>76</v>
      </c>
      <c r="N7" s="4">
        <v>57</v>
      </c>
      <c r="O7" s="4">
        <v>338</v>
      </c>
      <c r="P7" s="4">
        <v>0</v>
      </c>
      <c r="Q7" s="4">
        <v>0</v>
      </c>
      <c r="R7" s="4">
        <v>0</v>
      </c>
      <c r="S7" s="4">
        <v>284</v>
      </c>
      <c r="T7" s="4">
        <v>0.1484375</v>
      </c>
      <c r="U7" s="4">
        <v>4.4474576271186397</v>
      </c>
      <c r="V7" s="4">
        <v>5.9298245614035103</v>
      </c>
      <c r="W7" s="4"/>
      <c r="X7" s="4"/>
      <c r="Y7" s="4">
        <f t="shared" si="0"/>
        <v>282</v>
      </c>
    </row>
    <row r="8" spans="1:25" x14ac:dyDescent="0.2">
      <c r="A8" s="3" t="s">
        <v>1325</v>
      </c>
      <c r="B8" s="3" t="s">
        <v>1320</v>
      </c>
      <c r="C8" s="3" t="s">
        <v>38</v>
      </c>
      <c r="D8" s="3">
        <v>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8</v>
      </c>
      <c r="N8" s="3">
        <v>7</v>
      </c>
      <c r="O8" s="3">
        <v>65</v>
      </c>
      <c r="P8" s="3">
        <v>1</v>
      </c>
      <c r="Q8" s="3">
        <v>0</v>
      </c>
      <c r="R8" s="3">
        <v>0</v>
      </c>
      <c r="S8" s="3">
        <v>19.5</v>
      </c>
      <c r="T8" s="3">
        <v>1.5625E-2</v>
      </c>
      <c r="U8" s="3"/>
      <c r="V8" s="3">
        <v>9.28571428571429</v>
      </c>
      <c r="W8" s="3"/>
      <c r="X8" s="3"/>
      <c r="Y8" s="3">
        <f t="shared" si="0"/>
        <v>19.5</v>
      </c>
    </row>
    <row r="9" spans="1:25" x14ac:dyDescent="0.2">
      <c r="A9" s="4" t="s">
        <v>1326</v>
      </c>
      <c r="B9" s="4" t="s">
        <v>1320</v>
      </c>
      <c r="C9" s="4" t="s">
        <v>38</v>
      </c>
      <c r="D9" s="4">
        <v>11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2</v>
      </c>
      <c r="L9" s="4">
        <v>1</v>
      </c>
      <c r="M9" s="4">
        <v>35</v>
      </c>
      <c r="N9" s="4">
        <v>30</v>
      </c>
      <c r="O9" s="4">
        <v>268</v>
      </c>
      <c r="P9" s="4">
        <v>2</v>
      </c>
      <c r="Q9" s="4">
        <v>0</v>
      </c>
      <c r="R9" s="4">
        <v>0</v>
      </c>
      <c r="S9" s="4">
        <v>75</v>
      </c>
      <c r="T9" s="4">
        <v>6.8359375E-2</v>
      </c>
      <c r="U9" s="4">
        <v>2</v>
      </c>
      <c r="V9" s="4">
        <v>8.93333333333333</v>
      </c>
      <c r="W9" s="4"/>
      <c r="X9" s="4"/>
      <c r="Y9" s="4">
        <f t="shared" si="0"/>
        <v>75</v>
      </c>
    </row>
    <row r="10" spans="1:25" x14ac:dyDescent="0.2">
      <c r="A10" s="3" t="s">
        <v>1327</v>
      </c>
      <c r="B10" s="3" t="s">
        <v>1320</v>
      </c>
      <c r="C10" s="3" t="s">
        <v>38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18</v>
      </c>
      <c r="N10" s="3">
        <v>13</v>
      </c>
      <c r="O10" s="3">
        <v>118</v>
      </c>
      <c r="P10" s="3">
        <v>1</v>
      </c>
      <c r="Q10" s="3">
        <v>0</v>
      </c>
      <c r="R10" s="3">
        <v>0</v>
      </c>
      <c r="S10" s="3">
        <v>30.8</v>
      </c>
      <c r="T10" s="3">
        <v>3.515625E-2</v>
      </c>
      <c r="U10" s="3"/>
      <c r="V10" s="3">
        <v>9.0769230769230802</v>
      </c>
      <c r="W10" s="3"/>
      <c r="X10" s="3"/>
      <c r="Y10" s="3">
        <f t="shared" si="0"/>
        <v>30.8</v>
      </c>
    </row>
    <row r="11" spans="1:25" x14ac:dyDescent="0.2">
      <c r="A11" s="4" t="s">
        <v>1278</v>
      </c>
      <c r="B11" s="4" t="s">
        <v>1320</v>
      </c>
      <c r="C11" s="4" t="s">
        <v>38</v>
      </c>
      <c r="D11" s="4">
        <v>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7</v>
      </c>
      <c r="N11" s="4">
        <v>4</v>
      </c>
      <c r="O11" s="4">
        <v>42</v>
      </c>
      <c r="P11" s="4">
        <v>0</v>
      </c>
      <c r="Q11" s="4">
        <v>0</v>
      </c>
      <c r="R11" s="4">
        <v>0</v>
      </c>
      <c r="S11" s="4">
        <v>8.1999999999999993</v>
      </c>
      <c r="T11" s="4">
        <v>1.3671875E-2</v>
      </c>
      <c r="U11" s="4"/>
      <c r="V11" s="4">
        <v>10.5</v>
      </c>
      <c r="W11" s="4"/>
      <c r="X11" s="4"/>
      <c r="Y11" s="4">
        <f t="shared" si="0"/>
        <v>8.1999999999999993</v>
      </c>
    </row>
    <row r="12" spans="1:25" x14ac:dyDescent="0.2">
      <c r="A12" s="3" t="s">
        <v>1328</v>
      </c>
      <c r="B12" s="3" t="s">
        <v>1320</v>
      </c>
      <c r="C12" s="3" t="s">
        <v>38</v>
      </c>
      <c r="D12" s="3">
        <v>6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15</v>
      </c>
      <c r="N12" s="3">
        <v>10</v>
      </c>
      <c r="O12" s="3">
        <v>132</v>
      </c>
      <c r="P12" s="3">
        <v>0</v>
      </c>
      <c r="Q12" s="3">
        <v>0</v>
      </c>
      <c r="R12" s="3">
        <v>0</v>
      </c>
      <c r="S12" s="3">
        <v>23.2</v>
      </c>
      <c r="T12" s="3">
        <v>2.9296875E-2</v>
      </c>
      <c r="U12" s="3"/>
      <c r="V12" s="3">
        <v>13.2</v>
      </c>
      <c r="W12" s="3"/>
      <c r="X12" s="3"/>
      <c r="Y12" s="3">
        <f t="shared" si="0"/>
        <v>23.200000000000003</v>
      </c>
    </row>
    <row r="13" spans="1:25" x14ac:dyDescent="0.2">
      <c r="A13" s="4" t="s">
        <v>1329</v>
      </c>
      <c r="B13" s="4" t="s">
        <v>1320</v>
      </c>
      <c r="C13" s="4" t="s">
        <v>43</v>
      </c>
      <c r="D13" s="4">
        <v>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17</v>
      </c>
      <c r="N13" s="4">
        <v>11</v>
      </c>
      <c r="O13" s="4">
        <v>106</v>
      </c>
      <c r="P13" s="4">
        <v>0</v>
      </c>
      <c r="Q13" s="4">
        <v>0</v>
      </c>
      <c r="R13" s="4">
        <v>0</v>
      </c>
      <c r="S13" s="4">
        <v>21.6</v>
      </c>
      <c r="T13" s="4">
        <v>3.3203125E-2</v>
      </c>
      <c r="U13" s="4"/>
      <c r="V13" s="4">
        <v>9.6363636363636402</v>
      </c>
      <c r="W13" s="4"/>
      <c r="X13" s="4"/>
      <c r="Y13" s="4">
        <f t="shared" si="0"/>
        <v>21.6</v>
      </c>
    </row>
    <row r="14" spans="1:25" x14ac:dyDescent="0.2">
      <c r="A14" s="3" t="s">
        <v>1330</v>
      </c>
      <c r="B14" s="3" t="s">
        <v>1320</v>
      </c>
      <c r="C14" s="3" t="s">
        <v>43</v>
      </c>
      <c r="D14" s="3">
        <v>13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71</v>
      </c>
      <c r="N14" s="3">
        <v>46</v>
      </c>
      <c r="O14" s="3">
        <v>724</v>
      </c>
      <c r="P14" s="3">
        <v>2</v>
      </c>
      <c r="Q14" s="3">
        <v>0</v>
      </c>
      <c r="R14" s="3">
        <v>0</v>
      </c>
      <c r="S14" s="3">
        <v>128.4</v>
      </c>
      <c r="T14" s="3">
        <v>0.138671875</v>
      </c>
      <c r="U14" s="3"/>
      <c r="V14" s="3">
        <v>15.7391304347826</v>
      </c>
      <c r="W14" s="3"/>
      <c r="X14" s="3"/>
      <c r="Y14" s="3">
        <f t="shared" si="0"/>
        <v>130.4</v>
      </c>
    </row>
    <row r="15" spans="1:25" x14ac:dyDescent="0.2">
      <c r="A15" s="4" t="s">
        <v>263</v>
      </c>
      <c r="B15" s="4" t="s">
        <v>1320</v>
      </c>
      <c r="C15" s="4" t="s">
        <v>43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42</v>
      </c>
      <c r="N15" s="4">
        <v>33</v>
      </c>
      <c r="O15" s="4">
        <v>351</v>
      </c>
      <c r="P15" s="4">
        <v>4</v>
      </c>
      <c r="Q15" s="4">
        <v>0</v>
      </c>
      <c r="R15" s="4">
        <v>0</v>
      </c>
      <c r="S15" s="4">
        <v>92.1</v>
      </c>
      <c r="T15" s="4">
        <v>8.203125E-2</v>
      </c>
      <c r="U15" s="4"/>
      <c r="V15" s="4">
        <v>10.636363636363599</v>
      </c>
      <c r="W15" s="4"/>
      <c r="X15" s="4"/>
      <c r="Y15" s="4">
        <f t="shared" si="0"/>
        <v>92.1</v>
      </c>
    </row>
    <row r="16" spans="1:25" x14ac:dyDescent="0.2">
      <c r="A16" s="3" t="s">
        <v>1331</v>
      </c>
      <c r="B16" s="3" t="s">
        <v>1320</v>
      </c>
      <c r="C16" s="3" t="s">
        <v>43</v>
      </c>
      <c r="D16" s="3">
        <v>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17</v>
      </c>
      <c r="N16" s="3">
        <v>6</v>
      </c>
      <c r="O16" s="3">
        <v>81</v>
      </c>
      <c r="P16" s="3">
        <v>1</v>
      </c>
      <c r="Q16" s="3">
        <v>0</v>
      </c>
      <c r="R16" s="3">
        <v>0</v>
      </c>
      <c r="S16" s="3">
        <v>20.100000000000001</v>
      </c>
      <c r="T16" s="3">
        <v>3.3203125E-2</v>
      </c>
      <c r="U16" s="3"/>
      <c r="V16" s="3">
        <v>13.5</v>
      </c>
      <c r="W16" s="3"/>
      <c r="X16" s="3"/>
      <c r="Y16" s="3">
        <f t="shared" si="0"/>
        <v>20.100000000000001</v>
      </c>
    </row>
    <row r="17" spans="1:25" x14ac:dyDescent="0.2">
      <c r="A17" s="4" t="s">
        <v>929</v>
      </c>
      <c r="B17" s="4" t="s">
        <v>1320</v>
      </c>
      <c r="C17" s="4" t="s">
        <v>43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23</v>
      </c>
      <c r="L17" s="4">
        <v>0</v>
      </c>
      <c r="M17" s="4">
        <v>3</v>
      </c>
      <c r="N17" s="4">
        <v>2</v>
      </c>
      <c r="O17" s="4">
        <v>0</v>
      </c>
      <c r="P17" s="4">
        <v>0</v>
      </c>
      <c r="Q17" s="4">
        <v>0</v>
      </c>
      <c r="R17" s="4">
        <v>0</v>
      </c>
      <c r="S17" s="4">
        <v>4.3</v>
      </c>
      <c r="T17" s="4">
        <v>5.859375E-3</v>
      </c>
      <c r="U17" s="4">
        <v>11.5</v>
      </c>
      <c r="V17" s="4">
        <v>0</v>
      </c>
      <c r="W17" s="4"/>
      <c r="X17" s="4"/>
      <c r="Y17" s="4">
        <f t="shared" si="0"/>
        <v>4.3000000000000007</v>
      </c>
    </row>
    <row r="18" spans="1:25" x14ac:dyDescent="0.2">
      <c r="A18" s="3" t="s">
        <v>1332</v>
      </c>
      <c r="B18" s="3" t="s">
        <v>1320</v>
      </c>
      <c r="C18" s="3" t="s">
        <v>43</v>
      </c>
      <c r="D18" s="3">
        <v>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22</v>
      </c>
      <c r="N18" s="3">
        <v>9</v>
      </c>
      <c r="O18" s="3">
        <v>99</v>
      </c>
      <c r="P18" s="3">
        <v>0</v>
      </c>
      <c r="Q18" s="3">
        <v>0</v>
      </c>
      <c r="R18" s="3">
        <v>0</v>
      </c>
      <c r="S18" s="3">
        <v>18.899999999999999</v>
      </c>
      <c r="T18" s="3">
        <v>4.296875E-2</v>
      </c>
      <c r="U18" s="3"/>
      <c r="V18" s="3">
        <v>11</v>
      </c>
      <c r="W18" s="3"/>
      <c r="X18" s="3"/>
      <c r="Y18" s="3">
        <f t="shared" si="0"/>
        <v>18.899999999999999</v>
      </c>
    </row>
    <row r="19" spans="1:25" x14ac:dyDescent="0.2">
      <c r="A19" s="4" t="s">
        <v>1333</v>
      </c>
      <c r="B19" s="4" t="s">
        <v>1320</v>
      </c>
      <c r="C19" s="4" t="s">
        <v>43</v>
      </c>
      <c r="D19" s="4">
        <v>14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2</v>
      </c>
      <c r="K19" s="4">
        <v>6</v>
      </c>
      <c r="L19" s="4">
        <v>0</v>
      </c>
      <c r="M19" s="4">
        <v>70</v>
      </c>
      <c r="N19" s="4">
        <v>57</v>
      </c>
      <c r="O19" s="4">
        <v>569</v>
      </c>
      <c r="P19" s="4">
        <v>4</v>
      </c>
      <c r="Q19" s="4">
        <v>0</v>
      </c>
      <c r="R19" s="4">
        <v>0</v>
      </c>
      <c r="S19" s="4">
        <v>138.5</v>
      </c>
      <c r="T19" s="4">
        <v>0.13671875</v>
      </c>
      <c r="U19" s="4">
        <v>3</v>
      </c>
      <c r="V19" s="4">
        <v>9.9824561403508802</v>
      </c>
      <c r="W19" s="4"/>
      <c r="X19" s="4"/>
      <c r="Y19" s="4">
        <f t="shared" si="0"/>
        <v>138.5</v>
      </c>
    </row>
    <row r="20" spans="1:25" x14ac:dyDescent="0.2">
      <c r="A20" s="3" t="s">
        <v>1334</v>
      </c>
      <c r="B20" s="3" t="s">
        <v>1320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24</v>
      </c>
      <c r="N20" s="3">
        <v>13</v>
      </c>
      <c r="O20" s="3">
        <v>154</v>
      </c>
      <c r="P20" s="3">
        <v>1</v>
      </c>
      <c r="Q20" s="3">
        <v>0</v>
      </c>
      <c r="R20" s="3">
        <v>0</v>
      </c>
      <c r="S20" s="3">
        <v>34.4</v>
      </c>
      <c r="T20" s="3">
        <v>4.6875E-2</v>
      </c>
      <c r="U20" s="3"/>
      <c r="V20" s="3">
        <v>11.846153846153801</v>
      </c>
      <c r="W20" s="3"/>
      <c r="X20" s="3"/>
      <c r="Y20" s="3">
        <f t="shared" si="0"/>
        <v>34.4</v>
      </c>
    </row>
    <row r="21" spans="1:25" x14ac:dyDescent="0.2">
      <c r="A21" s="4" t="s">
        <v>1335</v>
      </c>
      <c r="B21" s="4" t="s">
        <v>1320</v>
      </c>
      <c r="C21" s="4" t="s">
        <v>43</v>
      </c>
      <c r="D21" s="4">
        <v>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2</v>
      </c>
      <c r="K21" s="4">
        <v>-1</v>
      </c>
      <c r="L21" s="4">
        <v>0</v>
      </c>
      <c r="M21" s="4">
        <v>31</v>
      </c>
      <c r="N21" s="4">
        <v>23</v>
      </c>
      <c r="O21" s="4">
        <v>227</v>
      </c>
      <c r="P21" s="4">
        <v>1</v>
      </c>
      <c r="Q21" s="4">
        <v>0</v>
      </c>
      <c r="R21" s="4">
        <v>0</v>
      </c>
      <c r="S21" s="4">
        <v>51.6</v>
      </c>
      <c r="T21" s="4">
        <v>6.0546875E-2</v>
      </c>
      <c r="U21" s="4">
        <v>-0.5</v>
      </c>
      <c r="V21" s="4">
        <v>9.8695652173912993</v>
      </c>
      <c r="W21" s="4"/>
      <c r="X21" s="4"/>
      <c r="Y21" s="4">
        <f t="shared" si="0"/>
        <v>51.6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1320</v>
      </c>
      <c r="B31" s="3">
        <v>5953</v>
      </c>
      <c r="C31" s="3">
        <v>3431</v>
      </c>
      <c r="D31" s="3">
        <v>518</v>
      </c>
      <c r="E31" s="3">
        <v>2522</v>
      </c>
      <c r="F31" s="3">
        <v>21</v>
      </c>
      <c r="G31" s="3">
        <v>1360.54</v>
      </c>
      <c r="H31" s="3">
        <v>520</v>
      </c>
      <c r="I31" s="3">
        <v>0.66538461538461502</v>
      </c>
      <c r="J31" s="3">
        <v>17</v>
      </c>
      <c r="K31" s="3">
        <v>6</v>
      </c>
      <c r="L31" s="3">
        <v>4</v>
      </c>
      <c r="M31" s="3">
        <f ca="1">SUM(INDIRECT(A33 &amp; "_Table1[[#All],[f_custom]]"))</f>
        <v>1360.54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NYG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1336</v>
      </c>
      <c r="B36" s="3" t="s">
        <v>26</v>
      </c>
      <c r="C36" s="3">
        <v>25</v>
      </c>
      <c r="D36" s="3">
        <v>0</v>
      </c>
      <c r="E36" s="3" t="s">
        <v>446</v>
      </c>
      <c r="F36" s="3" t="s">
        <v>1320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1337</v>
      </c>
      <c r="B37" s="4" t="s">
        <v>26</v>
      </c>
      <c r="C37" s="4">
        <v>26</v>
      </c>
      <c r="D37" s="4">
        <v>5</v>
      </c>
      <c r="E37" s="4" t="s">
        <v>697</v>
      </c>
      <c r="F37" s="4" t="s">
        <v>1320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1338</v>
      </c>
      <c r="B38" s="3" t="s">
        <v>26</v>
      </c>
      <c r="C38" s="3">
        <v>34</v>
      </c>
      <c r="D38" s="3">
        <v>13</v>
      </c>
      <c r="E38" s="3" t="s">
        <v>333</v>
      </c>
      <c r="F38" s="3" t="s">
        <v>1320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1339</v>
      </c>
      <c r="B46" s="3" t="s">
        <v>31</v>
      </c>
      <c r="C46" s="3">
        <v>26</v>
      </c>
      <c r="D46" s="3">
        <v>6</v>
      </c>
      <c r="E46" s="3" t="s">
        <v>339</v>
      </c>
      <c r="F46" s="3" t="s">
        <v>1320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1340</v>
      </c>
      <c r="B47" s="4" t="s">
        <v>31</v>
      </c>
      <c r="C47" s="4">
        <v>28</v>
      </c>
      <c r="D47" s="4">
        <v>7</v>
      </c>
      <c r="E47" s="4" t="s">
        <v>939</v>
      </c>
      <c r="F47" s="4" t="s">
        <v>1320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1341</v>
      </c>
      <c r="B48" s="3" t="s">
        <v>31</v>
      </c>
      <c r="C48" s="3">
        <v>25</v>
      </c>
      <c r="D48" s="3">
        <v>3</v>
      </c>
      <c r="E48" s="3" t="s">
        <v>1247</v>
      </c>
      <c r="F48" s="3" t="s">
        <v>1320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1342</v>
      </c>
      <c r="B49" s="4" t="s">
        <v>31</v>
      </c>
      <c r="C49" s="4">
        <v>22</v>
      </c>
      <c r="D49" s="4">
        <v>1</v>
      </c>
      <c r="E49" s="4" t="s">
        <v>1012</v>
      </c>
      <c r="F49" s="4" t="s">
        <v>1320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1343</v>
      </c>
      <c r="B50" s="3" t="s">
        <v>31</v>
      </c>
      <c r="C50" s="3">
        <v>23</v>
      </c>
      <c r="D50" s="3">
        <v>0</v>
      </c>
      <c r="E50" s="3" t="s">
        <v>68</v>
      </c>
      <c r="F50" s="3" t="s">
        <v>1320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1344</v>
      </c>
      <c r="B51" s="4" t="s">
        <v>31</v>
      </c>
      <c r="C51" s="4">
        <v>25</v>
      </c>
      <c r="D51" s="4">
        <v>4</v>
      </c>
      <c r="E51" s="4" t="s">
        <v>1345</v>
      </c>
      <c r="F51" s="4" t="s">
        <v>1320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1346</v>
      </c>
      <c r="B61" s="3" t="s">
        <v>43</v>
      </c>
      <c r="C61" s="3">
        <v>34</v>
      </c>
      <c r="D61" s="3">
        <v>12</v>
      </c>
      <c r="E61" s="3" t="s">
        <v>237</v>
      </c>
      <c r="F61" s="3" t="s">
        <v>1320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7">($J61*0.04)+($K61*4)+($L61*-2)+($N61*0.1)+($O61*6)+($Q61)+($R61*0.1)+($S61*6)+($T61*-2)</f>
        <v>0</v>
      </c>
      <c r="W61" s="3" t="e">
        <f t="shared" ref="W61:W73" ca="1" si="8">$P61/$H$33</f>
        <v>#DIV/0!</v>
      </c>
      <c r="X61" s="3" t="e">
        <f t="shared" ref="X61:X73" si="9">$N61/$M61</f>
        <v>#DIV/0!</v>
      </c>
      <c r="Y61" s="3" t="e">
        <f t="shared" ref="Y61:Y73" si="10">$R61/$Q61</f>
        <v>#DIV/0!</v>
      </c>
      <c r="Z61" s="3" t="e">
        <f t="shared" ref="Z61:Z73" si="11">$I61/$H61</f>
        <v>#DIV/0!</v>
      </c>
      <c r="AA61" s="3" t="e">
        <f>$K61/$H61</f>
        <v>#DIV/0!</v>
      </c>
      <c r="AB61" s="3">
        <f t="shared" ref="AB61:AB73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1347</v>
      </c>
      <c r="B62" s="4" t="s">
        <v>43</v>
      </c>
      <c r="C62" s="4">
        <v>26</v>
      </c>
      <c r="D62" s="4">
        <v>5</v>
      </c>
      <c r="E62" s="4" t="s">
        <v>213</v>
      </c>
      <c r="F62" s="4" t="s">
        <v>1320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1348</v>
      </c>
      <c r="B63" s="3" t="s">
        <v>43</v>
      </c>
      <c r="C63" s="3">
        <v>30</v>
      </c>
      <c r="D63" s="3">
        <v>9</v>
      </c>
      <c r="E63" s="3" t="s">
        <v>697</v>
      </c>
      <c r="F63" s="3" t="s">
        <v>1320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1349</v>
      </c>
      <c r="B64" s="4" t="s">
        <v>43</v>
      </c>
      <c r="C64" s="4">
        <v>23</v>
      </c>
      <c r="D64" s="4">
        <v>0</v>
      </c>
      <c r="E64" s="4" t="s">
        <v>344</v>
      </c>
      <c r="F64" s="4" t="s">
        <v>1320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1350</v>
      </c>
      <c r="B65" s="3" t="s">
        <v>43</v>
      </c>
      <c r="C65" s="3">
        <v>24</v>
      </c>
      <c r="D65" s="3">
        <v>3</v>
      </c>
      <c r="E65" s="3" t="s">
        <v>111</v>
      </c>
      <c r="F65" s="3" t="s">
        <v>1320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1351</v>
      </c>
      <c r="B66" s="4" t="s">
        <v>43</v>
      </c>
      <c r="C66" s="4">
        <v>21</v>
      </c>
      <c r="D66" s="4">
        <v>0</v>
      </c>
      <c r="E66" s="4" t="s">
        <v>143</v>
      </c>
      <c r="F66" s="4" t="s">
        <v>1320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1352</v>
      </c>
      <c r="B67" s="3" t="s">
        <v>43</v>
      </c>
      <c r="C67" s="3">
        <v>25</v>
      </c>
      <c r="D67" s="3">
        <v>4</v>
      </c>
      <c r="E67" s="3" t="s">
        <v>66</v>
      </c>
      <c r="F67" s="3" t="s">
        <v>1320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1353</v>
      </c>
      <c r="B68" s="4" t="s">
        <v>43</v>
      </c>
      <c r="C68" s="4">
        <v>29</v>
      </c>
      <c r="D68" s="4">
        <v>5</v>
      </c>
      <c r="E68" s="4" t="s">
        <v>86</v>
      </c>
      <c r="F68" s="4" t="s">
        <v>1320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1354</v>
      </c>
      <c r="B69" s="3" t="s">
        <v>43</v>
      </c>
      <c r="C69" s="3">
        <v>24</v>
      </c>
      <c r="D69" s="3">
        <v>1</v>
      </c>
      <c r="E69" s="3" t="s">
        <v>309</v>
      </c>
      <c r="F69" s="3" t="s">
        <v>1320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1355</v>
      </c>
      <c r="B70" s="4" t="s">
        <v>43</v>
      </c>
      <c r="C70" s="4">
        <v>22</v>
      </c>
      <c r="D70" s="4">
        <v>2</v>
      </c>
      <c r="E70" s="4" t="s">
        <v>150</v>
      </c>
      <c r="F70" s="4" t="s">
        <v>1320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1356</v>
      </c>
      <c r="B71" s="3" t="s">
        <v>43</v>
      </c>
      <c r="C71" s="3">
        <v>30</v>
      </c>
      <c r="D71" s="3">
        <v>8</v>
      </c>
      <c r="E71" s="3" t="s">
        <v>68</v>
      </c>
      <c r="F71" s="3" t="s">
        <v>1320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1357</v>
      </c>
      <c r="B72" s="4" t="s">
        <v>43</v>
      </c>
      <c r="C72" s="4">
        <v>27</v>
      </c>
      <c r="D72" s="4">
        <v>3</v>
      </c>
      <c r="E72" s="4" t="s">
        <v>344</v>
      </c>
      <c r="F72" s="4" t="s">
        <v>1320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3" spans="1:28" x14ac:dyDescent="0.2">
      <c r="A73" s="3" t="s">
        <v>1358</v>
      </c>
      <c r="B73" s="3" t="s">
        <v>43</v>
      </c>
      <c r="C73" s="3">
        <v>26</v>
      </c>
      <c r="D73" s="3">
        <v>5</v>
      </c>
      <c r="E73" s="3" t="s">
        <v>464</v>
      </c>
      <c r="F73" s="3" t="s">
        <v>1320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7"/>
        <v>0</v>
      </c>
      <c r="W73" s="3" t="e">
        <f t="shared" ca="1" si="8"/>
        <v>#DIV/0!</v>
      </c>
      <c r="X73" s="3" t="e">
        <f t="shared" si="9"/>
        <v>#DIV/0!</v>
      </c>
      <c r="Y73" s="3" t="e">
        <f t="shared" si="10"/>
        <v>#DIV/0!</v>
      </c>
      <c r="Z73" s="3" t="e">
        <f t="shared" si="11"/>
        <v>#DIV/0!</v>
      </c>
      <c r="AA73" s="3" t="e">
        <f>$K73/$H73</f>
        <v>#DIV/0!</v>
      </c>
      <c r="AB73" s="3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1359</v>
      </c>
      <c r="B76" s="3" t="s">
        <v>38</v>
      </c>
      <c r="C76" s="3">
        <v>22</v>
      </c>
      <c r="D76" s="3">
        <v>2</v>
      </c>
      <c r="E76" s="3" t="s">
        <v>795</v>
      </c>
      <c r="F76" s="3" t="s">
        <v>1320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1360</v>
      </c>
      <c r="B77" s="4" t="s">
        <v>38</v>
      </c>
      <c r="C77" s="4">
        <v>25</v>
      </c>
      <c r="D77" s="4">
        <v>3</v>
      </c>
      <c r="E77" s="4" t="s">
        <v>173</v>
      </c>
      <c r="F77" s="4" t="s">
        <v>1320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">
      <c r="A78" s="3" t="s">
        <v>1361</v>
      </c>
      <c r="B78" s="3" t="s">
        <v>38</v>
      </c>
      <c r="C78" s="3">
        <v>23</v>
      </c>
      <c r="D78" s="3">
        <v>0</v>
      </c>
      <c r="E78" s="3" t="s">
        <v>220</v>
      </c>
      <c r="F78" s="3" t="s">
        <v>1320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">
      <c r="A79" s="4" t="s">
        <v>1362</v>
      </c>
      <c r="B79" s="4" t="s">
        <v>38</v>
      </c>
      <c r="C79" s="4">
        <v>28</v>
      </c>
      <c r="D79" s="4">
        <v>5</v>
      </c>
      <c r="E79" s="4" t="s">
        <v>235</v>
      </c>
      <c r="F79" s="4" t="s">
        <v>1320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">
      <c r="A80" s="3" t="s">
        <v>1363</v>
      </c>
      <c r="B80" s="3" t="s">
        <v>38</v>
      </c>
      <c r="C80" s="3">
        <v>30</v>
      </c>
      <c r="D80" s="3">
        <v>7</v>
      </c>
      <c r="E80" s="3" t="s">
        <v>455</v>
      </c>
      <c r="F80" s="3" t="s">
        <v>1320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B81"/>
  <sheetViews>
    <sheetView zoomScale="90" zoomScaleNormal="90" workbookViewId="0">
      <selection activeCell="A23" sqref="A23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1364</v>
      </c>
      <c r="B2" s="3" t="s">
        <v>1365</v>
      </c>
      <c r="C2" s="3" t="s">
        <v>26</v>
      </c>
      <c r="D2" s="3">
        <v>1</v>
      </c>
      <c r="E2" s="3">
        <v>15</v>
      </c>
      <c r="F2" s="3">
        <v>10</v>
      </c>
      <c r="G2" s="3">
        <v>90</v>
      </c>
      <c r="H2" s="3">
        <v>0</v>
      </c>
      <c r="I2" s="3">
        <v>0</v>
      </c>
      <c r="J2" s="3">
        <v>9</v>
      </c>
      <c r="K2" s="3">
        <v>54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9</v>
      </c>
      <c r="T2" s="3">
        <v>0</v>
      </c>
      <c r="U2" s="3">
        <v>6</v>
      </c>
      <c r="V2" s="3"/>
      <c r="W2" s="3">
        <v>0.66666666666666696</v>
      </c>
      <c r="X2" s="3">
        <v>0</v>
      </c>
      <c r="Y2" s="3">
        <f t="shared" ref="Y2:Y20" si="0">($G2*Cp_yd)+($H2*Cp_td)+($I2*Cint)+($J2*Ccar)+($K2*Cr_yd)+($L2*Cr_td)+($N2*Crec)+($O2*Crec_yd)+($P2*Crec_td)+($Q2*Cfmb)+($R2*Ctp_c)</f>
        <v>9</v>
      </c>
    </row>
    <row r="3" spans="1:25" x14ac:dyDescent="0.2">
      <c r="A3" s="4" t="s">
        <v>1366</v>
      </c>
      <c r="B3" s="4" t="s">
        <v>1365</v>
      </c>
      <c r="C3" s="4" t="s">
        <v>26</v>
      </c>
      <c r="D3" s="4">
        <v>5</v>
      </c>
      <c r="E3" s="4">
        <v>191</v>
      </c>
      <c r="F3" s="4">
        <v>110</v>
      </c>
      <c r="G3" s="4">
        <v>1051</v>
      </c>
      <c r="H3" s="4">
        <v>5</v>
      </c>
      <c r="I3" s="4">
        <v>3</v>
      </c>
      <c r="J3" s="4">
        <v>3</v>
      </c>
      <c r="K3" s="4">
        <v>6</v>
      </c>
      <c r="L3" s="4">
        <v>0</v>
      </c>
      <c r="M3" s="4">
        <v>1</v>
      </c>
      <c r="N3" s="4">
        <v>1</v>
      </c>
      <c r="O3" s="4">
        <v>-16</v>
      </c>
      <c r="P3" s="4">
        <v>0</v>
      </c>
      <c r="Q3" s="4">
        <v>4</v>
      </c>
      <c r="R3" s="4">
        <v>0</v>
      </c>
      <c r="S3" s="4">
        <v>48.04</v>
      </c>
      <c r="T3" s="4">
        <v>1.9230769230769199E-3</v>
      </c>
      <c r="U3" s="4">
        <v>2</v>
      </c>
      <c r="V3" s="4">
        <v>-16</v>
      </c>
      <c r="W3" s="4">
        <v>0.57591623036649198</v>
      </c>
      <c r="X3" s="4">
        <v>2.6178010471204199E-2</v>
      </c>
      <c r="Y3" s="4">
        <f t="shared" si="0"/>
        <v>48.04</v>
      </c>
    </row>
    <row r="4" spans="1:25" x14ac:dyDescent="0.2">
      <c r="A4" s="3" t="s">
        <v>1367</v>
      </c>
      <c r="B4" s="3" t="s">
        <v>1365</v>
      </c>
      <c r="C4" s="3" t="s">
        <v>26</v>
      </c>
      <c r="D4" s="3">
        <v>4</v>
      </c>
      <c r="E4" s="3">
        <v>175</v>
      </c>
      <c r="F4" s="3">
        <v>103</v>
      </c>
      <c r="G4" s="3">
        <v>1192</v>
      </c>
      <c r="H4" s="3">
        <v>3</v>
      </c>
      <c r="I4" s="3">
        <v>4</v>
      </c>
      <c r="J4" s="3">
        <v>6</v>
      </c>
      <c r="K4" s="3">
        <v>9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56.58</v>
      </c>
      <c r="T4" s="3">
        <v>0</v>
      </c>
      <c r="U4" s="3">
        <v>1.5</v>
      </c>
      <c r="V4" s="3"/>
      <c r="W4" s="3">
        <v>0.58857142857142897</v>
      </c>
      <c r="X4" s="3">
        <v>1.7142857142857099E-2</v>
      </c>
      <c r="Y4" s="3">
        <f t="shared" si="0"/>
        <v>56.58</v>
      </c>
    </row>
    <row r="5" spans="1:25" x14ac:dyDescent="0.2">
      <c r="A5" s="4" t="s">
        <v>1368</v>
      </c>
      <c r="B5" s="4" t="s">
        <v>1365</v>
      </c>
      <c r="C5" s="4" t="s">
        <v>26</v>
      </c>
      <c r="D5" s="4">
        <v>9</v>
      </c>
      <c r="E5" s="4">
        <v>242</v>
      </c>
      <c r="F5" s="4">
        <v>132</v>
      </c>
      <c r="G5" s="4">
        <v>1688</v>
      </c>
      <c r="H5" s="4">
        <v>6</v>
      </c>
      <c r="I5" s="4">
        <v>7</v>
      </c>
      <c r="J5" s="4">
        <v>28</v>
      </c>
      <c r="K5" s="4">
        <v>102</v>
      </c>
      <c r="L5" s="4">
        <v>1</v>
      </c>
      <c r="M5" s="4">
        <v>1</v>
      </c>
      <c r="N5" s="4">
        <v>1</v>
      </c>
      <c r="O5" s="4">
        <v>2</v>
      </c>
      <c r="P5" s="4">
        <v>1</v>
      </c>
      <c r="Q5" s="4">
        <v>1</v>
      </c>
      <c r="R5" s="4">
        <v>0</v>
      </c>
      <c r="S5" s="4">
        <v>98.92</v>
      </c>
      <c r="T5" s="4">
        <v>1.9230769230769199E-3</v>
      </c>
      <c r="U5" s="4">
        <v>3.6428571428571401</v>
      </c>
      <c r="V5" s="4">
        <v>2</v>
      </c>
      <c r="W5" s="4">
        <v>0.54545454545454497</v>
      </c>
      <c r="X5" s="4">
        <v>2.4793388429752101E-2</v>
      </c>
      <c r="Y5" s="4">
        <f t="shared" si="0"/>
        <v>98.92</v>
      </c>
    </row>
    <row r="6" spans="1:25" x14ac:dyDescent="0.2">
      <c r="A6" s="3" t="s">
        <v>1369</v>
      </c>
      <c r="B6" s="3" t="s">
        <v>1365</v>
      </c>
      <c r="C6" s="3" t="s">
        <v>31</v>
      </c>
      <c r="D6" s="3">
        <v>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80</v>
      </c>
      <c r="K6" s="3">
        <v>463</v>
      </c>
      <c r="L6" s="3">
        <v>4</v>
      </c>
      <c r="M6" s="3">
        <v>31</v>
      </c>
      <c r="N6" s="3">
        <v>19</v>
      </c>
      <c r="O6" s="3">
        <v>218</v>
      </c>
      <c r="P6" s="3">
        <v>1</v>
      </c>
      <c r="Q6" s="3">
        <v>0</v>
      </c>
      <c r="R6" s="3">
        <v>0</v>
      </c>
      <c r="S6" s="3">
        <v>115.1</v>
      </c>
      <c r="T6" s="3">
        <v>5.9615384615384598E-2</v>
      </c>
      <c r="U6" s="3">
        <v>5.7874999999999996</v>
      </c>
      <c r="V6" s="3">
        <v>11.473684210526301</v>
      </c>
      <c r="W6" s="3"/>
      <c r="X6" s="3"/>
      <c r="Y6" s="3">
        <f t="shared" si="0"/>
        <v>117.10000000000001</v>
      </c>
    </row>
    <row r="7" spans="1:25" x14ac:dyDescent="0.2">
      <c r="A7" s="4" t="s">
        <v>869</v>
      </c>
      <c r="B7" s="4" t="s">
        <v>1365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</v>
      </c>
      <c r="K7" s="4">
        <v>85</v>
      </c>
      <c r="L7" s="4">
        <v>0</v>
      </c>
      <c r="M7" s="4">
        <v>3</v>
      </c>
      <c r="N7" s="4">
        <v>2</v>
      </c>
      <c r="O7" s="4">
        <v>5</v>
      </c>
      <c r="P7" s="4">
        <v>1</v>
      </c>
      <c r="Q7" s="4">
        <v>0</v>
      </c>
      <c r="R7" s="4">
        <v>0</v>
      </c>
      <c r="S7" s="4">
        <v>17</v>
      </c>
      <c r="T7" s="4">
        <v>5.7692307692307704E-3</v>
      </c>
      <c r="U7" s="4">
        <v>2.9310344827586201</v>
      </c>
      <c r="V7" s="4">
        <v>2.5</v>
      </c>
      <c r="W7" s="4"/>
      <c r="X7" s="4"/>
      <c r="Y7" s="4">
        <f t="shared" si="0"/>
        <v>17</v>
      </c>
    </row>
    <row r="8" spans="1:25" x14ac:dyDescent="0.2">
      <c r="A8" s="3" t="s">
        <v>1370</v>
      </c>
      <c r="B8" s="3" t="s">
        <v>1365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114</v>
      </c>
      <c r="K8" s="3">
        <v>402</v>
      </c>
      <c r="L8" s="3">
        <v>3</v>
      </c>
      <c r="M8" s="3">
        <v>54</v>
      </c>
      <c r="N8" s="3">
        <v>41</v>
      </c>
      <c r="O8" s="3">
        <v>288</v>
      </c>
      <c r="P8" s="3">
        <v>0</v>
      </c>
      <c r="Q8" s="3">
        <v>1</v>
      </c>
      <c r="R8" s="3">
        <v>0</v>
      </c>
      <c r="S8" s="3">
        <v>126</v>
      </c>
      <c r="T8" s="3">
        <v>0.103846153846154</v>
      </c>
      <c r="U8" s="3">
        <v>3.5263157894736801</v>
      </c>
      <c r="V8" s="3">
        <v>7.0243902439024399</v>
      </c>
      <c r="W8" s="3"/>
      <c r="X8" s="3"/>
      <c r="Y8" s="3">
        <f t="shared" si="0"/>
        <v>126</v>
      </c>
    </row>
    <row r="9" spans="1:25" x14ac:dyDescent="0.2">
      <c r="A9" s="4" t="s">
        <v>775</v>
      </c>
      <c r="B9" s="4" t="s">
        <v>1365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30</v>
      </c>
      <c r="K9" s="4">
        <v>160</v>
      </c>
      <c r="L9" s="4">
        <v>1</v>
      </c>
      <c r="M9" s="4">
        <v>24</v>
      </c>
      <c r="N9" s="4">
        <v>12</v>
      </c>
      <c r="O9" s="4">
        <v>88</v>
      </c>
      <c r="P9" s="4">
        <v>0</v>
      </c>
      <c r="Q9" s="4">
        <v>0</v>
      </c>
      <c r="R9" s="4">
        <v>0</v>
      </c>
      <c r="S9" s="4">
        <v>42.8</v>
      </c>
      <c r="T9" s="4">
        <v>4.6153846153846198E-2</v>
      </c>
      <c r="U9" s="4">
        <v>5.3333333333333304</v>
      </c>
      <c r="V9" s="4">
        <v>7.3333333333333304</v>
      </c>
      <c r="W9" s="4"/>
      <c r="X9" s="4"/>
      <c r="Y9" s="4">
        <f t="shared" si="0"/>
        <v>42.8</v>
      </c>
    </row>
    <row r="10" spans="1:25" x14ac:dyDescent="0.2">
      <c r="A10" s="3" t="s">
        <v>1371</v>
      </c>
      <c r="B10" s="3" t="s">
        <v>1365</v>
      </c>
      <c r="C10" s="3" t="s">
        <v>31</v>
      </c>
      <c r="D10" s="3">
        <v>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85</v>
      </c>
      <c r="K10" s="3">
        <v>300</v>
      </c>
      <c r="L10" s="3">
        <v>1</v>
      </c>
      <c r="M10" s="3">
        <v>14</v>
      </c>
      <c r="N10" s="3">
        <v>13</v>
      </c>
      <c r="O10" s="3">
        <v>100</v>
      </c>
      <c r="P10" s="3">
        <v>0</v>
      </c>
      <c r="Q10" s="3">
        <v>0</v>
      </c>
      <c r="R10" s="3">
        <v>0</v>
      </c>
      <c r="S10" s="3">
        <v>59</v>
      </c>
      <c r="T10" s="3">
        <v>2.69230769230769E-2</v>
      </c>
      <c r="U10" s="3">
        <v>3.52941176470588</v>
      </c>
      <c r="V10" s="3">
        <v>7.6923076923076898</v>
      </c>
      <c r="W10" s="3"/>
      <c r="X10" s="3"/>
      <c r="Y10" s="3">
        <f t="shared" si="0"/>
        <v>59</v>
      </c>
    </row>
    <row r="11" spans="1:25" x14ac:dyDescent="0.2">
      <c r="A11" s="4" t="s">
        <v>1372</v>
      </c>
      <c r="B11" s="4" t="s">
        <v>1365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27</v>
      </c>
      <c r="N11" s="4">
        <v>21</v>
      </c>
      <c r="O11" s="4">
        <v>232</v>
      </c>
      <c r="P11" s="4">
        <v>2</v>
      </c>
      <c r="Q11" s="4">
        <v>0</v>
      </c>
      <c r="R11" s="4">
        <v>0</v>
      </c>
      <c r="S11" s="4">
        <v>56.2</v>
      </c>
      <c r="T11" s="4">
        <v>5.1923076923076898E-2</v>
      </c>
      <c r="U11" s="4"/>
      <c r="V11" s="4">
        <v>11.047619047618999</v>
      </c>
      <c r="W11" s="4"/>
      <c r="X11" s="4"/>
      <c r="Y11" s="4">
        <f t="shared" si="0"/>
        <v>56.2</v>
      </c>
    </row>
    <row r="12" spans="1:25" x14ac:dyDescent="0.2">
      <c r="A12" s="3" t="s">
        <v>1373</v>
      </c>
      <c r="B12" s="3" t="s">
        <v>1365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2</v>
      </c>
      <c r="N12" s="3">
        <v>1</v>
      </c>
      <c r="O12" s="3">
        <v>8</v>
      </c>
      <c r="P12" s="3">
        <v>0</v>
      </c>
      <c r="Q12" s="3">
        <v>0</v>
      </c>
      <c r="R12" s="3">
        <v>0</v>
      </c>
      <c r="S12" s="3">
        <v>1.8</v>
      </c>
      <c r="T12" s="3">
        <v>3.8461538461538498E-3</v>
      </c>
      <c r="U12" s="3"/>
      <c r="V12" s="3">
        <v>8</v>
      </c>
      <c r="W12" s="3"/>
      <c r="X12" s="3"/>
      <c r="Y12" s="3">
        <f t="shared" si="0"/>
        <v>1.8</v>
      </c>
    </row>
    <row r="13" spans="1:25" x14ac:dyDescent="0.2">
      <c r="A13" s="4" t="s">
        <v>1327</v>
      </c>
      <c r="B13" s="4" t="s">
        <v>1365</v>
      </c>
      <c r="C13" s="4" t="s">
        <v>38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1.9230769230769199E-3</v>
      </c>
      <c r="U13" s="4"/>
      <c r="V13" s="4"/>
      <c r="W13" s="4"/>
      <c r="X13" s="4"/>
      <c r="Y13" s="4">
        <f t="shared" si="0"/>
        <v>0</v>
      </c>
    </row>
    <row r="14" spans="1:25" x14ac:dyDescent="0.2">
      <c r="A14" s="3" t="s">
        <v>1374</v>
      </c>
      <c r="B14" s="3" t="s">
        <v>1365</v>
      </c>
      <c r="C14" s="3" t="s">
        <v>38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3</v>
      </c>
      <c r="L14" s="3">
        <v>0</v>
      </c>
      <c r="M14" s="3">
        <v>87</v>
      </c>
      <c r="N14" s="3">
        <v>58</v>
      </c>
      <c r="O14" s="3">
        <v>552</v>
      </c>
      <c r="P14" s="3">
        <v>3</v>
      </c>
      <c r="Q14" s="3">
        <v>0</v>
      </c>
      <c r="R14" s="3">
        <v>0</v>
      </c>
      <c r="S14" s="3">
        <v>131.5</v>
      </c>
      <c r="T14" s="3">
        <v>0.16730769230769199</v>
      </c>
      <c r="U14" s="3">
        <v>1.5</v>
      </c>
      <c r="V14" s="3">
        <v>9.5172413793103505</v>
      </c>
      <c r="W14" s="3"/>
      <c r="X14" s="3"/>
      <c r="Y14" s="3">
        <f t="shared" si="0"/>
        <v>131.5</v>
      </c>
    </row>
    <row r="15" spans="1:25" x14ac:dyDescent="0.2">
      <c r="A15" s="4" t="s">
        <v>1375</v>
      </c>
      <c r="B15" s="4" t="s">
        <v>1365</v>
      </c>
      <c r="C15" s="4" t="s">
        <v>43</v>
      </c>
      <c r="D15" s="4">
        <v>15</v>
      </c>
      <c r="E15" s="4">
        <v>1</v>
      </c>
      <c r="F15" s="4">
        <v>1</v>
      </c>
      <c r="G15" s="4">
        <v>2</v>
      </c>
      <c r="H15" s="4">
        <v>1</v>
      </c>
      <c r="I15" s="4">
        <v>0</v>
      </c>
      <c r="J15" s="4">
        <v>9</v>
      </c>
      <c r="K15" s="4">
        <v>91</v>
      </c>
      <c r="L15" s="4">
        <v>2</v>
      </c>
      <c r="M15" s="4">
        <v>32</v>
      </c>
      <c r="N15" s="4">
        <v>18</v>
      </c>
      <c r="O15" s="4">
        <v>145</v>
      </c>
      <c r="P15" s="4">
        <v>0</v>
      </c>
      <c r="Q15" s="4">
        <v>0</v>
      </c>
      <c r="R15" s="4">
        <v>0</v>
      </c>
      <c r="S15" s="4">
        <v>57.68</v>
      </c>
      <c r="T15" s="4">
        <v>6.15384615384615E-2</v>
      </c>
      <c r="U15" s="4">
        <v>10.1111111111111</v>
      </c>
      <c r="V15" s="4">
        <v>8.0555555555555607</v>
      </c>
      <c r="W15" s="4">
        <v>1</v>
      </c>
      <c r="X15" s="4">
        <v>1</v>
      </c>
      <c r="Y15" s="4">
        <f t="shared" si="0"/>
        <v>57.68</v>
      </c>
    </row>
    <row r="16" spans="1:25" x14ac:dyDescent="0.2">
      <c r="A16" s="3" t="s">
        <v>1376</v>
      </c>
      <c r="B16" s="3" t="s">
        <v>1365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64</v>
      </c>
      <c r="N16" s="3">
        <v>32</v>
      </c>
      <c r="O16" s="3">
        <v>536</v>
      </c>
      <c r="P16" s="3">
        <v>2</v>
      </c>
      <c r="Q16" s="3">
        <v>0</v>
      </c>
      <c r="R16" s="3">
        <v>0</v>
      </c>
      <c r="S16" s="3">
        <v>97.6</v>
      </c>
      <c r="T16" s="3">
        <v>0.123076923076923</v>
      </c>
      <c r="U16" s="3"/>
      <c r="V16" s="3">
        <v>16.75</v>
      </c>
      <c r="W16" s="3"/>
      <c r="X16" s="3"/>
      <c r="Y16" s="3">
        <f t="shared" si="0"/>
        <v>97.6</v>
      </c>
    </row>
    <row r="17" spans="1:25" x14ac:dyDescent="0.2">
      <c r="A17" s="4" t="s">
        <v>1377</v>
      </c>
      <c r="B17" s="4" t="s">
        <v>1365</v>
      </c>
      <c r="C17" s="4" t="s">
        <v>43</v>
      </c>
      <c r="D17" s="4">
        <v>9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25</v>
      </c>
      <c r="N17" s="4">
        <v>11</v>
      </c>
      <c r="O17" s="4">
        <v>186</v>
      </c>
      <c r="P17" s="4">
        <v>0</v>
      </c>
      <c r="Q17" s="4">
        <v>0</v>
      </c>
      <c r="R17" s="4">
        <v>0</v>
      </c>
      <c r="S17" s="4">
        <v>29.6</v>
      </c>
      <c r="T17" s="4">
        <v>4.80769230769231E-2</v>
      </c>
      <c r="U17" s="4"/>
      <c r="V17" s="4">
        <v>16.909090909090899</v>
      </c>
      <c r="W17" s="4"/>
      <c r="X17" s="4"/>
      <c r="Y17" s="4">
        <f t="shared" si="0"/>
        <v>29.6</v>
      </c>
    </row>
    <row r="18" spans="1:25" x14ac:dyDescent="0.2">
      <c r="A18" s="3" t="s">
        <v>1378</v>
      </c>
      <c r="B18" s="3" t="s">
        <v>1365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5</v>
      </c>
      <c r="K18" s="3">
        <v>5</v>
      </c>
      <c r="L18" s="3">
        <v>0</v>
      </c>
      <c r="M18" s="3">
        <v>65</v>
      </c>
      <c r="N18" s="3">
        <v>37</v>
      </c>
      <c r="O18" s="3">
        <v>446</v>
      </c>
      <c r="P18" s="3">
        <v>1</v>
      </c>
      <c r="Q18" s="3">
        <v>0</v>
      </c>
      <c r="R18" s="3">
        <v>0</v>
      </c>
      <c r="S18" s="3">
        <v>88.1</v>
      </c>
      <c r="T18" s="3">
        <v>0.125</v>
      </c>
      <c r="U18" s="3">
        <v>1</v>
      </c>
      <c r="V18" s="3">
        <v>12.054054054054101</v>
      </c>
      <c r="W18" s="3"/>
      <c r="X18" s="3"/>
      <c r="Y18" s="3">
        <f t="shared" si="0"/>
        <v>88.1</v>
      </c>
    </row>
    <row r="19" spans="1:25" x14ac:dyDescent="0.2">
      <c r="A19" s="4" t="s">
        <v>1379</v>
      </c>
      <c r="B19" s="4" t="s">
        <v>1365</v>
      </c>
      <c r="C19" s="4" t="s">
        <v>43</v>
      </c>
      <c r="D19" s="4">
        <v>17</v>
      </c>
      <c r="E19" s="4">
        <v>1</v>
      </c>
      <c r="F19" s="4">
        <v>0</v>
      </c>
      <c r="G19" s="4">
        <v>0</v>
      </c>
      <c r="H19" s="4">
        <v>0</v>
      </c>
      <c r="I19" s="4">
        <v>0</v>
      </c>
      <c r="J19" s="4">
        <v>4</v>
      </c>
      <c r="K19" s="4">
        <v>4</v>
      </c>
      <c r="L19" s="4">
        <v>0</v>
      </c>
      <c r="M19" s="4">
        <v>146</v>
      </c>
      <c r="N19" s="4">
        <v>82</v>
      </c>
      <c r="O19" s="4">
        <v>1116</v>
      </c>
      <c r="P19" s="4">
        <v>4</v>
      </c>
      <c r="Q19" s="4">
        <v>0</v>
      </c>
      <c r="R19" s="4">
        <v>0</v>
      </c>
      <c r="S19" s="4">
        <v>216</v>
      </c>
      <c r="T19" s="4">
        <v>0.28076923076923099</v>
      </c>
      <c r="U19" s="4">
        <v>1</v>
      </c>
      <c r="V19" s="4">
        <v>13.609756097561</v>
      </c>
      <c r="W19" s="4">
        <v>0</v>
      </c>
      <c r="X19" s="4">
        <v>0</v>
      </c>
      <c r="Y19" s="4">
        <f t="shared" si="0"/>
        <v>218</v>
      </c>
    </row>
    <row r="20" spans="1:25" x14ac:dyDescent="0.2">
      <c r="A20" s="3" t="s">
        <v>1229</v>
      </c>
      <c r="B20" s="3" t="s">
        <v>1365</v>
      </c>
      <c r="C20" s="3" t="s">
        <v>43</v>
      </c>
      <c r="D20" s="3">
        <v>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11</v>
      </c>
      <c r="N20" s="3">
        <v>8</v>
      </c>
      <c r="O20" s="3">
        <v>134</v>
      </c>
      <c r="P20" s="3">
        <v>0</v>
      </c>
      <c r="Q20" s="3">
        <v>0</v>
      </c>
      <c r="R20" s="3">
        <v>0</v>
      </c>
      <c r="S20" s="3">
        <v>21.4</v>
      </c>
      <c r="T20" s="3">
        <v>2.11538461538462E-2</v>
      </c>
      <c r="U20" s="3"/>
      <c r="V20" s="3">
        <v>16.75</v>
      </c>
      <c r="W20" s="3"/>
      <c r="X20" s="3"/>
      <c r="Y20" s="3">
        <f t="shared" si="0"/>
        <v>21.4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1365</v>
      </c>
      <c r="B31" s="3">
        <v>5707</v>
      </c>
      <c r="C31" s="3">
        <v>4023</v>
      </c>
      <c r="D31" s="3">
        <v>404</v>
      </c>
      <c r="E31" s="3">
        <v>1684</v>
      </c>
      <c r="F31" s="3">
        <v>13</v>
      </c>
      <c r="G31" s="3">
        <v>1272.32</v>
      </c>
      <c r="H31" s="3">
        <v>625</v>
      </c>
      <c r="I31" s="3">
        <v>0.5696</v>
      </c>
      <c r="J31" s="3">
        <v>15</v>
      </c>
      <c r="K31" s="3">
        <v>14</v>
      </c>
      <c r="L31" s="3">
        <v>7</v>
      </c>
      <c r="M31" s="3">
        <f ca="1">SUM(INDIRECT(A33 &amp; "_Table1[[#All],[f_custom]]"))</f>
        <v>1276.3200000000002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NYJ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1380</v>
      </c>
      <c r="B36" s="3" t="s">
        <v>26</v>
      </c>
      <c r="C36" s="3">
        <v>28</v>
      </c>
      <c r="D36" s="3">
        <v>5</v>
      </c>
      <c r="E36" s="3" t="s">
        <v>1381</v>
      </c>
      <c r="F36" s="3" t="s">
        <v>1365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1382</v>
      </c>
      <c r="B37" s="4" t="s">
        <v>26</v>
      </c>
      <c r="C37" s="4">
        <v>39</v>
      </c>
      <c r="D37" s="4">
        <v>19</v>
      </c>
      <c r="E37" s="4" t="s">
        <v>666</v>
      </c>
      <c r="F37" s="4" t="s">
        <v>1365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1383</v>
      </c>
      <c r="B38" s="3" t="s">
        <v>26</v>
      </c>
      <c r="C38" s="3">
        <v>24</v>
      </c>
      <c r="D38" s="3">
        <v>3</v>
      </c>
      <c r="E38" s="3" t="s">
        <v>82</v>
      </c>
      <c r="F38" s="3" t="s">
        <v>1365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1384</v>
      </c>
      <c r="B46" s="3" t="s">
        <v>31</v>
      </c>
      <c r="C46" s="3">
        <v>20</v>
      </c>
      <c r="D46" s="3">
        <v>0</v>
      </c>
      <c r="E46" s="3" t="s">
        <v>74</v>
      </c>
      <c r="F46" s="3" t="s">
        <v>1365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1385</v>
      </c>
      <c r="B47" s="4" t="s">
        <v>31</v>
      </c>
      <c r="C47" s="4">
        <v>24</v>
      </c>
      <c r="D47" s="4">
        <v>3</v>
      </c>
      <c r="E47" s="4" t="s">
        <v>163</v>
      </c>
      <c r="F47" s="4" t="s">
        <v>1365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1386</v>
      </c>
      <c r="B48" s="3" t="s">
        <v>31</v>
      </c>
      <c r="C48" s="3">
        <v>28</v>
      </c>
      <c r="D48" s="3">
        <v>7</v>
      </c>
      <c r="E48" s="3" t="s">
        <v>1012</v>
      </c>
      <c r="F48" s="3" t="s">
        <v>1365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1387</v>
      </c>
      <c r="B49" s="4" t="s">
        <v>31</v>
      </c>
      <c r="C49" s="4">
        <v>23</v>
      </c>
      <c r="D49" s="4">
        <v>0</v>
      </c>
      <c r="E49" s="4" t="s">
        <v>78</v>
      </c>
      <c r="F49" s="4" t="s">
        <v>1365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1388</v>
      </c>
      <c r="B50" s="3" t="s">
        <v>31</v>
      </c>
      <c r="C50" s="3">
        <v>22</v>
      </c>
      <c r="D50" s="3">
        <v>2</v>
      </c>
      <c r="E50" s="3" t="s">
        <v>244</v>
      </c>
      <c r="F50" s="3" t="s">
        <v>1365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1389</v>
      </c>
      <c r="B51" s="4" t="s">
        <v>31</v>
      </c>
      <c r="C51" s="4">
        <v>22</v>
      </c>
      <c r="D51" s="4">
        <v>2</v>
      </c>
      <c r="E51" s="4" t="s">
        <v>1113</v>
      </c>
      <c r="F51" s="4" t="s">
        <v>1365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1390</v>
      </c>
      <c r="B61" s="3" t="s">
        <v>43</v>
      </c>
      <c r="C61" s="3">
        <v>24</v>
      </c>
      <c r="D61" s="3">
        <v>0</v>
      </c>
      <c r="E61" s="3" t="s">
        <v>898</v>
      </c>
      <c r="F61" s="3" t="s">
        <v>1365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7">($J61*0.04)+($K61*4)+($L61*-2)+($N61*0.1)+($O61*6)+($Q61)+($R61*0.1)+($S61*6)+($T61*-2)</f>
        <v>0</v>
      </c>
      <c r="W61" s="3" t="e">
        <f t="shared" ref="W61:W72" ca="1" si="8">$P61/$H$33</f>
        <v>#DIV/0!</v>
      </c>
      <c r="X61" s="3" t="e">
        <f t="shared" ref="X61:X72" si="9">$N61/$M61</f>
        <v>#DIV/0!</v>
      </c>
      <c r="Y61" s="3" t="e">
        <f t="shared" ref="Y61:Y72" si="10">$R61/$Q61</f>
        <v>#DIV/0!</v>
      </c>
      <c r="Z61" s="3" t="e">
        <f t="shared" ref="Z61:Z72" si="11">$I61/$H61</f>
        <v>#DIV/0!</v>
      </c>
      <c r="AA61" s="3" t="e">
        <f>$K61/$H61</f>
        <v>#DIV/0!</v>
      </c>
      <c r="AB61" s="3">
        <f t="shared" ref="AB61:AB72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1391</v>
      </c>
      <c r="B62" s="4" t="s">
        <v>43</v>
      </c>
      <c r="C62" s="4">
        <v>26</v>
      </c>
      <c r="D62" s="4">
        <v>1</v>
      </c>
      <c r="E62" s="4" t="s">
        <v>1392</v>
      </c>
      <c r="F62" s="4" t="s">
        <v>1365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1393</v>
      </c>
      <c r="B63" s="3" t="s">
        <v>43</v>
      </c>
      <c r="C63" s="3">
        <v>32</v>
      </c>
      <c r="D63" s="3">
        <v>13</v>
      </c>
      <c r="E63" s="3" t="s">
        <v>150</v>
      </c>
      <c r="F63" s="3" t="s">
        <v>1365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1394</v>
      </c>
      <c r="B64" s="4" t="s">
        <v>43</v>
      </c>
      <c r="C64" s="4">
        <v>28</v>
      </c>
      <c r="D64" s="4">
        <v>7</v>
      </c>
      <c r="E64" s="4" t="s">
        <v>357</v>
      </c>
      <c r="F64" s="4" t="s">
        <v>1365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1395</v>
      </c>
      <c r="B65" s="3" t="s">
        <v>43</v>
      </c>
      <c r="C65" s="3">
        <v>30</v>
      </c>
      <c r="D65" s="3">
        <v>7</v>
      </c>
      <c r="E65" s="3" t="s">
        <v>72</v>
      </c>
      <c r="F65" s="3" t="s">
        <v>1365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1396</v>
      </c>
      <c r="B66" s="4" t="s">
        <v>43</v>
      </c>
      <c r="C66" s="4">
        <v>22</v>
      </c>
      <c r="D66" s="4">
        <v>0</v>
      </c>
      <c r="E66" s="4" t="s">
        <v>1397</v>
      </c>
      <c r="F66" s="4" t="s">
        <v>1365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1398</v>
      </c>
      <c r="B67" s="3" t="s">
        <v>43</v>
      </c>
      <c r="C67" s="3">
        <v>25</v>
      </c>
      <c r="D67" s="3">
        <v>5</v>
      </c>
      <c r="E67" s="3" t="s">
        <v>173</v>
      </c>
      <c r="F67" s="3" t="s">
        <v>1365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1399</v>
      </c>
      <c r="B68" s="4" t="s">
        <v>43</v>
      </c>
      <c r="C68" s="4">
        <v>24</v>
      </c>
      <c r="D68" s="4">
        <v>0</v>
      </c>
      <c r="E68" s="4" t="s">
        <v>677</v>
      </c>
      <c r="F68" s="4" t="s">
        <v>1365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1400</v>
      </c>
      <c r="B69" s="3" t="s">
        <v>43</v>
      </c>
      <c r="C69" s="3">
        <v>27</v>
      </c>
      <c r="D69" s="3">
        <v>5</v>
      </c>
      <c r="E69" s="3" t="s">
        <v>244</v>
      </c>
      <c r="F69" s="3" t="s">
        <v>1365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1401</v>
      </c>
      <c r="B70" s="4" t="s">
        <v>43</v>
      </c>
      <c r="C70" s="4">
        <v>23</v>
      </c>
      <c r="D70" s="4">
        <v>0</v>
      </c>
      <c r="E70" s="4" t="s">
        <v>1402</v>
      </c>
      <c r="F70" s="4" t="s">
        <v>1365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1403</v>
      </c>
      <c r="B71" s="3" t="s">
        <v>43</v>
      </c>
      <c r="C71" s="3">
        <v>27</v>
      </c>
      <c r="D71" s="3">
        <v>3</v>
      </c>
      <c r="E71" s="3" t="s">
        <v>1404</v>
      </c>
      <c r="F71" s="3" t="s">
        <v>1365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1405</v>
      </c>
      <c r="B72" s="4" t="s">
        <v>43</v>
      </c>
      <c r="C72" s="4">
        <v>23</v>
      </c>
      <c r="D72" s="4">
        <v>2</v>
      </c>
      <c r="E72" s="4" t="s">
        <v>213</v>
      </c>
      <c r="F72" s="4" t="s">
        <v>1365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1406</v>
      </c>
      <c r="B76" s="3" t="s">
        <v>38</v>
      </c>
      <c r="C76" s="3">
        <v>28</v>
      </c>
      <c r="D76" s="3">
        <v>6</v>
      </c>
      <c r="E76" s="3" t="s">
        <v>309</v>
      </c>
      <c r="F76" s="3" t="s">
        <v>1365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3">($J76*0.04)+($K76*4)+($L76*-2)+($N76*0.1)+($O76*6)+($Q76)+($R76*0.1)+($S76*6)+($T76*-2)</f>
        <v>0</v>
      </c>
      <c r="W76" s="3" t="e">
        <f t="shared" ref="W76:W81" ca="1" si="14">$P76/$H$33</f>
        <v>#DIV/0!</v>
      </c>
      <c r="X76" s="3" t="e">
        <f t="shared" ref="X76:X81" si="15">$N76/$M76</f>
        <v>#DIV/0!</v>
      </c>
      <c r="Y76" s="3" t="e">
        <f t="shared" ref="Y76:Y81" si="16">$R76/$Q76</f>
        <v>#DIV/0!</v>
      </c>
      <c r="Z76" s="3" t="e">
        <f t="shared" ref="Z76:Z81" si="17">$I76/$H76</f>
        <v>#DIV/0!</v>
      </c>
      <c r="AA76" s="3" t="e">
        <f>$K76/$H76</f>
        <v>#DIV/0!</v>
      </c>
      <c r="AB76" s="3">
        <f t="shared" ref="AB76:AB81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1407</v>
      </c>
      <c r="B77" s="4" t="s">
        <v>38</v>
      </c>
      <c r="C77" s="4">
        <v>24</v>
      </c>
      <c r="D77" s="4">
        <v>0</v>
      </c>
      <c r="E77" s="4" t="s">
        <v>455</v>
      </c>
      <c r="F77" s="4" t="s">
        <v>1365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1408</v>
      </c>
      <c r="B78" s="3" t="s">
        <v>38</v>
      </c>
      <c r="C78" s="3">
        <v>24</v>
      </c>
      <c r="D78" s="3">
        <v>0</v>
      </c>
      <c r="E78" s="3" t="s">
        <v>98</v>
      </c>
      <c r="F78" s="3" t="s">
        <v>1365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1409</v>
      </c>
      <c r="B79" s="4" t="s">
        <v>38</v>
      </c>
      <c r="C79" s="4">
        <v>23</v>
      </c>
      <c r="D79" s="4">
        <v>2</v>
      </c>
      <c r="E79" s="4" t="s">
        <v>213</v>
      </c>
      <c r="F79" s="4" t="s">
        <v>1365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1410</v>
      </c>
      <c r="B80" s="3" t="s">
        <v>38</v>
      </c>
      <c r="C80" s="3">
        <v>30</v>
      </c>
      <c r="D80" s="3">
        <v>9</v>
      </c>
      <c r="E80" s="3" t="s">
        <v>464</v>
      </c>
      <c r="F80" s="3" t="s">
        <v>1365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1411</v>
      </c>
      <c r="B81" s="4" t="s">
        <v>38</v>
      </c>
      <c r="C81" s="4">
        <v>24</v>
      </c>
      <c r="D81" s="4">
        <v>3</v>
      </c>
      <c r="E81" s="4" t="s">
        <v>240</v>
      </c>
      <c r="F81" s="4" t="s">
        <v>1365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B81"/>
  <sheetViews>
    <sheetView zoomScale="90" zoomScaleNormal="90" workbookViewId="0">
      <selection activeCell="A17" sqref="A17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1412</v>
      </c>
      <c r="B2" s="3" t="s">
        <v>1413</v>
      </c>
      <c r="C2" s="3" t="s">
        <v>26</v>
      </c>
      <c r="D2" s="3">
        <v>5</v>
      </c>
      <c r="E2" s="3">
        <v>76</v>
      </c>
      <c r="F2" s="3">
        <v>44</v>
      </c>
      <c r="G2" s="3">
        <v>663</v>
      </c>
      <c r="H2" s="3">
        <v>3</v>
      </c>
      <c r="I2" s="3">
        <v>3</v>
      </c>
      <c r="J2" s="3">
        <v>7</v>
      </c>
      <c r="K2" s="3">
        <v>3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36.82</v>
      </c>
      <c r="T2" s="3">
        <v>0</v>
      </c>
      <c r="U2" s="3">
        <v>0.42857142857142899</v>
      </c>
      <c r="V2" s="3"/>
      <c r="W2" s="3">
        <v>0.57894736842105299</v>
      </c>
      <c r="X2" s="3">
        <v>3.94736842105263E-2</v>
      </c>
      <c r="Y2" s="3">
        <f t="shared" ref="Y2:Y15" si="0">($G2*Cp_yd)+($H2*Cp_td)+($I2*Cint)+($J2*Ccar)+($K2*Cr_yd)+($L2*Cr_td)+($N2*Crec)+($O2*Crec_yd)+($P2*Crec_td)+($Q2*Cfmb)+($R2*Ctp_c)</f>
        <v>36.819999999999993</v>
      </c>
    </row>
    <row r="3" spans="1:25" x14ac:dyDescent="0.2">
      <c r="A3" s="4" t="s">
        <v>1414</v>
      </c>
      <c r="B3" s="4" t="s">
        <v>1413</v>
      </c>
      <c r="C3" s="4" t="s">
        <v>26</v>
      </c>
      <c r="D3" s="4">
        <v>15</v>
      </c>
      <c r="E3" s="4">
        <v>460</v>
      </c>
      <c r="F3" s="4">
        <v>306</v>
      </c>
      <c r="G3" s="4">
        <v>3701</v>
      </c>
      <c r="H3" s="4">
        <v>22</v>
      </c>
      <c r="I3" s="4">
        <v>6</v>
      </c>
      <c r="J3" s="4">
        <v>165</v>
      </c>
      <c r="K3" s="4">
        <v>760</v>
      </c>
      <c r="L3" s="4">
        <v>13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2</v>
      </c>
      <c r="S3" s="4">
        <v>378.04</v>
      </c>
      <c r="T3" s="4">
        <v>0</v>
      </c>
      <c r="U3" s="4">
        <v>4.60606060606061</v>
      </c>
      <c r="V3" s="4"/>
      <c r="W3" s="4">
        <v>0.66521739130434798</v>
      </c>
      <c r="X3" s="4">
        <v>4.7826086956521699E-2</v>
      </c>
      <c r="Y3" s="4">
        <f t="shared" si="0"/>
        <v>378.03999999999996</v>
      </c>
    </row>
    <row r="4" spans="1:25" x14ac:dyDescent="0.2">
      <c r="A4" s="3" t="s">
        <v>1415</v>
      </c>
      <c r="B4" s="3" t="s">
        <v>1413</v>
      </c>
      <c r="C4" s="3" t="s">
        <v>31</v>
      </c>
      <c r="D4" s="3">
        <v>13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54</v>
      </c>
      <c r="K4" s="3">
        <v>217</v>
      </c>
      <c r="L4" s="3">
        <v>3</v>
      </c>
      <c r="M4" s="3">
        <v>6</v>
      </c>
      <c r="N4" s="3">
        <v>5</v>
      </c>
      <c r="O4" s="3">
        <v>15</v>
      </c>
      <c r="P4" s="3">
        <v>0</v>
      </c>
      <c r="Q4" s="3">
        <v>0</v>
      </c>
      <c r="R4" s="3">
        <v>0</v>
      </c>
      <c r="S4" s="3">
        <v>46.2</v>
      </c>
      <c r="T4" s="3">
        <v>9.5999999999999992E-3</v>
      </c>
      <c r="U4" s="3">
        <v>4.0185185185185199</v>
      </c>
      <c r="V4" s="3">
        <v>3</v>
      </c>
      <c r="W4" s="3"/>
      <c r="X4" s="3"/>
      <c r="Y4" s="3">
        <f t="shared" si="0"/>
        <v>46.2</v>
      </c>
    </row>
    <row r="5" spans="1:25" x14ac:dyDescent="0.2">
      <c r="A5" s="4" t="s">
        <v>1416</v>
      </c>
      <c r="B5" s="4" t="s">
        <v>1413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53</v>
      </c>
      <c r="K5" s="4">
        <v>240</v>
      </c>
      <c r="L5" s="4">
        <v>4</v>
      </c>
      <c r="M5" s="4">
        <v>29</v>
      </c>
      <c r="N5" s="4">
        <v>23</v>
      </c>
      <c r="O5" s="4">
        <v>169</v>
      </c>
      <c r="P5" s="4">
        <v>0</v>
      </c>
      <c r="Q5" s="4">
        <v>0</v>
      </c>
      <c r="R5" s="4">
        <v>0</v>
      </c>
      <c r="S5" s="4">
        <v>87.9</v>
      </c>
      <c r="T5" s="4">
        <v>4.6399999999999997E-2</v>
      </c>
      <c r="U5" s="4">
        <v>4.52830188679245</v>
      </c>
      <c r="V5" s="4">
        <v>7.3478260869565197</v>
      </c>
      <c r="W5" s="4"/>
      <c r="X5" s="4"/>
      <c r="Y5" s="4">
        <f t="shared" si="0"/>
        <v>87.9</v>
      </c>
    </row>
    <row r="6" spans="1:25" x14ac:dyDescent="0.2">
      <c r="A6" s="3" t="s">
        <v>1417</v>
      </c>
      <c r="B6" s="3" t="s">
        <v>1413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259</v>
      </c>
      <c r="K6" s="3">
        <v>1269</v>
      </c>
      <c r="L6" s="3">
        <v>11</v>
      </c>
      <c r="M6" s="3">
        <v>26</v>
      </c>
      <c r="N6" s="3">
        <v>20</v>
      </c>
      <c r="O6" s="3">
        <v>78</v>
      </c>
      <c r="P6" s="3">
        <v>0</v>
      </c>
      <c r="Q6" s="3">
        <v>1</v>
      </c>
      <c r="R6" s="3">
        <v>0</v>
      </c>
      <c r="S6" s="3">
        <v>216.7</v>
      </c>
      <c r="T6" s="3">
        <v>4.1599999999999998E-2</v>
      </c>
      <c r="U6" s="3">
        <v>4.8996138996139003</v>
      </c>
      <c r="V6" s="3">
        <v>3.9</v>
      </c>
      <c r="W6" s="3"/>
      <c r="X6" s="3"/>
      <c r="Y6" s="3">
        <f t="shared" si="0"/>
        <v>218.70000000000002</v>
      </c>
    </row>
    <row r="7" spans="1:25" x14ac:dyDescent="0.2">
      <c r="A7" s="4" t="s">
        <v>1418</v>
      </c>
      <c r="B7" s="4" t="s">
        <v>1413</v>
      </c>
      <c r="C7" s="4" t="s">
        <v>31</v>
      </c>
      <c r="D7" s="4">
        <v>1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</v>
      </c>
      <c r="K7" s="4">
        <v>19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1.9</v>
      </c>
      <c r="T7" s="4">
        <v>0</v>
      </c>
      <c r="U7" s="4">
        <v>9.5</v>
      </c>
      <c r="V7" s="4"/>
      <c r="W7" s="4"/>
      <c r="X7" s="4"/>
      <c r="Y7" s="4">
        <f t="shared" si="0"/>
        <v>1.9000000000000001</v>
      </c>
    </row>
    <row r="8" spans="1:25" x14ac:dyDescent="0.2">
      <c r="A8" s="3" t="s">
        <v>1419</v>
      </c>
      <c r="B8" s="3" t="s">
        <v>1413</v>
      </c>
      <c r="C8" s="3" t="s">
        <v>38</v>
      </c>
      <c r="D8" s="3">
        <v>12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69</v>
      </c>
      <c r="N8" s="3">
        <v>55</v>
      </c>
      <c r="O8" s="3">
        <v>702</v>
      </c>
      <c r="P8" s="3">
        <v>3</v>
      </c>
      <c r="Q8" s="3">
        <v>0</v>
      </c>
      <c r="R8" s="3">
        <v>0</v>
      </c>
      <c r="S8" s="3">
        <v>141.19999999999999</v>
      </c>
      <c r="T8" s="3">
        <v>0.1104</v>
      </c>
      <c r="U8" s="3"/>
      <c r="V8" s="3">
        <v>12.763636363636399</v>
      </c>
      <c r="W8" s="3"/>
      <c r="X8" s="3"/>
      <c r="Y8" s="3">
        <f t="shared" si="0"/>
        <v>143.19999999999999</v>
      </c>
    </row>
    <row r="9" spans="1:25" x14ac:dyDescent="0.2">
      <c r="A9" s="4" t="s">
        <v>1420</v>
      </c>
      <c r="B9" s="4" t="s">
        <v>1413</v>
      </c>
      <c r="C9" s="4" t="s">
        <v>38</v>
      </c>
      <c r="D9" s="4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9</v>
      </c>
      <c r="N9" s="4">
        <v>5</v>
      </c>
      <c r="O9" s="4">
        <v>81</v>
      </c>
      <c r="P9" s="4">
        <v>0</v>
      </c>
      <c r="Q9" s="4">
        <v>0</v>
      </c>
      <c r="R9" s="4">
        <v>0</v>
      </c>
      <c r="S9" s="4">
        <v>13.1</v>
      </c>
      <c r="T9" s="4">
        <v>1.44E-2</v>
      </c>
      <c r="U9" s="4"/>
      <c r="V9" s="4">
        <v>16.2</v>
      </c>
      <c r="W9" s="4"/>
      <c r="X9" s="4"/>
      <c r="Y9" s="4">
        <f t="shared" si="0"/>
        <v>13.1</v>
      </c>
    </row>
    <row r="10" spans="1:25" x14ac:dyDescent="0.2">
      <c r="A10" s="3" t="s">
        <v>1421</v>
      </c>
      <c r="B10" s="3" t="s">
        <v>1413</v>
      </c>
      <c r="C10" s="3" t="s">
        <v>38</v>
      </c>
      <c r="D10" s="3">
        <v>9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14</v>
      </c>
      <c r="N10" s="3">
        <v>11</v>
      </c>
      <c r="O10" s="3">
        <v>123</v>
      </c>
      <c r="P10" s="3">
        <v>0</v>
      </c>
      <c r="Q10" s="3">
        <v>0</v>
      </c>
      <c r="R10" s="3">
        <v>0</v>
      </c>
      <c r="S10" s="3">
        <v>23.3</v>
      </c>
      <c r="T10" s="3">
        <v>2.24E-2</v>
      </c>
      <c r="U10" s="3"/>
      <c r="V10" s="3">
        <v>11.181818181818199</v>
      </c>
      <c r="W10" s="3"/>
      <c r="X10" s="3"/>
      <c r="Y10" s="3">
        <f t="shared" si="0"/>
        <v>23.3</v>
      </c>
    </row>
    <row r="11" spans="1:25" x14ac:dyDescent="0.2">
      <c r="A11" s="4" t="s">
        <v>1422</v>
      </c>
      <c r="B11" s="4" t="s">
        <v>1413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1.6000000000000001E-3</v>
      </c>
      <c r="U11" s="4"/>
      <c r="V11" s="4"/>
      <c r="W11" s="4"/>
      <c r="X11" s="4"/>
      <c r="Y11" s="4">
        <f t="shared" si="0"/>
        <v>0</v>
      </c>
    </row>
    <row r="12" spans="1:25" x14ac:dyDescent="0.2">
      <c r="A12" s="3" t="s">
        <v>185</v>
      </c>
      <c r="B12" s="3" t="s">
        <v>1413</v>
      </c>
      <c r="C12" s="3" t="s">
        <v>43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145</v>
      </c>
      <c r="N12" s="3">
        <v>88</v>
      </c>
      <c r="O12" s="3">
        <v>1496</v>
      </c>
      <c r="P12" s="3">
        <v>11</v>
      </c>
      <c r="Q12" s="3">
        <v>0</v>
      </c>
      <c r="R12" s="3">
        <v>0</v>
      </c>
      <c r="S12" s="3">
        <v>299.60000000000002</v>
      </c>
      <c r="T12" s="3">
        <v>0.23200000000000001</v>
      </c>
      <c r="U12" s="3"/>
      <c r="V12" s="3">
        <v>17</v>
      </c>
      <c r="W12" s="3"/>
      <c r="X12" s="3"/>
      <c r="Y12" s="3">
        <f t="shared" si="0"/>
        <v>303.60000000000002</v>
      </c>
    </row>
    <row r="13" spans="1:25" x14ac:dyDescent="0.2">
      <c r="A13" s="4" t="s">
        <v>1423</v>
      </c>
      <c r="B13" s="4" t="s">
        <v>1413</v>
      </c>
      <c r="C13" s="4" t="s">
        <v>43</v>
      </c>
      <c r="D13" s="4">
        <v>17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136</v>
      </c>
      <c r="N13" s="4">
        <v>95</v>
      </c>
      <c r="O13" s="4">
        <v>1196</v>
      </c>
      <c r="P13" s="4">
        <v>7</v>
      </c>
      <c r="Q13" s="4">
        <v>0</v>
      </c>
      <c r="R13" s="4">
        <v>0</v>
      </c>
      <c r="S13" s="4">
        <v>254.6</v>
      </c>
      <c r="T13" s="4">
        <v>0.21759999999999999</v>
      </c>
      <c r="U13" s="4"/>
      <c r="V13" s="4">
        <v>12.5894736842105</v>
      </c>
      <c r="W13" s="4"/>
      <c r="X13" s="4"/>
      <c r="Y13" s="4">
        <f t="shared" si="0"/>
        <v>256.60000000000002</v>
      </c>
    </row>
    <row r="14" spans="1:25" x14ac:dyDescent="0.2">
      <c r="A14" s="3" t="s">
        <v>1424</v>
      </c>
      <c r="B14" s="3" t="s">
        <v>1413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3</v>
      </c>
      <c r="K14" s="3">
        <v>1</v>
      </c>
      <c r="L14" s="3">
        <v>0</v>
      </c>
      <c r="M14" s="3">
        <v>51</v>
      </c>
      <c r="N14" s="3">
        <v>33</v>
      </c>
      <c r="O14" s="3">
        <v>354</v>
      </c>
      <c r="P14" s="3">
        <v>3</v>
      </c>
      <c r="Q14" s="3">
        <v>0</v>
      </c>
      <c r="R14" s="3">
        <v>0</v>
      </c>
      <c r="S14" s="3">
        <v>84.5</v>
      </c>
      <c r="T14" s="3">
        <v>8.1600000000000006E-2</v>
      </c>
      <c r="U14" s="3">
        <v>0.33333333333333298</v>
      </c>
      <c r="V14" s="3">
        <v>10.7272727272727</v>
      </c>
      <c r="W14" s="3"/>
      <c r="X14" s="3"/>
      <c r="Y14" s="3">
        <f t="shared" si="0"/>
        <v>86.5</v>
      </c>
    </row>
    <row r="15" spans="1:25" x14ac:dyDescent="0.2">
      <c r="A15" s="4" t="s">
        <v>1425</v>
      </c>
      <c r="B15" s="4" t="s">
        <v>1413</v>
      </c>
      <c r="C15" s="4" t="s">
        <v>43</v>
      </c>
      <c r="D15" s="4">
        <v>12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</v>
      </c>
      <c r="K15" s="4">
        <v>0</v>
      </c>
      <c r="L15" s="4">
        <v>0</v>
      </c>
      <c r="M15" s="4">
        <v>19</v>
      </c>
      <c r="N15" s="4">
        <v>15</v>
      </c>
      <c r="O15" s="4">
        <v>150</v>
      </c>
      <c r="P15" s="4">
        <v>1</v>
      </c>
      <c r="Q15" s="4">
        <v>0</v>
      </c>
      <c r="R15" s="4">
        <v>0</v>
      </c>
      <c r="S15" s="4">
        <v>36</v>
      </c>
      <c r="T15" s="4">
        <v>3.04E-2</v>
      </c>
      <c r="U15" s="4">
        <v>0</v>
      </c>
      <c r="V15" s="4">
        <v>10</v>
      </c>
      <c r="W15" s="4"/>
      <c r="X15" s="4"/>
      <c r="Y15" s="4">
        <f t="shared" si="0"/>
        <v>36</v>
      </c>
    </row>
    <row r="30" spans="1:13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">
      <c r="A31" s="3" t="s">
        <v>1413</v>
      </c>
      <c r="B31" s="3">
        <v>6873</v>
      </c>
      <c r="C31" s="3">
        <v>4364</v>
      </c>
      <c r="D31" s="3">
        <v>544</v>
      </c>
      <c r="E31" s="3">
        <v>2509</v>
      </c>
      <c r="F31" s="3">
        <v>32</v>
      </c>
      <c r="G31" s="3">
        <v>1619.86</v>
      </c>
      <c r="H31" s="3">
        <v>536</v>
      </c>
      <c r="I31" s="3">
        <v>0.65298507462686595</v>
      </c>
      <c r="J31" s="3">
        <v>25</v>
      </c>
      <c r="K31" s="3">
        <v>9</v>
      </c>
      <c r="L31" s="3">
        <v>4</v>
      </c>
      <c r="M31" s="3">
        <f ca="1">SUM(INDIRECT(A33 &amp; "_Table1[[#All],[f_custom]]"))</f>
        <v>1631.8600000000001</v>
      </c>
    </row>
    <row r="32" spans="1:13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PHI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1426</v>
      </c>
      <c r="B36" s="3" t="s">
        <v>26</v>
      </c>
      <c r="C36" s="3">
        <v>25</v>
      </c>
      <c r="D36" s="3">
        <v>3</v>
      </c>
      <c r="E36" s="3" t="s">
        <v>362</v>
      </c>
      <c r="F36" s="3" t="s">
        <v>1413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1427</v>
      </c>
      <c r="B37" s="4" t="s">
        <v>26</v>
      </c>
      <c r="C37" s="4">
        <v>25</v>
      </c>
      <c r="D37" s="4">
        <v>4</v>
      </c>
      <c r="E37" s="4" t="s">
        <v>68</v>
      </c>
      <c r="F37" s="4" t="s">
        <v>1413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1428</v>
      </c>
      <c r="B38" s="3" t="s">
        <v>26</v>
      </c>
      <c r="C38" s="3">
        <v>29</v>
      </c>
      <c r="D38" s="3">
        <v>9</v>
      </c>
      <c r="E38" s="3" t="s">
        <v>205</v>
      </c>
      <c r="F38" s="3" t="s">
        <v>1413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">
      <c r="A39" s="4" t="s">
        <v>1429</v>
      </c>
      <c r="B39" s="4" t="s">
        <v>26</v>
      </c>
      <c r="C39" s="4">
        <v>23</v>
      </c>
      <c r="D39" s="4">
        <v>0</v>
      </c>
      <c r="E39" s="4" t="s">
        <v>102</v>
      </c>
      <c r="F39" s="4" t="s">
        <v>1413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1430</v>
      </c>
      <c r="B46" s="3" t="s">
        <v>31</v>
      </c>
      <c r="C46" s="3">
        <v>24</v>
      </c>
      <c r="D46" s="3">
        <v>1</v>
      </c>
      <c r="E46" s="3" t="s">
        <v>68</v>
      </c>
      <c r="F46" s="3" t="s">
        <v>1413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1431</v>
      </c>
      <c r="B47" s="4" t="s">
        <v>31</v>
      </c>
      <c r="C47" s="4">
        <v>24</v>
      </c>
      <c r="D47" s="4">
        <v>3</v>
      </c>
      <c r="E47" s="4" t="s">
        <v>557</v>
      </c>
      <c r="F47" s="4" t="s">
        <v>1413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1432</v>
      </c>
      <c r="B48" s="3" t="s">
        <v>31</v>
      </c>
      <c r="C48" s="3">
        <v>27</v>
      </c>
      <c r="D48" s="3">
        <v>6</v>
      </c>
      <c r="E48" s="3" t="s">
        <v>795</v>
      </c>
      <c r="F48" s="3" t="s">
        <v>1413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1433</v>
      </c>
      <c r="B49" s="4" t="s">
        <v>31</v>
      </c>
      <c r="C49" s="4">
        <v>28</v>
      </c>
      <c r="D49" s="4">
        <v>5</v>
      </c>
      <c r="E49" s="4" t="s">
        <v>64</v>
      </c>
      <c r="F49" s="4" t="s">
        <v>1413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1434</v>
      </c>
      <c r="B50" s="3" t="s">
        <v>31</v>
      </c>
      <c r="C50" s="3">
        <v>24</v>
      </c>
      <c r="D50" s="3">
        <v>3</v>
      </c>
      <c r="E50" s="3" t="s">
        <v>213</v>
      </c>
      <c r="F50" s="3" t="s">
        <v>1413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1435</v>
      </c>
      <c r="B51" s="4" t="s">
        <v>31</v>
      </c>
      <c r="C51" s="4">
        <v>24</v>
      </c>
      <c r="D51" s="4">
        <v>4</v>
      </c>
      <c r="E51" s="4" t="s">
        <v>173</v>
      </c>
      <c r="F51" s="4" t="s">
        <v>1413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1436</v>
      </c>
      <c r="B61" s="3" t="s">
        <v>43</v>
      </c>
      <c r="C61" s="3">
        <v>28</v>
      </c>
      <c r="D61" s="3">
        <v>1</v>
      </c>
      <c r="E61" s="3" t="s">
        <v>205</v>
      </c>
      <c r="F61" s="3" t="s">
        <v>1413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7">($J61*0.04)+($K61*4)+($L61*-2)+($N61*0.1)+($O61*6)+($Q61)+($R61*0.1)+($S61*6)+($T61*-2)</f>
        <v>0</v>
      </c>
      <c r="W61" s="3" t="e">
        <f t="shared" ref="W61:W73" ca="1" si="8">$P61/$H$33</f>
        <v>#DIV/0!</v>
      </c>
      <c r="X61" s="3" t="e">
        <f t="shared" ref="X61:X73" si="9">$N61/$M61</f>
        <v>#DIV/0!</v>
      </c>
      <c r="Y61" s="3" t="e">
        <f t="shared" ref="Y61:Y73" si="10">$R61/$Q61</f>
        <v>#DIV/0!</v>
      </c>
      <c r="Z61" s="3" t="e">
        <f t="shared" ref="Z61:Z73" si="11">$I61/$H61</f>
        <v>#DIV/0!</v>
      </c>
      <c r="AA61" s="3" t="e">
        <f>$K61/$H61</f>
        <v>#DIV/0!</v>
      </c>
      <c r="AB61" s="3">
        <f t="shared" ref="AB61:AB73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1437</v>
      </c>
      <c r="B62" s="4" t="s">
        <v>43</v>
      </c>
      <c r="C62" s="4">
        <v>26</v>
      </c>
      <c r="D62" s="4">
        <v>5</v>
      </c>
      <c r="E62" s="4" t="s">
        <v>240</v>
      </c>
      <c r="F62" s="4" t="s">
        <v>1413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1438</v>
      </c>
      <c r="B63" s="3" t="s">
        <v>43</v>
      </c>
      <c r="C63" s="3">
        <v>27</v>
      </c>
      <c r="D63" s="3">
        <v>3</v>
      </c>
      <c r="E63" s="3" t="s">
        <v>458</v>
      </c>
      <c r="F63" s="3" t="s">
        <v>1413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1439</v>
      </c>
      <c r="B64" s="4" t="s">
        <v>43</v>
      </c>
      <c r="C64" s="4">
        <v>25</v>
      </c>
      <c r="D64" s="4">
        <v>4</v>
      </c>
      <c r="E64" s="4" t="s">
        <v>178</v>
      </c>
      <c r="F64" s="4" t="s">
        <v>1413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1440</v>
      </c>
      <c r="B65" s="3" t="s">
        <v>43</v>
      </c>
      <c r="C65" s="3">
        <v>26</v>
      </c>
      <c r="D65" s="3">
        <v>2</v>
      </c>
      <c r="E65" s="3" t="s">
        <v>207</v>
      </c>
      <c r="F65" s="3" t="s">
        <v>1413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1441</v>
      </c>
      <c r="B66" s="4" t="s">
        <v>43</v>
      </c>
      <c r="C66" s="4">
        <v>22</v>
      </c>
      <c r="D66" s="4">
        <v>0</v>
      </c>
      <c r="E66" s="4" t="s">
        <v>175</v>
      </c>
      <c r="F66" s="4" t="s">
        <v>1413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1442</v>
      </c>
      <c r="B67" s="3" t="s">
        <v>43</v>
      </c>
      <c r="C67" s="3">
        <v>23</v>
      </c>
      <c r="D67" s="3">
        <v>0</v>
      </c>
      <c r="E67" s="3" t="s">
        <v>1118</v>
      </c>
      <c r="F67" s="3" t="s">
        <v>1413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1443</v>
      </c>
      <c r="B68" s="4" t="s">
        <v>43</v>
      </c>
      <c r="C68" s="4">
        <v>22</v>
      </c>
      <c r="D68" s="4">
        <v>0</v>
      </c>
      <c r="E68" s="4" t="s">
        <v>458</v>
      </c>
      <c r="F68" s="4" t="s">
        <v>1413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1444</v>
      </c>
      <c r="B69" s="3" t="s">
        <v>43</v>
      </c>
      <c r="C69" s="3">
        <v>24</v>
      </c>
      <c r="D69" s="3">
        <v>1</v>
      </c>
      <c r="E69" s="3" t="s">
        <v>397</v>
      </c>
      <c r="F69" s="3" t="s">
        <v>1413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1445</v>
      </c>
      <c r="B70" s="4" t="s">
        <v>43</v>
      </c>
      <c r="C70" s="4">
        <v>24</v>
      </c>
      <c r="D70" s="4">
        <v>3</v>
      </c>
      <c r="E70" s="4" t="s">
        <v>153</v>
      </c>
      <c r="F70" s="4" t="s">
        <v>1413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1446</v>
      </c>
      <c r="B71" s="3" t="s">
        <v>43</v>
      </c>
      <c r="C71" s="3">
        <v>28</v>
      </c>
      <c r="D71" s="3">
        <v>4</v>
      </c>
      <c r="E71" s="3" t="s">
        <v>70</v>
      </c>
      <c r="F71" s="3" t="s">
        <v>1413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1447</v>
      </c>
      <c r="B72" s="4" t="s">
        <v>43</v>
      </c>
      <c r="C72" s="4">
        <v>25</v>
      </c>
      <c r="D72" s="4">
        <v>4</v>
      </c>
      <c r="E72" s="4" t="s">
        <v>898</v>
      </c>
      <c r="F72" s="4" t="s">
        <v>1413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3" spans="1:28" x14ac:dyDescent="0.2">
      <c r="A73" s="3" t="s">
        <v>1448</v>
      </c>
      <c r="B73" s="3" t="s">
        <v>43</v>
      </c>
      <c r="C73" s="3">
        <v>26</v>
      </c>
      <c r="D73" s="3">
        <v>5</v>
      </c>
      <c r="E73" s="3" t="s">
        <v>409</v>
      </c>
      <c r="F73" s="3" t="s">
        <v>1413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7"/>
        <v>0</v>
      </c>
      <c r="W73" s="3" t="e">
        <f t="shared" ca="1" si="8"/>
        <v>#DIV/0!</v>
      </c>
      <c r="X73" s="3" t="e">
        <f t="shared" si="9"/>
        <v>#DIV/0!</v>
      </c>
      <c r="Y73" s="3" t="e">
        <f t="shared" si="10"/>
        <v>#DIV/0!</v>
      </c>
      <c r="Z73" s="3" t="e">
        <f t="shared" si="11"/>
        <v>#DIV/0!</v>
      </c>
      <c r="AA73" s="3" t="e">
        <f>$K73/$H73</f>
        <v>#DIV/0!</v>
      </c>
      <c r="AB73" s="3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1449</v>
      </c>
      <c r="B76" s="3" t="s">
        <v>38</v>
      </c>
      <c r="C76" s="3">
        <v>28</v>
      </c>
      <c r="D76" s="3">
        <v>7</v>
      </c>
      <c r="E76" s="3" t="s">
        <v>1450</v>
      </c>
      <c r="F76" s="3" t="s">
        <v>1413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3">($J76*0.04)+($K76*4)+($L76*-2)+($N76*0.1)+($O76*6)+($Q76)+($R76*0.1)+($S76*6)+($T76*-2)</f>
        <v>0</v>
      </c>
      <c r="W76" s="3" t="e">
        <f t="shared" ref="W76:W81" ca="1" si="14">$P76/$H$33</f>
        <v>#DIV/0!</v>
      </c>
      <c r="X76" s="3" t="e">
        <f t="shared" ref="X76:X81" si="15">$N76/$M76</f>
        <v>#DIV/0!</v>
      </c>
      <c r="Y76" s="3" t="e">
        <f t="shared" ref="Y76:Y81" si="16">$R76/$Q76</f>
        <v>#DIV/0!</v>
      </c>
      <c r="Z76" s="3" t="e">
        <f t="shared" ref="Z76:Z81" si="17">$I76/$H76</f>
        <v>#DIV/0!</v>
      </c>
      <c r="AA76" s="3" t="e">
        <f>$K76/$H76</f>
        <v>#DIV/0!</v>
      </c>
      <c r="AB76" s="3">
        <f t="shared" ref="AB76:AB81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1451</v>
      </c>
      <c r="B77" s="4" t="s">
        <v>38</v>
      </c>
      <c r="C77" s="4">
        <v>24</v>
      </c>
      <c r="D77" s="4">
        <v>2</v>
      </c>
      <c r="E77" s="4" t="s">
        <v>237</v>
      </c>
      <c r="F77" s="4" t="s">
        <v>1413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1452</v>
      </c>
      <c r="B78" s="3" t="s">
        <v>38</v>
      </c>
      <c r="C78" s="3">
        <v>28</v>
      </c>
      <c r="D78" s="3">
        <v>6</v>
      </c>
      <c r="E78" s="3" t="s">
        <v>753</v>
      </c>
      <c r="F78" s="3" t="s">
        <v>1413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1453</v>
      </c>
      <c r="B79" s="4" t="s">
        <v>38</v>
      </c>
      <c r="C79" s="4">
        <v>25</v>
      </c>
      <c r="D79" s="4">
        <v>3</v>
      </c>
      <c r="E79" s="4" t="s">
        <v>806</v>
      </c>
      <c r="F79" s="4" t="s">
        <v>1413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1454</v>
      </c>
      <c r="B80" s="3" t="s">
        <v>38</v>
      </c>
      <c r="C80" s="3">
        <v>24</v>
      </c>
      <c r="D80" s="3">
        <v>0</v>
      </c>
      <c r="E80" s="3" t="s">
        <v>84</v>
      </c>
      <c r="F80" s="3" t="s">
        <v>1413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1455</v>
      </c>
      <c r="B81" s="4" t="s">
        <v>38</v>
      </c>
      <c r="C81" s="4">
        <v>25</v>
      </c>
      <c r="D81" s="4">
        <v>3</v>
      </c>
      <c r="E81" s="4" t="s">
        <v>248</v>
      </c>
      <c r="F81" s="4" t="s">
        <v>1413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AB80"/>
  <sheetViews>
    <sheetView zoomScale="90" zoomScaleNormal="90" workbookViewId="0">
      <selection activeCell="A20" sqref="A20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1456</v>
      </c>
      <c r="B2" s="3" t="s">
        <v>1457</v>
      </c>
      <c r="C2" s="3" t="s">
        <v>115</v>
      </c>
      <c r="D2" s="3">
        <v>10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9</v>
      </c>
      <c r="K2" s="3">
        <v>21</v>
      </c>
      <c r="L2" s="3">
        <v>1</v>
      </c>
      <c r="M2" s="3">
        <v>5</v>
      </c>
      <c r="N2" s="3">
        <v>5</v>
      </c>
      <c r="O2" s="3">
        <v>11</v>
      </c>
      <c r="P2" s="3">
        <v>1</v>
      </c>
      <c r="Q2" s="3">
        <v>0</v>
      </c>
      <c r="R2" s="3">
        <v>0</v>
      </c>
      <c r="S2" s="3">
        <v>20.2</v>
      </c>
      <c r="T2" s="3">
        <v>9.3283582089552196E-3</v>
      </c>
      <c r="U2" s="3">
        <v>2.3333333333333299</v>
      </c>
      <c r="V2" s="3">
        <v>2.2000000000000002</v>
      </c>
      <c r="W2" s="3"/>
      <c r="X2" s="3"/>
      <c r="Y2" s="3">
        <f t="shared" ref="Y2:Y18" si="0">($G2*Cp_yd)+($H2*Cp_td)+($I2*Cint)+($J2*Ccar)+($K2*Cr_yd)+($L2*Cr_td)+($N2*Crec)+($O2*Crec_yd)+($P2*Crec_td)+($Q2*Cfmb)+($R2*Ctp_c)</f>
        <v>20.2</v>
      </c>
    </row>
    <row r="3" spans="1:25" x14ac:dyDescent="0.2">
      <c r="A3" s="4" t="s">
        <v>1458</v>
      </c>
      <c r="B3" s="4" t="s">
        <v>1457</v>
      </c>
      <c r="C3" s="4" t="s">
        <v>26</v>
      </c>
      <c r="D3" s="4">
        <v>13</v>
      </c>
      <c r="E3" s="4">
        <v>389</v>
      </c>
      <c r="F3" s="4">
        <v>245</v>
      </c>
      <c r="G3" s="4">
        <v>2404</v>
      </c>
      <c r="H3" s="4">
        <v>7</v>
      </c>
      <c r="I3" s="4">
        <v>9</v>
      </c>
      <c r="J3" s="4">
        <v>55</v>
      </c>
      <c r="K3" s="4">
        <v>237</v>
      </c>
      <c r="L3" s="4">
        <v>3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2</v>
      </c>
      <c r="S3" s="4">
        <v>149.86000000000001</v>
      </c>
      <c r="T3" s="4">
        <v>0</v>
      </c>
      <c r="U3" s="4">
        <v>4.3090909090909104</v>
      </c>
      <c r="V3" s="4"/>
      <c r="W3" s="4">
        <v>0.62982005141388198</v>
      </c>
      <c r="X3" s="4">
        <v>1.7994858611825201E-2</v>
      </c>
      <c r="Y3" s="4">
        <f t="shared" si="0"/>
        <v>149.86000000000001</v>
      </c>
    </row>
    <row r="4" spans="1:25" x14ac:dyDescent="0.2">
      <c r="A4" s="3" t="s">
        <v>1459</v>
      </c>
      <c r="B4" s="3" t="s">
        <v>1457</v>
      </c>
      <c r="C4" s="3" t="s">
        <v>26</v>
      </c>
      <c r="D4" s="3">
        <v>7</v>
      </c>
      <c r="E4" s="3">
        <v>180</v>
      </c>
      <c r="F4" s="3">
        <v>117</v>
      </c>
      <c r="G4" s="3">
        <v>1252</v>
      </c>
      <c r="H4" s="3">
        <v>4</v>
      </c>
      <c r="I4" s="3">
        <v>5</v>
      </c>
      <c r="J4" s="3">
        <v>19</v>
      </c>
      <c r="K4" s="3">
        <v>38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>
        <v>73.88</v>
      </c>
      <c r="T4" s="3">
        <v>0</v>
      </c>
      <c r="U4" s="3">
        <v>2</v>
      </c>
      <c r="V4" s="3"/>
      <c r="W4" s="3">
        <v>0.65</v>
      </c>
      <c r="X4" s="3">
        <v>2.2222222222222199E-2</v>
      </c>
      <c r="Y4" s="3">
        <f t="shared" si="0"/>
        <v>73.88</v>
      </c>
    </row>
    <row r="5" spans="1:25" x14ac:dyDescent="0.2">
      <c r="A5" s="4" t="s">
        <v>1460</v>
      </c>
      <c r="B5" s="4" t="s">
        <v>1457</v>
      </c>
      <c r="C5" s="4" t="s">
        <v>31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</v>
      </c>
      <c r="K5" s="4">
        <v>30</v>
      </c>
      <c r="L5" s="4">
        <v>0</v>
      </c>
      <c r="M5" s="4">
        <v>2</v>
      </c>
      <c r="N5" s="4">
        <v>2</v>
      </c>
      <c r="O5" s="4">
        <v>11</v>
      </c>
      <c r="P5" s="4">
        <v>0</v>
      </c>
      <c r="Q5" s="4">
        <v>0</v>
      </c>
      <c r="R5" s="4">
        <v>0</v>
      </c>
      <c r="S5" s="4">
        <v>6.1</v>
      </c>
      <c r="T5" s="4">
        <v>3.7313432835820899E-3</v>
      </c>
      <c r="U5" s="4">
        <v>5</v>
      </c>
      <c r="V5" s="4">
        <v>5.5</v>
      </c>
      <c r="W5" s="4"/>
      <c r="X5" s="4"/>
      <c r="Y5" s="4">
        <f t="shared" si="0"/>
        <v>6.1</v>
      </c>
    </row>
    <row r="6" spans="1:25" x14ac:dyDescent="0.2">
      <c r="A6" s="3" t="s">
        <v>1461</v>
      </c>
      <c r="B6" s="3" t="s">
        <v>1457</v>
      </c>
      <c r="C6" s="3" t="s">
        <v>31</v>
      </c>
      <c r="D6" s="3">
        <v>3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20</v>
      </c>
      <c r="K6" s="3">
        <v>90</v>
      </c>
      <c r="L6" s="3">
        <v>1</v>
      </c>
      <c r="M6" s="3">
        <v>2</v>
      </c>
      <c r="N6" s="3">
        <v>2</v>
      </c>
      <c r="O6" s="3">
        <v>17</v>
      </c>
      <c r="P6" s="3">
        <v>0</v>
      </c>
      <c r="Q6" s="3">
        <v>0</v>
      </c>
      <c r="R6" s="3">
        <v>0</v>
      </c>
      <c r="S6" s="3">
        <v>18.7</v>
      </c>
      <c r="T6" s="3">
        <v>3.7313432835820899E-3</v>
      </c>
      <c r="U6" s="3">
        <v>4.5</v>
      </c>
      <c r="V6" s="3">
        <v>8.5</v>
      </c>
      <c r="W6" s="3"/>
      <c r="X6" s="3"/>
      <c r="Y6" s="3">
        <f t="shared" si="0"/>
        <v>18.7</v>
      </c>
    </row>
    <row r="7" spans="1:25" x14ac:dyDescent="0.2">
      <c r="A7" s="4" t="s">
        <v>1462</v>
      </c>
      <c r="B7" s="4" t="s">
        <v>1457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77</v>
      </c>
      <c r="K7" s="4">
        <v>379</v>
      </c>
      <c r="L7" s="4">
        <v>1</v>
      </c>
      <c r="M7" s="4">
        <v>33</v>
      </c>
      <c r="N7" s="4">
        <v>28</v>
      </c>
      <c r="O7" s="4">
        <v>214</v>
      </c>
      <c r="P7" s="4">
        <v>0</v>
      </c>
      <c r="Q7" s="4">
        <v>0</v>
      </c>
      <c r="R7" s="4">
        <v>0</v>
      </c>
      <c r="S7" s="4">
        <v>93.3</v>
      </c>
      <c r="T7" s="4">
        <v>6.1567164179104503E-2</v>
      </c>
      <c r="U7" s="4">
        <v>4.9220779220779196</v>
      </c>
      <c r="V7" s="4">
        <v>7.6428571428571397</v>
      </c>
      <c r="W7" s="4"/>
      <c r="X7" s="4"/>
      <c r="Y7" s="4">
        <f t="shared" si="0"/>
        <v>93.300000000000011</v>
      </c>
    </row>
    <row r="8" spans="1:25" x14ac:dyDescent="0.2">
      <c r="A8" s="3" t="s">
        <v>1463</v>
      </c>
      <c r="B8" s="3" t="s">
        <v>1457</v>
      </c>
      <c r="C8" s="3" t="s">
        <v>31</v>
      </c>
      <c r="D8" s="3">
        <v>17</v>
      </c>
      <c r="E8" s="3">
        <v>1</v>
      </c>
      <c r="F8" s="3">
        <v>1</v>
      </c>
      <c r="G8" s="3">
        <v>4</v>
      </c>
      <c r="H8" s="3">
        <v>0</v>
      </c>
      <c r="I8" s="3">
        <v>0</v>
      </c>
      <c r="J8" s="3">
        <v>272</v>
      </c>
      <c r="K8" s="3">
        <v>1034</v>
      </c>
      <c r="L8" s="3">
        <v>7</v>
      </c>
      <c r="M8" s="3">
        <v>53</v>
      </c>
      <c r="N8" s="3">
        <v>41</v>
      </c>
      <c r="O8" s="3">
        <v>229</v>
      </c>
      <c r="P8" s="3">
        <v>3</v>
      </c>
      <c r="Q8" s="3">
        <v>1</v>
      </c>
      <c r="R8" s="3">
        <v>0</v>
      </c>
      <c r="S8" s="3">
        <v>223.46</v>
      </c>
      <c r="T8" s="3">
        <v>9.8880597014925395E-2</v>
      </c>
      <c r="U8" s="3">
        <v>3.8014705882352899</v>
      </c>
      <c r="V8" s="3">
        <v>5.5853658536585398</v>
      </c>
      <c r="W8" s="3">
        <v>1</v>
      </c>
      <c r="X8" s="3">
        <v>0</v>
      </c>
      <c r="Y8" s="3">
        <f t="shared" si="0"/>
        <v>225.46</v>
      </c>
    </row>
    <row r="9" spans="1:25" x14ac:dyDescent="0.2">
      <c r="A9" s="4" t="s">
        <v>1464</v>
      </c>
      <c r="B9" s="4" t="s">
        <v>1457</v>
      </c>
      <c r="C9" s="4" t="s">
        <v>38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</v>
      </c>
      <c r="K9" s="4">
        <v>27</v>
      </c>
      <c r="L9" s="4">
        <v>0</v>
      </c>
      <c r="M9" s="4">
        <v>17</v>
      </c>
      <c r="N9" s="4">
        <v>12</v>
      </c>
      <c r="O9" s="4">
        <v>151</v>
      </c>
      <c r="P9" s="4">
        <v>1</v>
      </c>
      <c r="Q9" s="4">
        <v>0</v>
      </c>
      <c r="R9" s="4">
        <v>0</v>
      </c>
      <c r="S9" s="4">
        <v>35.799999999999997</v>
      </c>
      <c r="T9" s="4">
        <v>3.1716417910447797E-2</v>
      </c>
      <c r="U9" s="4">
        <v>13.5</v>
      </c>
      <c r="V9" s="4">
        <v>12.5833333333333</v>
      </c>
      <c r="W9" s="4"/>
      <c r="X9" s="4"/>
      <c r="Y9" s="4">
        <f t="shared" si="0"/>
        <v>35.799999999999997</v>
      </c>
    </row>
    <row r="10" spans="1:25" x14ac:dyDescent="0.2">
      <c r="A10" s="3" t="s">
        <v>1465</v>
      </c>
      <c r="B10" s="3" t="s">
        <v>1457</v>
      </c>
      <c r="C10" s="3" t="s">
        <v>38</v>
      </c>
      <c r="D10" s="3">
        <v>15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98</v>
      </c>
      <c r="N10" s="3">
        <v>63</v>
      </c>
      <c r="O10" s="3">
        <v>732</v>
      </c>
      <c r="P10" s="3">
        <v>2</v>
      </c>
      <c r="Q10" s="3">
        <v>0</v>
      </c>
      <c r="R10" s="3">
        <v>0</v>
      </c>
      <c r="S10" s="3">
        <v>148.19999999999999</v>
      </c>
      <c r="T10" s="3">
        <v>0.182835820895522</v>
      </c>
      <c r="U10" s="3"/>
      <c r="V10" s="3">
        <v>11.619047619047601</v>
      </c>
      <c r="W10" s="3"/>
      <c r="X10" s="3"/>
      <c r="Y10" s="3">
        <f t="shared" si="0"/>
        <v>148.19999999999999</v>
      </c>
    </row>
    <row r="11" spans="1:25" x14ac:dyDescent="0.2">
      <c r="A11" s="4" t="s">
        <v>1466</v>
      </c>
      <c r="B11" s="4" t="s">
        <v>1457</v>
      </c>
      <c r="C11" s="4" t="s">
        <v>38</v>
      </c>
      <c r="D11" s="4">
        <v>14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23</v>
      </c>
      <c r="N11" s="4">
        <v>19</v>
      </c>
      <c r="O11" s="4">
        <v>132</v>
      </c>
      <c r="P11" s="4">
        <v>0</v>
      </c>
      <c r="Q11" s="4">
        <v>0</v>
      </c>
      <c r="R11" s="4">
        <v>0</v>
      </c>
      <c r="S11" s="4">
        <v>32.200000000000003</v>
      </c>
      <c r="T11" s="4">
        <v>4.2910447761194001E-2</v>
      </c>
      <c r="U11" s="4"/>
      <c r="V11" s="4">
        <v>6.9473684210526301</v>
      </c>
      <c r="W11" s="4"/>
      <c r="X11" s="4"/>
      <c r="Y11" s="4">
        <f t="shared" si="0"/>
        <v>32.200000000000003</v>
      </c>
    </row>
    <row r="12" spans="1:25" x14ac:dyDescent="0.2">
      <c r="A12" s="3" t="s">
        <v>378</v>
      </c>
      <c r="B12" s="3" t="s">
        <v>1457</v>
      </c>
      <c r="C12" s="3" t="s">
        <v>43</v>
      </c>
      <c r="D12" s="3">
        <v>8</v>
      </c>
      <c r="E12" s="3">
        <v>1</v>
      </c>
      <c r="F12" s="3">
        <v>1</v>
      </c>
      <c r="G12" s="3">
        <v>1</v>
      </c>
      <c r="H12" s="3">
        <v>1</v>
      </c>
      <c r="I12" s="3">
        <v>0</v>
      </c>
      <c r="J12" s="3">
        <v>8</v>
      </c>
      <c r="K12" s="3">
        <v>55</v>
      </c>
      <c r="L12" s="3">
        <v>0</v>
      </c>
      <c r="M12" s="3">
        <v>50</v>
      </c>
      <c r="N12" s="3">
        <v>32</v>
      </c>
      <c r="O12" s="3">
        <v>311</v>
      </c>
      <c r="P12" s="3">
        <v>1</v>
      </c>
      <c r="Q12" s="3">
        <v>0</v>
      </c>
      <c r="R12" s="3">
        <v>0</v>
      </c>
      <c r="S12" s="3">
        <v>78.64</v>
      </c>
      <c r="T12" s="3">
        <v>9.3283582089552203E-2</v>
      </c>
      <c r="U12" s="3">
        <v>6.875</v>
      </c>
      <c r="V12" s="3">
        <v>9.71875</v>
      </c>
      <c r="W12" s="3">
        <v>1</v>
      </c>
      <c r="X12" s="3">
        <v>1</v>
      </c>
      <c r="Y12" s="3">
        <f t="shared" si="0"/>
        <v>78.64</v>
      </c>
    </row>
    <row r="13" spans="1:25" x14ac:dyDescent="0.2">
      <c r="A13" s="4" t="s">
        <v>1467</v>
      </c>
      <c r="B13" s="4" t="s">
        <v>1457</v>
      </c>
      <c r="C13" s="4" t="s">
        <v>43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1</v>
      </c>
      <c r="O13" s="4">
        <v>2</v>
      </c>
      <c r="P13" s="4">
        <v>0</v>
      </c>
      <c r="Q13" s="4">
        <v>0</v>
      </c>
      <c r="R13" s="4">
        <v>0</v>
      </c>
      <c r="S13" s="4">
        <v>1.2</v>
      </c>
      <c r="T13" s="4">
        <v>1.86567164179104E-3</v>
      </c>
      <c r="U13" s="4"/>
      <c r="V13" s="4">
        <v>2</v>
      </c>
      <c r="W13" s="4"/>
      <c r="X13" s="4"/>
      <c r="Y13" s="4">
        <f t="shared" si="0"/>
        <v>1.2</v>
      </c>
    </row>
    <row r="14" spans="1:25" x14ac:dyDescent="0.2">
      <c r="A14" s="3" t="s">
        <v>253</v>
      </c>
      <c r="B14" s="3" t="s">
        <v>1457</v>
      </c>
      <c r="C14" s="3" t="s">
        <v>43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</v>
      </c>
      <c r="K14" s="3">
        <v>25</v>
      </c>
      <c r="L14" s="3">
        <v>0</v>
      </c>
      <c r="M14" s="3">
        <v>147</v>
      </c>
      <c r="N14" s="3">
        <v>86</v>
      </c>
      <c r="O14" s="3">
        <v>882</v>
      </c>
      <c r="P14" s="3">
        <v>0</v>
      </c>
      <c r="Q14" s="3">
        <v>0</v>
      </c>
      <c r="R14" s="3">
        <v>0</v>
      </c>
      <c r="S14" s="3">
        <v>180.7</v>
      </c>
      <c r="T14" s="3">
        <v>0.27425373134328401</v>
      </c>
      <c r="U14" s="3">
        <v>3.5714285714285698</v>
      </c>
      <c r="V14" s="3">
        <v>10.255813953488399</v>
      </c>
      <c r="W14" s="3"/>
      <c r="X14" s="3"/>
      <c r="Y14" s="3">
        <f t="shared" si="0"/>
        <v>176.7</v>
      </c>
    </row>
    <row r="15" spans="1:25" x14ac:dyDescent="0.2">
      <c r="A15" s="4" t="s">
        <v>1468</v>
      </c>
      <c r="B15" s="4" t="s">
        <v>1457</v>
      </c>
      <c r="C15" s="4" t="s">
        <v>43</v>
      </c>
      <c r="D15" s="4">
        <v>10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8</v>
      </c>
      <c r="K15" s="4">
        <v>39</v>
      </c>
      <c r="L15" s="4">
        <v>0</v>
      </c>
      <c r="M15" s="4">
        <v>7</v>
      </c>
      <c r="N15" s="4">
        <v>5</v>
      </c>
      <c r="O15" s="4">
        <v>53</v>
      </c>
      <c r="P15" s="4">
        <v>0</v>
      </c>
      <c r="Q15" s="4">
        <v>0</v>
      </c>
      <c r="R15" s="4">
        <v>0</v>
      </c>
      <c r="S15" s="4">
        <v>14.2</v>
      </c>
      <c r="T15" s="4">
        <v>1.3059701492537301E-2</v>
      </c>
      <c r="U15" s="4">
        <v>4.875</v>
      </c>
      <c r="V15" s="4">
        <v>10.6</v>
      </c>
      <c r="W15" s="4"/>
      <c r="X15" s="4"/>
      <c r="Y15" s="4">
        <f t="shared" si="0"/>
        <v>14.200000000000001</v>
      </c>
    </row>
    <row r="16" spans="1:25" x14ac:dyDescent="0.2">
      <c r="A16" s="3" t="s">
        <v>1469</v>
      </c>
      <c r="B16" s="3" t="s">
        <v>1457</v>
      </c>
      <c r="C16" s="3" t="s">
        <v>43</v>
      </c>
      <c r="D16" s="3">
        <v>17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3</v>
      </c>
      <c r="K16" s="3">
        <v>24</v>
      </c>
      <c r="L16" s="3">
        <v>1</v>
      </c>
      <c r="M16" s="3">
        <v>84</v>
      </c>
      <c r="N16" s="3">
        <v>52</v>
      </c>
      <c r="O16" s="3">
        <v>801</v>
      </c>
      <c r="P16" s="3">
        <v>4</v>
      </c>
      <c r="Q16" s="3">
        <v>0</v>
      </c>
      <c r="R16" s="3">
        <v>0</v>
      </c>
      <c r="S16" s="3">
        <v>166.5</v>
      </c>
      <c r="T16" s="3">
        <v>0.15671641791044799</v>
      </c>
      <c r="U16" s="3">
        <v>8</v>
      </c>
      <c r="V16" s="3">
        <v>15.403846153846199</v>
      </c>
      <c r="W16" s="3"/>
      <c r="X16" s="3"/>
      <c r="Y16" s="3">
        <f t="shared" si="0"/>
        <v>164.5</v>
      </c>
    </row>
    <row r="17" spans="1:25" x14ac:dyDescent="0.2">
      <c r="A17" s="4" t="s">
        <v>1470</v>
      </c>
      <c r="B17" s="4" t="s">
        <v>1457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3</v>
      </c>
      <c r="N17" s="4">
        <v>2</v>
      </c>
      <c r="O17" s="4">
        <v>11</v>
      </c>
      <c r="P17" s="4">
        <v>0</v>
      </c>
      <c r="Q17" s="4">
        <v>0</v>
      </c>
      <c r="R17" s="4">
        <v>0</v>
      </c>
      <c r="S17" s="4">
        <v>3.1</v>
      </c>
      <c r="T17" s="4">
        <v>5.5970149253731297E-3</v>
      </c>
      <c r="U17" s="4"/>
      <c r="V17" s="4">
        <v>5.5</v>
      </c>
      <c r="W17" s="4"/>
      <c r="X17" s="4"/>
      <c r="Y17" s="4">
        <f t="shared" si="0"/>
        <v>3.1</v>
      </c>
    </row>
    <row r="18" spans="1:25" x14ac:dyDescent="0.2">
      <c r="A18" s="3" t="s">
        <v>1471</v>
      </c>
      <c r="B18" s="3" t="s">
        <v>1457</v>
      </c>
      <c r="C18" s="3" t="s">
        <v>43</v>
      </c>
      <c r="D18" s="3">
        <v>11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13</v>
      </c>
      <c r="K18" s="3">
        <v>70</v>
      </c>
      <c r="L18" s="3">
        <v>0</v>
      </c>
      <c r="M18" s="3">
        <v>23</v>
      </c>
      <c r="N18" s="3">
        <v>14</v>
      </c>
      <c r="O18" s="3">
        <v>104</v>
      </c>
      <c r="P18" s="3">
        <v>0</v>
      </c>
      <c r="Q18" s="3">
        <v>0</v>
      </c>
      <c r="R18" s="3">
        <v>0</v>
      </c>
      <c r="S18" s="3">
        <v>31.4</v>
      </c>
      <c r="T18" s="3">
        <v>4.2910447761194001E-2</v>
      </c>
      <c r="U18" s="3">
        <v>5.3846153846153904</v>
      </c>
      <c r="V18" s="3">
        <v>7.4285714285714297</v>
      </c>
      <c r="W18" s="3"/>
      <c r="X18" s="3"/>
      <c r="Y18" s="3">
        <f t="shared" si="0"/>
        <v>31.4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1457</v>
      </c>
      <c r="B31" s="3">
        <v>5730</v>
      </c>
      <c r="C31" s="3">
        <v>3661</v>
      </c>
      <c r="D31" s="3">
        <v>499</v>
      </c>
      <c r="E31" s="3">
        <v>2069</v>
      </c>
      <c r="F31" s="3">
        <v>16</v>
      </c>
      <c r="G31" s="3">
        <v>1277.44</v>
      </c>
      <c r="H31" s="3">
        <v>571</v>
      </c>
      <c r="I31" s="3">
        <v>0.63747810858143605</v>
      </c>
      <c r="J31" s="3">
        <v>12</v>
      </c>
      <c r="K31" s="3">
        <v>14</v>
      </c>
      <c r="L31" s="3">
        <v>2</v>
      </c>
      <c r="M31" s="3">
        <f ca="1">SUM(INDIRECT(A33 &amp; "_Table1[[#All],[f_custom]]"))</f>
        <v>1273.44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PIT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1472</v>
      </c>
      <c r="B36" s="3" t="s">
        <v>26</v>
      </c>
      <c r="C36" s="3">
        <v>24</v>
      </c>
      <c r="D36" s="3">
        <v>0</v>
      </c>
      <c r="E36" s="3" t="s">
        <v>225</v>
      </c>
      <c r="F36" s="3" t="s">
        <v>1457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1473</v>
      </c>
      <c r="B37" s="4" t="s">
        <v>26</v>
      </c>
      <c r="C37" s="4">
        <v>25</v>
      </c>
      <c r="D37" s="4">
        <v>2</v>
      </c>
      <c r="E37" s="4" t="s">
        <v>74</v>
      </c>
      <c r="F37" s="4" t="s">
        <v>1457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1474</v>
      </c>
      <c r="B38" s="3" t="s">
        <v>26</v>
      </c>
      <c r="C38" s="3">
        <v>28</v>
      </c>
      <c r="D38" s="3">
        <v>6</v>
      </c>
      <c r="E38" s="3" t="s">
        <v>218</v>
      </c>
      <c r="F38" s="3" t="s">
        <v>1457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">
      <c r="A39" s="4" t="s">
        <v>1475</v>
      </c>
      <c r="B39" s="4" t="s">
        <v>26</v>
      </c>
      <c r="C39" s="4">
        <v>28</v>
      </c>
      <c r="D39" s="4">
        <v>7</v>
      </c>
      <c r="E39" s="4" t="s">
        <v>163</v>
      </c>
      <c r="F39" s="4" t="s">
        <v>1457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1476</v>
      </c>
      <c r="B46" s="3" t="s">
        <v>31</v>
      </c>
      <c r="C46" s="3">
        <v>25</v>
      </c>
      <c r="D46" s="3">
        <v>2</v>
      </c>
      <c r="E46" s="3" t="s">
        <v>795</v>
      </c>
      <c r="F46" s="3" t="s">
        <v>1457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>$K46/$H46</f>
        <v>#DIV/0!</v>
      </c>
      <c r="AB46" s="3">
        <f t="shared" ref="AB46:AB52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1477</v>
      </c>
      <c r="B47" s="4" t="s">
        <v>31</v>
      </c>
      <c r="C47" s="4">
        <v>23</v>
      </c>
      <c r="D47" s="4">
        <v>0</v>
      </c>
      <c r="E47" s="4" t="s">
        <v>1478</v>
      </c>
      <c r="F47" s="4" t="s">
        <v>1457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1479</v>
      </c>
      <c r="B48" s="3" t="s">
        <v>31</v>
      </c>
      <c r="C48" s="3">
        <v>24</v>
      </c>
      <c r="D48" s="3">
        <v>0</v>
      </c>
      <c r="E48" s="3" t="s">
        <v>1480</v>
      </c>
      <c r="F48" s="3" t="s">
        <v>1457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1481</v>
      </c>
      <c r="B49" s="4" t="s">
        <v>31</v>
      </c>
      <c r="C49" s="4">
        <v>25</v>
      </c>
      <c r="D49" s="4">
        <v>3</v>
      </c>
      <c r="E49" s="4" t="s">
        <v>153</v>
      </c>
      <c r="F49" s="4" t="s">
        <v>1457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1482</v>
      </c>
      <c r="B50" s="3" t="s">
        <v>31</v>
      </c>
      <c r="C50" s="3">
        <v>24</v>
      </c>
      <c r="D50" s="3">
        <v>3</v>
      </c>
      <c r="E50" s="3" t="s">
        <v>232</v>
      </c>
      <c r="F50" s="3" t="s">
        <v>1457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1483</v>
      </c>
      <c r="B51" s="4" t="s">
        <v>31</v>
      </c>
      <c r="C51" s="4">
        <v>25</v>
      </c>
      <c r="D51" s="4">
        <v>0</v>
      </c>
      <c r="E51" s="4" t="s">
        <v>155</v>
      </c>
      <c r="F51" s="4" t="s">
        <v>1457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52" spans="1:28" x14ac:dyDescent="0.2">
      <c r="A52" s="3" t="s">
        <v>1484</v>
      </c>
      <c r="B52" s="3" t="s">
        <v>31</v>
      </c>
      <c r="C52" s="3">
        <v>24</v>
      </c>
      <c r="D52" s="3">
        <v>2</v>
      </c>
      <c r="E52" s="3" t="s">
        <v>218</v>
      </c>
      <c r="F52" s="3" t="s">
        <v>1457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>$K52/$H52</f>
        <v>#DIV/0!</v>
      </c>
      <c r="AB52" s="3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1485</v>
      </c>
      <c r="B61" s="3" t="s">
        <v>43</v>
      </c>
      <c r="C61" s="3">
        <v>24</v>
      </c>
      <c r="D61" s="3">
        <v>2</v>
      </c>
      <c r="E61" s="3" t="s">
        <v>557</v>
      </c>
      <c r="F61" s="3" t="s">
        <v>1457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7">($J61*0.04)+($K61*4)+($L61*-2)+($N61*0.1)+($O61*6)+($Q61)+($R61*0.1)+($S61*6)+($T61*-2)</f>
        <v>0</v>
      </c>
      <c r="W61" s="3" t="e">
        <f t="shared" ref="W61:W71" ca="1" si="8">$P61/$H$33</f>
        <v>#DIV/0!</v>
      </c>
      <c r="X61" s="3" t="e">
        <f t="shared" ref="X61:X71" si="9">$N61/$M61</f>
        <v>#DIV/0!</v>
      </c>
      <c r="Y61" s="3" t="e">
        <f t="shared" ref="Y61:Y71" si="10">$R61/$Q61</f>
        <v>#DIV/0!</v>
      </c>
      <c r="Z61" s="3" t="e">
        <f t="shared" ref="Z61:Z71" si="11">$I61/$H61</f>
        <v>#DIV/0!</v>
      </c>
      <c r="AA61" s="3" t="e">
        <f>$K61/$H61</f>
        <v>#DIV/0!</v>
      </c>
      <c r="AB61" s="3">
        <f t="shared" ref="AB61:AB71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1486</v>
      </c>
      <c r="B62" s="4" t="s">
        <v>43</v>
      </c>
      <c r="C62" s="4">
        <v>26</v>
      </c>
      <c r="D62" s="4">
        <v>5</v>
      </c>
      <c r="E62" s="4" t="s">
        <v>362</v>
      </c>
      <c r="F62" s="4" t="s">
        <v>1457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1487</v>
      </c>
      <c r="B63" s="3" t="s">
        <v>43</v>
      </c>
      <c r="C63" s="3">
        <v>27</v>
      </c>
      <c r="D63" s="3">
        <v>2</v>
      </c>
      <c r="E63" s="3" t="s">
        <v>244</v>
      </c>
      <c r="F63" s="3" t="s">
        <v>1457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1488</v>
      </c>
      <c r="B64" s="4" t="s">
        <v>43</v>
      </c>
      <c r="C64" s="4">
        <v>23</v>
      </c>
      <c r="D64" s="4">
        <v>0</v>
      </c>
      <c r="E64" s="4" t="s">
        <v>795</v>
      </c>
      <c r="F64" s="4" t="s">
        <v>1457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1489</v>
      </c>
      <c r="B65" s="3" t="s">
        <v>43</v>
      </c>
      <c r="C65" s="3">
        <v>26</v>
      </c>
      <c r="D65" s="3">
        <v>3</v>
      </c>
      <c r="E65" s="3" t="s">
        <v>339</v>
      </c>
      <c r="F65" s="3" t="s">
        <v>1457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1490</v>
      </c>
      <c r="B66" s="4" t="s">
        <v>43</v>
      </c>
      <c r="C66" s="4">
        <v>25</v>
      </c>
      <c r="D66" s="4">
        <v>2</v>
      </c>
      <c r="E66" s="4" t="s">
        <v>209</v>
      </c>
      <c r="F66" s="4" t="s">
        <v>1457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1491</v>
      </c>
      <c r="B67" s="3" t="s">
        <v>43</v>
      </c>
      <c r="C67" s="3">
        <v>27</v>
      </c>
      <c r="D67" s="3">
        <v>5</v>
      </c>
      <c r="E67" s="3" t="s">
        <v>138</v>
      </c>
      <c r="F67" s="3" t="s">
        <v>1457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1492</v>
      </c>
      <c r="B68" s="4" t="s">
        <v>43</v>
      </c>
      <c r="C68" s="4">
        <v>26</v>
      </c>
      <c r="D68" s="4">
        <v>5</v>
      </c>
      <c r="E68" s="4" t="s">
        <v>1493</v>
      </c>
      <c r="F68" s="4" t="s">
        <v>1457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1494</v>
      </c>
      <c r="B69" s="3" t="s">
        <v>43</v>
      </c>
      <c r="C69" s="3">
        <v>22</v>
      </c>
      <c r="D69" s="3">
        <v>2</v>
      </c>
      <c r="E69" s="3" t="s">
        <v>173</v>
      </c>
      <c r="F69" s="3" t="s">
        <v>1457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1495</v>
      </c>
      <c r="B70" s="4" t="s">
        <v>43</v>
      </c>
      <c r="C70" s="4">
        <v>29</v>
      </c>
      <c r="D70" s="4">
        <v>10</v>
      </c>
      <c r="E70" s="4" t="s">
        <v>339</v>
      </c>
      <c r="F70" s="4" t="s">
        <v>1457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1496</v>
      </c>
      <c r="B71" s="3" t="s">
        <v>43</v>
      </c>
      <c r="C71" s="3">
        <v>24</v>
      </c>
      <c r="D71" s="3">
        <v>2</v>
      </c>
      <c r="E71" s="3" t="s">
        <v>744</v>
      </c>
      <c r="F71" s="3" t="s">
        <v>1457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1497</v>
      </c>
      <c r="B76" s="3" t="s">
        <v>38</v>
      </c>
      <c r="C76" s="3">
        <v>24</v>
      </c>
      <c r="D76" s="3">
        <v>3</v>
      </c>
      <c r="E76" s="3" t="s">
        <v>339</v>
      </c>
      <c r="F76" s="3" t="s">
        <v>1457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$K76/$H76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1498</v>
      </c>
      <c r="B77" s="4" t="s">
        <v>38</v>
      </c>
      <c r="C77" s="4">
        <v>26</v>
      </c>
      <c r="D77" s="4">
        <v>5</v>
      </c>
      <c r="E77" s="4" t="s">
        <v>105</v>
      </c>
      <c r="F77" s="4" t="s">
        <v>1457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$K77/$H77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">
      <c r="A78" s="3" t="s">
        <v>1499</v>
      </c>
      <c r="B78" s="3" t="s">
        <v>38</v>
      </c>
      <c r="C78" s="3">
        <v>24</v>
      </c>
      <c r="D78" s="3">
        <v>2</v>
      </c>
      <c r="E78" s="3" t="s">
        <v>744</v>
      </c>
      <c r="F78" s="3" t="s">
        <v>1457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$K78/$H78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">
      <c r="A79" s="4" t="s">
        <v>1500</v>
      </c>
      <c r="B79" s="4" t="s">
        <v>38</v>
      </c>
      <c r="C79" s="4">
        <v>21</v>
      </c>
      <c r="D79" s="4">
        <v>0</v>
      </c>
      <c r="E79" s="4" t="s">
        <v>173</v>
      </c>
      <c r="F79" s="4" t="s">
        <v>1457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$K79/$H79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">
      <c r="A80" s="3" t="s">
        <v>1501</v>
      </c>
      <c r="B80" s="3" t="s">
        <v>38</v>
      </c>
      <c r="C80" s="3">
        <v>25</v>
      </c>
      <c r="D80" s="3">
        <v>1</v>
      </c>
      <c r="E80" s="3" t="s">
        <v>1045</v>
      </c>
      <c r="F80" s="3" t="s">
        <v>1457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$K80/$H80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AB80"/>
  <sheetViews>
    <sheetView zoomScale="90" zoomScaleNormal="90" workbookViewId="0">
      <selection activeCell="A21" sqref="A21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1502</v>
      </c>
      <c r="B2" s="3" t="s">
        <v>1503</v>
      </c>
      <c r="C2" s="3" t="s">
        <v>26</v>
      </c>
      <c r="D2" s="3">
        <v>17</v>
      </c>
      <c r="E2" s="3">
        <v>572</v>
      </c>
      <c r="F2" s="3">
        <v>399</v>
      </c>
      <c r="G2" s="3">
        <v>4282</v>
      </c>
      <c r="H2" s="3">
        <v>30</v>
      </c>
      <c r="I2" s="3">
        <v>11</v>
      </c>
      <c r="J2" s="3">
        <v>68</v>
      </c>
      <c r="K2" s="3">
        <v>366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4</v>
      </c>
      <c r="R2" s="3">
        <v>0</v>
      </c>
      <c r="S2" s="3">
        <v>303.88</v>
      </c>
      <c r="T2" s="3">
        <v>0</v>
      </c>
      <c r="U2" s="3">
        <v>5.3823529411764701</v>
      </c>
      <c r="V2" s="3"/>
      <c r="W2" s="3">
        <v>0.69755244755244805</v>
      </c>
      <c r="X2" s="3">
        <v>5.2447552447552399E-2</v>
      </c>
      <c r="Y2" s="3">
        <f t="shared" ref="Y2:Y20" si="0">($G2*Cp_yd)+($H2*Cp_td)+($I2*Cint)+($J2*Ccar)+($K2*Cr_yd)+($L2*Cr_td)+($N2*Crec)+($O2*Crec_yd)+($P2*Crec_td)+($Q2*Cfmb)+($R2*Ctp_c)</f>
        <v>303.88</v>
      </c>
    </row>
    <row r="3" spans="1:25" x14ac:dyDescent="0.2">
      <c r="A3" s="4" t="s">
        <v>1504</v>
      </c>
      <c r="B3" s="4" t="s">
        <v>1503</v>
      </c>
      <c r="C3" s="4" t="s">
        <v>31</v>
      </c>
      <c r="D3" s="4">
        <v>11</v>
      </c>
      <c r="E3" s="4">
        <v>1</v>
      </c>
      <c r="F3" s="4">
        <v>0</v>
      </c>
      <c r="G3" s="4">
        <v>0</v>
      </c>
      <c r="H3" s="4">
        <v>0</v>
      </c>
      <c r="I3" s="4">
        <v>1</v>
      </c>
      <c r="J3" s="4">
        <v>35</v>
      </c>
      <c r="K3" s="4">
        <v>186</v>
      </c>
      <c r="L3" s="4">
        <v>0</v>
      </c>
      <c r="M3" s="4">
        <v>19</v>
      </c>
      <c r="N3" s="4">
        <v>17</v>
      </c>
      <c r="O3" s="4">
        <v>126</v>
      </c>
      <c r="P3" s="4">
        <v>0</v>
      </c>
      <c r="Q3" s="4">
        <v>0</v>
      </c>
      <c r="R3" s="4">
        <v>0</v>
      </c>
      <c r="S3" s="4">
        <v>46.2</v>
      </c>
      <c r="T3" s="4">
        <v>3.32749562171629E-2</v>
      </c>
      <c r="U3" s="4">
        <v>5.3142857142857096</v>
      </c>
      <c r="V3" s="4">
        <v>7.4117647058823497</v>
      </c>
      <c r="W3" s="4">
        <v>0</v>
      </c>
      <c r="X3" s="4">
        <v>0</v>
      </c>
      <c r="Y3" s="4">
        <f t="shared" si="0"/>
        <v>46.2</v>
      </c>
    </row>
    <row r="4" spans="1:25" x14ac:dyDescent="0.2">
      <c r="A4" s="3" t="s">
        <v>1505</v>
      </c>
      <c r="B4" s="3" t="s">
        <v>1503</v>
      </c>
      <c r="C4" s="3" t="s">
        <v>31</v>
      </c>
      <c r="D4" s="3">
        <v>1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3</v>
      </c>
      <c r="K4" s="3">
        <v>4</v>
      </c>
      <c r="L4" s="3">
        <v>0</v>
      </c>
      <c r="M4" s="3">
        <v>1</v>
      </c>
      <c r="N4" s="3">
        <v>1</v>
      </c>
      <c r="O4" s="3">
        <v>3</v>
      </c>
      <c r="P4" s="3">
        <v>0</v>
      </c>
      <c r="Q4" s="3">
        <v>0</v>
      </c>
      <c r="R4" s="3">
        <v>0</v>
      </c>
      <c r="S4" s="3">
        <v>1.7</v>
      </c>
      <c r="T4" s="3">
        <v>1.7513134851138399E-3</v>
      </c>
      <c r="U4" s="3">
        <v>1.3333333333333299</v>
      </c>
      <c r="V4" s="3">
        <v>3</v>
      </c>
      <c r="W4" s="3"/>
      <c r="X4" s="3"/>
      <c r="Y4" s="3">
        <f t="shared" si="0"/>
        <v>1.7</v>
      </c>
    </row>
    <row r="5" spans="1:25" x14ac:dyDescent="0.2">
      <c r="A5" s="4" t="s">
        <v>1506</v>
      </c>
      <c r="B5" s="4" t="s">
        <v>1503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228</v>
      </c>
      <c r="K5" s="4">
        <v>1050</v>
      </c>
      <c r="L5" s="4">
        <v>9</v>
      </c>
      <c r="M5" s="4">
        <v>35</v>
      </c>
      <c r="N5" s="4">
        <v>27</v>
      </c>
      <c r="O5" s="4">
        <v>165</v>
      </c>
      <c r="P5" s="4">
        <v>0</v>
      </c>
      <c r="Q5" s="4">
        <v>0</v>
      </c>
      <c r="R5" s="4">
        <v>0</v>
      </c>
      <c r="S5" s="4">
        <v>202.5</v>
      </c>
      <c r="T5" s="4">
        <v>6.1295971978984197E-2</v>
      </c>
      <c r="U5" s="4">
        <v>4.6052631578947398</v>
      </c>
      <c r="V5" s="4">
        <v>6.1111111111111098</v>
      </c>
      <c r="W5" s="4"/>
      <c r="X5" s="4"/>
      <c r="Y5" s="4">
        <f t="shared" si="0"/>
        <v>202.5</v>
      </c>
    </row>
    <row r="6" spans="1:25" x14ac:dyDescent="0.2">
      <c r="A6" s="3" t="s">
        <v>1507</v>
      </c>
      <c r="B6" s="3" t="s">
        <v>1503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57</v>
      </c>
      <c r="K6" s="3">
        <v>346</v>
      </c>
      <c r="L6" s="3">
        <v>2</v>
      </c>
      <c r="M6" s="3">
        <v>5</v>
      </c>
      <c r="N6" s="3">
        <v>4</v>
      </c>
      <c r="O6" s="3">
        <v>16</v>
      </c>
      <c r="P6" s="3">
        <v>0</v>
      </c>
      <c r="Q6" s="3">
        <v>0</v>
      </c>
      <c r="R6" s="3">
        <v>0</v>
      </c>
      <c r="S6" s="3">
        <v>52.2</v>
      </c>
      <c r="T6" s="3">
        <v>8.7565674255691804E-3</v>
      </c>
      <c r="U6" s="3">
        <v>6.0701754385964897</v>
      </c>
      <c r="V6" s="3">
        <v>4</v>
      </c>
      <c r="W6" s="3"/>
      <c r="X6" s="3"/>
      <c r="Y6" s="3">
        <f t="shared" si="0"/>
        <v>52.2</v>
      </c>
    </row>
    <row r="7" spans="1:25" x14ac:dyDescent="0.2">
      <c r="A7" s="4" t="s">
        <v>1508</v>
      </c>
      <c r="B7" s="4" t="s">
        <v>1503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19</v>
      </c>
      <c r="K7" s="4">
        <v>74</v>
      </c>
      <c r="L7" s="4">
        <v>0</v>
      </c>
      <c r="M7" s="4">
        <v>18</v>
      </c>
      <c r="N7" s="4">
        <v>16</v>
      </c>
      <c r="O7" s="4">
        <v>157</v>
      </c>
      <c r="P7" s="4">
        <v>1</v>
      </c>
      <c r="Q7" s="4">
        <v>0</v>
      </c>
      <c r="R7" s="4">
        <v>0</v>
      </c>
      <c r="S7" s="4">
        <v>43.1</v>
      </c>
      <c r="T7" s="4">
        <v>3.1523642732049002E-2</v>
      </c>
      <c r="U7" s="4">
        <v>3.8947368421052602</v>
      </c>
      <c r="V7" s="4">
        <v>9.8125</v>
      </c>
      <c r="W7" s="4"/>
      <c r="X7" s="4"/>
      <c r="Y7" s="4">
        <f t="shared" si="0"/>
        <v>45.1</v>
      </c>
    </row>
    <row r="8" spans="1:25" x14ac:dyDescent="0.2">
      <c r="A8" s="3" t="s">
        <v>879</v>
      </c>
      <c r="B8" s="3" t="s">
        <v>1503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8</v>
      </c>
      <c r="K8" s="3">
        <v>16</v>
      </c>
      <c r="L8" s="3">
        <v>0</v>
      </c>
      <c r="M8" s="3">
        <v>6</v>
      </c>
      <c r="N8" s="3">
        <v>3</v>
      </c>
      <c r="O8" s="3">
        <v>18</v>
      </c>
      <c r="P8" s="3">
        <v>0</v>
      </c>
      <c r="Q8" s="3">
        <v>0</v>
      </c>
      <c r="R8" s="3">
        <v>0</v>
      </c>
      <c r="S8" s="3">
        <v>6.4</v>
      </c>
      <c r="T8" s="3">
        <v>1.0507880910683E-2</v>
      </c>
      <c r="U8" s="3">
        <v>2</v>
      </c>
      <c r="V8" s="3">
        <v>6</v>
      </c>
      <c r="W8" s="3"/>
      <c r="X8" s="3"/>
      <c r="Y8" s="3">
        <f t="shared" si="0"/>
        <v>6.3999999999999995</v>
      </c>
    </row>
    <row r="9" spans="1:25" x14ac:dyDescent="0.2">
      <c r="A9" s="4" t="s">
        <v>1509</v>
      </c>
      <c r="B9" s="4" t="s">
        <v>1503</v>
      </c>
      <c r="C9" s="4" t="s">
        <v>38</v>
      </c>
      <c r="D9" s="4">
        <v>14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34</v>
      </c>
      <c r="N9" s="4">
        <v>25</v>
      </c>
      <c r="O9" s="4">
        <v>322</v>
      </c>
      <c r="P9" s="4">
        <v>2</v>
      </c>
      <c r="Q9" s="4">
        <v>0</v>
      </c>
      <c r="R9" s="4">
        <v>0</v>
      </c>
      <c r="S9" s="4">
        <v>69.2</v>
      </c>
      <c r="T9" s="4">
        <v>5.9544658493870403E-2</v>
      </c>
      <c r="U9" s="4"/>
      <c r="V9" s="4">
        <v>12.88</v>
      </c>
      <c r="W9" s="4"/>
      <c r="X9" s="4"/>
      <c r="Y9" s="4">
        <f t="shared" si="0"/>
        <v>69.2</v>
      </c>
    </row>
    <row r="10" spans="1:25" x14ac:dyDescent="0.2">
      <c r="A10" s="3" t="s">
        <v>1510</v>
      </c>
      <c r="B10" s="3" t="s">
        <v>1503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63</v>
      </c>
      <c r="N10" s="3">
        <v>50</v>
      </c>
      <c r="O10" s="3">
        <v>486</v>
      </c>
      <c r="P10" s="3">
        <v>4</v>
      </c>
      <c r="Q10" s="3">
        <v>0</v>
      </c>
      <c r="R10" s="3">
        <v>0</v>
      </c>
      <c r="S10" s="3">
        <v>122.6</v>
      </c>
      <c r="T10" s="3">
        <v>0.110332749562172</v>
      </c>
      <c r="U10" s="3"/>
      <c r="V10" s="3">
        <v>9.7200000000000006</v>
      </c>
      <c r="W10" s="3"/>
      <c r="X10" s="3"/>
      <c r="Y10" s="3">
        <f t="shared" si="0"/>
        <v>122.6</v>
      </c>
    </row>
    <row r="11" spans="1:25" x14ac:dyDescent="0.2">
      <c r="A11" s="4" t="s">
        <v>1511</v>
      </c>
      <c r="B11" s="4" t="s">
        <v>1503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1</v>
      </c>
      <c r="O11" s="4">
        <v>7</v>
      </c>
      <c r="P11" s="4">
        <v>1</v>
      </c>
      <c r="Q11" s="4">
        <v>0</v>
      </c>
      <c r="R11" s="4">
        <v>0</v>
      </c>
      <c r="S11" s="4">
        <v>7.7</v>
      </c>
      <c r="T11" s="4">
        <v>1.7513134851138399E-3</v>
      </c>
      <c r="U11" s="4"/>
      <c r="V11" s="4">
        <v>7</v>
      </c>
      <c r="W11" s="4"/>
      <c r="X11" s="4"/>
      <c r="Y11" s="4">
        <f t="shared" si="0"/>
        <v>7.7</v>
      </c>
    </row>
    <row r="12" spans="1:25" x14ac:dyDescent="0.2">
      <c r="A12" s="3" t="s">
        <v>1512</v>
      </c>
      <c r="B12" s="3" t="s">
        <v>1503</v>
      </c>
      <c r="C12" s="3" t="s">
        <v>38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38</v>
      </c>
      <c r="N12" s="3">
        <v>34</v>
      </c>
      <c r="O12" s="3">
        <v>349</v>
      </c>
      <c r="P12" s="3">
        <v>3</v>
      </c>
      <c r="Q12" s="3">
        <v>0</v>
      </c>
      <c r="R12" s="3">
        <v>0</v>
      </c>
      <c r="S12" s="3">
        <v>86.9</v>
      </c>
      <c r="T12" s="3">
        <v>6.6549912434325703E-2</v>
      </c>
      <c r="U12" s="3"/>
      <c r="V12" s="3">
        <v>10.264705882352899</v>
      </c>
      <c r="W12" s="3"/>
      <c r="X12" s="3"/>
      <c r="Y12" s="3">
        <f t="shared" si="0"/>
        <v>86.9</v>
      </c>
    </row>
    <row r="13" spans="1:25" x14ac:dyDescent="0.2">
      <c r="A13" s="4" t="s">
        <v>1513</v>
      </c>
      <c r="B13" s="4" t="s">
        <v>1503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4</v>
      </c>
      <c r="N13" s="4">
        <v>2</v>
      </c>
      <c r="O13" s="4">
        <v>21</v>
      </c>
      <c r="P13" s="4">
        <v>0</v>
      </c>
      <c r="Q13" s="4">
        <v>0</v>
      </c>
      <c r="R13" s="4">
        <v>0</v>
      </c>
      <c r="S13" s="4">
        <v>4.0999999999999996</v>
      </c>
      <c r="T13" s="4">
        <v>7.0052539404553398E-3</v>
      </c>
      <c r="U13" s="4"/>
      <c r="V13" s="4">
        <v>10.5</v>
      </c>
      <c r="W13" s="4"/>
      <c r="X13" s="4"/>
      <c r="Y13" s="4">
        <f t="shared" si="0"/>
        <v>4.0999999999999996</v>
      </c>
    </row>
    <row r="14" spans="1:25" x14ac:dyDescent="0.2">
      <c r="A14" s="3" t="s">
        <v>1514</v>
      </c>
      <c r="B14" s="3" t="s">
        <v>1503</v>
      </c>
      <c r="C14" s="3" t="s">
        <v>43</v>
      </c>
      <c r="D14" s="3">
        <v>8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10</v>
      </c>
      <c r="L14" s="3">
        <v>0</v>
      </c>
      <c r="M14" s="3">
        <v>13</v>
      </c>
      <c r="N14" s="3">
        <v>7</v>
      </c>
      <c r="O14" s="3">
        <v>58</v>
      </c>
      <c r="P14" s="3">
        <v>0</v>
      </c>
      <c r="Q14" s="3">
        <v>0</v>
      </c>
      <c r="R14" s="3">
        <v>0</v>
      </c>
      <c r="S14" s="3">
        <v>13.8</v>
      </c>
      <c r="T14" s="3">
        <v>2.2767075306479902E-2</v>
      </c>
      <c r="U14" s="3">
        <v>5</v>
      </c>
      <c r="V14" s="3">
        <v>8.28571428571429</v>
      </c>
      <c r="W14" s="3"/>
      <c r="X14" s="3"/>
      <c r="Y14" s="3">
        <f t="shared" si="0"/>
        <v>13.8</v>
      </c>
    </row>
    <row r="15" spans="1:25" x14ac:dyDescent="0.2">
      <c r="A15" s="4" t="s">
        <v>1515</v>
      </c>
      <c r="B15" s="4" t="s">
        <v>1503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141</v>
      </c>
      <c r="N15" s="4">
        <v>90</v>
      </c>
      <c r="O15" s="4">
        <v>1048</v>
      </c>
      <c r="P15" s="4">
        <v>6</v>
      </c>
      <c r="Q15" s="4">
        <v>0</v>
      </c>
      <c r="R15" s="4">
        <v>0</v>
      </c>
      <c r="S15" s="4">
        <v>226.8</v>
      </c>
      <c r="T15" s="4">
        <v>0.24693520140105099</v>
      </c>
      <c r="U15" s="4"/>
      <c r="V15" s="4">
        <v>11.6444444444444</v>
      </c>
      <c r="W15" s="4"/>
      <c r="X15" s="4"/>
      <c r="Y15" s="4">
        <f t="shared" si="0"/>
        <v>230.8</v>
      </c>
    </row>
    <row r="16" spans="1:25" x14ac:dyDescent="0.2">
      <c r="A16" s="3" t="s">
        <v>1516</v>
      </c>
      <c r="B16" s="3" t="s">
        <v>1503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2</v>
      </c>
      <c r="N16" s="3">
        <v>2</v>
      </c>
      <c r="O16" s="3">
        <v>24</v>
      </c>
      <c r="P16" s="3">
        <v>0</v>
      </c>
      <c r="Q16" s="3">
        <v>0</v>
      </c>
      <c r="R16" s="3">
        <v>0</v>
      </c>
      <c r="S16" s="3">
        <v>4.4000000000000004</v>
      </c>
      <c r="T16" s="3">
        <v>3.5026269702276699E-3</v>
      </c>
      <c r="U16" s="3"/>
      <c r="V16" s="3">
        <v>12</v>
      </c>
      <c r="W16" s="3"/>
      <c r="X16" s="3"/>
      <c r="Y16" s="3">
        <f t="shared" si="0"/>
        <v>4.4000000000000004</v>
      </c>
    </row>
    <row r="17" spans="1:25" x14ac:dyDescent="0.2">
      <c r="A17" s="4" t="s">
        <v>1517</v>
      </c>
      <c r="B17" s="4" t="s">
        <v>1503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10</v>
      </c>
      <c r="N17" s="4">
        <v>6</v>
      </c>
      <c r="O17" s="4">
        <v>42</v>
      </c>
      <c r="P17" s="4">
        <v>0</v>
      </c>
      <c r="Q17" s="4">
        <v>0</v>
      </c>
      <c r="R17" s="4">
        <v>0</v>
      </c>
      <c r="S17" s="4">
        <v>10.199999999999999</v>
      </c>
      <c r="T17" s="4">
        <v>1.7513134851138399E-2</v>
      </c>
      <c r="U17" s="4"/>
      <c r="V17" s="4">
        <v>7</v>
      </c>
      <c r="W17" s="4"/>
      <c r="X17" s="4"/>
      <c r="Y17" s="4">
        <f t="shared" si="0"/>
        <v>10.199999999999999</v>
      </c>
    </row>
    <row r="18" spans="1:25" x14ac:dyDescent="0.2">
      <c r="A18" s="3" t="s">
        <v>1518</v>
      </c>
      <c r="B18" s="3" t="s">
        <v>1503</v>
      </c>
      <c r="C18" s="3" t="s">
        <v>43</v>
      </c>
      <c r="D18" s="3"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5</v>
      </c>
      <c r="L18" s="3">
        <v>0</v>
      </c>
      <c r="M18" s="3">
        <v>42</v>
      </c>
      <c r="N18" s="3">
        <v>27</v>
      </c>
      <c r="O18" s="3">
        <v>387</v>
      </c>
      <c r="P18" s="3">
        <v>4</v>
      </c>
      <c r="Q18" s="3">
        <v>0</v>
      </c>
      <c r="R18" s="3">
        <v>0</v>
      </c>
      <c r="S18" s="3">
        <v>90.2</v>
      </c>
      <c r="T18" s="3">
        <v>7.35551663747811E-2</v>
      </c>
      <c r="U18" s="3">
        <v>2.5</v>
      </c>
      <c r="V18" s="3">
        <v>14.3333333333333</v>
      </c>
      <c r="W18" s="3"/>
      <c r="X18" s="3"/>
      <c r="Y18" s="3">
        <f t="shared" si="0"/>
        <v>90.2</v>
      </c>
    </row>
    <row r="19" spans="1:25" x14ac:dyDescent="0.2">
      <c r="A19" s="4" t="s">
        <v>1519</v>
      </c>
      <c r="B19" s="4" t="s">
        <v>1503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4</v>
      </c>
      <c r="N19" s="4">
        <v>3</v>
      </c>
      <c r="O19" s="4">
        <v>20</v>
      </c>
      <c r="P19" s="4">
        <v>0</v>
      </c>
      <c r="Q19" s="4">
        <v>0</v>
      </c>
      <c r="R19" s="4">
        <v>0</v>
      </c>
      <c r="S19" s="4">
        <v>5</v>
      </c>
      <c r="T19" s="4">
        <v>7.0052539404553398E-3</v>
      </c>
      <c r="U19" s="4"/>
      <c r="V19" s="4">
        <v>6.6666666666666696</v>
      </c>
      <c r="W19" s="4"/>
      <c r="X19" s="4"/>
      <c r="Y19" s="4">
        <f t="shared" si="0"/>
        <v>5</v>
      </c>
    </row>
    <row r="20" spans="1:25" x14ac:dyDescent="0.2">
      <c r="A20" s="3" t="s">
        <v>1520</v>
      </c>
      <c r="B20" s="3" t="s">
        <v>1503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117</v>
      </c>
      <c r="N20" s="3">
        <v>84</v>
      </c>
      <c r="O20" s="3">
        <v>1033</v>
      </c>
      <c r="P20" s="3">
        <v>9</v>
      </c>
      <c r="Q20" s="3">
        <v>0</v>
      </c>
      <c r="R20" s="3">
        <v>0</v>
      </c>
      <c r="S20" s="3">
        <v>239.3</v>
      </c>
      <c r="T20" s="3">
        <v>0.204903677758319</v>
      </c>
      <c r="U20" s="3"/>
      <c r="V20" s="3">
        <v>12.297619047618999</v>
      </c>
      <c r="W20" s="3"/>
      <c r="X20" s="3"/>
      <c r="Y20" s="3">
        <f t="shared" si="0"/>
        <v>241.3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1503</v>
      </c>
      <c r="B31" s="3">
        <v>6339</v>
      </c>
      <c r="C31" s="3">
        <v>4282</v>
      </c>
      <c r="D31" s="3">
        <v>422</v>
      </c>
      <c r="E31" s="3">
        <v>2057</v>
      </c>
      <c r="F31" s="3">
        <v>12</v>
      </c>
      <c r="G31" s="3">
        <v>1536.18</v>
      </c>
      <c r="H31" s="3">
        <v>573</v>
      </c>
      <c r="I31" s="3">
        <v>0.69633507853403098</v>
      </c>
      <c r="J31" s="3">
        <v>30</v>
      </c>
      <c r="K31" s="3">
        <v>12</v>
      </c>
      <c r="L31" s="3">
        <v>4</v>
      </c>
      <c r="M31" s="3">
        <f ca="1">SUM(INDIRECT(A33 &amp; "_Table1[[#All],[f_custom]]"))</f>
        <v>1544.1800000000003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SEA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1521</v>
      </c>
      <c r="B36" s="3" t="s">
        <v>26</v>
      </c>
      <c r="C36" s="3">
        <v>23</v>
      </c>
      <c r="D36" s="3">
        <v>0</v>
      </c>
      <c r="E36" s="3" t="s">
        <v>220</v>
      </c>
      <c r="F36" s="3" t="s">
        <v>1503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1522</v>
      </c>
      <c r="B37" s="4" t="s">
        <v>26</v>
      </c>
      <c r="C37" s="4">
        <v>26</v>
      </c>
      <c r="D37" s="4">
        <v>5</v>
      </c>
      <c r="E37" s="4" t="s">
        <v>613</v>
      </c>
      <c r="F37" s="4" t="s">
        <v>1503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1523</v>
      </c>
      <c r="B38" s="3" t="s">
        <v>26</v>
      </c>
      <c r="C38" s="3">
        <v>32</v>
      </c>
      <c r="D38" s="3">
        <v>11</v>
      </c>
      <c r="E38" s="3" t="s">
        <v>344</v>
      </c>
      <c r="F38" s="3" t="s">
        <v>1503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1524</v>
      </c>
      <c r="B46" s="3" t="s">
        <v>31</v>
      </c>
      <c r="C46" s="3">
        <v>22</v>
      </c>
      <c r="D46" s="3">
        <v>0</v>
      </c>
      <c r="E46" s="3" t="s">
        <v>418</v>
      </c>
      <c r="F46" s="3" t="s">
        <v>1503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>$K46/$H46</f>
        <v>#DIV/0!</v>
      </c>
      <c r="AB46" s="3">
        <f t="shared" ref="AB46:AB52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1525</v>
      </c>
      <c r="B47" s="4" t="s">
        <v>31</v>
      </c>
      <c r="C47" s="4">
        <v>24</v>
      </c>
      <c r="D47" s="4">
        <v>4</v>
      </c>
      <c r="E47" s="4" t="s">
        <v>397</v>
      </c>
      <c r="F47" s="4" t="s">
        <v>1503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1526</v>
      </c>
      <c r="B48" s="3" t="s">
        <v>31</v>
      </c>
      <c r="C48" s="3">
        <v>25</v>
      </c>
      <c r="D48" s="3">
        <v>1</v>
      </c>
      <c r="E48" s="3" t="s">
        <v>138</v>
      </c>
      <c r="F48" s="3" t="s">
        <v>1503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1527</v>
      </c>
      <c r="B49" s="4" t="s">
        <v>31</v>
      </c>
      <c r="C49" s="4">
        <v>23</v>
      </c>
      <c r="D49" s="4">
        <v>0</v>
      </c>
      <c r="E49" s="4" t="s">
        <v>173</v>
      </c>
      <c r="F49" s="4" t="s">
        <v>1503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1528</v>
      </c>
      <c r="B50" s="3" t="s">
        <v>31</v>
      </c>
      <c r="C50" s="3">
        <v>25</v>
      </c>
      <c r="D50" s="3">
        <v>0</v>
      </c>
      <c r="E50" s="3" t="s">
        <v>86</v>
      </c>
      <c r="F50" s="3" t="s">
        <v>1503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1529</v>
      </c>
      <c r="B51" s="4" t="s">
        <v>31</v>
      </c>
      <c r="C51" s="4">
        <v>23</v>
      </c>
      <c r="D51" s="4">
        <v>1</v>
      </c>
      <c r="E51" s="4" t="s">
        <v>511</v>
      </c>
      <c r="F51" s="4" t="s">
        <v>1503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52" spans="1:28" x14ac:dyDescent="0.2">
      <c r="A52" s="3" t="s">
        <v>1530</v>
      </c>
      <c r="B52" s="3" t="s">
        <v>31</v>
      </c>
      <c r="C52" s="3">
        <v>22</v>
      </c>
      <c r="D52" s="3">
        <v>2</v>
      </c>
      <c r="E52" s="3" t="s">
        <v>744</v>
      </c>
      <c r="F52" s="3" t="s">
        <v>1503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>$K52/$H52</f>
        <v>#DIV/0!</v>
      </c>
      <c r="AB52" s="3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1531</v>
      </c>
      <c r="B61" s="3" t="s">
        <v>43</v>
      </c>
      <c r="C61" s="3">
        <v>25</v>
      </c>
      <c r="D61" s="3">
        <v>0</v>
      </c>
      <c r="E61" s="3" t="s">
        <v>418</v>
      </c>
      <c r="F61" s="3" t="s">
        <v>1503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7">($J61*0.04)+($K61*4)+($L61*-2)+($N61*0.1)+($O61*6)+($Q61)+($R61*0.1)+($S61*6)+($T61*-2)</f>
        <v>0</v>
      </c>
      <c r="W61" s="3" t="e">
        <f t="shared" ref="W61:W73" ca="1" si="8">$P61/$H$33</f>
        <v>#DIV/0!</v>
      </c>
      <c r="X61" s="3" t="e">
        <f t="shared" ref="X61:X73" si="9">$N61/$M61</f>
        <v>#DIV/0!</v>
      </c>
      <c r="Y61" s="3" t="e">
        <f t="shared" ref="Y61:Y73" si="10">$R61/$Q61</f>
        <v>#DIV/0!</v>
      </c>
      <c r="Z61" s="3" t="e">
        <f t="shared" ref="Z61:Z73" si="11">$I61/$H61</f>
        <v>#DIV/0!</v>
      </c>
      <c r="AA61" s="3" t="e">
        <f>$K61/$H61</f>
        <v>#DIV/0!</v>
      </c>
      <c r="AB61" s="3">
        <f t="shared" ref="AB61:AB73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1532</v>
      </c>
      <c r="B62" s="4" t="s">
        <v>43</v>
      </c>
      <c r="C62" s="4">
        <v>26</v>
      </c>
      <c r="D62" s="4">
        <v>3</v>
      </c>
      <c r="E62" s="4" t="s">
        <v>357</v>
      </c>
      <c r="F62" s="4" t="s">
        <v>1503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1533</v>
      </c>
      <c r="B63" s="3" t="s">
        <v>43</v>
      </c>
      <c r="C63" s="3">
        <v>25</v>
      </c>
      <c r="D63" s="3">
        <v>0</v>
      </c>
      <c r="E63" s="3" t="s">
        <v>1534</v>
      </c>
      <c r="F63" s="3" t="s">
        <v>1503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1535</v>
      </c>
      <c r="B64" s="4" t="s">
        <v>43</v>
      </c>
      <c r="C64" s="4">
        <v>25</v>
      </c>
      <c r="D64" s="4">
        <v>1</v>
      </c>
      <c r="E64" s="4" t="s">
        <v>753</v>
      </c>
      <c r="F64" s="4" t="s">
        <v>1503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1536</v>
      </c>
      <c r="B65" s="3" t="s">
        <v>43</v>
      </c>
      <c r="C65" s="3">
        <v>24</v>
      </c>
      <c r="D65" s="3">
        <v>0</v>
      </c>
      <c r="E65" s="3" t="s">
        <v>467</v>
      </c>
      <c r="F65" s="3" t="s">
        <v>1503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1537</v>
      </c>
      <c r="B66" s="4" t="s">
        <v>43</v>
      </c>
      <c r="C66" s="4">
        <v>24</v>
      </c>
      <c r="D66" s="4">
        <v>0</v>
      </c>
      <c r="E66" s="4" t="s">
        <v>111</v>
      </c>
      <c r="F66" s="4" t="s">
        <v>1503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1538</v>
      </c>
      <c r="B67" s="3" t="s">
        <v>43</v>
      </c>
      <c r="C67" s="3">
        <v>30</v>
      </c>
      <c r="D67" s="3">
        <v>9</v>
      </c>
      <c r="E67" s="3" t="s">
        <v>559</v>
      </c>
      <c r="F67" s="3" t="s">
        <v>1503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1539</v>
      </c>
      <c r="B68" s="4" t="s">
        <v>43</v>
      </c>
      <c r="C68" s="4"/>
      <c r="D68" s="4">
        <v>0</v>
      </c>
      <c r="E68" s="4" t="s">
        <v>806</v>
      </c>
      <c r="F68" s="4" t="s">
        <v>1503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1540</v>
      </c>
      <c r="B69" s="3" t="s">
        <v>43</v>
      </c>
      <c r="C69" s="3">
        <v>25</v>
      </c>
      <c r="D69" s="3">
        <v>5</v>
      </c>
      <c r="E69" s="3" t="s">
        <v>240</v>
      </c>
      <c r="F69" s="3" t="s">
        <v>1503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1541</v>
      </c>
      <c r="B70" s="4" t="s">
        <v>43</v>
      </c>
      <c r="C70" s="4">
        <v>21</v>
      </c>
      <c r="D70" s="4">
        <v>0</v>
      </c>
      <c r="E70" s="4" t="s">
        <v>213</v>
      </c>
      <c r="F70" s="4" t="s">
        <v>1503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1542</v>
      </c>
      <c r="B71" s="3" t="s">
        <v>43</v>
      </c>
      <c r="C71" s="3">
        <v>27</v>
      </c>
      <c r="D71" s="3">
        <v>2</v>
      </c>
      <c r="E71" s="3" t="s">
        <v>138</v>
      </c>
      <c r="F71" s="3" t="s">
        <v>1503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1543</v>
      </c>
      <c r="B72" s="4" t="s">
        <v>43</v>
      </c>
      <c r="C72" s="4">
        <v>26</v>
      </c>
      <c r="D72" s="4">
        <v>1</v>
      </c>
      <c r="E72" s="4" t="s">
        <v>294</v>
      </c>
      <c r="F72" s="4" t="s">
        <v>1503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3" spans="1:28" x14ac:dyDescent="0.2">
      <c r="A73" s="3" t="s">
        <v>1544</v>
      </c>
      <c r="B73" s="3" t="s">
        <v>43</v>
      </c>
      <c r="C73" s="3">
        <v>24</v>
      </c>
      <c r="D73" s="3">
        <v>2</v>
      </c>
      <c r="E73" s="3" t="s">
        <v>1545</v>
      </c>
      <c r="F73" s="3" t="s">
        <v>1503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7"/>
        <v>0</v>
      </c>
      <c r="W73" s="3" t="e">
        <f t="shared" ca="1" si="8"/>
        <v>#DIV/0!</v>
      </c>
      <c r="X73" s="3" t="e">
        <f t="shared" si="9"/>
        <v>#DIV/0!</v>
      </c>
      <c r="Y73" s="3" t="e">
        <f t="shared" si="10"/>
        <v>#DIV/0!</v>
      </c>
      <c r="Z73" s="3" t="e">
        <f t="shared" si="11"/>
        <v>#DIV/0!</v>
      </c>
      <c r="AA73" s="3" t="e">
        <f>$K73/$H73</f>
        <v>#DIV/0!</v>
      </c>
      <c r="AB73" s="3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1546</v>
      </c>
      <c r="B76" s="3" t="s">
        <v>38</v>
      </c>
      <c r="C76" s="3">
        <v>27</v>
      </c>
      <c r="D76" s="3">
        <v>6</v>
      </c>
      <c r="E76" s="3" t="s">
        <v>86</v>
      </c>
      <c r="F76" s="3" t="s">
        <v>1503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$K76/$H76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1547</v>
      </c>
      <c r="B77" s="4" t="s">
        <v>38</v>
      </c>
      <c r="C77" s="4">
        <v>25</v>
      </c>
      <c r="D77" s="4">
        <v>5</v>
      </c>
      <c r="E77" s="4" t="s">
        <v>100</v>
      </c>
      <c r="F77" s="4" t="s">
        <v>1503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$K77/$H77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">
      <c r="A78" s="3" t="s">
        <v>1548</v>
      </c>
      <c r="B78" s="3" t="s">
        <v>38</v>
      </c>
      <c r="C78" s="3">
        <v>24</v>
      </c>
      <c r="D78" s="3">
        <v>0</v>
      </c>
      <c r="E78" s="3" t="s">
        <v>64</v>
      </c>
      <c r="F78" s="3" t="s">
        <v>1503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$K78/$H78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">
      <c r="A79" s="4" t="s">
        <v>1549</v>
      </c>
      <c r="B79" s="4" t="s">
        <v>38</v>
      </c>
      <c r="C79" s="4">
        <v>26</v>
      </c>
      <c r="D79" s="4">
        <v>2</v>
      </c>
      <c r="E79" s="4" t="s">
        <v>232</v>
      </c>
      <c r="F79" s="4" t="s">
        <v>1503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$K79/$H79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">
      <c r="A80" s="3" t="s">
        <v>1550</v>
      </c>
      <c r="B80" s="3" t="s">
        <v>38</v>
      </c>
      <c r="C80" s="3">
        <v>24</v>
      </c>
      <c r="D80" s="3">
        <v>4</v>
      </c>
      <c r="E80" s="3" t="s">
        <v>102</v>
      </c>
      <c r="F80" s="3" t="s">
        <v>1503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$K80/$H80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B81"/>
  <sheetViews>
    <sheetView zoomScale="90" zoomScaleNormal="90" workbookViewId="0">
      <selection activeCell="A22" sqref="A22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1551</v>
      </c>
      <c r="B2" s="3" t="s">
        <v>1552</v>
      </c>
      <c r="C2" s="3" t="s">
        <v>115</v>
      </c>
      <c r="D2" s="3">
        <v>13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7</v>
      </c>
      <c r="K2" s="3">
        <v>26</v>
      </c>
      <c r="L2" s="3">
        <v>1</v>
      </c>
      <c r="M2" s="3">
        <v>23</v>
      </c>
      <c r="N2" s="3">
        <v>19</v>
      </c>
      <c r="O2" s="3">
        <v>200</v>
      </c>
      <c r="P2" s="3">
        <v>1</v>
      </c>
      <c r="Q2" s="3">
        <v>0</v>
      </c>
      <c r="R2" s="3">
        <v>0</v>
      </c>
      <c r="S2" s="3">
        <v>53.6</v>
      </c>
      <c r="T2" s="3">
        <v>4.01396160558464E-2</v>
      </c>
      <c r="U2" s="3">
        <v>3.71428571428571</v>
      </c>
      <c r="V2" s="3">
        <v>10.526315789473699</v>
      </c>
      <c r="W2" s="3"/>
      <c r="X2" s="3"/>
      <c r="Y2" s="3">
        <f t="shared" ref="Y2:Y21" si="0">($G2*Cp_yd)+($H2*Cp_td)+($I2*Cint)+($J2*Ccar)+($K2*Cr_yd)+($L2*Cr_td)+($N2*Crec)+($O2*Crec_yd)+($P2*Crec_td)+($Q2*Cfmb)+($R2*Ctp_c)</f>
        <v>53.6</v>
      </c>
    </row>
    <row r="3" spans="1:25" x14ac:dyDescent="0.2">
      <c r="A3" s="4" t="s">
        <v>1553</v>
      </c>
      <c r="B3" s="4" t="s">
        <v>1552</v>
      </c>
      <c r="C3" s="4" t="s">
        <v>26</v>
      </c>
      <c r="D3" s="4">
        <v>9</v>
      </c>
      <c r="E3" s="4">
        <v>170</v>
      </c>
      <c r="F3" s="4">
        <v>114</v>
      </c>
      <c r="G3" s="4">
        <v>1374</v>
      </c>
      <c r="H3" s="4">
        <v>13</v>
      </c>
      <c r="I3" s="4">
        <v>4</v>
      </c>
      <c r="J3" s="4">
        <v>22</v>
      </c>
      <c r="K3" s="4">
        <v>13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106.26</v>
      </c>
      <c r="T3" s="4">
        <v>0</v>
      </c>
      <c r="U3" s="4">
        <v>0.59090909090909105</v>
      </c>
      <c r="V3" s="4"/>
      <c r="W3" s="4">
        <v>0.67058823529411804</v>
      </c>
      <c r="X3" s="4">
        <v>7.6470588235294096E-2</v>
      </c>
      <c r="Y3" s="4">
        <f t="shared" si="0"/>
        <v>106.26</v>
      </c>
    </row>
    <row r="4" spans="1:25" x14ac:dyDescent="0.2">
      <c r="A4" s="3" t="s">
        <v>1554</v>
      </c>
      <c r="B4" s="3" t="s">
        <v>1552</v>
      </c>
      <c r="C4" s="3" t="s">
        <v>26</v>
      </c>
      <c r="D4" s="3">
        <v>11</v>
      </c>
      <c r="E4" s="3">
        <v>308</v>
      </c>
      <c r="F4" s="3">
        <v>207</v>
      </c>
      <c r="G4" s="3">
        <v>2437</v>
      </c>
      <c r="H4" s="3">
        <v>16</v>
      </c>
      <c r="I4" s="3">
        <v>4</v>
      </c>
      <c r="J4" s="3">
        <v>23</v>
      </c>
      <c r="K4" s="3">
        <v>33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0</v>
      </c>
      <c r="S4" s="3">
        <v>164.78</v>
      </c>
      <c r="T4" s="3">
        <v>0</v>
      </c>
      <c r="U4" s="3">
        <v>1.4347826086956501</v>
      </c>
      <c r="V4" s="3"/>
      <c r="W4" s="3">
        <v>0.67207792207792205</v>
      </c>
      <c r="X4" s="3">
        <v>5.1948051948052E-2</v>
      </c>
      <c r="Y4" s="3">
        <f t="shared" si="0"/>
        <v>164.78000000000003</v>
      </c>
    </row>
    <row r="5" spans="1:25" x14ac:dyDescent="0.2">
      <c r="A5" s="4" t="s">
        <v>1074</v>
      </c>
      <c r="B5" s="4" t="s">
        <v>1552</v>
      </c>
      <c r="C5" s="4" t="s">
        <v>26</v>
      </c>
      <c r="D5" s="4">
        <v>1</v>
      </c>
      <c r="E5" s="4">
        <v>2</v>
      </c>
      <c r="F5" s="4">
        <v>1</v>
      </c>
      <c r="G5" s="4">
        <v>10</v>
      </c>
      <c r="H5" s="4">
        <v>0</v>
      </c>
      <c r="I5" s="4">
        <v>0</v>
      </c>
      <c r="J5" s="4">
        <v>2</v>
      </c>
      <c r="K5" s="4">
        <v>3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0.7</v>
      </c>
      <c r="T5" s="4">
        <v>0</v>
      </c>
      <c r="U5" s="4">
        <v>1.5</v>
      </c>
      <c r="V5" s="4"/>
      <c r="W5" s="4">
        <v>0.5</v>
      </c>
      <c r="X5" s="4">
        <v>0</v>
      </c>
      <c r="Y5" s="4">
        <f t="shared" si="0"/>
        <v>0.70000000000000007</v>
      </c>
    </row>
    <row r="6" spans="1:25" x14ac:dyDescent="0.2">
      <c r="A6" s="3" t="s">
        <v>1555</v>
      </c>
      <c r="B6" s="3" t="s">
        <v>1552</v>
      </c>
      <c r="C6" s="3" t="s">
        <v>26</v>
      </c>
      <c r="D6" s="3">
        <v>2</v>
      </c>
      <c r="E6" s="3">
        <v>31</v>
      </c>
      <c r="F6" s="3">
        <v>15</v>
      </c>
      <c r="G6" s="3">
        <v>194</v>
      </c>
      <c r="H6" s="3">
        <v>0</v>
      </c>
      <c r="I6" s="3">
        <v>1</v>
      </c>
      <c r="J6" s="3">
        <v>16</v>
      </c>
      <c r="K6" s="3">
        <v>67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12.46</v>
      </c>
      <c r="T6" s="3">
        <v>0</v>
      </c>
      <c r="U6" s="3">
        <v>4.1875</v>
      </c>
      <c r="V6" s="3"/>
      <c r="W6" s="3">
        <v>0.483870967741935</v>
      </c>
      <c r="X6" s="3">
        <v>0</v>
      </c>
      <c r="Y6" s="3">
        <f t="shared" si="0"/>
        <v>12.46</v>
      </c>
    </row>
    <row r="7" spans="1:25" x14ac:dyDescent="0.2">
      <c r="A7" s="4" t="s">
        <v>316</v>
      </c>
      <c r="B7" s="4" t="s">
        <v>1552</v>
      </c>
      <c r="C7" s="4" t="s">
        <v>31</v>
      </c>
      <c r="D7" s="4">
        <v>11</v>
      </c>
      <c r="E7" s="4">
        <v>1</v>
      </c>
      <c r="F7" s="4">
        <v>1</v>
      </c>
      <c r="G7" s="4">
        <v>34</v>
      </c>
      <c r="H7" s="4">
        <v>1</v>
      </c>
      <c r="I7" s="4">
        <v>0</v>
      </c>
      <c r="J7" s="4">
        <v>159</v>
      </c>
      <c r="K7" s="4">
        <v>746</v>
      </c>
      <c r="L7" s="4">
        <v>6</v>
      </c>
      <c r="M7" s="4">
        <v>65</v>
      </c>
      <c r="N7" s="4">
        <v>52</v>
      </c>
      <c r="O7" s="4">
        <v>464</v>
      </c>
      <c r="P7" s="4">
        <v>4</v>
      </c>
      <c r="Q7" s="4">
        <v>0</v>
      </c>
      <c r="R7" s="4">
        <v>0</v>
      </c>
      <c r="S7" s="4">
        <v>238.36</v>
      </c>
      <c r="T7" s="4">
        <v>0.113438045375218</v>
      </c>
      <c r="U7" s="4">
        <v>4.6918238993710704</v>
      </c>
      <c r="V7" s="4">
        <v>8.9230769230769198</v>
      </c>
      <c r="W7" s="4">
        <v>1</v>
      </c>
      <c r="X7" s="4">
        <v>1</v>
      </c>
      <c r="Y7" s="4">
        <f t="shared" si="0"/>
        <v>238.36</v>
      </c>
    </row>
    <row r="8" spans="1:25" x14ac:dyDescent="0.2">
      <c r="A8" s="3" t="s">
        <v>1556</v>
      </c>
      <c r="B8" s="3" t="s">
        <v>1552</v>
      </c>
      <c r="C8" s="3" t="s">
        <v>31</v>
      </c>
      <c r="D8" s="3">
        <v>5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45</v>
      </c>
      <c r="K8" s="3">
        <v>279</v>
      </c>
      <c r="L8" s="3">
        <v>2</v>
      </c>
      <c r="M8" s="3">
        <v>4</v>
      </c>
      <c r="N8" s="3">
        <v>3</v>
      </c>
      <c r="O8" s="3">
        <v>7</v>
      </c>
      <c r="P8" s="3">
        <v>0</v>
      </c>
      <c r="Q8" s="3">
        <v>0</v>
      </c>
      <c r="R8" s="3">
        <v>0</v>
      </c>
      <c r="S8" s="3">
        <v>43.6</v>
      </c>
      <c r="T8" s="3">
        <v>6.9808027923211197E-3</v>
      </c>
      <c r="U8" s="3">
        <v>6.2</v>
      </c>
      <c r="V8" s="3">
        <v>2.3333333333333299</v>
      </c>
      <c r="W8" s="3"/>
      <c r="X8" s="3"/>
      <c r="Y8" s="3">
        <f t="shared" si="0"/>
        <v>43.600000000000009</v>
      </c>
    </row>
    <row r="9" spans="1:25" x14ac:dyDescent="0.2">
      <c r="A9" s="4" t="s">
        <v>1557</v>
      </c>
      <c r="B9" s="4" t="s">
        <v>1552</v>
      </c>
      <c r="C9" s="4" t="s">
        <v>31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43</v>
      </c>
      <c r="K9" s="4">
        <v>258</v>
      </c>
      <c r="L9" s="4">
        <v>1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31.8</v>
      </c>
      <c r="T9" s="4">
        <v>0</v>
      </c>
      <c r="U9" s="4">
        <v>6</v>
      </c>
      <c r="V9" s="4"/>
      <c r="W9" s="4"/>
      <c r="X9" s="4"/>
      <c r="Y9" s="4">
        <f t="shared" si="0"/>
        <v>31.8</v>
      </c>
    </row>
    <row r="10" spans="1:25" x14ac:dyDescent="0.2">
      <c r="A10" s="3" t="s">
        <v>1131</v>
      </c>
      <c r="B10" s="3" t="s">
        <v>1552</v>
      </c>
      <c r="C10" s="3" t="s">
        <v>31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92</v>
      </c>
      <c r="K10" s="3">
        <v>468</v>
      </c>
      <c r="L10" s="3">
        <v>2</v>
      </c>
      <c r="M10" s="3">
        <v>13</v>
      </c>
      <c r="N10" s="3">
        <v>10</v>
      </c>
      <c r="O10" s="3">
        <v>91</v>
      </c>
      <c r="P10" s="3">
        <v>0</v>
      </c>
      <c r="Q10" s="3">
        <v>1</v>
      </c>
      <c r="R10" s="3">
        <v>0</v>
      </c>
      <c r="S10" s="3">
        <v>73.900000000000006</v>
      </c>
      <c r="T10" s="3">
        <v>2.2687609075043601E-2</v>
      </c>
      <c r="U10" s="3">
        <v>5.0869565217391299</v>
      </c>
      <c r="V10" s="3">
        <v>9.1</v>
      </c>
      <c r="W10" s="3"/>
      <c r="X10" s="3"/>
      <c r="Y10" s="3">
        <f t="shared" si="0"/>
        <v>75.900000000000006</v>
      </c>
    </row>
    <row r="11" spans="1:25" x14ac:dyDescent="0.2">
      <c r="A11" s="4" t="s">
        <v>1558</v>
      </c>
      <c r="B11" s="4" t="s">
        <v>1552</v>
      </c>
      <c r="C11" s="4" t="s">
        <v>31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12</v>
      </c>
      <c r="K11" s="4">
        <v>26</v>
      </c>
      <c r="L11" s="4">
        <v>1</v>
      </c>
      <c r="M11" s="4">
        <v>3</v>
      </c>
      <c r="N11" s="4">
        <v>3</v>
      </c>
      <c r="O11" s="4">
        <v>44</v>
      </c>
      <c r="P11" s="4">
        <v>1</v>
      </c>
      <c r="Q11" s="4">
        <v>0</v>
      </c>
      <c r="R11" s="4">
        <v>0</v>
      </c>
      <c r="S11" s="4">
        <v>22</v>
      </c>
      <c r="T11" s="4">
        <v>5.2356020942408397E-3</v>
      </c>
      <c r="U11" s="4">
        <v>2.1666666666666701</v>
      </c>
      <c r="V11" s="4">
        <v>14.6666666666667</v>
      </c>
      <c r="W11" s="4"/>
      <c r="X11" s="4"/>
      <c r="Y11" s="4">
        <f t="shared" si="0"/>
        <v>22</v>
      </c>
    </row>
    <row r="12" spans="1:25" x14ac:dyDescent="0.2">
      <c r="A12" s="3" t="s">
        <v>1559</v>
      </c>
      <c r="B12" s="3" t="s">
        <v>1552</v>
      </c>
      <c r="C12" s="3" t="s">
        <v>31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34</v>
      </c>
      <c r="K12" s="3">
        <v>99</v>
      </c>
      <c r="L12" s="3">
        <v>0</v>
      </c>
      <c r="M12" s="3">
        <v>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9.9</v>
      </c>
      <c r="T12" s="3">
        <v>3.4904013961605598E-3</v>
      </c>
      <c r="U12" s="3">
        <v>2.9117647058823501</v>
      </c>
      <c r="V12" s="3"/>
      <c r="W12" s="3"/>
      <c r="X12" s="3"/>
      <c r="Y12" s="3">
        <f t="shared" si="0"/>
        <v>9.9</v>
      </c>
    </row>
    <row r="13" spans="1:25" x14ac:dyDescent="0.2">
      <c r="A13" s="4" t="s">
        <v>1560</v>
      </c>
      <c r="B13" s="4" t="s">
        <v>1552</v>
      </c>
      <c r="C13" s="4" t="s">
        <v>38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3.4904013961605598E-3</v>
      </c>
      <c r="U13" s="4"/>
      <c r="V13" s="4"/>
      <c r="W13" s="4"/>
      <c r="X13" s="4"/>
      <c r="Y13" s="4">
        <f t="shared" si="0"/>
        <v>0</v>
      </c>
    </row>
    <row r="14" spans="1:25" x14ac:dyDescent="0.2">
      <c r="A14" s="3" t="s">
        <v>1561</v>
      </c>
      <c r="B14" s="3" t="s">
        <v>1552</v>
      </c>
      <c r="C14" s="3" t="s">
        <v>38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86</v>
      </c>
      <c r="N14" s="3">
        <v>60</v>
      </c>
      <c r="O14" s="3">
        <v>765</v>
      </c>
      <c r="P14" s="3">
        <v>11</v>
      </c>
      <c r="Q14" s="3">
        <v>0</v>
      </c>
      <c r="R14" s="3">
        <v>0</v>
      </c>
      <c r="S14" s="3">
        <v>200.5</v>
      </c>
      <c r="T14" s="3">
        <v>0.150087260034904</v>
      </c>
      <c r="U14" s="3"/>
      <c r="V14" s="3">
        <v>12.75</v>
      </c>
      <c r="W14" s="3"/>
      <c r="X14" s="3"/>
      <c r="Y14" s="3">
        <f t="shared" si="0"/>
        <v>202.5</v>
      </c>
    </row>
    <row r="15" spans="1:25" x14ac:dyDescent="0.2">
      <c r="A15" s="4" t="s">
        <v>1562</v>
      </c>
      <c r="B15" s="4" t="s">
        <v>1552</v>
      </c>
      <c r="C15" s="4" t="s">
        <v>38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105</v>
      </c>
      <c r="P15" s="4">
        <v>1</v>
      </c>
      <c r="Q15" s="4">
        <v>0</v>
      </c>
      <c r="R15" s="4">
        <v>0</v>
      </c>
      <c r="S15" s="4">
        <v>19.5</v>
      </c>
      <c r="T15" s="4">
        <v>8.7260034904013996E-3</v>
      </c>
      <c r="U15" s="4"/>
      <c r="V15" s="4">
        <v>35</v>
      </c>
      <c r="W15" s="4"/>
      <c r="X15" s="4"/>
      <c r="Y15" s="4">
        <f t="shared" si="0"/>
        <v>19.5</v>
      </c>
    </row>
    <row r="16" spans="1:25" x14ac:dyDescent="0.2">
      <c r="A16" s="3" t="s">
        <v>1563</v>
      </c>
      <c r="B16" s="3" t="s">
        <v>1552</v>
      </c>
      <c r="C16" s="3" t="s">
        <v>38</v>
      </c>
      <c r="D16" s="3">
        <v>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</v>
      </c>
      <c r="N16" s="3">
        <v>4</v>
      </c>
      <c r="O16" s="3">
        <v>57</v>
      </c>
      <c r="P16" s="3">
        <v>0</v>
      </c>
      <c r="Q16" s="3">
        <v>0</v>
      </c>
      <c r="R16" s="3">
        <v>0</v>
      </c>
      <c r="S16" s="3">
        <v>9.6999999999999993</v>
      </c>
      <c r="T16" s="3">
        <v>8.7260034904013996E-3</v>
      </c>
      <c r="U16" s="3"/>
      <c r="V16" s="3">
        <v>14.25</v>
      </c>
      <c r="W16" s="3"/>
      <c r="X16" s="3"/>
      <c r="Y16" s="3">
        <f t="shared" si="0"/>
        <v>9.6999999999999993</v>
      </c>
    </row>
    <row r="17" spans="1:25" x14ac:dyDescent="0.2">
      <c r="A17" s="4" t="s">
        <v>1564</v>
      </c>
      <c r="B17" s="4" t="s">
        <v>1552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23</v>
      </c>
      <c r="L17" s="4">
        <v>0</v>
      </c>
      <c r="M17" s="4">
        <v>114</v>
      </c>
      <c r="N17" s="4">
        <v>78</v>
      </c>
      <c r="O17" s="4">
        <v>1015</v>
      </c>
      <c r="P17" s="4">
        <v>8</v>
      </c>
      <c r="Q17" s="4">
        <v>0</v>
      </c>
      <c r="R17" s="4">
        <v>0</v>
      </c>
      <c r="S17" s="4">
        <v>227.8</v>
      </c>
      <c r="T17" s="4">
        <v>0.19895287958115199</v>
      </c>
      <c r="U17" s="4">
        <v>11.5</v>
      </c>
      <c r="V17" s="4">
        <v>13.0128205128205</v>
      </c>
      <c r="W17" s="4"/>
      <c r="X17" s="4"/>
      <c r="Y17" s="4">
        <f t="shared" si="0"/>
        <v>229.8</v>
      </c>
    </row>
    <row r="18" spans="1:25" x14ac:dyDescent="0.2">
      <c r="A18" s="3" t="s">
        <v>1565</v>
      </c>
      <c r="B18" s="3" t="s">
        <v>1552</v>
      </c>
      <c r="C18" s="3" t="s">
        <v>43</v>
      </c>
      <c r="D18" s="3">
        <v>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9</v>
      </c>
      <c r="L18" s="3">
        <v>0</v>
      </c>
      <c r="M18" s="3">
        <v>7</v>
      </c>
      <c r="N18" s="3">
        <v>1</v>
      </c>
      <c r="O18" s="3">
        <v>10</v>
      </c>
      <c r="P18" s="3">
        <v>0</v>
      </c>
      <c r="Q18" s="3">
        <v>0</v>
      </c>
      <c r="R18" s="3">
        <v>0</v>
      </c>
      <c r="S18" s="3">
        <v>2.9</v>
      </c>
      <c r="T18" s="3">
        <v>1.2216404886561999E-2</v>
      </c>
      <c r="U18" s="3">
        <v>9</v>
      </c>
      <c r="V18" s="3">
        <v>10</v>
      </c>
      <c r="W18" s="3"/>
      <c r="X18" s="3"/>
      <c r="Y18" s="3">
        <f t="shared" si="0"/>
        <v>2.9</v>
      </c>
    </row>
    <row r="19" spans="1:25" x14ac:dyDescent="0.2">
      <c r="A19" s="4" t="s">
        <v>1566</v>
      </c>
      <c r="B19" s="4" t="s">
        <v>1552</v>
      </c>
      <c r="C19" s="4" t="s">
        <v>43</v>
      </c>
      <c r="D19" s="4">
        <v>13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42</v>
      </c>
      <c r="K19" s="4">
        <v>232</v>
      </c>
      <c r="L19" s="4">
        <v>3</v>
      </c>
      <c r="M19" s="4">
        <v>94</v>
      </c>
      <c r="N19" s="4">
        <v>56</v>
      </c>
      <c r="O19" s="4">
        <v>632</v>
      </c>
      <c r="P19" s="4">
        <v>2</v>
      </c>
      <c r="Q19" s="4">
        <v>2</v>
      </c>
      <c r="R19" s="4">
        <v>0</v>
      </c>
      <c r="S19" s="4">
        <v>168.4</v>
      </c>
      <c r="T19" s="4">
        <v>0.16404886561954601</v>
      </c>
      <c r="U19" s="4">
        <v>5.5238095238095202</v>
      </c>
      <c r="V19" s="4">
        <v>11.285714285714301</v>
      </c>
      <c r="W19" s="4"/>
      <c r="X19" s="4"/>
      <c r="Y19" s="4">
        <f t="shared" si="0"/>
        <v>168.4</v>
      </c>
    </row>
    <row r="20" spans="1:25" x14ac:dyDescent="0.2">
      <c r="A20" s="3" t="s">
        <v>1567</v>
      </c>
      <c r="B20" s="3" t="s">
        <v>1552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56</v>
      </c>
      <c r="N20" s="3">
        <v>35</v>
      </c>
      <c r="O20" s="3">
        <v>416</v>
      </c>
      <c r="P20" s="3">
        <v>1</v>
      </c>
      <c r="Q20" s="3">
        <v>0</v>
      </c>
      <c r="R20" s="3">
        <v>0</v>
      </c>
      <c r="S20" s="3">
        <v>82.6</v>
      </c>
      <c r="T20" s="3">
        <v>9.7731239092495606E-2</v>
      </c>
      <c r="U20" s="3"/>
      <c r="V20" s="3">
        <v>11.8857142857143</v>
      </c>
      <c r="W20" s="3"/>
      <c r="X20" s="3"/>
      <c r="Y20" s="3">
        <f t="shared" si="0"/>
        <v>82.6</v>
      </c>
    </row>
    <row r="21" spans="1:25" x14ac:dyDescent="0.2">
      <c r="A21" s="4" t="s">
        <v>1568</v>
      </c>
      <c r="B21" s="4" t="s">
        <v>1552</v>
      </c>
      <c r="C21" s="4" t="s">
        <v>43</v>
      </c>
      <c r="D21" s="4">
        <v>14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4</v>
      </c>
      <c r="K21" s="4">
        <v>78</v>
      </c>
      <c r="L21" s="4">
        <v>1</v>
      </c>
      <c r="M21" s="4">
        <v>25</v>
      </c>
      <c r="N21" s="4">
        <v>14</v>
      </c>
      <c r="O21" s="4">
        <v>243</v>
      </c>
      <c r="P21" s="4">
        <v>1</v>
      </c>
      <c r="Q21" s="4">
        <v>0</v>
      </c>
      <c r="R21" s="4">
        <v>0</v>
      </c>
      <c r="S21" s="4">
        <v>58.1</v>
      </c>
      <c r="T21" s="4">
        <v>4.3630017452007001E-2</v>
      </c>
      <c r="U21" s="4">
        <v>19.5</v>
      </c>
      <c r="V21" s="4">
        <v>17.3571428571429</v>
      </c>
      <c r="W21" s="4"/>
      <c r="X21" s="4"/>
      <c r="Y21" s="4">
        <f t="shared" si="0"/>
        <v>58.1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1552</v>
      </c>
      <c r="B31" s="3">
        <v>6409</v>
      </c>
      <c r="C31" s="3">
        <v>4049</v>
      </c>
      <c r="D31" s="3">
        <v>504</v>
      </c>
      <c r="E31" s="3">
        <v>2360</v>
      </c>
      <c r="F31" s="3">
        <v>20</v>
      </c>
      <c r="G31" s="3">
        <v>1526.86</v>
      </c>
      <c r="H31" s="3">
        <v>512</v>
      </c>
      <c r="I31" s="3">
        <v>0.66015625</v>
      </c>
      <c r="J31" s="3">
        <v>30</v>
      </c>
      <c r="K31" s="3">
        <v>9</v>
      </c>
      <c r="L31" s="3">
        <v>5</v>
      </c>
      <c r="M31" s="3">
        <f ca="1">SUM(INDIRECT(A33 &amp; "_Table1[[#All],[f_custom]]"))</f>
        <v>1532.8600000000001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SF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1569</v>
      </c>
      <c r="B36" s="3" t="s">
        <v>26</v>
      </c>
      <c r="C36" s="3">
        <v>30</v>
      </c>
      <c r="D36" s="3">
        <v>7</v>
      </c>
      <c r="E36" s="3" t="s">
        <v>175</v>
      </c>
      <c r="F36" s="3" t="s">
        <v>1552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1570</v>
      </c>
      <c r="B37" s="4" t="s">
        <v>26</v>
      </c>
      <c r="C37" s="4">
        <v>26</v>
      </c>
      <c r="D37" s="4">
        <v>6</v>
      </c>
      <c r="E37" s="4" t="s">
        <v>78</v>
      </c>
      <c r="F37" s="4" t="s">
        <v>1552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1571</v>
      </c>
      <c r="B38" s="3" t="s">
        <v>26</v>
      </c>
      <c r="C38" s="3">
        <v>23</v>
      </c>
      <c r="D38" s="3">
        <v>3</v>
      </c>
      <c r="E38" s="3" t="s">
        <v>555</v>
      </c>
      <c r="F38" s="3" t="s">
        <v>1552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">
      <c r="A39" s="4" t="s">
        <v>1572</v>
      </c>
      <c r="B39" s="4" t="s">
        <v>26</v>
      </c>
      <c r="C39" s="4">
        <v>23</v>
      </c>
      <c r="D39" s="4">
        <v>2</v>
      </c>
      <c r="E39" s="4" t="s">
        <v>244</v>
      </c>
      <c r="F39" s="4" t="s">
        <v>1552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1573</v>
      </c>
      <c r="B46" s="3" t="s">
        <v>31</v>
      </c>
      <c r="C46" s="3">
        <v>22</v>
      </c>
      <c r="D46" s="3">
        <v>2</v>
      </c>
      <c r="E46" s="3" t="s">
        <v>227</v>
      </c>
      <c r="F46" s="3" t="s">
        <v>1552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1574</v>
      </c>
      <c r="B47" s="4" t="s">
        <v>31</v>
      </c>
      <c r="C47" s="4">
        <v>24</v>
      </c>
      <c r="D47" s="4">
        <v>0</v>
      </c>
      <c r="E47" s="4" t="s">
        <v>1575</v>
      </c>
      <c r="F47" s="4" t="s">
        <v>1552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1576</v>
      </c>
      <c r="B48" s="3" t="s">
        <v>31</v>
      </c>
      <c r="C48" s="3">
        <v>24</v>
      </c>
      <c r="D48" s="3">
        <v>2</v>
      </c>
      <c r="E48" s="3" t="s">
        <v>455</v>
      </c>
      <c r="F48" s="3" t="s">
        <v>1552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1577</v>
      </c>
      <c r="B49" s="4" t="s">
        <v>31</v>
      </c>
      <c r="C49" s="4">
        <v>27</v>
      </c>
      <c r="D49" s="4">
        <v>7</v>
      </c>
      <c r="E49" s="4" t="s">
        <v>102</v>
      </c>
      <c r="F49" s="4" t="s">
        <v>1552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1578</v>
      </c>
      <c r="B50" s="3" t="s">
        <v>31</v>
      </c>
      <c r="C50" s="3">
        <v>27</v>
      </c>
      <c r="D50" s="3">
        <v>4</v>
      </c>
      <c r="E50" s="3" t="s">
        <v>296</v>
      </c>
      <c r="F50" s="3" t="s">
        <v>1552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1579</v>
      </c>
      <c r="B51" s="4" t="s">
        <v>31</v>
      </c>
      <c r="C51" s="4">
        <v>25</v>
      </c>
      <c r="D51" s="4">
        <v>3</v>
      </c>
      <c r="E51" s="4" t="s">
        <v>574</v>
      </c>
      <c r="F51" s="4" t="s">
        <v>1552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1580</v>
      </c>
      <c r="B61" s="3" t="s">
        <v>43</v>
      </c>
      <c r="C61" s="3">
        <v>25</v>
      </c>
      <c r="D61" s="3">
        <v>4</v>
      </c>
      <c r="E61" s="3" t="s">
        <v>155</v>
      </c>
      <c r="F61" s="3" t="s">
        <v>1552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7">($J61*0.04)+($K61*4)+($L61*-2)+($N61*0.1)+($O61*6)+($Q61)+($R61*0.1)+($S61*6)+($T61*-2)</f>
        <v>0</v>
      </c>
      <c r="W61" s="3" t="e">
        <f t="shared" ref="W61:W71" ca="1" si="8">$P61/$H$33</f>
        <v>#DIV/0!</v>
      </c>
      <c r="X61" s="3" t="e">
        <f t="shared" ref="X61:X71" si="9">$N61/$M61</f>
        <v>#DIV/0!</v>
      </c>
      <c r="Y61" s="3" t="e">
        <f t="shared" ref="Y61:Y71" si="10">$R61/$Q61</f>
        <v>#DIV/0!</v>
      </c>
      <c r="Z61" s="3" t="e">
        <f t="shared" ref="Z61:Z71" si="11">$I61/$H61</f>
        <v>#DIV/0!</v>
      </c>
      <c r="AA61" s="3" t="e">
        <f>$K61/$H61</f>
        <v>#DIV/0!</v>
      </c>
      <c r="AB61" s="3">
        <f t="shared" ref="AB61:AB71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1581</v>
      </c>
      <c r="B62" s="4" t="s">
        <v>43</v>
      </c>
      <c r="C62" s="4">
        <v>23</v>
      </c>
      <c r="D62" s="4">
        <v>0</v>
      </c>
      <c r="E62" s="4" t="s">
        <v>105</v>
      </c>
      <c r="F62" s="4" t="s">
        <v>1552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1582</v>
      </c>
      <c r="B63" s="3" t="s">
        <v>43</v>
      </c>
      <c r="C63" s="3">
        <v>30</v>
      </c>
      <c r="D63" s="3">
        <v>9</v>
      </c>
      <c r="E63" s="3" t="s">
        <v>173</v>
      </c>
      <c r="F63" s="3" t="s">
        <v>1552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1583</v>
      </c>
      <c r="B64" s="4" t="s">
        <v>43</v>
      </c>
      <c r="C64" s="4">
        <v>24</v>
      </c>
      <c r="D64" s="4">
        <v>2</v>
      </c>
      <c r="E64" s="4" t="s">
        <v>237</v>
      </c>
      <c r="F64" s="4" t="s">
        <v>1552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1584</v>
      </c>
      <c r="B65" s="3" t="s">
        <v>43</v>
      </c>
      <c r="C65" s="3">
        <v>26</v>
      </c>
      <c r="D65" s="3">
        <v>3</v>
      </c>
      <c r="E65" s="3" t="s">
        <v>143</v>
      </c>
      <c r="F65" s="3" t="s">
        <v>1552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1585</v>
      </c>
      <c r="B66" s="4" t="s">
        <v>43</v>
      </c>
      <c r="C66" s="4">
        <v>25</v>
      </c>
      <c r="D66" s="4">
        <v>1</v>
      </c>
      <c r="E66" s="4" t="s">
        <v>218</v>
      </c>
      <c r="F66" s="4" t="s">
        <v>1552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1586</v>
      </c>
      <c r="B67" s="3" t="s">
        <v>43</v>
      </c>
      <c r="C67" s="3">
        <v>26</v>
      </c>
      <c r="D67" s="3">
        <v>6</v>
      </c>
      <c r="E67" s="3" t="s">
        <v>458</v>
      </c>
      <c r="F67" s="3" t="s">
        <v>1552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1587</v>
      </c>
      <c r="B68" s="4" t="s">
        <v>43</v>
      </c>
      <c r="C68" s="4">
        <v>24</v>
      </c>
      <c r="D68" s="4">
        <v>1</v>
      </c>
      <c r="E68" s="4" t="s">
        <v>163</v>
      </c>
      <c r="F68" s="4" t="s">
        <v>1552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1588</v>
      </c>
      <c r="B69" s="3" t="s">
        <v>43</v>
      </c>
      <c r="C69" s="3">
        <v>27</v>
      </c>
      <c r="D69" s="3">
        <v>5</v>
      </c>
      <c r="E69" s="3" t="s">
        <v>341</v>
      </c>
      <c r="F69" s="3" t="s">
        <v>1552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1589</v>
      </c>
      <c r="B70" s="4" t="s">
        <v>43</v>
      </c>
      <c r="C70" s="4">
        <v>30</v>
      </c>
      <c r="D70" s="4">
        <v>8</v>
      </c>
      <c r="E70" s="4" t="s">
        <v>1590</v>
      </c>
      <c r="F70" s="4" t="s">
        <v>1552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1591</v>
      </c>
      <c r="B71" s="3" t="s">
        <v>43</v>
      </c>
      <c r="C71" s="3">
        <v>24</v>
      </c>
      <c r="D71" s="3">
        <v>0</v>
      </c>
      <c r="E71" s="3" t="s">
        <v>220</v>
      </c>
      <c r="F71" s="3" t="s">
        <v>1552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1592</v>
      </c>
      <c r="B76" s="3" t="s">
        <v>38</v>
      </c>
      <c r="C76" s="3">
        <v>28</v>
      </c>
      <c r="D76" s="3">
        <v>6</v>
      </c>
      <c r="E76" s="3" t="s">
        <v>211</v>
      </c>
      <c r="F76" s="3" t="s">
        <v>1552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3">($J76*0.04)+($K76*4)+($L76*-2)+($N76*0.1)+($O76*6)+($Q76)+($R76*0.1)+($S76*6)+($T76*-2)</f>
        <v>0</v>
      </c>
      <c r="W76" s="3" t="e">
        <f t="shared" ref="W76:W81" ca="1" si="14">$P76/$H$33</f>
        <v>#DIV/0!</v>
      </c>
      <c r="X76" s="3" t="e">
        <f t="shared" ref="X76:X81" si="15">$N76/$M76</f>
        <v>#DIV/0!</v>
      </c>
      <c r="Y76" s="3" t="e">
        <f t="shared" ref="Y76:Y81" si="16">$R76/$Q76</f>
        <v>#DIV/0!</v>
      </c>
      <c r="Z76" s="3" t="e">
        <f t="shared" ref="Z76:Z81" si="17">$I76/$H76</f>
        <v>#DIV/0!</v>
      </c>
      <c r="AA76" s="3" t="e">
        <f>$K76/$H76</f>
        <v>#DIV/0!</v>
      </c>
      <c r="AB76" s="3">
        <f t="shared" ref="AB76:AB81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1593</v>
      </c>
      <c r="B77" s="4" t="s">
        <v>38</v>
      </c>
      <c r="C77" s="4">
        <v>28</v>
      </c>
      <c r="D77" s="4">
        <v>5</v>
      </c>
      <c r="E77" s="4" t="s">
        <v>72</v>
      </c>
      <c r="F77" s="4" t="s">
        <v>1552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1594</v>
      </c>
      <c r="B78" s="3" t="s">
        <v>38</v>
      </c>
      <c r="C78" s="3">
        <v>29</v>
      </c>
      <c r="D78" s="3">
        <v>7</v>
      </c>
      <c r="E78" s="3" t="s">
        <v>100</v>
      </c>
      <c r="F78" s="3" t="s">
        <v>1552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1595</v>
      </c>
      <c r="B79" s="4" t="s">
        <v>38</v>
      </c>
      <c r="C79" s="4">
        <v>23</v>
      </c>
      <c r="D79" s="4">
        <v>0</v>
      </c>
      <c r="E79" s="4" t="s">
        <v>153</v>
      </c>
      <c r="F79" s="4" t="s">
        <v>1552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1596</v>
      </c>
      <c r="B80" s="3" t="s">
        <v>38</v>
      </c>
      <c r="C80" s="3">
        <v>23</v>
      </c>
      <c r="D80" s="3">
        <v>0</v>
      </c>
      <c r="E80" s="3" t="s">
        <v>68</v>
      </c>
      <c r="F80" s="3" t="s">
        <v>1552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1597</v>
      </c>
      <c r="B81" s="4" t="s">
        <v>38</v>
      </c>
      <c r="C81" s="4">
        <v>25</v>
      </c>
      <c r="D81" s="4">
        <v>4</v>
      </c>
      <c r="E81" s="4" t="s">
        <v>173</v>
      </c>
      <c r="F81" s="4" t="s">
        <v>1552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AB81"/>
  <sheetViews>
    <sheetView zoomScale="90" zoomScaleNormal="90" workbookViewId="0">
      <selection activeCell="A22" sqref="A22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1598</v>
      </c>
      <c r="B2" s="3" t="s">
        <v>1599</v>
      </c>
      <c r="C2" s="3" t="s">
        <v>26</v>
      </c>
      <c r="D2" s="3">
        <v>1</v>
      </c>
      <c r="E2" s="3">
        <v>8</v>
      </c>
      <c r="F2" s="3">
        <v>6</v>
      </c>
      <c r="G2" s="3">
        <v>29</v>
      </c>
      <c r="H2" s="3">
        <v>1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5.16</v>
      </c>
      <c r="T2" s="3">
        <v>0</v>
      </c>
      <c r="U2" s="3"/>
      <c r="V2" s="3"/>
      <c r="W2" s="3">
        <v>0.75</v>
      </c>
      <c r="X2" s="3">
        <v>0.125</v>
      </c>
      <c r="Y2" s="3">
        <f t="shared" ref="Y2:Y21" si="0">($G2*Cp_yd)+($H2*Cp_td)+($I2*Cint)+($J2*Ccar)+($K2*Cr_yd)+($L2*Cr_td)+($N2*Crec)+($O2*Crec_yd)+($P2*Crec_td)+($Q2*Cfmb)+($R2*Ctp_c)</f>
        <v>5.16</v>
      </c>
    </row>
    <row r="3" spans="1:25" x14ac:dyDescent="0.2">
      <c r="A3" s="4" t="s">
        <v>1600</v>
      </c>
      <c r="B3" s="4" t="s">
        <v>1599</v>
      </c>
      <c r="C3" s="4" t="s">
        <v>26</v>
      </c>
      <c r="D3" s="4">
        <v>1</v>
      </c>
      <c r="E3" s="4">
        <v>9</v>
      </c>
      <c r="F3" s="4">
        <v>3</v>
      </c>
      <c r="G3" s="4">
        <v>23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0.92</v>
      </c>
      <c r="T3" s="4">
        <v>0</v>
      </c>
      <c r="U3" s="4"/>
      <c r="V3" s="4"/>
      <c r="W3" s="4">
        <v>0.33333333333333298</v>
      </c>
      <c r="X3" s="4">
        <v>0</v>
      </c>
      <c r="Y3" s="4">
        <f t="shared" si="0"/>
        <v>0.92</v>
      </c>
    </row>
    <row r="4" spans="1:25" x14ac:dyDescent="0.2">
      <c r="A4" s="3" t="s">
        <v>1601</v>
      </c>
      <c r="B4" s="3" t="s">
        <v>1599</v>
      </c>
      <c r="C4" s="3" t="s">
        <v>26</v>
      </c>
      <c r="D4" s="3">
        <v>17</v>
      </c>
      <c r="E4" s="3">
        <v>733</v>
      </c>
      <c r="F4" s="3">
        <v>490</v>
      </c>
      <c r="G4" s="3">
        <v>4694</v>
      </c>
      <c r="H4" s="3">
        <v>25</v>
      </c>
      <c r="I4" s="3">
        <v>9</v>
      </c>
      <c r="J4" s="3">
        <v>29</v>
      </c>
      <c r="K4" s="3">
        <v>-1</v>
      </c>
      <c r="L4" s="3">
        <v>1</v>
      </c>
      <c r="M4" s="3">
        <v>1</v>
      </c>
      <c r="N4" s="3">
        <v>0</v>
      </c>
      <c r="O4" s="3">
        <v>0</v>
      </c>
      <c r="P4" s="3">
        <v>0</v>
      </c>
      <c r="Q4" s="3">
        <v>4</v>
      </c>
      <c r="R4" s="3">
        <v>2</v>
      </c>
      <c r="S4" s="3">
        <v>271.66000000000003</v>
      </c>
      <c r="T4" s="3">
        <v>1.953125E-3</v>
      </c>
      <c r="U4" s="3">
        <v>-3.4482758620689703E-2</v>
      </c>
      <c r="V4" s="3"/>
      <c r="W4" s="3">
        <v>0.66848567530695802</v>
      </c>
      <c r="X4" s="3">
        <v>3.4106412005456999E-2</v>
      </c>
      <c r="Y4" s="3">
        <f t="shared" si="0"/>
        <v>271.65999999999997</v>
      </c>
    </row>
    <row r="5" spans="1:25" x14ac:dyDescent="0.2">
      <c r="A5" s="4" t="s">
        <v>1602</v>
      </c>
      <c r="B5" s="4" t="s">
        <v>1599</v>
      </c>
      <c r="C5" s="4" t="s">
        <v>31</v>
      </c>
      <c r="D5" s="4">
        <v>2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8</v>
      </c>
      <c r="K5" s="4">
        <v>28</v>
      </c>
      <c r="L5" s="4">
        <v>0</v>
      </c>
      <c r="M5" s="4">
        <v>2</v>
      </c>
      <c r="N5" s="4">
        <v>2</v>
      </c>
      <c r="O5" s="4">
        <v>-1</v>
      </c>
      <c r="P5" s="4">
        <v>0</v>
      </c>
      <c r="Q5" s="4">
        <v>0</v>
      </c>
      <c r="R5" s="4">
        <v>0</v>
      </c>
      <c r="S5" s="4">
        <v>4.7</v>
      </c>
      <c r="T5" s="4">
        <v>3.90625E-3</v>
      </c>
      <c r="U5" s="4">
        <v>3.5</v>
      </c>
      <c r="V5" s="4">
        <v>-0.5</v>
      </c>
      <c r="W5" s="4"/>
      <c r="X5" s="4"/>
      <c r="Y5" s="4">
        <f t="shared" si="0"/>
        <v>4.7000000000000011</v>
      </c>
    </row>
    <row r="6" spans="1:25" x14ac:dyDescent="0.2">
      <c r="A6" s="3" t="s">
        <v>1603</v>
      </c>
      <c r="B6" s="3" t="s">
        <v>1599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</v>
      </c>
      <c r="K6" s="3">
        <v>53</v>
      </c>
      <c r="L6" s="3">
        <v>0</v>
      </c>
      <c r="M6" s="3">
        <v>4</v>
      </c>
      <c r="N6" s="3">
        <v>3</v>
      </c>
      <c r="O6" s="3">
        <v>19</v>
      </c>
      <c r="P6" s="3">
        <v>0</v>
      </c>
      <c r="Q6" s="3">
        <v>0</v>
      </c>
      <c r="R6" s="3">
        <v>0</v>
      </c>
      <c r="S6" s="3">
        <v>10.199999999999999</v>
      </c>
      <c r="T6" s="3">
        <v>7.8125E-3</v>
      </c>
      <c r="U6" s="3">
        <v>3.1176470588235299</v>
      </c>
      <c r="V6" s="3">
        <v>6.3333333333333304</v>
      </c>
      <c r="W6" s="3"/>
      <c r="X6" s="3"/>
      <c r="Y6" s="3">
        <f t="shared" si="0"/>
        <v>10.200000000000001</v>
      </c>
    </row>
    <row r="7" spans="1:25" x14ac:dyDescent="0.2">
      <c r="A7" s="4" t="s">
        <v>1604</v>
      </c>
      <c r="B7" s="4" t="s">
        <v>1599</v>
      </c>
      <c r="C7" s="4" t="s">
        <v>31</v>
      </c>
      <c r="D7" s="4">
        <v>16</v>
      </c>
      <c r="E7" s="4">
        <v>1</v>
      </c>
      <c r="F7" s="4">
        <v>0</v>
      </c>
      <c r="G7" s="4">
        <v>0</v>
      </c>
      <c r="H7" s="4">
        <v>0</v>
      </c>
      <c r="I7" s="4">
        <v>1</v>
      </c>
      <c r="J7" s="4">
        <v>189</v>
      </c>
      <c r="K7" s="4">
        <v>668</v>
      </c>
      <c r="L7" s="4">
        <v>3</v>
      </c>
      <c r="M7" s="4">
        <v>83</v>
      </c>
      <c r="N7" s="4">
        <v>73</v>
      </c>
      <c r="O7" s="4">
        <v>523</v>
      </c>
      <c r="P7" s="4">
        <v>3</v>
      </c>
      <c r="Q7" s="4">
        <v>0</v>
      </c>
      <c r="R7" s="4">
        <v>0</v>
      </c>
      <c r="S7" s="4">
        <v>226.1</v>
      </c>
      <c r="T7" s="4">
        <v>0.162109375</v>
      </c>
      <c r="U7" s="4">
        <v>3.53439153439153</v>
      </c>
      <c r="V7" s="4">
        <v>7.1643835616438398</v>
      </c>
      <c r="W7" s="4">
        <v>0</v>
      </c>
      <c r="X7" s="4">
        <v>0</v>
      </c>
      <c r="Y7" s="4">
        <f t="shared" si="0"/>
        <v>226.10000000000002</v>
      </c>
    </row>
    <row r="8" spans="1:25" x14ac:dyDescent="0.2">
      <c r="A8" s="3" t="s">
        <v>1605</v>
      </c>
      <c r="B8" s="3" t="s">
        <v>1599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129</v>
      </c>
      <c r="K8" s="3">
        <v>481</v>
      </c>
      <c r="L8" s="3">
        <v>1</v>
      </c>
      <c r="M8" s="3">
        <v>58</v>
      </c>
      <c r="N8" s="3">
        <v>50</v>
      </c>
      <c r="O8" s="3">
        <v>290</v>
      </c>
      <c r="P8" s="3">
        <v>2</v>
      </c>
      <c r="Q8" s="3">
        <v>1</v>
      </c>
      <c r="R8" s="3">
        <v>0</v>
      </c>
      <c r="S8" s="3">
        <v>141.1</v>
      </c>
      <c r="T8" s="3">
        <v>0.11328125</v>
      </c>
      <c r="U8" s="3">
        <v>3.7286821705426401</v>
      </c>
      <c r="V8" s="3">
        <v>5.8</v>
      </c>
      <c r="W8" s="3"/>
      <c r="X8" s="3"/>
      <c r="Y8" s="3">
        <f t="shared" si="0"/>
        <v>143.1</v>
      </c>
    </row>
    <row r="9" spans="1:25" x14ac:dyDescent="0.2">
      <c r="A9" s="4" t="s">
        <v>1606</v>
      </c>
      <c r="B9" s="4" t="s">
        <v>1599</v>
      </c>
      <c r="C9" s="4" t="s">
        <v>38</v>
      </c>
      <c r="D9" s="4">
        <v>9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38</v>
      </c>
      <c r="N9" s="4">
        <v>20</v>
      </c>
      <c r="O9" s="4">
        <v>174</v>
      </c>
      <c r="P9" s="4">
        <v>0</v>
      </c>
      <c r="Q9" s="4">
        <v>0</v>
      </c>
      <c r="R9" s="4">
        <v>0</v>
      </c>
      <c r="S9" s="4">
        <v>37.4</v>
      </c>
      <c r="T9" s="4">
        <v>7.421875E-2</v>
      </c>
      <c r="U9" s="4"/>
      <c r="V9" s="4">
        <v>8.6999999999999993</v>
      </c>
      <c r="W9" s="4"/>
      <c r="X9" s="4"/>
      <c r="Y9" s="4">
        <f t="shared" si="0"/>
        <v>37.400000000000006</v>
      </c>
    </row>
    <row r="10" spans="1:25" x14ac:dyDescent="0.2">
      <c r="A10" s="3" t="s">
        <v>1607</v>
      </c>
      <c r="B10" s="3" t="s">
        <v>1599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65</v>
      </c>
      <c r="N10" s="3">
        <v>42</v>
      </c>
      <c r="O10" s="3">
        <v>391</v>
      </c>
      <c r="P10" s="3">
        <v>2</v>
      </c>
      <c r="Q10" s="3">
        <v>0</v>
      </c>
      <c r="R10" s="3">
        <v>0</v>
      </c>
      <c r="S10" s="3">
        <v>93.1</v>
      </c>
      <c r="T10" s="3">
        <v>0.126953125</v>
      </c>
      <c r="U10" s="3"/>
      <c r="V10" s="3">
        <v>9.3095238095238102</v>
      </c>
      <c r="W10" s="3"/>
      <c r="X10" s="3"/>
      <c r="Y10" s="3">
        <f t="shared" si="0"/>
        <v>93.1</v>
      </c>
    </row>
    <row r="11" spans="1:25" x14ac:dyDescent="0.2">
      <c r="A11" s="4" t="s">
        <v>1608</v>
      </c>
      <c r="B11" s="4" t="s">
        <v>1599</v>
      </c>
      <c r="C11" s="4" t="s">
        <v>38</v>
      </c>
      <c r="D11" s="4">
        <v>8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10</v>
      </c>
      <c r="N11" s="4">
        <v>7</v>
      </c>
      <c r="O11" s="4">
        <v>80</v>
      </c>
      <c r="P11" s="4">
        <v>1</v>
      </c>
      <c r="Q11" s="4">
        <v>0</v>
      </c>
      <c r="R11" s="4">
        <v>0</v>
      </c>
      <c r="S11" s="4">
        <v>21</v>
      </c>
      <c r="T11" s="4">
        <v>1.953125E-2</v>
      </c>
      <c r="U11" s="4"/>
      <c r="V11" s="4">
        <v>11.4285714285714</v>
      </c>
      <c r="W11" s="4"/>
      <c r="X11" s="4"/>
      <c r="Y11" s="4">
        <f t="shared" si="0"/>
        <v>21</v>
      </c>
    </row>
    <row r="12" spans="1:25" x14ac:dyDescent="0.2">
      <c r="A12" s="3" t="s">
        <v>1609</v>
      </c>
      <c r="B12" s="3" t="s">
        <v>1599</v>
      </c>
      <c r="C12" s="3" t="s">
        <v>38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</v>
      </c>
      <c r="N12" s="3">
        <v>3</v>
      </c>
      <c r="O12" s="3">
        <v>28</v>
      </c>
      <c r="P12" s="3">
        <v>1</v>
      </c>
      <c r="Q12" s="3">
        <v>0</v>
      </c>
      <c r="R12" s="3">
        <v>0</v>
      </c>
      <c r="S12" s="3">
        <v>11.8</v>
      </c>
      <c r="T12" s="3">
        <v>9.765625E-3</v>
      </c>
      <c r="U12" s="3"/>
      <c r="V12" s="3">
        <v>9.3333333333333304</v>
      </c>
      <c r="W12" s="3"/>
      <c r="X12" s="3"/>
      <c r="Y12" s="3">
        <f t="shared" si="0"/>
        <v>11.8</v>
      </c>
    </row>
    <row r="13" spans="1:25" x14ac:dyDescent="0.2">
      <c r="A13" s="4" t="s">
        <v>1610</v>
      </c>
      <c r="B13" s="4" t="s">
        <v>1599</v>
      </c>
      <c r="C13" s="4" t="s">
        <v>43</v>
      </c>
      <c r="D13" s="4">
        <v>8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2</v>
      </c>
      <c r="K13" s="4">
        <v>-7</v>
      </c>
      <c r="L13" s="4">
        <v>0</v>
      </c>
      <c r="M13" s="4">
        <v>19</v>
      </c>
      <c r="N13" s="4">
        <v>9</v>
      </c>
      <c r="O13" s="4">
        <v>110</v>
      </c>
      <c r="P13" s="4">
        <v>1</v>
      </c>
      <c r="Q13" s="4">
        <v>0</v>
      </c>
      <c r="R13" s="4">
        <v>0</v>
      </c>
      <c r="S13" s="4">
        <v>23.3</v>
      </c>
      <c r="T13" s="4">
        <v>3.7109375E-2</v>
      </c>
      <c r="U13" s="4">
        <v>-3.5</v>
      </c>
      <c r="V13" s="4">
        <v>12.2222222222222</v>
      </c>
      <c r="W13" s="4"/>
      <c r="X13" s="4"/>
      <c r="Y13" s="4">
        <f t="shared" si="0"/>
        <v>25.3</v>
      </c>
    </row>
    <row r="14" spans="1:25" x14ac:dyDescent="0.2">
      <c r="A14" s="3" t="s">
        <v>261</v>
      </c>
      <c r="B14" s="3" t="s">
        <v>1599</v>
      </c>
      <c r="C14" s="3" t="s">
        <v>43</v>
      </c>
      <c r="D14" s="3">
        <v>2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</v>
      </c>
      <c r="N14" s="3">
        <v>4</v>
      </c>
      <c r="O14" s="3">
        <v>17</v>
      </c>
      <c r="P14" s="3">
        <v>0</v>
      </c>
      <c r="Q14" s="3">
        <v>0</v>
      </c>
      <c r="R14" s="3">
        <v>0</v>
      </c>
      <c r="S14" s="3">
        <v>5.7</v>
      </c>
      <c r="T14" s="3">
        <v>9.765625E-3</v>
      </c>
      <c r="U14" s="3"/>
      <c r="V14" s="3">
        <v>4.25</v>
      </c>
      <c r="W14" s="3"/>
      <c r="X14" s="3"/>
      <c r="Y14" s="3">
        <f t="shared" si="0"/>
        <v>5.7</v>
      </c>
    </row>
    <row r="15" spans="1:25" x14ac:dyDescent="0.2">
      <c r="A15" s="4" t="s">
        <v>1611</v>
      </c>
      <c r="B15" s="4" t="s">
        <v>1599</v>
      </c>
      <c r="C15" s="4" t="s">
        <v>43</v>
      </c>
      <c r="D15" s="4">
        <v>15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</v>
      </c>
      <c r="K15" s="4">
        <v>5</v>
      </c>
      <c r="L15" s="4">
        <v>0</v>
      </c>
      <c r="M15" s="4">
        <v>142</v>
      </c>
      <c r="N15" s="4">
        <v>104</v>
      </c>
      <c r="O15" s="4">
        <v>1023</v>
      </c>
      <c r="P15" s="4">
        <v>3</v>
      </c>
      <c r="Q15" s="4">
        <v>0</v>
      </c>
      <c r="R15" s="4">
        <v>0</v>
      </c>
      <c r="S15" s="4">
        <v>222.8</v>
      </c>
      <c r="T15" s="4">
        <v>0.27734375</v>
      </c>
      <c r="U15" s="4">
        <v>1.6666666666666701</v>
      </c>
      <c r="V15" s="4">
        <v>9.8365384615384599</v>
      </c>
      <c r="W15" s="4"/>
      <c r="X15" s="4"/>
      <c r="Y15" s="4">
        <f t="shared" si="0"/>
        <v>224.8</v>
      </c>
    </row>
    <row r="16" spans="1:25" x14ac:dyDescent="0.2">
      <c r="A16" s="3" t="s">
        <v>1612</v>
      </c>
      <c r="B16" s="3" t="s">
        <v>1599</v>
      </c>
      <c r="C16" s="3" t="s">
        <v>43</v>
      </c>
      <c r="D16" s="3">
        <v>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2</v>
      </c>
      <c r="K16" s="3">
        <v>26</v>
      </c>
      <c r="L16" s="3">
        <v>0</v>
      </c>
      <c r="M16" s="3">
        <v>10</v>
      </c>
      <c r="N16" s="3">
        <v>5</v>
      </c>
      <c r="O16" s="3">
        <v>32</v>
      </c>
      <c r="P16" s="3">
        <v>0</v>
      </c>
      <c r="Q16" s="3">
        <v>0</v>
      </c>
      <c r="R16" s="3">
        <v>0</v>
      </c>
      <c r="S16" s="3">
        <v>10.8</v>
      </c>
      <c r="T16" s="3">
        <v>1.953125E-2</v>
      </c>
      <c r="U16" s="3">
        <v>13</v>
      </c>
      <c r="V16" s="3">
        <v>6.4</v>
      </c>
      <c r="W16" s="3"/>
      <c r="X16" s="3"/>
      <c r="Y16" s="3">
        <f t="shared" si="0"/>
        <v>10.8</v>
      </c>
    </row>
    <row r="17" spans="1:25" x14ac:dyDescent="0.2">
      <c r="A17" s="4" t="s">
        <v>1613</v>
      </c>
      <c r="B17" s="4" t="s">
        <v>1599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2</v>
      </c>
      <c r="N17" s="4">
        <v>2</v>
      </c>
      <c r="O17" s="4">
        <v>26</v>
      </c>
      <c r="P17" s="4">
        <v>0</v>
      </c>
      <c r="Q17" s="4">
        <v>0</v>
      </c>
      <c r="R17" s="4">
        <v>0</v>
      </c>
      <c r="S17" s="4">
        <v>4.8</v>
      </c>
      <c r="T17" s="4">
        <v>3.90625E-3</v>
      </c>
      <c r="U17" s="4">
        <v>2</v>
      </c>
      <c r="V17" s="4">
        <v>13</v>
      </c>
      <c r="W17" s="4"/>
      <c r="X17" s="4"/>
      <c r="Y17" s="4">
        <f t="shared" si="0"/>
        <v>4.8000000000000007</v>
      </c>
    </row>
    <row r="18" spans="1:25" x14ac:dyDescent="0.2">
      <c r="A18" s="3" t="s">
        <v>1614</v>
      </c>
      <c r="B18" s="3" t="s">
        <v>1599</v>
      </c>
      <c r="C18" s="3" t="s">
        <v>43</v>
      </c>
      <c r="D18" s="3">
        <v>10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5</v>
      </c>
      <c r="K18" s="3">
        <v>45</v>
      </c>
      <c r="L18" s="3">
        <v>0</v>
      </c>
      <c r="M18" s="3">
        <v>43</v>
      </c>
      <c r="N18" s="3">
        <v>24</v>
      </c>
      <c r="O18" s="3">
        <v>299</v>
      </c>
      <c r="P18" s="3">
        <v>2</v>
      </c>
      <c r="Q18" s="3">
        <v>0</v>
      </c>
      <c r="R18" s="3">
        <v>0</v>
      </c>
      <c r="S18" s="3">
        <v>70.400000000000006</v>
      </c>
      <c r="T18" s="3">
        <v>8.3984375E-2</v>
      </c>
      <c r="U18" s="3">
        <v>9</v>
      </c>
      <c r="V18" s="3">
        <v>12.4583333333333</v>
      </c>
      <c r="W18" s="3"/>
      <c r="X18" s="3"/>
      <c r="Y18" s="3">
        <f t="shared" si="0"/>
        <v>70.400000000000006</v>
      </c>
    </row>
    <row r="19" spans="1:25" x14ac:dyDescent="0.2">
      <c r="A19" s="4" t="s">
        <v>1615</v>
      </c>
      <c r="B19" s="4" t="s">
        <v>1599</v>
      </c>
      <c r="C19" s="4" t="s">
        <v>43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127</v>
      </c>
      <c r="N19" s="4">
        <v>77</v>
      </c>
      <c r="O19" s="4">
        <v>1124</v>
      </c>
      <c r="P19" s="4">
        <v>6</v>
      </c>
      <c r="Q19" s="4">
        <v>0</v>
      </c>
      <c r="R19" s="4">
        <v>0</v>
      </c>
      <c r="S19" s="4">
        <v>225.4</v>
      </c>
      <c r="T19" s="4">
        <v>0.248046875</v>
      </c>
      <c r="U19" s="4"/>
      <c r="V19" s="4">
        <v>14.597402597402599</v>
      </c>
      <c r="W19" s="4"/>
      <c r="X19" s="4"/>
      <c r="Y19" s="4">
        <f t="shared" si="0"/>
        <v>225.4</v>
      </c>
    </row>
    <row r="20" spans="1:25" x14ac:dyDescent="0.2">
      <c r="A20" s="3" t="s">
        <v>1616</v>
      </c>
      <c r="B20" s="3" t="s">
        <v>1599</v>
      </c>
      <c r="C20" s="3" t="s">
        <v>43</v>
      </c>
      <c r="D20" s="3">
        <v>13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70</v>
      </c>
      <c r="N20" s="3">
        <v>51</v>
      </c>
      <c r="O20" s="3">
        <v>426</v>
      </c>
      <c r="P20" s="3">
        <v>5</v>
      </c>
      <c r="Q20" s="3">
        <v>0</v>
      </c>
      <c r="R20" s="3">
        <v>0</v>
      </c>
      <c r="S20" s="3">
        <v>123.6</v>
      </c>
      <c r="T20" s="3">
        <v>0.13671875</v>
      </c>
      <c r="U20" s="3"/>
      <c r="V20" s="3">
        <v>8.3529411764705905</v>
      </c>
      <c r="W20" s="3"/>
      <c r="X20" s="3"/>
      <c r="Y20" s="3">
        <f t="shared" si="0"/>
        <v>123.6</v>
      </c>
    </row>
    <row r="21" spans="1:25" x14ac:dyDescent="0.2">
      <c r="A21" s="4" t="s">
        <v>1617</v>
      </c>
      <c r="B21" s="4" t="s">
        <v>1599</v>
      </c>
      <c r="C21" s="4" t="s">
        <v>43</v>
      </c>
      <c r="D21" s="4">
        <v>11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8</v>
      </c>
      <c r="L21" s="4">
        <v>0</v>
      </c>
      <c r="M21" s="4">
        <v>40</v>
      </c>
      <c r="N21" s="4">
        <v>23</v>
      </c>
      <c r="O21" s="4">
        <v>185</v>
      </c>
      <c r="P21" s="4">
        <v>0</v>
      </c>
      <c r="Q21" s="4">
        <v>0</v>
      </c>
      <c r="R21" s="4">
        <v>0</v>
      </c>
      <c r="S21" s="4">
        <v>42.3</v>
      </c>
      <c r="T21" s="4">
        <v>7.8125E-2</v>
      </c>
      <c r="U21" s="4">
        <v>8</v>
      </c>
      <c r="V21" s="4">
        <v>8.0434782608695592</v>
      </c>
      <c r="W21" s="4"/>
      <c r="X21" s="4"/>
      <c r="Y21" s="4">
        <f t="shared" si="0"/>
        <v>42.3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1599</v>
      </c>
      <c r="B31" s="3">
        <v>6054</v>
      </c>
      <c r="C31" s="3">
        <v>4746</v>
      </c>
      <c r="D31" s="3">
        <v>386</v>
      </c>
      <c r="E31" s="3">
        <v>1308</v>
      </c>
      <c r="F31" s="3">
        <v>5</v>
      </c>
      <c r="G31" s="3">
        <v>1552.24</v>
      </c>
      <c r="H31" s="3">
        <v>751</v>
      </c>
      <c r="I31" s="3">
        <v>0.664447403462051</v>
      </c>
      <c r="J31" s="3">
        <v>26</v>
      </c>
      <c r="K31" s="3">
        <v>10</v>
      </c>
      <c r="L31" s="3">
        <v>5</v>
      </c>
      <c r="M31" s="3">
        <f ca="1">SUM(INDIRECT(A33 &amp; "_Table1[[#All],[f_custom]]"))</f>
        <v>1558.24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TB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1618</v>
      </c>
      <c r="B36" s="3" t="s">
        <v>26</v>
      </c>
      <c r="C36" s="3">
        <v>28</v>
      </c>
      <c r="D36" s="3">
        <v>6</v>
      </c>
      <c r="E36" s="3" t="s">
        <v>68</v>
      </c>
      <c r="F36" s="3" t="s">
        <v>1599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1619</v>
      </c>
      <c r="B37" s="4" t="s">
        <v>26</v>
      </c>
      <c r="C37" s="4">
        <v>25</v>
      </c>
      <c r="D37" s="4">
        <v>3</v>
      </c>
      <c r="E37" s="4" t="s">
        <v>178</v>
      </c>
      <c r="F37" s="4" t="s">
        <v>1599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1620</v>
      </c>
      <c r="B38" s="3" t="s">
        <v>26</v>
      </c>
      <c r="C38" s="3">
        <v>27</v>
      </c>
      <c r="D38" s="3">
        <v>4</v>
      </c>
      <c r="E38" s="3" t="s">
        <v>95</v>
      </c>
      <c r="F38" s="3" t="s">
        <v>1599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1621</v>
      </c>
      <c r="B46" s="3" t="s">
        <v>31</v>
      </c>
      <c r="C46" s="3">
        <v>23</v>
      </c>
      <c r="D46" s="3">
        <v>0</v>
      </c>
      <c r="E46" s="3" t="s">
        <v>93</v>
      </c>
      <c r="F46" s="3" t="s">
        <v>1599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1622</v>
      </c>
      <c r="B47" s="4" t="s">
        <v>31</v>
      </c>
      <c r="C47" s="4">
        <v>27</v>
      </c>
      <c r="D47" s="4">
        <v>6</v>
      </c>
      <c r="E47" s="4" t="s">
        <v>1623</v>
      </c>
      <c r="F47" s="4" t="s">
        <v>1599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1624</v>
      </c>
      <c r="B48" s="3" t="s">
        <v>31</v>
      </c>
      <c r="C48" s="3">
        <v>28</v>
      </c>
      <c r="D48" s="3">
        <v>4</v>
      </c>
      <c r="E48" s="3" t="s">
        <v>666</v>
      </c>
      <c r="F48" s="3" t="s">
        <v>1599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1625</v>
      </c>
      <c r="B49" s="4" t="s">
        <v>31</v>
      </c>
      <c r="C49" s="4">
        <v>21</v>
      </c>
      <c r="D49" s="4">
        <v>0</v>
      </c>
      <c r="E49" s="4" t="s">
        <v>1206</v>
      </c>
      <c r="F49" s="4" t="s">
        <v>1599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1626</v>
      </c>
      <c r="B50" s="3" t="s">
        <v>31</v>
      </c>
      <c r="C50" s="3">
        <v>26</v>
      </c>
      <c r="D50" s="3">
        <v>4</v>
      </c>
      <c r="E50" s="3" t="s">
        <v>300</v>
      </c>
      <c r="F50" s="3" t="s">
        <v>1599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1627</v>
      </c>
      <c r="B51" s="4" t="s">
        <v>31</v>
      </c>
      <c r="C51" s="4">
        <v>24</v>
      </c>
      <c r="D51" s="4">
        <v>2</v>
      </c>
      <c r="E51" s="4" t="s">
        <v>155</v>
      </c>
      <c r="F51" s="4" t="s">
        <v>1599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1628</v>
      </c>
      <c r="B61" s="3" t="s">
        <v>43</v>
      </c>
      <c r="C61" s="3">
        <v>23</v>
      </c>
      <c r="D61" s="3">
        <v>0</v>
      </c>
      <c r="E61" s="3" t="s">
        <v>76</v>
      </c>
      <c r="F61" s="3" t="s">
        <v>1599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7">($J61*0.04)+($K61*4)+($L61*-2)+($N61*0.1)+($O61*6)+($Q61)+($R61*0.1)+($S61*6)+($T61*-2)</f>
        <v>0</v>
      </c>
      <c r="W61" s="3" t="e">
        <f t="shared" ref="W61:W72" ca="1" si="8">$P61/$H$33</f>
        <v>#DIV/0!</v>
      </c>
      <c r="X61" s="3" t="e">
        <f t="shared" ref="X61:X72" si="9">$N61/$M61</f>
        <v>#DIV/0!</v>
      </c>
      <c r="Y61" s="3" t="e">
        <f t="shared" ref="Y61:Y72" si="10">$R61/$Q61</f>
        <v>#DIV/0!</v>
      </c>
      <c r="Z61" s="3" t="e">
        <f t="shared" ref="Z61:Z72" si="11">$I61/$H61</f>
        <v>#DIV/0!</v>
      </c>
      <c r="AA61" s="3" t="e">
        <f>$K61/$H61</f>
        <v>#DIV/0!</v>
      </c>
      <c r="AB61" s="3">
        <f t="shared" ref="AB61:AB72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1629</v>
      </c>
      <c r="B62" s="4" t="s">
        <v>43</v>
      </c>
      <c r="C62" s="4">
        <v>29</v>
      </c>
      <c r="D62" s="4">
        <v>10</v>
      </c>
      <c r="E62" s="4" t="s">
        <v>307</v>
      </c>
      <c r="F62" s="4" t="s">
        <v>1599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1630</v>
      </c>
      <c r="B63" s="3" t="s">
        <v>43</v>
      </c>
      <c r="C63" s="3">
        <v>27</v>
      </c>
      <c r="D63" s="3">
        <v>6</v>
      </c>
      <c r="E63" s="3" t="s">
        <v>227</v>
      </c>
      <c r="F63" s="3" t="s">
        <v>1599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1631</v>
      </c>
      <c r="B64" s="4" t="s">
        <v>43</v>
      </c>
      <c r="C64" s="4">
        <v>25</v>
      </c>
      <c r="D64" s="4">
        <v>1</v>
      </c>
      <c r="E64" s="4" t="s">
        <v>511</v>
      </c>
      <c r="F64" s="4" t="s">
        <v>1599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1632</v>
      </c>
      <c r="B65" s="3" t="s">
        <v>43</v>
      </c>
      <c r="C65" s="3">
        <v>27</v>
      </c>
      <c r="D65" s="3">
        <v>7</v>
      </c>
      <c r="E65" s="3" t="s">
        <v>339</v>
      </c>
      <c r="F65" s="3" t="s">
        <v>1599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1633</v>
      </c>
      <c r="B66" s="4" t="s">
        <v>43</v>
      </c>
      <c r="C66" s="4">
        <v>22</v>
      </c>
      <c r="D66" s="4">
        <v>0</v>
      </c>
      <c r="E66" s="4" t="s">
        <v>232</v>
      </c>
      <c r="F66" s="4" t="s">
        <v>1599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1634</v>
      </c>
      <c r="B67" s="3" t="s">
        <v>43</v>
      </c>
      <c r="C67" s="3">
        <v>23</v>
      </c>
      <c r="D67" s="3">
        <v>0</v>
      </c>
      <c r="E67" s="3" t="s">
        <v>148</v>
      </c>
      <c r="F67" s="3" t="s">
        <v>1599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1635</v>
      </c>
      <c r="B68" s="4" t="s">
        <v>43</v>
      </c>
      <c r="C68" s="4">
        <v>23</v>
      </c>
      <c r="D68" s="4">
        <v>0</v>
      </c>
      <c r="E68" s="4" t="s">
        <v>1636</v>
      </c>
      <c r="F68" s="4" t="s">
        <v>1599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1637</v>
      </c>
      <c r="B69" s="3" t="s">
        <v>43</v>
      </c>
      <c r="C69" s="3">
        <v>28</v>
      </c>
      <c r="D69" s="3">
        <v>5</v>
      </c>
      <c r="E69" s="3" t="s">
        <v>681</v>
      </c>
      <c r="F69" s="3" t="s">
        <v>1599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1638</v>
      </c>
      <c r="B70" s="4" t="s">
        <v>43</v>
      </c>
      <c r="C70" s="4">
        <v>22</v>
      </c>
      <c r="D70" s="4">
        <v>0</v>
      </c>
      <c r="E70" s="4" t="s">
        <v>248</v>
      </c>
      <c r="F70" s="4" t="s">
        <v>1599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1639</v>
      </c>
      <c r="B71" s="3" t="s">
        <v>43</v>
      </c>
      <c r="C71" s="3">
        <v>23</v>
      </c>
      <c r="D71" s="3">
        <v>2</v>
      </c>
      <c r="E71" s="3" t="s">
        <v>89</v>
      </c>
      <c r="F71" s="3" t="s">
        <v>1599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1640</v>
      </c>
      <c r="B72" s="4" t="s">
        <v>43</v>
      </c>
      <c r="C72" s="4">
        <v>24</v>
      </c>
      <c r="D72" s="4">
        <v>0</v>
      </c>
      <c r="E72" s="4" t="s">
        <v>559</v>
      </c>
      <c r="F72" s="4" t="s">
        <v>1599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1641</v>
      </c>
      <c r="B76" s="3" t="s">
        <v>38</v>
      </c>
      <c r="C76" s="3">
        <v>26</v>
      </c>
      <c r="D76" s="3">
        <v>2</v>
      </c>
      <c r="E76" s="3" t="s">
        <v>423</v>
      </c>
      <c r="F76" s="3" t="s">
        <v>1599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3">($J76*0.04)+($K76*4)+($L76*-2)+($N76*0.1)+($O76*6)+($Q76)+($R76*0.1)+($S76*6)+($T76*-2)</f>
        <v>0</v>
      </c>
      <c r="W76" s="3" t="e">
        <f t="shared" ref="W76:W81" ca="1" si="14">$P76/$H$33</f>
        <v>#DIV/0!</v>
      </c>
      <c r="X76" s="3" t="e">
        <f t="shared" ref="X76:X81" si="15">$N76/$M76</f>
        <v>#DIV/0!</v>
      </c>
      <c r="Y76" s="3" t="e">
        <f t="shared" ref="Y76:Y81" si="16">$R76/$Q76</f>
        <v>#DIV/0!</v>
      </c>
      <c r="Z76" s="3" t="e">
        <f t="shared" ref="Z76:Z81" si="17">$I76/$H76</f>
        <v>#DIV/0!</v>
      </c>
      <c r="AA76" s="3" t="e">
        <f>$K76/$H76</f>
        <v>#DIV/0!</v>
      </c>
      <c r="AB76" s="3">
        <f t="shared" ref="AB76:AB81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1642</v>
      </c>
      <c r="B77" s="4" t="s">
        <v>38</v>
      </c>
      <c r="C77" s="4">
        <v>23</v>
      </c>
      <c r="D77" s="4">
        <v>0</v>
      </c>
      <c r="E77" s="4" t="s">
        <v>62</v>
      </c>
      <c r="F77" s="4" t="s">
        <v>1599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1643</v>
      </c>
      <c r="B78" s="3" t="s">
        <v>38</v>
      </c>
      <c r="C78" s="3">
        <v>25</v>
      </c>
      <c r="D78" s="3">
        <v>2</v>
      </c>
      <c r="E78" s="3" t="s">
        <v>225</v>
      </c>
      <c r="F78" s="3" t="s">
        <v>1599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1644</v>
      </c>
      <c r="B79" s="4" t="s">
        <v>38</v>
      </c>
      <c r="C79" s="4">
        <v>24</v>
      </c>
      <c r="D79" s="4">
        <v>2</v>
      </c>
      <c r="E79" s="4" t="s">
        <v>86</v>
      </c>
      <c r="F79" s="4" t="s">
        <v>1599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1645</v>
      </c>
      <c r="B80" s="3" t="s">
        <v>38</v>
      </c>
      <c r="C80" s="3">
        <v>24</v>
      </c>
      <c r="D80" s="3">
        <v>0</v>
      </c>
      <c r="E80" s="3" t="s">
        <v>1345</v>
      </c>
      <c r="F80" s="3" t="s">
        <v>1599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1646</v>
      </c>
      <c r="B81" s="4" t="s">
        <v>38</v>
      </c>
      <c r="C81" s="4">
        <v>28</v>
      </c>
      <c r="D81" s="4">
        <v>3</v>
      </c>
      <c r="E81" s="4" t="s">
        <v>795</v>
      </c>
      <c r="F81" s="4" t="s">
        <v>1599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B82"/>
  <sheetViews>
    <sheetView zoomScale="90" zoomScaleNormal="90" workbookViewId="0">
      <selection activeCell="E26" sqref="E26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1647</v>
      </c>
      <c r="B2" s="3" t="s">
        <v>1648</v>
      </c>
      <c r="C2" s="3" t="s">
        <v>26</v>
      </c>
      <c r="D2" s="3">
        <v>2</v>
      </c>
      <c r="E2" s="3">
        <v>68</v>
      </c>
      <c r="F2" s="3">
        <v>40</v>
      </c>
      <c r="G2" s="3">
        <v>411</v>
      </c>
      <c r="H2" s="3">
        <v>2</v>
      </c>
      <c r="I2" s="3">
        <v>2</v>
      </c>
      <c r="J2" s="3">
        <v>8</v>
      </c>
      <c r="K2" s="3">
        <v>44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2</v>
      </c>
      <c r="R2" s="3">
        <v>0</v>
      </c>
      <c r="S2" s="3">
        <v>20.84</v>
      </c>
      <c r="T2" s="3">
        <v>0</v>
      </c>
      <c r="U2" s="3">
        <v>5.5</v>
      </c>
      <c r="V2" s="3"/>
      <c r="W2" s="3">
        <v>0.58823529411764697</v>
      </c>
      <c r="X2" s="3">
        <v>2.9411764705882401E-2</v>
      </c>
      <c r="Y2" s="3">
        <f t="shared" ref="Y2:Y22" si="0">($G2*Cp_yd)+($H2*Cp_td)+($I2*Cint)+($J2*Ccar)+($K2*Cr_yd)+($L2*Cr_td)+($N2*Crec)+($O2*Crec_yd)+($P2*Crec_td)+($Q2*Cfmb)+($R2*Ctp_c)</f>
        <v>20.840000000000003</v>
      </c>
    </row>
    <row r="3" spans="1:25" x14ac:dyDescent="0.2">
      <c r="A3" s="4" t="s">
        <v>1649</v>
      </c>
      <c r="B3" s="4" t="s">
        <v>1648</v>
      </c>
      <c r="C3" s="4" t="s">
        <v>26</v>
      </c>
      <c r="D3" s="4">
        <v>7</v>
      </c>
      <c r="E3" s="4">
        <v>61</v>
      </c>
      <c r="F3" s="4">
        <v>31</v>
      </c>
      <c r="G3" s="4">
        <v>276</v>
      </c>
      <c r="H3" s="4">
        <v>0</v>
      </c>
      <c r="I3" s="4">
        <v>3</v>
      </c>
      <c r="J3" s="4">
        <v>27</v>
      </c>
      <c r="K3" s="4">
        <v>123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19.34</v>
      </c>
      <c r="T3" s="4">
        <v>0</v>
      </c>
      <c r="U3" s="4">
        <v>4.5555555555555598</v>
      </c>
      <c r="V3" s="4"/>
      <c r="W3" s="4">
        <v>0.50819672131147497</v>
      </c>
      <c r="X3" s="4">
        <v>0</v>
      </c>
      <c r="Y3" s="4">
        <f t="shared" si="0"/>
        <v>19.340000000000003</v>
      </c>
    </row>
    <row r="4" spans="1:25" x14ac:dyDescent="0.2">
      <c r="A4" s="3" t="s">
        <v>1650</v>
      </c>
      <c r="B4" s="3" t="s">
        <v>1648</v>
      </c>
      <c r="C4" s="3" t="s">
        <v>26</v>
      </c>
      <c r="D4" s="3">
        <v>12</v>
      </c>
      <c r="E4" s="3">
        <v>325</v>
      </c>
      <c r="F4" s="3">
        <v>212</v>
      </c>
      <c r="G4" s="3">
        <v>2536</v>
      </c>
      <c r="H4" s="3">
        <v>14</v>
      </c>
      <c r="I4" s="3">
        <v>6</v>
      </c>
      <c r="J4" s="3">
        <v>34</v>
      </c>
      <c r="K4" s="3">
        <v>98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1</v>
      </c>
      <c r="S4" s="3">
        <v>165.24</v>
      </c>
      <c r="T4" s="3">
        <v>0</v>
      </c>
      <c r="U4" s="3">
        <v>2.8823529411764701</v>
      </c>
      <c r="V4" s="3"/>
      <c r="W4" s="3">
        <v>0.65230769230769203</v>
      </c>
      <c r="X4" s="3">
        <v>4.3076923076923103E-2</v>
      </c>
      <c r="Y4" s="3">
        <f t="shared" si="0"/>
        <v>165.24</v>
      </c>
    </row>
    <row r="5" spans="1:25" x14ac:dyDescent="0.2">
      <c r="A5" s="4" t="s">
        <v>1651</v>
      </c>
      <c r="B5" s="4" t="s">
        <v>1648</v>
      </c>
      <c r="C5" s="4" t="s">
        <v>31</v>
      </c>
      <c r="D5" s="4">
        <v>16</v>
      </c>
      <c r="E5" s="4">
        <v>2</v>
      </c>
      <c r="F5" s="4">
        <v>2</v>
      </c>
      <c r="G5" s="4">
        <v>4</v>
      </c>
      <c r="H5" s="4">
        <v>1</v>
      </c>
      <c r="I5" s="4">
        <v>0</v>
      </c>
      <c r="J5" s="4">
        <v>349</v>
      </c>
      <c r="K5" s="4">
        <v>1538</v>
      </c>
      <c r="L5" s="4">
        <v>13</v>
      </c>
      <c r="M5" s="4">
        <v>41</v>
      </c>
      <c r="N5" s="4">
        <v>33</v>
      </c>
      <c r="O5" s="4">
        <v>398</v>
      </c>
      <c r="P5" s="4">
        <v>0</v>
      </c>
      <c r="Q5" s="4">
        <v>2</v>
      </c>
      <c r="R5" s="4">
        <v>0</v>
      </c>
      <c r="S5" s="4">
        <v>302.76</v>
      </c>
      <c r="T5" s="4">
        <v>5.4593874833555302E-2</v>
      </c>
      <c r="U5" s="4">
        <v>4.4068767908309496</v>
      </c>
      <c r="V5" s="4">
        <v>12.0606060606061</v>
      </c>
      <c r="W5" s="4">
        <v>1</v>
      </c>
      <c r="X5" s="4">
        <v>0.5</v>
      </c>
      <c r="Y5" s="4">
        <f t="shared" si="0"/>
        <v>304.76000000000005</v>
      </c>
    </row>
    <row r="6" spans="1:25" x14ac:dyDescent="0.2">
      <c r="A6" s="3" t="s">
        <v>1652</v>
      </c>
      <c r="B6" s="3" t="s">
        <v>1648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22</v>
      </c>
      <c r="K6" s="3">
        <v>145</v>
      </c>
      <c r="L6" s="3">
        <v>0</v>
      </c>
      <c r="M6" s="3">
        <v>26</v>
      </c>
      <c r="N6" s="3">
        <v>21</v>
      </c>
      <c r="O6" s="3">
        <v>177</v>
      </c>
      <c r="P6" s="3">
        <v>4</v>
      </c>
      <c r="Q6" s="3">
        <v>0</v>
      </c>
      <c r="R6" s="3">
        <v>0</v>
      </c>
      <c r="S6" s="3">
        <v>77.2</v>
      </c>
      <c r="T6" s="3">
        <v>3.4620505992010699E-2</v>
      </c>
      <c r="U6" s="3">
        <v>6.5909090909090899</v>
      </c>
      <c r="V6" s="3">
        <v>8.4285714285714306</v>
      </c>
      <c r="W6" s="3"/>
      <c r="X6" s="3"/>
      <c r="Y6" s="3">
        <f t="shared" si="0"/>
        <v>77.2</v>
      </c>
    </row>
    <row r="7" spans="1:25" x14ac:dyDescent="0.2">
      <c r="A7" s="4" t="s">
        <v>1653</v>
      </c>
      <c r="B7" s="4" t="s">
        <v>1648</v>
      </c>
      <c r="C7" s="4" t="s">
        <v>31</v>
      </c>
      <c r="D7" s="4">
        <v>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25</v>
      </c>
      <c r="K7" s="4">
        <v>93</v>
      </c>
      <c r="L7" s="4">
        <v>0</v>
      </c>
      <c r="M7" s="4">
        <v>12</v>
      </c>
      <c r="N7" s="4">
        <v>11</v>
      </c>
      <c r="O7" s="4">
        <v>57</v>
      </c>
      <c r="P7" s="4">
        <v>0</v>
      </c>
      <c r="Q7" s="4">
        <v>0</v>
      </c>
      <c r="R7" s="4">
        <v>0</v>
      </c>
      <c r="S7" s="4">
        <v>26</v>
      </c>
      <c r="T7" s="4">
        <v>1.59786950732357E-2</v>
      </c>
      <c r="U7" s="4">
        <v>3.72</v>
      </c>
      <c r="V7" s="4">
        <v>5.1818181818181799</v>
      </c>
      <c r="W7" s="4"/>
      <c r="X7" s="4"/>
      <c r="Y7" s="4">
        <f t="shared" si="0"/>
        <v>26</v>
      </c>
    </row>
    <row r="8" spans="1:25" x14ac:dyDescent="0.2">
      <c r="A8" s="3" t="s">
        <v>1654</v>
      </c>
      <c r="B8" s="3" t="s">
        <v>1648</v>
      </c>
      <c r="C8" s="3" t="s">
        <v>31</v>
      </c>
      <c r="D8" s="3">
        <v>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9</v>
      </c>
      <c r="K8" s="3">
        <v>12</v>
      </c>
      <c r="L8" s="3">
        <v>0</v>
      </c>
      <c r="M8" s="3">
        <v>3</v>
      </c>
      <c r="N8" s="3">
        <v>3</v>
      </c>
      <c r="O8" s="3">
        <v>41</v>
      </c>
      <c r="P8" s="3">
        <v>0</v>
      </c>
      <c r="Q8" s="3">
        <v>0</v>
      </c>
      <c r="R8" s="3">
        <v>0</v>
      </c>
      <c r="S8" s="3">
        <v>8.3000000000000007</v>
      </c>
      <c r="T8" s="3">
        <v>3.9946737683089198E-3</v>
      </c>
      <c r="U8" s="3">
        <v>1.3333333333333299</v>
      </c>
      <c r="V8" s="3">
        <v>13.6666666666667</v>
      </c>
      <c r="W8" s="3"/>
      <c r="X8" s="3"/>
      <c r="Y8" s="3">
        <f t="shared" si="0"/>
        <v>8.3000000000000007</v>
      </c>
    </row>
    <row r="9" spans="1:25" x14ac:dyDescent="0.2">
      <c r="A9" s="4" t="s">
        <v>1655</v>
      </c>
      <c r="B9" s="4" t="s">
        <v>1648</v>
      </c>
      <c r="C9" s="4" t="s">
        <v>31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5</v>
      </c>
      <c r="K9" s="4">
        <v>25</v>
      </c>
      <c r="L9" s="4">
        <v>0</v>
      </c>
      <c r="M9" s="4">
        <v>3</v>
      </c>
      <c r="N9" s="4">
        <v>2</v>
      </c>
      <c r="O9" s="4">
        <v>7</v>
      </c>
      <c r="P9" s="4">
        <v>0</v>
      </c>
      <c r="Q9" s="4">
        <v>0</v>
      </c>
      <c r="R9" s="4">
        <v>0</v>
      </c>
      <c r="S9" s="4">
        <v>5.2</v>
      </c>
      <c r="T9" s="4">
        <v>3.9946737683089198E-3</v>
      </c>
      <c r="U9" s="4">
        <v>5</v>
      </c>
      <c r="V9" s="4">
        <v>3.5</v>
      </c>
      <c r="W9" s="4"/>
      <c r="X9" s="4"/>
      <c r="Y9" s="4">
        <f t="shared" si="0"/>
        <v>5.2</v>
      </c>
    </row>
    <row r="10" spans="1:25" x14ac:dyDescent="0.2">
      <c r="A10" s="3" t="s">
        <v>1656</v>
      </c>
      <c r="B10" s="3" t="s">
        <v>1648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60</v>
      </c>
      <c r="N10" s="3">
        <v>41</v>
      </c>
      <c r="O10" s="3">
        <v>444</v>
      </c>
      <c r="P10" s="3">
        <v>2</v>
      </c>
      <c r="Q10" s="3">
        <v>0</v>
      </c>
      <c r="R10" s="3">
        <v>0</v>
      </c>
      <c r="S10" s="3">
        <v>97.4</v>
      </c>
      <c r="T10" s="3">
        <v>7.9893475366178399E-2</v>
      </c>
      <c r="U10" s="3"/>
      <c r="V10" s="3">
        <v>10.829268292682899</v>
      </c>
      <c r="W10" s="3"/>
      <c r="X10" s="3"/>
      <c r="Y10" s="3">
        <f t="shared" si="0"/>
        <v>97.4</v>
      </c>
    </row>
    <row r="11" spans="1:25" x14ac:dyDescent="0.2">
      <c r="A11" s="4" t="s">
        <v>1657</v>
      </c>
      <c r="B11" s="4" t="s">
        <v>1648</v>
      </c>
      <c r="C11" s="4" t="s">
        <v>38</v>
      </c>
      <c r="D11" s="4">
        <v>15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3</v>
      </c>
      <c r="K11" s="4">
        <v>2</v>
      </c>
      <c r="L11" s="4">
        <v>0</v>
      </c>
      <c r="M11" s="4">
        <v>46</v>
      </c>
      <c r="N11" s="4">
        <v>32</v>
      </c>
      <c r="O11" s="4">
        <v>450</v>
      </c>
      <c r="P11" s="4">
        <v>3</v>
      </c>
      <c r="Q11" s="4">
        <v>0</v>
      </c>
      <c r="R11" s="4">
        <v>0</v>
      </c>
      <c r="S11" s="4">
        <v>97.2</v>
      </c>
      <c r="T11" s="4">
        <v>6.12516644474035E-2</v>
      </c>
      <c r="U11" s="4">
        <v>0.66666666666666696</v>
      </c>
      <c r="V11" s="4">
        <v>14.0625</v>
      </c>
      <c r="W11" s="4"/>
      <c r="X11" s="4"/>
      <c r="Y11" s="4">
        <f t="shared" si="0"/>
        <v>95.2</v>
      </c>
    </row>
    <row r="12" spans="1:25" x14ac:dyDescent="0.2">
      <c r="A12" s="3" t="s">
        <v>1658</v>
      </c>
      <c r="B12" s="3" t="s">
        <v>1648</v>
      </c>
      <c r="C12" s="3" t="s">
        <v>38</v>
      </c>
      <c r="D12" s="3">
        <v>11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16</v>
      </c>
      <c r="N12" s="3">
        <v>12</v>
      </c>
      <c r="O12" s="3">
        <v>58</v>
      </c>
      <c r="P12" s="3">
        <v>1</v>
      </c>
      <c r="Q12" s="3">
        <v>0</v>
      </c>
      <c r="R12" s="3">
        <v>0</v>
      </c>
      <c r="S12" s="3">
        <v>23.8</v>
      </c>
      <c r="T12" s="3">
        <v>2.1304926764314201E-2</v>
      </c>
      <c r="U12" s="3"/>
      <c r="V12" s="3">
        <v>4.8333333333333304</v>
      </c>
      <c r="W12" s="3"/>
      <c r="X12" s="3"/>
      <c r="Y12" s="3">
        <f t="shared" si="0"/>
        <v>23.8</v>
      </c>
    </row>
    <row r="13" spans="1:25" x14ac:dyDescent="0.2">
      <c r="A13" s="4" t="s">
        <v>1659</v>
      </c>
      <c r="B13" s="4" t="s">
        <v>1648</v>
      </c>
      <c r="C13" s="4" t="s">
        <v>43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1</v>
      </c>
      <c r="O13" s="4">
        <v>6</v>
      </c>
      <c r="P13" s="4">
        <v>0</v>
      </c>
      <c r="Q13" s="4">
        <v>0</v>
      </c>
      <c r="R13" s="4">
        <v>0</v>
      </c>
      <c r="S13" s="4">
        <v>1.6</v>
      </c>
      <c r="T13" s="4">
        <v>1.3315579227696399E-3</v>
      </c>
      <c r="U13" s="4"/>
      <c r="V13" s="4">
        <v>6</v>
      </c>
      <c r="W13" s="4"/>
      <c r="X13" s="4"/>
      <c r="Y13" s="4">
        <f t="shared" si="0"/>
        <v>1.6</v>
      </c>
    </row>
    <row r="14" spans="1:25" x14ac:dyDescent="0.2">
      <c r="A14" s="3" t="s">
        <v>770</v>
      </c>
      <c r="B14" s="3" t="s">
        <v>1648</v>
      </c>
      <c r="C14" s="3" t="s">
        <v>43</v>
      </c>
      <c r="D14" s="3">
        <v>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</v>
      </c>
      <c r="N14" s="3">
        <v>4</v>
      </c>
      <c r="O14" s="3">
        <v>46</v>
      </c>
      <c r="P14" s="3">
        <v>0</v>
      </c>
      <c r="Q14" s="3">
        <v>0</v>
      </c>
      <c r="R14" s="3">
        <v>0</v>
      </c>
      <c r="S14" s="3">
        <v>8.6</v>
      </c>
      <c r="T14" s="3">
        <v>6.6577896138481996E-3</v>
      </c>
      <c r="U14" s="3"/>
      <c r="V14" s="3">
        <v>11.5</v>
      </c>
      <c r="W14" s="3"/>
      <c r="X14" s="3"/>
      <c r="Y14" s="3">
        <f t="shared" si="0"/>
        <v>8.6000000000000014</v>
      </c>
    </row>
    <row r="15" spans="1:25" x14ac:dyDescent="0.2">
      <c r="A15" s="4" t="s">
        <v>1660</v>
      </c>
      <c r="B15" s="4" t="s">
        <v>1648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54</v>
      </c>
      <c r="P15" s="4">
        <v>0</v>
      </c>
      <c r="Q15" s="4">
        <v>0</v>
      </c>
      <c r="R15" s="4">
        <v>0</v>
      </c>
      <c r="S15" s="4">
        <v>8.4</v>
      </c>
      <c r="T15" s="4">
        <v>6.6577896138481996E-3</v>
      </c>
      <c r="U15" s="4"/>
      <c r="V15" s="4">
        <v>18</v>
      </c>
      <c r="W15" s="4"/>
      <c r="X15" s="4"/>
      <c r="Y15" s="4">
        <f t="shared" si="0"/>
        <v>8.4</v>
      </c>
    </row>
    <row r="16" spans="1:25" x14ac:dyDescent="0.2">
      <c r="A16" s="3" t="s">
        <v>1661</v>
      </c>
      <c r="B16" s="3" t="s">
        <v>1648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1.3315579227696399E-3</v>
      </c>
      <c r="U16" s="3"/>
      <c r="V16" s="3"/>
      <c r="W16" s="3"/>
      <c r="X16" s="3"/>
      <c r="Y16" s="3">
        <f t="shared" si="0"/>
        <v>0</v>
      </c>
    </row>
    <row r="17" spans="1:25" x14ac:dyDescent="0.2">
      <c r="A17" s="4" t="s">
        <v>1662</v>
      </c>
      <c r="B17" s="4" t="s">
        <v>1648</v>
      </c>
      <c r="C17" s="4" t="s">
        <v>43</v>
      </c>
      <c r="D17" s="4">
        <v>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13</v>
      </c>
      <c r="N17" s="4">
        <v>8</v>
      </c>
      <c r="O17" s="4">
        <v>78</v>
      </c>
      <c r="P17" s="4">
        <v>0</v>
      </c>
      <c r="Q17" s="4">
        <v>0</v>
      </c>
      <c r="R17" s="4">
        <v>0</v>
      </c>
      <c r="S17" s="4">
        <v>15.8</v>
      </c>
      <c r="T17" s="4">
        <v>1.7310252996005301E-2</v>
      </c>
      <c r="U17" s="4"/>
      <c r="V17" s="4">
        <v>9.75</v>
      </c>
      <c r="W17" s="4"/>
      <c r="X17" s="4"/>
      <c r="Y17" s="4">
        <f t="shared" si="0"/>
        <v>15.8</v>
      </c>
    </row>
    <row r="18" spans="1:25" x14ac:dyDescent="0.2">
      <c r="A18" s="3" t="s">
        <v>1663</v>
      </c>
      <c r="B18" s="3" t="s">
        <v>1648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3</v>
      </c>
      <c r="P18" s="3">
        <v>0</v>
      </c>
      <c r="Q18" s="3">
        <v>0</v>
      </c>
      <c r="R18" s="3">
        <v>0</v>
      </c>
      <c r="S18" s="3">
        <v>1.3</v>
      </c>
      <c r="T18" s="3">
        <v>1.3315579227696399E-3</v>
      </c>
      <c r="U18" s="3"/>
      <c r="V18" s="3">
        <v>3</v>
      </c>
      <c r="W18" s="3"/>
      <c r="X18" s="3"/>
      <c r="Y18" s="3">
        <f t="shared" si="0"/>
        <v>1.3</v>
      </c>
    </row>
    <row r="19" spans="1:25" x14ac:dyDescent="0.2">
      <c r="A19" s="4" t="s">
        <v>1664</v>
      </c>
      <c r="B19" s="4" t="s">
        <v>1648</v>
      </c>
      <c r="C19" s="4" t="s">
        <v>43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50</v>
      </c>
      <c r="N19" s="4">
        <v>25</v>
      </c>
      <c r="O19" s="4">
        <v>397</v>
      </c>
      <c r="P19" s="4">
        <v>3</v>
      </c>
      <c r="Q19" s="4">
        <v>0</v>
      </c>
      <c r="R19" s="4">
        <v>0</v>
      </c>
      <c r="S19" s="4">
        <v>82.7</v>
      </c>
      <c r="T19" s="4">
        <v>6.6577896138482001E-2</v>
      </c>
      <c r="U19" s="4"/>
      <c r="V19" s="4">
        <v>15.88</v>
      </c>
      <c r="W19" s="4"/>
      <c r="X19" s="4"/>
      <c r="Y19" s="4">
        <f t="shared" si="0"/>
        <v>82.7</v>
      </c>
    </row>
    <row r="20" spans="1:25" x14ac:dyDescent="0.2">
      <c r="A20" s="3" t="s">
        <v>1665</v>
      </c>
      <c r="B20" s="3" t="s">
        <v>1648</v>
      </c>
      <c r="C20" s="3" t="s">
        <v>43</v>
      </c>
      <c r="D20" s="3">
        <v>4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1</v>
      </c>
      <c r="K20" s="3">
        <v>4</v>
      </c>
      <c r="L20" s="3">
        <v>0</v>
      </c>
      <c r="M20" s="3">
        <v>8</v>
      </c>
      <c r="N20" s="3">
        <v>2</v>
      </c>
      <c r="O20" s="3">
        <v>40</v>
      </c>
      <c r="P20" s="3">
        <v>0</v>
      </c>
      <c r="Q20" s="3">
        <v>0</v>
      </c>
      <c r="R20" s="3">
        <v>0</v>
      </c>
      <c r="S20" s="3">
        <v>6.4</v>
      </c>
      <c r="T20" s="3">
        <v>1.06524633821571E-2</v>
      </c>
      <c r="U20" s="3">
        <v>4</v>
      </c>
      <c r="V20" s="3">
        <v>20</v>
      </c>
      <c r="W20" s="3"/>
      <c r="X20" s="3"/>
      <c r="Y20" s="3">
        <f t="shared" si="0"/>
        <v>6.4</v>
      </c>
    </row>
    <row r="21" spans="1:25" x14ac:dyDescent="0.2">
      <c r="A21" s="4" t="s">
        <v>1666</v>
      </c>
      <c r="B21" s="4" t="s">
        <v>1648</v>
      </c>
      <c r="C21" s="4" t="s">
        <v>43</v>
      </c>
      <c r="D21" s="4">
        <v>17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91</v>
      </c>
      <c r="N21" s="4">
        <v>53</v>
      </c>
      <c r="O21" s="4">
        <v>527</v>
      </c>
      <c r="P21" s="4">
        <v>2</v>
      </c>
      <c r="Q21" s="4">
        <v>0</v>
      </c>
      <c r="R21" s="4">
        <v>0</v>
      </c>
      <c r="S21" s="4">
        <v>117.7</v>
      </c>
      <c r="T21" s="4">
        <v>0.121171770972037</v>
      </c>
      <c r="U21" s="4"/>
      <c r="V21" s="4">
        <v>9.9433962264150892</v>
      </c>
      <c r="W21" s="4"/>
      <c r="X21" s="4"/>
      <c r="Y21" s="4">
        <f t="shared" si="0"/>
        <v>117.7</v>
      </c>
    </row>
    <row r="22" spans="1:25" x14ac:dyDescent="0.2">
      <c r="A22" s="3" t="s">
        <v>1667</v>
      </c>
      <c r="B22" s="3" t="s">
        <v>1648</v>
      </c>
      <c r="C22" s="3" t="s">
        <v>43</v>
      </c>
      <c r="D22" s="3">
        <v>11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4</v>
      </c>
      <c r="K22" s="3">
        <v>47</v>
      </c>
      <c r="L22" s="3">
        <v>0</v>
      </c>
      <c r="M22" s="3">
        <v>54</v>
      </c>
      <c r="N22" s="3">
        <v>33</v>
      </c>
      <c r="O22" s="3">
        <v>444</v>
      </c>
      <c r="P22" s="3">
        <v>1</v>
      </c>
      <c r="Q22" s="3">
        <v>0</v>
      </c>
      <c r="R22" s="3">
        <v>0</v>
      </c>
      <c r="S22" s="3">
        <v>88.1</v>
      </c>
      <c r="T22" s="3">
        <v>7.1904127829560599E-2</v>
      </c>
      <c r="U22" s="3">
        <v>11.75</v>
      </c>
      <c r="V22" s="3">
        <v>13.454545454545499</v>
      </c>
      <c r="W22" s="3"/>
      <c r="X22" s="3"/>
      <c r="Y22" s="3">
        <f t="shared" si="0"/>
        <v>88.100000000000009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1648</v>
      </c>
      <c r="B31" s="3">
        <v>5358</v>
      </c>
      <c r="C31" s="3">
        <v>3227</v>
      </c>
      <c r="D31" s="3">
        <v>487</v>
      </c>
      <c r="E31" s="3">
        <v>2131</v>
      </c>
      <c r="F31" s="3">
        <v>16</v>
      </c>
      <c r="G31" s="3">
        <v>1173.8800000000001</v>
      </c>
      <c r="H31" s="3">
        <v>456</v>
      </c>
      <c r="I31" s="3">
        <v>0.625</v>
      </c>
      <c r="J31" s="3">
        <v>17</v>
      </c>
      <c r="K31" s="3">
        <v>11</v>
      </c>
      <c r="L31" s="3">
        <v>8</v>
      </c>
      <c r="M31" s="3">
        <f ca="1">SUM(INDIRECT(A33 &amp; "_Table1[[#All],[f_custom]]"))</f>
        <v>1173.8799999999999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TEN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1668</v>
      </c>
      <c r="B36" s="3" t="s">
        <v>26</v>
      </c>
      <c r="C36" s="3">
        <v>24</v>
      </c>
      <c r="D36" s="3">
        <v>0</v>
      </c>
      <c r="E36" s="3" t="s">
        <v>150</v>
      </c>
      <c r="F36" s="3" t="s">
        <v>1648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1669</v>
      </c>
      <c r="B37" s="4" t="s">
        <v>26</v>
      </c>
      <c r="C37" s="4">
        <v>35</v>
      </c>
      <c r="D37" s="4">
        <v>12</v>
      </c>
      <c r="E37" s="4" t="s">
        <v>307</v>
      </c>
      <c r="F37" s="4" t="s">
        <v>1648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1670</v>
      </c>
      <c r="B38" s="3" t="s">
        <v>26</v>
      </c>
      <c r="C38" s="3">
        <v>24</v>
      </c>
      <c r="D38" s="3">
        <v>2</v>
      </c>
      <c r="E38" s="3" t="s">
        <v>1251</v>
      </c>
      <c r="F38" s="3" t="s">
        <v>1648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1671</v>
      </c>
      <c r="B46" s="3" t="s">
        <v>31</v>
      </c>
      <c r="C46" s="3">
        <v>22</v>
      </c>
      <c r="D46" s="3">
        <v>0</v>
      </c>
      <c r="E46" s="3" t="s">
        <v>1672</v>
      </c>
      <c r="F46" s="3" t="s">
        <v>1648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1673</v>
      </c>
      <c r="B47" s="4" t="s">
        <v>31</v>
      </c>
      <c r="C47" s="4">
        <v>23</v>
      </c>
      <c r="D47" s="4">
        <v>2</v>
      </c>
      <c r="E47" s="4" t="s">
        <v>105</v>
      </c>
      <c r="F47" s="4" t="s">
        <v>1648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1674</v>
      </c>
      <c r="B48" s="3" t="s">
        <v>31</v>
      </c>
      <c r="C48" s="3">
        <v>29</v>
      </c>
      <c r="D48" s="3">
        <v>8</v>
      </c>
      <c r="E48" s="3" t="s">
        <v>153</v>
      </c>
      <c r="F48" s="3" t="s">
        <v>1648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1675</v>
      </c>
      <c r="B49" s="4" t="s">
        <v>31</v>
      </c>
      <c r="C49" s="4">
        <v>26</v>
      </c>
      <c r="D49" s="4">
        <v>1</v>
      </c>
      <c r="E49" s="4" t="s">
        <v>1012</v>
      </c>
      <c r="F49" s="4" t="s">
        <v>1648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1676</v>
      </c>
      <c r="B50" s="3" t="s">
        <v>31</v>
      </c>
      <c r="C50" s="3">
        <v>22</v>
      </c>
      <c r="D50" s="3">
        <v>0</v>
      </c>
      <c r="E50" s="3" t="s">
        <v>405</v>
      </c>
      <c r="F50" s="3" t="s">
        <v>1648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1677</v>
      </c>
      <c r="B51" s="4" t="s">
        <v>31</v>
      </c>
      <c r="C51" s="4">
        <v>25</v>
      </c>
      <c r="D51" s="4">
        <v>4</v>
      </c>
      <c r="E51" s="4" t="s">
        <v>309</v>
      </c>
      <c r="F51" s="4" t="s">
        <v>1648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1678</v>
      </c>
      <c r="B61" s="3" t="s">
        <v>43</v>
      </c>
      <c r="C61" s="3">
        <v>23</v>
      </c>
      <c r="D61" s="3">
        <v>2</v>
      </c>
      <c r="E61" s="3" t="s">
        <v>175</v>
      </c>
      <c r="F61" s="3" t="s">
        <v>1648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7">($J61*0.04)+($K61*4)+($L61*-2)+($N61*0.1)+($O61*6)+($Q61)+($R61*0.1)+($S61*6)+($T61*-2)</f>
        <v>0</v>
      </c>
      <c r="W61" s="3" t="e">
        <f t="shared" ref="W61:W72" ca="1" si="8">$P61/$H$33</f>
        <v>#DIV/0!</v>
      </c>
      <c r="X61" s="3" t="e">
        <f t="shared" ref="X61:X72" si="9">$N61/$M61</f>
        <v>#DIV/0!</v>
      </c>
      <c r="Y61" s="3" t="e">
        <f t="shared" ref="Y61:Y72" si="10">$R61/$Q61</f>
        <v>#DIV/0!</v>
      </c>
      <c r="Z61" s="3" t="e">
        <f t="shared" ref="Z61:Z72" si="11">$I61/$H61</f>
        <v>#DIV/0!</v>
      </c>
      <c r="AA61" s="3" t="e">
        <f>$K61/$H61</f>
        <v>#DIV/0!</v>
      </c>
      <c r="AB61" s="3">
        <f t="shared" ref="AB61:AB72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1679</v>
      </c>
      <c r="B62" s="4" t="s">
        <v>43</v>
      </c>
      <c r="C62" s="4">
        <v>24</v>
      </c>
      <c r="D62" s="4">
        <v>0</v>
      </c>
      <c r="E62" s="4" t="s">
        <v>1045</v>
      </c>
      <c r="F62" s="4" t="s">
        <v>1648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1680</v>
      </c>
      <c r="B63" s="3" t="s">
        <v>43</v>
      </c>
      <c r="C63" s="3">
        <v>23</v>
      </c>
      <c r="D63" s="3">
        <v>0</v>
      </c>
      <c r="E63" s="3" t="s">
        <v>111</v>
      </c>
      <c r="F63" s="3" t="s">
        <v>1648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1681</v>
      </c>
      <c r="B64" s="4" t="s">
        <v>43</v>
      </c>
      <c r="C64" s="4">
        <v>24</v>
      </c>
      <c r="D64" s="4">
        <v>0</v>
      </c>
      <c r="E64" s="4" t="s">
        <v>393</v>
      </c>
      <c r="F64" s="4" t="s">
        <v>1648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1682</v>
      </c>
      <c r="B65" s="3" t="s">
        <v>43</v>
      </c>
      <c r="C65" s="3">
        <v>31</v>
      </c>
      <c r="D65" s="3">
        <v>10</v>
      </c>
      <c r="E65" s="3" t="s">
        <v>458</v>
      </c>
      <c r="F65" s="3" t="s">
        <v>1648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1683</v>
      </c>
      <c r="B66" s="4" t="s">
        <v>43</v>
      </c>
      <c r="C66" s="4">
        <v>23</v>
      </c>
      <c r="D66" s="4">
        <v>0</v>
      </c>
      <c r="E66" s="4" t="s">
        <v>173</v>
      </c>
      <c r="F66" s="4" t="s">
        <v>1648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1684</v>
      </c>
      <c r="B67" s="3" t="s">
        <v>43</v>
      </c>
      <c r="C67" s="3">
        <v>24</v>
      </c>
      <c r="D67" s="3">
        <v>1</v>
      </c>
      <c r="E67" s="3" t="s">
        <v>1685</v>
      </c>
      <c r="F67" s="3" t="s">
        <v>1648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1686</v>
      </c>
      <c r="B68" s="4" t="s">
        <v>43</v>
      </c>
      <c r="C68" s="4">
        <v>24</v>
      </c>
      <c r="D68" s="4">
        <v>3</v>
      </c>
      <c r="E68" s="4" t="s">
        <v>227</v>
      </c>
      <c r="F68" s="4" t="s">
        <v>1648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1687</v>
      </c>
      <c r="B69" s="3" t="s">
        <v>43</v>
      </c>
      <c r="C69" s="3">
        <v>30</v>
      </c>
      <c r="D69" s="3">
        <v>8</v>
      </c>
      <c r="E69" s="3" t="s">
        <v>136</v>
      </c>
      <c r="F69" s="3" t="s">
        <v>1648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1688</v>
      </c>
      <c r="B70" s="4" t="s">
        <v>43</v>
      </c>
      <c r="C70" s="4">
        <v>24</v>
      </c>
      <c r="D70" s="4">
        <v>2</v>
      </c>
      <c r="E70" s="4" t="s">
        <v>418</v>
      </c>
      <c r="F70" s="4" t="s">
        <v>1648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1689</v>
      </c>
      <c r="B71" s="3" t="s">
        <v>43</v>
      </c>
      <c r="C71" s="3">
        <v>24</v>
      </c>
      <c r="D71" s="3">
        <v>1</v>
      </c>
      <c r="E71" s="3" t="s">
        <v>237</v>
      </c>
      <c r="F71" s="3" t="s">
        <v>1648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1690</v>
      </c>
      <c r="B72" s="4" t="s">
        <v>43</v>
      </c>
      <c r="C72" s="4">
        <v>26</v>
      </c>
      <c r="D72" s="4">
        <v>4</v>
      </c>
      <c r="E72" s="4" t="s">
        <v>360</v>
      </c>
      <c r="F72" s="4" t="s">
        <v>1648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1691</v>
      </c>
      <c r="B76" s="3" t="s">
        <v>38</v>
      </c>
      <c r="C76" s="3">
        <v>26</v>
      </c>
      <c r="D76" s="3">
        <v>1</v>
      </c>
      <c r="E76" s="3" t="s">
        <v>362</v>
      </c>
      <c r="F76" s="3" t="s">
        <v>1648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3">($J76*0.04)+($K76*4)+($L76*-2)+($N76*0.1)+($O76*6)+($Q76)+($R76*0.1)+($S76*6)+($T76*-2)</f>
        <v>0</v>
      </c>
      <c r="W76" s="3" t="e">
        <f t="shared" ref="W76:W82" ca="1" si="14">$P76/$H$33</f>
        <v>#DIV/0!</v>
      </c>
      <c r="X76" s="3" t="e">
        <f t="shared" ref="X76:X82" si="15">$N76/$M76</f>
        <v>#DIV/0!</v>
      </c>
      <c r="Y76" s="3" t="e">
        <f t="shared" ref="Y76:Y82" si="16">$R76/$Q76</f>
        <v>#DIV/0!</v>
      </c>
      <c r="Z76" s="3" t="e">
        <f t="shared" ref="Z76:Z82" si="17">$I76/$H76</f>
        <v>#DIV/0!</v>
      </c>
      <c r="AA76" s="3" t="e">
        <f>$K76/$H76</f>
        <v>#DIV/0!</v>
      </c>
      <c r="AB76" s="3">
        <f t="shared" ref="AB76:AB82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1692</v>
      </c>
      <c r="B77" s="4" t="s">
        <v>38</v>
      </c>
      <c r="C77" s="4">
        <v>26</v>
      </c>
      <c r="D77" s="4">
        <v>1</v>
      </c>
      <c r="E77" s="4" t="s">
        <v>170</v>
      </c>
      <c r="F77" s="4" t="s">
        <v>1648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1693</v>
      </c>
      <c r="B78" s="3" t="s">
        <v>38</v>
      </c>
      <c r="C78" s="3">
        <v>23</v>
      </c>
      <c r="D78" s="3">
        <v>2</v>
      </c>
      <c r="E78" s="3" t="s">
        <v>232</v>
      </c>
      <c r="F78" s="3" t="s">
        <v>1648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1694</v>
      </c>
      <c r="B79" s="4" t="s">
        <v>38</v>
      </c>
      <c r="C79" s="4">
        <v>28</v>
      </c>
      <c r="D79" s="4">
        <v>3</v>
      </c>
      <c r="E79" s="4" t="s">
        <v>616</v>
      </c>
      <c r="F79" s="4" t="s">
        <v>1648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1695</v>
      </c>
      <c r="B80" s="3" t="s">
        <v>38</v>
      </c>
      <c r="C80" s="3">
        <v>25</v>
      </c>
      <c r="D80" s="3">
        <v>1</v>
      </c>
      <c r="E80" s="3" t="s">
        <v>150</v>
      </c>
      <c r="F80" s="3" t="s">
        <v>1648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1696</v>
      </c>
      <c r="B81" s="4" t="s">
        <v>38</v>
      </c>
      <c r="C81" s="4">
        <v>27</v>
      </c>
      <c r="D81" s="4">
        <v>5</v>
      </c>
      <c r="E81" s="4" t="s">
        <v>344</v>
      </c>
      <c r="F81" s="4" t="s">
        <v>1648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  <row r="82" spans="1:28" x14ac:dyDescent="0.2">
      <c r="A82" s="3" t="s">
        <v>1697</v>
      </c>
      <c r="B82" s="3" t="s">
        <v>38</v>
      </c>
      <c r="C82" s="3">
        <v>23</v>
      </c>
      <c r="D82" s="3">
        <v>0</v>
      </c>
      <c r="E82" s="3" t="s">
        <v>136</v>
      </c>
      <c r="F82" s="3" t="s">
        <v>1648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3"/>
        <v>0</v>
      </c>
      <c r="W82" s="3" t="e">
        <f t="shared" ca="1" si="14"/>
        <v>#DIV/0!</v>
      </c>
      <c r="X82" s="3" t="e">
        <f t="shared" si="15"/>
        <v>#DIV/0!</v>
      </c>
      <c r="Y82" s="3" t="e">
        <f t="shared" si="16"/>
        <v>#DIV/0!</v>
      </c>
      <c r="Z82" s="3" t="e">
        <f t="shared" si="17"/>
        <v>#DIV/0!</v>
      </c>
      <c r="AA82" s="3" t="e">
        <f>$K82/$H82</f>
        <v>#DIV/0!</v>
      </c>
      <c r="AB82" s="3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AB81"/>
  <sheetViews>
    <sheetView zoomScale="90" zoomScaleNormal="90" workbookViewId="0">
      <selection activeCell="B22" sqref="B22"/>
    </sheetView>
  </sheetViews>
  <sheetFormatPr baseColWidth="10" defaultColWidth="11.5" defaultRowHeight="15" x14ac:dyDescent="0.2"/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">
      <c r="A2" s="3" t="s">
        <v>1698</v>
      </c>
      <c r="B2" s="3" t="s">
        <v>1699</v>
      </c>
      <c r="C2" s="3" t="s">
        <v>26</v>
      </c>
      <c r="D2" s="3">
        <v>8</v>
      </c>
      <c r="E2" s="3">
        <v>276</v>
      </c>
      <c r="F2" s="3">
        <v>172</v>
      </c>
      <c r="G2" s="3">
        <v>1755</v>
      </c>
      <c r="H2" s="3">
        <v>11</v>
      </c>
      <c r="I2" s="3">
        <v>9</v>
      </c>
      <c r="J2" s="3">
        <v>22</v>
      </c>
      <c r="K2" s="3">
        <v>86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2</v>
      </c>
      <c r="S2" s="3">
        <v>112.8</v>
      </c>
      <c r="T2" s="3">
        <v>0</v>
      </c>
      <c r="U2" s="3">
        <v>3.9090909090909101</v>
      </c>
      <c r="V2" s="3"/>
      <c r="W2" s="3">
        <v>0.623188405797101</v>
      </c>
      <c r="X2" s="3">
        <v>3.9855072463768099E-2</v>
      </c>
      <c r="Y2" s="3">
        <f t="shared" ref="Y2:Y20" si="0">($G2*Cp_yd)+($H2*Cp_td)+($I2*Cint)+($J2*Ccar)+($K2*Cr_yd)+($L2*Cr_td)+($N2*Crec)+($O2*Crec_yd)+($P2*Crec_td)+($Q2*Cfmb)+($R2*Ctp_c)</f>
        <v>112.8</v>
      </c>
    </row>
    <row r="3" spans="1:25" x14ac:dyDescent="0.2">
      <c r="A3" s="4" t="s">
        <v>1700</v>
      </c>
      <c r="B3" s="4" t="s">
        <v>1699</v>
      </c>
      <c r="C3" s="4" t="s">
        <v>26</v>
      </c>
      <c r="D3" s="4">
        <v>1</v>
      </c>
      <c r="E3" s="4">
        <v>19</v>
      </c>
      <c r="F3" s="4">
        <v>11</v>
      </c>
      <c r="G3" s="4">
        <v>169</v>
      </c>
      <c r="H3" s="4">
        <v>1</v>
      </c>
      <c r="I3" s="4">
        <v>1</v>
      </c>
      <c r="J3" s="4">
        <v>5</v>
      </c>
      <c r="K3" s="4">
        <v>35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18.260000000000002</v>
      </c>
      <c r="T3" s="4">
        <v>0</v>
      </c>
      <c r="U3" s="4">
        <v>7</v>
      </c>
      <c r="V3" s="4"/>
      <c r="W3" s="4">
        <v>0.57894736842105299</v>
      </c>
      <c r="X3" s="4">
        <v>5.2631578947368397E-2</v>
      </c>
      <c r="Y3" s="4">
        <f t="shared" si="0"/>
        <v>18.259999999999998</v>
      </c>
    </row>
    <row r="4" spans="1:25" x14ac:dyDescent="0.2">
      <c r="A4" s="3" t="s">
        <v>1701</v>
      </c>
      <c r="B4" s="3" t="s">
        <v>1699</v>
      </c>
      <c r="C4" s="3" t="s">
        <v>26</v>
      </c>
      <c r="D4" s="3">
        <v>9</v>
      </c>
      <c r="E4" s="3">
        <v>259</v>
      </c>
      <c r="F4" s="3">
        <v>161</v>
      </c>
      <c r="G4" s="3">
        <v>1859</v>
      </c>
      <c r="H4" s="3">
        <v>12</v>
      </c>
      <c r="I4" s="3">
        <v>6</v>
      </c>
      <c r="J4" s="3">
        <v>28</v>
      </c>
      <c r="K4" s="3">
        <v>96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5</v>
      </c>
      <c r="R4" s="3">
        <v>0</v>
      </c>
      <c r="S4" s="3">
        <v>115.96</v>
      </c>
      <c r="T4" s="3">
        <v>0</v>
      </c>
      <c r="U4" s="3">
        <v>3.4285714285714302</v>
      </c>
      <c r="V4" s="3"/>
      <c r="W4" s="3">
        <v>0.62162162162162204</v>
      </c>
      <c r="X4" s="3">
        <v>4.6332046332046302E-2</v>
      </c>
      <c r="Y4" s="3">
        <f t="shared" si="0"/>
        <v>115.96000000000001</v>
      </c>
    </row>
    <row r="5" spans="1:25" x14ac:dyDescent="0.2">
      <c r="A5" s="4" t="s">
        <v>1702</v>
      </c>
      <c r="B5" s="4" t="s">
        <v>1699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149</v>
      </c>
      <c r="K5" s="4">
        <v>546</v>
      </c>
      <c r="L5" s="4">
        <v>3</v>
      </c>
      <c r="M5" s="4">
        <v>58</v>
      </c>
      <c r="N5" s="4">
        <v>46</v>
      </c>
      <c r="O5" s="4">
        <v>353</v>
      </c>
      <c r="P5" s="4">
        <v>2</v>
      </c>
      <c r="Q5" s="4">
        <v>0</v>
      </c>
      <c r="R5" s="4">
        <v>0</v>
      </c>
      <c r="S5" s="4">
        <v>165.9</v>
      </c>
      <c r="T5" s="4">
        <v>0.12719298245614</v>
      </c>
      <c r="U5" s="4">
        <v>3.6644295302013399</v>
      </c>
      <c r="V5" s="4">
        <v>7.6739130434782599</v>
      </c>
      <c r="W5" s="4"/>
      <c r="X5" s="4"/>
      <c r="Y5" s="4">
        <f t="shared" si="0"/>
        <v>165.9</v>
      </c>
    </row>
    <row r="6" spans="1:25" x14ac:dyDescent="0.2">
      <c r="A6" s="3" t="s">
        <v>1703</v>
      </c>
      <c r="B6" s="3" t="s">
        <v>1699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205</v>
      </c>
      <c r="K6" s="3">
        <v>797</v>
      </c>
      <c r="L6" s="3">
        <v>2</v>
      </c>
      <c r="M6" s="3">
        <v>12</v>
      </c>
      <c r="N6" s="3">
        <v>9</v>
      </c>
      <c r="O6" s="3">
        <v>60</v>
      </c>
      <c r="P6" s="3">
        <v>1</v>
      </c>
      <c r="Q6" s="3">
        <v>0</v>
      </c>
      <c r="R6" s="3">
        <v>0</v>
      </c>
      <c r="S6" s="3">
        <v>112.7</v>
      </c>
      <c r="T6" s="3">
        <v>2.6315789473684199E-2</v>
      </c>
      <c r="U6" s="3">
        <v>3.8878048780487799</v>
      </c>
      <c r="V6" s="3">
        <v>6.6666666666666696</v>
      </c>
      <c r="W6" s="3"/>
      <c r="X6" s="3"/>
      <c r="Y6" s="3">
        <f t="shared" si="0"/>
        <v>112.7</v>
      </c>
    </row>
    <row r="7" spans="1:25" x14ac:dyDescent="0.2">
      <c r="A7" s="4" t="s">
        <v>1704</v>
      </c>
      <c r="B7" s="4" t="s">
        <v>1699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</v>
      </c>
      <c r="K7" s="4">
        <v>95</v>
      </c>
      <c r="L7" s="4">
        <v>0</v>
      </c>
      <c r="M7" s="4">
        <v>40</v>
      </c>
      <c r="N7" s="4">
        <v>27</v>
      </c>
      <c r="O7" s="4">
        <v>173</v>
      </c>
      <c r="P7" s="4">
        <v>0</v>
      </c>
      <c r="Q7" s="4">
        <v>0</v>
      </c>
      <c r="R7" s="4">
        <v>0</v>
      </c>
      <c r="S7" s="4">
        <v>55.8</v>
      </c>
      <c r="T7" s="4">
        <v>8.7719298245614002E-2</v>
      </c>
      <c r="U7" s="4">
        <v>4.3181818181818201</v>
      </c>
      <c r="V7" s="4">
        <v>6.4074074074074101</v>
      </c>
      <c r="W7" s="4"/>
      <c r="X7" s="4"/>
      <c r="Y7" s="4">
        <f t="shared" si="0"/>
        <v>53.8</v>
      </c>
    </row>
    <row r="8" spans="1:25" x14ac:dyDescent="0.2">
      <c r="A8" s="3" t="s">
        <v>1705</v>
      </c>
      <c r="B8" s="3" t="s">
        <v>1699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78</v>
      </c>
      <c r="L8" s="3">
        <v>0</v>
      </c>
      <c r="M8" s="3">
        <v>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7.8</v>
      </c>
      <c r="T8" s="3">
        <v>2.1929824561403499E-3</v>
      </c>
      <c r="U8" s="3">
        <v>4.5882352941176503</v>
      </c>
      <c r="V8" s="3"/>
      <c r="W8" s="3"/>
      <c r="X8" s="3"/>
      <c r="Y8" s="3">
        <f t="shared" si="0"/>
        <v>7.8000000000000007</v>
      </c>
    </row>
    <row r="9" spans="1:25" x14ac:dyDescent="0.2">
      <c r="A9" s="4" t="s">
        <v>588</v>
      </c>
      <c r="B9" s="4" t="s">
        <v>1699</v>
      </c>
      <c r="C9" s="4" t="s">
        <v>31</v>
      </c>
      <c r="D9" s="4">
        <v>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37</v>
      </c>
      <c r="K9" s="4">
        <v>152</v>
      </c>
      <c r="L9" s="4">
        <v>0</v>
      </c>
      <c r="M9" s="4">
        <v>10</v>
      </c>
      <c r="N9" s="4">
        <v>7</v>
      </c>
      <c r="O9" s="4">
        <v>40</v>
      </c>
      <c r="P9" s="4">
        <v>0</v>
      </c>
      <c r="Q9" s="4">
        <v>0</v>
      </c>
      <c r="R9" s="4">
        <v>0</v>
      </c>
      <c r="S9" s="4">
        <v>26.2</v>
      </c>
      <c r="T9" s="4">
        <v>2.1929824561403501E-2</v>
      </c>
      <c r="U9" s="4">
        <v>4.1081081081081097</v>
      </c>
      <c r="V9" s="4">
        <v>5.71428571428571</v>
      </c>
      <c r="W9" s="4"/>
      <c r="X9" s="4"/>
      <c r="Y9" s="4">
        <f t="shared" si="0"/>
        <v>26.200000000000003</v>
      </c>
    </row>
    <row r="10" spans="1:25" x14ac:dyDescent="0.2">
      <c r="A10" s="3" t="s">
        <v>1706</v>
      </c>
      <c r="B10" s="3" t="s">
        <v>1699</v>
      </c>
      <c r="C10" s="3" t="s">
        <v>31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3</v>
      </c>
      <c r="K10" s="3">
        <v>8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0.8</v>
      </c>
      <c r="T10" s="3">
        <v>0</v>
      </c>
      <c r="U10" s="3">
        <v>2.6666666666666701</v>
      </c>
      <c r="V10" s="3"/>
      <c r="W10" s="3"/>
      <c r="X10" s="3"/>
      <c r="Y10" s="3">
        <f t="shared" si="0"/>
        <v>0.8</v>
      </c>
    </row>
    <row r="11" spans="1:25" x14ac:dyDescent="0.2">
      <c r="A11" s="4" t="s">
        <v>1707</v>
      </c>
      <c r="B11" s="4" t="s">
        <v>1699</v>
      </c>
      <c r="C11" s="4" t="s">
        <v>38</v>
      </c>
      <c r="D11" s="4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26</v>
      </c>
      <c r="L11" s="4">
        <v>0</v>
      </c>
      <c r="M11" s="4">
        <v>6</v>
      </c>
      <c r="N11" s="4">
        <v>5</v>
      </c>
      <c r="O11" s="4">
        <v>64</v>
      </c>
      <c r="P11" s="4">
        <v>0</v>
      </c>
      <c r="Q11" s="4">
        <v>0</v>
      </c>
      <c r="R11" s="4">
        <v>0</v>
      </c>
      <c r="S11" s="4">
        <v>14</v>
      </c>
      <c r="T11" s="4">
        <v>1.3157894736842099E-2</v>
      </c>
      <c r="U11" s="4">
        <v>13</v>
      </c>
      <c r="V11" s="4">
        <v>12.8</v>
      </c>
      <c r="W11" s="4"/>
      <c r="X11" s="4"/>
      <c r="Y11" s="4">
        <f t="shared" si="0"/>
        <v>14</v>
      </c>
    </row>
    <row r="12" spans="1:25" x14ac:dyDescent="0.2">
      <c r="A12" s="3" t="s">
        <v>1708</v>
      </c>
      <c r="B12" s="3" t="s">
        <v>1699</v>
      </c>
      <c r="C12" s="3" t="s">
        <v>38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9</v>
      </c>
      <c r="N12" s="3">
        <v>2</v>
      </c>
      <c r="O12" s="3">
        <v>23</v>
      </c>
      <c r="P12" s="3">
        <v>0</v>
      </c>
      <c r="Q12" s="3">
        <v>0</v>
      </c>
      <c r="R12" s="3">
        <v>0</v>
      </c>
      <c r="S12" s="3">
        <v>4.3</v>
      </c>
      <c r="T12" s="3">
        <v>1.9736842105263198E-2</v>
      </c>
      <c r="U12" s="3"/>
      <c r="V12" s="3">
        <v>11.5</v>
      </c>
      <c r="W12" s="3"/>
      <c r="X12" s="3"/>
      <c r="Y12" s="3">
        <f t="shared" si="0"/>
        <v>4.3000000000000007</v>
      </c>
    </row>
    <row r="13" spans="1:25" x14ac:dyDescent="0.2">
      <c r="A13" s="4" t="s">
        <v>1709</v>
      </c>
      <c r="B13" s="4" t="s">
        <v>1699</v>
      </c>
      <c r="C13" s="4" t="s">
        <v>38</v>
      </c>
      <c r="D13" s="4">
        <v>9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22</v>
      </c>
      <c r="N13" s="4">
        <v>14</v>
      </c>
      <c r="O13" s="4">
        <v>108</v>
      </c>
      <c r="P13" s="4">
        <v>1</v>
      </c>
      <c r="Q13" s="4">
        <v>0</v>
      </c>
      <c r="R13" s="4">
        <v>0</v>
      </c>
      <c r="S13" s="4">
        <v>30.8</v>
      </c>
      <c r="T13" s="4">
        <v>4.8245614035087703E-2</v>
      </c>
      <c r="U13" s="4"/>
      <c r="V13" s="4">
        <v>7.71428571428571</v>
      </c>
      <c r="W13" s="4"/>
      <c r="X13" s="4"/>
      <c r="Y13" s="4">
        <f t="shared" si="0"/>
        <v>30.8</v>
      </c>
    </row>
    <row r="14" spans="1:25" x14ac:dyDescent="0.2">
      <c r="A14" s="3" t="s">
        <v>1710</v>
      </c>
      <c r="B14" s="3" t="s">
        <v>1699</v>
      </c>
      <c r="C14" s="3" t="s">
        <v>38</v>
      </c>
      <c r="D14" s="3">
        <v>13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61</v>
      </c>
      <c r="N14" s="3">
        <v>39</v>
      </c>
      <c r="O14" s="3">
        <v>323</v>
      </c>
      <c r="P14" s="3">
        <v>1</v>
      </c>
      <c r="Q14" s="3">
        <v>0</v>
      </c>
      <c r="R14" s="3">
        <v>0</v>
      </c>
      <c r="S14" s="3">
        <v>77.3</v>
      </c>
      <c r="T14" s="3">
        <v>0.13377192982456099</v>
      </c>
      <c r="U14" s="3"/>
      <c r="V14" s="3">
        <v>8.2820512820512793</v>
      </c>
      <c r="W14" s="3"/>
      <c r="X14" s="3"/>
      <c r="Y14" s="3">
        <f t="shared" si="0"/>
        <v>77.300000000000011</v>
      </c>
    </row>
    <row r="15" spans="1:25" x14ac:dyDescent="0.2">
      <c r="A15" s="4" t="s">
        <v>1711</v>
      </c>
      <c r="B15" s="4" t="s">
        <v>1699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38</v>
      </c>
      <c r="K15" s="4">
        <v>187</v>
      </c>
      <c r="L15" s="4">
        <v>1</v>
      </c>
      <c r="M15" s="4">
        <v>92</v>
      </c>
      <c r="N15" s="4">
        <v>64</v>
      </c>
      <c r="O15" s="4">
        <v>656</v>
      </c>
      <c r="P15" s="4">
        <v>4</v>
      </c>
      <c r="Q15" s="4">
        <v>1</v>
      </c>
      <c r="R15" s="4">
        <v>0</v>
      </c>
      <c r="S15" s="4">
        <v>176.3</v>
      </c>
      <c r="T15" s="4">
        <v>0.20175438596491199</v>
      </c>
      <c r="U15" s="4">
        <v>4.9210526315789496</v>
      </c>
      <c r="V15" s="4">
        <v>10.25</v>
      </c>
      <c r="W15" s="4"/>
      <c r="X15" s="4"/>
      <c r="Y15" s="4">
        <f t="shared" si="0"/>
        <v>176.3</v>
      </c>
    </row>
    <row r="16" spans="1:25" x14ac:dyDescent="0.2">
      <c r="A16" s="3" t="s">
        <v>1712</v>
      </c>
      <c r="B16" s="3" t="s">
        <v>1699</v>
      </c>
      <c r="C16" s="3" t="s">
        <v>43</v>
      </c>
      <c r="D16" s="3">
        <v>12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18</v>
      </c>
      <c r="N16" s="3">
        <v>8</v>
      </c>
      <c r="O16" s="3">
        <v>89</v>
      </c>
      <c r="P16" s="3">
        <v>0</v>
      </c>
      <c r="Q16" s="3">
        <v>0</v>
      </c>
      <c r="R16" s="3">
        <v>0</v>
      </c>
      <c r="S16" s="3">
        <v>16.899999999999999</v>
      </c>
      <c r="T16" s="3">
        <v>3.94736842105263E-2</v>
      </c>
      <c r="U16" s="3"/>
      <c r="V16" s="3">
        <v>11.125</v>
      </c>
      <c r="W16" s="3"/>
      <c r="X16" s="3"/>
      <c r="Y16" s="3">
        <f t="shared" si="0"/>
        <v>16.899999999999999</v>
      </c>
    </row>
    <row r="17" spans="1:25" x14ac:dyDescent="0.2">
      <c r="A17" s="4" t="s">
        <v>1713</v>
      </c>
      <c r="B17" s="4" t="s">
        <v>1699</v>
      </c>
      <c r="C17" s="4" t="s">
        <v>43</v>
      </c>
      <c r="D17" s="4">
        <v>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15</v>
      </c>
      <c r="L17" s="4">
        <v>0</v>
      </c>
      <c r="M17" s="4">
        <v>14</v>
      </c>
      <c r="N17" s="4">
        <v>5</v>
      </c>
      <c r="O17" s="4">
        <v>143</v>
      </c>
      <c r="P17" s="4">
        <v>2</v>
      </c>
      <c r="Q17" s="4">
        <v>0</v>
      </c>
      <c r="R17" s="4">
        <v>0</v>
      </c>
      <c r="S17" s="4">
        <v>32.799999999999997</v>
      </c>
      <c r="T17" s="4">
        <v>3.07017543859649E-2</v>
      </c>
      <c r="U17" s="4">
        <v>15</v>
      </c>
      <c r="V17" s="4">
        <v>28.6</v>
      </c>
      <c r="W17" s="4"/>
      <c r="X17" s="4"/>
      <c r="Y17" s="4">
        <f t="shared" si="0"/>
        <v>32.799999999999997</v>
      </c>
    </row>
    <row r="18" spans="1:25" x14ac:dyDescent="0.2">
      <c r="A18" s="3" t="s">
        <v>1714</v>
      </c>
      <c r="B18" s="3" t="s">
        <v>1699</v>
      </c>
      <c r="C18" s="3" t="s">
        <v>43</v>
      </c>
      <c r="D18" s="3">
        <v>7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7</v>
      </c>
      <c r="N18" s="3">
        <v>6</v>
      </c>
      <c r="O18" s="3">
        <v>37</v>
      </c>
      <c r="P18" s="3">
        <v>1</v>
      </c>
      <c r="Q18" s="3">
        <v>0</v>
      </c>
      <c r="R18" s="3">
        <v>0</v>
      </c>
      <c r="S18" s="3">
        <v>15.7</v>
      </c>
      <c r="T18" s="3">
        <v>1.53508771929825E-2</v>
      </c>
      <c r="U18" s="3"/>
      <c r="V18" s="3">
        <v>6.1666666666666696</v>
      </c>
      <c r="W18" s="3"/>
      <c r="X18" s="3"/>
      <c r="Y18" s="3">
        <f t="shared" si="0"/>
        <v>15.7</v>
      </c>
    </row>
    <row r="19" spans="1:25" x14ac:dyDescent="0.2">
      <c r="A19" s="4" t="s">
        <v>1715</v>
      </c>
      <c r="B19" s="4" t="s">
        <v>1699</v>
      </c>
      <c r="C19" s="4" t="s">
        <v>43</v>
      </c>
      <c r="D19" s="4">
        <v>12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2</v>
      </c>
      <c r="K19" s="4">
        <v>-7</v>
      </c>
      <c r="L19" s="4">
        <v>0</v>
      </c>
      <c r="M19" s="4">
        <v>61</v>
      </c>
      <c r="N19" s="4">
        <v>35</v>
      </c>
      <c r="O19" s="4">
        <v>523</v>
      </c>
      <c r="P19" s="4">
        <v>7</v>
      </c>
      <c r="Q19" s="4">
        <v>0</v>
      </c>
      <c r="R19" s="4">
        <v>0</v>
      </c>
      <c r="S19" s="4">
        <v>130.6</v>
      </c>
      <c r="T19" s="4">
        <v>0.13377192982456099</v>
      </c>
      <c r="U19" s="4">
        <v>-3.5</v>
      </c>
      <c r="V19" s="4">
        <v>14.9428571428571</v>
      </c>
      <c r="W19" s="4"/>
      <c r="X19" s="4"/>
      <c r="Y19" s="4">
        <f t="shared" si="0"/>
        <v>128.6</v>
      </c>
    </row>
    <row r="20" spans="1:25" x14ac:dyDescent="0.2">
      <c r="A20" s="3" t="s">
        <v>1716</v>
      </c>
      <c r="B20" s="3" t="s">
        <v>1699</v>
      </c>
      <c r="C20" s="3" t="s">
        <v>43</v>
      </c>
      <c r="D20" s="3">
        <v>17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7</v>
      </c>
      <c r="K20" s="3">
        <v>29</v>
      </c>
      <c r="L20" s="3">
        <v>0</v>
      </c>
      <c r="M20" s="3">
        <v>120</v>
      </c>
      <c r="N20" s="3">
        <v>77</v>
      </c>
      <c r="O20" s="3">
        <v>1191</v>
      </c>
      <c r="P20" s="3">
        <v>5</v>
      </c>
      <c r="Q20" s="3">
        <v>0</v>
      </c>
      <c r="R20" s="3">
        <v>0</v>
      </c>
      <c r="S20" s="3">
        <v>229</v>
      </c>
      <c r="T20" s="3">
        <v>0.26315789473684198</v>
      </c>
      <c r="U20" s="3">
        <v>4.1428571428571397</v>
      </c>
      <c r="V20" s="3">
        <v>15.4675324675325</v>
      </c>
      <c r="W20" s="3"/>
      <c r="X20" s="3"/>
      <c r="Y20" s="3">
        <f t="shared" si="0"/>
        <v>229</v>
      </c>
    </row>
    <row r="30" spans="1:25" x14ac:dyDescent="0.2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">
      <c r="A31" s="3" t="s">
        <v>1699</v>
      </c>
      <c r="B31" s="3">
        <v>5926</v>
      </c>
      <c r="C31" s="3">
        <v>3783</v>
      </c>
      <c r="D31" s="3">
        <v>538</v>
      </c>
      <c r="E31" s="3">
        <v>2143</v>
      </c>
      <c r="F31" s="3">
        <v>9</v>
      </c>
      <c r="G31" s="3">
        <v>1343.92</v>
      </c>
      <c r="H31" s="3">
        <v>554</v>
      </c>
      <c r="I31" s="3">
        <v>0.62093862815884504</v>
      </c>
      <c r="J31" s="3">
        <v>24</v>
      </c>
      <c r="K31" s="3">
        <v>16</v>
      </c>
      <c r="L31" s="3">
        <v>7</v>
      </c>
      <c r="M31" s="3">
        <f ca="1">SUM(INDIRECT(A33 &amp; "_Table1[[#All],[f_custom]]"))</f>
        <v>1339.9199999999998</v>
      </c>
    </row>
    <row r="32" spans="1:25" x14ac:dyDescent="0.2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">
      <c r="A33" s="3" t="str">
        <f>A31</f>
        <v>WAS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">
      <c r="A36" s="3" t="s">
        <v>1717</v>
      </c>
      <c r="B36" s="3" t="s">
        <v>26</v>
      </c>
      <c r="C36" s="3">
        <v>30</v>
      </c>
      <c r="D36" s="3">
        <v>8</v>
      </c>
      <c r="E36" s="3" t="s">
        <v>1113</v>
      </c>
      <c r="F36" s="3" t="s">
        <v>1699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">
      <c r="A37" s="4" t="s">
        <v>1718</v>
      </c>
      <c r="B37" s="4" t="s">
        <v>26</v>
      </c>
      <c r="C37" s="4">
        <v>25</v>
      </c>
      <c r="D37" s="4">
        <v>3</v>
      </c>
      <c r="E37" s="4" t="s">
        <v>173</v>
      </c>
      <c r="F37" s="4" t="s">
        <v>1699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">
      <c r="A38" s="3" t="s">
        <v>1719</v>
      </c>
      <c r="B38" s="3" t="s">
        <v>26</v>
      </c>
      <c r="C38" s="3">
        <v>22</v>
      </c>
      <c r="D38" s="3">
        <v>2</v>
      </c>
      <c r="E38" s="3" t="s">
        <v>163</v>
      </c>
      <c r="F38" s="3" t="s">
        <v>1699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">
      <c r="A46" s="3" t="s">
        <v>1720</v>
      </c>
      <c r="B46" s="3" t="s">
        <v>31</v>
      </c>
      <c r="C46" s="3">
        <v>29</v>
      </c>
      <c r="D46" s="3">
        <v>5</v>
      </c>
      <c r="E46" s="3" t="s">
        <v>1721</v>
      </c>
      <c r="F46" s="3" t="s">
        <v>1699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>$K46/$H46</f>
        <v>#DIV/0!</v>
      </c>
      <c r="AB46" s="3">
        <f t="shared" ref="AB46:AB52" si="6">($J46*Cp_yd)+($K46*Cp_td)+($L46*Cint)+($M46*Ccar)+($N46*Cr_yd)+($O46*Cr_td)+(Q46*Crec)+($R46*Crec_yd)+($S46*Crec_td)+($T46*Cfmb)+($U46*Ctp_c)</f>
        <v>0</v>
      </c>
    </row>
    <row r="47" spans="1:28" x14ac:dyDescent="0.2">
      <c r="A47" s="4" t="s">
        <v>1722</v>
      </c>
      <c r="B47" s="4" t="s">
        <v>31</v>
      </c>
      <c r="C47" s="4">
        <v>25</v>
      </c>
      <c r="D47" s="4">
        <v>4</v>
      </c>
      <c r="E47" s="4" t="s">
        <v>557</v>
      </c>
      <c r="F47" s="4" t="s">
        <v>1699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 t="shared" si="6"/>
        <v>0</v>
      </c>
    </row>
    <row r="48" spans="1:28" x14ac:dyDescent="0.2">
      <c r="A48" s="3" t="s">
        <v>1723</v>
      </c>
      <c r="B48" s="3" t="s">
        <v>31</v>
      </c>
      <c r="C48" s="3">
        <v>28</v>
      </c>
      <c r="D48" s="3">
        <v>5</v>
      </c>
      <c r="E48" s="3" t="s">
        <v>909</v>
      </c>
      <c r="F48" s="3" t="s">
        <v>1699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 t="shared" si="6"/>
        <v>0</v>
      </c>
    </row>
    <row r="49" spans="1:28" x14ac:dyDescent="0.2">
      <c r="A49" s="4" t="s">
        <v>1724</v>
      </c>
      <c r="B49" s="4" t="s">
        <v>31</v>
      </c>
      <c r="C49" s="4">
        <v>23</v>
      </c>
      <c r="D49" s="4">
        <v>2</v>
      </c>
      <c r="E49" s="4" t="s">
        <v>806</v>
      </c>
      <c r="F49" s="4" t="s">
        <v>1699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 t="shared" si="6"/>
        <v>0</v>
      </c>
    </row>
    <row r="50" spans="1:28" x14ac:dyDescent="0.2">
      <c r="A50" s="3" t="s">
        <v>1725</v>
      </c>
      <c r="B50" s="3" t="s">
        <v>31</v>
      </c>
      <c r="C50" s="3">
        <v>24</v>
      </c>
      <c r="D50" s="3">
        <v>2</v>
      </c>
      <c r="E50" s="3" t="s">
        <v>153</v>
      </c>
      <c r="F50" s="3" t="s">
        <v>1699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 t="shared" si="6"/>
        <v>0</v>
      </c>
    </row>
    <row r="51" spans="1:28" x14ac:dyDescent="0.2">
      <c r="A51" s="4" t="s">
        <v>1726</v>
      </c>
      <c r="B51" s="4" t="s">
        <v>31</v>
      </c>
      <c r="C51" s="4">
        <v>23</v>
      </c>
      <c r="D51" s="4">
        <v>0</v>
      </c>
      <c r="E51" s="4" t="s">
        <v>150</v>
      </c>
      <c r="F51" s="4" t="s">
        <v>1699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>$K51/$H51</f>
        <v>#DIV/0!</v>
      </c>
      <c r="AB51" s="4">
        <f t="shared" si="6"/>
        <v>0</v>
      </c>
    </row>
    <row r="52" spans="1:28" x14ac:dyDescent="0.2">
      <c r="A52" s="3" t="s">
        <v>1727</v>
      </c>
      <c r="B52" s="3" t="s">
        <v>31</v>
      </c>
      <c r="C52" s="3">
        <v>29</v>
      </c>
      <c r="D52" s="3">
        <v>7</v>
      </c>
      <c r="E52" s="3" t="s">
        <v>175</v>
      </c>
      <c r="F52" s="3" t="s">
        <v>1699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>$K52/$H52</f>
        <v>#DIV/0!</v>
      </c>
      <c r="AB52" s="3">
        <f t="shared" si="6"/>
        <v>0</v>
      </c>
    </row>
    <row r="60" spans="1:28" x14ac:dyDescent="0.2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">
      <c r="A61" s="3" t="s">
        <v>1728</v>
      </c>
      <c r="B61" s="3" t="s">
        <v>43</v>
      </c>
      <c r="C61" s="3">
        <v>23</v>
      </c>
      <c r="D61" s="3">
        <v>0</v>
      </c>
      <c r="E61" s="3" t="s">
        <v>418</v>
      </c>
      <c r="F61" s="3" t="s">
        <v>1699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7">($J61*0.04)+($K61*4)+($L61*-2)+($N61*0.1)+($O61*6)+($Q61)+($R61*0.1)+($S61*6)+($T61*-2)</f>
        <v>0</v>
      </c>
      <c r="W61" s="3" t="e">
        <f t="shared" ref="W61:W73" ca="1" si="8">$P61/$H$33</f>
        <v>#DIV/0!</v>
      </c>
      <c r="X61" s="3" t="e">
        <f t="shared" ref="X61:X73" si="9">$N61/$M61</f>
        <v>#DIV/0!</v>
      </c>
      <c r="Y61" s="3" t="e">
        <f t="shared" ref="Y61:Y73" si="10">$R61/$Q61</f>
        <v>#DIV/0!</v>
      </c>
      <c r="Z61" s="3" t="e">
        <f t="shared" ref="Z61:Z73" si="11">$I61/$H61</f>
        <v>#DIV/0!</v>
      </c>
      <c r="AA61" s="3" t="e">
        <f>$K61/$H61</f>
        <v>#DIV/0!</v>
      </c>
      <c r="AB61" s="3">
        <f t="shared" ref="AB61:AB73" si="12">($J61*Cp_yd)+($K61*Cp_td)+($L61*Cint)+($M61*Ccar)+($N61*Cr_yd)+($O61*Cr_td)+(Q61*Crec)+($R61*Crec_yd)+($S61*Crec_td)+($T61*Cfmb)+($U61*Ctp_c)</f>
        <v>0</v>
      </c>
    </row>
    <row r="62" spans="1:28" x14ac:dyDescent="0.2">
      <c r="A62" s="4" t="s">
        <v>1729</v>
      </c>
      <c r="B62" s="4" t="s">
        <v>43</v>
      </c>
      <c r="C62" s="4">
        <v>24</v>
      </c>
      <c r="D62" s="4">
        <v>0</v>
      </c>
      <c r="E62" s="4" t="s">
        <v>803</v>
      </c>
      <c r="F62" s="4" t="s">
        <v>1699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>$K62/$H62</f>
        <v>#DIV/0!</v>
      </c>
      <c r="AB62" s="4">
        <f t="shared" si="12"/>
        <v>0</v>
      </c>
    </row>
    <row r="63" spans="1:28" x14ac:dyDescent="0.2">
      <c r="A63" s="3" t="s">
        <v>1730</v>
      </c>
      <c r="B63" s="3" t="s">
        <v>43</v>
      </c>
      <c r="C63" s="3">
        <v>23</v>
      </c>
      <c r="D63" s="3">
        <v>3</v>
      </c>
      <c r="E63" s="3" t="s">
        <v>163</v>
      </c>
      <c r="F63" s="3" t="s">
        <v>1699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>$K63/$H63</f>
        <v>#DIV/0!</v>
      </c>
      <c r="AB63" s="3">
        <f t="shared" si="12"/>
        <v>0</v>
      </c>
    </row>
    <row r="64" spans="1:28" x14ac:dyDescent="0.2">
      <c r="A64" s="4" t="s">
        <v>1731</v>
      </c>
      <c r="B64" s="4" t="s">
        <v>43</v>
      </c>
      <c r="C64" s="4">
        <v>23</v>
      </c>
      <c r="D64" s="4">
        <v>2</v>
      </c>
      <c r="E64" s="4" t="s">
        <v>339</v>
      </c>
      <c r="F64" s="4" t="s">
        <v>1699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>$K64/$H64</f>
        <v>#DIV/0!</v>
      </c>
      <c r="AB64" s="4">
        <f t="shared" si="12"/>
        <v>0</v>
      </c>
    </row>
    <row r="65" spans="1:28" x14ac:dyDescent="0.2">
      <c r="A65" s="3" t="s">
        <v>1732</v>
      </c>
      <c r="B65" s="3" t="s">
        <v>43</v>
      </c>
      <c r="C65" s="3">
        <v>28</v>
      </c>
      <c r="D65" s="3">
        <v>5</v>
      </c>
      <c r="E65" s="3" t="s">
        <v>803</v>
      </c>
      <c r="F65" s="3" t="s">
        <v>1699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>$K65/$H65</f>
        <v>#DIV/0!</v>
      </c>
      <c r="AB65" s="3">
        <f t="shared" si="12"/>
        <v>0</v>
      </c>
    </row>
    <row r="66" spans="1:28" x14ac:dyDescent="0.2">
      <c r="A66" s="4" t="s">
        <v>1733</v>
      </c>
      <c r="B66" s="4" t="s">
        <v>43</v>
      </c>
      <c r="C66" s="4">
        <v>23</v>
      </c>
      <c r="D66" s="4">
        <v>1</v>
      </c>
      <c r="E66" s="4" t="s">
        <v>455</v>
      </c>
      <c r="F66" s="4" t="s">
        <v>1699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>$K66/$H66</f>
        <v>#DIV/0!</v>
      </c>
      <c r="AB66" s="4">
        <f t="shared" si="12"/>
        <v>0</v>
      </c>
    </row>
    <row r="67" spans="1:28" x14ac:dyDescent="0.2">
      <c r="A67" s="3" t="s">
        <v>1734</v>
      </c>
      <c r="B67" s="3" t="s">
        <v>43</v>
      </c>
      <c r="C67" s="3">
        <v>27</v>
      </c>
      <c r="D67" s="3">
        <v>5</v>
      </c>
      <c r="E67" s="3" t="s">
        <v>213</v>
      </c>
      <c r="F67" s="3" t="s">
        <v>1699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>$K67/$H67</f>
        <v>#DIV/0!</v>
      </c>
      <c r="AB67" s="3">
        <f t="shared" si="12"/>
        <v>0</v>
      </c>
    </row>
    <row r="68" spans="1:28" x14ac:dyDescent="0.2">
      <c r="A68" s="4" t="s">
        <v>1735</v>
      </c>
      <c r="B68" s="4" t="s">
        <v>43</v>
      </c>
      <c r="C68" s="4">
        <v>24</v>
      </c>
      <c r="D68" s="4">
        <v>3</v>
      </c>
      <c r="E68" s="4" t="s">
        <v>82</v>
      </c>
      <c r="F68" s="4" t="s">
        <v>1699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>$K68/$H68</f>
        <v>#DIV/0!</v>
      </c>
      <c r="AB68" s="4">
        <f t="shared" si="12"/>
        <v>0</v>
      </c>
    </row>
    <row r="69" spans="1:28" x14ac:dyDescent="0.2">
      <c r="A69" s="3" t="s">
        <v>1736</v>
      </c>
      <c r="B69" s="3" t="s">
        <v>43</v>
      </c>
      <c r="C69" s="3">
        <v>29</v>
      </c>
      <c r="D69" s="3">
        <v>6</v>
      </c>
      <c r="E69" s="3" t="s">
        <v>559</v>
      </c>
      <c r="F69" s="3" t="s">
        <v>1699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>$K69/$H69</f>
        <v>#DIV/0!</v>
      </c>
      <c r="AB69" s="3">
        <f t="shared" si="12"/>
        <v>0</v>
      </c>
    </row>
    <row r="70" spans="1:28" x14ac:dyDescent="0.2">
      <c r="A70" s="4" t="s">
        <v>1737</v>
      </c>
      <c r="B70" s="4" t="s">
        <v>43</v>
      </c>
      <c r="C70" s="4">
        <v>24</v>
      </c>
      <c r="D70" s="4">
        <v>0</v>
      </c>
      <c r="E70" s="4" t="s">
        <v>702</v>
      </c>
      <c r="F70" s="4" t="s">
        <v>1699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>$K70/$H70</f>
        <v>#DIV/0!</v>
      </c>
      <c r="AB70" s="4">
        <f t="shared" si="12"/>
        <v>0</v>
      </c>
    </row>
    <row r="71" spans="1:28" x14ac:dyDescent="0.2">
      <c r="A71" s="3" t="s">
        <v>1738</v>
      </c>
      <c r="B71" s="3" t="s">
        <v>43</v>
      </c>
      <c r="C71" s="3">
        <v>27</v>
      </c>
      <c r="D71" s="3">
        <v>7</v>
      </c>
      <c r="E71" s="3" t="s">
        <v>213</v>
      </c>
      <c r="F71" s="3" t="s">
        <v>1699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>$K71/$H71</f>
        <v>#DIV/0!</v>
      </c>
      <c r="AB71" s="3">
        <f t="shared" si="12"/>
        <v>0</v>
      </c>
    </row>
    <row r="72" spans="1:28" x14ac:dyDescent="0.2">
      <c r="A72" s="4" t="s">
        <v>1739</v>
      </c>
      <c r="B72" s="4" t="s">
        <v>43</v>
      </c>
      <c r="C72" s="4">
        <v>23</v>
      </c>
      <c r="D72" s="4">
        <v>0</v>
      </c>
      <c r="E72" s="4" t="s">
        <v>339</v>
      </c>
      <c r="F72" s="4" t="s">
        <v>1699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>$K72/$H72</f>
        <v>#DIV/0!</v>
      </c>
      <c r="AB72" s="4">
        <f t="shared" si="12"/>
        <v>0</v>
      </c>
    </row>
    <row r="73" spans="1:28" x14ac:dyDescent="0.2">
      <c r="A73" s="3" t="s">
        <v>1740</v>
      </c>
      <c r="B73" s="3" t="s">
        <v>43</v>
      </c>
      <c r="C73" s="3">
        <v>23</v>
      </c>
      <c r="D73" s="3">
        <v>0</v>
      </c>
      <c r="E73" s="3" t="s">
        <v>102</v>
      </c>
      <c r="F73" s="3" t="s">
        <v>1699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7"/>
        <v>0</v>
      </c>
      <c r="W73" s="3" t="e">
        <f t="shared" ca="1" si="8"/>
        <v>#DIV/0!</v>
      </c>
      <c r="X73" s="3" t="e">
        <f t="shared" si="9"/>
        <v>#DIV/0!</v>
      </c>
      <c r="Y73" s="3" t="e">
        <f t="shared" si="10"/>
        <v>#DIV/0!</v>
      </c>
      <c r="Z73" s="3" t="e">
        <f t="shared" si="11"/>
        <v>#DIV/0!</v>
      </c>
      <c r="AA73" s="3" t="e">
        <f>$K73/$H73</f>
        <v>#DIV/0!</v>
      </c>
      <c r="AB73" s="3">
        <f t="shared" si="12"/>
        <v>0</v>
      </c>
    </row>
    <row r="75" spans="1:28" x14ac:dyDescent="0.2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">
      <c r="A76" s="3" t="s">
        <v>1741</v>
      </c>
      <c r="B76" s="3" t="s">
        <v>38</v>
      </c>
      <c r="C76" s="3">
        <v>25</v>
      </c>
      <c r="D76" s="3">
        <v>3</v>
      </c>
      <c r="E76" s="3" t="s">
        <v>296</v>
      </c>
      <c r="F76" s="3" t="s">
        <v>1699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3">($J76*0.04)+($K76*4)+($L76*-2)+($N76*0.1)+($O76*6)+($Q76)+($R76*0.1)+($S76*6)+($T76*-2)</f>
        <v>0</v>
      </c>
      <c r="W76" s="3" t="e">
        <f t="shared" ref="W76:W81" ca="1" si="14">$P76/$H$33</f>
        <v>#DIV/0!</v>
      </c>
      <c r="X76" s="3" t="e">
        <f t="shared" ref="X76:X81" si="15">$N76/$M76</f>
        <v>#DIV/0!</v>
      </c>
      <c r="Y76" s="3" t="e">
        <f t="shared" ref="Y76:Y81" si="16">$R76/$Q76</f>
        <v>#DIV/0!</v>
      </c>
      <c r="Z76" s="3" t="e">
        <f t="shared" ref="Z76:Z81" si="17">$I76/$H76</f>
        <v>#DIV/0!</v>
      </c>
      <c r="AA76" s="3" t="e">
        <f>$K76/$H76</f>
        <v>#DIV/0!</v>
      </c>
      <c r="AB76" s="3">
        <f t="shared" ref="AB76:AB81" si="18">($J76*Cp_yd)+($K76*Cp_td)+($L76*Cint)+($M76*Ccar)+($N76*Cr_yd)+($O76*Cr_td)+(Q76*Crec)+($R76*Crec_yd)+($S76*Crec_td)+($T76*Cfmb)+($U76*Ctp_c)</f>
        <v>0</v>
      </c>
    </row>
    <row r="77" spans="1:28" x14ac:dyDescent="0.2">
      <c r="A77" s="4" t="s">
        <v>1742</v>
      </c>
      <c r="B77" s="4" t="s">
        <v>38</v>
      </c>
      <c r="C77" s="4">
        <v>26</v>
      </c>
      <c r="D77" s="4">
        <v>1</v>
      </c>
      <c r="E77" s="4" t="s">
        <v>1743</v>
      </c>
      <c r="F77" s="4" t="s">
        <v>1699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 t="shared" si="18"/>
        <v>0</v>
      </c>
    </row>
    <row r="78" spans="1:28" x14ac:dyDescent="0.2">
      <c r="A78" s="3" t="s">
        <v>1744</v>
      </c>
      <c r="B78" s="3" t="s">
        <v>38</v>
      </c>
      <c r="C78" s="3">
        <v>24</v>
      </c>
      <c r="D78" s="3">
        <v>2</v>
      </c>
      <c r="E78" s="3" t="s">
        <v>155</v>
      </c>
      <c r="F78" s="3" t="s">
        <v>1699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 t="shared" si="18"/>
        <v>0</v>
      </c>
    </row>
    <row r="79" spans="1:28" x14ac:dyDescent="0.2">
      <c r="A79" s="4" t="s">
        <v>1745</v>
      </c>
      <c r="B79" s="4" t="s">
        <v>38</v>
      </c>
      <c r="C79" s="4">
        <v>26</v>
      </c>
      <c r="D79" s="4">
        <v>4</v>
      </c>
      <c r="E79" s="4" t="s">
        <v>102</v>
      </c>
      <c r="F79" s="4" t="s">
        <v>1699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 t="shared" si="18"/>
        <v>0</v>
      </c>
    </row>
    <row r="80" spans="1:28" x14ac:dyDescent="0.2">
      <c r="A80" s="3" t="s">
        <v>1746</v>
      </c>
      <c r="B80" s="3" t="s">
        <v>38</v>
      </c>
      <c r="C80" s="3">
        <v>32</v>
      </c>
      <c r="D80" s="3">
        <v>9</v>
      </c>
      <c r="E80" s="3" t="s">
        <v>333</v>
      </c>
      <c r="F80" s="3" t="s">
        <v>1699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 t="shared" si="18"/>
        <v>0</v>
      </c>
    </row>
    <row r="81" spans="1:28" x14ac:dyDescent="0.2">
      <c r="A81" s="4" t="s">
        <v>1747</v>
      </c>
      <c r="B81" s="4" t="s">
        <v>38</v>
      </c>
      <c r="C81" s="4">
        <v>23</v>
      </c>
      <c r="D81" s="4">
        <v>2</v>
      </c>
      <c r="E81" s="4" t="s">
        <v>736</v>
      </c>
      <c r="F81" s="4" t="s">
        <v>1699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3"/>
        <v>0</v>
      </c>
      <c r="W81" s="4" t="e">
        <f t="shared" ca="1" si="14"/>
        <v>#DIV/0!</v>
      </c>
      <c r="X81" s="4" t="e">
        <f t="shared" si="15"/>
        <v>#DIV/0!</v>
      </c>
      <c r="Y81" s="4" t="e">
        <f t="shared" si="16"/>
        <v>#DIV/0!</v>
      </c>
      <c r="Z81" s="4" t="e">
        <f t="shared" si="17"/>
        <v>#DIV/0!</v>
      </c>
      <c r="AA81" s="4" t="e">
        <f>$K81/$H81</f>
        <v>#DIV/0!</v>
      </c>
      <c r="AB81" s="4">
        <f t="shared" si="18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F125C-D8F2-4682-AE3F-11A74D169DAA}">
  <sheetPr codeName="Sheet34"/>
  <dimension ref="A1:AB83"/>
  <sheetViews>
    <sheetView zoomScale="90" zoomScaleNormal="90" workbookViewId="0"/>
  </sheetViews>
  <sheetFormatPr baseColWidth="10" defaultColWidth="8.83203125" defaultRowHeight="15" x14ac:dyDescent="0.2"/>
  <cols>
    <col min="1" max="1" width="22.6640625" bestFit="1" customWidth="1"/>
    <col min="2" max="2" width="6.6640625" customWidth="1"/>
    <col min="3" max="3" width="6.5" customWidth="1"/>
    <col min="4" max="4" width="6.33203125" customWidth="1"/>
    <col min="5" max="5" width="15.5" bestFit="1" customWidth="1"/>
    <col min="6" max="6" width="7.33203125" customWidth="1"/>
    <col min="7" max="7" width="4.5" customWidth="1"/>
    <col min="8" max="8" width="7.33203125" customWidth="1"/>
    <col min="9" max="9" width="6.6640625" customWidth="1"/>
    <col min="10" max="10" width="7.1640625" customWidth="1"/>
    <col min="11" max="11" width="6.83203125" customWidth="1"/>
    <col min="12" max="12" width="5.33203125" customWidth="1"/>
    <col min="13" max="13" width="6" customWidth="1"/>
    <col min="14" max="14" width="7" customWidth="1"/>
    <col min="15" max="15" width="6.6640625" customWidth="1"/>
    <col min="16" max="16" width="5.5" customWidth="1"/>
    <col min="17" max="17" width="6" customWidth="1"/>
    <col min="18" max="18" width="8.6640625" customWidth="1"/>
    <col min="19" max="19" width="8.33203125" customWidth="1"/>
    <col min="20" max="20" width="6.5" customWidth="1"/>
    <col min="21" max="21" width="6.6640625" customWidth="1"/>
    <col min="22" max="22" width="7.6640625" customWidth="1"/>
    <col min="23" max="23" width="10.6640625" customWidth="1"/>
    <col min="24" max="25" width="7.1640625" bestFit="1" customWidth="1"/>
    <col min="26" max="26" width="9.83203125" customWidth="1"/>
    <col min="27" max="27" width="9" customWidth="1"/>
    <col min="28" max="28" width="10.33203125" customWidth="1"/>
  </cols>
  <sheetData>
    <row r="1" spans="1:28" x14ac:dyDescent="0.2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">
      <c r="A2" s="15" t="s">
        <v>61</v>
      </c>
      <c r="B2" s="15" t="s">
        <v>26</v>
      </c>
      <c r="C2" s="15">
        <v>28</v>
      </c>
      <c r="D2" s="15">
        <v>4</v>
      </c>
      <c r="E2" s="15" t="s">
        <v>62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>($J2*0.04)+($K2*4)+($L2*-2)+($N2*0.1)+($O2*6)+($Q2)+($R2*0.1)+($S2*6)+($T2*-2)</f>
        <v>0</v>
      </c>
      <c r="W2" s="15" t="e">
        <f>$P2/$H$33</f>
        <v>#DIV/0!</v>
      </c>
      <c r="X2" s="15" t="e">
        <f>$N2/$M2</f>
        <v>#DIV/0!</v>
      </c>
      <c r="Y2" s="15" t="e">
        <f>$R2/$Q2</f>
        <v>#DIV/0!</v>
      </c>
      <c r="Z2" s="15" t="e">
        <f>$I2/$H2</f>
        <v>#DIV/0!</v>
      </c>
      <c r="AA2" s="15" t="e">
        <f t="shared" ref="AA2:AA8" si="0">$K2/$H2</f>
        <v>#DIV/0!</v>
      </c>
      <c r="AB2" s="15">
        <f>($J2*Cp_yd)+($K2*Cp_td)+($L2*Cint)+($M2*Ccar)+($N2*Cr_yd)+($O2*Cr_td)+(Q2*Crec)+($R2*Crec_yd)+($S2*Crec_td)+($T2*Cfmb)+($U2*Ctp_c)</f>
        <v>0</v>
      </c>
    </row>
    <row r="3" spans="1:28" x14ac:dyDescent="0.2">
      <c r="A3" s="16" t="s">
        <v>63</v>
      </c>
      <c r="B3" s="16" t="s">
        <v>26</v>
      </c>
      <c r="C3" s="16">
        <v>30</v>
      </c>
      <c r="D3" s="16">
        <v>8</v>
      </c>
      <c r="E3" s="16" t="s">
        <v>64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 t="shared" ref="V3:V6" si="1">($J3*0.04)+($K3*4)+($L3*-2)+($N3*0.1)+($O3*6)+($Q3)+($R3*0.1)+($S3*6)+($T3*-2)</f>
        <v>0</v>
      </c>
      <c r="W3" s="16" t="e">
        <f t="shared" ref="W3:W6" si="2">$P3/$H$33</f>
        <v>#DIV/0!</v>
      </c>
      <c r="X3" s="16" t="e">
        <f t="shared" ref="X3:X6" si="3">$N3/$M3</f>
        <v>#DIV/0!</v>
      </c>
      <c r="Y3" s="16" t="e">
        <f t="shared" ref="Y3:Y6" si="4">$R3/$Q3</f>
        <v>#DIV/0!</v>
      </c>
      <c r="Z3" s="16" t="e">
        <f t="shared" ref="Z3:Z6" si="5">$I3/$H3</f>
        <v>#DIV/0!</v>
      </c>
      <c r="AA3" s="16" t="e">
        <f t="shared" si="0"/>
        <v>#DIV/0!</v>
      </c>
      <c r="AB3" s="16">
        <f>($J3*Cp_yd)+($K3*Cp_td)+($L3*Cint)+($M3*Ccar)+($N3*Cr_yd)+($O3*Cr_td)+(Q3*Crec)+($R3*Crec_yd)+($S3*Crec_td)+($T3*Cfmb)+($U3*Ctp_c)</f>
        <v>0</v>
      </c>
    </row>
    <row r="4" spans="1:28" x14ac:dyDescent="0.2">
      <c r="A4" s="15" t="s">
        <v>65</v>
      </c>
      <c r="B4" s="15" t="s">
        <v>26</v>
      </c>
      <c r="C4" s="15">
        <v>36</v>
      </c>
      <c r="D4" s="15">
        <v>14</v>
      </c>
      <c r="E4" s="15" t="s">
        <v>66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 t="shared" si="1"/>
        <v>0</v>
      </c>
      <c r="W4" s="15" t="e">
        <f t="shared" si="2"/>
        <v>#DIV/0!</v>
      </c>
      <c r="X4" s="15" t="e">
        <f t="shared" si="3"/>
        <v>#DIV/0!</v>
      </c>
      <c r="Y4" s="15" t="e">
        <f t="shared" si="4"/>
        <v>#DIV/0!</v>
      </c>
      <c r="Z4" s="15" t="e">
        <f t="shared" si="5"/>
        <v>#DIV/0!</v>
      </c>
      <c r="AA4" s="15" t="e">
        <f t="shared" si="0"/>
        <v>#DIV/0!</v>
      </c>
      <c r="AB4" s="15">
        <f>($J4*Cp_yd)+($K4*Cp_td)+($L4*Cint)+($M4*Ccar)+($N4*Cr_yd)+($O4*Cr_td)+(Q4*Crec)+($R4*Crec_yd)+($S4*Crec_td)+($T4*Cfmb)+($U4*Ctp_c)</f>
        <v>0</v>
      </c>
    </row>
    <row r="5" spans="1:28" x14ac:dyDescent="0.2">
      <c r="A5" s="16" t="s">
        <v>67</v>
      </c>
      <c r="B5" s="16" t="s">
        <v>26</v>
      </c>
      <c r="C5" s="16">
        <v>26</v>
      </c>
      <c r="D5" s="16">
        <v>5</v>
      </c>
      <c r="E5" s="16" t="s">
        <v>68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 t="shared" si="1"/>
        <v>0</v>
      </c>
      <c r="W5" s="16" t="e">
        <f t="shared" si="2"/>
        <v>#DIV/0!</v>
      </c>
      <c r="X5" s="16" t="e">
        <f t="shared" si="3"/>
        <v>#DIV/0!</v>
      </c>
      <c r="Y5" s="16" t="e">
        <f t="shared" si="4"/>
        <v>#DIV/0!</v>
      </c>
      <c r="Z5" s="16" t="e">
        <f t="shared" si="5"/>
        <v>#DIV/0!</v>
      </c>
      <c r="AA5" s="16" t="e">
        <f t="shared" si="0"/>
        <v>#DIV/0!</v>
      </c>
      <c r="AB5" s="16">
        <f>($J5*Cp_yd)+($K5*Cp_td)+($L5*Cint)+($M5*Ccar)+($N5*Cr_yd)+($O5*Cr_td)+(Q5*Crec)+($R5*Crec_yd)+($S5*Crec_td)+($T5*Cfmb)+($U5*Ctp_c)</f>
        <v>0</v>
      </c>
    </row>
    <row r="6" spans="1:28" x14ac:dyDescent="0.2">
      <c r="A6" s="15" t="s">
        <v>134</v>
      </c>
      <c r="B6" s="15" t="s">
        <v>26</v>
      </c>
      <c r="C6" s="15">
        <v>30</v>
      </c>
      <c r="D6" s="15">
        <v>6</v>
      </c>
      <c r="E6" s="15" t="s">
        <v>98</v>
      </c>
      <c r="F6" s="15" t="s">
        <v>114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>($J6*0.04)+($K6*4)+($L6*-2)+($N6*0.1)+($O6*6)+($Q6)+($R6*0.1)+($S6*6)+($T6*-2)</f>
        <v>0</v>
      </c>
      <c r="W6" s="15" t="e">
        <f>$P6/$H$33</f>
        <v>#DIV/0!</v>
      </c>
      <c r="X6" s="15" t="e">
        <f>$N6/$M6</f>
        <v>#DIV/0!</v>
      </c>
      <c r="Y6" s="15" t="e">
        <f>$R6/$Q6</f>
        <v>#DIV/0!</v>
      </c>
      <c r="Z6" s="15" t="e">
        <f>$I6/$H6</f>
        <v>#DIV/0!</v>
      </c>
      <c r="AA6" s="15" t="e">
        <f t="shared" si="0"/>
        <v>#DIV/0!</v>
      </c>
      <c r="AB6" s="15">
        <f>($J6*Cp_yd)+($K6*Cp_td)+($L6*Cint)+($M6*Ccar)+($N6*Cr_yd)+($O6*Cr_td)+(Q6*Crec)+($R6*Crec_yd)+($S6*Crec_td)+($T6*Cfmb)+($U6*Ctp_c)</f>
        <v>0</v>
      </c>
    </row>
    <row r="7" spans="1:28" x14ac:dyDescent="0.2">
      <c r="A7" s="16" t="s">
        <v>135</v>
      </c>
      <c r="B7" s="16" t="s">
        <v>26</v>
      </c>
      <c r="C7" s="16">
        <v>23</v>
      </c>
      <c r="D7" s="16">
        <v>2</v>
      </c>
      <c r="E7" s="16" t="s">
        <v>136</v>
      </c>
      <c r="F7" s="16" t="s">
        <v>114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 t="shared" ref="V7:V8" si="6">($J7*0.04)+($K7*4)+($L7*-2)+($N7*0.1)+($O7*6)+($Q7)+($R7*0.1)+($S7*6)+($T7*-2)</f>
        <v>0</v>
      </c>
      <c r="W7" s="16" t="e">
        <f t="shared" ref="W7:W8" si="7">$P7/$H$33</f>
        <v>#DIV/0!</v>
      </c>
      <c r="X7" s="16" t="e">
        <f t="shared" ref="X7:X8" si="8">$N7/$M7</f>
        <v>#DIV/0!</v>
      </c>
      <c r="Y7" s="16" t="e">
        <f t="shared" ref="Y7:Y8" si="9">$R7/$Q7</f>
        <v>#DIV/0!</v>
      </c>
      <c r="Z7" s="16" t="e">
        <f t="shared" ref="Z7:Z8" si="10">$I7/$H7</f>
        <v>#DIV/0!</v>
      </c>
      <c r="AA7" s="16" t="e">
        <f t="shared" si="0"/>
        <v>#DIV/0!</v>
      </c>
      <c r="AB7" s="16">
        <f>($J7*Cp_yd)+($K7*Cp_td)+($L7*Cint)+($M7*Ccar)+($N7*Cr_yd)+($O7*Cr_td)+(Q7*Crec)+($R7*Crec_yd)+($S7*Crec_td)+($T7*Cfmb)+($U7*Ctp_c)</f>
        <v>0</v>
      </c>
    </row>
    <row r="8" spans="1:28" x14ac:dyDescent="0.2">
      <c r="A8" s="15" t="s">
        <v>204</v>
      </c>
      <c r="B8" s="15" t="s">
        <v>26</v>
      </c>
      <c r="C8" s="15">
        <v>25</v>
      </c>
      <c r="D8" s="15">
        <v>1</v>
      </c>
      <c r="E8" s="15" t="s">
        <v>205</v>
      </c>
      <c r="F8" s="15" t="s">
        <v>184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>($J8*0.04)+($K8*4)+($L8*-2)+($N8*0.1)+($O8*6)+($Q8)+($R8*0.1)+($S8*6)+($T8*-2)</f>
        <v>0</v>
      </c>
      <c r="W8" s="15" t="e">
        <f>$P8/$H$33</f>
        <v>#DIV/0!</v>
      </c>
      <c r="X8" s="15" t="e">
        <f>$N8/$M8</f>
        <v>#DIV/0!</v>
      </c>
      <c r="Y8" s="15" t="e">
        <f>$R8/$Q8</f>
        <v>#DIV/0!</v>
      </c>
      <c r="Z8" s="15" t="e">
        <f>$I8/$H8</f>
        <v>#DIV/0!</v>
      </c>
      <c r="AA8" s="15" t="e">
        <f>$K8/$H8</f>
        <v>#DIV/0!</v>
      </c>
      <c r="AB8" s="15">
        <f>($J8*Cp_yd)+($K8*Cp_td)+($L8*Cint)+($M8*Ccar)+($N8*Cr_yd)+($O8*Cr_td)+(Q8*Crec)+($R8*Crec_yd)+($S8*Crec_td)+($T8*Cfmb)+($U8*Ctp_c)</f>
        <v>0</v>
      </c>
    </row>
    <row r="9" spans="1:28" x14ac:dyDescent="0.2">
      <c r="A9" s="16" t="s">
        <v>206</v>
      </c>
      <c r="B9" s="16" t="s">
        <v>26</v>
      </c>
      <c r="C9" s="16">
        <v>25</v>
      </c>
      <c r="D9" s="16">
        <v>4</v>
      </c>
      <c r="E9" s="16" t="s">
        <v>207</v>
      </c>
      <c r="F9" s="16" t="s">
        <v>184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 t="shared" ref="V9:V11" si="11">($J9*0.04)+($K9*4)+($L9*-2)+($N9*0.1)+($O9*6)+($Q9)+($R9*0.1)+($S9*6)+($T9*-2)</f>
        <v>0</v>
      </c>
      <c r="W9" s="16" t="e">
        <f t="shared" ref="W9:W11" si="12">$P9/$H$33</f>
        <v>#DIV/0!</v>
      </c>
      <c r="X9" s="16" t="e">
        <f t="shared" ref="X9:X11" si="13">$N9/$M9</f>
        <v>#DIV/0!</v>
      </c>
      <c r="Y9" s="16" t="e">
        <f t="shared" ref="Y9:Y11" si="14">$R9/$Q9</f>
        <v>#DIV/0!</v>
      </c>
      <c r="Z9" s="16" t="e">
        <f t="shared" ref="Z9:Z11" si="15">$I9/$H9</f>
        <v>#DIV/0!</v>
      </c>
      <c r="AA9" s="16" t="e">
        <f t="shared" ref="AA9:AA11" si="16">$K9/$H9</f>
        <v>#DIV/0!</v>
      </c>
      <c r="AB9" s="16">
        <f>($J9*Cp_yd)+($K9*Cp_td)+($L9*Cint)+($M9*Ccar)+($N9*Cr_yd)+($O9*Cr_td)+(Q9*Crec)+($R9*Crec_yd)+($S9*Crec_td)+($T9*Cfmb)+($U9*Ctp_c)</f>
        <v>0</v>
      </c>
    </row>
    <row r="10" spans="1:28" x14ac:dyDescent="0.2">
      <c r="A10" s="15" t="s">
        <v>208</v>
      </c>
      <c r="B10" s="15" t="s">
        <v>26</v>
      </c>
      <c r="C10" s="15">
        <v>26</v>
      </c>
      <c r="D10" s="15">
        <v>6</v>
      </c>
      <c r="E10" s="15" t="s">
        <v>209</v>
      </c>
      <c r="F10" s="15" t="s">
        <v>184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 t="shared" si="11"/>
        <v>0</v>
      </c>
      <c r="W10" s="15" t="e">
        <f t="shared" si="12"/>
        <v>#DIV/0!</v>
      </c>
      <c r="X10" s="15" t="e">
        <f t="shared" si="13"/>
        <v>#DIV/0!</v>
      </c>
      <c r="Y10" s="15" t="e">
        <f t="shared" si="14"/>
        <v>#DIV/0!</v>
      </c>
      <c r="Z10" s="15" t="e">
        <f t="shared" si="15"/>
        <v>#DIV/0!</v>
      </c>
      <c r="AA10" s="15" t="e">
        <f t="shared" si="16"/>
        <v>#DIV/0!</v>
      </c>
      <c r="AB10" s="15">
        <f>($J10*Cp_yd)+($K10*Cp_td)+($L10*Cint)+($M10*Ccar)+($N10*Cr_yd)+($O10*Cr_td)+(Q10*Crec)+($R10*Crec_yd)+($S10*Crec_td)+($T10*Cfmb)+($U10*Ctp_c)</f>
        <v>0</v>
      </c>
    </row>
    <row r="11" spans="1:28" x14ac:dyDescent="0.2">
      <c r="A11" s="16" t="s">
        <v>271</v>
      </c>
      <c r="B11" s="16" t="s">
        <v>26</v>
      </c>
      <c r="C11" s="16">
        <v>27</v>
      </c>
      <c r="D11" s="16">
        <v>6</v>
      </c>
      <c r="E11" s="16" t="s">
        <v>272</v>
      </c>
      <c r="F11" s="16" t="s">
        <v>250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>($J11*0.04)+($K11*4)+($L11*-2)+($N11*0.1)+($O11*6)+($Q11)+($R11*0.1)+($S11*6)+($T11*-2)</f>
        <v>0</v>
      </c>
      <c r="W11" s="16" t="e">
        <f>$P11/$H$33</f>
        <v>#DIV/0!</v>
      </c>
      <c r="X11" s="16" t="e">
        <f>$N11/$M11</f>
        <v>#DIV/0!</v>
      </c>
      <c r="Y11" s="16" t="e">
        <f>$R11/$Q11</f>
        <v>#DIV/0!</v>
      </c>
      <c r="Z11" s="16" t="e">
        <f>$I11/$H11</f>
        <v>#DIV/0!</v>
      </c>
      <c r="AA11" s="16" t="e">
        <f>$K11/$H11</f>
        <v>#DIV/0!</v>
      </c>
      <c r="AB11" s="16">
        <f>($J11*Cp_yd)+($K11*Cp_td)+($L11*Cint)+($M11*Ccar)+($N11*Cr_yd)+($O11*Cr_td)+(Q11*Crec)+($R11*Crec_yd)+($S11*Crec_td)+($T11*Cfmb)+($U11*Ctp_c)</f>
        <v>0</v>
      </c>
    </row>
    <row r="12" spans="1:28" x14ac:dyDescent="0.2">
      <c r="A12" s="15" t="s">
        <v>273</v>
      </c>
      <c r="B12" s="15" t="s">
        <v>26</v>
      </c>
      <c r="C12" s="15">
        <v>27</v>
      </c>
      <c r="D12" s="15">
        <v>5</v>
      </c>
      <c r="E12" s="15" t="s">
        <v>70</v>
      </c>
      <c r="F12" s="15" t="s">
        <v>250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>($J12*0.04)+($K12*4)+($L12*-2)+($N12*0.1)+($O12*6)+($Q12)+($R12*0.1)+($S12*6)+($T12*-2)</f>
        <v>0</v>
      </c>
      <c r="W12" s="15" t="e">
        <f>$P12/$H$33</f>
        <v>#DIV/0!</v>
      </c>
      <c r="X12" s="15" t="e">
        <f>$N12/$M12</f>
        <v>#DIV/0!</v>
      </c>
      <c r="Y12" s="15" t="e">
        <f>$R12/$Q12</f>
        <v>#DIV/0!</v>
      </c>
      <c r="Z12" s="15" t="e">
        <f>$I12/$H12</f>
        <v>#DIV/0!</v>
      </c>
      <c r="AA12" s="15" t="e">
        <f>$K12/$H12</f>
        <v>#DIV/0!</v>
      </c>
      <c r="AB12" s="15">
        <f>($J12*Cp_yd)+($K12*Cp_td)+($L12*Cint)+($M12*Ccar)+($N12*Cr_yd)+($O12*Cr_td)+(Q12*Crec)+($R12*Crec_yd)+($S12*Crec_td)+($T12*Cfmb)+($U12*Ctp_c)</f>
        <v>0</v>
      </c>
    </row>
    <row r="13" spans="1:28" x14ac:dyDescent="0.2">
      <c r="A13" s="16" t="s">
        <v>328</v>
      </c>
      <c r="B13" s="16" t="s">
        <v>26</v>
      </c>
      <c r="C13" s="16">
        <v>24</v>
      </c>
      <c r="D13" s="16">
        <v>0</v>
      </c>
      <c r="E13" s="16" t="s">
        <v>240</v>
      </c>
      <c r="F13" s="16" t="s">
        <v>311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>($J13*0.04)+($K13*4)+($L13*-2)+($N13*0.1)+($O13*6)+($Q13)+($R13*0.1)+($S13*6)+($T13*-2)</f>
        <v>0</v>
      </c>
      <c r="W13" s="16" t="e">
        <f>$P13/$H$33</f>
        <v>#DIV/0!</v>
      </c>
      <c r="X13" s="16" t="e">
        <f>$N13/$M13</f>
        <v>#DIV/0!</v>
      </c>
      <c r="Y13" s="16" t="e">
        <f>$R13/$Q13</f>
        <v>#DIV/0!</v>
      </c>
      <c r="Z13" s="16" t="e">
        <f>$I13/$H13</f>
        <v>#DIV/0!</v>
      </c>
      <c r="AA13" s="16" t="e">
        <f>$K13/$H13</f>
        <v>#DIV/0!</v>
      </c>
      <c r="AB13" s="16">
        <f>($J13*Cp_yd)+($K13*Cp_td)+($L13*Cint)+($M13*Ccar)+($N13*Cr_yd)+($O13*Cr_td)+(Q13*Crec)+($R13*Crec_yd)+($S13*Crec_td)+($T13*Cfmb)+($U13*Ctp_c)</f>
        <v>0</v>
      </c>
    </row>
    <row r="14" spans="1:28" x14ac:dyDescent="0.2">
      <c r="A14" s="15" t="s">
        <v>329</v>
      </c>
      <c r="B14" s="15" t="s">
        <v>26</v>
      </c>
      <c r="C14" s="15">
        <v>35</v>
      </c>
      <c r="D14" s="15">
        <v>12</v>
      </c>
      <c r="E14" s="15" t="s">
        <v>76</v>
      </c>
      <c r="F14" s="15" t="s">
        <v>311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>($J14*0.04)+($K14*4)+($L14*-2)+($N14*0.1)+($O14*6)+($Q14)+($R14*0.1)+($S14*6)+($T14*-2)</f>
        <v>0</v>
      </c>
      <c r="W14" s="15" t="e">
        <f>$P14/$H$33</f>
        <v>#DIV/0!</v>
      </c>
      <c r="X14" s="15" t="e">
        <f>$N14/$M14</f>
        <v>#DIV/0!</v>
      </c>
      <c r="Y14" s="15" t="e">
        <f>$R14/$Q14</f>
        <v>#DIV/0!</v>
      </c>
      <c r="Z14" s="15" t="e">
        <f>$I14/$H14</f>
        <v>#DIV/0!</v>
      </c>
      <c r="AA14" s="15" t="e">
        <f>$K14/$H14</f>
        <v>#DIV/0!</v>
      </c>
      <c r="AB14" s="15">
        <f>($J14*Cp_yd)+($K14*Cp_td)+($L14*Cint)+($M14*Ccar)+($N14*Cr_yd)+($O14*Cr_td)+(Q14*Crec)+($R14*Crec_yd)+($S14*Crec_td)+($T14*Cfmb)+($U14*Ctp_c)</f>
        <v>0</v>
      </c>
    </row>
    <row r="15" spans="1:28" x14ac:dyDescent="0.2">
      <c r="A15" s="16" t="s">
        <v>330</v>
      </c>
      <c r="B15" s="16" t="s">
        <v>26</v>
      </c>
      <c r="C15" s="16">
        <v>27</v>
      </c>
      <c r="D15" s="16">
        <v>3</v>
      </c>
      <c r="E15" s="16" t="s">
        <v>111</v>
      </c>
      <c r="F15" s="16" t="s">
        <v>311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>($J15*0.04)+($K15*4)+($L15*-2)+($N15*0.1)+($O15*6)+($Q15)+($R15*0.1)+($S15*6)+($T15*-2)</f>
        <v>0</v>
      </c>
      <c r="W15" s="16" t="e">
        <f>$P15/$H$33</f>
        <v>#DIV/0!</v>
      </c>
      <c r="X15" s="16" t="e">
        <f>$N15/$M15</f>
        <v>#DIV/0!</v>
      </c>
      <c r="Y15" s="16" t="e">
        <f>$R15/$Q15</f>
        <v>#DIV/0!</v>
      </c>
      <c r="Z15" s="16" t="e">
        <f>$I15/$H15</f>
        <v>#DIV/0!</v>
      </c>
      <c r="AA15" s="16" t="e">
        <f>$K15/$H15</f>
        <v>#DIV/0!</v>
      </c>
      <c r="AB15" s="16">
        <f>($J15*Cp_yd)+($K15*Cp_td)+($L15*Cint)+($M15*Ccar)+($N15*Cr_yd)+($O15*Cr_td)+(Q15*Crec)+($R15*Crec_yd)+($S15*Crec_td)+($T15*Cfmb)+($U15*Ctp_c)</f>
        <v>0</v>
      </c>
    </row>
    <row r="16" spans="1:28" x14ac:dyDescent="0.2">
      <c r="A16" s="15" t="s">
        <v>386</v>
      </c>
      <c r="B16" s="15" t="s">
        <v>26</v>
      </c>
      <c r="C16" s="15">
        <v>23</v>
      </c>
      <c r="D16" s="15">
        <v>0</v>
      </c>
      <c r="E16" s="15" t="s">
        <v>387</v>
      </c>
      <c r="F16" s="15" t="s">
        <v>364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>($J16*0.04)+($K16*4)+($L16*-2)+($N16*0.1)+($O16*6)+($Q16)+($R16*0.1)+($S16*6)+($T16*-2)</f>
        <v>0</v>
      </c>
      <c r="W16" s="15" t="e">
        <f>$P16/$H$33</f>
        <v>#DIV/0!</v>
      </c>
      <c r="X16" s="15" t="e">
        <f>$N16/$M16</f>
        <v>#DIV/0!</v>
      </c>
      <c r="Y16" s="15" t="e">
        <f>$R16/$Q16</f>
        <v>#DIV/0!</v>
      </c>
      <c r="Z16" s="15" t="e">
        <f>$I16/$H16</f>
        <v>#DIV/0!</v>
      </c>
      <c r="AA16" s="15" t="e">
        <f>$K16/$H16</f>
        <v>#DIV/0!</v>
      </c>
      <c r="AB16" s="15">
        <f>($J16*Cp_yd)+($K16*Cp_td)+($L16*Cint)+($M16*Ccar)+($N16*Cr_yd)+($O16*Cr_td)+(Q16*Crec)+($R16*Crec_yd)+($S16*Crec_td)+($T16*Cfmb)+($U16*Ctp_c)</f>
        <v>0</v>
      </c>
    </row>
    <row r="17" spans="1:28" x14ac:dyDescent="0.2">
      <c r="A17" s="16" t="s">
        <v>388</v>
      </c>
      <c r="B17" s="16" t="s">
        <v>26</v>
      </c>
      <c r="C17" s="16">
        <v>24</v>
      </c>
      <c r="D17" s="16">
        <v>3</v>
      </c>
      <c r="E17" s="16" t="s">
        <v>213</v>
      </c>
      <c r="F17" s="16" t="s">
        <v>364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>($J17*0.04)+($K17*4)+($L17*-2)+($N17*0.1)+($O17*6)+($Q17)+($R17*0.1)+($S17*6)+($T17*-2)</f>
        <v>0</v>
      </c>
      <c r="W17" s="16" t="e">
        <f>$P17/$H$33</f>
        <v>#DIV/0!</v>
      </c>
      <c r="X17" s="16" t="e">
        <f>$N17/$M17</f>
        <v>#DIV/0!</v>
      </c>
      <c r="Y17" s="16" t="e">
        <f>$R17/$Q17</f>
        <v>#DIV/0!</v>
      </c>
      <c r="Z17" s="16" t="e">
        <f>$I17/$H17</f>
        <v>#DIV/0!</v>
      </c>
      <c r="AA17" s="16" t="e">
        <f>$K17/$H17</f>
        <v>#DIV/0!</v>
      </c>
      <c r="AB17" s="16">
        <f>($J17*Cp_yd)+($K17*Cp_td)+($L17*Cint)+($M17*Ccar)+($N17*Cr_yd)+($O17*Cr_td)+(Q17*Crec)+($R17*Crec_yd)+($S17*Crec_td)+($T17*Cfmb)+($U17*Ctp_c)</f>
        <v>0</v>
      </c>
    </row>
    <row r="18" spans="1:28" x14ac:dyDescent="0.2">
      <c r="A18" s="15" t="s">
        <v>389</v>
      </c>
      <c r="B18" s="15" t="s">
        <v>26</v>
      </c>
      <c r="C18" s="15">
        <v>29</v>
      </c>
      <c r="D18" s="15">
        <v>7</v>
      </c>
      <c r="E18" s="15" t="s">
        <v>74</v>
      </c>
      <c r="F18" s="15" t="s">
        <v>364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>($J18*0.04)+($K18*4)+($L18*-2)+($N18*0.1)+($O18*6)+($Q18)+($R18*0.1)+($S18*6)+($T18*-2)</f>
        <v>0</v>
      </c>
      <c r="W18" s="15" t="e">
        <f>$P18/$H$33</f>
        <v>#DIV/0!</v>
      </c>
      <c r="X18" s="15" t="e">
        <f>$N18/$M18</f>
        <v>#DIV/0!</v>
      </c>
      <c r="Y18" s="15" t="e">
        <f>$R18/$Q18</f>
        <v>#DIV/0!</v>
      </c>
      <c r="Z18" s="15" t="e">
        <f>$I18/$H18</f>
        <v>#DIV/0!</v>
      </c>
      <c r="AA18" s="15" t="e">
        <f>$K18/$H18</f>
        <v>#DIV/0!</v>
      </c>
      <c r="AB18" s="15">
        <f>($J18*Cp_yd)+($K18*Cp_td)+($L18*Cint)+($M18*Ccar)+($N18*Cr_yd)+($O18*Cr_td)+(Q18*Crec)+($R18*Crec_yd)+($S18*Crec_td)+($T18*Cfmb)+($U18*Ctp_c)</f>
        <v>0</v>
      </c>
    </row>
    <row r="19" spans="1:28" x14ac:dyDescent="0.2">
      <c r="A19" s="16" t="s">
        <v>441</v>
      </c>
      <c r="B19" s="16" t="s">
        <v>26</v>
      </c>
      <c r="C19" s="16">
        <v>27</v>
      </c>
      <c r="D19" s="16">
        <v>1</v>
      </c>
      <c r="E19" s="16" t="s">
        <v>86</v>
      </c>
      <c r="F19" s="16" t="s">
        <v>425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>($J19*0.04)+($K19*4)+($L19*-2)+($N19*0.1)+($O19*6)+($Q19)+($R19*0.1)+($S19*6)+($T19*-2)</f>
        <v>0</v>
      </c>
      <c r="W19" s="16" t="e">
        <f>$P19/$H$33</f>
        <v>#DIV/0!</v>
      </c>
      <c r="X19" s="16" t="e">
        <f>$N19/$M19</f>
        <v>#DIV/0!</v>
      </c>
      <c r="Y19" s="16" t="e">
        <f>$R19/$Q19</f>
        <v>#DIV/0!</v>
      </c>
      <c r="Z19" s="16" t="e">
        <f>$I19/$H19</f>
        <v>#DIV/0!</v>
      </c>
      <c r="AA19" s="16" t="e">
        <f>$K19/$H19</f>
        <v>#DIV/0!</v>
      </c>
      <c r="AB19" s="16">
        <f>($J19*Cp_yd)+($K19*Cp_td)+($L19*Cint)+($M19*Ccar)+($N19*Cr_yd)+($O19*Cr_td)+(Q19*Crec)+($R19*Crec_yd)+($S19*Crec_td)+($T19*Cfmb)+($U19*Ctp_c)</f>
        <v>0</v>
      </c>
    </row>
    <row r="20" spans="1:28" x14ac:dyDescent="0.2">
      <c r="A20" s="15" t="s">
        <v>442</v>
      </c>
      <c r="B20" s="15" t="s">
        <v>26</v>
      </c>
      <c r="C20" s="15">
        <v>26</v>
      </c>
      <c r="D20" s="15">
        <v>4</v>
      </c>
      <c r="E20" s="15" t="s">
        <v>227</v>
      </c>
      <c r="F20" s="15" t="s">
        <v>425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>($J20*0.04)+($K20*4)+($L20*-2)+($N20*0.1)+($O20*6)+($Q20)+($R20*0.1)+($S20*6)+($T20*-2)</f>
        <v>0</v>
      </c>
      <c r="W20" s="15" t="e">
        <f>$P20/$H$33</f>
        <v>#DIV/0!</v>
      </c>
      <c r="X20" s="15" t="e">
        <f>$N20/$M20</f>
        <v>#DIV/0!</v>
      </c>
      <c r="Y20" s="15" t="e">
        <f>$R20/$Q20</f>
        <v>#DIV/0!</v>
      </c>
      <c r="Z20" s="15" t="e">
        <f>$I20/$H20</f>
        <v>#DIV/0!</v>
      </c>
      <c r="AA20" s="15" t="e">
        <f>$K20/$H20</f>
        <v>#DIV/0!</v>
      </c>
      <c r="AB20" s="15">
        <f>($J20*Cp_yd)+($K20*Cp_td)+($L20*Cint)+($M20*Ccar)+($N20*Cr_yd)+($O20*Cr_td)+(Q20*Crec)+($R20*Crec_yd)+($S20*Crec_td)+($T20*Cfmb)+($U20*Ctp_c)</f>
        <v>0</v>
      </c>
    </row>
    <row r="21" spans="1:28" x14ac:dyDescent="0.2">
      <c r="A21" s="16" t="s">
        <v>443</v>
      </c>
      <c r="B21" s="16" t="s">
        <v>26</v>
      </c>
      <c r="C21" s="16">
        <v>31</v>
      </c>
      <c r="D21" s="16">
        <v>8</v>
      </c>
      <c r="E21" s="16" t="s">
        <v>141</v>
      </c>
      <c r="F21" s="16" t="s">
        <v>425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>($J21*0.04)+($K21*4)+($L21*-2)+($N21*0.1)+($O21*6)+($Q21)+($R21*0.1)+($S21*6)+($T21*-2)</f>
        <v>0</v>
      </c>
      <c r="W21" s="16" t="e">
        <f>$P21/$H$33</f>
        <v>#DIV/0!</v>
      </c>
      <c r="X21" s="16" t="e">
        <f>$N21/$M21</f>
        <v>#DIV/0!</v>
      </c>
      <c r="Y21" s="16" t="e">
        <f>$R21/$Q21</f>
        <v>#DIV/0!</v>
      </c>
      <c r="Z21" s="16" t="e">
        <f>$I21/$H21</f>
        <v>#DIV/0!</v>
      </c>
      <c r="AA21" s="16" t="e">
        <f>$K21/$H21</f>
        <v>#DIV/0!</v>
      </c>
      <c r="AB21" s="16">
        <f>($J21*Cp_yd)+($K21*Cp_td)+($L21*Cint)+($M21*Ccar)+($N21*Cr_yd)+($O21*Cr_td)+(Q21*Crec)+($R21*Crec_yd)+($S21*Crec_td)+($T21*Cfmb)+($U21*Ctp_c)</f>
        <v>0</v>
      </c>
    </row>
    <row r="22" spans="1:28" x14ac:dyDescent="0.2">
      <c r="A22" s="15" t="s">
        <v>495</v>
      </c>
      <c r="B22" s="15" t="s">
        <v>26</v>
      </c>
      <c r="C22" s="15">
        <v>28</v>
      </c>
      <c r="D22" s="15">
        <v>7</v>
      </c>
      <c r="E22" s="15" t="s">
        <v>143</v>
      </c>
      <c r="F22" s="15" t="s">
        <v>479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>($J22*0.04)+($K22*4)+($L22*-2)+($N22*0.1)+($O22*6)+($Q22)+($R22*0.1)+($S22*6)+($T22*-2)</f>
        <v>0</v>
      </c>
      <c r="W22" s="15" t="e">
        <f>$P22/$H$33</f>
        <v>#DIV/0!</v>
      </c>
      <c r="X22" s="15" t="e">
        <f>$N22/$M22</f>
        <v>#DIV/0!</v>
      </c>
      <c r="Y22" s="15" t="e">
        <f>$R22/$Q22</f>
        <v>#DIV/0!</v>
      </c>
      <c r="Z22" s="15" t="e">
        <f>$I22/$H22</f>
        <v>#DIV/0!</v>
      </c>
      <c r="AA22" s="15" t="e">
        <f>$K22/$H22</f>
        <v>#DIV/0!</v>
      </c>
      <c r="AB22" s="15">
        <f>($J22*Cp_yd)+($K22*Cp_td)+($L22*Cint)+($M22*Ccar)+($N22*Cr_yd)+($O22*Cr_td)+(Q22*Crec)+($R22*Crec_yd)+($S22*Crec_td)+($T22*Cfmb)+($U22*Ctp_c)</f>
        <v>0</v>
      </c>
    </row>
    <row r="23" spans="1:28" x14ac:dyDescent="0.2">
      <c r="A23" s="16" t="s">
        <v>496</v>
      </c>
      <c r="B23" s="16" t="s">
        <v>26</v>
      </c>
      <c r="C23" s="16">
        <v>24</v>
      </c>
      <c r="D23" s="16">
        <v>3</v>
      </c>
      <c r="E23" s="16" t="s">
        <v>307</v>
      </c>
      <c r="F23" s="16" t="s">
        <v>479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>($J23*0.04)+($K23*4)+($L23*-2)+($N23*0.1)+($O23*6)+($Q23)+($R23*0.1)+($S23*6)+($T23*-2)</f>
        <v>0</v>
      </c>
      <c r="W23" s="16" t="e">
        <f>$P23/$H$33</f>
        <v>#DIV/0!</v>
      </c>
      <c r="X23" s="16" t="e">
        <f>$N23/$M23</f>
        <v>#DIV/0!</v>
      </c>
      <c r="Y23" s="16" t="e">
        <f>$R23/$Q23</f>
        <v>#DIV/0!</v>
      </c>
      <c r="Z23" s="16" t="e">
        <f>$I23/$H23</f>
        <v>#DIV/0!</v>
      </c>
      <c r="AA23" s="16" t="e">
        <f>$K23/$H23</f>
        <v>#DIV/0!</v>
      </c>
      <c r="AB23" s="16">
        <f>($J23*Cp_yd)+($K23*Cp_td)+($L23*Cint)+($M23*Ccar)+($N23*Cr_yd)+($O23*Cr_td)+(Q23*Crec)+($R23*Crec_yd)+($S23*Crec_td)+($T23*Cfmb)+($U23*Ctp_c)</f>
        <v>0</v>
      </c>
    </row>
    <row r="24" spans="1:28" x14ac:dyDescent="0.2">
      <c r="A24" s="15" t="s">
        <v>497</v>
      </c>
      <c r="B24" s="15" t="s">
        <v>26</v>
      </c>
      <c r="C24" s="15">
        <v>23</v>
      </c>
      <c r="D24" s="15">
        <v>0</v>
      </c>
      <c r="E24" s="15" t="s">
        <v>418</v>
      </c>
      <c r="F24" s="15" t="s">
        <v>479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>($J24*0.04)+($K24*4)+($L24*-2)+($N24*0.1)+($O24*6)+($Q24)+($R24*0.1)+($S24*6)+($T24*-2)</f>
        <v>0</v>
      </c>
      <c r="W24" s="15" t="e">
        <f>$P24/$H$33</f>
        <v>#DIV/0!</v>
      </c>
      <c r="X24" s="15" t="e">
        <f>$N24/$M24</f>
        <v>#DIV/0!</v>
      </c>
      <c r="Y24" s="15" t="e">
        <f>$R24/$Q24</f>
        <v>#DIV/0!</v>
      </c>
      <c r="Z24" s="15" t="e">
        <f>$I24/$H24</f>
        <v>#DIV/0!</v>
      </c>
      <c r="AA24" s="15" t="e">
        <f>$K24/$H24</f>
        <v>#DIV/0!</v>
      </c>
      <c r="AB24" s="15">
        <f>($J24*Cp_yd)+($K24*Cp_td)+($L24*Cint)+($M24*Ccar)+($N24*Cr_yd)+($O24*Cr_td)+(Q24*Crec)+($R24*Crec_yd)+($S24*Crec_td)+($T24*Cfmb)+($U24*Ctp_c)</f>
        <v>0</v>
      </c>
    </row>
    <row r="25" spans="1:28" x14ac:dyDescent="0.2">
      <c r="A25" s="16" t="s">
        <v>547</v>
      </c>
      <c r="B25" s="16" t="s">
        <v>26</v>
      </c>
      <c r="C25" s="16">
        <v>28</v>
      </c>
      <c r="D25" s="16">
        <v>5</v>
      </c>
      <c r="E25" s="16" t="s">
        <v>344</v>
      </c>
      <c r="F25" s="16" t="s">
        <v>530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>($J25*0.04)+($K25*4)+($L25*-2)+($N25*0.1)+($O25*6)+($Q25)+($R25*0.1)+($S25*6)+($T25*-2)</f>
        <v>0</v>
      </c>
      <c r="W25" s="16" t="e">
        <f>$P25/$H$33</f>
        <v>#DIV/0!</v>
      </c>
      <c r="X25" s="16" t="e">
        <f>$N25/$M25</f>
        <v>#DIV/0!</v>
      </c>
      <c r="Y25" s="16" t="e">
        <f>$R25/$Q25</f>
        <v>#DIV/0!</v>
      </c>
      <c r="Z25" s="16" t="e">
        <f>$I25/$H25</f>
        <v>#DIV/0!</v>
      </c>
      <c r="AA25" s="16" t="e">
        <f>$K25/$H25</f>
        <v>#DIV/0!</v>
      </c>
      <c r="AB25" s="16">
        <f>($J25*Cp_yd)+($K25*Cp_td)+($L25*Cint)+($M25*Ccar)+($N25*Cr_yd)+($O25*Cr_td)+(Q25*Crec)+($R25*Crec_yd)+($S25*Crec_td)+($T25*Cfmb)+($U25*Ctp_c)</f>
        <v>0</v>
      </c>
    </row>
    <row r="26" spans="1:28" x14ac:dyDescent="0.2">
      <c r="A26" s="15" t="s">
        <v>548</v>
      </c>
      <c r="B26" s="15" t="s">
        <v>26</v>
      </c>
      <c r="C26" s="15">
        <v>30</v>
      </c>
      <c r="D26" s="15">
        <v>8</v>
      </c>
      <c r="E26" s="15" t="s">
        <v>549</v>
      </c>
      <c r="F26" s="15" t="s">
        <v>530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>($J26*0.04)+($K26*4)+($L26*-2)+($N26*0.1)+($O26*6)+($Q26)+($R26*0.1)+($S26*6)+($T26*-2)</f>
        <v>0</v>
      </c>
      <c r="W26" s="15" t="e">
        <f>$P26/$H$33</f>
        <v>#DIV/0!</v>
      </c>
      <c r="X26" s="15" t="e">
        <f>$N26/$M26</f>
        <v>#DIV/0!</v>
      </c>
      <c r="Y26" s="15" t="e">
        <f>$R26/$Q26</f>
        <v>#DIV/0!</v>
      </c>
      <c r="Z26" s="15" t="e">
        <f>$I26/$H26</f>
        <v>#DIV/0!</v>
      </c>
      <c r="AA26" s="15" t="e">
        <f>$K26/$H26</f>
        <v>#DIV/0!</v>
      </c>
      <c r="AB26" s="15">
        <f>($J26*Cp_yd)+($K26*Cp_td)+($L26*Cint)+($M26*Ccar)+($N26*Cr_yd)+($O26*Cr_td)+(Q26*Crec)+($R26*Crec_yd)+($S26*Crec_td)+($T26*Cfmb)+($U26*Ctp_c)</f>
        <v>0</v>
      </c>
    </row>
    <row r="27" spans="1:28" x14ac:dyDescent="0.2">
      <c r="A27" s="16" t="s">
        <v>608</v>
      </c>
      <c r="B27" s="16" t="s">
        <v>26</v>
      </c>
      <c r="C27" s="16">
        <v>26</v>
      </c>
      <c r="D27" s="16">
        <v>2</v>
      </c>
      <c r="E27" s="16" t="s">
        <v>609</v>
      </c>
      <c r="F27" s="16" t="s">
        <v>584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>($J27*0.04)+($K27*4)+($L27*-2)+($N27*0.1)+($O27*6)+($Q27)+($R27*0.1)+($S27*6)+($T27*-2)</f>
        <v>0</v>
      </c>
      <c r="W27" s="16" t="e">
        <f>$P27/$H$33</f>
        <v>#DIV/0!</v>
      </c>
      <c r="X27" s="16" t="e">
        <f>$N27/$M27</f>
        <v>#DIV/0!</v>
      </c>
      <c r="Y27" s="16" t="e">
        <f>$R27/$Q27</f>
        <v>#DIV/0!</v>
      </c>
      <c r="Z27" s="16" t="e">
        <f>$I27/$H27</f>
        <v>#DIV/0!</v>
      </c>
      <c r="AA27" s="16" t="e">
        <f>$K27/$H27</f>
        <v>#DIV/0!</v>
      </c>
      <c r="AB27" s="16">
        <f>($J27*Cp_yd)+($K27*Cp_td)+($L27*Cint)+($M27*Ccar)+($N27*Cr_yd)+($O27*Cr_td)+(Q27*Crec)+($R27*Crec_yd)+($S27*Crec_td)+($T27*Cfmb)+($U27*Ctp_c)</f>
        <v>0</v>
      </c>
    </row>
    <row r="28" spans="1:28" x14ac:dyDescent="0.2">
      <c r="A28" s="15" t="s">
        <v>610</v>
      </c>
      <c r="B28" s="15" t="s">
        <v>26</v>
      </c>
      <c r="C28" s="15">
        <v>27</v>
      </c>
      <c r="D28" s="15">
        <v>4</v>
      </c>
      <c r="E28" s="15" t="s">
        <v>464</v>
      </c>
      <c r="F28" s="15" t="s">
        <v>584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>($J28*0.04)+($K28*4)+($L28*-2)+($N28*0.1)+($O28*6)+($Q28)+($R28*0.1)+($S28*6)+($T28*-2)</f>
        <v>0</v>
      </c>
      <c r="W28" s="15" t="e">
        <f>$P28/$H$33</f>
        <v>#DIV/0!</v>
      </c>
      <c r="X28" s="15" t="e">
        <f>$N28/$M28</f>
        <v>#DIV/0!</v>
      </c>
      <c r="Y28" s="15" t="e">
        <f>$R28/$Q28</f>
        <v>#DIV/0!</v>
      </c>
      <c r="Z28" s="15" t="e">
        <f>$I28/$H28</f>
        <v>#DIV/0!</v>
      </c>
      <c r="AA28" s="15" t="e">
        <f>$K28/$H28</f>
        <v>#DIV/0!</v>
      </c>
      <c r="AB28" s="15">
        <f>($J28*Cp_yd)+($K28*Cp_td)+($L28*Cint)+($M28*Ccar)+($N28*Cr_yd)+($O28*Cr_td)+(Q28*Crec)+($R28*Crec_yd)+($S28*Crec_td)+($T28*Cfmb)+($U28*Ctp_c)</f>
        <v>0</v>
      </c>
    </row>
    <row r="29" spans="1:28" x14ac:dyDescent="0.2">
      <c r="A29" s="16" t="s">
        <v>664</v>
      </c>
      <c r="B29" s="16" t="s">
        <v>26</v>
      </c>
      <c r="C29" s="16">
        <v>30</v>
      </c>
      <c r="D29" s="16">
        <v>10</v>
      </c>
      <c r="E29" s="16" t="s">
        <v>209</v>
      </c>
      <c r="F29" s="16" t="s">
        <v>647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>($J29*0.04)+($K29*4)+($L29*-2)+($N29*0.1)+($O29*6)+($Q29)+($R29*0.1)+($S29*6)+($T29*-2)</f>
        <v>0</v>
      </c>
      <c r="W29" s="16" t="e">
        <f>$P29/$H$33</f>
        <v>#DIV/0!</v>
      </c>
      <c r="X29" s="16" t="e">
        <f>$N29/$M29</f>
        <v>#DIV/0!</v>
      </c>
      <c r="Y29" s="16" t="e">
        <f>$R29/$Q29</f>
        <v>#DIV/0!</v>
      </c>
      <c r="Z29" s="16" t="e">
        <f>$I29/$H29</f>
        <v>#DIV/0!</v>
      </c>
      <c r="AA29" s="16" t="e">
        <f>$K29/$H29</f>
        <v>#DIV/0!</v>
      </c>
      <c r="AB29" s="16">
        <f>($J29*Cp_yd)+($K29*Cp_td)+($L29*Cint)+($M29*Ccar)+($N29*Cr_yd)+($O29*Cr_td)+(Q29*Crec)+($R29*Crec_yd)+($S29*Crec_td)+($T29*Cfmb)+($U29*Ctp_c)</f>
        <v>0</v>
      </c>
    </row>
    <row r="30" spans="1:28" x14ac:dyDescent="0.2">
      <c r="A30" s="15" t="s">
        <v>665</v>
      </c>
      <c r="B30" s="15" t="s">
        <v>26</v>
      </c>
      <c r="C30" s="15">
        <v>28</v>
      </c>
      <c r="D30" s="15">
        <v>8</v>
      </c>
      <c r="E30" s="15" t="s">
        <v>666</v>
      </c>
      <c r="F30" s="15" t="s">
        <v>647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>($J30*0.04)+($K30*4)+($L30*-2)+($N30*0.1)+($O30*6)+($Q30)+($R30*0.1)+($S30*6)+($T30*-2)</f>
        <v>0</v>
      </c>
      <c r="W30" s="15" t="e">
        <f>$P30/$H$33</f>
        <v>#DIV/0!</v>
      </c>
      <c r="X30" s="15" t="e">
        <f>$N30/$M30</f>
        <v>#DIV/0!</v>
      </c>
      <c r="Y30" s="15" t="e">
        <f>$R30/$Q30</f>
        <v>#DIV/0!</v>
      </c>
      <c r="Z30" s="15" t="e">
        <f>$I30/$H30</f>
        <v>#DIV/0!</v>
      </c>
      <c r="AA30" s="15" t="e">
        <f>$K30/$H30</f>
        <v>#DIV/0!</v>
      </c>
      <c r="AB30" s="15">
        <f>($J30*Cp_yd)+($K30*Cp_td)+($L30*Cint)+($M30*Ccar)+($N30*Cr_yd)+($O30*Cr_td)+(Q30*Crec)+($R30*Crec_yd)+($S30*Crec_td)+($T30*Cfmb)+($U30*Ctp_c)</f>
        <v>0</v>
      </c>
    </row>
    <row r="31" spans="1:28" x14ac:dyDescent="0.2">
      <c r="A31" s="16" t="s">
        <v>667</v>
      </c>
      <c r="B31" s="16" t="s">
        <v>26</v>
      </c>
      <c r="C31" s="16">
        <v>25</v>
      </c>
      <c r="D31" s="16">
        <v>0</v>
      </c>
      <c r="E31" s="16" t="s">
        <v>143</v>
      </c>
      <c r="F31" s="16" t="s">
        <v>647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>($J31*0.04)+($K31*4)+($L31*-2)+($N31*0.1)+($O31*6)+($Q31)+($R31*0.1)+($S31*6)+($T31*-2)</f>
        <v>0</v>
      </c>
      <c r="W31" s="16" t="e">
        <f>$P31/$H$33</f>
        <v>#DIV/0!</v>
      </c>
      <c r="X31" s="16" t="e">
        <f>$N31/$M31</f>
        <v>#DIV/0!</v>
      </c>
      <c r="Y31" s="16" t="e">
        <f>$R31/$Q31</f>
        <v>#DIV/0!</v>
      </c>
      <c r="Z31" s="16" t="e">
        <f>$I31/$H31</f>
        <v>#DIV/0!</v>
      </c>
      <c r="AA31" s="16" t="e">
        <f>$K31/$H31</f>
        <v>#DIV/0!</v>
      </c>
      <c r="AB31" s="16">
        <f>($J31*Cp_yd)+($K31*Cp_td)+($L31*Cint)+($M31*Ccar)+($N31*Cr_yd)+($O31*Cr_td)+(Q31*Crec)+($R31*Crec_yd)+($S31*Crec_td)+($T31*Cfmb)+($U31*Ctp_c)</f>
        <v>0</v>
      </c>
    </row>
    <row r="32" spans="1:28" x14ac:dyDescent="0.2">
      <c r="A32" s="15" t="s">
        <v>668</v>
      </c>
      <c r="B32" s="15" t="s">
        <v>26</v>
      </c>
      <c r="C32" s="15">
        <v>23</v>
      </c>
      <c r="D32" s="15">
        <v>0</v>
      </c>
      <c r="E32" s="15" t="s">
        <v>559</v>
      </c>
      <c r="F32" s="15" t="s">
        <v>647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>($J32*0.04)+($K32*4)+($L32*-2)+($N32*0.1)+($O32*6)+($Q32)+($R32*0.1)+($S32*6)+($T32*-2)</f>
        <v>0</v>
      </c>
      <c r="W32" s="15" t="e">
        <f>$P32/$H$33</f>
        <v>#DIV/0!</v>
      </c>
      <c r="X32" s="15" t="e">
        <f>$N32/$M32</f>
        <v>#DIV/0!</v>
      </c>
      <c r="Y32" s="15" t="e">
        <f>$R32/$Q32</f>
        <v>#DIV/0!</v>
      </c>
      <c r="Z32" s="15" t="e">
        <f>$I32/$H32</f>
        <v>#DIV/0!</v>
      </c>
      <c r="AA32" s="15" t="e">
        <f>$K32/$H32</f>
        <v>#DIV/0!</v>
      </c>
      <c r="AB32" s="15">
        <f>($J32*Cp_yd)+($K32*Cp_td)+($L32*Cint)+($M32*Ccar)+($N32*Cr_yd)+($O32*Cr_td)+(Q32*Crec)+($R32*Crec_yd)+($S32*Crec_td)+($T32*Cfmb)+($U32*Ctp_c)</f>
        <v>0</v>
      </c>
    </row>
    <row r="33" spans="1:28" x14ac:dyDescent="0.2">
      <c r="A33" s="16" t="s">
        <v>720</v>
      </c>
      <c r="B33" s="16" t="s">
        <v>26</v>
      </c>
      <c r="C33" s="16">
        <v>25</v>
      </c>
      <c r="D33" s="16">
        <v>0</v>
      </c>
      <c r="E33" s="16" t="s">
        <v>339</v>
      </c>
      <c r="F33" s="16" t="s">
        <v>704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>($J33*0.04)+($K33*4)+($L33*-2)+($N33*0.1)+($O33*6)+($Q33)+($R33*0.1)+($S33*6)+($T33*-2)</f>
        <v>0</v>
      </c>
      <c r="W33" s="16" t="e">
        <f>$P33/$H$33</f>
        <v>#DIV/0!</v>
      </c>
      <c r="X33" s="16" t="e">
        <f>$N33/$M33</f>
        <v>#DIV/0!</v>
      </c>
      <c r="Y33" s="16" t="e">
        <f>$R33/$Q33</f>
        <v>#DIV/0!</v>
      </c>
      <c r="Z33" s="16" t="e">
        <f>$I33/$H33</f>
        <v>#DIV/0!</v>
      </c>
      <c r="AA33" s="16" t="e">
        <f>$K33/$H33</f>
        <v>#DIV/0!</v>
      </c>
      <c r="AB33" s="16">
        <f>($J33*Cp_yd)+($K33*Cp_td)+($L33*Cint)+($M33*Ccar)+($N33*Cr_yd)+($O33*Cr_td)+(Q33*Crec)+($R33*Crec_yd)+($S33*Crec_td)+($T33*Cfmb)+($U33*Ctp_c)</f>
        <v>0</v>
      </c>
    </row>
    <row r="34" spans="1:28" x14ac:dyDescent="0.2">
      <c r="A34" s="15" t="s">
        <v>721</v>
      </c>
      <c r="B34" s="15" t="s">
        <v>26</v>
      </c>
      <c r="C34" s="15">
        <v>24</v>
      </c>
      <c r="D34" s="15">
        <v>4</v>
      </c>
      <c r="E34" s="15" t="s">
        <v>89</v>
      </c>
      <c r="F34" s="15" t="s">
        <v>704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>($J34*0.04)+($K34*4)+($L34*-2)+($N34*0.1)+($O34*6)+($Q34)+($R34*0.1)+($S34*6)+($T34*-2)</f>
        <v>0</v>
      </c>
      <c r="W34" s="15" t="e">
        <f>$P34/$H$33</f>
        <v>#DIV/0!</v>
      </c>
      <c r="X34" s="15" t="e">
        <f>$N34/$M34</f>
        <v>#DIV/0!</v>
      </c>
      <c r="Y34" s="15" t="e">
        <f>$R34/$Q34</f>
        <v>#DIV/0!</v>
      </c>
      <c r="Z34" s="15" t="e">
        <f>$I34/$H34</f>
        <v>#DIV/0!</v>
      </c>
      <c r="AA34" s="15" t="e">
        <f>$K34/$H34</f>
        <v>#DIV/0!</v>
      </c>
      <c r="AB34" s="15">
        <f>($J34*Cp_yd)+($K34*Cp_td)+($L34*Cint)+($M34*Ccar)+($N34*Cr_yd)+($O34*Cr_td)+(Q34*Crec)+($R34*Crec_yd)+($S34*Crec_td)+($T34*Cfmb)+($U34*Ctp_c)</f>
        <v>0</v>
      </c>
    </row>
    <row r="35" spans="1:28" x14ac:dyDescent="0.2">
      <c r="A35" s="16" t="s">
        <v>776</v>
      </c>
      <c r="B35" s="16" t="s">
        <v>26</v>
      </c>
      <c r="C35" s="16">
        <v>35</v>
      </c>
      <c r="D35" s="16">
        <v>11</v>
      </c>
      <c r="E35" s="16" t="s">
        <v>70</v>
      </c>
      <c r="F35" s="16" t="s">
        <v>756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>($J35*0.04)+($K35*4)+($L35*-2)+($N35*0.1)+($O35*6)+($Q35)+($R35*0.1)+($S35*6)+($T35*-2)</f>
        <v>0</v>
      </c>
      <c r="W35" s="16" t="e">
        <f>$P35/$H$33</f>
        <v>#DIV/0!</v>
      </c>
      <c r="X35" s="16" t="e">
        <f>$N35/$M35</f>
        <v>#DIV/0!</v>
      </c>
      <c r="Y35" s="16" t="e">
        <f>$R35/$Q35</f>
        <v>#DIV/0!</v>
      </c>
      <c r="Z35" s="16" t="e">
        <f>$I35/$H35</f>
        <v>#DIV/0!</v>
      </c>
      <c r="AA35" s="16" t="e">
        <f>$K35/$H35</f>
        <v>#DIV/0!</v>
      </c>
      <c r="AB35" s="16">
        <f>($J35*Cp_yd)+($K35*Cp_td)+($L35*Cint)+($M35*Ccar)+($N35*Cr_yd)+($O35*Cr_td)+(Q35*Crec)+($R35*Crec_yd)+($S35*Crec_td)+($T35*Cfmb)+($U35*Ctp_c)</f>
        <v>0</v>
      </c>
    </row>
    <row r="36" spans="1:28" x14ac:dyDescent="0.2">
      <c r="A36" s="15" t="s">
        <v>777</v>
      </c>
      <c r="B36" s="15" t="s">
        <v>26</v>
      </c>
      <c r="C36" s="15">
        <v>24</v>
      </c>
      <c r="D36" s="15">
        <v>3</v>
      </c>
      <c r="E36" s="15" t="s">
        <v>102</v>
      </c>
      <c r="F36" s="15" t="s">
        <v>756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>($J36*0.04)+($K36*4)+($L36*-2)+($N36*0.1)+($O36*6)+($Q36)+($R36*0.1)+($S36*6)+($T36*-2)</f>
        <v>0</v>
      </c>
      <c r="W36" s="15" t="e">
        <f>$P36/$H$33</f>
        <v>#DIV/0!</v>
      </c>
      <c r="X36" s="15" t="e">
        <f>$N36/$M36</f>
        <v>#DIV/0!</v>
      </c>
      <c r="Y36" s="15" t="e">
        <f>$R36/$Q36</f>
        <v>#DIV/0!</v>
      </c>
      <c r="Z36" s="15" t="e">
        <f>$I36/$H36</f>
        <v>#DIV/0!</v>
      </c>
      <c r="AA36" s="15" t="e">
        <f>$K36/$H36</f>
        <v>#DIV/0!</v>
      </c>
      <c r="AB36" s="15">
        <f>($J36*Cp_yd)+($K36*Cp_td)+($L36*Cint)+($M36*Ccar)+($N36*Cr_yd)+($O36*Cr_td)+(Q36*Crec)+($R36*Crec_yd)+($S36*Crec_td)+($T36*Cfmb)+($U36*Ctp_c)</f>
        <v>0</v>
      </c>
    </row>
    <row r="37" spans="1:28" x14ac:dyDescent="0.2">
      <c r="A37" s="16" t="s">
        <v>778</v>
      </c>
      <c r="B37" s="16" t="s">
        <v>26</v>
      </c>
      <c r="C37" s="16">
        <v>25</v>
      </c>
      <c r="D37" s="16">
        <v>1</v>
      </c>
      <c r="E37" s="16" t="s">
        <v>779</v>
      </c>
      <c r="F37" s="16" t="s">
        <v>756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>($J37*0.04)+($K37*4)+($L37*-2)+($N37*0.1)+($O37*6)+($Q37)+($R37*0.1)+($S37*6)+($T37*-2)</f>
        <v>0</v>
      </c>
      <c r="W37" s="16" t="e">
        <f>$P37/$H$33</f>
        <v>#DIV/0!</v>
      </c>
      <c r="X37" s="16" t="e">
        <f>$N37/$M37</f>
        <v>#DIV/0!</v>
      </c>
      <c r="Y37" s="16" t="e">
        <f>$R37/$Q37</f>
        <v>#DIV/0!</v>
      </c>
      <c r="Z37" s="16" t="e">
        <f>$I37/$H37</f>
        <v>#DIV/0!</v>
      </c>
      <c r="AA37" s="16" t="e">
        <f>$K37/$H37</f>
        <v>#DIV/0!</v>
      </c>
      <c r="AB37" s="16">
        <f>($J37*Cp_yd)+($K37*Cp_td)+($L37*Cint)+($M37*Ccar)+($N37*Cr_yd)+($O37*Cr_td)+(Q37*Crec)+($R37*Crec_yd)+($S37*Crec_td)+($T37*Cfmb)+($U37*Ctp_c)</f>
        <v>0</v>
      </c>
    </row>
    <row r="38" spans="1:28" x14ac:dyDescent="0.2">
      <c r="A38" s="15" t="s">
        <v>827</v>
      </c>
      <c r="B38" s="15" t="s">
        <v>26</v>
      </c>
      <c r="C38" s="15">
        <v>24</v>
      </c>
      <c r="D38" s="15">
        <v>3</v>
      </c>
      <c r="E38" s="15" t="s">
        <v>66</v>
      </c>
      <c r="F38" s="15" t="s">
        <v>811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>($J38*0.04)+($K38*4)+($L38*-2)+($N38*0.1)+($O38*6)+($Q38)+($R38*0.1)+($S38*6)+($T38*-2)</f>
        <v>0</v>
      </c>
      <c r="W38" s="15" t="e">
        <f>$P38/$H$33</f>
        <v>#DIV/0!</v>
      </c>
      <c r="X38" s="15" t="e">
        <f>$N38/$M38</f>
        <v>#DIV/0!</v>
      </c>
      <c r="Y38" s="15" t="e">
        <f>$R38/$Q38</f>
        <v>#DIV/0!</v>
      </c>
      <c r="Z38" s="15" t="e">
        <f>$I38/$H38</f>
        <v>#DIV/0!</v>
      </c>
      <c r="AA38" s="15" t="e">
        <f>$K38/$H38</f>
        <v>#DIV/0!</v>
      </c>
      <c r="AB38" s="15">
        <f>($J38*Cp_yd)+($K38*Cp_td)+($L38*Cint)+($M38*Ccar)+($N38*Cr_yd)+($O38*Cr_td)+(Q38*Crec)+($R38*Crec_yd)+($S38*Crec_td)+($T38*Cfmb)+($U38*Ctp_c)</f>
        <v>0</v>
      </c>
    </row>
    <row r="39" spans="1:28" x14ac:dyDescent="0.2">
      <c r="A39" s="16" t="s">
        <v>828</v>
      </c>
      <c r="B39" s="16" t="s">
        <v>26</v>
      </c>
      <c r="C39" s="16">
        <v>27</v>
      </c>
      <c r="D39" s="16">
        <v>5</v>
      </c>
      <c r="E39" s="16" t="s">
        <v>294</v>
      </c>
      <c r="F39" s="16" t="s">
        <v>811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>($J39*0.04)+($K39*4)+($L39*-2)+($N39*0.1)+($O39*6)+($Q39)+($R39*0.1)+($S39*6)+($T39*-2)</f>
        <v>0</v>
      </c>
      <c r="W39" s="16" t="e">
        <f>$P39/$H$33</f>
        <v>#DIV/0!</v>
      </c>
      <c r="X39" s="16" t="e">
        <f>$N39/$M39</f>
        <v>#DIV/0!</v>
      </c>
      <c r="Y39" s="16" t="e">
        <f>$R39/$Q39</f>
        <v>#DIV/0!</v>
      </c>
      <c r="Z39" s="16" t="e">
        <f>$I39/$H39</f>
        <v>#DIV/0!</v>
      </c>
      <c r="AA39" s="16" t="e">
        <f>$K39/$H39</f>
        <v>#DIV/0!</v>
      </c>
      <c r="AB39" s="16">
        <f>($J39*Cp_yd)+($K39*Cp_td)+($L39*Cint)+($M39*Ccar)+($N39*Cr_yd)+($O39*Cr_td)+(Q39*Crec)+($R39*Crec_yd)+($S39*Crec_td)+($T39*Cfmb)+($U39*Ctp_c)</f>
        <v>0</v>
      </c>
    </row>
    <row r="40" spans="1:28" x14ac:dyDescent="0.2">
      <c r="A40" s="15" t="s">
        <v>881</v>
      </c>
      <c r="B40" s="15" t="s">
        <v>26</v>
      </c>
      <c r="C40" s="15">
        <v>29</v>
      </c>
      <c r="D40" s="15">
        <v>7</v>
      </c>
      <c r="E40" s="15" t="s">
        <v>100</v>
      </c>
      <c r="F40" s="15" t="s">
        <v>866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>($J40*0.04)+($K40*4)+($L40*-2)+($N40*0.1)+($O40*6)+($Q40)+($R40*0.1)+($S40*6)+($T40*-2)</f>
        <v>0</v>
      </c>
      <c r="W40" s="15" t="e">
        <f>$P40/$H$33</f>
        <v>#DIV/0!</v>
      </c>
      <c r="X40" s="15" t="e">
        <f>$N40/$M40</f>
        <v>#DIV/0!</v>
      </c>
      <c r="Y40" s="15" t="e">
        <f>$R40/$Q40</f>
        <v>#DIV/0!</v>
      </c>
      <c r="Z40" s="15" t="e">
        <f>$I40/$H40</f>
        <v>#DIV/0!</v>
      </c>
      <c r="AA40" s="15" t="e">
        <f>$K40/$H40</f>
        <v>#DIV/0!</v>
      </c>
      <c r="AB40" s="15">
        <f>($J40*Cp_yd)+($K40*Cp_td)+($L40*Cint)+($M40*Ccar)+($N40*Cr_yd)+($O40*Cr_td)+(Q40*Crec)+($R40*Crec_yd)+($S40*Crec_td)+($T40*Cfmb)+($U40*Ctp_c)</f>
        <v>0</v>
      </c>
    </row>
    <row r="41" spans="1:28" x14ac:dyDescent="0.2">
      <c r="A41" s="16" t="s">
        <v>882</v>
      </c>
      <c r="B41" s="16" t="s">
        <v>26</v>
      </c>
      <c r="C41" s="16">
        <v>23</v>
      </c>
      <c r="D41" s="16">
        <v>3</v>
      </c>
      <c r="E41" s="16" t="s">
        <v>458</v>
      </c>
      <c r="F41" s="16" t="s">
        <v>866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>($J41*0.04)+($K41*4)+($L41*-2)+($N41*0.1)+($O41*6)+($Q41)+($R41*0.1)+($S41*6)+($T41*-2)</f>
        <v>0</v>
      </c>
      <c r="W41" s="16" t="e">
        <f>$P41/$H$33</f>
        <v>#DIV/0!</v>
      </c>
      <c r="X41" s="16" t="e">
        <f>$N41/$M41</f>
        <v>#DIV/0!</v>
      </c>
      <c r="Y41" s="16" t="e">
        <f>$R41/$Q41</f>
        <v>#DIV/0!</v>
      </c>
      <c r="Z41" s="16" t="e">
        <f>$I41/$H41</f>
        <v>#DIV/0!</v>
      </c>
      <c r="AA41" s="16" t="e">
        <f>$K41/$H41</f>
        <v>#DIV/0!</v>
      </c>
      <c r="AB41" s="16">
        <f>($J41*Cp_yd)+($K41*Cp_td)+($L41*Cint)+($M41*Ccar)+($N41*Cr_yd)+($O41*Cr_td)+(Q41*Crec)+($R41*Crec_yd)+($S41*Crec_td)+($T41*Cfmb)+($U41*Ctp_c)</f>
        <v>0</v>
      </c>
    </row>
    <row r="42" spans="1:28" x14ac:dyDescent="0.2">
      <c r="A42" s="15" t="s">
        <v>933</v>
      </c>
      <c r="B42" s="15" t="s">
        <v>26</v>
      </c>
      <c r="C42" s="15">
        <v>25</v>
      </c>
      <c r="D42" s="15">
        <v>3</v>
      </c>
      <c r="E42" s="15" t="s">
        <v>237</v>
      </c>
      <c r="F42" s="15" t="s">
        <v>916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>($J42*0.04)+($K42*4)+($L42*-2)+($N42*0.1)+($O42*6)+($Q42)+($R42*0.1)+($S42*6)+($T42*-2)</f>
        <v>0</v>
      </c>
      <c r="W42" s="15" t="e">
        <f>$P42/$H$33</f>
        <v>#DIV/0!</v>
      </c>
      <c r="X42" s="15" t="e">
        <f>$N42/$M42</f>
        <v>#DIV/0!</v>
      </c>
      <c r="Y42" s="15" t="e">
        <f>$R42/$Q42</f>
        <v>#DIV/0!</v>
      </c>
      <c r="Z42" s="15" t="e">
        <f>$I42/$H42</f>
        <v>#DIV/0!</v>
      </c>
      <c r="AA42" s="15" t="e">
        <f>$K42/$H42</f>
        <v>#DIV/0!</v>
      </c>
      <c r="AB42" s="15">
        <f>($J42*Cp_yd)+($K42*Cp_td)+($L42*Cint)+($M42*Ccar)+($N42*Cr_td)+($O42*Cr_yd)+(Q42*Crec)+($R42*Crec_yd)+($S42*Crec_td)+($T42*Cfmb)+($U42*Ctp_c)</f>
        <v>0</v>
      </c>
    </row>
    <row r="43" spans="1:28" x14ac:dyDescent="0.2">
      <c r="A43" s="16" t="s">
        <v>934</v>
      </c>
      <c r="B43" s="16" t="s">
        <v>26</v>
      </c>
      <c r="C43" s="16">
        <v>33</v>
      </c>
      <c r="D43" s="16">
        <v>13</v>
      </c>
      <c r="E43" s="16" t="s">
        <v>613</v>
      </c>
      <c r="F43" s="16" t="s">
        <v>916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>($J43*0.04)+($K43*4)+($L43*-2)+($N43*0.1)+($O43*6)+($Q43)+($R43*0.1)+($S43*6)+($T43*-2)</f>
        <v>0</v>
      </c>
      <c r="W43" s="16" t="e">
        <f>$P43/$H$33</f>
        <v>#DIV/0!</v>
      </c>
      <c r="X43" s="16" t="e">
        <f>$N43/$M43</f>
        <v>#DIV/0!</v>
      </c>
      <c r="Y43" s="16" t="e">
        <f>$R43/$Q43</f>
        <v>#DIV/0!</v>
      </c>
      <c r="Z43" s="16" t="e">
        <f>$I43/$H43</f>
        <v>#DIV/0!</v>
      </c>
      <c r="AA43" s="16" t="e">
        <f>$K43/$H43</f>
        <v>#DIV/0!</v>
      </c>
      <c r="AB43" s="16">
        <f>($J43*Cp_yd)+($K43*Cp_td)+($L43*Cint)+($M43*Ccar)+($N43*Cr_td)+($O43*Cr_yd)+(Q43*Crec)+($R43*Crec_yd)+($S43*Crec_td)+($T43*Cfmb)+($U43*Ctp_c)</f>
        <v>0</v>
      </c>
    </row>
    <row r="44" spans="1:28" x14ac:dyDescent="0.2">
      <c r="A44" s="15" t="s">
        <v>935</v>
      </c>
      <c r="B44" s="15" t="s">
        <v>26</v>
      </c>
      <c r="C44" s="15">
        <v>27</v>
      </c>
      <c r="D44" s="15">
        <v>7</v>
      </c>
      <c r="E44" s="15" t="s">
        <v>511</v>
      </c>
      <c r="F44" s="15" t="s">
        <v>916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>($J44*0.04)+($K44*4)+($L44*-2)+($N44*0.1)+($O44*6)+($Q44)+($R44*0.1)+($S44*6)+($T44*-2)</f>
        <v>0</v>
      </c>
      <c r="W44" s="15" t="e">
        <f>$P44/$H$33</f>
        <v>#DIV/0!</v>
      </c>
      <c r="X44" s="15" t="e">
        <f>$N44/$M44</f>
        <v>#DIV/0!</v>
      </c>
      <c r="Y44" s="15" t="e">
        <f>$R44/$Q44</f>
        <v>#DIV/0!</v>
      </c>
      <c r="Z44" s="15" t="e">
        <f>$I44/$H44</f>
        <v>#DIV/0!</v>
      </c>
      <c r="AA44" s="15" t="e">
        <f>$K44/$H44</f>
        <v>#DIV/0!</v>
      </c>
      <c r="AB44" s="15">
        <f>($J44*Cp_yd)+($K44*Cp_td)+($L44*Cint)+($M44*Ccar)+($N44*Cr_td)+($O44*Cr_yd)+(Q44*Crec)+($R44*Crec_yd)+($S44*Crec_td)+($T44*Cfmb)+($U44*Ctp_c)</f>
        <v>0</v>
      </c>
    </row>
    <row r="45" spans="1:28" x14ac:dyDescent="0.2">
      <c r="A45" s="16" t="s">
        <v>987</v>
      </c>
      <c r="B45" s="16" t="s">
        <v>26</v>
      </c>
      <c r="C45" s="16">
        <v>22</v>
      </c>
      <c r="D45" s="16">
        <v>0</v>
      </c>
      <c r="E45" s="16" t="s">
        <v>76</v>
      </c>
      <c r="F45" s="16" t="s">
        <v>969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>($J45*0.04)+($K45*4)+($L45*-2)+($N45*0.1)+($O45*6)+($Q45)+($R45*0.1)+($S45*6)+($T45*-2)</f>
        <v>0</v>
      </c>
      <c r="W45" s="16" t="e">
        <f>$P45/$H$33</f>
        <v>#DIV/0!</v>
      </c>
      <c r="X45" s="16" t="e">
        <f>$N45/$M45</f>
        <v>#DIV/0!</v>
      </c>
      <c r="Y45" s="16" t="e">
        <f>$R45/$Q45</f>
        <v>#DIV/0!</v>
      </c>
      <c r="Z45" s="16" t="e">
        <f>$I45/$H45</f>
        <v>#DIV/0!</v>
      </c>
      <c r="AA45" s="16" t="e">
        <f>$K45/$H45</f>
        <v>#DIV/0!</v>
      </c>
      <c r="AB45" s="16">
        <f>($J45*Cp_yd)+($K45*Cp_td)+($L45*Cint)+($M45*Ccar)+($N45*Cr_yd)+($O45*Cr_td)+(Q45*Crec)+($R45*Crec_yd)+($S45*Crec_td)+($T45*Cfmb)+($U45*Ctp_c)</f>
        <v>0</v>
      </c>
    </row>
    <row r="46" spans="1:28" x14ac:dyDescent="0.2">
      <c r="A46" s="15" t="s">
        <v>988</v>
      </c>
      <c r="B46" s="15" t="s">
        <v>26</v>
      </c>
      <c r="C46" s="15">
        <v>25</v>
      </c>
      <c r="D46" s="15">
        <v>4</v>
      </c>
      <c r="E46" s="15" t="s">
        <v>205</v>
      </c>
      <c r="F46" s="15" t="s">
        <v>969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>($J46*0.04)+($K46*4)+($L46*-2)+($N46*0.1)+($O46*6)+($Q46)+($R46*0.1)+($S46*6)+($T46*-2)</f>
        <v>0</v>
      </c>
      <c r="W46" s="15" t="e">
        <f>$P46/$H$33</f>
        <v>#DIV/0!</v>
      </c>
      <c r="X46" s="15" t="e">
        <f>$N46/$M46</f>
        <v>#DIV/0!</v>
      </c>
      <c r="Y46" s="15" t="e">
        <f>$R46/$Q46</f>
        <v>#DIV/0!</v>
      </c>
      <c r="Z46" s="15" t="e">
        <f>$I46/$H46</f>
        <v>#DIV/0!</v>
      </c>
      <c r="AA46" s="15" t="e">
        <f>$K46/$H46</f>
        <v>#DIV/0!</v>
      </c>
      <c r="AB46" s="15">
        <f>($J46*Cp_yd)+($K46*Cp_td)+($L46*Cint)+($M46*Ccar)+($N46*Cr_yd)+($O46*Cr_td)+(Q46*Crec)+($R46*Crec_yd)+($S46*Crec_td)+($T46*Cfmb)+($U46*Ctp_c)</f>
        <v>0</v>
      </c>
    </row>
    <row r="47" spans="1:28" x14ac:dyDescent="0.2">
      <c r="A47" s="16" t="s">
        <v>1041</v>
      </c>
      <c r="B47" s="16" t="s">
        <v>26</v>
      </c>
      <c r="C47" s="16">
        <v>25</v>
      </c>
      <c r="D47" s="16">
        <v>0</v>
      </c>
      <c r="E47" s="16" t="s">
        <v>173</v>
      </c>
      <c r="F47" s="16" t="s">
        <v>1021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>($J47*0.04)+($K47*4)+($L47*-2)+($N47*0.1)+($O47*6)+($Q47)+($R47*0.1)+($S47*6)+($T47*-2)</f>
        <v>0</v>
      </c>
      <c r="W47" s="16" t="e">
        <f>$P47/$H$33</f>
        <v>#DIV/0!</v>
      </c>
      <c r="X47" s="16" t="e">
        <f>$N47/$M47</f>
        <v>#DIV/0!</v>
      </c>
      <c r="Y47" s="16" t="e">
        <f>$R47/$Q47</f>
        <v>#DIV/0!</v>
      </c>
      <c r="Z47" s="16" t="e">
        <f>$I47/$H47</f>
        <v>#DIV/0!</v>
      </c>
      <c r="AA47" s="16" t="e">
        <f>$K47/$H47</f>
        <v>#DIV/0!</v>
      </c>
      <c r="AB47" s="16">
        <f>($J47*Cp_yd)+($K47*Cp_td)+($L47*Cint)+($M47*Ccar)+($N47*Cr_yd)+($O47*Cr_td)+(Q47*Crec)+($R47*Crec_yd)+($S47*Crec_td)+($T47*Cfmb)+($U47*Ctp_c)</f>
        <v>0</v>
      </c>
    </row>
    <row r="48" spans="1:28" x14ac:dyDescent="0.2">
      <c r="A48" s="15" t="s">
        <v>1042</v>
      </c>
      <c r="B48" s="15" t="s">
        <v>26</v>
      </c>
      <c r="C48" s="15">
        <v>27</v>
      </c>
      <c r="D48" s="15">
        <v>4</v>
      </c>
      <c r="E48" s="15" t="s">
        <v>296</v>
      </c>
      <c r="F48" s="15" t="s">
        <v>1021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>($J48*0.04)+($K48*4)+($L48*-2)+($N48*0.1)+($O48*6)+($Q48)+($R48*0.1)+($S48*6)+($T48*-2)</f>
        <v>0</v>
      </c>
      <c r="W48" s="15" t="e">
        <f>$P48/$H$33</f>
        <v>#DIV/0!</v>
      </c>
      <c r="X48" s="15" t="e">
        <f>$N48/$M48</f>
        <v>#DIV/0!</v>
      </c>
      <c r="Y48" s="15" t="e">
        <f>$R48/$Q48</f>
        <v>#DIV/0!</v>
      </c>
      <c r="Z48" s="15" t="e">
        <f>$I48/$H48</f>
        <v>#DIV/0!</v>
      </c>
      <c r="AA48" s="15" t="e">
        <f>$K48/$H48</f>
        <v>#DIV/0!</v>
      </c>
      <c r="AB48" s="15">
        <f>($J48*Cp_yd)+($K48*Cp_td)+($L48*Cint)+($M48*Ccar)+($N48*Cr_yd)+($O48*Cr_td)+(Q48*Crec)+($R48*Crec_yd)+($S48*Crec_td)+($T48*Cfmb)+($U48*Ctp_c)</f>
        <v>0</v>
      </c>
    </row>
    <row r="49" spans="1:28" x14ac:dyDescent="0.2">
      <c r="A49" s="16" t="s">
        <v>1043</v>
      </c>
      <c r="B49" s="16" t="s">
        <v>26</v>
      </c>
      <c r="C49" s="16">
        <v>35</v>
      </c>
      <c r="D49" s="16">
        <v>15</v>
      </c>
      <c r="E49" s="16" t="s">
        <v>173</v>
      </c>
      <c r="F49" s="16" t="s">
        <v>1021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>($J49*0.04)+($K49*4)+($L49*-2)+($N49*0.1)+($O49*6)+($Q49)+($R49*0.1)+($S49*6)+($T49*-2)</f>
        <v>0</v>
      </c>
      <c r="W49" s="16" t="e">
        <f>$P49/$H$33</f>
        <v>#DIV/0!</v>
      </c>
      <c r="X49" s="16" t="e">
        <f>$N49/$M49</f>
        <v>#DIV/0!</v>
      </c>
      <c r="Y49" s="16" t="e">
        <f>$R49/$Q49</f>
        <v>#DIV/0!</v>
      </c>
      <c r="Z49" s="16" t="e">
        <f>$I49/$H49</f>
        <v>#DIV/0!</v>
      </c>
      <c r="AA49" s="16" t="e">
        <f>$K49/$H49</f>
        <v>#DIV/0!</v>
      </c>
      <c r="AB49" s="16">
        <f>($J49*Cp_yd)+($K49*Cp_td)+($L49*Cint)+($M49*Ccar)+($N49*Cr_yd)+($O49*Cr_td)+(Q49*Crec)+($R49*Crec_yd)+($S49*Crec_td)+($T49*Cfmb)+($U49*Ctp_c)</f>
        <v>0</v>
      </c>
    </row>
    <row r="50" spans="1:28" x14ac:dyDescent="0.2">
      <c r="A50" s="15" t="s">
        <v>1090</v>
      </c>
      <c r="B50" s="15" t="s">
        <v>26</v>
      </c>
      <c r="C50" s="15">
        <v>24</v>
      </c>
      <c r="D50" s="15">
        <v>1</v>
      </c>
      <c r="E50" s="15" t="s">
        <v>666</v>
      </c>
      <c r="F50" s="15" t="s">
        <v>1075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>($J50*0.04)+($K50*4)+($L50*-2)+($N50*0.1)+($O50*6)+($Q50)+($R50*0.1)+($S50*6)+($T50*-2)</f>
        <v>0</v>
      </c>
      <c r="W50" s="15" t="e">
        <f>$P50/$H$33</f>
        <v>#DIV/0!</v>
      </c>
      <c r="X50" s="15" t="e">
        <f>$N50/$M50</f>
        <v>#DIV/0!</v>
      </c>
      <c r="Y50" s="15" t="e">
        <f>$R50/$Q50</f>
        <v>#DIV/0!</v>
      </c>
      <c r="Z50" s="15" t="e">
        <f>$I50/$H50</f>
        <v>#DIV/0!</v>
      </c>
      <c r="AA50" s="15" t="e">
        <f>$K50/$H50</f>
        <v>#DIV/0!</v>
      </c>
      <c r="AB50" s="15">
        <f>($J50*Cp_yd)+($K50*Cp_td)+($L50*Cint)+($M50*Ccar)+($N50*Cr_yd)+($O50*Cr_td)+(Q50*Crec)+($R50*Crec_yd)+($S50*Crec_td)+($T50*Cfmb)+($U50*Ctp_c)</f>
        <v>0</v>
      </c>
    </row>
    <row r="51" spans="1:28" x14ac:dyDescent="0.2">
      <c r="A51" s="16" t="s">
        <v>1091</v>
      </c>
      <c r="B51" s="16" t="s">
        <v>26</v>
      </c>
      <c r="C51" s="16">
        <v>31</v>
      </c>
      <c r="D51" s="16">
        <v>10</v>
      </c>
      <c r="E51" s="16" t="s">
        <v>1092</v>
      </c>
      <c r="F51" s="16" t="s">
        <v>1075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>($J51*0.04)+($K51*4)+($L51*-2)+($N51*0.1)+($O51*6)+($Q51)+($R51*0.1)+($S51*6)+($T51*-2)</f>
        <v>0</v>
      </c>
      <c r="W51" s="16" t="e">
        <f>$P51/$H$33</f>
        <v>#DIV/0!</v>
      </c>
      <c r="X51" s="16" t="e">
        <f>$N51/$M51</f>
        <v>#DIV/0!</v>
      </c>
      <c r="Y51" s="16" t="e">
        <f>$R51/$Q51</f>
        <v>#DIV/0!</v>
      </c>
      <c r="Z51" s="16" t="e">
        <f>$I51/$H51</f>
        <v>#DIV/0!</v>
      </c>
      <c r="AA51" s="16" t="e">
        <f>$K51/$H51</f>
        <v>#DIV/0!</v>
      </c>
      <c r="AB51" s="16">
        <f>($J51*Cp_yd)+($K51*Cp_td)+($L51*Cint)+($M51*Ccar)+($N51*Cr_yd)+($O51*Cr_td)+(Q51*Crec)+($R51*Crec_yd)+($S51*Crec_td)+($T51*Cfmb)+($U51*Ctp_c)</f>
        <v>0</v>
      </c>
    </row>
    <row r="52" spans="1:28" x14ac:dyDescent="0.2">
      <c r="A52" s="15" t="s">
        <v>1093</v>
      </c>
      <c r="B52" s="15" t="s">
        <v>26</v>
      </c>
      <c r="C52" s="15">
        <v>37</v>
      </c>
      <c r="D52" s="15">
        <v>15</v>
      </c>
      <c r="E52" s="15" t="s">
        <v>744</v>
      </c>
      <c r="F52" s="15" t="s">
        <v>1075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>($J52*0.04)+($K52*4)+($L52*-2)+($N52*0.1)+($O52*6)+($Q52)+($R52*0.1)+($S52*6)+($T52*-2)</f>
        <v>0</v>
      </c>
      <c r="W52" s="15" t="e">
        <f>$P52/$H$33</f>
        <v>#DIV/0!</v>
      </c>
      <c r="X52" s="15" t="e">
        <f>$N52/$M52</f>
        <v>#DIV/0!</v>
      </c>
      <c r="Y52" s="15" t="e">
        <f>$R52/$Q52</f>
        <v>#DIV/0!</v>
      </c>
      <c r="Z52" s="15" t="e">
        <f>$I52/$H52</f>
        <v>#DIV/0!</v>
      </c>
      <c r="AA52" s="15" t="e">
        <f>$K52/$H52</f>
        <v>#DIV/0!</v>
      </c>
      <c r="AB52" s="15">
        <f>($J52*Cp_yd)+($K52*Cp_td)+($L52*Cint)+($M52*Ccar)+($N52*Cr_yd)+($O52*Cr_td)+(Q52*Crec)+($R52*Crec_yd)+($S52*Crec_td)+($T52*Cfmb)+($U52*Ctp_c)</f>
        <v>0</v>
      </c>
    </row>
    <row r="53" spans="1:28" x14ac:dyDescent="0.2">
      <c r="A53" s="16" t="s">
        <v>1145</v>
      </c>
      <c r="B53" s="16" t="s">
        <v>26</v>
      </c>
      <c r="C53" s="16">
        <v>25</v>
      </c>
      <c r="D53" s="16">
        <v>4</v>
      </c>
      <c r="E53" s="16" t="s">
        <v>153</v>
      </c>
      <c r="F53" s="16" t="s">
        <v>1127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>($J53*0.04)+($K53*4)+($L53*-2)+($N53*0.1)+($O53*6)+($Q53)+($R53*0.1)+($S53*6)+($T53*-2)</f>
        <v>0</v>
      </c>
      <c r="W53" s="16" t="e">
        <f>$P53/$H$33</f>
        <v>#DIV/0!</v>
      </c>
      <c r="X53" s="16" t="e">
        <f>$N53/$M53</f>
        <v>#DIV/0!</v>
      </c>
      <c r="Y53" s="16" t="e">
        <f>$R53/$Q53</f>
        <v>#DIV/0!</v>
      </c>
      <c r="Z53" s="16" t="e">
        <f>$I53/$H53</f>
        <v>#DIV/0!</v>
      </c>
      <c r="AA53" s="16" t="e">
        <f>$K53/$H53</f>
        <v>#DIV/0!</v>
      </c>
      <c r="AB53" s="16">
        <f>($J53*Cp_yd)+($K53*Cp_td)+($L53*Cint)+($M53*Ccar)+($N53*Cr_yd)+($O53*Cr_td)+(Q53*Crec)+($R53*Crec_yd)+($S53*Crec_td)+($T53*Cfmb)+($U53*Ctp_c)</f>
        <v>0</v>
      </c>
    </row>
    <row r="54" spans="1:28" x14ac:dyDescent="0.2">
      <c r="A54" s="15" t="s">
        <v>1146</v>
      </c>
      <c r="B54" s="15" t="s">
        <v>26</v>
      </c>
      <c r="C54" s="15">
        <v>26</v>
      </c>
      <c r="D54" s="15">
        <v>2</v>
      </c>
      <c r="E54" s="15" t="s">
        <v>559</v>
      </c>
      <c r="F54" s="15" t="s">
        <v>1127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>($J54*0.04)+($K54*4)+($L54*-2)+($N54*0.1)+($O54*6)+($Q54)+($R54*0.1)+($S54*6)+($T54*-2)</f>
        <v>0</v>
      </c>
      <c r="W54" s="15" t="e">
        <f>$P54/$H$33</f>
        <v>#DIV/0!</v>
      </c>
      <c r="X54" s="15" t="e">
        <f>$N54/$M54</f>
        <v>#DIV/0!</v>
      </c>
      <c r="Y54" s="15" t="e">
        <f>$R54/$Q54</f>
        <v>#DIV/0!</v>
      </c>
      <c r="Z54" s="15" t="e">
        <f>$I54/$H54</f>
        <v>#DIV/0!</v>
      </c>
      <c r="AA54" s="15" t="e">
        <f>$K54/$H54</f>
        <v>#DIV/0!</v>
      </c>
      <c r="AB54" s="15">
        <f>($J54*Cp_yd)+($K54*Cp_td)+($L54*Cint)+($M54*Ccar)+($N54*Cr_yd)+($O54*Cr_td)+(Q54*Crec)+($R54*Crec_yd)+($S54*Crec_td)+($T54*Cfmb)+($U54*Ctp_c)</f>
        <v>0</v>
      </c>
    </row>
    <row r="55" spans="1:28" x14ac:dyDescent="0.2">
      <c r="A55" s="16" t="s">
        <v>1191</v>
      </c>
      <c r="B55" s="16" t="s">
        <v>26</v>
      </c>
      <c r="C55" s="16">
        <v>34</v>
      </c>
      <c r="D55" s="16">
        <v>12</v>
      </c>
      <c r="E55" s="16" t="s">
        <v>744</v>
      </c>
      <c r="F55" s="16" t="s">
        <v>1176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>($J55*0.04)+($K55*4)+($L55*-2)+($N55*0.1)+($O55*6)+($Q55)+($R55*0.1)+($S55*6)+($T55*-2)</f>
        <v>0</v>
      </c>
      <c r="W55" s="16" t="e">
        <f>$P55/$H$33</f>
        <v>#DIV/0!</v>
      </c>
      <c r="X55" s="16" t="e">
        <f>$N55/$M55</f>
        <v>#DIV/0!</v>
      </c>
      <c r="Y55" s="16" t="e">
        <f>$R55/$Q55</f>
        <v>#DIV/0!</v>
      </c>
      <c r="Z55" s="16" t="e">
        <f>$I55/$H55</f>
        <v>#DIV/0!</v>
      </c>
      <c r="AA55" s="16" t="e">
        <f>$K55/$H55</f>
        <v>#DIV/0!</v>
      </c>
      <c r="AB55" s="16">
        <f>($J55*Cp_yd)+($K55*Cp_td)+($L55*Cint)+($M55*Ccar)+($N55*Cr_yd)+($O55*Cr_td)+(Q55*Crec)+($R55*Crec_yd)+($S55*Crec_td)+($T55*Cfmb)+($U55*Ctp_c)</f>
        <v>0</v>
      </c>
    </row>
    <row r="56" spans="1:28" x14ac:dyDescent="0.2">
      <c r="A56" s="15" t="s">
        <v>1192</v>
      </c>
      <c r="B56" s="15" t="s">
        <v>26</v>
      </c>
      <c r="C56" s="15">
        <v>25</v>
      </c>
      <c r="D56" s="15">
        <v>0</v>
      </c>
      <c r="E56" s="15" t="s">
        <v>82</v>
      </c>
      <c r="F56" s="15" t="s">
        <v>1176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>($J56*0.04)+($K56*4)+($L56*-2)+($N56*0.1)+($O56*6)+($Q56)+($R56*0.1)+($S56*6)+($T56*-2)</f>
        <v>0</v>
      </c>
      <c r="W56" s="15" t="e">
        <f>$P56/$H$33</f>
        <v>#DIV/0!</v>
      </c>
      <c r="X56" s="15" t="e">
        <f>$N56/$M56</f>
        <v>#DIV/0!</v>
      </c>
      <c r="Y56" s="15" t="e">
        <f>$R56/$Q56</f>
        <v>#DIV/0!</v>
      </c>
      <c r="Z56" s="15" t="e">
        <f>$I56/$H56</f>
        <v>#DIV/0!</v>
      </c>
      <c r="AA56" s="15" t="e">
        <f>$K56/$H56</f>
        <v>#DIV/0!</v>
      </c>
      <c r="AB56" s="15">
        <f>($J56*Cp_yd)+($K56*Cp_td)+($L56*Cint)+($M56*Ccar)+($N56*Cr_yd)+($O56*Cr_td)+(Q56*Crec)+($R56*Crec_yd)+($S56*Crec_td)+($T56*Cfmb)+($U56*Ctp_c)</f>
        <v>0</v>
      </c>
    </row>
    <row r="57" spans="1:28" x14ac:dyDescent="0.2">
      <c r="A57" s="16" t="s">
        <v>1237</v>
      </c>
      <c r="B57" s="16" t="s">
        <v>26</v>
      </c>
      <c r="C57" s="16">
        <v>24</v>
      </c>
      <c r="D57" s="16">
        <v>0</v>
      </c>
      <c r="E57" s="16" t="s">
        <v>209</v>
      </c>
      <c r="F57" s="16" t="s">
        <v>1222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>($J57*0.04)+($K57*4)+($L57*-2)+($N57*0.1)+($O57*6)+($Q57)+($R57*0.1)+($S57*6)+($T57*-2)</f>
        <v>0</v>
      </c>
      <c r="W57" s="16" t="e">
        <f>$P57/$H$33</f>
        <v>#DIV/0!</v>
      </c>
      <c r="X57" s="16" t="e">
        <f>$N57/$M57</f>
        <v>#DIV/0!</v>
      </c>
      <c r="Y57" s="16" t="e">
        <f>$R57/$Q57</f>
        <v>#DIV/0!</v>
      </c>
      <c r="Z57" s="16" t="e">
        <f>$I57/$H57</f>
        <v>#DIV/0!</v>
      </c>
      <c r="AA57" s="16" t="e">
        <f>$K57/$H57</f>
        <v>#DIV/0!</v>
      </c>
      <c r="AB57" s="16">
        <f>($J57*Cp_yd)+($K57*Cp_td)+($L57*Cint)+($M57*Ccar)+($N57*Cr_yd)+($O57*Cr_td)+(Q57*Crec)+($R57*Crec_yd)+($S57*Crec_td)+($T57*Cfmb)+($U57*Ctp_c)</f>
        <v>0</v>
      </c>
    </row>
    <row r="58" spans="1:28" x14ac:dyDescent="0.2">
      <c r="A58" s="15" t="s">
        <v>1238</v>
      </c>
      <c r="B58" s="15" t="s">
        <v>26</v>
      </c>
      <c r="C58" s="15">
        <v>24</v>
      </c>
      <c r="D58" s="15">
        <v>3</v>
      </c>
      <c r="E58" s="15" t="s">
        <v>153</v>
      </c>
      <c r="F58" s="15" t="s">
        <v>1222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>($J58*0.04)+($K58*4)+($L58*-2)+($N58*0.1)+($O58*6)+($Q58)+($R58*0.1)+($S58*6)+($T58*-2)</f>
        <v>0</v>
      </c>
      <c r="W58" s="15" t="e">
        <f>$P58/$H$33</f>
        <v>#DIV/0!</v>
      </c>
      <c r="X58" s="15" t="e">
        <f>$N58/$M58</f>
        <v>#DIV/0!</v>
      </c>
      <c r="Y58" s="15" t="e">
        <f>$R58/$Q58</f>
        <v>#DIV/0!</v>
      </c>
      <c r="Z58" s="15" t="e">
        <f>$I58/$H58</f>
        <v>#DIV/0!</v>
      </c>
      <c r="AA58" s="15" t="e">
        <f>$K58/$H58</f>
        <v>#DIV/0!</v>
      </c>
      <c r="AB58" s="15">
        <f>($J58*Cp_yd)+($K58*Cp_td)+($L58*Cint)+($M58*Ccar)+($N58*Cr_yd)+($O58*Cr_td)+(Q58*Crec)+($R58*Crec_yd)+($S58*Crec_td)+($T58*Cfmb)+($U58*Ctp_c)</f>
        <v>0</v>
      </c>
    </row>
    <row r="59" spans="1:28" x14ac:dyDescent="0.2">
      <c r="A59" s="16" t="s">
        <v>1239</v>
      </c>
      <c r="B59" s="16" t="s">
        <v>26</v>
      </c>
      <c r="C59" s="16">
        <v>27</v>
      </c>
      <c r="D59" s="16">
        <v>5</v>
      </c>
      <c r="E59" s="16" t="s">
        <v>339</v>
      </c>
      <c r="F59" s="16" t="s">
        <v>1222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>($J59*0.04)+($K59*4)+($L59*-2)+($N59*0.1)+($O59*6)+($Q59)+($R59*0.1)+($S59*6)+($T59*-2)</f>
        <v>0</v>
      </c>
      <c r="W59" s="16" t="e">
        <f>$P59/$H$33</f>
        <v>#DIV/0!</v>
      </c>
      <c r="X59" s="16" t="e">
        <f>$N59/$M59</f>
        <v>#DIV/0!</v>
      </c>
      <c r="Y59" s="16" t="e">
        <f>$R59/$Q59</f>
        <v>#DIV/0!</v>
      </c>
      <c r="Z59" s="16" t="e">
        <f>$I59/$H59</f>
        <v>#DIV/0!</v>
      </c>
      <c r="AA59" s="16" t="e">
        <f>$K59/$H59</f>
        <v>#DIV/0!</v>
      </c>
      <c r="AB59" s="16">
        <f>($J59*Cp_yd)+($K59*Cp_td)+($L59*Cint)+($M59*Ccar)+($N59*Cr_yd)+($O59*Cr_td)+(Q59*Crec)+($R59*Crec_yd)+($S59*Crec_td)+($T59*Cfmb)+($U59*Ctp_c)</f>
        <v>0</v>
      </c>
    </row>
    <row r="60" spans="1:28" x14ac:dyDescent="0.2">
      <c r="A60" s="15" t="s">
        <v>1287</v>
      </c>
      <c r="B60" s="15" t="s">
        <v>26</v>
      </c>
      <c r="C60" s="15">
        <v>32</v>
      </c>
      <c r="D60" s="15">
        <v>10</v>
      </c>
      <c r="E60" s="15" t="s">
        <v>280</v>
      </c>
      <c r="F60" s="15" t="s">
        <v>1270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>($J60*0.04)+($K60*4)+($L60*-2)+($N60*0.1)+($O60*6)+($Q60)+($R60*0.1)+($S60*6)+($T60*-2)</f>
        <v>0</v>
      </c>
      <c r="W60" s="15" t="e">
        <f>$P60/$H$33</f>
        <v>#DIV/0!</v>
      </c>
      <c r="X60" s="15" t="e">
        <f>$N60/$M60</f>
        <v>#DIV/0!</v>
      </c>
      <c r="Y60" s="15" t="e">
        <f>$R60/$Q60</f>
        <v>#DIV/0!</v>
      </c>
      <c r="Z60" s="15" t="e">
        <f>$I60/$H60</f>
        <v>#DIV/0!</v>
      </c>
      <c r="AA60" s="15" t="e">
        <f>$K60/$H60</f>
        <v>#DIV/0!</v>
      </c>
      <c r="AB60" s="15">
        <f>($J60*Cp_yd)+($K60*Cp_td)+($L60*Cint)+($M60*Ccar)+($N60*Cr_yd)+($O60*Cr_td)+(Q60*Crec)+($R60*Crec_yd)+($S60*Crec_td)+($T60*Cfmb)+($U60*Ctp_c)</f>
        <v>0</v>
      </c>
    </row>
    <row r="61" spans="1:28" x14ac:dyDescent="0.2">
      <c r="A61" s="16" t="s">
        <v>1288</v>
      </c>
      <c r="B61" s="16" t="s">
        <v>26</v>
      </c>
      <c r="C61" s="16">
        <v>24</v>
      </c>
      <c r="D61" s="16">
        <v>0</v>
      </c>
      <c r="E61" s="16" t="s">
        <v>280</v>
      </c>
      <c r="F61" s="16" t="s">
        <v>1270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>($J61*0.04)+($K61*4)+($L61*-2)+($N61*0.1)+($O61*6)+($Q61)+($R61*0.1)+($S61*6)+($T61*-2)</f>
        <v>0</v>
      </c>
      <c r="W61" s="16" t="e">
        <f>$P61/$H$33</f>
        <v>#DIV/0!</v>
      </c>
      <c r="X61" s="16" t="e">
        <f>$N61/$M61</f>
        <v>#DIV/0!</v>
      </c>
      <c r="Y61" s="16" t="e">
        <f>$R61/$Q61</f>
        <v>#DIV/0!</v>
      </c>
      <c r="Z61" s="16" t="e">
        <f>$I61/$H61</f>
        <v>#DIV/0!</v>
      </c>
      <c r="AA61" s="16" t="e">
        <f>$K61/$H61</f>
        <v>#DIV/0!</v>
      </c>
      <c r="AB61" s="16">
        <f>($J61*Cp_yd)+($K61*Cp_td)+($L61*Cint)+($M61*Ccar)+($N61*Cr_yd)+($O61*Cr_td)+(Q61*Crec)+($R61*Crec_yd)+($S61*Crec_td)+($T61*Cfmb)+($U61*Ctp_c)</f>
        <v>0</v>
      </c>
    </row>
    <row r="62" spans="1:28" x14ac:dyDescent="0.2">
      <c r="A62" s="15" t="s">
        <v>1336</v>
      </c>
      <c r="B62" s="15" t="s">
        <v>26</v>
      </c>
      <c r="C62" s="15">
        <v>25</v>
      </c>
      <c r="D62" s="15">
        <v>0</v>
      </c>
      <c r="E62" s="15" t="s">
        <v>446</v>
      </c>
      <c r="F62" s="15" t="s">
        <v>1320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>($J62*0.04)+($K62*4)+($L62*-2)+($N62*0.1)+($O62*6)+($Q62)+($R62*0.1)+($S62*6)+($T62*-2)</f>
        <v>0</v>
      </c>
      <c r="W62" s="15" t="e">
        <f>$P62/$H$33</f>
        <v>#DIV/0!</v>
      </c>
      <c r="X62" s="15" t="e">
        <f>$N62/$M62</f>
        <v>#DIV/0!</v>
      </c>
      <c r="Y62" s="15" t="e">
        <f>$R62/$Q62</f>
        <v>#DIV/0!</v>
      </c>
      <c r="Z62" s="15" t="e">
        <f>$I62/$H62</f>
        <v>#DIV/0!</v>
      </c>
      <c r="AA62" s="15" t="e">
        <f>$K62/$H62</f>
        <v>#DIV/0!</v>
      </c>
      <c r="AB62" s="15">
        <f>($J62*Cp_yd)+($K62*Cp_td)+($L62*Cint)+($M62*Ccar)+($N62*Cr_yd)+($O62*Cr_td)+(Q62*Crec)+($R62*Crec_yd)+($S62*Crec_td)+($T62*Cfmb)+($U62*Ctp_c)</f>
        <v>0</v>
      </c>
    </row>
    <row r="63" spans="1:28" x14ac:dyDescent="0.2">
      <c r="A63" s="16" t="s">
        <v>1337</v>
      </c>
      <c r="B63" s="16" t="s">
        <v>26</v>
      </c>
      <c r="C63" s="16">
        <v>26</v>
      </c>
      <c r="D63" s="16">
        <v>5</v>
      </c>
      <c r="E63" s="16" t="s">
        <v>697</v>
      </c>
      <c r="F63" s="16" t="s">
        <v>1320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>($J63*0.04)+($K63*4)+($L63*-2)+($N63*0.1)+($O63*6)+($Q63)+($R63*0.1)+($S63*6)+($T63*-2)</f>
        <v>0</v>
      </c>
      <c r="W63" s="16" t="e">
        <f>$P63/$H$33</f>
        <v>#DIV/0!</v>
      </c>
      <c r="X63" s="16" t="e">
        <f>$N63/$M63</f>
        <v>#DIV/0!</v>
      </c>
      <c r="Y63" s="16" t="e">
        <f>$R63/$Q63</f>
        <v>#DIV/0!</v>
      </c>
      <c r="Z63" s="16" t="e">
        <f>$I63/$H63</f>
        <v>#DIV/0!</v>
      </c>
      <c r="AA63" s="16" t="e">
        <f>$K63/$H63</f>
        <v>#DIV/0!</v>
      </c>
      <c r="AB63" s="16">
        <f>($J63*Cp_yd)+($K63*Cp_td)+($L63*Cint)+($M63*Ccar)+($N63*Cr_yd)+($O63*Cr_td)+(Q63*Crec)+($R63*Crec_yd)+($S63*Crec_td)+($T63*Cfmb)+($U63*Ctp_c)</f>
        <v>0</v>
      </c>
    </row>
    <row r="64" spans="1:28" x14ac:dyDescent="0.2">
      <c r="A64" s="15" t="s">
        <v>1380</v>
      </c>
      <c r="B64" s="15" t="s">
        <v>26</v>
      </c>
      <c r="C64" s="15">
        <v>28</v>
      </c>
      <c r="D64" s="15">
        <v>5</v>
      </c>
      <c r="E64" s="15" t="s">
        <v>1381</v>
      </c>
      <c r="F64" s="15" t="s">
        <v>1365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>($J64*0.04)+($K64*4)+($L64*-2)+($N64*0.1)+($O64*6)+($Q64)+($R64*0.1)+($S64*6)+($T64*-2)</f>
        <v>0</v>
      </c>
      <c r="W64" s="15" t="e">
        <f>$P64/$H$33</f>
        <v>#DIV/0!</v>
      </c>
      <c r="X64" s="15" t="e">
        <f>$N64/$M64</f>
        <v>#DIV/0!</v>
      </c>
      <c r="Y64" s="15" t="e">
        <f>$R64/$Q64</f>
        <v>#DIV/0!</v>
      </c>
      <c r="Z64" s="15" t="e">
        <f>$I64/$H64</f>
        <v>#DIV/0!</v>
      </c>
      <c r="AA64" s="15" t="e">
        <f>$K64/$H64</f>
        <v>#DIV/0!</v>
      </c>
      <c r="AB64" s="15">
        <f>($J64*Cp_yd)+($K64*Cp_td)+($L64*Cint)+($M64*Ccar)+($N64*Cr_yd)+($O64*Cr_td)+(Q64*Crec)+($R64*Crec_yd)+($S64*Crec_td)+($T64*Cfmb)+($U64*Ctp_c)</f>
        <v>0</v>
      </c>
    </row>
    <row r="65" spans="1:28" x14ac:dyDescent="0.2">
      <c r="A65" s="16" t="s">
        <v>1382</v>
      </c>
      <c r="B65" s="16" t="s">
        <v>26</v>
      </c>
      <c r="C65" s="16">
        <v>39</v>
      </c>
      <c r="D65" s="16">
        <v>19</v>
      </c>
      <c r="E65" s="16" t="s">
        <v>666</v>
      </c>
      <c r="F65" s="16" t="s">
        <v>1365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>($J65*0.04)+($K65*4)+($L65*-2)+($N65*0.1)+($O65*6)+($Q65)+($R65*0.1)+($S65*6)+($T65*-2)</f>
        <v>0</v>
      </c>
      <c r="W65" s="16" t="e">
        <f>$P65/$H$33</f>
        <v>#DIV/0!</v>
      </c>
      <c r="X65" s="16" t="e">
        <f>$N65/$M65</f>
        <v>#DIV/0!</v>
      </c>
      <c r="Y65" s="16" t="e">
        <f>$R65/$Q65</f>
        <v>#DIV/0!</v>
      </c>
      <c r="Z65" s="16" t="e">
        <f>$I65/$H65</f>
        <v>#DIV/0!</v>
      </c>
      <c r="AA65" s="16" t="e">
        <f>$K65/$H65</f>
        <v>#DIV/0!</v>
      </c>
      <c r="AB65" s="16">
        <f>($J65*Cp_yd)+($K65*Cp_td)+($L65*Cint)+($M65*Ccar)+($N65*Cr_yd)+($O65*Cr_td)+(Q65*Crec)+($R65*Crec_yd)+($S65*Crec_td)+($T65*Cfmb)+($U65*Ctp_c)</f>
        <v>0</v>
      </c>
    </row>
    <row r="66" spans="1:28" x14ac:dyDescent="0.2">
      <c r="A66" s="15" t="s">
        <v>1426</v>
      </c>
      <c r="B66" s="15" t="s">
        <v>26</v>
      </c>
      <c r="C66" s="15">
        <v>25</v>
      </c>
      <c r="D66" s="15">
        <v>3</v>
      </c>
      <c r="E66" s="15" t="s">
        <v>362</v>
      </c>
      <c r="F66" s="15" t="s">
        <v>1413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>($J66*0.04)+($K66*4)+($L66*-2)+($N66*0.1)+($O66*6)+($Q66)+($R66*0.1)+($S66*6)+($T66*-2)</f>
        <v>0</v>
      </c>
      <c r="W66" s="15" t="e">
        <f>$P66/$H$33</f>
        <v>#DIV/0!</v>
      </c>
      <c r="X66" s="15" t="e">
        <f>$N66/$M66</f>
        <v>#DIV/0!</v>
      </c>
      <c r="Y66" s="15" t="e">
        <f>$R66/$Q66</f>
        <v>#DIV/0!</v>
      </c>
      <c r="Z66" s="15" t="e">
        <f>$I66/$H66</f>
        <v>#DIV/0!</v>
      </c>
      <c r="AA66" s="15" t="e">
        <f>$K66/$H66</f>
        <v>#DIV/0!</v>
      </c>
      <c r="AB66" s="15">
        <f>($J66*Cp_yd)+($K66*Cp_td)+($L66*Cint)+($M66*Ccar)+($N66*Cr_yd)+($O66*Cr_td)+(Q66*Crec)+($R66*Crec_yd)+($S66*Crec_td)+($T66*Cfmb)+($U66*Ctp_c)</f>
        <v>0</v>
      </c>
    </row>
    <row r="67" spans="1:28" x14ac:dyDescent="0.2">
      <c r="A67" s="16" t="s">
        <v>1427</v>
      </c>
      <c r="B67" s="16" t="s">
        <v>26</v>
      </c>
      <c r="C67" s="16">
        <v>25</v>
      </c>
      <c r="D67" s="16">
        <v>4</v>
      </c>
      <c r="E67" s="16" t="s">
        <v>68</v>
      </c>
      <c r="F67" s="16" t="s">
        <v>1413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>($J67*0.04)+($K67*4)+($L67*-2)+($N67*0.1)+($O67*6)+($Q67)+($R67*0.1)+($S67*6)+($T67*-2)</f>
        <v>0</v>
      </c>
      <c r="W67" s="16" t="e">
        <f>$P67/$H$33</f>
        <v>#DIV/0!</v>
      </c>
      <c r="X67" s="16" t="e">
        <f>$N67/$M67</f>
        <v>#DIV/0!</v>
      </c>
      <c r="Y67" s="16" t="e">
        <f>$R67/$Q67</f>
        <v>#DIV/0!</v>
      </c>
      <c r="Z67" s="16" t="e">
        <f>$I67/$H67</f>
        <v>#DIV/0!</v>
      </c>
      <c r="AA67" s="16" t="e">
        <f>$K67/$H67</f>
        <v>#DIV/0!</v>
      </c>
      <c r="AB67" s="16">
        <f>($J67*Cp_yd)+($K67*Cp_td)+($L67*Cint)+($M67*Ccar)+($N67*Cr_yd)+($O67*Cr_td)+(Q67*Crec)+($R67*Crec_yd)+($S67*Crec_td)+($T67*Cfmb)+($U67*Ctp_c)</f>
        <v>0</v>
      </c>
    </row>
    <row r="68" spans="1:28" x14ac:dyDescent="0.2">
      <c r="A68" s="15" t="s">
        <v>1428</v>
      </c>
      <c r="B68" s="15" t="s">
        <v>26</v>
      </c>
      <c r="C68" s="15">
        <v>29</v>
      </c>
      <c r="D68" s="15">
        <v>9</v>
      </c>
      <c r="E68" s="15" t="s">
        <v>205</v>
      </c>
      <c r="F68" s="15" t="s">
        <v>1413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>($J68*0.04)+($K68*4)+($L68*-2)+($N68*0.1)+($O68*6)+($Q68)+($R68*0.1)+($S68*6)+($T68*-2)</f>
        <v>0</v>
      </c>
      <c r="W68" s="15" t="e">
        <f>$P68/$H$33</f>
        <v>#DIV/0!</v>
      </c>
      <c r="X68" s="15" t="e">
        <f>$N68/$M68</f>
        <v>#DIV/0!</v>
      </c>
      <c r="Y68" s="15" t="e">
        <f>$R68/$Q68</f>
        <v>#DIV/0!</v>
      </c>
      <c r="Z68" s="15" t="e">
        <f>$I68/$H68</f>
        <v>#DIV/0!</v>
      </c>
      <c r="AA68" s="15" t="e">
        <f>$K68/$H68</f>
        <v>#DIV/0!</v>
      </c>
      <c r="AB68" s="15">
        <f>($J68*Cp_yd)+($K68*Cp_td)+($L68*Cint)+($M68*Ccar)+($N68*Cr_yd)+($O68*Cr_td)+(Q68*Crec)+($R68*Crec_yd)+($S68*Crec_td)+($T68*Cfmb)+($U68*Ctp_c)</f>
        <v>0</v>
      </c>
    </row>
    <row r="69" spans="1:28" x14ac:dyDescent="0.2">
      <c r="A69" s="16" t="s">
        <v>1472</v>
      </c>
      <c r="B69" s="16" t="s">
        <v>26</v>
      </c>
      <c r="C69" s="16">
        <v>24</v>
      </c>
      <c r="D69" s="16">
        <v>0</v>
      </c>
      <c r="E69" s="16" t="s">
        <v>225</v>
      </c>
      <c r="F69" s="16" t="s">
        <v>1457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>($J69*0.04)+($K69*4)+($L69*-2)+($N69*0.1)+($O69*6)+($Q69)+($R69*0.1)+($S69*6)+($T69*-2)</f>
        <v>0</v>
      </c>
      <c r="W69" s="16" t="e">
        <f>$P69/$H$33</f>
        <v>#DIV/0!</v>
      </c>
      <c r="X69" s="16" t="e">
        <f>$N69/$M69</f>
        <v>#DIV/0!</v>
      </c>
      <c r="Y69" s="16" t="e">
        <f>$R69/$Q69</f>
        <v>#DIV/0!</v>
      </c>
      <c r="Z69" s="16" t="e">
        <f>$I69/$H69</f>
        <v>#DIV/0!</v>
      </c>
      <c r="AA69" s="16" t="e">
        <f>$K69/$H69</f>
        <v>#DIV/0!</v>
      </c>
      <c r="AB69" s="16">
        <f>($J69*Cp_yd)+($K69*Cp_td)+($L69*Cint)+($M69*Ccar)+($N69*Cr_yd)+($O69*Cr_td)+(Q69*Crec)+($R69*Crec_yd)+($S69*Crec_td)+($T69*Cfmb)+($U69*Ctp_c)</f>
        <v>0</v>
      </c>
    </row>
    <row r="70" spans="1:28" x14ac:dyDescent="0.2">
      <c r="A70" s="15" t="s">
        <v>1473</v>
      </c>
      <c r="B70" s="15" t="s">
        <v>26</v>
      </c>
      <c r="C70" s="15">
        <v>25</v>
      </c>
      <c r="D70" s="15">
        <v>2</v>
      </c>
      <c r="E70" s="15" t="s">
        <v>74</v>
      </c>
      <c r="F70" s="15" t="s">
        <v>1457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>($J70*0.04)+($K70*4)+($L70*-2)+($N70*0.1)+($O70*6)+($Q70)+($R70*0.1)+($S70*6)+($T70*-2)</f>
        <v>0</v>
      </c>
      <c r="W70" s="15" t="e">
        <f>$P70/$H$33</f>
        <v>#DIV/0!</v>
      </c>
      <c r="X70" s="15" t="e">
        <f>$N70/$M70</f>
        <v>#DIV/0!</v>
      </c>
      <c r="Y70" s="15" t="e">
        <f>$R70/$Q70</f>
        <v>#DIV/0!</v>
      </c>
      <c r="Z70" s="15" t="e">
        <f>$I70/$H70</f>
        <v>#DIV/0!</v>
      </c>
      <c r="AA70" s="15" t="e">
        <f>$K70/$H70</f>
        <v>#DIV/0!</v>
      </c>
      <c r="AB70" s="15">
        <f>($J70*Cp_yd)+($K70*Cp_td)+($L70*Cint)+($M70*Ccar)+($N70*Cr_yd)+($O70*Cr_td)+(Q70*Crec)+($R70*Crec_yd)+($S70*Crec_td)+($T70*Cfmb)+($U70*Ctp_c)</f>
        <v>0</v>
      </c>
    </row>
    <row r="71" spans="1:28" x14ac:dyDescent="0.2">
      <c r="A71" s="16" t="s">
        <v>1474</v>
      </c>
      <c r="B71" s="16" t="s">
        <v>26</v>
      </c>
      <c r="C71" s="16">
        <v>28</v>
      </c>
      <c r="D71" s="16">
        <v>6</v>
      </c>
      <c r="E71" s="16" t="s">
        <v>218</v>
      </c>
      <c r="F71" s="16" t="s">
        <v>1457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>($J71*0.04)+($K71*4)+($L71*-2)+($N71*0.1)+($O71*6)+($Q71)+($R71*0.1)+($S71*6)+($T71*-2)</f>
        <v>0</v>
      </c>
      <c r="W71" s="16" t="e">
        <f>$P71/$H$33</f>
        <v>#DIV/0!</v>
      </c>
      <c r="X71" s="16" t="e">
        <f>$N71/$M71</f>
        <v>#DIV/0!</v>
      </c>
      <c r="Y71" s="16" t="e">
        <f>$R71/$Q71</f>
        <v>#DIV/0!</v>
      </c>
      <c r="Z71" s="16" t="e">
        <f>$I71/$H71</f>
        <v>#DIV/0!</v>
      </c>
      <c r="AA71" s="16" t="e">
        <f>$K71/$H71</f>
        <v>#DIV/0!</v>
      </c>
      <c r="AB71" s="16">
        <f>($J71*Cp_yd)+($K71*Cp_td)+($L71*Cint)+($M71*Ccar)+($N71*Cr_yd)+($O71*Cr_td)+(Q71*Crec)+($R71*Crec_yd)+($S71*Crec_td)+($T71*Cfmb)+($U71*Ctp_c)</f>
        <v>0</v>
      </c>
    </row>
    <row r="72" spans="1:28" x14ac:dyDescent="0.2">
      <c r="A72" s="15" t="s">
        <v>1521</v>
      </c>
      <c r="B72" s="15" t="s">
        <v>26</v>
      </c>
      <c r="C72" s="15">
        <v>23</v>
      </c>
      <c r="D72" s="15">
        <v>0</v>
      </c>
      <c r="E72" s="15" t="s">
        <v>220</v>
      </c>
      <c r="F72" s="15" t="s">
        <v>1503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>($J72*0.04)+($K72*4)+($L72*-2)+($N72*0.1)+($O72*6)+($Q72)+($R72*0.1)+($S72*6)+($T72*-2)</f>
        <v>0</v>
      </c>
      <c r="W72" s="15" t="e">
        <f>$P72/$H$33</f>
        <v>#DIV/0!</v>
      </c>
      <c r="X72" s="15" t="e">
        <f>$N72/$M72</f>
        <v>#DIV/0!</v>
      </c>
      <c r="Y72" s="15" t="e">
        <f>$R72/$Q72</f>
        <v>#DIV/0!</v>
      </c>
      <c r="Z72" s="15" t="e">
        <f>$I72/$H72</f>
        <v>#DIV/0!</v>
      </c>
      <c r="AA72" s="15" t="e">
        <f>$K72/$H72</f>
        <v>#DIV/0!</v>
      </c>
      <c r="AB72" s="15">
        <f>($J72*Cp_yd)+($K72*Cp_td)+($L72*Cint)+($M72*Ccar)+($N72*Cr_yd)+($O72*Cr_td)+(Q72*Crec)+($R72*Crec_yd)+($S72*Crec_td)+($T72*Cfmb)+($U72*Ctp_c)</f>
        <v>0</v>
      </c>
    </row>
    <row r="73" spans="1:28" x14ac:dyDescent="0.2">
      <c r="A73" s="16" t="s">
        <v>1522</v>
      </c>
      <c r="B73" s="16" t="s">
        <v>26</v>
      </c>
      <c r="C73" s="16">
        <v>26</v>
      </c>
      <c r="D73" s="16">
        <v>5</v>
      </c>
      <c r="E73" s="16" t="s">
        <v>613</v>
      </c>
      <c r="F73" s="16" t="s">
        <v>1503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>($J73*0.04)+($K73*4)+($L73*-2)+($N73*0.1)+($O73*6)+($Q73)+($R73*0.1)+($S73*6)+($T73*-2)</f>
        <v>0</v>
      </c>
      <c r="W73" s="16" t="e">
        <f>$P73/$H$33</f>
        <v>#DIV/0!</v>
      </c>
      <c r="X73" s="16" t="e">
        <f>$N73/$M73</f>
        <v>#DIV/0!</v>
      </c>
      <c r="Y73" s="16" t="e">
        <f>$R73/$Q73</f>
        <v>#DIV/0!</v>
      </c>
      <c r="Z73" s="16" t="e">
        <f>$I73/$H73</f>
        <v>#DIV/0!</v>
      </c>
      <c r="AA73" s="16" t="e">
        <f>$K73/$H73</f>
        <v>#DIV/0!</v>
      </c>
      <c r="AB73" s="16">
        <f>($J73*Cp_yd)+($K73*Cp_td)+($L73*Cint)+($M73*Ccar)+($N73*Cr_yd)+($O73*Cr_td)+(Q73*Crec)+($R73*Crec_yd)+($S73*Crec_td)+($T73*Cfmb)+($U73*Ctp_c)</f>
        <v>0</v>
      </c>
    </row>
    <row r="74" spans="1:28" x14ac:dyDescent="0.2">
      <c r="A74" s="15" t="s">
        <v>1569</v>
      </c>
      <c r="B74" s="15" t="s">
        <v>26</v>
      </c>
      <c r="C74" s="15">
        <v>30</v>
      </c>
      <c r="D74" s="15">
        <v>7</v>
      </c>
      <c r="E74" s="15" t="s">
        <v>175</v>
      </c>
      <c r="F74" s="15" t="s">
        <v>1552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>($J74*0.04)+($K74*4)+($L74*-2)+($N74*0.1)+($O74*6)+($Q74)+($R74*0.1)+($S74*6)+($T74*-2)</f>
        <v>0</v>
      </c>
      <c r="W74" s="15" t="e">
        <f>$P74/$H$33</f>
        <v>#DIV/0!</v>
      </c>
      <c r="X74" s="15" t="e">
        <f>$N74/$M74</f>
        <v>#DIV/0!</v>
      </c>
      <c r="Y74" s="15" t="e">
        <f>$R74/$Q74</f>
        <v>#DIV/0!</v>
      </c>
      <c r="Z74" s="15" t="e">
        <f>$I74/$H74</f>
        <v>#DIV/0!</v>
      </c>
      <c r="AA74" s="15" t="e">
        <f>$K74/$H74</f>
        <v>#DIV/0!</v>
      </c>
      <c r="AB74" s="15">
        <f>($J74*Cp_yd)+($K74*Cp_td)+($L74*Cint)+($M74*Ccar)+($N74*Cr_yd)+($O74*Cr_td)+(Q74*Crec)+($R74*Crec_yd)+($S74*Crec_td)+($T74*Cfmb)+($U74*Ctp_c)</f>
        <v>0</v>
      </c>
    </row>
    <row r="75" spans="1:28" x14ac:dyDescent="0.2">
      <c r="A75" s="16" t="s">
        <v>1570</v>
      </c>
      <c r="B75" s="16" t="s">
        <v>26</v>
      </c>
      <c r="C75" s="16">
        <v>26</v>
      </c>
      <c r="D75" s="16">
        <v>6</v>
      </c>
      <c r="E75" s="16" t="s">
        <v>78</v>
      </c>
      <c r="F75" s="16" t="s">
        <v>1552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>($J75*0.04)+($K75*4)+($L75*-2)+($N75*0.1)+($O75*6)+($Q75)+($R75*0.1)+($S75*6)+($T75*-2)</f>
        <v>0</v>
      </c>
      <c r="W75" s="16" t="e">
        <f>$P75/$H$33</f>
        <v>#DIV/0!</v>
      </c>
      <c r="X75" s="16" t="e">
        <f>$N75/$M75</f>
        <v>#DIV/0!</v>
      </c>
      <c r="Y75" s="16" t="e">
        <f>$R75/$Q75</f>
        <v>#DIV/0!</v>
      </c>
      <c r="Z75" s="16" t="e">
        <f>$I75/$H75</f>
        <v>#DIV/0!</v>
      </c>
      <c r="AA75" s="16" t="e">
        <f>$K75/$H75</f>
        <v>#DIV/0!</v>
      </c>
      <c r="AB75" s="16">
        <f>($J75*Cp_yd)+($K75*Cp_td)+($L75*Cint)+($M75*Ccar)+($N75*Cr_yd)+($O75*Cr_td)+(Q75*Crec)+($R75*Crec_yd)+($S75*Crec_td)+($T75*Cfmb)+($U75*Ctp_c)</f>
        <v>0</v>
      </c>
    </row>
    <row r="76" spans="1:28" x14ac:dyDescent="0.2">
      <c r="A76" s="15" t="s">
        <v>1571</v>
      </c>
      <c r="B76" s="15" t="s">
        <v>26</v>
      </c>
      <c r="C76" s="15">
        <v>23</v>
      </c>
      <c r="D76" s="15">
        <v>3</v>
      </c>
      <c r="E76" s="15" t="s">
        <v>555</v>
      </c>
      <c r="F76" s="15" t="s">
        <v>1552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>($J76*0.04)+($K76*4)+($L76*-2)+($N76*0.1)+($O76*6)+($Q76)+($R76*0.1)+($S76*6)+($T76*-2)</f>
        <v>0</v>
      </c>
      <c r="W76" s="15" t="e">
        <f>$P76/$H$33</f>
        <v>#DIV/0!</v>
      </c>
      <c r="X76" s="15" t="e">
        <f>$N76/$M76</f>
        <v>#DIV/0!</v>
      </c>
      <c r="Y76" s="15" t="e">
        <f>$R76/$Q76</f>
        <v>#DIV/0!</v>
      </c>
      <c r="Z76" s="15" t="e">
        <f>$I76/$H76</f>
        <v>#DIV/0!</v>
      </c>
      <c r="AA76" s="15" t="e">
        <f>$K76/$H76</f>
        <v>#DIV/0!</v>
      </c>
      <c r="AB76" s="15">
        <f>($J76*Cp_yd)+($K76*Cp_td)+($L76*Cint)+($M76*Ccar)+($N76*Cr_yd)+($O76*Cr_td)+(Q76*Crec)+($R76*Crec_yd)+($S76*Crec_td)+($T76*Cfmb)+($U76*Ctp_c)</f>
        <v>0</v>
      </c>
    </row>
    <row r="77" spans="1:28" x14ac:dyDescent="0.2">
      <c r="A77" s="16" t="s">
        <v>1618</v>
      </c>
      <c r="B77" s="16" t="s">
        <v>26</v>
      </c>
      <c r="C77" s="16">
        <v>28</v>
      </c>
      <c r="D77" s="16">
        <v>6</v>
      </c>
      <c r="E77" s="16" t="s">
        <v>68</v>
      </c>
      <c r="F77" s="16" t="s">
        <v>1599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>($J77*0.04)+($K77*4)+($L77*-2)+($N77*0.1)+($O77*6)+($Q77)+($R77*0.1)+($S77*6)+($T77*-2)</f>
        <v>0</v>
      </c>
      <c r="W77" s="16" t="e">
        <f>$P77/$H$33</f>
        <v>#DIV/0!</v>
      </c>
      <c r="X77" s="16" t="e">
        <f>$N77/$M77</f>
        <v>#DIV/0!</v>
      </c>
      <c r="Y77" s="16" t="e">
        <f>$R77/$Q77</f>
        <v>#DIV/0!</v>
      </c>
      <c r="Z77" s="16" t="e">
        <f>$I77/$H77</f>
        <v>#DIV/0!</v>
      </c>
      <c r="AA77" s="16" t="e">
        <f>$K77/$H77</f>
        <v>#DIV/0!</v>
      </c>
      <c r="AB77" s="16">
        <f>($J77*Cp_yd)+($K77*Cp_td)+($L77*Cint)+($M77*Ccar)+($N77*Cr_yd)+($O77*Cr_td)+(Q77*Crec)+($R77*Crec_yd)+($S77*Crec_td)+($T77*Cfmb)+($U77*Ctp_c)</f>
        <v>0</v>
      </c>
    </row>
    <row r="78" spans="1:28" x14ac:dyDescent="0.2">
      <c r="A78" s="15" t="s">
        <v>1619</v>
      </c>
      <c r="B78" s="15" t="s">
        <v>26</v>
      </c>
      <c r="C78" s="15">
        <v>25</v>
      </c>
      <c r="D78" s="15">
        <v>3</v>
      </c>
      <c r="E78" s="15" t="s">
        <v>178</v>
      </c>
      <c r="F78" s="15" t="s">
        <v>1599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>($J78*0.04)+($K78*4)+($L78*-2)+($N78*0.1)+($O78*6)+($Q78)+($R78*0.1)+($S78*6)+($T78*-2)</f>
        <v>0</v>
      </c>
      <c r="W78" s="15" t="e">
        <f>$P78/$H$33</f>
        <v>#DIV/0!</v>
      </c>
      <c r="X78" s="15" t="e">
        <f>$N78/$M78</f>
        <v>#DIV/0!</v>
      </c>
      <c r="Y78" s="15" t="e">
        <f>$R78/$Q78</f>
        <v>#DIV/0!</v>
      </c>
      <c r="Z78" s="15" t="e">
        <f>$I78/$H78</f>
        <v>#DIV/0!</v>
      </c>
      <c r="AA78" s="15" t="e">
        <f>$K78/$H78</f>
        <v>#DIV/0!</v>
      </c>
      <c r="AB78" s="15">
        <f>($J78*Cp_yd)+($K78*Cp_td)+($L78*Cint)+($M78*Ccar)+($N78*Cr_yd)+($O78*Cr_td)+(Q78*Crec)+($R78*Crec_yd)+($S78*Crec_td)+($T78*Cfmb)+($U78*Ctp_c)</f>
        <v>0</v>
      </c>
    </row>
    <row r="79" spans="1:28" x14ac:dyDescent="0.2">
      <c r="A79" s="16" t="s">
        <v>1668</v>
      </c>
      <c r="B79" s="16" t="s">
        <v>26</v>
      </c>
      <c r="C79" s="16">
        <v>24</v>
      </c>
      <c r="D79" s="16">
        <v>0</v>
      </c>
      <c r="E79" s="16" t="s">
        <v>150</v>
      </c>
      <c r="F79" s="16" t="s">
        <v>1648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>($J79*0.04)+($K79*4)+($L79*-2)+($N79*0.1)+($O79*6)+($Q79)+($R79*0.1)+($S79*6)+($T79*-2)</f>
        <v>0</v>
      </c>
      <c r="W79" s="16" t="e">
        <f>$P79/$H$33</f>
        <v>#DIV/0!</v>
      </c>
      <c r="X79" s="16" t="e">
        <f>$N79/$M79</f>
        <v>#DIV/0!</v>
      </c>
      <c r="Y79" s="16" t="e">
        <f>$R79/$Q79</f>
        <v>#DIV/0!</v>
      </c>
      <c r="Z79" s="16" t="e">
        <f>$I79/$H79</f>
        <v>#DIV/0!</v>
      </c>
      <c r="AA79" s="16" t="e">
        <f>$K79/$H79</f>
        <v>#DIV/0!</v>
      </c>
      <c r="AB79" s="16">
        <f>($J79*Cp_yd)+($K79*Cp_td)+($L79*Cint)+($M79*Ccar)+($N79*Cr_yd)+($O79*Cr_td)+(Q79*Crec)+($R79*Crec_yd)+($S79*Crec_td)+($T79*Cfmb)+($U79*Ctp_c)</f>
        <v>0</v>
      </c>
    </row>
    <row r="80" spans="1:28" x14ac:dyDescent="0.2">
      <c r="A80" s="15" t="s">
        <v>1669</v>
      </c>
      <c r="B80" s="15" t="s">
        <v>26</v>
      </c>
      <c r="C80" s="15">
        <v>35</v>
      </c>
      <c r="D80" s="15">
        <v>12</v>
      </c>
      <c r="E80" s="15" t="s">
        <v>307</v>
      </c>
      <c r="F80" s="15" t="s">
        <v>1648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>($J80*0.04)+($K80*4)+($L80*-2)+($N80*0.1)+($O80*6)+($Q80)+($R80*0.1)+($S80*6)+($T80*-2)</f>
        <v>0</v>
      </c>
      <c r="W80" s="15" t="e">
        <f>$P80/$H$33</f>
        <v>#DIV/0!</v>
      </c>
      <c r="X80" s="15" t="e">
        <f>$N80/$M80</f>
        <v>#DIV/0!</v>
      </c>
      <c r="Y80" s="15" t="e">
        <f>$R80/$Q80</f>
        <v>#DIV/0!</v>
      </c>
      <c r="Z80" s="15" t="e">
        <f>$I80/$H80</f>
        <v>#DIV/0!</v>
      </c>
      <c r="AA80" s="15" t="e">
        <f>$K80/$H80</f>
        <v>#DIV/0!</v>
      </c>
      <c r="AB80" s="15">
        <f>($J80*Cp_yd)+($K80*Cp_td)+($L80*Cint)+($M80*Ccar)+($N80*Cr_yd)+($O80*Cr_td)+(Q80*Crec)+($R80*Crec_yd)+($S80*Crec_td)+($T80*Cfmb)+($U80*Ctp_c)</f>
        <v>0</v>
      </c>
    </row>
    <row r="81" spans="1:28" x14ac:dyDescent="0.2">
      <c r="A81" s="16" t="s">
        <v>1717</v>
      </c>
      <c r="B81" s="16" t="s">
        <v>26</v>
      </c>
      <c r="C81" s="16">
        <v>30</v>
      </c>
      <c r="D81" s="16">
        <v>8</v>
      </c>
      <c r="E81" s="16" t="s">
        <v>1113</v>
      </c>
      <c r="F81" s="16" t="s">
        <v>1699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>($J81*0.04)+($K81*4)+($L81*-2)+($N81*0.1)+($O81*6)+($Q81)+($R81*0.1)+($S81*6)+($T81*-2)</f>
        <v>0</v>
      </c>
      <c r="W81" s="16" t="e">
        <f>$P81/$H$33</f>
        <v>#DIV/0!</v>
      </c>
      <c r="X81" s="16" t="e">
        <f>$N81/$M81</f>
        <v>#DIV/0!</v>
      </c>
      <c r="Y81" s="16" t="e">
        <f>$R81/$Q81</f>
        <v>#DIV/0!</v>
      </c>
      <c r="Z81" s="16" t="e">
        <f>$I81/$H81</f>
        <v>#DIV/0!</v>
      </c>
      <c r="AA81" s="16" t="e">
        <f>$K81/$H81</f>
        <v>#DIV/0!</v>
      </c>
      <c r="AB81" s="16">
        <f>($J81*Cp_yd)+($K81*Cp_td)+($L81*Cint)+($M81*Ccar)+($N81*Cr_yd)+($O81*Cr_td)+(Q81*Crec)+($R81*Crec_yd)+($S81*Crec_td)+($T81*Cfmb)+($U81*Ctp_c)</f>
        <v>0</v>
      </c>
    </row>
    <row r="82" spans="1:28" x14ac:dyDescent="0.2">
      <c r="A82" s="15" t="s">
        <v>1718</v>
      </c>
      <c r="B82" s="15" t="s">
        <v>26</v>
      </c>
      <c r="C82" s="15">
        <v>25</v>
      </c>
      <c r="D82" s="15">
        <v>3</v>
      </c>
      <c r="E82" s="15" t="s">
        <v>173</v>
      </c>
      <c r="F82" s="15" t="s">
        <v>1699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>($J82*0.04)+($K82*4)+($L82*-2)+($N82*0.1)+($O82*6)+($Q82)+($R82*0.1)+($S82*6)+($T82*-2)</f>
        <v>0</v>
      </c>
      <c r="W82" s="15" t="e">
        <f>$P82/$H$33</f>
        <v>#DIV/0!</v>
      </c>
      <c r="X82" s="15" t="e">
        <f>$N82/$M82</f>
        <v>#DIV/0!</v>
      </c>
      <c r="Y82" s="15" t="e">
        <f>$R82/$Q82</f>
        <v>#DIV/0!</v>
      </c>
      <c r="Z82" s="15" t="e">
        <f>$I82/$H82</f>
        <v>#DIV/0!</v>
      </c>
      <c r="AA82" s="15" t="e">
        <f>$K82/$H82</f>
        <v>#DIV/0!</v>
      </c>
      <c r="AB82" s="15">
        <f>($J82*Cp_yd)+($K82*Cp_td)+($L82*Cint)+($M82*Ccar)+($N82*Cr_yd)+($O82*Cr_td)+(Q82*Crec)+($R82*Crec_yd)+($S82*Crec_td)+($T82*Cfmb)+($U82*Ctp_c)</f>
        <v>0</v>
      </c>
    </row>
    <row r="83" spans="1:28" x14ac:dyDescent="0.2">
      <c r="A83" s="18" t="s">
        <v>1719</v>
      </c>
      <c r="B83" s="18" t="s">
        <v>26</v>
      </c>
      <c r="C83" s="18">
        <v>22</v>
      </c>
      <c r="D83" s="18">
        <v>2</v>
      </c>
      <c r="E83" s="18" t="s">
        <v>163</v>
      </c>
      <c r="F83" s="18" t="s">
        <v>1699</v>
      </c>
      <c r="G83" s="18">
        <v>0</v>
      </c>
      <c r="H83" s="18">
        <v>0</v>
      </c>
      <c r="I83" s="18">
        <v>0</v>
      </c>
      <c r="J83" s="18">
        <v>0</v>
      </c>
      <c r="K83" s="18">
        <v>0</v>
      </c>
      <c r="L83" s="18">
        <v>0</v>
      </c>
      <c r="M83" s="18">
        <v>0</v>
      </c>
      <c r="N83" s="18">
        <v>0</v>
      </c>
      <c r="O83" s="18">
        <v>0</v>
      </c>
      <c r="P83" s="18">
        <v>0</v>
      </c>
      <c r="Q83" s="18">
        <v>0</v>
      </c>
      <c r="R83" s="18">
        <v>0</v>
      </c>
      <c r="S83" s="18">
        <v>0</v>
      </c>
      <c r="T83" s="18">
        <v>0</v>
      </c>
      <c r="U83" s="18">
        <v>0</v>
      </c>
      <c r="V83" s="18">
        <f>($J83*0.04)+($K83*4)+($L83*-2)+($N83*0.1)+($O83*6)+($Q83)+($R83*0.1)+($S83*6)+($T83*-2)</f>
        <v>0</v>
      </c>
      <c r="W83" s="18" t="e">
        <f>$P83/$H$33</f>
        <v>#DIV/0!</v>
      </c>
      <c r="X83" s="18" t="e">
        <f>$N83/$M83</f>
        <v>#DIV/0!</v>
      </c>
      <c r="Y83" s="18" t="e">
        <f>$R83/$Q83</f>
        <v>#DIV/0!</v>
      </c>
      <c r="Z83" s="18" t="e">
        <f>$I83/$H83</f>
        <v>#DIV/0!</v>
      </c>
      <c r="AA83" s="18" t="e">
        <f>$K83/$H83</f>
        <v>#DIV/0!</v>
      </c>
      <c r="AB83" s="18">
        <f>($J83*Cp_yd)+($K83*Cp_td)+($L83*Cint)+($M83*Ccar)+($N83*Cr_yd)+($O83*Cr_td)+(Q83*Crec)+($R83*Crec_yd)+($S83*Crec_td)+($T83*Cfmb)+($U83*Ctp_c)</f>
        <v>0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BB97D-119C-4451-B072-58993C8CD7C1}">
  <sheetPr codeName="Sheet35"/>
  <dimension ref="A1:AB167"/>
  <sheetViews>
    <sheetView zoomScale="90" zoomScaleNormal="90" workbookViewId="0"/>
  </sheetViews>
  <sheetFormatPr baseColWidth="10" defaultColWidth="8.83203125" defaultRowHeight="15" x14ac:dyDescent="0.2"/>
  <cols>
    <col min="1" max="1" width="20.33203125" bestFit="1" customWidth="1"/>
    <col min="2" max="2" width="6.6640625" customWidth="1"/>
    <col min="3" max="3" width="6.5" customWidth="1"/>
    <col min="4" max="4" width="6.33203125" customWidth="1"/>
    <col min="5" max="5" width="17.1640625" bestFit="1" customWidth="1"/>
    <col min="6" max="6" width="7.33203125" customWidth="1"/>
    <col min="7" max="7" width="4.5" customWidth="1"/>
    <col min="8" max="8" width="7.33203125" customWidth="1"/>
    <col min="9" max="9" width="6.6640625" customWidth="1"/>
    <col min="10" max="10" width="7.1640625" customWidth="1"/>
    <col min="11" max="11" width="6.83203125" customWidth="1"/>
    <col min="12" max="12" width="5.33203125" customWidth="1"/>
    <col min="13" max="13" width="6" customWidth="1"/>
    <col min="14" max="14" width="7" customWidth="1"/>
    <col min="15" max="15" width="6.6640625" customWidth="1"/>
    <col min="16" max="16" width="5.5" customWidth="1"/>
    <col min="17" max="17" width="6" customWidth="1"/>
    <col min="18" max="18" width="8.6640625" customWidth="1"/>
    <col min="19" max="19" width="8.33203125" customWidth="1"/>
    <col min="20" max="20" width="6.5" customWidth="1"/>
    <col min="21" max="21" width="6.6640625" customWidth="1"/>
    <col min="22" max="22" width="7.6640625" customWidth="1"/>
    <col min="23" max="23" width="10.6640625" customWidth="1"/>
    <col min="24" max="25" width="7.1640625" bestFit="1" customWidth="1"/>
    <col min="26" max="26" width="9.83203125" customWidth="1"/>
    <col min="27" max="27" width="9" customWidth="1"/>
    <col min="28" max="28" width="10.33203125" customWidth="1"/>
  </cols>
  <sheetData>
    <row r="1" spans="1:28" x14ac:dyDescent="0.2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">
      <c r="A2" s="15" t="s">
        <v>71</v>
      </c>
      <c r="B2" s="15" t="s">
        <v>31</v>
      </c>
      <c r="C2" s="15">
        <v>28</v>
      </c>
      <c r="D2" s="15">
        <v>7</v>
      </c>
      <c r="E2" s="15" t="s">
        <v>72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>($J2*0.04)+($K2*4)+($L2*-2)+($N2*0.1)+($O2*6)+($Q2)+($R2*0.1)+($S2*6)+($T2*-2)</f>
        <v>0</v>
      </c>
      <c r="W2" s="15" t="e">
        <f>$P2/$H$33</f>
        <v>#DIV/0!</v>
      </c>
      <c r="X2" s="15" t="e">
        <f>$N2/$M2</f>
        <v>#DIV/0!</v>
      </c>
      <c r="Y2" s="15" t="e">
        <f>$R2/$Q2</f>
        <v>#DIV/0!</v>
      </c>
      <c r="Z2" s="15" t="e">
        <f t="shared" ref="Z2:Z7" si="0">$R2/$Q2</f>
        <v>#DIV/0!</v>
      </c>
      <c r="AA2" s="15" t="e">
        <f t="shared" ref="AA2:AA16" si="1">$K2/$H2</f>
        <v>#DIV/0!</v>
      </c>
      <c r="AB2" s="15">
        <f t="shared" ref="AB2:AB17" si="2">($J2*Cp_yd)+($K2*Cp_td)+($L2*Cint)+($M2*Ccar)+($N2*Cr_yd)+($O2*Cr_td)+(Q2*Crec)+($R2*Crec_yd)+($S2*Crec_td)+($T2*Cfmb)+($U2*Ctp_c)</f>
        <v>0</v>
      </c>
    </row>
    <row r="3" spans="1:28" x14ac:dyDescent="0.2">
      <c r="A3" s="16" t="s">
        <v>73</v>
      </c>
      <c r="B3" s="16" t="s">
        <v>31</v>
      </c>
      <c r="C3" s="16">
        <v>28</v>
      </c>
      <c r="D3" s="16">
        <v>7</v>
      </c>
      <c r="E3" s="16" t="s">
        <v>74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 t="shared" ref="V3:V21" si="3">($J3*0.04)+($K3*4)+($L3*-2)+($N3*0.1)+($O3*6)+($Q3)+($R3*0.1)+($S3*6)+($T3*-2)</f>
        <v>0</v>
      </c>
      <c r="W3" s="16" t="e">
        <f t="shared" ref="W3:W21" si="4">$P3/$H$33</f>
        <v>#DIV/0!</v>
      </c>
      <c r="X3" s="16" t="e">
        <f t="shared" ref="X3:X21" si="5">$N3/$M3</f>
        <v>#DIV/0!</v>
      </c>
      <c r="Y3" s="16" t="e">
        <f t="shared" ref="Y3:Y21" si="6">$R3/$Q3</f>
        <v>#DIV/0!</v>
      </c>
      <c r="Z3" s="16" t="e">
        <f t="shared" si="0"/>
        <v>#DIV/0!</v>
      </c>
      <c r="AA3" s="16" t="e">
        <f t="shared" si="1"/>
        <v>#DIV/0!</v>
      </c>
      <c r="AB3" s="16">
        <f t="shared" si="2"/>
        <v>0</v>
      </c>
    </row>
    <row r="4" spans="1:28" x14ac:dyDescent="0.2">
      <c r="A4" s="15" t="s">
        <v>75</v>
      </c>
      <c r="B4" s="15" t="s">
        <v>31</v>
      </c>
      <c r="C4" s="15">
        <v>24</v>
      </c>
      <c r="D4" s="15">
        <v>0</v>
      </c>
      <c r="E4" s="15" t="s">
        <v>76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 t="shared" si="3"/>
        <v>0</v>
      </c>
      <c r="W4" s="15" t="e">
        <f t="shared" si="4"/>
        <v>#DIV/0!</v>
      </c>
      <c r="X4" s="15" t="e">
        <f t="shared" si="5"/>
        <v>#DIV/0!</v>
      </c>
      <c r="Y4" s="15" t="e">
        <f t="shared" si="6"/>
        <v>#DIV/0!</v>
      </c>
      <c r="Z4" s="15" t="e">
        <f t="shared" si="0"/>
        <v>#DIV/0!</v>
      </c>
      <c r="AA4" s="15" t="e">
        <f t="shared" si="1"/>
        <v>#DIV/0!</v>
      </c>
      <c r="AB4" s="15">
        <f t="shared" si="2"/>
        <v>0</v>
      </c>
    </row>
    <row r="5" spans="1:28" x14ac:dyDescent="0.2">
      <c r="A5" s="16" t="s">
        <v>77</v>
      </c>
      <c r="B5" s="16" t="s">
        <v>31</v>
      </c>
      <c r="C5" s="16">
        <v>23</v>
      </c>
      <c r="D5" s="16">
        <v>2</v>
      </c>
      <c r="E5" s="16" t="s">
        <v>78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 t="shared" si="3"/>
        <v>0</v>
      </c>
      <c r="W5" s="16" t="e">
        <f t="shared" si="4"/>
        <v>#DIV/0!</v>
      </c>
      <c r="X5" s="16" t="e">
        <f t="shared" si="5"/>
        <v>#DIV/0!</v>
      </c>
      <c r="Y5" s="16" t="e">
        <f t="shared" si="6"/>
        <v>#DIV/0!</v>
      </c>
      <c r="Z5" s="16" t="e">
        <f t="shared" si="0"/>
        <v>#DIV/0!</v>
      </c>
      <c r="AA5" s="16" t="e">
        <f t="shared" si="1"/>
        <v>#DIV/0!</v>
      </c>
      <c r="AB5" s="16">
        <f t="shared" si="2"/>
        <v>0</v>
      </c>
    </row>
    <row r="6" spans="1:28" x14ac:dyDescent="0.2">
      <c r="A6" s="15" t="s">
        <v>79</v>
      </c>
      <c r="B6" s="15" t="s">
        <v>31</v>
      </c>
      <c r="C6" s="15">
        <v>27</v>
      </c>
      <c r="D6" s="15">
        <v>7</v>
      </c>
      <c r="E6" s="15" t="s">
        <v>80</v>
      </c>
      <c r="F6" s="15" t="s">
        <v>25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 t="shared" si="3"/>
        <v>0</v>
      </c>
      <c r="W6" s="15" t="e">
        <f t="shared" si="4"/>
        <v>#DIV/0!</v>
      </c>
      <c r="X6" s="15" t="e">
        <f t="shared" si="5"/>
        <v>#DIV/0!</v>
      </c>
      <c r="Y6" s="15" t="e">
        <f t="shared" si="6"/>
        <v>#DIV/0!</v>
      </c>
      <c r="Z6" s="15" t="e">
        <f t="shared" si="0"/>
        <v>#DIV/0!</v>
      </c>
      <c r="AA6" s="15" t="e">
        <f t="shared" si="1"/>
        <v>#DIV/0!</v>
      </c>
      <c r="AB6" s="15">
        <f t="shared" si="2"/>
        <v>0</v>
      </c>
    </row>
    <row r="7" spans="1:28" x14ac:dyDescent="0.2">
      <c r="A7" s="16" t="s">
        <v>139</v>
      </c>
      <c r="B7" s="16" t="s">
        <v>31</v>
      </c>
      <c r="C7" s="16">
        <v>23</v>
      </c>
      <c r="D7" s="16">
        <v>2</v>
      </c>
      <c r="E7" s="16" t="s">
        <v>82</v>
      </c>
      <c r="F7" s="16" t="s">
        <v>114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 t="shared" si="3"/>
        <v>0</v>
      </c>
      <c r="W7" s="16" t="e">
        <f t="shared" si="4"/>
        <v>#DIV/0!</v>
      </c>
      <c r="X7" s="16" t="e">
        <f t="shared" si="5"/>
        <v>#DIV/0!</v>
      </c>
      <c r="Y7" s="16" t="e">
        <f t="shared" si="6"/>
        <v>#DIV/0!</v>
      </c>
      <c r="Z7" s="16" t="e">
        <f t="shared" ref="Z7:Z21" si="7">$I7/$H7</f>
        <v>#DIV/0!</v>
      </c>
      <c r="AA7" s="16" t="e">
        <f t="shared" si="1"/>
        <v>#DIV/0!</v>
      </c>
      <c r="AB7" s="16">
        <f t="shared" si="2"/>
        <v>0</v>
      </c>
    </row>
    <row r="8" spans="1:28" x14ac:dyDescent="0.2">
      <c r="A8" s="15" t="s">
        <v>140</v>
      </c>
      <c r="B8" s="15" t="s">
        <v>31</v>
      </c>
      <c r="C8" s="15">
        <v>28</v>
      </c>
      <c r="D8" s="15">
        <v>5</v>
      </c>
      <c r="E8" s="15" t="s">
        <v>141</v>
      </c>
      <c r="F8" s="15" t="s">
        <v>114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 t="shared" si="3"/>
        <v>0</v>
      </c>
      <c r="W8" s="15" t="e">
        <f t="shared" si="4"/>
        <v>#DIV/0!</v>
      </c>
      <c r="X8" s="15" t="e">
        <f t="shared" si="5"/>
        <v>#DIV/0!</v>
      </c>
      <c r="Y8" s="15" t="e">
        <f t="shared" si="6"/>
        <v>#DIV/0!</v>
      </c>
      <c r="Z8" s="15" t="e">
        <f t="shared" si="7"/>
        <v>#DIV/0!</v>
      </c>
      <c r="AA8" s="15" t="e">
        <f t="shared" si="1"/>
        <v>#DIV/0!</v>
      </c>
      <c r="AB8" s="15">
        <f t="shared" si="2"/>
        <v>0</v>
      </c>
    </row>
    <row r="9" spans="1:28" x14ac:dyDescent="0.2">
      <c r="A9" s="16" t="s">
        <v>142</v>
      </c>
      <c r="B9" s="16" t="s">
        <v>31</v>
      </c>
      <c r="C9" s="16">
        <v>32</v>
      </c>
      <c r="D9" s="16">
        <v>11</v>
      </c>
      <c r="E9" s="16" t="s">
        <v>143</v>
      </c>
      <c r="F9" s="16" t="s">
        <v>114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 t="shared" si="3"/>
        <v>0</v>
      </c>
      <c r="W9" s="16" t="e">
        <f t="shared" si="4"/>
        <v>#DIV/0!</v>
      </c>
      <c r="X9" s="16" t="e">
        <f t="shared" si="5"/>
        <v>#DIV/0!</v>
      </c>
      <c r="Y9" s="16" t="e">
        <f t="shared" si="6"/>
        <v>#DIV/0!</v>
      </c>
      <c r="Z9" s="16" t="e">
        <f t="shared" si="7"/>
        <v>#DIV/0!</v>
      </c>
      <c r="AA9" s="16" t="e">
        <f t="shared" si="1"/>
        <v>#DIV/0!</v>
      </c>
      <c r="AB9" s="16">
        <f t="shared" si="2"/>
        <v>0</v>
      </c>
    </row>
    <row r="10" spans="1:28" x14ac:dyDescent="0.2">
      <c r="A10" s="15" t="s">
        <v>144</v>
      </c>
      <c r="B10" s="15" t="s">
        <v>31</v>
      </c>
      <c r="C10" s="15">
        <v>25</v>
      </c>
      <c r="D10" s="15">
        <v>1</v>
      </c>
      <c r="E10" s="15" t="s">
        <v>145</v>
      </c>
      <c r="F10" s="15" t="s">
        <v>114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 t="shared" si="3"/>
        <v>0</v>
      </c>
      <c r="W10" s="15" t="e">
        <f t="shared" si="4"/>
        <v>#DIV/0!</v>
      </c>
      <c r="X10" s="15" t="e">
        <f t="shared" si="5"/>
        <v>#DIV/0!</v>
      </c>
      <c r="Y10" s="15" t="e">
        <f t="shared" si="6"/>
        <v>#DIV/0!</v>
      </c>
      <c r="Z10" s="15" t="e">
        <f t="shared" si="7"/>
        <v>#DIV/0!</v>
      </c>
      <c r="AA10" s="15" t="e">
        <f t="shared" si="1"/>
        <v>#DIV/0!</v>
      </c>
      <c r="AB10" s="15">
        <f t="shared" si="2"/>
        <v>0</v>
      </c>
    </row>
    <row r="11" spans="1:28" x14ac:dyDescent="0.2">
      <c r="A11" s="16" t="s">
        <v>146</v>
      </c>
      <c r="B11" s="16" t="s">
        <v>31</v>
      </c>
      <c r="C11" s="16">
        <v>21</v>
      </c>
      <c r="D11" s="16">
        <v>0</v>
      </c>
      <c r="E11" s="16" t="s">
        <v>66</v>
      </c>
      <c r="F11" s="16" t="s">
        <v>114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 t="shared" si="3"/>
        <v>0</v>
      </c>
      <c r="W11" s="16" t="e">
        <f t="shared" si="4"/>
        <v>#DIV/0!</v>
      </c>
      <c r="X11" s="16" t="e">
        <f t="shared" si="5"/>
        <v>#DIV/0!</v>
      </c>
      <c r="Y11" s="16" t="e">
        <f t="shared" si="6"/>
        <v>#DIV/0!</v>
      </c>
      <c r="Z11" s="16" t="e">
        <f t="shared" si="7"/>
        <v>#DIV/0!</v>
      </c>
      <c r="AA11" s="16" t="e">
        <f t="shared" si="1"/>
        <v>#DIV/0!</v>
      </c>
      <c r="AB11" s="16">
        <f t="shared" si="2"/>
        <v>0</v>
      </c>
    </row>
    <row r="12" spans="1:28" x14ac:dyDescent="0.2">
      <c r="A12" s="15" t="s">
        <v>212</v>
      </c>
      <c r="B12" s="15" t="s">
        <v>31</v>
      </c>
      <c r="C12" s="15">
        <v>24</v>
      </c>
      <c r="D12" s="15">
        <v>4</v>
      </c>
      <c r="E12" s="15" t="s">
        <v>213</v>
      </c>
      <c r="F12" s="15" t="s">
        <v>184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 t="shared" si="3"/>
        <v>0</v>
      </c>
      <c r="W12" s="15" t="e">
        <f t="shared" si="4"/>
        <v>#DIV/0!</v>
      </c>
      <c r="X12" s="15" t="e">
        <f t="shared" si="5"/>
        <v>#DIV/0!</v>
      </c>
      <c r="Y12" s="15" t="e">
        <f t="shared" si="6"/>
        <v>#DIV/0!</v>
      </c>
      <c r="Z12" s="15" t="e">
        <f t="shared" si="7"/>
        <v>#DIV/0!</v>
      </c>
      <c r="AA12" s="15" t="e">
        <f t="shared" si="1"/>
        <v>#DIV/0!</v>
      </c>
      <c r="AB12" s="15">
        <f t="shared" si="2"/>
        <v>0</v>
      </c>
    </row>
    <row r="13" spans="1:28" x14ac:dyDescent="0.2">
      <c r="A13" s="16" t="s">
        <v>214</v>
      </c>
      <c r="B13" s="16" t="s">
        <v>31</v>
      </c>
      <c r="C13" s="16">
        <v>28</v>
      </c>
      <c r="D13" s="16">
        <v>6</v>
      </c>
      <c r="E13" s="16" t="s">
        <v>215</v>
      </c>
      <c r="F13" s="16" t="s">
        <v>184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 t="shared" si="3"/>
        <v>0</v>
      </c>
      <c r="W13" s="16" t="e">
        <f t="shared" si="4"/>
        <v>#DIV/0!</v>
      </c>
      <c r="X13" s="16" t="e">
        <f t="shared" si="5"/>
        <v>#DIV/0!</v>
      </c>
      <c r="Y13" s="16" t="e">
        <f t="shared" si="6"/>
        <v>#DIV/0!</v>
      </c>
      <c r="Z13" s="16" t="e">
        <f t="shared" si="7"/>
        <v>#DIV/0!</v>
      </c>
      <c r="AA13" s="16" t="e">
        <f t="shared" si="1"/>
        <v>#DIV/0!</v>
      </c>
      <c r="AB13" s="16">
        <f t="shared" si="2"/>
        <v>0</v>
      </c>
    </row>
    <row r="14" spans="1:28" x14ac:dyDescent="0.2">
      <c r="A14" s="15" t="s">
        <v>216</v>
      </c>
      <c r="B14" s="15" t="s">
        <v>31</v>
      </c>
      <c r="C14" s="15">
        <v>30</v>
      </c>
      <c r="D14" s="15">
        <v>9</v>
      </c>
      <c r="E14" s="15" t="s">
        <v>72</v>
      </c>
      <c r="F14" s="15" t="s">
        <v>184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 t="shared" si="3"/>
        <v>0</v>
      </c>
      <c r="W14" s="15" t="e">
        <f t="shared" si="4"/>
        <v>#DIV/0!</v>
      </c>
      <c r="X14" s="15" t="e">
        <f t="shared" si="5"/>
        <v>#DIV/0!</v>
      </c>
      <c r="Y14" s="15" t="e">
        <f t="shared" si="6"/>
        <v>#DIV/0!</v>
      </c>
      <c r="Z14" s="15" t="e">
        <f t="shared" si="7"/>
        <v>#DIV/0!</v>
      </c>
      <c r="AA14" s="15" t="e">
        <f t="shared" si="1"/>
        <v>#DIV/0!</v>
      </c>
      <c r="AB14" s="15">
        <f t="shared" si="2"/>
        <v>0</v>
      </c>
    </row>
    <row r="15" spans="1:28" x14ac:dyDescent="0.2">
      <c r="A15" s="16" t="s">
        <v>217</v>
      </c>
      <c r="B15" s="16" t="s">
        <v>31</v>
      </c>
      <c r="C15" s="16">
        <v>25</v>
      </c>
      <c r="D15" s="16">
        <v>5</v>
      </c>
      <c r="E15" s="16" t="s">
        <v>218</v>
      </c>
      <c r="F15" s="16" t="s">
        <v>184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 t="shared" si="3"/>
        <v>0</v>
      </c>
      <c r="W15" s="16" t="e">
        <f t="shared" si="4"/>
        <v>#DIV/0!</v>
      </c>
      <c r="X15" s="16" t="e">
        <f t="shared" si="5"/>
        <v>#DIV/0!</v>
      </c>
      <c r="Y15" s="16" t="e">
        <f t="shared" si="6"/>
        <v>#DIV/0!</v>
      </c>
      <c r="Z15" s="16" t="e">
        <f t="shared" si="7"/>
        <v>#DIV/0!</v>
      </c>
      <c r="AA15" s="16" t="e">
        <f t="shared" si="1"/>
        <v>#DIV/0!</v>
      </c>
      <c r="AB15" s="16">
        <f t="shared" si="2"/>
        <v>0</v>
      </c>
    </row>
    <row r="16" spans="1:28" x14ac:dyDescent="0.2">
      <c r="A16" s="15" t="s">
        <v>219</v>
      </c>
      <c r="B16" s="15" t="s">
        <v>31</v>
      </c>
      <c r="C16" s="15">
        <v>21</v>
      </c>
      <c r="D16" s="15">
        <v>0</v>
      </c>
      <c r="E16" s="15" t="s">
        <v>220</v>
      </c>
      <c r="F16" s="15" t="s">
        <v>184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 t="shared" si="3"/>
        <v>0</v>
      </c>
      <c r="W16" s="15" t="e">
        <f t="shared" si="4"/>
        <v>#DIV/0!</v>
      </c>
      <c r="X16" s="15" t="e">
        <f t="shared" si="5"/>
        <v>#DIV/0!</v>
      </c>
      <c r="Y16" s="15" t="e">
        <f t="shared" si="6"/>
        <v>#DIV/0!</v>
      </c>
      <c r="Z16" s="15" t="e">
        <f t="shared" si="7"/>
        <v>#DIV/0!</v>
      </c>
      <c r="AA16" s="15" t="e">
        <f t="shared" si="1"/>
        <v>#DIV/0!</v>
      </c>
      <c r="AB16" s="15">
        <f t="shared" si="2"/>
        <v>0</v>
      </c>
    </row>
    <row r="17" spans="1:28" x14ac:dyDescent="0.2">
      <c r="A17" s="16" t="s">
        <v>275</v>
      </c>
      <c r="B17" s="16" t="s">
        <v>31</v>
      </c>
      <c r="C17" s="16">
        <v>23</v>
      </c>
      <c r="D17" s="16">
        <v>2</v>
      </c>
      <c r="E17" s="16" t="s">
        <v>173</v>
      </c>
      <c r="F17" s="16" t="s">
        <v>250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 t="shared" si="3"/>
        <v>0</v>
      </c>
      <c r="W17" s="16" t="e">
        <f t="shared" si="4"/>
        <v>#DIV/0!</v>
      </c>
      <c r="X17" s="16" t="e">
        <f t="shared" si="5"/>
        <v>#DIV/0!</v>
      </c>
      <c r="Y17" s="16" t="e">
        <f t="shared" si="6"/>
        <v>#DIV/0!</v>
      </c>
      <c r="Z17" s="16" t="e">
        <f t="shared" si="7"/>
        <v>#DIV/0!</v>
      </c>
      <c r="AA17" s="16" t="e">
        <f>$K17/$H17</f>
        <v>#DIV/0!</v>
      </c>
      <c r="AB17" s="16">
        <f>($J17*Cp_yd)+($K17*Cp_td)+($L17*Cint)+($M17*Ccar)+($N17*Cr_yd)+($O17*Cr_td)+(Q17*Crec)+($R17*Crec_yd)+($S17*Crec_td)+($T17*Cfmb)+($U17*Ctp_c)</f>
        <v>0</v>
      </c>
    </row>
    <row r="18" spans="1:28" x14ac:dyDescent="0.2">
      <c r="A18" s="15" t="s">
        <v>276</v>
      </c>
      <c r="B18" s="15" t="s">
        <v>31</v>
      </c>
      <c r="C18" s="15">
        <v>25</v>
      </c>
      <c r="D18" s="15">
        <v>4</v>
      </c>
      <c r="E18" s="15" t="s">
        <v>277</v>
      </c>
      <c r="F18" s="15" t="s">
        <v>250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 t="shared" si="3"/>
        <v>0</v>
      </c>
      <c r="W18" s="15" t="e">
        <f t="shared" si="4"/>
        <v>#DIV/0!</v>
      </c>
      <c r="X18" s="15" t="e">
        <f t="shared" si="5"/>
        <v>#DIV/0!</v>
      </c>
      <c r="Y18" s="15" t="e">
        <f t="shared" si="6"/>
        <v>#DIV/0!</v>
      </c>
      <c r="Z18" s="15" t="e">
        <f t="shared" si="7"/>
        <v>#DIV/0!</v>
      </c>
      <c r="AA18" s="15" t="e">
        <f>$K18/$H18</f>
        <v>#DIV/0!</v>
      </c>
      <c r="AB18" s="15">
        <f>($J18*Cp_yd)+($K18*Cp_td)+($L18*Cint)+($M18*Ccar)+($N18*Cr_yd)+($O18*Cr_td)+(Q18*Crec)+($R18*Crec_yd)+($S18*Crec_td)+($T18*Cfmb)+($U18*Ctp_c)</f>
        <v>0</v>
      </c>
    </row>
    <row r="19" spans="1:28" x14ac:dyDescent="0.2">
      <c r="A19" s="16" t="s">
        <v>278</v>
      </c>
      <c r="B19" s="16" t="s">
        <v>31</v>
      </c>
      <c r="C19" s="16">
        <v>26</v>
      </c>
      <c r="D19" s="16">
        <v>5</v>
      </c>
      <c r="E19" s="16" t="s">
        <v>153</v>
      </c>
      <c r="F19" s="16" t="s">
        <v>250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 t="shared" si="3"/>
        <v>0</v>
      </c>
      <c r="W19" s="16" t="e">
        <f t="shared" si="4"/>
        <v>#DIV/0!</v>
      </c>
      <c r="X19" s="16" t="e">
        <f t="shared" si="5"/>
        <v>#DIV/0!</v>
      </c>
      <c r="Y19" s="16" t="e">
        <f t="shared" si="6"/>
        <v>#DIV/0!</v>
      </c>
      <c r="Z19" s="16" t="e">
        <f t="shared" si="7"/>
        <v>#DIV/0!</v>
      </c>
      <c r="AA19" s="16" t="e">
        <f>$K19/$H19</f>
        <v>#DIV/0!</v>
      </c>
      <c r="AB19" s="16">
        <f>($J19*Cp_yd)+($K19*Cp_td)+($L19*Cint)+($M19*Ccar)+($N19*Cr_yd)+($O19*Cr_td)+(Q19*Crec)+($R19*Crec_yd)+($S19*Crec_td)+($T19*Cfmb)+($U19*Ctp_c)</f>
        <v>0</v>
      </c>
    </row>
    <row r="20" spans="1:28" x14ac:dyDescent="0.2">
      <c r="A20" s="15" t="s">
        <v>279</v>
      </c>
      <c r="B20" s="15" t="s">
        <v>31</v>
      </c>
      <c r="C20" s="15">
        <v>24</v>
      </c>
      <c r="D20" s="15">
        <v>0</v>
      </c>
      <c r="E20" s="15" t="s">
        <v>280</v>
      </c>
      <c r="F20" s="15" t="s">
        <v>250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 t="shared" si="3"/>
        <v>0</v>
      </c>
      <c r="W20" s="15" t="e">
        <f t="shared" si="4"/>
        <v>#DIV/0!</v>
      </c>
      <c r="X20" s="15" t="e">
        <f t="shared" si="5"/>
        <v>#DIV/0!</v>
      </c>
      <c r="Y20" s="15" t="e">
        <f t="shared" si="6"/>
        <v>#DIV/0!</v>
      </c>
      <c r="Z20" s="15" t="e">
        <f t="shared" si="7"/>
        <v>#DIV/0!</v>
      </c>
      <c r="AA20" s="15" t="e">
        <f>$K20/$H20</f>
        <v>#DIV/0!</v>
      </c>
      <c r="AB20" s="15">
        <f>($J20*Cp_yd)+($K20*Cp_td)+($L20*Cint)+($M20*Ccar)+($N20*Cr_yd)+($O20*Cr_td)+(Q20*Crec)+($R20*Crec_yd)+($S20*Crec_td)+($T20*Cfmb)+($U20*Ctp_c)</f>
        <v>0</v>
      </c>
    </row>
    <row r="21" spans="1:28" x14ac:dyDescent="0.2">
      <c r="A21" s="16" t="s">
        <v>332</v>
      </c>
      <c r="B21" s="16" t="s">
        <v>31</v>
      </c>
      <c r="C21" s="16">
        <v>25</v>
      </c>
      <c r="D21" s="16">
        <v>2</v>
      </c>
      <c r="E21" s="16" t="s">
        <v>333</v>
      </c>
      <c r="F21" s="16" t="s">
        <v>311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>($J21*0.04)+($K21*4)+($L21*-2)+($N21*0.1)+($O21*6)+($Q21)+($R21*0.1)+($S21*6)+($T21*-2)</f>
        <v>0</v>
      </c>
      <c r="W21" s="16" t="e">
        <f>$P21/$H$33</f>
        <v>#DIV/0!</v>
      </c>
      <c r="X21" s="16" t="e">
        <f>$N21/$M21</f>
        <v>#DIV/0!</v>
      </c>
      <c r="Y21" s="16" t="e">
        <f>$R21/$Q21</f>
        <v>#DIV/0!</v>
      </c>
      <c r="Z21" s="16" t="e">
        <f>$I21/$H21</f>
        <v>#DIV/0!</v>
      </c>
      <c r="AA21" s="16" t="e">
        <f>$K21/$H21</f>
        <v>#DIV/0!</v>
      </c>
      <c r="AB21" s="16">
        <f>($J21*Cp_yd)+($K21*Cp_td)+($L21*Cint)+($M21*Ccar)+($N21*Cr_yd)+($O21*Cr_td)+(Q21*Crec)+($R21*Crec_yd)+($S21*Crec_td)+($T21*Cfmb)+($U21*Ctp_c)</f>
        <v>0</v>
      </c>
    </row>
    <row r="22" spans="1:28" x14ac:dyDescent="0.2">
      <c r="A22" s="15" t="s">
        <v>334</v>
      </c>
      <c r="B22" s="15" t="s">
        <v>31</v>
      </c>
      <c r="C22" s="15">
        <v>24</v>
      </c>
      <c r="D22" s="15">
        <v>1</v>
      </c>
      <c r="E22" s="15" t="s">
        <v>335</v>
      </c>
      <c r="F22" s="15" t="s">
        <v>311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>($J22*0.04)+($K22*4)+($L22*-2)+($N22*0.1)+($O22*6)+($Q22)+($R22*0.1)+($S22*6)+($T22*-2)</f>
        <v>0</v>
      </c>
      <c r="W22" s="15" t="e">
        <f>$P22/$H$33</f>
        <v>#DIV/0!</v>
      </c>
      <c r="X22" s="15" t="e">
        <f>$N22/$M22</f>
        <v>#DIV/0!</v>
      </c>
      <c r="Y22" s="15" t="e">
        <f>$R22/$Q22</f>
        <v>#DIV/0!</v>
      </c>
      <c r="Z22" s="15" t="e">
        <f>$I22/$H22</f>
        <v>#DIV/0!</v>
      </c>
      <c r="AA22" s="15" t="e">
        <f>$K22/$H22</f>
        <v>#DIV/0!</v>
      </c>
      <c r="AB22" s="15">
        <f>($J22*Cp_yd)+($K22*Cp_td)+($L22*Cint)+($M22*Ccar)+($N22*Cr_yd)+($O22*Cr_td)+(Q22*Crec)+($R22*Crec_yd)+($S22*Crec_td)+($T22*Cfmb)+($U22*Ctp_c)</f>
        <v>0</v>
      </c>
    </row>
    <row r="23" spans="1:28" x14ac:dyDescent="0.2">
      <c r="A23" s="16" t="s">
        <v>336</v>
      </c>
      <c r="B23" s="16" t="s">
        <v>31</v>
      </c>
      <c r="C23" s="16">
        <v>24</v>
      </c>
      <c r="D23" s="16">
        <v>3</v>
      </c>
      <c r="E23" s="16" t="s">
        <v>218</v>
      </c>
      <c r="F23" s="16" t="s">
        <v>311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>($J23*0.04)+($K23*4)+($L23*-2)+($N23*0.1)+($O23*6)+($Q23)+($R23*0.1)+($S23*6)+($T23*-2)</f>
        <v>0</v>
      </c>
      <c r="W23" s="16" t="e">
        <f>$P23/$H$33</f>
        <v>#DIV/0!</v>
      </c>
      <c r="X23" s="16" t="e">
        <f>$N23/$M23</f>
        <v>#DIV/0!</v>
      </c>
      <c r="Y23" s="16" t="e">
        <f>$R23/$Q23</f>
        <v>#DIV/0!</v>
      </c>
      <c r="Z23" s="16" t="e">
        <f>$I23/$H23</f>
        <v>#DIV/0!</v>
      </c>
      <c r="AA23" s="16" t="e">
        <f>$K23/$H23</f>
        <v>#DIV/0!</v>
      </c>
      <c r="AB23" s="16">
        <f>($J23*Cp_yd)+($K23*Cp_td)+($L23*Cint)+($M23*Ccar)+($N23*Cr_yd)+($O23*Cr_td)+(Q23*Crec)+($R23*Crec_yd)+($S23*Crec_td)+($T23*Cfmb)+($U23*Ctp_c)</f>
        <v>0</v>
      </c>
    </row>
    <row r="24" spans="1:28" x14ac:dyDescent="0.2">
      <c r="A24" s="15" t="s">
        <v>337</v>
      </c>
      <c r="B24" s="15" t="s">
        <v>31</v>
      </c>
      <c r="C24" s="15">
        <v>23</v>
      </c>
      <c r="D24" s="15">
        <v>0</v>
      </c>
      <c r="E24" s="15" t="s">
        <v>277</v>
      </c>
      <c r="F24" s="15" t="s">
        <v>311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>($J24*0.04)+($K24*4)+($L24*-2)+($N24*0.1)+($O24*6)+($Q24)+($R24*0.1)+($S24*6)+($T24*-2)</f>
        <v>0</v>
      </c>
      <c r="W24" s="15" t="e">
        <f>$P24/$H$33</f>
        <v>#DIV/0!</v>
      </c>
      <c r="X24" s="15" t="e">
        <f>$N24/$M24</f>
        <v>#DIV/0!</v>
      </c>
      <c r="Y24" s="15" t="e">
        <f>$R24/$Q24</f>
        <v>#DIV/0!</v>
      </c>
      <c r="Z24" s="15" t="e">
        <f>$I24/$H24</f>
        <v>#DIV/0!</v>
      </c>
      <c r="AA24" s="15" t="e">
        <f>$K24/$H24</f>
        <v>#DIV/0!</v>
      </c>
      <c r="AB24" s="15">
        <f>($J24*Cp_yd)+($K24*Cp_td)+($L24*Cint)+($M24*Ccar)+($N24*Cr_yd)+($O24*Cr_td)+(Q24*Crec)+($R24*Crec_yd)+($S24*Crec_td)+($T24*Cfmb)+($U24*Ctp_c)</f>
        <v>0</v>
      </c>
    </row>
    <row r="25" spans="1:28" x14ac:dyDescent="0.2">
      <c r="A25" s="16" t="s">
        <v>392</v>
      </c>
      <c r="B25" s="16" t="s">
        <v>31</v>
      </c>
      <c r="C25" s="16">
        <v>24</v>
      </c>
      <c r="D25" s="16">
        <v>2</v>
      </c>
      <c r="E25" s="16" t="s">
        <v>393</v>
      </c>
      <c r="F25" s="16" t="s">
        <v>364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>($J25*0.04)+($K25*4)+($L25*-2)+($N25*0.1)+($O25*6)+($Q25)+($R25*0.1)+($S25*6)+($T25*-2)</f>
        <v>0</v>
      </c>
      <c r="W25" s="16" t="e">
        <f>$P25/$H$33</f>
        <v>#DIV/0!</v>
      </c>
      <c r="X25" s="16" t="e">
        <f>$N25/$M25</f>
        <v>#DIV/0!</v>
      </c>
      <c r="Y25" s="16" t="e">
        <f>$R25/$Q25</f>
        <v>#DIV/0!</v>
      </c>
      <c r="Z25" s="16" t="e">
        <f>$I25/$H25</f>
        <v>#DIV/0!</v>
      </c>
      <c r="AA25" s="16" t="e">
        <f>$K25/$H25</f>
        <v>#DIV/0!</v>
      </c>
      <c r="AB25" s="16">
        <f>($J25*Cp_yd)+($K25*Cp_td)+($L25*Cint)+($M25*Ccar)+($N25*Cr_yd)+($O25*Cr_td)+(Q25*Crec)+($R25*Crec_yd)+($S25*Crec_td)+($T25*Cfmb)+($U25*Ctp_c)</f>
        <v>0</v>
      </c>
    </row>
    <row r="26" spans="1:28" x14ac:dyDescent="0.2">
      <c r="A26" s="15" t="s">
        <v>394</v>
      </c>
      <c r="B26" s="15" t="s">
        <v>31</v>
      </c>
      <c r="C26" s="15">
        <v>27</v>
      </c>
      <c r="D26" s="15">
        <v>6</v>
      </c>
      <c r="E26" s="15" t="s">
        <v>66</v>
      </c>
      <c r="F26" s="15" t="s">
        <v>364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>($J26*0.04)+($K26*4)+($L26*-2)+($N26*0.1)+($O26*6)+($Q26)+($R26*0.1)+($S26*6)+($T26*-2)</f>
        <v>0</v>
      </c>
      <c r="W26" s="15" t="e">
        <f>$P26/$H$33</f>
        <v>#DIV/0!</v>
      </c>
      <c r="X26" s="15" t="e">
        <f>$N26/$M26</f>
        <v>#DIV/0!</v>
      </c>
      <c r="Y26" s="15" t="e">
        <f>$R26/$Q26</f>
        <v>#DIV/0!</v>
      </c>
      <c r="Z26" s="15" t="e">
        <f>$I26/$H26</f>
        <v>#DIV/0!</v>
      </c>
      <c r="AA26" s="15" t="e">
        <f>$K26/$H26</f>
        <v>#DIV/0!</v>
      </c>
      <c r="AB26" s="15">
        <f>($J26*Cp_yd)+($K26*Cp_td)+($L26*Cint)+($M26*Ccar)+($N26*Cr_yd)+($O26*Cr_td)+(Q26*Crec)+($R26*Crec_yd)+($S26*Crec_td)+($T26*Cfmb)+($U26*Ctp_c)</f>
        <v>0</v>
      </c>
    </row>
    <row r="27" spans="1:28" x14ac:dyDescent="0.2">
      <c r="A27" s="16" t="s">
        <v>395</v>
      </c>
      <c r="B27" s="16" t="s">
        <v>31</v>
      </c>
      <c r="C27" s="16">
        <v>25</v>
      </c>
      <c r="D27" s="16">
        <v>3</v>
      </c>
      <c r="E27" s="16" t="s">
        <v>333</v>
      </c>
      <c r="F27" s="16" t="s">
        <v>364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>($J27*0.04)+($K27*4)+($L27*-2)+($N27*0.1)+($O27*6)+($Q27)+($R27*0.1)+($S27*6)+($T27*-2)</f>
        <v>0</v>
      </c>
      <c r="W27" s="16" t="e">
        <f>$P27/$H$33</f>
        <v>#DIV/0!</v>
      </c>
      <c r="X27" s="16" t="e">
        <f>$N27/$M27</f>
        <v>#DIV/0!</v>
      </c>
      <c r="Y27" s="16" t="e">
        <f>$R27/$Q27</f>
        <v>#DIV/0!</v>
      </c>
      <c r="Z27" s="16" t="e">
        <f>$I27/$H27</f>
        <v>#DIV/0!</v>
      </c>
      <c r="AA27" s="16" t="e">
        <f>$K27/$H27</f>
        <v>#DIV/0!</v>
      </c>
      <c r="AB27" s="16">
        <f>($J27*Cp_yd)+($K27*Cp_td)+($L27*Cint)+($M27*Ccar)+($N27*Cr_yd)+($O27*Cr_td)+(Q27*Crec)+($R27*Crec_yd)+($S27*Crec_td)+($T27*Cfmb)+($U27*Ctp_c)</f>
        <v>0</v>
      </c>
    </row>
    <row r="28" spans="1:28" x14ac:dyDescent="0.2">
      <c r="A28" s="15" t="s">
        <v>396</v>
      </c>
      <c r="B28" s="15" t="s">
        <v>31</v>
      </c>
      <c r="C28" s="15">
        <v>25</v>
      </c>
      <c r="D28" s="15">
        <v>5</v>
      </c>
      <c r="E28" s="15" t="s">
        <v>397</v>
      </c>
      <c r="F28" s="15" t="s">
        <v>364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>($J28*0.04)+($K28*4)+($L28*-2)+($N28*0.1)+($O28*6)+($Q28)+($R28*0.1)+($S28*6)+($T28*-2)</f>
        <v>0</v>
      </c>
      <c r="W28" s="15" t="e">
        <f>$P28/$H$33</f>
        <v>#DIV/0!</v>
      </c>
      <c r="X28" s="15" t="e">
        <f>$N28/$M28</f>
        <v>#DIV/0!</v>
      </c>
      <c r="Y28" s="15" t="e">
        <f>$R28/$Q28</f>
        <v>#DIV/0!</v>
      </c>
      <c r="Z28" s="15" t="e">
        <f>$I28/$H28</f>
        <v>#DIV/0!</v>
      </c>
      <c r="AA28" s="15" t="e">
        <f>$K28/$H28</f>
        <v>#DIV/0!</v>
      </c>
      <c r="AB28" s="15">
        <f>($J28*Cp_yd)+($K28*Cp_td)+($L28*Cint)+($M28*Ccar)+($N28*Cr_yd)+($O28*Cr_td)+(Q28*Crec)+($R28*Crec_yd)+($S28*Crec_td)+($T28*Cfmb)+($U28*Ctp_c)</f>
        <v>0</v>
      </c>
    </row>
    <row r="29" spans="1:28" x14ac:dyDescent="0.2">
      <c r="A29" s="16" t="s">
        <v>445</v>
      </c>
      <c r="B29" s="16" t="s">
        <v>31</v>
      </c>
      <c r="C29" s="16">
        <v>23</v>
      </c>
      <c r="D29" s="16">
        <v>0</v>
      </c>
      <c r="E29" s="16" t="s">
        <v>446</v>
      </c>
      <c r="F29" s="16" t="s">
        <v>425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 t="shared" ref="V29:V62" si="8">($J29*0.04)+($K29*4)+($L29*-2)+($N29*0.1)+($O29*6)+($Q29)+($R29*0.1)+($S29*6)+($T29*-2)</f>
        <v>0</v>
      </c>
      <c r="W29" s="16" t="e">
        <f t="shared" ref="W29:W62" si="9">$P29/$H$33</f>
        <v>#DIV/0!</v>
      </c>
      <c r="X29" s="16" t="e">
        <f t="shared" ref="X29:X62" si="10">$N29/$M29</f>
        <v>#DIV/0!</v>
      </c>
      <c r="Y29" s="16" t="e">
        <f t="shared" ref="Y29:Y44" si="11">$R29/$Q29</f>
        <v>#DIV/0!</v>
      </c>
      <c r="Z29" s="16" t="e">
        <f t="shared" ref="Z29:Z62" si="12">$I29/$H29</f>
        <v>#DIV/0!</v>
      </c>
      <c r="AA29" s="16" t="e">
        <f>$K29/$H29</f>
        <v>#DIV/0!</v>
      </c>
      <c r="AB29" s="16">
        <f t="shared" ref="AB29:AB62" si="13">($J29*Cp_yd)+($K29*Cp_td)+($L29*Cint)+($M29*Ccar)+($N29*Cr_yd)+($O29*Cr_td)+(Q29*Crec)+($R29*Crec_yd)+($S29*Crec_td)+($T29*Cfmb)+($U29*Ctp_c)</f>
        <v>0</v>
      </c>
    </row>
    <row r="30" spans="1:28" x14ac:dyDescent="0.2">
      <c r="A30" s="15" t="s">
        <v>447</v>
      </c>
      <c r="B30" s="15" t="s">
        <v>31</v>
      </c>
      <c r="C30" s="15">
        <v>25</v>
      </c>
      <c r="D30" s="15">
        <v>3</v>
      </c>
      <c r="E30" s="15" t="s">
        <v>105</v>
      </c>
      <c r="F30" s="15" t="s">
        <v>425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 t="shared" si="8"/>
        <v>0</v>
      </c>
      <c r="W30" s="15" t="e">
        <f t="shared" si="9"/>
        <v>#DIV/0!</v>
      </c>
      <c r="X30" s="15" t="e">
        <f t="shared" si="10"/>
        <v>#DIV/0!</v>
      </c>
      <c r="Y30" s="15" t="e">
        <f t="shared" si="11"/>
        <v>#DIV/0!</v>
      </c>
      <c r="Z30" s="15" t="e">
        <f t="shared" si="12"/>
        <v>#DIV/0!</v>
      </c>
      <c r="AA30" s="15" t="e">
        <f>$K30/$H30</f>
        <v>#DIV/0!</v>
      </c>
      <c r="AB30" s="15">
        <f t="shared" si="13"/>
        <v>0</v>
      </c>
    </row>
    <row r="31" spans="1:28" x14ac:dyDescent="0.2">
      <c r="A31" s="16" t="s">
        <v>448</v>
      </c>
      <c r="B31" s="16" t="s">
        <v>31</v>
      </c>
      <c r="C31" s="16">
        <v>27</v>
      </c>
      <c r="D31" s="16">
        <v>7</v>
      </c>
      <c r="E31" s="16" t="s">
        <v>68</v>
      </c>
      <c r="F31" s="16" t="s">
        <v>425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 t="shared" si="8"/>
        <v>0</v>
      </c>
      <c r="W31" s="16" t="e">
        <f t="shared" si="9"/>
        <v>#DIV/0!</v>
      </c>
      <c r="X31" s="16" t="e">
        <f t="shared" si="10"/>
        <v>#DIV/0!</v>
      </c>
      <c r="Y31" s="16" t="e">
        <f t="shared" si="11"/>
        <v>#DIV/0!</v>
      </c>
      <c r="Z31" s="16" t="e">
        <f t="shared" si="12"/>
        <v>#DIV/0!</v>
      </c>
      <c r="AA31" s="16" t="e">
        <f>$K31/$H31</f>
        <v>#DIV/0!</v>
      </c>
      <c r="AB31" s="16">
        <f t="shared" si="13"/>
        <v>0</v>
      </c>
    </row>
    <row r="32" spans="1:28" x14ac:dyDescent="0.2">
      <c r="A32" s="15" t="s">
        <v>449</v>
      </c>
      <c r="B32" s="15" t="s">
        <v>31</v>
      </c>
      <c r="C32" s="15">
        <v>23</v>
      </c>
      <c r="D32" s="15">
        <v>0</v>
      </c>
      <c r="E32" s="15" t="s">
        <v>450</v>
      </c>
      <c r="F32" s="15" t="s">
        <v>425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 t="shared" si="8"/>
        <v>0</v>
      </c>
      <c r="W32" s="15" t="e">
        <f t="shared" si="9"/>
        <v>#DIV/0!</v>
      </c>
      <c r="X32" s="15" t="e">
        <f t="shared" si="10"/>
        <v>#DIV/0!</v>
      </c>
      <c r="Y32" s="15" t="e">
        <f t="shared" si="11"/>
        <v>#DIV/0!</v>
      </c>
      <c r="Z32" s="15" t="e">
        <f t="shared" si="12"/>
        <v>#DIV/0!</v>
      </c>
      <c r="AA32" s="15" t="e">
        <f>$K32/$H32</f>
        <v>#DIV/0!</v>
      </c>
      <c r="AB32" s="15">
        <f t="shared" si="13"/>
        <v>0</v>
      </c>
    </row>
    <row r="33" spans="1:28" x14ac:dyDescent="0.2">
      <c r="A33" s="16" t="s">
        <v>451</v>
      </c>
      <c r="B33" s="16" t="s">
        <v>31</v>
      </c>
      <c r="C33" s="16">
        <v>24</v>
      </c>
      <c r="D33" s="16">
        <v>0</v>
      </c>
      <c r="E33" s="16" t="s">
        <v>89</v>
      </c>
      <c r="F33" s="16" t="s">
        <v>425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 t="shared" si="8"/>
        <v>0</v>
      </c>
      <c r="W33" s="16" t="e">
        <f t="shared" si="9"/>
        <v>#DIV/0!</v>
      </c>
      <c r="X33" s="16" t="e">
        <f t="shared" si="10"/>
        <v>#DIV/0!</v>
      </c>
      <c r="Y33" s="16" t="e">
        <f t="shared" si="11"/>
        <v>#DIV/0!</v>
      </c>
      <c r="Z33" s="16" t="e">
        <f t="shared" si="12"/>
        <v>#DIV/0!</v>
      </c>
      <c r="AA33" s="16" t="e">
        <f>$K33/$H33</f>
        <v>#DIV/0!</v>
      </c>
      <c r="AB33" s="16">
        <f t="shared" si="13"/>
        <v>0</v>
      </c>
    </row>
    <row r="34" spans="1:28" x14ac:dyDescent="0.2">
      <c r="A34" s="15" t="s">
        <v>499</v>
      </c>
      <c r="B34" s="15" t="s">
        <v>31</v>
      </c>
      <c r="C34" s="15">
        <v>27</v>
      </c>
      <c r="D34" s="15">
        <v>6</v>
      </c>
      <c r="E34" s="15" t="s">
        <v>173</v>
      </c>
      <c r="F34" s="15" t="s">
        <v>479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 t="shared" si="8"/>
        <v>0</v>
      </c>
      <c r="W34" s="15" t="e">
        <f t="shared" si="9"/>
        <v>#DIV/0!</v>
      </c>
      <c r="X34" s="15" t="e">
        <f t="shared" si="10"/>
        <v>#DIV/0!</v>
      </c>
      <c r="Y34" s="15" t="e">
        <f t="shared" si="11"/>
        <v>#DIV/0!</v>
      </c>
      <c r="Z34" s="15" t="e">
        <f t="shared" si="12"/>
        <v>#DIV/0!</v>
      </c>
      <c r="AA34" s="15" t="e">
        <f>$K34/$H34</f>
        <v>#DIV/0!</v>
      </c>
      <c r="AB34" s="15">
        <f t="shared" si="13"/>
        <v>0</v>
      </c>
    </row>
    <row r="35" spans="1:28" x14ac:dyDescent="0.2">
      <c r="A35" s="16" t="s">
        <v>500</v>
      </c>
      <c r="B35" s="16" t="s">
        <v>31</v>
      </c>
      <c r="C35" s="16">
        <v>25</v>
      </c>
      <c r="D35" s="16">
        <v>3</v>
      </c>
      <c r="E35" s="16" t="s">
        <v>418</v>
      </c>
      <c r="F35" s="16" t="s">
        <v>479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 t="shared" si="8"/>
        <v>0</v>
      </c>
      <c r="W35" s="16" t="e">
        <f t="shared" si="9"/>
        <v>#DIV/0!</v>
      </c>
      <c r="X35" s="16" t="e">
        <f t="shared" si="10"/>
        <v>#DIV/0!</v>
      </c>
      <c r="Y35" s="16" t="e">
        <f t="shared" si="11"/>
        <v>#DIV/0!</v>
      </c>
      <c r="Z35" s="16" t="e">
        <f t="shared" si="12"/>
        <v>#DIV/0!</v>
      </c>
      <c r="AA35" s="16" t="e">
        <f>$K35/$H35</f>
        <v>#DIV/0!</v>
      </c>
      <c r="AB35" s="16">
        <f t="shared" si="13"/>
        <v>0</v>
      </c>
    </row>
    <row r="36" spans="1:28" x14ac:dyDescent="0.2">
      <c r="A36" s="15" t="s">
        <v>501</v>
      </c>
      <c r="B36" s="15" t="s">
        <v>31</v>
      </c>
      <c r="C36" s="15">
        <v>23</v>
      </c>
      <c r="D36" s="15">
        <v>2</v>
      </c>
      <c r="E36" s="15" t="s">
        <v>136</v>
      </c>
      <c r="F36" s="15" t="s">
        <v>479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 t="shared" si="8"/>
        <v>0</v>
      </c>
      <c r="W36" s="15" t="e">
        <f t="shared" si="9"/>
        <v>#DIV/0!</v>
      </c>
      <c r="X36" s="15" t="e">
        <f t="shared" si="10"/>
        <v>#DIV/0!</v>
      </c>
      <c r="Y36" s="15" t="e">
        <f t="shared" si="11"/>
        <v>#DIV/0!</v>
      </c>
      <c r="Z36" s="15" t="e">
        <f t="shared" si="12"/>
        <v>#DIV/0!</v>
      </c>
      <c r="AA36" s="15" t="e">
        <f>$K36/$H36</f>
        <v>#DIV/0!</v>
      </c>
      <c r="AB36" s="15">
        <f t="shared" si="13"/>
        <v>0</v>
      </c>
    </row>
    <row r="37" spans="1:28" x14ac:dyDescent="0.2">
      <c r="A37" s="16" t="s">
        <v>502</v>
      </c>
      <c r="B37" s="16" t="s">
        <v>31</v>
      </c>
      <c r="C37" s="16">
        <v>22</v>
      </c>
      <c r="D37" s="16">
        <v>0</v>
      </c>
      <c r="E37" s="16" t="s">
        <v>455</v>
      </c>
      <c r="F37" s="16" t="s">
        <v>479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 t="shared" si="8"/>
        <v>0</v>
      </c>
      <c r="W37" s="16" t="e">
        <f t="shared" si="9"/>
        <v>#DIV/0!</v>
      </c>
      <c r="X37" s="16" t="e">
        <f t="shared" si="10"/>
        <v>#DIV/0!</v>
      </c>
      <c r="Y37" s="16" t="e">
        <f t="shared" si="11"/>
        <v>#DIV/0!</v>
      </c>
      <c r="Z37" s="16" t="e">
        <f t="shared" si="12"/>
        <v>#DIV/0!</v>
      </c>
      <c r="AA37" s="16" t="e">
        <f>$K37/$H37</f>
        <v>#DIV/0!</v>
      </c>
      <c r="AB37" s="16">
        <f t="shared" si="13"/>
        <v>0</v>
      </c>
    </row>
    <row r="38" spans="1:28" x14ac:dyDescent="0.2">
      <c r="A38" s="15" t="s">
        <v>503</v>
      </c>
      <c r="B38" s="15" t="s">
        <v>31</v>
      </c>
      <c r="C38" s="15">
        <v>26</v>
      </c>
      <c r="D38" s="15">
        <v>2</v>
      </c>
      <c r="E38" s="15" t="s">
        <v>143</v>
      </c>
      <c r="F38" s="15" t="s">
        <v>479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 t="shared" si="8"/>
        <v>0</v>
      </c>
      <c r="W38" s="15" t="e">
        <f t="shared" si="9"/>
        <v>#DIV/0!</v>
      </c>
      <c r="X38" s="15" t="e">
        <f t="shared" si="10"/>
        <v>#DIV/0!</v>
      </c>
      <c r="Y38" s="15" t="e">
        <f t="shared" si="11"/>
        <v>#DIV/0!</v>
      </c>
      <c r="Z38" s="15" t="e">
        <f t="shared" si="12"/>
        <v>#DIV/0!</v>
      </c>
      <c r="AA38" s="15" t="e">
        <f>$K38/$H38</f>
        <v>#DIV/0!</v>
      </c>
      <c r="AB38" s="15">
        <f t="shared" si="13"/>
        <v>0</v>
      </c>
    </row>
    <row r="39" spans="1:28" x14ac:dyDescent="0.2">
      <c r="A39" s="16" t="s">
        <v>551</v>
      </c>
      <c r="B39" s="16" t="s">
        <v>31</v>
      </c>
      <c r="C39" s="16">
        <v>24</v>
      </c>
      <c r="D39" s="16">
        <v>2</v>
      </c>
      <c r="E39" s="16" t="s">
        <v>178</v>
      </c>
      <c r="F39" s="16" t="s">
        <v>530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 t="shared" si="8"/>
        <v>0</v>
      </c>
      <c r="W39" s="16" t="e">
        <f t="shared" si="9"/>
        <v>#DIV/0!</v>
      </c>
      <c r="X39" s="16" t="e">
        <f t="shared" si="10"/>
        <v>#DIV/0!</v>
      </c>
      <c r="Y39" s="16" t="e">
        <f t="shared" si="11"/>
        <v>#DIV/0!</v>
      </c>
      <c r="Z39" s="16" t="e">
        <f t="shared" si="12"/>
        <v>#DIV/0!</v>
      </c>
      <c r="AA39" s="16" t="e">
        <f>$K39/$H39</f>
        <v>#DIV/0!</v>
      </c>
      <c r="AB39" s="16">
        <f t="shared" si="13"/>
        <v>0</v>
      </c>
    </row>
    <row r="40" spans="1:28" x14ac:dyDescent="0.2">
      <c r="A40" s="15" t="s">
        <v>552</v>
      </c>
      <c r="B40" s="15" t="s">
        <v>31</v>
      </c>
      <c r="C40" s="15">
        <v>25</v>
      </c>
      <c r="D40" s="15">
        <v>4</v>
      </c>
      <c r="E40" s="15" t="s">
        <v>341</v>
      </c>
      <c r="F40" s="15" t="s">
        <v>530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 t="shared" si="8"/>
        <v>0</v>
      </c>
      <c r="W40" s="15" t="e">
        <f t="shared" si="9"/>
        <v>#DIV/0!</v>
      </c>
      <c r="X40" s="15" t="e">
        <f t="shared" si="10"/>
        <v>#DIV/0!</v>
      </c>
      <c r="Y40" s="15" t="e">
        <f t="shared" si="11"/>
        <v>#DIV/0!</v>
      </c>
      <c r="Z40" s="15" t="e">
        <f t="shared" si="12"/>
        <v>#DIV/0!</v>
      </c>
      <c r="AA40" s="15" t="e">
        <f>$K40/$H40</f>
        <v>#DIV/0!</v>
      </c>
      <c r="AB40" s="15">
        <f t="shared" si="13"/>
        <v>0</v>
      </c>
    </row>
    <row r="41" spans="1:28" x14ac:dyDescent="0.2">
      <c r="A41" s="16" t="s">
        <v>553</v>
      </c>
      <c r="B41" s="16" t="s">
        <v>31</v>
      </c>
      <c r="C41" s="16">
        <v>26</v>
      </c>
      <c r="D41" s="16">
        <v>6</v>
      </c>
      <c r="E41" s="16" t="s">
        <v>78</v>
      </c>
      <c r="F41" s="16" t="s">
        <v>530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 t="shared" si="8"/>
        <v>0</v>
      </c>
      <c r="W41" s="16" t="e">
        <f t="shared" si="9"/>
        <v>#DIV/0!</v>
      </c>
      <c r="X41" s="16" t="e">
        <f t="shared" si="10"/>
        <v>#DIV/0!</v>
      </c>
      <c r="Y41" s="16" t="e">
        <f t="shared" si="11"/>
        <v>#DIV/0!</v>
      </c>
      <c r="Z41" s="16" t="e">
        <f t="shared" si="12"/>
        <v>#DIV/0!</v>
      </c>
      <c r="AA41" s="16" t="e">
        <f>$K41/$H41</f>
        <v>#DIV/0!</v>
      </c>
      <c r="AB41" s="16">
        <f t="shared" si="13"/>
        <v>0</v>
      </c>
    </row>
    <row r="42" spans="1:28" x14ac:dyDescent="0.2">
      <c r="A42" s="15" t="s">
        <v>554</v>
      </c>
      <c r="B42" s="15" t="s">
        <v>31</v>
      </c>
      <c r="C42" s="15">
        <v>23</v>
      </c>
      <c r="D42" s="15">
        <v>0</v>
      </c>
      <c r="E42" s="15" t="s">
        <v>555</v>
      </c>
      <c r="F42" s="15" t="s">
        <v>530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 t="shared" si="8"/>
        <v>0</v>
      </c>
      <c r="W42" s="15" t="e">
        <f t="shared" si="9"/>
        <v>#DIV/0!</v>
      </c>
      <c r="X42" s="15" t="e">
        <f t="shared" si="10"/>
        <v>#DIV/0!</v>
      </c>
      <c r="Y42" s="15" t="e">
        <f t="shared" si="11"/>
        <v>#DIV/0!</v>
      </c>
      <c r="Z42" s="15" t="e">
        <f t="shared" si="12"/>
        <v>#DIV/0!</v>
      </c>
      <c r="AA42" s="15" t="e">
        <f>$K42/$H42</f>
        <v>#DIV/0!</v>
      </c>
      <c r="AB42" s="15">
        <f t="shared" si="13"/>
        <v>0</v>
      </c>
    </row>
    <row r="43" spans="1:28" x14ac:dyDescent="0.2">
      <c r="A43" s="16" t="s">
        <v>556</v>
      </c>
      <c r="B43" s="16" t="s">
        <v>31</v>
      </c>
      <c r="C43" s="16">
        <v>26</v>
      </c>
      <c r="D43" s="16">
        <v>5</v>
      </c>
      <c r="E43" s="16" t="s">
        <v>557</v>
      </c>
      <c r="F43" s="16" t="s">
        <v>530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 t="shared" si="8"/>
        <v>0</v>
      </c>
      <c r="W43" s="16" t="e">
        <f t="shared" si="9"/>
        <v>#DIV/0!</v>
      </c>
      <c r="X43" s="16" t="e">
        <f t="shared" si="10"/>
        <v>#DIV/0!</v>
      </c>
      <c r="Y43" s="16" t="e">
        <f t="shared" si="11"/>
        <v>#DIV/0!</v>
      </c>
      <c r="Z43" s="16" t="e">
        <f t="shared" si="12"/>
        <v>#DIV/0!</v>
      </c>
      <c r="AA43" s="16" t="e">
        <f>$K43/$H43</f>
        <v>#DIV/0!</v>
      </c>
      <c r="AB43" s="16">
        <f t="shared" si="13"/>
        <v>0</v>
      </c>
    </row>
    <row r="44" spans="1:28" x14ac:dyDescent="0.2">
      <c r="A44" s="15" t="s">
        <v>612</v>
      </c>
      <c r="B44" s="15" t="s">
        <v>31</v>
      </c>
      <c r="C44" s="15">
        <v>23</v>
      </c>
      <c r="D44" s="15">
        <v>1</v>
      </c>
      <c r="E44" s="15" t="s">
        <v>613</v>
      </c>
      <c r="F44" s="15" t="s">
        <v>584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 t="shared" si="8"/>
        <v>0</v>
      </c>
      <c r="W44" s="15" t="e">
        <f t="shared" si="9"/>
        <v>#DIV/0!</v>
      </c>
      <c r="X44" s="15" t="e">
        <f t="shared" si="10"/>
        <v>#DIV/0!</v>
      </c>
      <c r="Y44" s="15" t="e">
        <f>$R44/$Q44</f>
        <v>#DIV/0!</v>
      </c>
      <c r="Z44" s="15" t="e">
        <f t="shared" si="12"/>
        <v>#DIV/0!</v>
      </c>
      <c r="AA44" s="15" t="e">
        <f>$K44/$H44</f>
        <v>#DIV/0!</v>
      </c>
      <c r="AB44" s="15">
        <f t="shared" si="13"/>
        <v>0</v>
      </c>
    </row>
    <row r="45" spans="1:28" x14ac:dyDescent="0.2">
      <c r="A45" s="16" t="s">
        <v>614</v>
      </c>
      <c r="B45" s="16" t="s">
        <v>31</v>
      </c>
      <c r="C45" s="16">
        <v>25</v>
      </c>
      <c r="D45" s="16">
        <v>3</v>
      </c>
      <c r="E45" s="16" t="s">
        <v>362</v>
      </c>
      <c r="F45" s="16" t="s">
        <v>584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 t="shared" si="8"/>
        <v>0</v>
      </c>
      <c r="W45" s="16" t="e">
        <f t="shared" si="9"/>
        <v>#DIV/0!</v>
      </c>
      <c r="X45" s="16" t="e">
        <f t="shared" si="10"/>
        <v>#DIV/0!</v>
      </c>
      <c r="Y45" s="16" t="e">
        <f t="shared" ref="Y45:Y62" si="14">$R45/$Q45</f>
        <v>#DIV/0!</v>
      </c>
      <c r="Z45" s="16" t="e">
        <f t="shared" si="12"/>
        <v>#DIV/0!</v>
      </c>
      <c r="AA45" s="16" t="e">
        <f>$K45/$H45</f>
        <v>#DIV/0!</v>
      </c>
      <c r="AB45" s="16">
        <f t="shared" si="13"/>
        <v>0</v>
      </c>
    </row>
    <row r="46" spans="1:28" x14ac:dyDescent="0.2">
      <c r="A46" s="15" t="s">
        <v>615</v>
      </c>
      <c r="B46" s="15" t="s">
        <v>31</v>
      </c>
      <c r="C46" s="15">
        <v>22</v>
      </c>
      <c r="D46" s="15">
        <v>0</v>
      </c>
      <c r="E46" s="15" t="s">
        <v>616</v>
      </c>
      <c r="F46" s="15" t="s">
        <v>584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 t="shared" si="8"/>
        <v>0</v>
      </c>
      <c r="W46" s="15" t="e">
        <f t="shared" si="9"/>
        <v>#DIV/0!</v>
      </c>
      <c r="X46" s="15" t="e">
        <f t="shared" si="10"/>
        <v>#DIV/0!</v>
      </c>
      <c r="Y46" s="15" t="e">
        <f t="shared" si="14"/>
        <v>#DIV/0!</v>
      </c>
      <c r="Z46" s="15" t="e">
        <f t="shared" si="12"/>
        <v>#DIV/0!</v>
      </c>
      <c r="AA46" s="15" t="e">
        <f>$K46/$H46</f>
        <v>#DIV/0!</v>
      </c>
      <c r="AB46" s="15">
        <f t="shared" si="13"/>
        <v>0</v>
      </c>
    </row>
    <row r="47" spans="1:28" x14ac:dyDescent="0.2">
      <c r="A47" s="16" t="s">
        <v>617</v>
      </c>
      <c r="B47" s="16" t="s">
        <v>31</v>
      </c>
      <c r="C47" s="16">
        <v>27</v>
      </c>
      <c r="D47" s="16">
        <v>7</v>
      </c>
      <c r="E47" s="16" t="s">
        <v>68</v>
      </c>
      <c r="F47" s="16" t="s">
        <v>584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 t="shared" si="8"/>
        <v>0</v>
      </c>
      <c r="W47" s="16" t="e">
        <f t="shared" si="9"/>
        <v>#DIV/0!</v>
      </c>
      <c r="X47" s="16" t="e">
        <f t="shared" si="10"/>
        <v>#DIV/0!</v>
      </c>
      <c r="Y47" s="16" t="e">
        <f t="shared" si="14"/>
        <v>#DIV/0!</v>
      </c>
      <c r="Z47" s="16" t="e">
        <f t="shared" si="12"/>
        <v>#DIV/0!</v>
      </c>
      <c r="AA47" s="16" t="e">
        <f>$K47/$H47</f>
        <v>#DIV/0!</v>
      </c>
      <c r="AB47" s="16">
        <f t="shared" si="13"/>
        <v>0</v>
      </c>
    </row>
    <row r="48" spans="1:28" x14ac:dyDescent="0.2">
      <c r="A48" s="15" t="s">
        <v>618</v>
      </c>
      <c r="B48" s="15" t="s">
        <v>31</v>
      </c>
      <c r="C48" s="15">
        <v>29</v>
      </c>
      <c r="D48" s="15">
        <v>8</v>
      </c>
      <c r="E48" s="15" t="s">
        <v>86</v>
      </c>
      <c r="F48" s="15" t="s">
        <v>584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 t="shared" si="8"/>
        <v>0</v>
      </c>
      <c r="W48" s="15" t="e">
        <f t="shared" si="9"/>
        <v>#DIV/0!</v>
      </c>
      <c r="X48" s="15" t="e">
        <f t="shared" si="10"/>
        <v>#DIV/0!</v>
      </c>
      <c r="Y48" s="15" t="e">
        <f t="shared" si="14"/>
        <v>#DIV/0!</v>
      </c>
      <c r="Z48" s="15" t="e">
        <f t="shared" si="12"/>
        <v>#DIV/0!</v>
      </c>
      <c r="AA48" s="15" t="e">
        <f>$K48/$H48</f>
        <v>#DIV/0!</v>
      </c>
      <c r="AB48" s="15">
        <f t="shared" si="13"/>
        <v>0</v>
      </c>
    </row>
    <row r="49" spans="1:28" x14ac:dyDescent="0.2">
      <c r="A49" s="16" t="s">
        <v>670</v>
      </c>
      <c r="B49" s="16" t="s">
        <v>31</v>
      </c>
      <c r="C49" s="16">
        <v>21</v>
      </c>
      <c r="D49" s="16">
        <v>0</v>
      </c>
      <c r="E49" s="16" t="s">
        <v>153</v>
      </c>
      <c r="F49" s="16" t="s">
        <v>647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 t="shared" si="8"/>
        <v>0</v>
      </c>
      <c r="W49" s="16" t="e">
        <f t="shared" si="9"/>
        <v>#DIV/0!</v>
      </c>
      <c r="X49" s="16" t="e">
        <f t="shared" si="10"/>
        <v>#DIV/0!</v>
      </c>
      <c r="Y49" s="16" t="e">
        <f t="shared" si="14"/>
        <v>#DIV/0!</v>
      </c>
      <c r="Z49" s="16" t="e">
        <f t="shared" si="12"/>
        <v>#DIV/0!</v>
      </c>
      <c r="AA49" s="16" t="e">
        <f>$K49/$H49</f>
        <v>#DIV/0!</v>
      </c>
      <c r="AB49" s="16">
        <f t="shared" si="13"/>
        <v>0</v>
      </c>
    </row>
    <row r="50" spans="1:28" x14ac:dyDescent="0.2">
      <c r="A50" s="15" t="s">
        <v>671</v>
      </c>
      <c r="B50" s="15" t="s">
        <v>31</v>
      </c>
      <c r="C50" s="15">
        <v>23</v>
      </c>
      <c r="D50" s="15">
        <v>0</v>
      </c>
      <c r="E50" s="15" t="s">
        <v>225</v>
      </c>
      <c r="F50" s="15" t="s">
        <v>647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 t="shared" si="8"/>
        <v>0</v>
      </c>
      <c r="W50" s="15" t="e">
        <f t="shared" si="9"/>
        <v>#DIV/0!</v>
      </c>
      <c r="X50" s="15" t="e">
        <f t="shared" si="10"/>
        <v>#DIV/0!</v>
      </c>
      <c r="Y50" s="15" t="e">
        <f t="shared" si="14"/>
        <v>#DIV/0!</v>
      </c>
      <c r="Z50" s="15" t="e">
        <f t="shared" si="12"/>
        <v>#DIV/0!</v>
      </c>
      <c r="AA50" s="15" t="e">
        <f>$K50/$H50</f>
        <v>#DIV/0!</v>
      </c>
      <c r="AB50" s="15">
        <f t="shared" si="13"/>
        <v>0</v>
      </c>
    </row>
    <row r="51" spans="1:28" x14ac:dyDescent="0.2">
      <c r="A51" s="16" t="s">
        <v>672</v>
      </c>
      <c r="B51" s="16" t="s">
        <v>31</v>
      </c>
      <c r="C51" s="16">
        <v>27</v>
      </c>
      <c r="D51" s="16">
        <v>6</v>
      </c>
      <c r="E51" s="16" t="s">
        <v>141</v>
      </c>
      <c r="F51" s="16" t="s">
        <v>647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 t="shared" si="8"/>
        <v>0</v>
      </c>
      <c r="W51" s="16" t="e">
        <f t="shared" si="9"/>
        <v>#DIV/0!</v>
      </c>
      <c r="X51" s="16" t="e">
        <f t="shared" si="10"/>
        <v>#DIV/0!</v>
      </c>
      <c r="Y51" s="16" t="e">
        <f t="shared" si="14"/>
        <v>#DIV/0!</v>
      </c>
      <c r="Z51" s="16" t="e">
        <f t="shared" si="12"/>
        <v>#DIV/0!</v>
      </c>
      <c r="AA51" s="16" t="e">
        <f>$K51/$H51</f>
        <v>#DIV/0!</v>
      </c>
      <c r="AB51" s="16">
        <f t="shared" si="13"/>
        <v>0</v>
      </c>
    </row>
    <row r="52" spans="1:28" x14ac:dyDescent="0.2">
      <c r="A52" s="15" t="s">
        <v>673</v>
      </c>
      <c r="B52" s="15" t="s">
        <v>31</v>
      </c>
      <c r="C52" s="15">
        <v>23</v>
      </c>
      <c r="D52" s="15">
        <v>2</v>
      </c>
      <c r="E52" s="15" t="s">
        <v>111</v>
      </c>
      <c r="F52" s="15" t="s">
        <v>647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 t="shared" si="8"/>
        <v>0</v>
      </c>
      <c r="W52" s="15" t="e">
        <f t="shared" si="9"/>
        <v>#DIV/0!</v>
      </c>
      <c r="X52" s="15" t="e">
        <f t="shared" si="10"/>
        <v>#DIV/0!</v>
      </c>
      <c r="Y52" s="15" t="e">
        <f t="shared" si="14"/>
        <v>#DIV/0!</v>
      </c>
      <c r="Z52" s="15" t="e">
        <f t="shared" si="12"/>
        <v>#DIV/0!</v>
      </c>
      <c r="AA52" s="15" t="e">
        <f>$K52/$H52</f>
        <v>#DIV/0!</v>
      </c>
      <c r="AB52" s="15">
        <f t="shared" si="13"/>
        <v>0</v>
      </c>
    </row>
    <row r="53" spans="1:28" x14ac:dyDescent="0.2">
      <c r="A53" s="16" t="s">
        <v>674</v>
      </c>
      <c r="B53" s="16" t="s">
        <v>31</v>
      </c>
      <c r="C53" s="16">
        <v>26</v>
      </c>
      <c r="D53" s="16">
        <v>5</v>
      </c>
      <c r="E53" s="16" t="s">
        <v>244</v>
      </c>
      <c r="F53" s="16" t="s">
        <v>647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 t="shared" si="8"/>
        <v>0</v>
      </c>
      <c r="W53" s="16" t="e">
        <f t="shared" si="9"/>
        <v>#DIV/0!</v>
      </c>
      <c r="X53" s="16" t="e">
        <f t="shared" si="10"/>
        <v>#DIV/0!</v>
      </c>
      <c r="Y53" s="16" t="e">
        <f t="shared" si="14"/>
        <v>#DIV/0!</v>
      </c>
      <c r="Z53" s="16" t="e">
        <f t="shared" si="12"/>
        <v>#DIV/0!</v>
      </c>
      <c r="AA53" s="16" t="e">
        <f>$K53/$H53</f>
        <v>#DIV/0!</v>
      </c>
      <c r="AB53" s="16">
        <f t="shared" si="13"/>
        <v>0</v>
      </c>
    </row>
    <row r="54" spans="1:28" x14ac:dyDescent="0.2">
      <c r="A54" s="15" t="s">
        <v>675</v>
      </c>
      <c r="B54" s="15" t="s">
        <v>31</v>
      </c>
      <c r="C54" s="15">
        <v>26</v>
      </c>
      <c r="D54" s="15">
        <v>4</v>
      </c>
      <c r="E54" s="15" t="s">
        <v>248</v>
      </c>
      <c r="F54" s="15" t="s">
        <v>647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 t="shared" si="8"/>
        <v>0</v>
      </c>
      <c r="W54" s="15" t="e">
        <f t="shared" si="9"/>
        <v>#DIV/0!</v>
      </c>
      <c r="X54" s="15" t="e">
        <f t="shared" si="10"/>
        <v>#DIV/0!</v>
      </c>
      <c r="Y54" s="15" t="e">
        <f t="shared" si="14"/>
        <v>#DIV/0!</v>
      </c>
      <c r="Z54" s="15" t="e">
        <f t="shared" si="12"/>
        <v>#DIV/0!</v>
      </c>
      <c r="AA54" s="15" t="e">
        <f>$K54/$H54</f>
        <v>#DIV/0!</v>
      </c>
      <c r="AB54" s="15">
        <f t="shared" si="13"/>
        <v>0</v>
      </c>
    </row>
    <row r="55" spans="1:28" x14ac:dyDescent="0.2">
      <c r="A55" s="16" t="s">
        <v>676</v>
      </c>
      <c r="B55" s="16" t="s">
        <v>31</v>
      </c>
      <c r="C55" s="16">
        <v>27</v>
      </c>
      <c r="D55" s="16">
        <v>2</v>
      </c>
      <c r="E55" s="16" t="s">
        <v>677</v>
      </c>
      <c r="F55" s="16" t="s">
        <v>647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 t="shared" si="8"/>
        <v>0</v>
      </c>
      <c r="W55" s="16" t="e">
        <f t="shared" si="9"/>
        <v>#DIV/0!</v>
      </c>
      <c r="X55" s="16" t="e">
        <f t="shared" si="10"/>
        <v>#DIV/0!</v>
      </c>
      <c r="Y55" s="16" t="e">
        <f t="shared" si="14"/>
        <v>#DIV/0!</v>
      </c>
      <c r="Z55" s="16" t="e">
        <f t="shared" si="12"/>
        <v>#DIV/0!</v>
      </c>
      <c r="AA55" s="16" t="e">
        <f>$K55/$H55</f>
        <v>#DIV/0!</v>
      </c>
      <c r="AB55" s="16">
        <f t="shared" si="13"/>
        <v>0</v>
      </c>
    </row>
    <row r="56" spans="1:28" x14ac:dyDescent="0.2">
      <c r="A56" s="15" t="s">
        <v>723</v>
      </c>
      <c r="B56" s="15" t="s">
        <v>31</v>
      </c>
      <c r="C56" s="15">
        <v>25</v>
      </c>
      <c r="D56" s="15">
        <v>4</v>
      </c>
      <c r="E56" s="15" t="s">
        <v>235</v>
      </c>
      <c r="F56" s="15" t="s">
        <v>704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 t="shared" si="8"/>
        <v>0</v>
      </c>
      <c r="W56" s="15" t="e">
        <f t="shared" si="9"/>
        <v>#DIV/0!</v>
      </c>
      <c r="X56" s="15" t="e">
        <f t="shared" si="10"/>
        <v>#DIV/0!</v>
      </c>
      <c r="Y56" s="15" t="e">
        <f t="shared" si="14"/>
        <v>#DIV/0!</v>
      </c>
      <c r="Z56" s="15" t="e">
        <f t="shared" si="12"/>
        <v>#DIV/0!</v>
      </c>
      <c r="AA56" s="15" t="e">
        <f>$K56/$H56</f>
        <v>#DIV/0!</v>
      </c>
      <c r="AB56" s="15">
        <f t="shared" si="13"/>
        <v>0</v>
      </c>
    </row>
    <row r="57" spans="1:28" x14ac:dyDescent="0.2">
      <c r="A57" s="16" t="s">
        <v>724</v>
      </c>
      <c r="B57" s="16" t="s">
        <v>31</v>
      </c>
      <c r="C57" s="16">
        <v>22</v>
      </c>
      <c r="D57" s="16">
        <v>1</v>
      </c>
      <c r="E57" s="16" t="s">
        <v>100</v>
      </c>
      <c r="F57" s="16" t="s">
        <v>704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 t="shared" si="8"/>
        <v>0</v>
      </c>
      <c r="W57" s="16" t="e">
        <f t="shared" si="9"/>
        <v>#DIV/0!</v>
      </c>
      <c r="X57" s="16" t="e">
        <f t="shared" si="10"/>
        <v>#DIV/0!</v>
      </c>
      <c r="Y57" s="16" t="e">
        <f t="shared" si="14"/>
        <v>#DIV/0!</v>
      </c>
      <c r="Z57" s="16" t="e">
        <f t="shared" si="12"/>
        <v>#DIV/0!</v>
      </c>
      <c r="AA57" s="16" t="e">
        <f>$K57/$H57</f>
        <v>#DIV/0!</v>
      </c>
      <c r="AB57" s="16">
        <f t="shared" si="13"/>
        <v>0</v>
      </c>
    </row>
    <row r="58" spans="1:28" x14ac:dyDescent="0.2">
      <c r="A58" s="15" t="s">
        <v>725</v>
      </c>
      <c r="B58" s="15" t="s">
        <v>31</v>
      </c>
      <c r="C58" s="15">
        <v>28</v>
      </c>
      <c r="D58" s="15">
        <v>7</v>
      </c>
      <c r="E58" s="15" t="s">
        <v>726</v>
      </c>
      <c r="F58" s="15" t="s">
        <v>704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 t="shared" si="8"/>
        <v>0</v>
      </c>
      <c r="W58" s="15" t="e">
        <f t="shared" si="9"/>
        <v>#DIV/0!</v>
      </c>
      <c r="X58" s="15" t="e">
        <f t="shared" si="10"/>
        <v>#DIV/0!</v>
      </c>
      <c r="Y58" s="15" t="e">
        <f t="shared" si="14"/>
        <v>#DIV/0!</v>
      </c>
      <c r="Z58" s="15" t="e">
        <f t="shared" si="12"/>
        <v>#DIV/0!</v>
      </c>
      <c r="AA58" s="15" t="e">
        <f>$K58/$H58</f>
        <v>#DIV/0!</v>
      </c>
      <c r="AB58" s="15">
        <f t="shared" si="13"/>
        <v>0</v>
      </c>
    </row>
    <row r="59" spans="1:28" x14ac:dyDescent="0.2">
      <c r="A59" s="16" t="s">
        <v>727</v>
      </c>
      <c r="B59" s="16" t="s">
        <v>31</v>
      </c>
      <c r="C59" s="16">
        <v>24</v>
      </c>
      <c r="D59" s="16">
        <v>1</v>
      </c>
      <c r="E59" s="16" t="s">
        <v>728</v>
      </c>
      <c r="F59" s="16" t="s">
        <v>704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 t="shared" si="8"/>
        <v>0</v>
      </c>
      <c r="W59" s="16" t="e">
        <f t="shared" si="9"/>
        <v>#DIV/0!</v>
      </c>
      <c r="X59" s="16" t="e">
        <f t="shared" si="10"/>
        <v>#DIV/0!</v>
      </c>
      <c r="Y59" s="16" t="e">
        <f t="shared" si="14"/>
        <v>#DIV/0!</v>
      </c>
      <c r="Z59" s="16" t="e">
        <f t="shared" si="12"/>
        <v>#DIV/0!</v>
      </c>
      <c r="AA59" s="16" t="e">
        <f>$K59/$H59</f>
        <v>#DIV/0!</v>
      </c>
      <c r="AB59" s="16">
        <f t="shared" si="13"/>
        <v>0</v>
      </c>
    </row>
    <row r="60" spans="1:28" x14ac:dyDescent="0.2">
      <c r="A60" s="15" t="s">
        <v>729</v>
      </c>
      <c r="B60" s="15" t="s">
        <v>31</v>
      </c>
      <c r="C60" s="15">
        <v>22</v>
      </c>
      <c r="D60" s="15">
        <v>0</v>
      </c>
      <c r="E60" s="15" t="s">
        <v>309</v>
      </c>
      <c r="F60" s="15" t="s">
        <v>704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 t="shared" si="8"/>
        <v>0</v>
      </c>
      <c r="W60" s="15" t="e">
        <f t="shared" si="9"/>
        <v>#DIV/0!</v>
      </c>
      <c r="X60" s="15" t="e">
        <f t="shared" si="10"/>
        <v>#DIV/0!</v>
      </c>
      <c r="Y60" s="15" t="e">
        <f t="shared" si="14"/>
        <v>#DIV/0!</v>
      </c>
      <c r="Z60" s="15" t="e">
        <f t="shared" si="12"/>
        <v>#DIV/0!</v>
      </c>
      <c r="AA60" s="15" t="e">
        <f>$K60/$H60</f>
        <v>#DIV/0!</v>
      </c>
      <c r="AB60" s="15">
        <f t="shared" si="13"/>
        <v>0</v>
      </c>
    </row>
    <row r="61" spans="1:28" x14ac:dyDescent="0.2">
      <c r="A61" s="16" t="s">
        <v>730</v>
      </c>
      <c r="B61" s="16" t="s">
        <v>31</v>
      </c>
      <c r="C61" s="16">
        <v>25</v>
      </c>
      <c r="D61" s="16">
        <v>3</v>
      </c>
      <c r="E61" s="16" t="s">
        <v>557</v>
      </c>
      <c r="F61" s="16" t="s">
        <v>704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 t="shared" si="8"/>
        <v>0</v>
      </c>
      <c r="W61" s="16" t="e">
        <f t="shared" si="9"/>
        <v>#DIV/0!</v>
      </c>
      <c r="X61" s="16" t="e">
        <f t="shared" si="10"/>
        <v>#DIV/0!</v>
      </c>
      <c r="Y61" s="16" t="e">
        <f t="shared" si="14"/>
        <v>#DIV/0!</v>
      </c>
      <c r="Z61" s="16" t="e">
        <f t="shared" si="12"/>
        <v>#DIV/0!</v>
      </c>
      <c r="AA61" s="16" t="e">
        <f>$K61/$H61</f>
        <v>#DIV/0!</v>
      </c>
      <c r="AB61" s="16">
        <f t="shared" si="13"/>
        <v>0</v>
      </c>
    </row>
    <row r="62" spans="1:28" x14ac:dyDescent="0.2">
      <c r="A62" s="15" t="s">
        <v>781</v>
      </c>
      <c r="B62" s="15" t="s">
        <v>31</v>
      </c>
      <c r="C62" s="15">
        <v>28</v>
      </c>
      <c r="D62" s="15">
        <v>6</v>
      </c>
      <c r="E62" s="15" t="s">
        <v>136</v>
      </c>
      <c r="F62" s="15" t="s">
        <v>756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>($J62*0.04)+($K62*4)+($L62*-2)+($N62*0.1)+($O62*6)+($Q62)+($R62*0.1)+($S62*6)+($T62*-2)</f>
        <v>0</v>
      </c>
      <c r="W62" s="15" t="e">
        <f>$P62/$H$33</f>
        <v>#DIV/0!</v>
      </c>
      <c r="X62" s="15" t="e">
        <f>$N62/$M62</f>
        <v>#DIV/0!</v>
      </c>
      <c r="Y62" s="15" t="e">
        <f>$R62/$Q62</f>
        <v>#DIV/0!</v>
      </c>
      <c r="Z62" s="15" t="e">
        <f>$I62/$H62</f>
        <v>#DIV/0!</v>
      </c>
      <c r="AA62" s="15" t="e">
        <f>$K62/$H62</f>
        <v>#DIV/0!</v>
      </c>
      <c r="AB62" s="15">
        <f>($J62*Cp_yd)+($K62*Cp_td)+($L62*Cint)+($M62*Ccar)+($N62*Cr_yd)+($O62*Cr_td)+(Q62*Crec)+($R62*Crec_yd)+($S62*Crec_td)+($T62*Cfmb)+($U62*Ctp_c)</f>
        <v>0</v>
      </c>
    </row>
    <row r="63" spans="1:28" x14ac:dyDescent="0.2">
      <c r="A63" s="16" t="s">
        <v>782</v>
      </c>
      <c r="B63" s="16" t="s">
        <v>31</v>
      </c>
      <c r="C63" s="16">
        <v>25</v>
      </c>
      <c r="D63" s="16">
        <v>1</v>
      </c>
      <c r="E63" s="16" t="s">
        <v>136</v>
      </c>
      <c r="F63" s="16" t="s">
        <v>756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>($J63*0.04)+($K63*4)+($L63*-2)+($N63*0.1)+($O63*6)+($Q63)+($R63*0.1)+($S63*6)+($T63*-2)</f>
        <v>0</v>
      </c>
      <c r="W63" s="16" t="e">
        <f>$P63/$H$33</f>
        <v>#DIV/0!</v>
      </c>
      <c r="X63" s="16" t="e">
        <f>$N63/$M63</f>
        <v>#DIV/0!</v>
      </c>
      <c r="Y63" s="16" t="e">
        <f>$R63/$Q63</f>
        <v>#DIV/0!</v>
      </c>
      <c r="Z63" s="16" t="e">
        <f>$I63/$H63</f>
        <v>#DIV/0!</v>
      </c>
      <c r="AA63" s="16" t="e">
        <f>$K63/$H63</f>
        <v>#DIV/0!</v>
      </c>
      <c r="AB63" s="16">
        <f>($J63*Cp_yd)+($K63*Cp_td)+($L63*Cint)+($M63*Ccar)+($N63*Cr_yd)+($O63*Cr_td)+(Q63*Crec)+($R63*Crec_yd)+($S63*Crec_td)+($T63*Cfmb)+($U63*Ctp_c)</f>
        <v>0</v>
      </c>
    </row>
    <row r="64" spans="1:28" x14ac:dyDescent="0.2">
      <c r="A64" s="15" t="s">
        <v>783</v>
      </c>
      <c r="B64" s="15" t="s">
        <v>31</v>
      </c>
      <c r="C64" s="15">
        <v>29</v>
      </c>
      <c r="D64" s="15">
        <v>5</v>
      </c>
      <c r="E64" s="15" t="s">
        <v>72</v>
      </c>
      <c r="F64" s="15" t="s">
        <v>756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>($J64*0.04)+($K64*4)+($L64*-2)+($N64*0.1)+($O64*6)+($Q64)+($R64*0.1)+($S64*6)+($T64*-2)</f>
        <v>0</v>
      </c>
      <c r="W64" s="15" t="e">
        <f>$P64/$H$33</f>
        <v>#DIV/0!</v>
      </c>
      <c r="X64" s="15" t="e">
        <f>$N64/$M64</f>
        <v>#DIV/0!</v>
      </c>
      <c r="Y64" s="15" t="e">
        <f>$R64/$Q64</f>
        <v>#DIV/0!</v>
      </c>
      <c r="Z64" s="15" t="e">
        <f>$I64/$H64</f>
        <v>#DIV/0!</v>
      </c>
      <c r="AA64" s="15" t="e">
        <f>$K64/$H64</f>
        <v>#DIV/0!</v>
      </c>
      <c r="AB64" s="15">
        <f>($J64*Cp_yd)+($K64*Cp_td)+($L64*Cint)+($M64*Ccar)+($N64*Cr_yd)+($O64*Cr_td)+(Q64*Crec)+($R64*Crec_yd)+($S64*Crec_td)+($T64*Cfmb)+($U64*Ctp_c)</f>
        <v>0</v>
      </c>
    </row>
    <row r="65" spans="1:28" x14ac:dyDescent="0.2">
      <c r="A65" s="16" t="s">
        <v>784</v>
      </c>
      <c r="B65" s="16" t="s">
        <v>31</v>
      </c>
      <c r="C65" s="16">
        <v>23</v>
      </c>
      <c r="D65" s="16">
        <v>2</v>
      </c>
      <c r="E65" s="16" t="s">
        <v>178</v>
      </c>
      <c r="F65" s="16" t="s">
        <v>756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>($J65*0.04)+($K65*4)+($L65*-2)+($N65*0.1)+($O65*6)+($Q65)+($R65*0.1)+($S65*6)+($T65*-2)</f>
        <v>0</v>
      </c>
      <c r="W65" s="16" t="e">
        <f>$P65/$H$33</f>
        <v>#DIV/0!</v>
      </c>
      <c r="X65" s="16" t="e">
        <f>$N65/$M65</f>
        <v>#DIV/0!</v>
      </c>
      <c r="Y65" s="16" t="e">
        <f>$R65/$Q65</f>
        <v>#DIV/0!</v>
      </c>
      <c r="Z65" s="16" t="e">
        <f>$I65/$H65</f>
        <v>#DIV/0!</v>
      </c>
      <c r="AA65" s="16" t="e">
        <f>$K65/$H65</f>
        <v>#DIV/0!</v>
      </c>
      <c r="AB65" s="16">
        <f>($J65*Cp_yd)+($K65*Cp_td)+($L65*Cint)+($M65*Ccar)+($N65*Cr_yd)+($O65*Cr_td)+(Q65*Crec)+($R65*Crec_yd)+($S65*Crec_td)+($T65*Cfmb)+($U65*Ctp_c)</f>
        <v>0</v>
      </c>
    </row>
    <row r="66" spans="1:28" x14ac:dyDescent="0.2">
      <c r="A66" s="15" t="s">
        <v>830</v>
      </c>
      <c r="B66" s="15" t="s">
        <v>31</v>
      </c>
      <c r="C66" s="15">
        <v>29</v>
      </c>
      <c r="D66" s="15">
        <v>8</v>
      </c>
      <c r="E66" s="15" t="s">
        <v>153</v>
      </c>
      <c r="F66" s="15" t="s">
        <v>811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 t="shared" ref="V66:V77" si="15">($J66*0.04)+($K66*4)+($L66*-2)+($N66*0.1)+($O66*6)+($Q66)+($R66*0.1)+($S66*6)+($T66*-2)</f>
        <v>0</v>
      </c>
      <c r="W66" s="15" t="e">
        <f t="shared" ref="W66:W77" si="16">$P66/$H$33</f>
        <v>#DIV/0!</v>
      </c>
      <c r="X66" s="15" t="e">
        <f t="shared" ref="X66:X77" si="17">$N66/$M66</f>
        <v>#DIV/0!</v>
      </c>
      <c r="Y66" s="15" t="e">
        <f t="shared" ref="Y66:Y77" si="18">$R66/$Q66</f>
        <v>#DIV/0!</v>
      </c>
      <c r="Z66" s="15" t="e">
        <f t="shared" ref="Z66:Z77" si="19">$I66/$H66</f>
        <v>#DIV/0!</v>
      </c>
      <c r="AA66" s="15" t="e">
        <f>$K66/$H66</f>
        <v>#DIV/0!</v>
      </c>
      <c r="AB66" s="15">
        <f t="shared" ref="AB66:AB77" si="20">($J66*Cp_yd)+($K66*Cp_td)+($L66*Cint)+($M66*Ccar)+($N66*Cr_yd)+($O66*Cr_td)+(Q66*Crec)+($R66*Crec_yd)+($S66*Crec_td)+($T66*Cfmb)+($U66*Ctp_c)</f>
        <v>0</v>
      </c>
    </row>
    <row r="67" spans="1:28" x14ac:dyDescent="0.2">
      <c r="A67" s="16" t="s">
        <v>831</v>
      </c>
      <c r="B67" s="16" t="s">
        <v>31</v>
      </c>
      <c r="C67" s="16">
        <v>25</v>
      </c>
      <c r="D67" s="16">
        <v>3</v>
      </c>
      <c r="E67" s="16" t="s">
        <v>232</v>
      </c>
      <c r="F67" s="16" t="s">
        <v>811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 t="shared" si="15"/>
        <v>0</v>
      </c>
      <c r="W67" s="16" t="e">
        <f t="shared" si="16"/>
        <v>#DIV/0!</v>
      </c>
      <c r="X67" s="16" t="e">
        <f t="shared" si="17"/>
        <v>#DIV/0!</v>
      </c>
      <c r="Y67" s="16" t="e">
        <f t="shared" si="18"/>
        <v>#DIV/0!</v>
      </c>
      <c r="Z67" s="16" t="e">
        <f t="shared" si="19"/>
        <v>#DIV/0!</v>
      </c>
      <c r="AA67" s="16" t="e">
        <f>$K67/$H67</f>
        <v>#DIV/0!</v>
      </c>
      <c r="AB67" s="16">
        <f t="shared" si="20"/>
        <v>0</v>
      </c>
    </row>
    <row r="68" spans="1:28" x14ac:dyDescent="0.2">
      <c r="A68" s="15" t="s">
        <v>832</v>
      </c>
      <c r="B68" s="15" t="s">
        <v>31</v>
      </c>
      <c r="C68" s="15">
        <v>22</v>
      </c>
      <c r="D68" s="15">
        <v>0</v>
      </c>
      <c r="E68" s="15" t="s">
        <v>141</v>
      </c>
      <c r="F68" s="15" t="s">
        <v>811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 t="shared" si="15"/>
        <v>0</v>
      </c>
      <c r="W68" s="15" t="e">
        <f t="shared" si="16"/>
        <v>#DIV/0!</v>
      </c>
      <c r="X68" s="15" t="e">
        <f t="shared" si="17"/>
        <v>#DIV/0!</v>
      </c>
      <c r="Y68" s="15" t="e">
        <f t="shared" si="18"/>
        <v>#DIV/0!</v>
      </c>
      <c r="Z68" s="15" t="e">
        <f t="shared" si="19"/>
        <v>#DIV/0!</v>
      </c>
      <c r="AA68" s="15" t="e">
        <f>$K68/$H68</f>
        <v>#DIV/0!</v>
      </c>
      <c r="AB68" s="15">
        <f t="shared" si="20"/>
        <v>0</v>
      </c>
    </row>
    <row r="69" spans="1:28" x14ac:dyDescent="0.2">
      <c r="A69" s="16" t="s">
        <v>833</v>
      </c>
      <c r="B69" s="16" t="s">
        <v>31</v>
      </c>
      <c r="C69" s="16">
        <v>25</v>
      </c>
      <c r="D69" s="16">
        <v>2</v>
      </c>
      <c r="E69" s="16" t="s">
        <v>834</v>
      </c>
      <c r="F69" s="16" t="s">
        <v>811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 t="shared" si="15"/>
        <v>0</v>
      </c>
      <c r="W69" s="16" t="e">
        <f t="shared" si="16"/>
        <v>#DIV/0!</v>
      </c>
      <c r="X69" s="16" t="e">
        <f t="shared" si="17"/>
        <v>#DIV/0!</v>
      </c>
      <c r="Y69" s="16" t="e">
        <f t="shared" si="18"/>
        <v>#DIV/0!</v>
      </c>
      <c r="Z69" s="16" t="e">
        <f t="shared" si="19"/>
        <v>#DIV/0!</v>
      </c>
      <c r="AA69" s="16" t="e">
        <f>$K69/$H69</f>
        <v>#DIV/0!</v>
      </c>
      <c r="AB69" s="16">
        <f t="shared" si="20"/>
        <v>0</v>
      </c>
    </row>
    <row r="70" spans="1:28" x14ac:dyDescent="0.2">
      <c r="A70" s="15" t="s">
        <v>835</v>
      </c>
      <c r="B70" s="15" t="s">
        <v>31</v>
      </c>
      <c r="C70" s="15">
        <v>24</v>
      </c>
      <c r="D70" s="15">
        <v>3</v>
      </c>
      <c r="E70" s="15" t="s">
        <v>697</v>
      </c>
      <c r="F70" s="15" t="s">
        <v>811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 t="shared" si="15"/>
        <v>0</v>
      </c>
      <c r="W70" s="15" t="e">
        <f t="shared" si="16"/>
        <v>#DIV/0!</v>
      </c>
      <c r="X70" s="15" t="e">
        <f t="shared" si="17"/>
        <v>#DIV/0!</v>
      </c>
      <c r="Y70" s="15" t="e">
        <f t="shared" si="18"/>
        <v>#DIV/0!</v>
      </c>
      <c r="Z70" s="15" t="e">
        <f t="shared" si="19"/>
        <v>#DIV/0!</v>
      </c>
      <c r="AA70" s="15" t="e">
        <f>$K70/$H70</f>
        <v>#DIV/0!</v>
      </c>
      <c r="AB70" s="15">
        <f t="shared" si="20"/>
        <v>0</v>
      </c>
    </row>
    <row r="71" spans="1:28" x14ac:dyDescent="0.2">
      <c r="A71" s="16" t="s">
        <v>836</v>
      </c>
      <c r="B71" s="16" t="s">
        <v>31</v>
      </c>
      <c r="C71" s="16">
        <v>25</v>
      </c>
      <c r="D71" s="16">
        <v>4</v>
      </c>
      <c r="E71" s="16" t="s">
        <v>207</v>
      </c>
      <c r="F71" s="16" t="s">
        <v>811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 t="shared" si="15"/>
        <v>0</v>
      </c>
      <c r="W71" s="16" t="e">
        <f t="shared" si="16"/>
        <v>#DIV/0!</v>
      </c>
      <c r="X71" s="16" t="e">
        <f t="shared" si="17"/>
        <v>#DIV/0!</v>
      </c>
      <c r="Y71" s="16" t="e">
        <f t="shared" si="18"/>
        <v>#DIV/0!</v>
      </c>
      <c r="Z71" s="16" t="e">
        <f t="shared" si="19"/>
        <v>#DIV/0!</v>
      </c>
      <c r="AA71" s="16" t="e">
        <f>$K71/$H71</f>
        <v>#DIV/0!</v>
      </c>
      <c r="AB71" s="16">
        <f t="shared" si="20"/>
        <v>0</v>
      </c>
    </row>
    <row r="72" spans="1:28" x14ac:dyDescent="0.2">
      <c r="A72" s="15" t="s">
        <v>885</v>
      </c>
      <c r="B72" s="15" t="s">
        <v>31</v>
      </c>
      <c r="C72" s="15">
        <v>21</v>
      </c>
      <c r="D72" s="15">
        <v>0</v>
      </c>
      <c r="E72" s="15" t="s">
        <v>464</v>
      </c>
      <c r="F72" s="15" t="s">
        <v>866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 t="shared" si="15"/>
        <v>0</v>
      </c>
      <c r="W72" s="15" t="e">
        <f t="shared" si="16"/>
        <v>#DIV/0!</v>
      </c>
      <c r="X72" s="15" t="e">
        <f t="shared" si="17"/>
        <v>#DIV/0!</v>
      </c>
      <c r="Y72" s="15" t="e">
        <f t="shared" si="18"/>
        <v>#DIV/0!</v>
      </c>
      <c r="Z72" s="15" t="e">
        <f t="shared" si="19"/>
        <v>#DIV/0!</v>
      </c>
      <c r="AA72" s="15" t="e">
        <f>$K72/$H72</f>
        <v>#DIV/0!</v>
      </c>
      <c r="AB72" s="15">
        <f t="shared" si="20"/>
        <v>0</v>
      </c>
    </row>
    <row r="73" spans="1:28" x14ac:dyDescent="0.2">
      <c r="A73" s="16" t="s">
        <v>886</v>
      </c>
      <c r="B73" s="16" t="s">
        <v>31</v>
      </c>
      <c r="C73" s="16">
        <v>23</v>
      </c>
      <c r="D73" s="16">
        <v>2</v>
      </c>
      <c r="E73" s="16" t="s">
        <v>240</v>
      </c>
      <c r="F73" s="16" t="s">
        <v>866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 t="shared" si="15"/>
        <v>0</v>
      </c>
      <c r="W73" s="16" t="e">
        <f t="shared" si="16"/>
        <v>#DIV/0!</v>
      </c>
      <c r="X73" s="16" t="e">
        <f t="shared" si="17"/>
        <v>#DIV/0!</v>
      </c>
      <c r="Y73" s="16" t="e">
        <f t="shared" si="18"/>
        <v>#DIV/0!</v>
      </c>
      <c r="Z73" s="16" t="e">
        <f t="shared" si="19"/>
        <v>#DIV/0!</v>
      </c>
      <c r="AA73" s="16" t="e">
        <f>$K73/$H73</f>
        <v>#DIV/0!</v>
      </c>
      <c r="AB73" s="16">
        <f t="shared" si="20"/>
        <v>0</v>
      </c>
    </row>
    <row r="74" spans="1:28" x14ac:dyDescent="0.2">
      <c r="A74" s="15" t="s">
        <v>887</v>
      </c>
      <c r="B74" s="15" t="s">
        <v>31</v>
      </c>
      <c r="C74" s="15">
        <v>24</v>
      </c>
      <c r="D74" s="15">
        <v>3</v>
      </c>
      <c r="E74" s="15" t="s">
        <v>458</v>
      </c>
      <c r="F74" s="15" t="s">
        <v>866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 t="shared" si="15"/>
        <v>0</v>
      </c>
      <c r="W74" s="15" t="e">
        <f t="shared" si="16"/>
        <v>#DIV/0!</v>
      </c>
      <c r="X74" s="15" t="e">
        <f t="shared" si="17"/>
        <v>#DIV/0!</v>
      </c>
      <c r="Y74" s="15" t="e">
        <f t="shared" si="18"/>
        <v>#DIV/0!</v>
      </c>
      <c r="Z74" s="15" t="e">
        <f t="shared" si="19"/>
        <v>#DIV/0!</v>
      </c>
      <c r="AA74" s="15" t="e">
        <f>$K74/$H74</f>
        <v>#DIV/0!</v>
      </c>
      <c r="AB74" s="15">
        <f t="shared" si="20"/>
        <v>0</v>
      </c>
    </row>
    <row r="75" spans="1:28" x14ac:dyDescent="0.2">
      <c r="A75" s="16" t="s">
        <v>888</v>
      </c>
      <c r="B75" s="16" t="s">
        <v>31</v>
      </c>
      <c r="C75" s="16">
        <v>26</v>
      </c>
      <c r="D75" s="16">
        <v>4</v>
      </c>
      <c r="E75" s="16" t="s">
        <v>393</v>
      </c>
      <c r="F75" s="16" t="s">
        <v>866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 t="shared" si="15"/>
        <v>0</v>
      </c>
      <c r="W75" s="16" t="e">
        <f t="shared" si="16"/>
        <v>#DIV/0!</v>
      </c>
      <c r="X75" s="16" t="e">
        <f t="shared" si="17"/>
        <v>#DIV/0!</v>
      </c>
      <c r="Y75" s="16" t="e">
        <f t="shared" si="18"/>
        <v>#DIV/0!</v>
      </c>
      <c r="Z75" s="16" t="e">
        <f t="shared" si="19"/>
        <v>#DIV/0!</v>
      </c>
      <c r="AA75" s="16" t="e">
        <f>$K75/$H75</f>
        <v>#DIV/0!</v>
      </c>
      <c r="AB75" s="16">
        <f t="shared" si="20"/>
        <v>0</v>
      </c>
    </row>
    <row r="76" spans="1:28" x14ac:dyDescent="0.2">
      <c r="A76" s="15" t="s">
        <v>889</v>
      </c>
      <c r="B76" s="15" t="s">
        <v>31</v>
      </c>
      <c r="C76" s="15">
        <v>27</v>
      </c>
      <c r="D76" s="15">
        <v>5</v>
      </c>
      <c r="E76" s="15" t="s">
        <v>80</v>
      </c>
      <c r="F76" s="15" t="s">
        <v>866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 t="shared" si="15"/>
        <v>0</v>
      </c>
      <c r="W76" s="15" t="e">
        <f t="shared" si="16"/>
        <v>#DIV/0!</v>
      </c>
      <c r="X76" s="15" t="e">
        <f t="shared" si="17"/>
        <v>#DIV/0!</v>
      </c>
      <c r="Y76" s="15" t="e">
        <f t="shared" si="18"/>
        <v>#DIV/0!</v>
      </c>
      <c r="Z76" s="15" t="e">
        <f t="shared" si="19"/>
        <v>#DIV/0!</v>
      </c>
      <c r="AA76" s="15" t="e">
        <f>$K76/$H76</f>
        <v>#DIV/0!</v>
      </c>
      <c r="AB76" s="15">
        <f t="shared" si="20"/>
        <v>0</v>
      </c>
    </row>
    <row r="77" spans="1:28" x14ac:dyDescent="0.2">
      <c r="A77" s="16" t="s">
        <v>937</v>
      </c>
      <c r="B77" s="16" t="s">
        <v>31</v>
      </c>
      <c r="C77" s="16">
        <v>24</v>
      </c>
      <c r="D77" s="16">
        <v>4</v>
      </c>
      <c r="E77" s="16" t="s">
        <v>227</v>
      </c>
      <c r="F77" s="16" t="s">
        <v>916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>($J77*0.04)+($K77*4)+($L77*-2)+($N77*0.1)+($O77*6)+($Q77)+($R77*0.1)+($S77*6)+($T77*-2)</f>
        <v>0</v>
      </c>
      <c r="W77" s="16" t="e">
        <f>$P77/$H$33</f>
        <v>#DIV/0!</v>
      </c>
      <c r="X77" s="16" t="e">
        <f>$N77/$M77</f>
        <v>#DIV/0!</v>
      </c>
      <c r="Y77" s="16" t="e">
        <f>$R77/$Q77</f>
        <v>#DIV/0!</v>
      </c>
      <c r="Z77" s="16" t="e">
        <f>$I77/$H77</f>
        <v>#DIV/0!</v>
      </c>
      <c r="AA77" s="16" t="e">
        <f>$K77/$H77</f>
        <v>#DIV/0!</v>
      </c>
      <c r="AB77" s="16">
        <f>($J77*Cp_yd)+($K77*Cp_td)+($L77*Cint)+($M77*Ccar)+($N77*Cr_yd)+($O77*Cr_td)+(Q77*Crec)+($R77*Crec_yd)+($S77*Crec_td)+($T77*Cfmb)+($U77*Ctp_c)</f>
        <v>0</v>
      </c>
    </row>
    <row r="78" spans="1:28" x14ac:dyDescent="0.2">
      <c r="A78" s="15" t="s">
        <v>938</v>
      </c>
      <c r="B78" s="15" t="s">
        <v>31</v>
      </c>
      <c r="C78" s="15">
        <v>31</v>
      </c>
      <c r="D78" s="15">
        <v>10</v>
      </c>
      <c r="E78" s="15" t="s">
        <v>939</v>
      </c>
      <c r="F78" s="15" t="s">
        <v>916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>($J78*0.04)+($K78*4)+($L78*-2)+($N78*0.1)+($O78*6)+($Q78)+($R78*0.1)+($S78*6)+($T78*-2)</f>
        <v>0</v>
      </c>
      <c r="W78" s="15" t="e">
        <f>$P78/$H$33</f>
        <v>#DIV/0!</v>
      </c>
      <c r="X78" s="15" t="e">
        <f>$N78/$M78</f>
        <v>#DIV/0!</v>
      </c>
      <c r="Y78" s="15" t="e">
        <f>$R78/$Q78</f>
        <v>#DIV/0!</v>
      </c>
      <c r="Z78" s="15" t="e">
        <f>$I78/$H78</f>
        <v>#DIV/0!</v>
      </c>
      <c r="AA78" s="15" t="e">
        <f>$K78/$H78</f>
        <v>#DIV/0!</v>
      </c>
      <c r="AB78" s="15">
        <f>($J78*Cp_yd)+($K78*Cp_td)+($L78*Cint)+($M78*Ccar)+($N78*Cr_yd)+($O78*Cr_td)+(Q78*Crec)+($R78*Crec_yd)+($S78*Crec_td)+($T78*Cfmb)+($U78*Ctp_c)</f>
        <v>0</v>
      </c>
    </row>
    <row r="79" spans="1:28" x14ac:dyDescent="0.2">
      <c r="A79" s="16" t="s">
        <v>940</v>
      </c>
      <c r="B79" s="16" t="s">
        <v>31</v>
      </c>
      <c r="C79" s="16">
        <v>24</v>
      </c>
      <c r="D79" s="16">
        <v>2</v>
      </c>
      <c r="E79" s="16" t="s">
        <v>215</v>
      </c>
      <c r="F79" s="16" t="s">
        <v>916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>($J79*0.04)+($K79*4)+($L79*-2)+($N79*0.1)+($O79*6)+($Q79)+($R79*0.1)+($S79*6)+($T79*-2)</f>
        <v>0</v>
      </c>
      <c r="W79" s="16" t="e">
        <f>$P79/$H$33</f>
        <v>#DIV/0!</v>
      </c>
      <c r="X79" s="16" t="e">
        <f>$N79/$M79</f>
        <v>#DIV/0!</v>
      </c>
      <c r="Y79" s="16" t="e">
        <f>$R79/$Q79</f>
        <v>#DIV/0!</v>
      </c>
      <c r="Z79" s="16" t="e">
        <f>$I79/$H79</f>
        <v>#DIV/0!</v>
      </c>
      <c r="AA79" s="16" t="e">
        <f>$K79/$H79</f>
        <v>#DIV/0!</v>
      </c>
      <c r="AB79" s="16">
        <f>($J79*Cp_yd)+($K79*Cp_td)+($L79*Cint)+($M79*Ccar)+($N79*Cr_yd)+($O79*Cr_td)+(Q79*Crec)+($R79*Crec_yd)+($S79*Crec_td)+($T79*Cfmb)+($U79*Ctp_c)</f>
        <v>0</v>
      </c>
    </row>
    <row r="80" spans="1:28" x14ac:dyDescent="0.2">
      <c r="A80" s="15" t="s">
        <v>941</v>
      </c>
      <c r="B80" s="15" t="s">
        <v>31</v>
      </c>
      <c r="C80" s="15">
        <v>25</v>
      </c>
      <c r="D80" s="15">
        <v>3</v>
      </c>
      <c r="E80" s="15" t="s">
        <v>178</v>
      </c>
      <c r="F80" s="15" t="s">
        <v>916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>($J80*0.04)+($K80*4)+($L80*-2)+($N80*0.1)+($O80*6)+($Q80)+($R80*0.1)+($S80*6)+($T80*-2)</f>
        <v>0</v>
      </c>
      <c r="W80" s="15" t="e">
        <f>$P80/$H$33</f>
        <v>#DIV/0!</v>
      </c>
      <c r="X80" s="15" t="e">
        <f>$N80/$M80</f>
        <v>#DIV/0!</v>
      </c>
      <c r="Y80" s="15" t="e">
        <f>$R80/$Q80</f>
        <v>#DIV/0!</v>
      </c>
      <c r="Z80" s="15" t="e">
        <f>$I80/$H80</f>
        <v>#DIV/0!</v>
      </c>
      <c r="AA80" s="15" t="e">
        <f>$K80/$H80</f>
        <v>#DIV/0!</v>
      </c>
      <c r="AB80" s="15">
        <f>($J80*Cp_yd)+($K80*Cp_td)+($L80*Cint)+($M80*Ccar)+($N80*Cr_yd)+($O80*Cr_td)+(Q80*Crec)+($R80*Crec_yd)+($S80*Crec_td)+($T80*Cfmb)+($U80*Ctp_c)</f>
        <v>0</v>
      </c>
    </row>
    <row r="81" spans="1:28" x14ac:dyDescent="0.2">
      <c r="A81" s="16" t="s">
        <v>990</v>
      </c>
      <c r="B81" s="16" t="s">
        <v>31</v>
      </c>
      <c r="C81" s="16">
        <v>24</v>
      </c>
      <c r="D81" s="16">
        <v>0</v>
      </c>
      <c r="E81" s="16" t="s">
        <v>991</v>
      </c>
      <c r="F81" s="16" t="s">
        <v>969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 t="shared" ref="V81:V86" si="21">($J81*0.04)+($K81*4)+($L81*-2)+($N81*0.1)+($O81*6)+($Q81)+($R81*0.1)+($S81*6)+($T81*-2)</f>
        <v>0</v>
      </c>
      <c r="W81" s="16" t="e">
        <f t="shared" ref="W81:W86" si="22">$P81/$H$33</f>
        <v>#DIV/0!</v>
      </c>
      <c r="X81" s="16" t="e">
        <f t="shared" ref="X81:X86" si="23">$N81/$M81</f>
        <v>#DIV/0!</v>
      </c>
      <c r="Y81" s="16" t="e">
        <f t="shared" ref="Y81:Y86" si="24">$R81/$Q81</f>
        <v>#DIV/0!</v>
      </c>
      <c r="Z81" s="16" t="e">
        <f t="shared" ref="Z81:Z86" si="25">$I81/$H81</f>
        <v>#DIV/0!</v>
      </c>
      <c r="AA81" s="16" t="e">
        <f>$K81/$H81</f>
        <v>#DIV/0!</v>
      </c>
      <c r="AB81" s="16">
        <f t="shared" ref="AB81:AB86" si="26">($J81*Cp_yd)+($K81*Cp_td)+($L81*Cint)+($M81*Ccar)+($N81*Cr_yd)+($O81*Cr_td)+(Q81*Crec)+($R81*Crec_yd)+($S81*Crec_td)+($T81*Cfmb)+($U81*Ctp_c)</f>
        <v>0</v>
      </c>
    </row>
    <row r="82" spans="1:28" x14ac:dyDescent="0.2">
      <c r="A82" s="15" t="s">
        <v>992</v>
      </c>
      <c r="B82" s="15" t="s">
        <v>31</v>
      </c>
      <c r="C82" s="15">
        <v>28</v>
      </c>
      <c r="D82" s="15">
        <v>7</v>
      </c>
      <c r="E82" s="15" t="s">
        <v>993</v>
      </c>
      <c r="F82" s="15" t="s">
        <v>969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 t="shared" si="21"/>
        <v>0</v>
      </c>
      <c r="W82" s="15" t="e">
        <f t="shared" si="22"/>
        <v>#DIV/0!</v>
      </c>
      <c r="X82" s="15" t="e">
        <f t="shared" si="23"/>
        <v>#DIV/0!</v>
      </c>
      <c r="Y82" s="15" t="e">
        <f t="shared" si="24"/>
        <v>#DIV/0!</v>
      </c>
      <c r="Z82" s="15" t="e">
        <f t="shared" si="25"/>
        <v>#DIV/0!</v>
      </c>
      <c r="AA82" s="15" t="e">
        <f>$K82/$H82</f>
        <v>#DIV/0!</v>
      </c>
      <c r="AB82" s="15">
        <f t="shared" si="26"/>
        <v>0</v>
      </c>
    </row>
    <row r="83" spans="1:28" x14ac:dyDescent="0.2">
      <c r="A83" s="16" t="s">
        <v>994</v>
      </c>
      <c r="B83" s="16" t="s">
        <v>31</v>
      </c>
      <c r="C83" s="16">
        <v>24</v>
      </c>
      <c r="D83" s="16">
        <v>0</v>
      </c>
      <c r="E83" s="16" t="s">
        <v>995</v>
      </c>
      <c r="F83" s="16" t="s">
        <v>969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>
        <v>0</v>
      </c>
      <c r="V83" s="16">
        <f t="shared" si="21"/>
        <v>0</v>
      </c>
      <c r="W83" s="16" t="e">
        <f t="shared" si="22"/>
        <v>#DIV/0!</v>
      </c>
      <c r="X83" s="16" t="e">
        <f t="shared" si="23"/>
        <v>#DIV/0!</v>
      </c>
      <c r="Y83" s="16" t="e">
        <f t="shared" si="24"/>
        <v>#DIV/0!</v>
      </c>
      <c r="Z83" s="16" t="e">
        <f t="shared" si="25"/>
        <v>#DIV/0!</v>
      </c>
      <c r="AA83" s="16" t="e">
        <f>$K83/$H83</f>
        <v>#DIV/0!</v>
      </c>
      <c r="AB83" s="16">
        <f t="shared" si="26"/>
        <v>0</v>
      </c>
    </row>
    <row r="84" spans="1:28" x14ac:dyDescent="0.2">
      <c r="A84" s="15" t="s">
        <v>996</v>
      </c>
      <c r="B84" s="15" t="s">
        <v>31</v>
      </c>
      <c r="C84" s="15">
        <v>25</v>
      </c>
      <c r="D84" s="15">
        <v>4</v>
      </c>
      <c r="E84" s="15" t="s">
        <v>418</v>
      </c>
      <c r="F84" s="15" t="s">
        <v>969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f t="shared" si="21"/>
        <v>0</v>
      </c>
      <c r="W84" s="15" t="e">
        <f t="shared" si="22"/>
        <v>#DIV/0!</v>
      </c>
      <c r="X84" s="15" t="e">
        <f t="shared" si="23"/>
        <v>#DIV/0!</v>
      </c>
      <c r="Y84" s="15" t="e">
        <f t="shared" si="24"/>
        <v>#DIV/0!</v>
      </c>
      <c r="Z84" s="15" t="e">
        <f t="shared" si="25"/>
        <v>#DIV/0!</v>
      </c>
      <c r="AA84" s="15" t="e">
        <f>$K84/$H84</f>
        <v>#DIV/0!</v>
      </c>
      <c r="AB84" s="15">
        <f t="shared" si="26"/>
        <v>0</v>
      </c>
    </row>
    <row r="85" spans="1:28" x14ac:dyDescent="0.2">
      <c r="A85" s="16" t="s">
        <v>997</v>
      </c>
      <c r="B85" s="16" t="s">
        <v>31</v>
      </c>
      <c r="C85" s="16">
        <v>23</v>
      </c>
      <c r="D85" s="16">
        <v>0</v>
      </c>
      <c r="E85" s="16" t="s">
        <v>998</v>
      </c>
      <c r="F85" s="16" t="s">
        <v>969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 s="16">
        <v>0</v>
      </c>
      <c r="V85" s="16">
        <f t="shared" si="21"/>
        <v>0</v>
      </c>
      <c r="W85" s="16" t="e">
        <f t="shared" si="22"/>
        <v>#DIV/0!</v>
      </c>
      <c r="X85" s="16" t="e">
        <f t="shared" si="23"/>
        <v>#DIV/0!</v>
      </c>
      <c r="Y85" s="16" t="e">
        <f t="shared" si="24"/>
        <v>#DIV/0!</v>
      </c>
      <c r="Z85" s="16" t="e">
        <f t="shared" si="25"/>
        <v>#DIV/0!</v>
      </c>
      <c r="AA85" s="16" t="e">
        <f>$K85/$H85</f>
        <v>#DIV/0!</v>
      </c>
      <c r="AB85" s="16">
        <f t="shared" si="26"/>
        <v>0</v>
      </c>
    </row>
    <row r="86" spans="1:28" x14ac:dyDescent="0.2">
      <c r="A86" s="15" t="s">
        <v>1046</v>
      </c>
      <c r="B86" s="15" t="s">
        <v>31</v>
      </c>
      <c r="C86" s="15">
        <v>24</v>
      </c>
      <c r="D86" s="15">
        <v>3</v>
      </c>
      <c r="E86" s="15" t="s">
        <v>1012</v>
      </c>
      <c r="F86" s="15" t="s">
        <v>1021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f>($J86*0.04)+($K86*4)+($L86*-2)+($N86*0.1)+($O86*6)+($Q86)+($R86*0.1)+($S86*6)+($T86*-2)</f>
        <v>0</v>
      </c>
      <c r="W86" s="15" t="e">
        <f>$P86/$H$33</f>
        <v>#DIV/0!</v>
      </c>
      <c r="X86" s="15" t="e">
        <f>$N86/$M86</f>
        <v>#DIV/0!</v>
      </c>
      <c r="Y86" s="15" t="e">
        <f>$R86/$Q86</f>
        <v>#DIV/0!</v>
      </c>
      <c r="Z86" s="15" t="e">
        <f>$I86/$H86</f>
        <v>#DIV/0!</v>
      </c>
      <c r="AA86" s="15" t="e">
        <f>$K86/$H86</f>
        <v>#DIV/0!</v>
      </c>
      <c r="AB86" s="15">
        <f>($J86*Cp_yd)+($K86*Cp_td)+($L86*Cint)+($M86*Ccar)+($N86*Cr_yd)+($O86*Cr_td)+(Q86*Crec)+($R86*Crec_yd)+($S86*Crec_td)+($T86*Cfmb)+($U86*Ctp_c)</f>
        <v>0</v>
      </c>
    </row>
    <row r="87" spans="1:28" x14ac:dyDescent="0.2">
      <c r="A87" s="16" t="s">
        <v>1047</v>
      </c>
      <c r="B87" s="16" t="s">
        <v>31</v>
      </c>
      <c r="C87" s="16">
        <v>22</v>
      </c>
      <c r="D87" s="16">
        <v>0</v>
      </c>
      <c r="E87" s="16" t="s">
        <v>240</v>
      </c>
      <c r="F87" s="16" t="s">
        <v>1021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T87" s="16">
        <v>0</v>
      </c>
      <c r="U87" s="16">
        <v>0</v>
      </c>
      <c r="V87" s="16">
        <f>($J87*0.04)+($K87*4)+($L87*-2)+($N87*0.1)+($O87*6)+($Q87)+($R87*0.1)+($S87*6)+($T87*-2)</f>
        <v>0</v>
      </c>
      <c r="W87" s="16" t="e">
        <f>$P87/$H$33</f>
        <v>#DIV/0!</v>
      </c>
      <c r="X87" s="16" t="e">
        <f>$N87/$M87</f>
        <v>#DIV/0!</v>
      </c>
      <c r="Y87" s="16" t="e">
        <f>$R87/$Q87</f>
        <v>#DIV/0!</v>
      </c>
      <c r="Z87" s="16" t="e">
        <f>$I87/$H87</f>
        <v>#DIV/0!</v>
      </c>
      <c r="AA87" s="16" t="e">
        <f>$K87/$H87</f>
        <v>#DIV/0!</v>
      </c>
      <c r="AB87" s="16">
        <f>($J87*Cp_yd)+($K87*Cp_td)+($L87*Cint)+($M87*Ccar)+($N87*Cr_yd)+($O87*Cr_td)+(Q87*Crec)+($R87*Crec_yd)+($S87*Crec_td)+($T87*Cfmb)+($U87*Ctp_c)</f>
        <v>0</v>
      </c>
    </row>
    <row r="88" spans="1:28" x14ac:dyDescent="0.2">
      <c r="A88" s="15" t="s">
        <v>1048</v>
      </c>
      <c r="B88" s="15" t="s">
        <v>31</v>
      </c>
      <c r="C88" s="15">
        <v>27</v>
      </c>
      <c r="D88" s="15">
        <v>5</v>
      </c>
      <c r="E88" s="15" t="s">
        <v>205</v>
      </c>
      <c r="F88" s="15" t="s">
        <v>1021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f>($J88*0.04)+($K88*4)+($L88*-2)+($N88*0.1)+($O88*6)+($Q88)+($R88*0.1)+($S88*6)+($T88*-2)</f>
        <v>0</v>
      </c>
      <c r="W88" s="15" t="e">
        <f>$P88/$H$33</f>
        <v>#DIV/0!</v>
      </c>
      <c r="X88" s="15" t="e">
        <f>$N88/$M88</f>
        <v>#DIV/0!</v>
      </c>
      <c r="Y88" s="15" t="e">
        <f>$R88/$Q88</f>
        <v>#DIV/0!</v>
      </c>
      <c r="Z88" s="15" t="e">
        <f>$I88/$H88</f>
        <v>#DIV/0!</v>
      </c>
      <c r="AA88" s="15" t="e">
        <f>$K88/$H88</f>
        <v>#DIV/0!</v>
      </c>
      <c r="AB88" s="15">
        <f>($J88*Cp_yd)+($K88*Cp_td)+($L88*Cint)+($M88*Ccar)+($N88*Cr_yd)+($O88*Cr_td)+(Q88*Crec)+($R88*Crec_yd)+($S88*Crec_td)+($T88*Cfmb)+($U88*Ctp_c)</f>
        <v>0</v>
      </c>
    </row>
    <row r="89" spans="1:28" x14ac:dyDescent="0.2">
      <c r="A89" s="16" t="s">
        <v>1049</v>
      </c>
      <c r="B89" s="16" t="s">
        <v>31</v>
      </c>
      <c r="C89" s="16">
        <v>24</v>
      </c>
      <c r="D89" s="16">
        <v>2</v>
      </c>
      <c r="E89" s="16" t="s">
        <v>280</v>
      </c>
      <c r="F89" s="16" t="s">
        <v>1021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T89" s="16">
        <v>0</v>
      </c>
      <c r="U89" s="16">
        <v>0</v>
      </c>
      <c r="V89" s="16">
        <f>($J89*0.04)+($K89*4)+($L89*-2)+($N89*0.1)+($O89*6)+($Q89)+($R89*0.1)+($S89*6)+($T89*-2)</f>
        <v>0</v>
      </c>
      <c r="W89" s="16" t="e">
        <f>$P89/$H$33</f>
        <v>#DIV/0!</v>
      </c>
      <c r="X89" s="16" t="e">
        <f>$N89/$M89</f>
        <v>#DIV/0!</v>
      </c>
      <c r="Y89" s="16" t="e">
        <f>$R89/$Q89</f>
        <v>#DIV/0!</v>
      </c>
      <c r="Z89" s="16" t="e">
        <f>$I89/$H89</f>
        <v>#DIV/0!</v>
      </c>
      <c r="AA89" s="16" t="e">
        <f>$K89/$H89</f>
        <v>#DIV/0!</v>
      </c>
      <c r="AB89" s="16">
        <f>($J89*Cp_yd)+($K89*Cp_td)+($L89*Cint)+($M89*Ccar)+($N89*Cr_yd)+($O89*Cr_td)+(Q89*Crec)+($R89*Crec_yd)+($S89*Crec_td)+($T89*Cfmb)+($U89*Ctp_c)</f>
        <v>0</v>
      </c>
    </row>
    <row r="90" spans="1:28" x14ac:dyDescent="0.2">
      <c r="A90" s="15" t="s">
        <v>1095</v>
      </c>
      <c r="B90" s="15" t="s">
        <v>31</v>
      </c>
      <c r="C90" s="15">
        <v>30</v>
      </c>
      <c r="D90" s="15">
        <v>9</v>
      </c>
      <c r="E90" s="15" t="s">
        <v>248</v>
      </c>
      <c r="F90" s="15" t="s">
        <v>1075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T90" s="15">
        <v>0</v>
      </c>
      <c r="U90" s="15">
        <v>0</v>
      </c>
      <c r="V90" s="15">
        <f t="shared" ref="V90:V153" si="27">($J90*0.04)+($K90*4)+($L90*-2)+($N90*0.1)+($O90*6)+($Q90)+($R90*0.1)+($S90*6)+($T90*-2)</f>
        <v>0</v>
      </c>
      <c r="W90" s="15" t="e">
        <f t="shared" ref="W90:W153" si="28">$P90/$H$33</f>
        <v>#DIV/0!</v>
      </c>
      <c r="X90" s="15" t="e">
        <f t="shared" ref="X90:X153" si="29">$N90/$M90</f>
        <v>#DIV/0!</v>
      </c>
      <c r="Y90" s="15" t="e">
        <f t="shared" ref="Y90:Y153" si="30">$R90/$Q90</f>
        <v>#DIV/0!</v>
      </c>
      <c r="Z90" s="15" t="e">
        <f t="shared" ref="Z90:Z153" si="31">$I90/$H90</f>
        <v>#DIV/0!</v>
      </c>
      <c r="AA90" s="15" t="e">
        <f>$K90/$H90</f>
        <v>#DIV/0!</v>
      </c>
      <c r="AB90" s="15">
        <f t="shared" ref="AB90:AB153" si="32">($J90*Cp_yd)+($K90*Cp_td)+($L90*Cint)+($M90*Ccar)+($N90*Cr_yd)+($O90*Cr_td)+(Q90*Crec)+($R90*Crec_yd)+($S90*Crec_td)+($T90*Cfmb)+($U90*Ctp_c)</f>
        <v>0</v>
      </c>
    </row>
    <row r="91" spans="1:28" x14ac:dyDescent="0.2">
      <c r="A91" s="16" t="s">
        <v>1096</v>
      </c>
      <c r="B91" s="16" t="s">
        <v>31</v>
      </c>
      <c r="C91" s="16">
        <v>33</v>
      </c>
      <c r="D91" s="16">
        <v>11</v>
      </c>
      <c r="E91" s="16" t="s">
        <v>240</v>
      </c>
      <c r="F91" s="16" t="s">
        <v>1075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T91" s="16">
        <v>0</v>
      </c>
      <c r="U91" s="16">
        <v>0</v>
      </c>
      <c r="V91" s="16">
        <f t="shared" si="27"/>
        <v>0</v>
      </c>
      <c r="W91" s="16" t="e">
        <f t="shared" si="28"/>
        <v>#DIV/0!</v>
      </c>
      <c r="X91" s="16" t="e">
        <f t="shared" si="29"/>
        <v>#DIV/0!</v>
      </c>
      <c r="Y91" s="16" t="e">
        <f t="shared" si="30"/>
        <v>#DIV/0!</v>
      </c>
      <c r="Z91" s="16" t="e">
        <f t="shared" si="31"/>
        <v>#DIV/0!</v>
      </c>
      <c r="AA91" s="16" t="e">
        <f>$K91/$H91</f>
        <v>#DIV/0!</v>
      </c>
      <c r="AB91" s="16">
        <f t="shared" si="32"/>
        <v>0</v>
      </c>
    </row>
    <row r="92" spans="1:28" x14ac:dyDescent="0.2">
      <c r="A92" s="15" t="s">
        <v>1097</v>
      </c>
      <c r="B92" s="15" t="s">
        <v>31</v>
      </c>
      <c r="C92" s="15">
        <v>25</v>
      </c>
      <c r="D92" s="15">
        <v>2</v>
      </c>
      <c r="E92" s="15" t="s">
        <v>418</v>
      </c>
      <c r="F92" s="15" t="s">
        <v>1075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f t="shared" si="27"/>
        <v>0</v>
      </c>
      <c r="W92" s="15" t="e">
        <f t="shared" si="28"/>
        <v>#DIV/0!</v>
      </c>
      <c r="X92" s="15" t="e">
        <f t="shared" si="29"/>
        <v>#DIV/0!</v>
      </c>
      <c r="Y92" s="15" t="e">
        <f t="shared" si="30"/>
        <v>#DIV/0!</v>
      </c>
      <c r="Z92" s="15" t="e">
        <f t="shared" si="31"/>
        <v>#DIV/0!</v>
      </c>
      <c r="AA92" s="15" t="e">
        <f>$K92/$H92</f>
        <v>#DIV/0!</v>
      </c>
      <c r="AB92" s="15">
        <f t="shared" si="32"/>
        <v>0</v>
      </c>
    </row>
    <row r="93" spans="1:28" x14ac:dyDescent="0.2">
      <c r="A93" s="16" t="s">
        <v>1098</v>
      </c>
      <c r="B93" s="16" t="s">
        <v>31</v>
      </c>
      <c r="C93" s="16">
        <v>25</v>
      </c>
      <c r="D93" s="16">
        <v>5</v>
      </c>
      <c r="E93" s="16" t="s">
        <v>153</v>
      </c>
      <c r="F93" s="16" t="s">
        <v>1075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T93" s="16">
        <v>0</v>
      </c>
      <c r="U93" s="16">
        <v>0</v>
      </c>
      <c r="V93" s="16">
        <f t="shared" si="27"/>
        <v>0</v>
      </c>
      <c r="W93" s="16" t="e">
        <f t="shared" si="28"/>
        <v>#DIV/0!</v>
      </c>
      <c r="X93" s="16" t="e">
        <f t="shared" si="29"/>
        <v>#DIV/0!</v>
      </c>
      <c r="Y93" s="16" t="e">
        <f t="shared" si="30"/>
        <v>#DIV/0!</v>
      </c>
      <c r="Z93" s="16" t="e">
        <f t="shared" si="31"/>
        <v>#DIV/0!</v>
      </c>
      <c r="AA93" s="16" t="e">
        <f>$K93/$H93</f>
        <v>#DIV/0!</v>
      </c>
      <c r="AB93" s="16">
        <f t="shared" si="32"/>
        <v>0</v>
      </c>
    </row>
    <row r="94" spans="1:28" x14ac:dyDescent="0.2">
      <c r="A94" s="15" t="s">
        <v>1099</v>
      </c>
      <c r="B94" s="15" t="s">
        <v>31</v>
      </c>
      <c r="C94" s="15">
        <v>22</v>
      </c>
      <c r="D94" s="15">
        <v>2</v>
      </c>
      <c r="E94" s="15" t="s">
        <v>1100</v>
      </c>
      <c r="F94" s="15" t="s">
        <v>1075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f t="shared" si="27"/>
        <v>0</v>
      </c>
      <c r="W94" s="15" t="e">
        <f t="shared" si="28"/>
        <v>#DIV/0!</v>
      </c>
      <c r="X94" s="15" t="e">
        <f t="shared" si="29"/>
        <v>#DIV/0!</v>
      </c>
      <c r="Y94" s="15" t="e">
        <f t="shared" si="30"/>
        <v>#DIV/0!</v>
      </c>
      <c r="Z94" s="15" t="e">
        <f t="shared" si="31"/>
        <v>#DIV/0!</v>
      </c>
      <c r="AA94" s="15" t="e">
        <f>$K94/$H94</f>
        <v>#DIV/0!</v>
      </c>
      <c r="AB94" s="15">
        <f t="shared" si="32"/>
        <v>0</v>
      </c>
    </row>
    <row r="95" spans="1:28" x14ac:dyDescent="0.2">
      <c r="A95" s="16" t="s">
        <v>1101</v>
      </c>
      <c r="B95" s="16" t="s">
        <v>31</v>
      </c>
      <c r="C95" s="16">
        <v>26</v>
      </c>
      <c r="D95" s="16">
        <v>3</v>
      </c>
      <c r="E95" s="16" t="s">
        <v>89</v>
      </c>
      <c r="F95" s="16" t="s">
        <v>1075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0</v>
      </c>
      <c r="U95" s="16">
        <v>0</v>
      </c>
      <c r="V95" s="16">
        <f t="shared" si="27"/>
        <v>0</v>
      </c>
      <c r="W95" s="16" t="e">
        <f t="shared" si="28"/>
        <v>#DIV/0!</v>
      </c>
      <c r="X95" s="16" t="e">
        <f t="shared" si="29"/>
        <v>#DIV/0!</v>
      </c>
      <c r="Y95" s="16" t="e">
        <f t="shared" si="30"/>
        <v>#DIV/0!</v>
      </c>
      <c r="Z95" s="16" t="e">
        <f t="shared" si="31"/>
        <v>#DIV/0!</v>
      </c>
      <c r="AA95" s="16" t="e">
        <f>$K95/$H95</f>
        <v>#DIV/0!</v>
      </c>
      <c r="AB95" s="16">
        <f t="shared" si="32"/>
        <v>0</v>
      </c>
    </row>
    <row r="96" spans="1:28" x14ac:dyDescent="0.2">
      <c r="A96" s="15" t="s">
        <v>1102</v>
      </c>
      <c r="B96" s="15" t="s">
        <v>31</v>
      </c>
      <c r="C96" s="15">
        <v>26</v>
      </c>
      <c r="D96" s="15">
        <v>3</v>
      </c>
      <c r="E96" s="15" t="s">
        <v>1065</v>
      </c>
      <c r="F96" s="15" t="s">
        <v>1075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f t="shared" si="27"/>
        <v>0</v>
      </c>
      <c r="W96" s="15" t="e">
        <f t="shared" si="28"/>
        <v>#DIV/0!</v>
      </c>
      <c r="X96" s="15" t="e">
        <f t="shared" si="29"/>
        <v>#DIV/0!</v>
      </c>
      <c r="Y96" s="15" t="e">
        <f t="shared" si="30"/>
        <v>#DIV/0!</v>
      </c>
      <c r="Z96" s="15" t="e">
        <f t="shared" si="31"/>
        <v>#DIV/0!</v>
      </c>
      <c r="AA96" s="15" t="e">
        <f>$K96/$H96</f>
        <v>#DIV/0!</v>
      </c>
      <c r="AB96" s="15">
        <f t="shared" si="32"/>
        <v>0</v>
      </c>
    </row>
    <row r="97" spans="1:28" x14ac:dyDescent="0.2">
      <c r="A97" s="16" t="s">
        <v>1103</v>
      </c>
      <c r="B97" s="16" t="s">
        <v>31</v>
      </c>
      <c r="C97" s="16">
        <v>23</v>
      </c>
      <c r="D97" s="16">
        <v>2</v>
      </c>
      <c r="E97" s="16" t="s">
        <v>173</v>
      </c>
      <c r="F97" s="16" t="s">
        <v>1075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T97" s="16">
        <v>0</v>
      </c>
      <c r="U97" s="16">
        <v>0</v>
      </c>
      <c r="V97" s="16">
        <f t="shared" si="27"/>
        <v>0</v>
      </c>
      <c r="W97" s="16" t="e">
        <f t="shared" si="28"/>
        <v>#DIV/0!</v>
      </c>
      <c r="X97" s="16" t="e">
        <f t="shared" si="29"/>
        <v>#DIV/0!</v>
      </c>
      <c r="Y97" s="16" t="e">
        <f t="shared" si="30"/>
        <v>#DIV/0!</v>
      </c>
      <c r="Z97" s="16" t="e">
        <f t="shared" si="31"/>
        <v>#DIV/0!</v>
      </c>
      <c r="AA97" s="16" t="e">
        <f>$K97/$H97</f>
        <v>#DIV/0!</v>
      </c>
      <c r="AB97" s="16">
        <f t="shared" si="32"/>
        <v>0</v>
      </c>
    </row>
    <row r="98" spans="1:28" x14ac:dyDescent="0.2">
      <c r="A98" s="15" t="s">
        <v>1148</v>
      </c>
      <c r="B98" s="15" t="s">
        <v>31</v>
      </c>
      <c r="C98" s="15">
        <v>21</v>
      </c>
      <c r="D98" s="15">
        <v>0</v>
      </c>
      <c r="E98" s="15" t="s">
        <v>307</v>
      </c>
      <c r="F98" s="15" t="s">
        <v>1127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f t="shared" si="27"/>
        <v>0</v>
      </c>
      <c r="W98" s="15" t="e">
        <f t="shared" si="28"/>
        <v>#DIV/0!</v>
      </c>
      <c r="X98" s="15" t="e">
        <f t="shared" si="29"/>
        <v>#DIV/0!</v>
      </c>
      <c r="Y98" s="15" t="e">
        <f t="shared" si="30"/>
        <v>#DIV/0!</v>
      </c>
      <c r="Z98" s="15" t="e">
        <f t="shared" si="31"/>
        <v>#DIV/0!</v>
      </c>
      <c r="AA98" s="15" t="e">
        <f>$K98/$H98</f>
        <v>#DIV/0!</v>
      </c>
      <c r="AB98" s="15">
        <f t="shared" si="32"/>
        <v>0</v>
      </c>
    </row>
    <row r="99" spans="1:28" x14ac:dyDescent="0.2">
      <c r="A99" s="16" t="s">
        <v>1149</v>
      </c>
      <c r="B99" s="16" t="s">
        <v>31</v>
      </c>
      <c r="C99" s="16">
        <v>24</v>
      </c>
      <c r="D99" s="16">
        <v>4</v>
      </c>
      <c r="E99" s="16" t="s">
        <v>86</v>
      </c>
      <c r="F99" s="16" t="s">
        <v>1127</v>
      </c>
      <c r="G99" s="16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0</v>
      </c>
      <c r="Q99" s="16">
        <v>0</v>
      </c>
      <c r="R99" s="16">
        <v>0</v>
      </c>
      <c r="S99" s="16">
        <v>0</v>
      </c>
      <c r="T99" s="16">
        <v>0</v>
      </c>
      <c r="U99" s="16">
        <v>0</v>
      </c>
      <c r="V99" s="16">
        <f t="shared" si="27"/>
        <v>0</v>
      </c>
      <c r="W99" s="16" t="e">
        <f t="shared" si="28"/>
        <v>#DIV/0!</v>
      </c>
      <c r="X99" s="16" t="e">
        <f t="shared" si="29"/>
        <v>#DIV/0!</v>
      </c>
      <c r="Y99" s="16" t="e">
        <f t="shared" si="30"/>
        <v>#DIV/0!</v>
      </c>
      <c r="Z99" s="16" t="e">
        <f t="shared" si="31"/>
        <v>#DIV/0!</v>
      </c>
      <c r="AA99" s="16" t="e">
        <f>$K99/$H99</f>
        <v>#DIV/0!</v>
      </c>
      <c r="AB99" s="16">
        <f t="shared" si="32"/>
        <v>0</v>
      </c>
    </row>
    <row r="100" spans="1:28" x14ac:dyDescent="0.2">
      <c r="A100" s="15" t="s">
        <v>1150</v>
      </c>
      <c r="B100" s="15" t="s">
        <v>31</v>
      </c>
      <c r="C100" s="15">
        <v>23</v>
      </c>
      <c r="D100" s="15">
        <v>0</v>
      </c>
      <c r="E100" s="15" t="s">
        <v>82</v>
      </c>
      <c r="F100" s="15" t="s">
        <v>1127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f t="shared" si="27"/>
        <v>0</v>
      </c>
      <c r="W100" s="15" t="e">
        <f t="shared" si="28"/>
        <v>#DIV/0!</v>
      </c>
      <c r="X100" s="15" t="e">
        <f t="shared" si="29"/>
        <v>#DIV/0!</v>
      </c>
      <c r="Y100" s="15" t="e">
        <f t="shared" si="30"/>
        <v>#DIV/0!</v>
      </c>
      <c r="Z100" s="15" t="e">
        <f t="shared" si="31"/>
        <v>#DIV/0!</v>
      </c>
      <c r="AA100" s="15" t="e">
        <f>$K100/$H100</f>
        <v>#DIV/0!</v>
      </c>
      <c r="AB100" s="15">
        <f t="shared" si="32"/>
        <v>0</v>
      </c>
    </row>
    <row r="101" spans="1:28" x14ac:dyDescent="0.2">
      <c r="A101" s="16" t="s">
        <v>1151</v>
      </c>
      <c r="B101" s="16" t="s">
        <v>31</v>
      </c>
      <c r="C101" s="16">
        <v>26</v>
      </c>
      <c r="D101" s="16">
        <v>5</v>
      </c>
      <c r="E101" s="16" t="s">
        <v>86</v>
      </c>
      <c r="F101" s="16" t="s">
        <v>1127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f t="shared" si="27"/>
        <v>0</v>
      </c>
      <c r="W101" s="16" t="e">
        <f t="shared" si="28"/>
        <v>#DIV/0!</v>
      </c>
      <c r="X101" s="16" t="e">
        <f t="shared" si="29"/>
        <v>#DIV/0!</v>
      </c>
      <c r="Y101" s="16" t="e">
        <f t="shared" si="30"/>
        <v>#DIV/0!</v>
      </c>
      <c r="Z101" s="16" t="e">
        <f t="shared" si="31"/>
        <v>#DIV/0!</v>
      </c>
      <c r="AA101" s="16" t="e">
        <f>$K101/$H101</f>
        <v>#DIV/0!</v>
      </c>
      <c r="AB101" s="16">
        <f t="shared" si="32"/>
        <v>0</v>
      </c>
    </row>
    <row r="102" spans="1:28" x14ac:dyDescent="0.2">
      <c r="A102" s="15" t="s">
        <v>1152</v>
      </c>
      <c r="B102" s="15" t="s">
        <v>31</v>
      </c>
      <c r="C102" s="15">
        <v>31</v>
      </c>
      <c r="D102" s="15">
        <v>9</v>
      </c>
      <c r="E102" s="15" t="s">
        <v>62</v>
      </c>
      <c r="F102" s="15" t="s">
        <v>1127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f t="shared" si="27"/>
        <v>0</v>
      </c>
      <c r="W102" s="15" t="e">
        <f t="shared" si="28"/>
        <v>#DIV/0!</v>
      </c>
      <c r="X102" s="15" t="e">
        <f t="shared" si="29"/>
        <v>#DIV/0!</v>
      </c>
      <c r="Y102" s="15" t="e">
        <f t="shared" si="30"/>
        <v>#DIV/0!</v>
      </c>
      <c r="Z102" s="15" t="e">
        <f t="shared" si="31"/>
        <v>#DIV/0!</v>
      </c>
      <c r="AA102" s="15" t="e">
        <f>$K102/$H102</f>
        <v>#DIV/0!</v>
      </c>
      <c r="AB102" s="15">
        <f t="shared" si="32"/>
        <v>0</v>
      </c>
    </row>
    <row r="103" spans="1:28" x14ac:dyDescent="0.2">
      <c r="A103" s="16" t="s">
        <v>1194</v>
      </c>
      <c r="B103" s="16" t="s">
        <v>31</v>
      </c>
      <c r="C103" s="16">
        <v>25</v>
      </c>
      <c r="D103" s="16">
        <v>2</v>
      </c>
      <c r="E103" s="16" t="s">
        <v>163</v>
      </c>
      <c r="F103" s="16" t="s">
        <v>1176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f t="shared" si="27"/>
        <v>0</v>
      </c>
      <c r="W103" s="16" t="e">
        <f t="shared" si="28"/>
        <v>#DIV/0!</v>
      </c>
      <c r="X103" s="16" t="e">
        <f t="shared" si="29"/>
        <v>#DIV/0!</v>
      </c>
      <c r="Y103" s="16" t="e">
        <f t="shared" si="30"/>
        <v>#DIV/0!</v>
      </c>
      <c r="Z103" s="16" t="e">
        <f t="shared" si="31"/>
        <v>#DIV/0!</v>
      </c>
      <c r="AA103" s="16" t="e">
        <f>$K103/$H103</f>
        <v>#DIV/0!</v>
      </c>
      <c r="AB103" s="16">
        <f t="shared" si="32"/>
        <v>0</v>
      </c>
    </row>
    <row r="104" spans="1:28" x14ac:dyDescent="0.2">
      <c r="A104" s="15" t="s">
        <v>1195</v>
      </c>
      <c r="B104" s="15" t="s">
        <v>31</v>
      </c>
      <c r="C104" s="15"/>
      <c r="D104" s="15">
        <v>0</v>
      </c>
      <c r="E104" s="15" t="s">
        <v>1196</v>
      </c>
      <c r="F104" s="15" t="s">
        <v>1176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f t="shared" si="27"/>
        <v>0</v>
      </c>
      <c r="W104" s="15" t="e">
        <f t="shared" si="28"/>
        <v>#DIV/0!</v>
      </c>
      <c r="X104" s="15" t="e">
        <f t="shared" si="29"/>
        <v>#DIV/0!</v>
      </c>
      <c r="Y104" s="15" t="e">
        <f t="shared" si="30"/>
        <v>#DIV/0!</v>
      </c>
      <c r="Z104" s="15" t="e">
        <f t="shared" si="31"/>
        <v>#DIV/0!</v>
      </c>
      <c r="AA104" s="15" t="e">
        <f>$K104/$H104</f>
        <v>#DIV/0!</v>
      </c>
      <c r="AB104" s="15">
        <f t="shared" si="32"/>
        <v>0</v>
      </c>
    </row>
    <row r="105" spans="1:28" x14ac:dyDescent="0.2">
      <c r="A105" s="16" t="s">
        <v>1197</v>
      </c>
      <c r="B105" s="16" t="s">
        <v>31</v>
      </c>
      <c r="C105" s="16">
        <v>25</v>
      </c>
      <c r="D105" s="16">
        <v>5</v>
      </c>
      <c r="E105" s="16" t="s">
        <v>296</v>
      </c>
      <c r="F105" s="16" t="s">
        <v>1176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f t="shared" si="27"/>
        <v>0</v>
      </c>
      <c r="W105" s="16" t="e">
        <f t="shared" si="28"/>
        <v>#DIV/0!</v>
      </c>
      <c r="X105" s="16" t="e">
        <f t="shared" si="29"/>
        <v>#DIV/0!</v>
      </c>
      <c r="Y105" s="16" t="e">
        <f t="shared" si="30"/>
        <v>#DIV/0!</v>
      </c>
      <c r="Z105" s="16" t="e">
        <f t="shared" si="31"/>
        <v>#DIV/0!</v>
      </c>
      <c r="AA105" s="16" t="e">
        <f>$K105/$H105</f>
        <v>#DIV/0!</v>
      </c>
      <c r="AB105" s="16">
        <f t="shared" si="32"/>
        <v>0</v>
      </c>
    </row>
    <row r="106" spans="1:28" x14ac:dyDescent="0.2">
      <c r="A106" s="15" t="s">
        <v>1198</v>
      </c>
      <c r="B106" s="15" t="s">
        <v>31</v>
      </c>
      <c r="C106" s="15">
        <v>22</v>
      </c>
      <c r="D106" s="15">
        <v>0</v>
      </c>
      <c r="E106" s="15" t="s">
        <v>335</v>
      </c>
      <c r="F106" s="15" t="s">
        <v>1176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f t="shared" si="27"/>
        <v>0</v>
      </c>
      <c r="W106" s="15" t="e">
        <f t="shared" si="28"/>
        <v>#DIV/0!</v>
      </c>
      <c r="X106" s="15" t="e">
        <f t="shared" si="29"/>
        <v>#DIV/0!</v>
      </c>
      <c r="Y106" s="15" t="e">
        <f t="shared" si="30"/>
        <v>#DIV/0!</v>
      </c>
      <c r="Z106" s="15" t="e">
        <f t="shared" si="31"/>
        <v>#DIV/0!</v>
      </c>
      <c r="AA106" s="15" t="e">
        <f>$K106/$H106</f>
        <v>#DIV/0!</v>
      </c>
      <c r="AB106" s="15">
        <f t="shared" si="32"/>
        <v>0</v>
      </c>
    </row>
    <row r="107" spans="1:28" x14ac:dyDescent="0.2">
      <c r="A107" s="16" t="s">
        <v>1199</v>
      </c>
      <c r="B107" s="16" t="s">
        <v>31</v>
      </c>
      <c r="C107" s="16">
        <v>25</v>
      </c>
      <c r="D107" s="16">
        <v>3</v>
      </c>
      <c r="E107" s="16" t="s">
        <v>244</v>
      </c>
      <c r="F107" s="16" t="s">
        <v>1176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f t="shared" si="27"/>
        <v>0</v>
      </c>
      <c r="W107" s="16" t="e">
        <f t="shared" si="28"/>
        <v>#DIV/0!</v>
      </c>
      <c r="X107" s="16" t="e">
        <f t="shared" si="29"/>
        <v>#DIV/0!</v>
      </c>
      <c r="Y107" s="16" t="e">
        <f t="shared" si="30"/>
        <v>#DIV/0!</v>
      </c>
      <c r="Z107" s="16" t="e">
        <f t="shared" si="31"/>
        <v>#DIV/0!</v>
      </c>
      <c r="AA107" s="16" t="e">
        <f>$K107/$H107</f>
        <v>#DIV/0!</v>
      </c>
      <c r="AB107" s="16">
        <f t="shared" si="32"/>
        <v>0</v>
      </c>
    </row>
    <row r="108" spans="1:28" x14ac:dyDescent="0.2">
      <c r="A108" s="15" t="s">
        <v>1241</v>
      </c>
      <c r="B108" s="15" t="s">
        <v>31</v>
      </c>
      <c r="C108" s="15">
        <v>28</v>
      </c>
      <c r="D108" s="15">
        <v>8</v>
      </c>
      <c r="E108" s="15" t="s">
        <v>213</v>
      </c>
      <c r="F108" s="15" t="s">
        <v>1222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f t="shared" si="27"/>
        <v>0</v>
      </c>
      <c r="W108" s="15" t="e">
        <f t="shared" si="28"/>
        <v>#DIV/0!</v>
      </c>
      <c r="X108" s="15" t="e">
        <f t="shared" si="29"/>
        <v>#DIV/0!</v>
      </c>
      <c r="Y108" s="15" t="e">
        <f t="shared" si="30"/>
        <v>#DIV/0!</v>
      </c>
      <c r="Z108" s="15" t="e">
        <f t="shared" si="31"/>
        <v>#DIV/0!</v>
      </c>
      <c r="AA108" s="15" t="e">
        <f>$K108/$H108</f>
        <v>#DIV/0!</v>
      </c>
      <c r="AB108" s="15">
        <f t="shared" si="32"/>
        <v>0</v>
      </c>
    </row>
    <row r="109" spans="1:28" x14ac:dyDescent="0.2">
      <c r="A109" s="16" t="s">
        <v>1242</v>
      </c>
      <c r="B109" s="16" t="s">
        <v>31</v>
      </c>
      <c r="C109" s="16">
        <v>22</v>
      </c>
      <c r="D109" s="16">
        <v>2</v>
      </c>
      <c r="E109" s="16" t="s">
        <v>341</v>
      </c>
      <c r="F109" s="16" t="s">
        <v>1222</v>
      </c>
      <c r="G109" s="16">
        <v>0</v>
      </c>
      <c r="H109" s="16">
        <v>0</v>
      </c>
      <c r="I109" s="16">
        <v>0</v>
      </c>
      <c r="J109" s="16">
        <v>0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f t="shared" si="27"/>
        <v>0</v>
      </c>
      <c r="W109" s="16" t="e">
        <f t="shared" si="28"/>
        <v>#DIV/0!</v>
      </c>
      <c r="X109" s="16" t="e">
        <f t="shared" si="29"/>
        <v>#DIV/0!</v>
      </c>
      <c r="Y109" s="16" t="e">
        <f t="shared" si="30"/>
        <v>#DIV/0!</v>
      </c>
      <c r="Z109" s="16" t="e">
        <f t="shared" si="31"/>
        <v>#DIV/0!</v>
      </c>
      <c r="AA109" s="16" t="e">
        <f>$K109/$H109</f>
        <v>#DIV/0!</v>
      </c>
      <c r="AB109" s="16">
        <f t="shared" si="32"/>
        <v>0</v>
      </c>
    </row>
    <row r="110" spans="1:28" x14ac:dyDescent="0.2">
      <c r="A110" s="15" t="s">
        <v>1243</v>
      </c>
      <c r="B110" s="15" t="s">
        <v>31</v>
      </c>
      <c r="C110" s="15">
        <v>26</v>
      </c>
      <c r="D110" s="15">
        <v>1</v>
      </c>
      <c r="E110" s="15" t="s">
        <v>246</v>
      </c>
      <c r="F110" s="15" t="s">
        <v>1222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f t="shared" si="27"/>
        <v>0</v>
      </c>
      <c r="W110" s="15" t="e">
        <f t="shared" si="28"/>
        <v>#DIV/0!</v>
      </c>
      <c r="X110" s="15" t="e">
        <f t="shared" si="29"/>
        <v>#DIV/0!</v>
      </c>
      <c r="Y110" s="15" t="e">
        <f t="shared" si="30"/>
        <v>#DIV/0!</v>
      </c>
      <c r="Z110" s="15" t="e">
        <f t="shared" si="31"/>
        <v>#DIV/0!</v>
      </c>
      <c r="AA110" s="15" t="e">
        <f>$K110/$H110</f>
        <v>#DIV/0!</v>
      </c>
      <c r="AB110" s="15">
        <f t="shared" si="32"/>
        <v>0</v>
      </c>
    </row>
    <row r="111" spans="1:28" x14ac:dyDescent="0.2">
      <c r="A111" s="16" t="s">
        <v>1244</v>
      </c>
      <c r="B111" s="16" t="s">
        <v>31</v>
      </c>
      <c r="C111" s="16">
        <v>25</v>
      </c>
      <c r="D111" s="16">
        <v>3</v>
      </c>
      <c r="E111" s="16" t="s">
        <v>68</v>
      </c>
      <c r="F111" s="16" t="s">
        <v>1222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T111" s="16">
        <v>0</v>
      </c>
      <c r="U111" s="16">
        <v>0</v>
      </c>
      <c r="V111" s="16">
        <f t="shared" si="27"/>
        <v>0</v>
      </c>
      <c r="W111" s="16" t="e">
        <f t="shared" si="28"/>
        <v>#DIV/0!</v>
      </c>
      <c r="X111" s="16" t="e">
        <f t="shared" si="29"/>
        <v>#DIV/0!</v>
      </c>
      <c r="Y111" s="16" t="e">
        <f t="shared" si="30"/>
        <v>#DIV/0!</v>
      </c>
      <c r="Z111" s="16" t="e">
        <f t="shared" si="31"/>
        <v>#DIV/0!</v>
      </c>
      <c r="AA111" s="16" t="e">
        <f>$K111/$H111</f>
        <v>#DIV/0!</v>
      </c>
      <c r="AB111" s="16">
        <f t="shared" si="32"/>
        <v>0</v>
      </c>
    </row>
    <row r="112" spans="1:28" x14ac:dyDescent="0.2">
      <c r="A112" s="15" t="s">
        <v>1245</v>
      </c>
      <c r="B112" s="15" t="s">
        <v>31</v>
      </c>
      <c r="C112" s="15">
        <v>24</v>
      </c>
      <c r="D112" s="15">
        <v>2</v>
      </c>
      <c r="E112" s="15" t="s">
        <v>753</v>
      </c>
      <c r="F112" s="15" t="s">
        <v>1222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v>0</v>
      </c>
      <c r="V112" s="15">
        <f t="shared" si="27"/>
        <v>0</v>
      </c>
      <c r="W112" s="15" t="e">
        <f t="shared" si="28"/>
        <v>#DIV/0!</v>
      </c>
      <c r="X112" s="15" t="e">
        <f t="shared" si="29"/>
        <v>#DIV/0!</v>
      </c>
      <c r="Y112" s="15" t="e">
        <f t="shared" si="30"/>
        <v>#DIV/0!</v>
      </c>
      <c r="Z112" s="15" t="e">
        <f t="shared" si="31"/>
        <v>#DIV/0!</v>
      </c>
      <c r="AA112" s="15" t="e">
        <f>$K112/$H112</f>
        <v>#DIV/0!</v>
      </c>
      <c r="AB112" s="15">
        <f t="shared" si="32"/>
        <v>0</v>
      </c>
    </row>
    <row r="113" spans="1:28" x14ac:dyDescent="0.2">
      <c r="A113" s="16" t="s">
        <v>1290</v>
      </c>
      <c r="B113" s="16" t="s">
        <v>31</v>
      </c>
      <c r="C113" s="16">
        <v>26</v>
      </c>
      <c r="D113" s="16">
        <v>1</v>
      </c>
      <c r="E113" s="16" t="s">
        <v>163</v>
      </c>
      <c r="F113" s="16" t="s">
        <v>1270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f t="shared" si="27"/>
        <v>0</v>
      </c>
      <c r="W113" s="16" t="e">
        <f t="shared" si="28"/>
        <v>#DIV/0!</v>
      </c>
      <c r="X113" s="16" t="e">
        <f t="shared" si="29"/>
        <v>#DIV/0!</v>
      </c>
      <c r="Y113" s="16" t="e">
        <f t="shared" si="30"/>
        <v>#DIV/0!</v>
      </c>
      <c r="Z113" s="16" t="e">
        <f t="shared" si="31"/>
        <v>#DIV/0!</v>
      </c>
      <c r="AA113" s="16" t="e">
        <f>$K113/$H113</f>
        <v>#DIV/0!</v>
      </c>
      <c r="AB113" s="16">
        <f t="shared" si="32"/>
        <v>0</v>
      </c>
    </row>
    <row r="114" spans="1:28" x14ac:dyDescent="0.2">
      <c r="A114" s="15" t="s">
        <v>1291</v>
      </c>
      <c r="B114" s="15" t="s">
        <v>31</v>
      </c>
      <c r="C114" s="15">
        <v>24</v>
      </c>
      <c r="D114" s="15">
        <v>4</v>
      </c>
      <c r="E114" s="15" t="s">
        <v>155</v>
      </c>
      <c r="F114" s="15" t="s">
        <v>1270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f t="shared" si="27"/>
        <v>0</v>
      </c>
      <c r="W114" s="15" t="e">
        <f t="shared" si="28"/>
        <v>#DIV/0!</v>
      </c>
      <c r="X114" s="15" t="e">
        <f t="shared" si="29"/>
        <v>#DIV/0!</v>
      </c>
      <c r="Y114" s="15" t="e">
        <f t="shared" si="30"/>
        <v>#DIV/0!</v>
      </c>
      <c r="Z114" s="15" t="e">
        <f t="shared" si="31"/>
        <v>#DIV/0!</v>
      </c>
      <c r="AA114" s="15" t="e">
        <f>$K114/$H114</f>
        <v>#DIV/0!</v>
      </c>
      <c r="AB114" s="15">
        <f t="shared" si="32"/>
        <v>0</v>
      </c>
    </row>
    <row r="115" spans="1:28" x14ac:dyDescent="0.2">
      <c r="A115" s="16" t="s">
        <v>1292</v>
      </c>
      <c r="B115" s="16" t="s">
        <v>31</v>
      </c>
      <c r="C115" s="16">
        <v>28</v>
      </c>
      <c r="D115" s="16">
        <v>7</v>
      </c>
      <c r="E115" s="16" t="s">
        <v>143</v>
      </c>
      <c r="F115" s="16" t="s">
        <v>1270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f t="shared" si="27"/>
        <v>0</v>
      </c>
      <c r="W115" s="16" t="e">
        <f t="shared" si="28"/>
        <v>#DIV/0!</v>
      </c>
      <c r="X115" s="16" t="e">
        <f t="shared" si="29"/>
        <v>#DIV/0!</v>
      </c>
      <c r="Y115" s="16" t="e">
        <f t="shared" si="30"/>
        <v>#DIV/0!</v>
      </c>
      <c r="Z115" s="16" t="e">
        <f t="shared" si="31"/>
        <v>#DIV/0!</v>
      </c>
      <c r="AA115" s="16" t="e">
        <f>$K115/$H115</f>
        <v>#DIV/0!</v>
      </c>
      <c r="AB115" s="16">
        <f t="shared" si="32"/>
        <v>0</v>
      </c>
    </row>
    <row r="116" spans="1:28" x14ac:dyDescent="0.2">
      <c r="A116" s="15" t="s">
        <v>1293</v>
      </c>
      <c r="B116" s="15" t="s">
        <v>31</v>
      </c>
      <c r="C116" s="15">
        <v>24</v>
      </c>
      <c r="D116" s="15">
        <v>0</v>
      </c>
      <c r="E116" s="15" t="s">
        <v>291</v>
      </c>
      <c r="F116" s="15" t="s">
        <v>1270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f t="shared" si="27"/>
        <v>0</v>
      </c>
      <c r="W116" s="15" t="e">
        <f t="shared" si="28"/>
        <v>#DIV/0!</v>
      </c>
      <c r="X116" s="15" t="e">
        <f t="shared" si="29"/>
        <v>#DIV/0!</v>
      </c>
      <c r="Y116" s="15" t="e">
        <f t="shared" si="30"/>
        <v>#DIV/0!</v>
      </c>
      <c r="Z116" s="15" t="e">
        <f t="shared" si="31"/>
        <v>#DIV/0!</v>
      </c>
      <c r="AA116" s="15" t="e">
        <f>$K116/$H116</f>
        <v>#DIV/0!</v>
      </c>
      <c r="AB116" s="15">
        <f t="shared" si="32"/>
        <v>0</v>
      </c>
    </row>
    <row r="117" spans="1:28" x14ac:dyDescent="0.2">
      <c r="A117" s="16" t="s">
        <v>1294</v>
      </c>
      <c r="B117" s="16" t="s">
        <v>31</v>
      </c>
      <c r="C117" s="16">
        <v>21</v>
      </c>
      <c r="D117" s="16">
        <v>0</v>
      </c>
      <c r="E117" s="16" t="s">
        <v>76</v>
      </c>
      <c r="F117" s="16" t="s">
        <v>1270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T117" s="16">
        <v>0</v>
      </c>
      <c r="U117" s="16">
        <v>0</v>
      </c>
      <c r="V117" s="16">
        <f t="shared" si="27"/>
        <v>0</v>
      </c>
      <c r="W117" s="16" t="e">
        <f t="shared" si="28"/>
        <v>#DIV/0!</v>
      </c>
      <c r="X117" s="16" t="e">
        <f t="shared" si="29"/>
        <v>#DIV/0!</v>
      </c>
      <c r="Y117" s="16" t="e">
        <f t="shared" si="30"/>
        <v>#DIV/0!</v>
      </c>
      <c r="Z117" s="16" t="e">
        <f t="shared" si="31"/>
        <v>#DIV/0!</v>
      </c>
      <c r="AA117" s="16" t="e">
        <f>$K117/$H117</f>
        <v>#DIV/0!</v>
      </c>
      <c r="AB117" s="16">
        <f t="shared" si="32"/>
        <v>0</v>
      </c>
    </row>
    <row r="118" spans="1:28" x14ac:dyDescent="0.2">
      <c r="A118" s="15" t="s">
        <v>1295</v>
      </c>
      <c r="B118" s="15" t="s">
        <v>31</v>
      </c>
      <c r="C118" s="15">
        <v>28</v>
      </c>
      <c r="D118" s="15">
        <v>6</v>
      </c>
      <c r="E118" s="15" t="s">
        <v>227</v>
      </c>
      <c r="F118" s="15" t="s">
        <v>1270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v>0</v>
      </c>
      <c r="V118" s="15">
        <f t="shared" si="27"/>
        <v>0</v>
      </c>
      <c r="W118" s="15" t="e">
        <f t="shared" si="28"/>
        <v>#DIV/0!</v>
      </c>
      <c r="X118" s="15" t="e">
        <f t="shared" si="29"/>
        <v>#DIV/0!</v>
      </c>
      <c r="Y118" s="15" t="e">
        <f t="shared" si="30"/>
        <v>#DIV/0!</v>
      </c>
      <c r="Z118" s="15" t="e">
        <f t="shared" si="31"/>
        <v>#DIV/0!</v>
      </c>
      <c r="AA118" s="15" t="e">
        <f>$K118/$H118</f>
        <v>#DIV/0!</v>
      </c>
      <c r="AB118" s="15">
        <f t="shared" si="32"/>
        <v>0</v>
      </c>
    </row>
    <row r="119" spans="1:28" x14ac:dyDescent="0.2">
      <c r="A119" s="16" t="s">
        <v>1339</v>
      </c>
      <c r="B119" s="16" t="s">
        <v>31</v>
      </c>
      <c r="C119" s="16">
        <v>26</v>
      </c>
      <c r="D119" s="16">
        <v>6</v>
      </c>
      <c r="E119" s="16" t="s">
        <v>339</v>
      </c>
      <c r="F119" s="16" t="s">
        <v>1320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T119" s="16">
        <v>0</v>
      </c>
      <c r="U119" s="16">
        <v>0</v>
      </c>
      <c r="V119" s="16">
        <f t="shared" si="27"/>
        <v>0</v>
      </c>
      <c r="W119" s="16" t="e">
        <f t="shared" si="28"/>
        <v>#DIV/0!</v>
      </c>
      <c r="X119" s="16" t="e">
        <f t="shared" si="29"/>
        <v>#DIV/0!</v>
      </c>
      <c r="Y119" s="16" t="e">
        <f t="shared" si="30"/>
        <v>#DIV/0!</v>
      </c>
      <c r="Z119" s="16" t="e">
        <f t="shared" si="31"/>
        <v>#DIV/0!</v>
      </c>
      <c r="AA119" s="16" t="e">
        <f>$K119/$H119</f>
        <v>#DIV/0!</v>
      </c>
      <c r="AB119" s="16">
        <f t="shared" si="32"/>
        <v>0</v>
      </c>
    </row>
    <row r="120" spans="1:28" x14ac:dyDescent="0.2">
      <c r="A120" s="15" t="s">
        <v>1340</v>
      </c>
      <c r="B120" s="15" t="s">
        <v>31</v>
      </c>
      <c r="C120" s="15">
        <v>28</v>
      </c>
      <c r="D120" s="15">
        <v>7</v>
      </c>
      <c r="E120" s="15" t="s">
        <v>939</v>
      </c>
      <c r="F120" s="15" t="s">
        <v>1320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f t="shared" si="27"/>
        <v>0</v>
      </c>
      <c r="W120" s="15" t="e">
        <f t="shared" si="28"/>
        <v>#DIV/0!</v>
      </c>
      <c r="X120" s="15" t="e">
        <f t="shared" si="29"/>
        <v>#DIV/0!</v>
      </c>
      <c r="Y120" s="15" t="e">
        <f t="shared" si="30"/>
        <v>#DIV/0!</v>
      </c>
      <c r="Z120" s="15" t="e">
        <f t="shared" si="31"/>
        <v>#DIV/0!</v>
      </c>
      <c r="AA120" s="15" t="e">
        <f>$K120/$H120</f>
        <v>#DIV/0!</v>
      </c>
      <c r="AB120" s="15">
        <f t="shared" si="32"/>
        <v>0</v>
      </c>
    </row>
    <row r="121" spans="1:28" x14ac:dyDescent="0.2">
      <c r="A121" s="16" t="s">
        <v>1341</v>
      </c>
      <c r="B121" s="16" t="s">
        <v>31</v>
      </c>
      <c r="C121" s="16">
        <v>25</v>
      </c>
      <c r="D121" s="16">
        <v>3</v>
      </c>
      <c r="E121" s="16" t="s">
        <v>1247</v>
      </c>
      <c r="F121" s="16" t="s">
        <v>1320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f t="shared" si="27"/>
        <v>0</v>
      </c>
      <c r="W121" s="16" t="e">
        <f t="shared" si="28"/>
        <v>#DIV/0!</v>
      </c>
      <c r="X121" s="16" t="e">
        <f t="shared" si="29"/>
        <v>#DIV/0!</v>
      </c>
      <c r="Y121" s="16" t="e">
        <f t="shared" si="30"/>
        <v>#DIV/0!</v>
      </c>
      <c r="Z121" s="16" t="e">
        <f t="shared" si="31"/>
        <v>#DIV/0!</v>
      </c>
      <c r="AA121" s="16" t="e">
        <f>$K121/$H121</f>
        <v>#DIV/0!</v>
      </c>
      <c r="AB121" s="16">
        <f t="shared" si="32"/>
        <v>0</v>
      </c>
    </row>
    <row r="122" spans="1:28" x14ac:dyDescent="0.2">
      <c r="A122" s="15" t="s">
        <v>1342</v>
      </c>
      <c r="B122" s="15" t="s">
        <v>31</v>
      </c>
      <c r="C122" s="15">
        <v>22</v>
      </c>
      <c r="D122" s="15">
        <v>1</v>
      </c>
      <c r="E122" s="15" t="s">
        <v>1012</v>
      </c>
      <c r="F122" s="15" t="s">
        <v>1320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f t="shared" si="27"/>
        <v>0</v>
      </c>
      <c r="W122" s="15" t="e">
        <f t="shared" si="28"/>
        <v>#DIV/0!</v>
      </c>
      <c r="X122" s="15" t="e">
        <f t="shared" si="29"/>
        <v>#DIV/0!</v>
      </c>
      <c r="Y122" s="15" t="e">
        <f t="shared" si="30"/>
        <v>#DIV/0!</v>
      </c>
      <c r="Z122" s="15" t="e">
        <f t="shared" si="31"/>
        <v>#DIV/0!</v>
      </c>
      <c r="AA122" s="15" t="e">
        <f>$K122/$H122</f>
        <v>#DIV/0!</v>
      </c>
      <c r="AB122" s="15">
        <f t="shared" si="32"/>
        <v>0</v>
      </c>
    </row>
    <row r="123" spans="1:28" x14ac:dyDescent="0.2">
      <c r="A123" s="16" t="s">
        <v>1343</v>
      </c>
      <c r="B123" s="16" t="s">
        <v>31</v>
      </c>
      <c r="C123" s="16">
        <v>23</v>
      </c>
      <c r="D123" s="16">
        <v>0</v>
      </c>
      <c r="E123" s="16" t="s">
        <v>68</v>
      </c>
      <c r="F123" s="16" t="s">
        <v>1320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f t="shared" si="27"/>
        <v>0</v>
      </c>
      <c r="W123" s="16" t="e">
        <f t="shared" si="28"/>
        <v>#DIV/0!</v>
      </c>
      <c r="X123" s="16" t="e">
        <f t="shared" si="29"/>
        <v>#DIV/0!</v>
      </c>
      <c r="Y123" s="16" t="e">
        <f t="shared" si="30"/>
        <v>#DIV/0!</v>
      </c>
      <c r="Z123" s="16" t="e">
        <f t="shared" si="31"/>
        <v>#DIV/0!</v>
      </c>
      <c r="AA123" s="16" t="e">
        <f>$K123/$H123</f>
        <v>#DIV/0!</v>
      </c>
      <c r="AB123" s="16">
        <f t="shared" si="32"/>
        <v>0</v>
      </c>
    </row>
    <row r="124" spans="1:28" x14ac:dyDescent="0.2">
      <c r="A124" s="15" t="s">
        <v>1384</v>
      </c>
      <c r="B124" s="15" t="s">
        <v>31</v>
      </c>
      <c r="C124" s="15">
        <v>20</v>
      </c>
      <c r="D124" s="15">
        <v>0</v>
      </c>
      <c r="E124" s="15" t="s">
        <v>74</v>
      </c>
      <c r="F124" s="15" t="s">
        <v>1365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0</v>
      </c>
      <c r="U124" s="15">
        <v>0</v>
      </c>
      <c r="V124" s="15">
        <f t="shared" si="27"/>
        <v>0</v>
      </c>
      <c r="W124" s="15" t="e">
        <f t="shared" si="28"/>
        <v>#DIV/0!</v>
      </c>
      <c r="X124" s="15" t="e">
        <f t="shared" si="29"/>
        <v>#DIV/0!</v>
      </c>
      <c r="Y124" s="15" t="e">
        <f t="shared" si="30"/>
        <v>#DIV/0!</v>
      </c>
      <c r="Z124" s="15" t="e">
        <f t="shared" si="31"/>
        <v>#DIV/0!</v>
      </c>
      <c r="AA124" s="15" t="e">
        <f>$K124/$H124</f>
        <v>#DIV/0!</v>
      </c>
      <c r="AB124" s="15">
        <f t="shared" si="32"/>
        <v>0</v>
      </c>
    </row>
    <row r="125" spans="1:28" x14ac:dyDescent="0.2">
      <c r="A125" s="16" t="s">
        <v>1385</v>
      </c>
      <c r="B125" s="16" t="s">
        <v>31</v>
      </c>
      <c r="C125" s="16">
        <v>24</v>
      </c>
      <c r="D125" s="16">
        <v>3</v>
      </c>
      <c r="E125" s="16" t="s">
        <v>163</v>
      </c>
      <c r="F125" s="16" t="s">
        <v>1365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f t="shared" si="27"/>
        <v>0</v>
      </c>
      <c r="W125" s="16" t="e">
        <f t="shared" si="28"/>
        <v>#DIV/0!</v>
      </c>
      <c r="X125" s="16" t="e">
        <f t="shared" si="29"/>
        <v>#DIV/0!</v>
      </c>
      <c r="Y125" s="16" t="e">
        <f t="shared" si="30"/>
        <v>#DIV/0!</v>
      </c>
      <c r="Z125" s="16" t="e">
        <f t="shared" si="31"/>
        <v>#DIV/0!</v>
      </c>
      <c r="AA125" s="16" t="e">
        <f>$K125/$H125</f>
        <v>#DIV/0!</v>
      </c>
      <c r="AB125" s="16">
        <f t="shared" si="32"/>
        <v>0</v>
      </c>
    </row>
    <row r="126" spans="1:28" x14ac:dyDescent="0.2">
      <c r="A126" s="15" t="s">
        <v>1386</v>
      </c>
      <c r="B126" s="15" t="s">
        <v>31</v>
      </c>
      <c r="C126" s="15">
        <v>28</v>
      </c>
      <c r="D126" s="15">
        <v>7</v>
      </c>
      <c r="E126" s="15" t="s">
        <v>1012</v>
      </c>
      <c r="F126" s="15" t="s">
        <v>1365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f t="shared" si="27"/>
        <v>0</v>
      </c>
      <c r="W126" s="15" t="e">
        <f t="shared" si="28"/>
        <v>#DIV/0!</v>
      </c>
      <c r="X126" s="15" t="e">
        <f t="shared" si="29"/>
        <v>#DIV/0!</v>
      </c>
      <c r="Y126" s="15" t="e">
        <f t="shared" si="30"/>
        <v>#DIV/0!</v>
      </c>
      <c r="Z126" s="15" t="e">
        <f t="shared" si="31"/>
        <v>#DIV/0!</v>
      </c>
      <c r="AA126" s="15" t="e">
        <f>$K126/$H126</f>
        <v>#DIV/0!</v>
      </c>
      <c r="AB126" s="15">
        <f t="shared" si="32"/>
        <v>0</v>
      </c>
    </row>
    <row r="127" spans="1:28" x14ac:dyDescent="0.2">
      <c r="A127" s="16" t="s">
        <v>1387</v>
      </c>
      <c r="B127" s="16" t="s">
        <v>31</v>
      </c>
      <c r="C127" s="16">
        <v>23</v>
      </c>
      <c r="D127" s="16">
        <v>0</v>
      </c>
      <c r="E127" s="16" t="s">
        <v>78</v>
      </c>
      <c r="F127" s="16" t="s">
        <v>1365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f t="shared" si="27"/>
        <v>0</v>
      </c>
      <c r="W127" s="16" t="e">
        <f t="shared" si="28"/>
        <v>#DIV/0!</v>
      </c>
      <c r="X127" s="16" t="e">
        <f t="shared" si="29"/>
        <v>#DIV/0!</v>
      </c>
      <c r="Y127" s="16" t="e">
        <f t="shared" si="30"/>
        <v>#DIV/0!</v>
      </c>
      <c r="Z127" s="16" t="e">
        <f t="shared" si="31"/>
        <v>#DIV/0!</v>
      </c>
      <c r="AA127" s="16" t="e">
        <f>$K127/$H127</f>
        <v>#DIV/0!</v>
      </c>
      <c r="AB127" s="16">
        <f t="shared" si="32"/>
        <v>0</v>
      </c>
    </row>
    <row r="128" spans="1:28" x14ac:dyDescent="0.2">
      <c r="A128" s="15" t="s">
        <v>1388</v>
      </c>
      <c r="B128" s="15" t="s">
        <v>31</v>
      </c>
      <c r="C128" s="15">
        <v>22</v>
      </c>
      <c r="D128" s="15">
        <v>2</v>
      </c>
      <c r="E128" s="15" t="s">
        <v>244</v>
      </c>
      <c r="F128" s="15" t="s">
        <v>1365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f t="shared" si="27"/>
        <v>0</v>
      </c>
      <c r="W128" s="15" t="e">
        <f t="shared" si="28"/>
        <v>#DIV/0!</v>
      </c>
      <c r="X128" s="15" t="e">
        <f t="shared" si="29"/>
        <v>#DIV/0!</v>
      </c>
      <c r="Y128" s="15" t="e">
        <f t="shared" si="30"/>
        <v>#DIV/0!</v>
      </c>
      <c r="Z128" s="15" t="e">
        <f t="shared" si="31"/>
        <v>#DIV/0!</v>
      </c>
      <c r="AA128" s="15" t="e">
        <f>$K128/$H128</f>
        <v>#DIV/0!</v>
      </c>
      <c r="AB128" s="15">
        <f t="shared" si="32"/>
        <v>0</v>
      </c>
    </row>
    <row r="129" spans="1:28" x14ac:dyDescent="0.2">
      <c r="A129" s="16" t="s">
        <v>1430</v>
      </c>
      <c r="B129" s="16" t="s">
        <v>31</v>
      </c>
      <c r="C129" s="16">
        <v>24</v>
      </c>
      <c r="D129" s="16">
        <v>1</v>
      </c>
      <c r="E129" s="16" t="s">
        <v>68</v>
      </c>
      <c r="F129" s="16" t="s">
        <v>1413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f t="shared" si="27"/>
        <v>0</v>
      </c>
      <c r="W129" s="16" t="e">
        <f t="shared" si="28"/>
        <v>#DIV/0!</v>
      </c>
      <c r="X129" s="16" t="e">
        <f t="shared" si="29"/>
        <v>#DIV/0!</v>
      </c>
      <c r="Y129" s="16" t="e">
        <f t="shared" si="30"/>
        <v>#DIV/0!</v>
      </c>
      <c r="Z129" s="16" t="e">
        <f t="shared" si="31"/>
        <v>#DIV/0!</v>
      </c>
      <c r="AA129" s="16" t="e">
        <f>$K129/$H129</f>
        <v>#DIV/0!</v>
      </c>
      <c r="AB129" s="16">
        <f t="shared" si="32"/>
        <v>0</v>
      </c>
    </row>
    <row r="130" spans="1:28" x14ac:dyDescent="0.2">
      <c r="A130" s="15" t="s">
        <v>1431</v>
      </c>
      <c r="B130" s="15" t="s">
        <v>31</v>
      </c>
      <c r="C130" s="15">
        <v>24</v>
      </c>
      <c r="D130" s="15">
        <v>3</v>
      </c>
      <c r="E130" s="15" t="s">
        <v>557</v>
      </c>
      <c r="F130" s="15" t="s">
        <v>1413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T130" s="15">
        <v>0</v>
      </c>
      <c r="U130" s="15">
        <v>0</v>
      </c>
      <c r="V130" s="15">
        <f t="shared" si="27"/>
        <v>0</v>
      </c>
      <c r="W130" s="15" t="e">
        <f t="shared" si="28"/>
        <v>#DIV/0!</v>
      </c>
      <c r="X130" s="15" t="e">
        <f t="shared" si="29"/>
        <v>#DIV/0!</v>
      </c>
      <c r="Y130" s="15" t="e">
        <f t="shared" si="30"/>
        <v>#DIV/0!</v>
      </c>
      <c r="Z130" s="15" t="e">
        <f t="shared" si="31"/>
        <v>#DIV/0!</v>
      </c>
      <c r="AA130" s="15" t="e">
        <f>$K130/$H130</f>
        <v>#DIV/0!</v>
      </c>
      <c r="AB130" s="15">
        <f t="shared" si="32"/>
        <v>0</v>
      </c>
    </row>
    <row r="131" spans="1:28" x14ac:dyDescent="0.2">
      <c r="A131" s="16" t="s">
        <v>1432</v>
      </c>
      <c r="B131" s="16" t="s">
        <v>31</v>
      </c>
      <c r="C131" s="16">
        <v>27</v>
      </c>
      <c r="D131" s="16">
        <v>6</v>
      </c>
      <c r="E131" s="16" t="s">
        <v>795</v>
      </c>
      <c r="F131" s="16" t="s">
        <v>1413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f t="shared" si="27"/>
        <v>0</v>
      </c>
      <c r="W131" s="16" t="e">
        <f t="shared" si="28"/>
        <v>#DIV/0!</v>
      </c>
      <c r="X131" s="16" t="e">
        <f t="shared" si="29"/>
        <v>#DIV/0!</v>
      </c>
      <c r="Y131" s="16" t="e">
        <f t="shared" si="30"/>
        <v>#DIV/0!</v>
      </c>
      <c r="Z131" s="16" t="e">
        <f t="shared" si="31"/>
        <v>#DIV/0!</v>
      </c>
      <c r="AA131" s="16" t="e">
        <f>$K131/$H131</f>
        <v>#DIV/0!</v>
      </c>
      <c r="AB131" s="16">
        <f t="shared" si="32"/>
        <v>0</v>
      </c>
    </row>
    <row r="132" spans="1:28" x14ac:dyDescent="0.2">
      <c r="A132" s="15" t="s">
        <v>1433</v>
      </c>
      <c r="B132" s="15" t="s">
        <v>31</v>
      </c>
      <c r="C132" s="15">
        <v>28</v>
      </c>
      <c r="D132" s="15">
        <v>5</v>
      </c>
      <c r="E132" s="15" t="s">
        <v>64</v>
      </c>
      <c r="F132" s="15" t="s">
        <v>1413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f t="shared" si="27"/>
        <v>0</v>
      </c>
      <c r="W132" s="15" t="e">
        <f t="shared" si="28"/>
        <v>#DIV/0!</v>
      </c>
      <c r="X132" s="15" t="e">
        <f t="shared" si="29"/>
        <v>#DIV/0!</v>
      </c>
      <c r="Y132" s="15" t="e">
        <f t="shared" si="30"/>
        <v>#DIV/0!</v>
      </c>
      <c r="Z132" s="15" t="e">
        <f t="shared" si="31"/>
        <v>#DIV/0!</v>
      </c>
      <c r="AA132" s="15" t="e">
        <f>$K132/$H132</f>
        <v>#DIV/0!</v>
      </c>
      <c r="AB132" s="15">
        <f t="shared" si="32"/>
        <v>0</v>
      </c>
    </row>
    <row r="133" spans="1:28" x14ac:dyDescent="0.2">
      <c r="A133" s="16" t="s">
        <v>1434</v>
      </c>
      <c r="B133" s="16" t="s">
        <v>31</v>
      </c>
      <c r="C133" s="16">
        <v>24</v>
      </c>
      <c r="D133" s="16">
        <v>3</v>
      </c>
      <c r="E133" s="16" t="s">
        <v>213</v>
      </c>
      <c r="F133" s="16" t="s">
        <v>1413</v>
      </c>
      <c r="G133" s="16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f t="shared" si="27"/>
        <v>0</v>
      </c>
      <c r="W133" s="16" t="e">
        <f t="shared" si="28"/>
        <v>#DIV/0!</v>
      </c>
      <c r="X133" s="16" t="e">
        <f t="shared" si="29"/>
        <v>#DIV/0!</v>
      </c>
      <c r="Y133" s="16" t="e">
        <f t="shared" si="30"/>
        <v>#DIV/0!</v>
      </c>
      <c r="Z133" s="16" t="e">
        <f t="shared" si="31"/>
        <v>#DIV/0!</v>
      </c>
      <c r="AA133" s="16" t="e">
        <f>$K133/$H133</f>
        <v>#DIV/0!</v>
      </c>
      <c r="AB133" s="16">
        <f t="shared" si="32"/>
        <v>0</v>
      </c>
    </row>
    <row r="134" spans="1:28" x14ac:dyDescent="0.2">
      <c r="A134" s="15" t="s">
        <v>1476</v>
      </c>
      <c r="B134" s="15" t="s">
        <v>31</v>
      </c>
      <c r="C134" s="15">
        <v>25</v>
      </c>
      <c r="D134" s="15">
        <v>2</v>
      </c>
      <c r="E134" s="15" t="s">
        <v>795</v>
      </c>
      <c r="F134" s="15" t="s">
        <v>1457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  <c r="O134" s="15">
        <v>0</v>
      </c>
      <c r="P134" s="15">
        <v>0</v>
      </c>
      <c r="Q134" s="15">
        <v>0</v>
      </c>
      <c r="R134" s="15">
        <v>0</v>
      </c>
      <c r="S134" s="15">
        <v>0</v>
      </c>
      <c r="T134" s="15">
        <v>0</v>
      </c>
      <c r="U134" s="15">
        <v>0</v>
      </c>
      <c r="V134" s="15">
        <f t="shared" si="27"/>
        <v>0</v>
      </c>
      <c r="W134" s="15" t="e">
        <f t="shared" si="28"/>
        <v>#DIV/0!</v>
      </c>
      <c r="X134" s="15" t="e">
        <f t="shared" si="29"/>
        <v>#DIV/0!</v>
      </c>
      <c r="Y134" s="15" t="e">
        <f t="shared" si="30"/>
        <v>#DIV/0!</v>
      </c>
      <c r="Z134" s="15" t="e">
        <f t="shared" si="31"/>
        <v>#DIV/0!</v>
      </c>
      <c r="AA134" s="15" t="e">
        <f>$K134/$H134</f>
        <v>#DIV/0!</v>
      </c>
      <c r="AB134" s="15">
        <f t="shared" si="32"/>
        <v>0</v>
      </c>
    </row>
    <row r="135" spans="1:28" x14ac:dyDescent="0.2">
      <c r="A135" s="16" t="s">
        <v>1477</v>
      </c>
      <c r="B135" s="16" t="s">
        <v>31</v>
      </c>
      <c r="C135" s="16">
        <v>23</v>
      </c>
      <c r="D135" s="16">
        <v>0</v>
      </c>
      <c r="E135" s="16" t="s">
        <v>1478</v>
      </c>
      <c r="F135" s="16" t="s">
        <v>1457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f t="shared" si="27"/>
        <v>0</v>
      </c>
      <c r="W135" s="16" t="e">
        <f t="shared" si="28"/>
        <v>#DIV/0!</v>
      </c>
      <c r="X135" s="16" t="e">
        <f t="shared" si="29"/>
        <v>#DIV/0!</v>
      </c>
      <c r="Y135" s="16" t="e">
        <f t="shared" si="30"/>
        <v>#DIV/0!</v>
      </c>
      <c r="Z135" s="16" t="e">
        <f t="shared" si="31"/>
        <v>#DIV/0!</v>
      </c>
      <c r="AA135" s="16" t="e">
        <f>$K135/$H135</f>
        <v>#DIV/0!</v>
      </c>
      <c r="AB135" s="16">
        <f t="shared" si="32"/>
        <v>0</v>
      </c>
    </row>
    <row r="136" spans="1:28" x14ac:dyDescent="0.2">
      <c r="A136" s="15" t="s">
        <v>1479</v>
      </c>
      <c r="B136" s="15" t="s">
        <v>31</v>
      </c>
      <c r="C136" s="15">
        <v>24</v>
      </c>
      <c r="D136" s="15">
        <v>0</v>
      </c>
      <c r="E136" s="15" t="s">
        <v>1480</v>
      </c>
      <c r="F136" s="15" t="s">
        <v>1457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T136" s="15">
        <v>0</v>
      </c>
      <c r="U136" s="15">
        <v>0</v>
      </c>
      <c r="V136" s="15">
        <f t="shared" si="27"/>
        <v>0</v>
      </c>
      <c r="W136" s="15" t="e">
        <f t="shared" si="28"/>
        <v>#DIV/0!</v>
      </c>
      <c r="X136" s="15" t="e">
        <f t="shared" si="29"/>
        <v>#DIV/0!</v>
      </c>
      <c r="Y136" s="15" t="e">
        <f t="shared" si="30"/>
        <v>#DIV/0!</v>
      </c>
      <c r="Z136" s="15" t="e">
        <f t="shared" si="31"/>
        <v>#DIV/0!</v>
      </c>
      <c r="AA136" s="15" t="e">
        <f>$K136/$H136</f>
        <v>#DIV/0!</v>
      </c>
      <c r="AB136" s="15">
        <f t="shared" si="32"/>
        <v>0</v>
      </c>
    </row>
    <row r="137" spans="1:28" x14ac:dyDescent="0.2">
      <c r="A137" s="16" t="s">
        <v>1481</v>
      </c>
      <c r="B137" s="16" t="s">
        <v>31</v>
      </c>
      <c r="C137" s="16">
        <v>25</v>
      </c>
      <c r="D137" s="16">
        <v>3</v>
      </c>
      <c r="E137" s="16" t="s">
        <v>153</v>
      </c>
      <c r="F137" s="16" t="s">
        <v>1457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f t="shared" si="27"/>
        <v>0</v>
      </c>
      <c r="W137" s="16" t="e">
        <f t="shared" si="28"/>
        <v>#DIV/0!</v>
      </c>
      <c r="X137" s="16" t="e">
        <f t="shared" si="29"/>
        <v>#DIV/0!</v>
      </c>
      <c r="Y137" s="16" t="e">
        <f t="shared" si="30"/>
        <v>#DIV/0!</v>
      </c>
      <c r="Z137" s="16" t="e">
        <f t="shared" si="31"/>
        <v>#DIV/0!</v>
      </c>
      <c r="AA137" s="16" t="e">
        <f>$K137/$H137</f>
        <v>#DIV/0!</v>
      </c>
      <c r="AB137" s="16">
        <f t="shared" si="32"/>
        <v>0</v>
      </c>
    </row>
    <row r="138" spans="1:28" x14ac:dyDescent="0.2">
      <c r="A138" s="15" t="s">
        <v>1482</v>
      </c>
      <c r="B138" s="15" t="s">
        <v>31</v>
      </c>
      <c r="C138" s="15">
        <v>24</v>
      </c>
      <c r="D138" s="15">
        <v>3</v>
      </c>
      <c r="E138" s="15" t="s">
        <v>232</v>
      </c>
      <c r="F138" s="15" t="s">
        <v>1457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T138" s="15">
        <v>0</v>
      </c>
      <c r="U138" s="15">
        <v>0</v>
      </c>
      <c r="V138" s="15">
        <f t="shared" si="27"/>
        <v>0</v>
      </c>
      <c r="W138" s="15" t="e">
        <f t="shared" si="28"/>
        <v>#DIV/0!</v>
      </c>
      <c r="X138" s="15" t="e">
        <f t="shared" si="29"/>
        <v>#DIV/0!</v>
      </c>
      <c r="Y138" s="15" t="e">
        <f t="shared" si="30"/>
        <v>#DIV/0!</v>
      </c>
      <c r="Z138" s="15" t="e">
        <f t="shared" si="31"/>
        <v>#DIV/0!</v>
      </c>
      <c r="AA138" s="15" t="e">
        <f>$K138/$H138</f>
        <v>#DIV/0!</v>
      </c>
      <c r="AB138" s="15">
        <f t="shared" si="32"/>
        <v>0</v>
      </c>
    </row>
    <row r="139" spans="1:28" x14ac:dyDescent="0.2">
      <c r="A139" s="16" t="s">
        <v>1483</v>
      </c>
      <c r="B139" s="16" t="s">
        <v>31</v>
      </c>
      <c r="C139" s="16">
        <v>25</v>
      </c>
      <c r="D139" s="16">
        <v>0</v>
      </c>
      <c r="E139" s="16" t="s">
        <v>155</v>
      </c>
      <c r="F139" s="16" t="s">
        <v>1457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f t="shared" si="27"/>
        <v>0</v>
      </c>
      <c r="W139" s="16" t="e">
        <f t="shared" si="28"/>
        <v>#DIV/0!</v>
      </c>
      <c r="X139" s="16" t="e">
        <f t="shared" si="29"/>
        <v>#DIV/0!</v>
      </c>
      <c r="Y139" s="16" t="e">
        <f t="shared" si="30"/>
        <v>#DIV/0!</v>
      </c>
      <c r="Z139" s="16" t="e">
        <f t="shared" si="31"/>
        <v>#DIV/0!</v>
      </c>
      <c r="AA139" s="16" t="e">
        <f>$K139/$H139</f>
        <v>#DIV/0!</v>
      </c>
      <c r="AB139" s="16">
        <f t="shared" si="32"/>
        <v>0</v>
      </c>
    </row>
    <row r="140" spans="1:28" x14ac:dyDescent="0.2">
      <c r="A140" s="15" t="s">
        <v>1524</v>
      </c>
      <c r="B140" s="15" t="s">
        <v>31</v>
      </c>
      <c r="C140" s="15">
        <v>22</v>
      </c>
      <c r="D140" s="15">
        <v>0</v>
      </c>
      <c r="E140" s="15" t="s">
        <v>418</v>
      </c>
      <c r="F140" s="15" t="s">
        <v>1503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  <c r="O140" s="15">
        <v>0</v>
      </c>
      <c r="P140" s="15">
        <v>0</v>
      </c>
      <c r="Q140" s="15">
        <v>0</v>
      </c>
      <c r="R140" s="15">
        <v>0</v>
      </c>
      <c r="S140" s="15">
        <v>0</v>
      </c>
      <c r="T140" s="15">
        <v>0</v>
      </c>
      <c r="U140" s="15">
        <v>0</v>
      </c>
      <c r="V140" s="15">
        <f t="shared" si="27"/>
        <v>0</v>
      </c>
      <c r="W140" s="15" t="e">
        <f t="shared" si="28"/>
        <v>#DIV/0!</v>
      </c>
      <c r="X140" s="15" t="e">
        <f t="shared" si="29"/>
        <v>#DIV/0!</v>
      </c>
      <c r="Y140" s="15" t="e">
        <f t="shared" si="30"/>
        <v>#DIV/0!</v>
      </c>
      <c r="Z140" s="15" t="e">
        <f t="shared" si="31"/>
        <v>#DIV/0!</v>
      </c>
      <c r="AA140" s="15" t="e">
        <f>$K140/$H140</f>
        <v>#DIV/0!</v>
      </c>
      <c r="AB140" s="15">
        <f t="shared" si="32"/>
        <v>0</v>
      </c>
    </row>
    <row r="141" spans="1:28" x14ac:dyDescent="0.2">
      <c r="A141" s="16" t="s">
        <v>1525</v>
      </c>
      <c r="B141" s="16" t="s">
        <v>31</v>
      </c>
      <c r="C141" s="16">
        <v>24</v>
      </c>
      <c r="D141" s="16">
        <v>4</v>
      </c>
      <c r="E141" s="16" t="s">
        <v>397</v>
      </c>
      <c r="F141" s="16" t="s">
        <v>1503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f t="shared" si="27"/>
        <v>0</v>
      </c>
      <c r="W141" s="16" t="e">
        <f t="shared" si="28"/>
        <v>#DIV/0!</v>
      </c>
      <c r="X141" s="16" t="e">
        <f t="shared" si="29"/>
        <v>#DIV/0!</v>
      </c>
      <c r="Y141" s="16" t="e">
        <f t="shared" si="30"/>
        <v>#DIV/0!</v>
      </c>
      <c r="Z141" s="16" t="e">
        <f t="shared" si="31"/>
        <v>#DIV/0!</v>
      </c>
      <c r="AA141" s="16" t="e">
        <f>$K141/$H141</f>
        <v>#DIV/0!</v>
      </c>
      <c r="AB141" s="16">
        <f t="shared" si="32"/>
        <v>0</v>
      </c>
    </row>
    <row r="142" spans="1:28" x14ac:dyDescent="0.2">
      <c r="A142" s="15" t="s">
        <v>1526</v>
      </c>
      <c r="B142" s="15" t="s">
        <v>31</v>
      </c>
      <c r="C142" s="15">
        <v>25</v>
      </c>
      <c r="D142" s="15">
        <v>1</v>
      </c>
      <c r="E142" s="15" t="s">
        <v>138</v>
      </c>
      <c r="F142" s="15" t="s">
        <v>1503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T142" s="15">
        <v>0</v>
      </c>
      <c r="U142" s="15">
        <v>0</v>
      </c>
      <c r="V142" s="15">
        <f t="shared" si="27"/>
        <v>0</v>
      </c>
      <c r="W142" s="15" t="e">
        <f t="shared" si="28"/>
        <v>#DIV/0!</v>
      </c>
      <c r="X142" s="15" t="e">
        <f t="shared" si="29"/>
        <v>#DIV/0!</v>
      </c>
      <c r="Y142" s="15" t="e">
        <f t="shared" si="30"/>
        <v>#DIV/0!</v>
      </c>
      <c r="Z142" s="15" t="e">
        <f t="shared" si="31"/>
        <v>#DIV/0!</v>
      </c>
      <c r="AA142" s="15" t="e">
        <f>$K142/$H142</f>
        <v>#DIV/0!</v>
      </c>
      <c r="AB142" s="15">
        <f t="shared" si="32"/>
        <v>0</v>
      </c>
    </row>
    <row r="143" spans="1:28" x14ac:dyDescent="0.2">
      <c r="A143" s="16" t="s">
        <v>1527</v>
      </c>
      <c r="B143" s="16" t="s">
        <v>31</v>
      </c>
      <c r="C143" s="16">
        <v>23</v>
      </c>
      <c r="D143" s="16">
        <v>0</v>
      </c>
      <c r="E143" s="16" t="s">
        <v>173</v>
      </c>
      <c r="F143" s="16" t="s">
        <v>1503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f t="shared" si="27"/>
        <v>0</v>
      </c>
      <c r="W143" s="16" t="e">
        <f t="shared" si="28"/>
        <v>#DIV/0!</v>
      </c>
      <c r="X143" s="16" t="e">
        <f t="shared" si="29"/>
        <v>#DIV/0!</v>
      </c>
      <c r="Y143" s="16" t="e">
        <f t="shared" si="30"/>
        <v>#DIV/0!</v>
      </c>
      <c r="Z143" s="16" t="e">
        <f t="shared" si="31"/>
        <v>#DIV/0!</v>
      </c>
      <c r="AA143" s="16" t="e">
        <f>$K143/$H143</f>
        <v>#DIV/0!</v>
      </c>
      <c r="AB143" s="16">
        <f t="shared" si="32"/>
        <v>0</v>
      </c>
    </row>
    <row r="144" spans="1:28" x14ac:dyDescent="0.2">
      <c r="A144" s="15" t="s">
        <v>1528</v>
      </c>
      <c r="B144" s="15" t="s">
        <v>31</v>
      </c>
      <c r="C144" s="15">
        <v>25</v>
      </c>
      <c r="D144" s="15">
        <v>0</v>
      </c>
      <c r="E144" s="15" t="s">
        <v>86</v>
      </c>
      <c r="F144" s="15" t="s">
        <v>1503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T144" s="15">
        <v>0</v>
      </c>
      <c r="U144" s="15">
        <v>0</v>
      </c>
      <c r="V144" s="15">
        <f t="shared" si="27"/>
        <v>0</v>
      </c>
      <c r="W144" s="15" t="e">
        <f t="shared" si="28"/>
        <v>#DIV/0!</v>
      </c>
      <c r="X144" s="15" t="e">
        <f t="shared" si="29"/>
        <v>#DIV/0!</v>
      </c>
      <c r="Y144" s="15" t="e">
        <f t="shared" si="30"/>
        <v>#DIV/0!</v>
      </c>
      <c r="Z144" s="15" t="e">
        <f t="shared" si="31"/>
        <v>#DIV/0!</v>
      </c>
      <c r="AA144" s="15" t="e">
        <f>$K144/$H144</f>
        <v>#DIV/0!</v>
      </c>
      <c r="AB144" s="15">
        <f t="shared" si="32"/>
        <v>0</v>
      </c>
    </row>
    <row r="145" spans="1:28" x14ac:dyDescent="0.2">
      <c r="A145" s="16" t="s">
        <v>1529</v>
      </c>
      <c r="B145" s="16" t="s">
        <v>31</v>
      </c>
      <c r="C145" s="16">
        <v>23</v>
      </c>
      <c r="D145" s="16">
        <v>1</v>
      </c>
      <c r="E145" s="16" t="s">
        <v>511</v>
      </c>
      <c r="F145" s="16" t="s">
        <v>1503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f t="shared" si="27"/>
        <v>0</v>
      </c>
      <c r="W145" s="16" t="e">
        <f t="shared" si="28"/>
        <v>#DIV/0!</v>
      </c>
      <c r="X145" s="16" t="e">
        <f t="shared" si="29"/>
        <v>#DIV/0!</v>
      </c>
      <c r="Y145" s="16" t="e">
        <f t="shared" si="30"/>
        <v>#DIV/0!</v>
      </c>
      <c r="Z145" s="16" t="e">
        <f t="shared" si="31"/>
        <v>#DIV/0!</v>
      </c>
      <c r="AA145" s="16" t="e">
        <f>$K145/$H145</f>
        <v>#DIV/0!</v>
      </c>
      <c r="AB145" s="16">
        <f t="shared" si="32"/>
        <v>0</v>
      </c>
    </row>
    <row r="146" spans="1:28" x14ac:dyDescent="0.2">
      <c r="A146" s="15" t="s">
        <v>1573</v>
      </c>
      <c r="B146" s="15" t="s">
        <v>31</v>
      </c>
      <c r="C146" s="15">
        <v>22</v>
      </c>
      <c r="D146" s="15">
        <v>2</v>
      </c>
      <c r="E146" s="15" t="s">
        <v>227</v>
      </c>
      <c r="F146" s="15" t="s">
        <v>1552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  <c r="O146" s="15">
        <v>0</v>
      </c>
      <c r="P146" s="15">
        <v>0</v>
      </c>
      <c r="Q146" s="15">
        <v>0</v>
      </c>
      <c r="R146" s="15">
        <v>0</v>
      </c>
      <c r="S146" s="15">
        <v>0</v>
      </c>
      <c r="T146" s="15">
        <v>0</v>
      </c>
      <c r="U146" s="15">
        <v>0</v>
      </c>
      <c r="V146" s="15">
        <f t="shared" si="27"/>
        <v>0</v>
      </c>
      <c r="W146" s="15" t="e">
        <f t="shared" si="28"/>
        <v>#DIV/0!</v>
      </c>
      <c r="X146" s="15" t="e">
        <f t="shared" si="29"/>
        <v>#DIV/0!</v>
      </c>
      <c r="Y146" s="15" t="e">
        <f t="shared" si="30"/>
        <v>#DIV/0!</v>
      </c>
      <c r="Z146" s="15" t="e">
        <f t="shared" si="31"/>
        <v>#DIV/0!</v>
      </c>
      <c r="AA146" s="15" t="e">
        <f>$K146/$H146</f>
        <v>#DIV/0!</v>
      </c>
      <c r="AB146" s="15">
        <f t="shared" si="32"/>
        <v>0</v>
      </c>
    </row>
    <row r="147" spans="1:28" x14ac:dyDescent="0.2">
      <c r="A147" s="16" t="s">
        <v>1574</v>
      </c>
      <c r="B147" s="16" t="s">
        <v>31</v>
      </c>
      <c r="C147" s="16">
        <v>24</v>
      </c>
      <c r="D147" s="16">
        <v>0</v>
      </c>
      <c r="E147" s="16" t="s">
        <v>1575</v>
      </c>
      <c r="F147" s="16" t="s">
        <v>1552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f t="shared" si="27"/>
        <v>0</v>
      </c>
      <c r="W147" s="16" t="e">
        <f t="shared" si="28"/>
        <v>#DIV/0!</v>
      </c>
      <c r="X147" s="16" t="e">
        <f t="shared" si="29"/>
        <v>#DIV/0!</v>
      </c>
      <c r="Y147" s="16" t="e">
        <f t="shared" si="30"/>
        <v>#DIV/0!</v>
      </c>
      <c r="Z147" s="16" t="e">
        <f t="shared" si="31"/>
        <v>#DIV/0!</v>
      </c>
      <c r="AA147" s="16" t="e">
        <f>$K147/$H147</f>
        <v>#DIV/0!</v>
      </c>
      <c r="AB147" s="16">
        <f t="shared" si="32"/>
        <v>0</v>
      </c>
    </row>
    <row r="148" spans="1:28" x14ac:dyDescent="0.2">
      <c r="A148" s="15" t="s">
        <v>1576</v>
      </c>
      <c r="B148" s="15" t="s">
        <v>31</v>
      </c>
      <c r="C148" s="15">
        <v>24</v>
      </c>
      <c r="D148" s="15">
        <v>2</v>
      </c>
      <c r="E148" s="15" t="s">
        <v>455</v>
      </c>
      <c r="F148" s="15" t="s">
        <v>1552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f t="shared" si="27"/>
        <v>0</v>
      </c>
      <c r="W148" s="15" t="e">
        <f t="shared" si="28"/>
        <v>#DIV/0!</v>
      </c>
      <c r="X148" s="15" t="e">
        <f t="shared" si="29"/>
        <v>#DIV/0!</v>
      </c>
      <c r="Y148" s="15" t="e">
        <f t="shared" si="30"/>
        <v>#DIV/0!</v>
      </c>
      <c r="Z148" s="15" t="e">
        <f t="shared" si="31"/>
        <v>#DIV/0!</v>
      </c>
      <c r="AA148" s="15" t="e">
        <f>$K148/$H148</f>
        <v>#DIV/0!</v>
      </c>
      <c r="AB148" s="15">
        <f t="shared" si="32"/>
        <v>0</v>
      </c>
    </row>
    <row r="149" spans="1:28" x14ac:dyDescent="0.2">
      <c r="A149" s="16" t="s">
        <v>1577</v>
      </c>
      <c r="B149" s="16" t="s">
        <v>31</v>
      </c>
      <c r="C149" s="16">
        <v>27</v>
      </c>
      <c r="D149" s="16">
        <v>7</v>
      </c>
      <c r="E149" s="16" t="s">
        <v>102</v>
      </c>
      <c r="F149" s="16" t="s">
        <v>1552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f t="shared" si="27"/>
        <v>0</v>
      </c>
      <c r="W149" s="16" t="e">
        <f t="shared" si="28"/>
        <v>#DIV/0!</v>
      </c>
      <c r="X149" s="16" t="e">
        <f t="shared" si="29"/>
        <v>#DIV/0!</v>
      </c>
      <c r="Y149" s="16" t="e">
        <f t="shared" si="30"/>
        <v>#DIV/0!</v>
      </c>
      <c r="Z149" s="16" t="e">
        <f t="shared" si="31"/>
        <v>#DIV/0!</v>
      </c>
      <c r="AA149" s="16" t="e">
        <f>$K149/$H149</f>
        <v>#DIV/0!</v>
      </c>
      <c r="AB149" s="16">
        <f t="shared" si="32"/>
        <v>0</v>
      </c>
    </row>
    <row r="150" spans="1:28" x14ac:dyDescent="0.2">
      <c r="A150" s="15" t="s">
        <v>1578</v>
      </c>
      <c r="B150" s="15" t="s">
        <v>31</v>
      </c>
      <c r="C150" s="15">
        <v>27</v>
      </c>
      <c r="D150" s="15">
        <v>4</v>
      </c>
      <c r="E150" s="15" t="s">
        <v>296</v>
      </c>
      <c r="F150" s="15" t="s">
        <v>1552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f t="shared" si="27"/>
        <v>0</v>
      </c>
      <c r="W150" s="15" t="e">
        <f t="shared" si="28"/>
        <v>#DIV/0!</v>
      </c>
      <c r="X150" s="15" t="e">
        <f t="shared" si="29"/>
        <v>#DIV/0!</v>
      </c>
      <c r="Y150" s="15" t="e">
        <f t="shared" si="30"/>
        <v>#DIV/0!</v>
      </c>
      <c r="Z150" s="15" t="e">
        <f t="shared" si="31"/>
        <v>#DIV/0!</v>
      </c>
      <c r="AA150" s="15" t="e">
        <f>$K150/$H150</f>
        <v>#DIV/0!</v>
      </c>
      <c r="AB150" s="15">
        <f t="shared" si="32"/>
        <v>0</v>
      </c>
    </row>
    <row r="151" spans="1:28" x14ac:dyDescent="0.2">
      <c r="A151" s="16" t="s">
        <v>1621</v>
      </c>
      <c r="B151" s="16" t="s">
        <v>31</v>
      </c>
      <c r="C151" s="16">
        <v>23</v>
      </c>
      <c r="D151" s="16">
        <v>0</v>
      </c>
      <c r="E151" s="16" t="s">
        <v>93</v>
      </c>
      <c r="F151" s="16" t="s">
        <v>1599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0</v>
      </c>
      <c r="V151" s="16">
        <f t="shared" si="27"/>
        <v>0</v>
      </c>
      <c r="W151" s="16" t="e">
        <f t="shared" si="28"/>
        <v>#DIV/0!</v>
      </c>
      <c r="X151" s="16" t="e">
        <f t="shared" si="29"/>
        <v>#DIV/0!</v>
      </c>
      <c r="Y151" s="16" t="e">
        <f t="shared" si="30"/>
        <v>#DIV/0!</v>
      </c>
      <c r="Z151" s="16" t="e">
        <f t="shared" si="31"/>
        <v>#DIV/0!</v>
      </c>
      <c r="AA151" s="16" t="e">
        <f>$K151/$H151</f>
        <v>#DIV/0!</v>
      </c>
      <c r="AB151" s="16">
        <f t="shared" si="32"/>
        <v>0</v>
      </c>
    </row>
    <row r="152" spans="1:28" x14ac:dyDescent="0.2">
      <c r="A152" s="15" t="s">
        <v>1622</v>
      </c>
      <c r="B152" s="15" t="s">
        <v>31</v>
      </c>
      <c r="C152" s="15">
        <v>27</v>
      </c>
      <c r="D152" s="15">
        <v>6</v>
      </c>
      <c r="E152" s="15" t="s">
        <v>1623</v>
      </c>
      <c r="F152" s="15" t="s">
        <v>1599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  <c r="O152" s="15">
        <v>0</v>
      </c>
      <c r="P152" s="15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v>0</v>
      </c>
      <c r="V152" s="15">
        <f t="shared" si="27"/>
        <v>0</v>
      </c>
      <c r="W152" s="15" t="e">
        <f t="shared" si="28"/>
        <v>#DIV/0!</v>
      </c>
      <c r="X152" s="15" t="e">
        <f t="shared" si="29"/>
        <v>#DIV/0!</v>
      </c>
      <c r="Y152" s="15" t="e">
        <f t="shared" si="30"/>
        <v>#DIV/0!</v>
      </c>
      <c r="Z152" s="15" t="e">
        <f t="shared" si="31"/>
        <v>#DIV/0!</v>
      </c>
      <c r="AA152" s="15" t="e">
        <f>$K152/$H152</f>
        <v>#DIV/0!</v>
      </c>
      <c r="AB152" s="15">
        <f t="shared" si="32"/>
        <v>0</v>
      </c>
    </row>
    <row r="153" spans="1:28" x14ac:dyDescent="0.2">
      <c r="A153" s="16" t="s">
        <v>1624</v>
      </c>
      <c r="B153" s="16" t="s">
        <v>31</v>
      </c>
      <c r="C153" s="16">
        <v>28</v>
      </c>
      <c r="D153" s="16">
        <v>4</v>
      </c>
      <c r="E153" s="16" t="s">
        <v>666</v>
      </c>
      <c r="F153" s="16" t="s">
        <v>1599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f t="shared" si="27"/>
        <v>0</v>
      </c>
      <c r="W153" s="16" t="e">
        <f t="shared" si="28"/>
        <v>#DIV/0!</v>
      </c>
      <c r="X153" s="16" t="e">
        <f t="shared" si="29"/>
        <v>#DIV/0!</v>
      </c>
      <c r="Y153" s="16" t="e">
        <f t="shared" si="30"/>
        <v>#DIV/0!</v>
      </c>
      <c r="Z153" s="16" t="e">
        <f t="shared" si="31"/>
        <v>#DIV/0!</v>
      </c>
      <c r="AA153" s="16" t="e">
        <f>$K153/$H153</f>
        <v>#DIV/0!</v>
      </c>
      <c r="AB153" s="16">
        <f t="shared" si="32"/>
        <v>0</v>
      </c>
    </row>
    <row r="154" spans="1:28" x14ac:dyDescent="0.2">
      <c r="A154" s="15" t="s">
        <v>1625</v>
      </c>
      <c r="B154" s="15" t="s">
        <v>31</v>
      </c>
      <c r="C154" s="15">
        <v>21</v>
      </c>
      <c r="D154" s="15">
        <v>0</v>
      </c>
      <c r="E154" s="15" t="s">
        <v>1206</v>
      </c>
      <c r="F154" s="15" t="s">
        <v>1599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T154" s="15">
        <v>0</v>
      </c>
      <c r="U154" s="15">
        <v>0</v>
      </c>
      <c r="V154" s="15">
        <f t="shared" ref="V154:V167" si="33">($J154*0.04)+($K154*4)+($L154*-2)+($N154*0.1)+($O154*6)+($Q154)+($R154*0.1)+($S154*6)+($T154*-2)</f>
        <v>0</v>
      </c>
      <c r="W154" s="15" t="e">
        <f t="shared" ref="W154:W167" si="34">$P154/$H$33</f>
        <v>#DIV/0!</v>
      </c>
      <c r="X154" s="15" t="e">
        <f t="shared" ref="X154:X167" si="35">$N154/$M154</f>
        <v>#DIV/0!</v>
      </c>
      <c r="Y154" s="15" t="e">
        <f t="shared" ref="Y154:Y167" si="36">$R154/$Q154</f>
        <v>#DIV/0!</v>
      </c>
      <c r="Z154" s="15" t="e">
        <f t="shared" ref="Z154:Z167" si="37">$I154/$H154</f>
        <v>#DIV/0!</v>
      </c>
      <c r="AA154" s="15" t="e">
        <f>$K154/$H154</f>
        <v>#DIV/0!</v>
      </c>
      <c r="AB154" s="15">
        <f t="shared" ref="AB154:AB167" si="38">($J154*Cp_yd)+($K154*Cp_td)+($L154*Cint)+($M154*Ccar)+($N154*Cr_yd)+($O154*Cr_td)+(Q154*Crec)+($R154*Crec_yd)+($S154*Crec_td)+($T154*Cfmb)+($U154*Ctp_c)</f>
        <v>0</v>
      </c>
    </row>
    <row r="155" spans="1:28" x14ac:dyDescent="0.2">
      <c r="A155" s="16" t="s">
        <v>1626</v>
      </c>
      <c r="B155" s="16" t="s">
        <v>31</v>
      </c>
      <c r="C155" s="16">
        <v>26</v>
      </c>
      <c r="D155" s="16">
        <v>4</v>
      </c>
      <c r="E155" s="16" t="s">
        <v>300</v>
      </c>
      <c r="F155" s="16" t="s">
        <v>1599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0</v>
      </c>
      <c r="V155" s="16">
        <f t="shared" si="33"/>
        <v>0</v>
      </c>
      <c r="W155" s="16" t="e">
        <f t="shared" si="34"/>
        <v>#DIV/0!</v>
      </c>
      <c r="X155" s="16" t="e">
        <f t="shared" si="35"/>
        <v>#DIV/0!</v>
      </c>
      <c r="Y155" s="16" t="e">
        <f t="shared" si="36"/>
        <v>#DIV/0!</v>
      </c>
      <c r="Z155" s="16" t="e">
        <f t="shared" si="37"/>
        <v>#DIV/0!</v>
      </c>
      <c r="AA155" s="16" t="e">
        <f>$K155/$H155</f>
        <v>#DIV/0!</v>
      </c>
      <c r="AB155" s="16">
        <f t="shared" si="38"/>
        <v>0</v>
      </c>
    </row>
    <row r="156" spans="1:28" x14ac:dyDescent="0.2">
      <c r="A156" s="15" t="s">
        <v>1671</v>
      </c>
      <c r="B156" s="15" t="s">
        <v>31</v>
      </c>
      <c r="C156" s="15">
        <v>22</v>
      </c>
      <c r="D156" s="15">
        <v>0</v>
      </c>
      <c r="E156" s="15" t="s">
        <v>1672</v>
      </c>
      <c r="F156" s="15" t="s">
        <v>1648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T156" s="15">
        <v>0</v>
      </c>
      <c r="U156" s="15">
        <v>0</v>
      </c>
      <c r="V156" s="15">
        <f t="shared" si="33"/>
        <v>0</v>
      </c>
      <c r="W156" s="15" t="e">
        <f t="shared" si="34"/>
        <v>#DIV/0!</v>
      </c>
      <c r="X156" s="15" t="e">
        <f t="shared" si="35"/>
        <v>#DIV/0!</v>
      </c>
      <c r="Y156" s="15" t="e">
        <f t="shared" si="36"/>
        <v>#DIV/0!</v>
      </c>
      <c r="Z156" s="15" t="e">
        <f t="shared" si="37"/>
        <v>#DIV/0!</v>
      </c>
      <c r="AA156" s="15" t="e">
        <f>$K156/$H156</f>
        <v>#DIV/0!</v>
      </c>
      <c r="AB156" s="15">
        <f t="shared" si="38"/>
        <v>0</v>
      </c>
    </row>
    <row r="157" spans="1:28" x14ac:dyDescent="0.2">
      <c r="A157" s="16" t="s">
        <v>1673</v>
      </c>
      <c r="B157" s="16" t="s">
        <v>31</v>
      </c>
      <c r="C157" s="16">
        <v>23</v>
      </c>
      <c r="D157" s="16">
        <v>2</v>
      </c>
      <c r="E157" s="16" t="s">
        <v>105</v>
      </c>
      <c r="F157" s="16" t="s">
        <v>1648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0</v>
      </c>
      <c r="V157" s="16">
        <f t="shared" si="33"/>
        <v>0</v>
      </c>
      <c r="W157" s="16" t="e">
        <f t="shared" si="34"/>
        <v>#DIV/0!</v>
      </c>
      <c r="X157" s="16" t="e">
        <f t="shared" si="35"/>
        <v>#DIV/0!</v>
      </c>
      <c r="Y157" s="16" t="e">
        <f t="shared" si="36"/>
        <v>#DIV/0!</v>
      </c>
      <c r="Z157" s="16" t="e">
        <f t="shared" si="37"/>
        <v>#DIV/0!</v>
      </c>
      <c r="AA157" s="16" t="e">
        <f>$K157/$H157</f>
        <v>#DIV/0!</v>
      </c>
      <c r="AB157" s="16">
        <f t="shared" si="38"/>
        <v>0</v>
      </c>
    </row>
    <row r="158" spans="1:28" x14ac:dyDescent="0.2">
      <c r="A158" s="15" t="s">
        <v>1674</v>
      </c>
      <c r="B158" s="15" t="s">
        <v>31</v>
      </c>
      <c r="C158" s="15">
        <v>29</v>
      </c>
      <c r="D158" s="15">
        <v>8</v>
      </c>
      <c r="E158" s="15" t="s">
        <v>153</v>
      </c>
      <c r="F158" s="15" t="s">
        <v>1648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  <c r="O158" s="15">
        <v>0</v>
      </c>
      <c r="P158" s="15">
        <v>0</v>
      </c>
      <c r="Q158" s="15">
        <v>0</v>
      </c>
      <c r="R158" s="15">
        <v>0</v>
      </c>
      <c r="S158" s="15">
        <v>0</v>
      </c>
      <c r="T158" s="15">
        <v>0</v>
      </c>
      <c r="U158" s="15">
        <v>0</v>
      </c>
      <c r="V158" s="15">
        <f t="shared" si="33"/>
        <v>0</v>
      </c>
      <c r="W158" s="15" t="e">
        <f t="shared" si="34"/>
        <v>#DIV/0!</v>
      </c>
      <c r="X158" s="15" t="e">
        <f t="shared" si="35"/>
        <v>#DIV/0!</v>
      </c>
      <c r="Y158" s="15" t="e">
        <f t="shared" si="36"/>
        <v>#DIV/0!</v>
      </c>
      <c r="Z158" s="15" t="e">
        <f t="shared" si="37"/>
        <v>#DIV/0!</v>
      </c>
      <c r="AA158" s="15" t="e">
        <f>$K158/$H158</f>
        <v>#DIV/0!</v>
      </c>
      <c r="AB158" s="15">
        <f t="shared" si="38"/>
        <v>0</v>
      </c>
    </row>
    <row r="159" spans="1:28" x14ac:dyDescent="0.2">
      <c r="A159" s="16" t="s">
        <v>1675</v>
      </c>
      <c r="B159" s="16" t="s">
        <v>31</v>
      </c>
      <c r="C159" s="16">
        <v>26</v>
      </c>
      <c r="D159" s="16">
        <v>1</v>
      </c>
      <c r="E159" s="16" t="s">
        <v>1012</v>
      </c>
      <c r="F159" s="16" t="s">
        <v>1648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0</v>
      </c>
      <c r="V159" s="16">
        <f t="shared" si="33"/>
        <v>0</v>
      </c>
      <c r="W159" s="16" t="e">
        <f t="shared" si="34"/>
        <v>#DIV/0!</v>
      </c>
      <c r="X159" s="16" t="e">
        <f t="shared" si="35"/>
        <v>#DIV/0!</v>
      </c>
      <c r="Y159" s="16" t="e">
        <f t="shared" si="36"/>
        <v>#DIV/0!</v>
      </c>
      <c r="Z159" s="16" t="e">
        <f t="shared" si="37"/>
        <v>#DIV/0!</v>
      </c>
      <c r="AA159" s="16" t="e">
        <f>$K159/$H159</f>
        <v>#DIV/0!</v>
      </c>
      <c r="AB159" s="16">
        <f t="shared" si="38"/>
        <v>0</v>
      </c>
    </row>
    <row r="160" spans="1:28" x14ac:dyDescent="0.2">
      <c r="A160" s="15" t="s">
        <v>1676</v>
      </c>
      <c r="B160" s="15" t="s">
        <v>31</v>
      </c>
      <c r="C160" s="15">
        <v>22</v>
      </c>
      <c r="D160" s="15">
        <v>0</v>
      </c>
      <c r="E160" s="15" t="s">
        <v>405</v>
      </c>
      <c r="F160" s="15" t="s">
        <v>1648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T160" s="15">
        <v>0</v>
      </c>
      <c r="U160" s="15">
        <v>0</v>
      </c>
      <c r="V160" s="15">
        <f t="shared" si="33"/>
        <v>0</v>
      </c>
      <c r="W160" s="15" t="e">
        <f t="shared" si="34"/>
        <v>#DIV/0!</v>
      </c>
      <c r="X160" s="15" t="e">
        <f t="shared" si="35"/>
        <v>#DIV/0!</v>
      </c>
      <c r="Y160" s="15" t="e">
        <f t="shared" si="36"/>
        <v>#DIV/0!</v>
      </c>
      <c r="Z160" s="15" t="e">
        <f t="shared" si="37"/>
        <v>#DIV/0!</v>
      </c>
      <c r="AA160" s="15" t="e">
        <f>$K160/$H160</f>
        <v>#DIV/0!</v>
      </c>
      <c r="AB160" s="15">
        <f t="shared" si="38"/>
        <v>0</v>
      </c>
    </row>
    <row r="161" spans="1:28" x14ac:dyDescent="0.2">
      <c r="A161" s="16" t="s">
        <v>1720</v>
      </c>
      <c r="B161" s="16" t="s">
        <v>31</v>
      </c>
      <c r="C161" s="16">
        <v>29</v>
      </c>
      <c r="D161" s="16">
        <v>5</v>
      </c>
      <c r="E161" s="16" t="s">
        <v>1721</v>
      </c>
      <c r="F161" s="16" t="s">
        <v>1699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0</v>
      </c>
      <c r="V161" s="16">
        <f t="shared" si="33"/>
        <v>0</v>
      </c>
      <c r="W161" s="16" t="e">
        <f t="shared" si="34"/>
        <v>#DIV/0!</v>
      </c>
      <c r="X161" s="16" t="e">
        <f t="shared" si="35"/>
        <v>#DIV/0!</v>
      </c>
      <c r="Y161" s="16" t="e">
        <f t="shared" si="36"/>
        <v>#DIV/0!</v>
      </c>
      <c r="Z161" s="16" t="e">
        <f t="shared" si="37"/>
        <v>#DIV/0!</v>
      </c>
      <c r="AA161" s="16" t="e">
        <f>$K161/$H161</f>
        <v>#DIV/0!</v>
      </c>
      <c r="AB161" s="16">
        <f t="shared" si="38"/>
        <v>0</v>
      </c>
    </row>
    <row r="162" spans="1:28" x14ac:dyDescent="0.2">
      <c r="A162" s="15" t="s">
        <v>1722</v>
      </c>
      <c r="B162" s="15" t="s">
        <v>31</v>
      </c>
      <c r="C162" s="15">
        <v>25</v>
      </c>
      <c r="D162" s="15">
        <v>4</v>
      </c>
      <c r="E162" s="15" t="s">
        <v>557</v>
      </c>
      <c r="F162" s="15" t="s">
        <v>1699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  <c r="V162" s="15">
        <f t="shared" si="33"/>
        <v>0</v>
      </c>
      <c r="W162" s="15" t="e">
        <f t="shared" si="34"/>
        <v>#DIV/0!</v>
      </c>
      <c r="X162" s="15" t="e">
        <f t="shared" si="35"/>
        <v>#DIV/0!</v>
      </c>
      <c r="Y162" s="15" t="e">
        <f t="shared" si="36"/>
        <v>#DIV/0!</v>
      </c>
      <c r="Z162" s="15" t="e">
        <f t="shared" si="37"/>
        <v>#DIV/0!</v>
      </c>
      <c r="AA162" s="15" t="e">
        <f>$K162/$H162</f>
        <v>#DIV/0!</v>
      </c>
      <c r="AB162" s="15">
        <f t="shared" si="38"/>
        <v>0</v>
      </c>
    </row>
    <row r="163" spans="1:28" x14ac:dyDescent="0.2">
      <c r="A163" s="16" t="s">
        <v>1723</v>
      </c>
      <c r="B163" s="16" t="s">
        <v>31</v>
      </c>
      <c r="C163" s="16">
        <v>28</v>
      </c>
      <c r="D163" s="16">
        <v>5</v>
      </c>
      <c r="E163" s="16" t="s">
        <v>909</v>
      </c>
      <c r="F163" s="16" t="s">
        <v>1699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0</v>
      </c>
      <c r="V163" s="16">
        <f t="shared" si="33"/>
        <v>0</v>
      </c>
      <c r="W163" s="16" t="e">
        <f t="shared" si="34"/>
        <v>#DIV/0!</v>
      </c>
      <c r="X163" s="16" t="e">
        <f t="shared" si="35"/>
        <v>#DIV/0!</v>
      </c>
      <c r="Y163" s="16" t="e">
        <f t="shared" si="36"/>
        <v>#DIV/0!</v>
      </c>
      <c r="Z163" s="16" t="e">
        <f t="shared" si="37"/>
        <v>#DIV/0!</v>
      </c>
      <c r="AA163" s="16" t="e">
        <f>$K163/$H163</f>
        <v>#DIV/0!</v>
      </c>
      <c r="AB163" s="16">
        <f t="shared" si="38"/>
        <v>0</v>
      </c>
    </row>
    <row r="164" spans="1:28" x14ac:dyDescent="0.2">
      <c r="A164" s="15" t="s">
        <v>1724</v>
      </c>
      <c r="B164" s="15" t="s">
        <v>31</v>
      </c>
      <c r="C164" s="15">
        <v>23</v>
      </c>
      <c r="D164" s="15">
        <v>2</v>
      </c>
      <c r="E164" s="15" t="s">
        <v>806</v>
      </c>
      <c r="F164" s="15" t="s">
        <v>1699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  <c r="O164" s="15">
        <v>0</v>
      </c>
      <c r="P164" s="15">
        <v>0</v>
      </c>
      <c r="Q164" s="15">
        <v>0</v>
      </c>
      <c r="R164" s="15">
        <v>0</v>
      </c>
      <c r="S164" s="15">
        <v>0</v>
      </c>
      <c r="T164" s="15">
        <v>0</v>
      </c>
      <c r="U164" s="15">
        <v>0</v>
      </c>
      <c r="V164" s="15">
        <f t="shared" si="33"/>
        <v>0</v>
      </c>
      <c r="W164" s="15" t="e">
        <f t="shared" si="34"/>
        <v>#DIV/0!</v>
      </c>
      <c r="X164" s="15" t="e">
        <f t="shared" si="35"/>
        <v>#DIV/0!</v>
      </c>
      <c r="Y164" s="15" t="e">
        <f t="shared" si="36"/>
        <v>#DIV/0!</v>
      </c>
      <c r="Z164" s="15" t="e">
        <f t="shared" si="37"/>
        <v>#DIV/0!</v>
      </c>
      <c r="AA164" s="15" t="e">
        <f>$K164/$H164</f>
        <v>#DIV/0!</v>
      </c>
      <c r="AB164" s="15">
        <f t="shared" si="38"/>
        <v>0</v>
      </c>
    </row>
    <row r="165" spans="1:28" x14ac:dyDescent="0.2">
      <c r="A165" s="16" t="s">
        <v>1725</v>
      </c>
      <c r="B165" s="16" t="s">
        <v>31</v>
      </c>
      <c r="C165" s="16">
        <v>24</v>
      </c>
      <c r="D165" s="16">
        <v>2</v>
      </c>
      <c r="E165" s="16" t="s">
        <v>153</v>
      </c>
      <c r="F165" s="16" t="s">
        <v>1699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0</v>
      </c>
      <c r="V165" s="16">
        <f t="shared" si="33"/>
        <v>0</v>
      </c>
      <c r="W165" s="16" t="e">
        <f t="shared" si="34"/>
        <v>#DIV/0!</v>
      </c>
      <c r="X165" s="16" t="e">
        <f t="shared" si="35"/>
        <v>#DIV/0!</v>
      </c>
      <c r="Y165" s="16" t="e">
        <f t="shared" si="36"/>
        <v>#DIV/0!</v>
      </c>
      <c r="Z165" s="16" t="e">
        <f t="shared" si="37"/>
        <v>#DIV/0!</v>
      </c>
      <c r="AA165" s="16" t="e">
        <f>$K165/$H165</f>
        <v>#DIV/0!</v>
      </c>
      <c r="AB165" s="16">
        <f t="shared" si="38"/>
        <v>0</v>
      </c>
    </row>
    <row r="166" spans="1:28" x14ac:dyDescent="0.2">
      <c r="A166" s="15" t="s">
        <v>1726</v>
      </c>
      <c r="B166" s="15" t="s">
        <v>31</v>
      </c>
      <c r="C166" s="15">
        <v>23</v>
      </c>
      <c r="D166" s="15">
        <v>0</v>
      </c>
      <c r="E166" s="15" t="s">
        <v>150</v>
      </c>
      <c r="F166" s="15" t="s">
        <v>1699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T166" s="15">
        <v>0</v>
      </c>
      <c r="U166" s="15">
        <v>0</v>
      </c>
      <c r="V166" s="15">
        <f t="shared" si="33"/>
        <v>0</v>
      </c>
      <c r="W166" s="15" t="e">
        <f t="shared" si="34"/>
        <v>#DIV/0!</v>
      </c>
      <c r="X166" s="15" t="e">
        <f t="shared" si="35"/>
        <v>#DIV/0!</v>
      </c>
      <c r="Y166" s="15" t="e">
        <f t="shared" si="36"/>
        <v>#DIV/0!</v>
      </c>
      <c r="Z166" s="15" t="e">
        <f t="shared" si="37"/>
        <v>#DIV/0!</v>
      </c>
      <c r="AA166" s="15" t="e">
        <f>$K166/$H166</f>
        <v>#DIV/0!</v>
      </c>
      <c r="AB166" s="15">
        <f t="shared" si="38"/>
        <v>0</v>
      </c>
    </row>
    <row r="167" spans="1:28" x14ac:dyDescent="0.2">
      <c r="A167" s="18" t="s">
        <v>1727</v>
      </c>
      <c r="B167" s="18" t="s">
        <v>31</v>
      </c>
      <c r="C167" s="18">
        <v>29</v>
      </c>
      <c r="D167" s="18">
        <v>7</v>
      </c>
      <c r="E167" s="18" t="s">
        <v>175</v>
      </c>
      <c r="F167" s="18" t="s">
        <v>1699</v>
      </c>
      <c r="G167" s="18">
        <v>0</v>
      </c>
      <c r="H167" s="18">
        <v>0</v>
      </c>
      <c r="I167" s="18">
        <v>0</v>
      </c>
      <c r="J167" s="18">
        <v>0</v>
      </c>
      <c r="K167" s="18">
        <v>0</v>
      </c>
      <c r="L167" s="18">
        <v>0</v>
      </c>
      <c r="M167" s="18">
        <v>0</v>
      </c>
      <c r="N167" s="18">
        <v>0</v>
      </c>
      <c r="O167" s="18">
        <v>0</v>
      </c>
      <c r="P167" s="18">
        <v>0</v>
      </c>
      <c r="Q167" s="18">
        <v>0</v>
      </c>
      <c r="R167" s="18">
        <v>0</v>
      </c>
      <c r="S167" s="18">
        <v>0</v>
      </c>
      <c r="T167" s="18">
        <v>0</v>
      </c>
      <c r="U167" s="18">
        <v>0</v>
      </c>
      <c r="V167" s="18">
        <f t="shared" si="33"/>
        <v>0</v>
      </c>
      <c r="W167" s="18" t="e">
        <f t="shared" si="34"/>
        <v>#DIV/0!</v>
      </c>
      <c r="X167" s="18" t="e">
        <f t="shared" si="35"/>
        <v>#DIV/0!</v>
      </c>
      <c r="Y167" s="18" t="e">
        <f t="shared" si="36"/>
        <v>#DIV/0!</v>
      </c>
      <c r="Z167" s="18" t="e">
        <f t="shared" si="37"/>
        <v>#DIV/0!</v>
      </c>
      <c r="AA167" s="18" t="e">
        <f>$K167/$H167</f>
        <v>#DIV/0!</v>
      </c>
      <c r="AB167" s="18">
        <f t="shared" si="38"/>
        <v>0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DDA0E-EE9F-48C3-AFAE-576B16DE138F}">
  <sheetPr codeName="Sheet36"/>
  <dimension ref="A1:AB365"/>
  <sheetViews>
    <sheetView zoomScale="90" zoomScaleNormal="90" workbookViewId="0"/>
  </sheetViews>
  <sheetFormatPr baseColWidth="10" defaultColWidth="8.83203125" defaultRowHeight="15" x14ac:dyDescent="0.2"/>
  <cols>
    <col min="1" max="1" width="20.83203125" bestFit="1" customWidth="1"/>
    <col min="2" max="2" width="6.6640625" customWidth="1"/>
    <col min="3" max="3" width="6.5" customWidth="1"/>
    <col min="4" max="4" width="6.33203125" customWidth="1"/>
    <col min="5" max="5" width="23.5" bestFit="1" customWidth="1"/>
    <col min="6" max="6" width="7.33203125" customWidth="1"/>
    <col min="7" max="7" width="4.5" customWidth="1"/>
    <col min="8" max="8" width="7.33203125" customWidth="1"/>
    <col min="9" max="9" width="6.6640625" customWidth="1"/>
    <col min="10" max="10" width="7.1640625" customWidth="1"/>
    <col min="11" max="11" width="6.83203125" customWidth="1"/>
    <col min="12" max="12" width="5.33203125" customWidth="1"/>
    <col min="13" max="13" width="6" customWidth="1"/>
    <col min="14" max="14" width="7" customWidth="1"/>
    <col min="15" max="15" width="6.6640625" customWidth="1"/>
    <col min="16" max="16" width="5.5" customWidth="1"/>
    <col min="17" max="17" width="6" customWidth="1"/>
    <col min="18" max="18" width="8.6640625" customWidth="1"/>
    <col min="19" max="19" width="8.33203125" customWidth="1"/>
    <col min="20" max="20" width="6.5" customWidth="1"/>
    <col min="21" max="21" width="6.6640625" customWidth="1"/>
    <col min="22" max="22" width="7.6640625" customWidth="1"/>
    <col min="23" max="23" width="10.6640625" customWidth="1"/>
    <col min="24" max="25" width="7.1640625" bestFit="1" customWidth="1"/>
    <col min="26" max="26" width="9.83203125" customWidth="1"/>
    <col min="27" max="27" width="9" customWidth="1"/>
    <col min="28" max="28" width="10.33203125" customWidth="1"/>
  </cols>
  <sheetData>
    <row r="1" spans="1:28" x14ac:dyDescent="0.2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">
      <c r="A2" s="15" t="s">
        <v>83</v>
      </c>
      <c r="B2" s="15" t="s">
        <v>43</v>
      </c>
      <c r="C2" s="15">
        <v>24</v>
      </c>
      <c r="D2" s="15">
        <v>0</v>
      </c>
      <c r="E2" s="15" t="s">
        <v>84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>($J2*0.04)+($K2*4)+($L2*-2)+($N2*0.1)+($O2*6)+($Q2)+($R2*0.1)+($S2*6)+($T2*-2)</f>
        <v>0</v>
      </c>
      <c r="W2" s="15" t="e">
        <f t="shared" ref="W2:W65" si="0">$P2/$H$33</f>
        <v>#DIV/0!</v>
      </c>
      <c r="X2" s="15" t="e">
        <f t="shared" ref="X2:X65" si="1">$N2/$M2</f>
        <v>#DIV/0!</v>
      </c>
      <c r="Y2" s="15" t="e">
        <f t="shared" ref="Y2:Z17" si="2">$R2/$Q2</f>
        <v>#DIV/0!</v>
      </c>
      <c r="Z2" s="15" t="e">
        <f t="shared" si="2"/>
        <v>#DIV/0!</v>
      </c>
      <c r="AA2" s="15" t="e">
        <f t="shared" ref="AA2:AA23" si="3">$K2/$H2</f>
        <v>#DIV/0!</v>
      </c>
      <c r="AB2" s="15">
        <f t="shared" ref="AB2:AB65" si="4">($J2*Cp_yd)+($K2*Cp_td)+($L2*Cint)+($M2*Ccar)+($N2*Cr_yd)+($O2*Cr_td)+(Q2*Crec)+($R2*Crec_yd)+($S2*Crec_td)+($T2*Cfmb)+($U2*Ctp_c)</f>
        <v>0</v>
      </c>
    </row>
    <row r="3" spans="1:28" x14ac:dyDescent="0.2">
      <c r="A3" s="16" t="s">
        <v>85</v>
      </c>
      <c r="B3" s="16" t="s">
        <v>43</v>
      </c>
      <c r="C3" s="16">
        <v>26</v>
      </c>
      <c r="D3" s="16">
        <v>2</v>
      </c>
      <c r="E3" s="16" t="s">
        <v>86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 t="shared" ref="V3:V66" si="5">($J3*0.04)+($K3*4)+($L3*-2)+($N3*0.1)+($O3*6)+($Q3)+($R3*0.1)+($S3*6)+($T3*-2)</f>
        <v>0</v>
      </c>
      <c r="W3" s="16" t="e">
        <f t="shared" si="0"/>
        <v>#DIV/0!</v>
      </c>
      <c r="X3" s="16" t="e">
        <f t="shared" si="1"/>
        <v>#DIV/0!</v>
      </c>
      <c r="Y3" s="16" t="e">
        <f t="shared" si="2"/>
        <v>#DIV/0!</v>
      </c>
      <c r="Z3" s="16" t="e">
        <f t="shared" si="2"/>
        <v>#DIV/0!</v>
      </c>
      <c r="AA3" s="16" t="e">
        <f t="shared" si="3"/>
        <v>#DIV/0!</v>
      </c>
      <c r="AB3" s="16">
        <f t="shared" si="4"/>
        <v>0</v>
      </c>
    </row>
    <row r="4" spans="1:28" x14ac:dyDescent="0.2">
      <c r="A4" s="15" t="s">
        <v>87</v>
      </c>
      <c r="B4" s="15" t="s">
        <v>43</v>
      </c>
      <c r="C4" s="15">
        <v>26</v>
      </c>
      <c r="D4" s="15">
        <v>5</v>
      </c>
      <c r="E4" s="15" t="s">
        <v>68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 t="shared" si="5"/>
        <v>0</v>
      </c>
      <c r="W4" s="15" t="e">
        <f t="shared" si="0"/>
        <v>#DIV/0!</v>
      </c>
      <c r="X4" s="15" t="e">
        <f t="shared" si="1"/>
        <v>#DIV/0!</v>
      </c>
      <c r="Y4" s="15" t="e">
        <f t="shared" si="2"/>
        <v>#DIV/0!</v>
      </c>
      <c r="Z4" s="15" t="e">
        <f t="shared" si="2"/>
        <v>#DIV/0!</v>
      </c>
      <c r="AA4" s="15" t="e">
        <f t="shared" si="3"/>
        <v>#DIV/0!</v>
      </c>
      <c r="AB4" s="15">
        <f t="shared" si="4"/>
        <v>0</v>
      </c>
    </row>
    <row r="5" spans="1:28" x14ac:dyDescent="0.2">
      <c r="A5" s="16" t="s">
        <v>88</v>
      </c>
      <c r="B5" s="16" t="s">
        <v>43</v>
      </c>
      <c r="C5" s="16">
        <v>23</v>
      </c>
      <c r="D5" s="16">
        <v>0</v>
      </c>
      <c r="E5" s="16" t="s">
        <v>89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 t="shared" si="5"/>
        <v>0</v>
      </c>
      <c r="W5" s="16" t="e">
        <f t="shared" si="0"/>
        <v>#DIV/0!</v>
      </c>
      <c r="X5" s="16" t="e">
        <f t="shared" si="1"/>
        <v>#DIV/0!</v>
      </c>
      <c r="Y5" s="16" t="e">
        <f t="shared" si="2"/>
        <v>#DIV/0!</v>
      </c>
      <c r="Z5" s="16" t="e">
        <f t="shared" si="2"/>
        <v>#DIV/0!</v>
      </c>
      <c r="AA5" s="16" t="e">
        <f t="shared" si="3"/>
        <v>#DIV/0!</v>
      </c>
      <c r="AB5" s="16">
        <f t="shared" si="4"/>
        <v>0</v>
      </c>
    </row>
    <row r="6" spans="1:28" x14ac:dyDescent="0.2">
      <c r="A6" s="15" t="s">
        <v>90</v>
      </c>
      <c r="B6" s="15" t="s">
        <v>43</v>
      </c>
      <c r="C6" s="15">
        <v>26</v>
      </c>
      <c r="D6" s="15">
        <v>2</v>
      </c>
      <c r="E6" s="15" t="s">
        <v>91</v>
      </c>
      <c r="F6" s="15" t="s">
        <v>25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 t="shared" si="5"/>
        <v>0</v>
      </c>
      <c r="W6" s="15" t="e">
        <f t="shared" si="0"/>
        <v>#DIV/0!</v>
      </c>
      <c r="X6" s="15" t="e">
        <f t="shared" si="1"/>
        <v>#DIV/0!</v>
      </c>
      <c r="Y6" s="15" t="e">
        <f t="shared" si="2"/>
        <v>#DIV/0!</v>
      </c>
      <c r="Z6" s="15" t="e">
        <f t="shared" si="2"/>
        <v>#DIV/0!</v>
      </c>
      <c r="AA6" s="15" t="e">
        <f t="shared" si="3"/>
        <v>#DIV/0!</v>
      </c>
      <c r="AB6" s="15">
        <f t="shared" si="4"/>
        <v>0</v>
      </c>
    </row>
    <row r="7" spans="1:28" x14ac:dyDescent="0.2">
      <c r="A7" s="16" t="s">
        <v>92</v>
      </c>
      <c r="B7" s="16" t="s">
        <v>43</v>
      </c>
      <c r="C7" s="16">
        <v>24</v>
      </c>
      <c r="D7" s="16">
        <v>1</v>
      </c>
      <c r="E7" s="16" t="s">
        <v>93</v>
      </c>
      <c r="F7" s="16" t="s">
        <v>25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 t="shared" si="5"/>
        <v>0</v>
      </c>
      <c r="W7" s="16" t="e">
        <f t="shared" si="0"/>
        <v>#DIV/0!</v>
      </c>
      <c r="X7" s="16" t="e">
        <f t="shared" si="1"/>
        <v>#DIV/0!</v>
      </c>
      <c r="Y7" s="16" t="e">
        <f t="shared" si="2"/>
        <v>#DIV/0!</v>
      </c>
      <c r="Z7" s="16" t="e">
        <f t="shared" si="2"/>
        <v>#DIV/0!</v>
      </c>
      <c r="AA7" s="16" t="e">
        <f t="shared" si="3"/>
        <v>#DIV/0!</v>
      </c>
      <c r="AB7" s="16">
        <f t="shared" si="4"/>
        <v>0</v>
      </c>
    </row>
    <row r="8" spans="1:28" x14ac:dyDescent="0.2">
      <c r="A8" s="15" t="s">
        <v>94</v>
      </c>
      <c r="B8" s="15" t="s">
        <v>43</v>
      </c>
      <c r="C8" s="15">
        <v>25</v>
      </c>
      <c r="D8" s="15">
        <v>3</v>
      </c>
      <c r="E8" s="15" t="s">
        <v>95</v>
      </c>
      <c r="F8" s="15" t="s">
        <v>25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 t="shared" si="5"/>
        <v>0</v>
      </c>
      <c r="W8" s="15" t="e">
        <f t="shared" si="0"/>
        <v>#DIV/0!</v>
      </c>
      <c r="X8" s="15" t="e">
        <f t="shared" si="1"/>
        <v>#DIV/0!</v>
      </c>
      <c r="Y8" s="15" t="e">
        <f t="shared" si="2"/>
        <v>#DIV/0!</v>
      </c>
      <c r="Z8" s="15" t="e">
        <f t="shared" si="2"/>
        <v>#DIV/0!</v>
      </c>
      <c r="AA8" s="15" t="e">
        <f t="shared" si="3"/>
        <v>#DIV/0!</v>
      </c>
      <c r="AB8" s="15">
        <f t="shared" si="4"/>
        <v>0</v>
      </c>
    </row>
    <row r="9" spans="1:28" x14ac:dyDescent="0.2">
      <c r="A9" s="16" t="s">
        <v>96</v>
      </c>
      <c r="B9" s="16" t="s">
        <v>43</v>
      </c>
      <c r="C9" s="16">
        <v>23</v>
      </c>
      <c r="D9" s="16">
        <v>3</v>
      </c>
      <c r="E9" s="16" t="s">
        <v>62</v>
      </c>
      <c r="F9" s="16" t="s">
        <v>25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 t="shared" si="5"/>
        <v>0</v>
      </c>
      <c r="W9" s="16" t="e">
        <f t="shared" si="0"/>
        <v>#DIV/0!</v>
      </c>
      <c r="X9" s="16" t="e">
        <f t="shared" si="1"/>
        <v>#DIV/0!</v>
      </c>
      <c r="Y9" s="16" t="e">
        <f t="shared" si="2"/>
        <v>#DIV/0!</v>
      </c>
      <c r="Z9" s="16" t="e">
        <f t="shared" si="2"/>
        <v>#DIV/0!</v>
      </c>
      <c r="AA9" s="16" t="e">
        <f t="shared" si="3"/>
        <v>#DIV/0!</v>
      </c>
      <c r="AB9" s="16">
        <f t="shared" si="4"/>
        <v>0</v>
      </c>
    </row>
    <row r="10" spans="1:28" x14ac:dyDescent="0.2">
      <c r="A10" s="15" t="s">
        <v>97</v>
      </c>
      <c r="B10" s="15" t="s">
        <v>43</v>
      </c>
      <c r="C10" s="15">
        <v>28</v>
      </c>
      <c r="D10" s="15">
        <v>6</v>
      </c>
      <c r="E10" s="15" t="s">
        <v>98</v>
      </c>
      <c r="F10" s="15" t="s">
        <v>25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 t="shared" si="5"/>
        <v>0</v>
      </c>
      <c r="W10" s="15" t="e">
        <f t="shared" si="0"/>
        <v>#DIV/0!</v>
      </c>
      <c r="X10" s="15" t="e">
        <f t="shared" si="1"/>
        <v>#DIV/0!</v>
      </c>
      <c r="Y10" s="15" t="e">
        <f t="shared" si="2"/>
        <v>#DIV/0!</v>
      </c>
      <c r="Z10" s="15" t="e">
        <f t="shared" si="2"/>
        <v>#DIV/0!</v>
      </c>
      <c r="AA10" s="15" t="e">
        <f t="shared" si="3"/>
        <v>#DIV/0!</v>
      </c>
      <c r="AB10" s="15">
        <f t="shared" si="4"/>
        <v>0</v>
      </c>
    </row>
    <row r="11" spans="1:28" x14ac:dyDescent="0.2">
      <c r="A11" s="16" t="s">
        <v>99</v>
      </c>
      <c r="B11" s="16" t="s">
        <v>43</v>
      </c>
      <c r="C11" s="16">
        <v>24</v>
      </c>
      <c r="D11" s="16">
        <v>1</v>
      </c>
      <c r="E11" s="16" t="s">
        <v>100</v>
      </c>
      <c r="F11" s="16" t="s">
        <v>25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 t="shared" si="5"/>
        <v>0</v>
      </c>
      <c r="W11" s="16" t="e">
        <f t="shared" si="0"/>
        <v>#DIV/0!</v>
      </c>
      <c r="X11" s="16" t="e">
        <f t="shared" si="1"/>
        <v>#DIV/0!</v>
      </c>
      <c r="Y11" s="16" t="e">
        <f t="shared" si="2"/>
        <v>#DIV/0!</v>
      </c>
      <c r="Z11" s="16" t="e">
        <f t="shared" si="2"/>
        <v>#DIV/0!</v>
      </c>
      <c r="AA11" s="16" t="e">
        <f t="shared" si="3"/>
        <v>#DIV/0!</v>
      </c>
      <c r="AB11" s="16">
        <f t="shared" si="4"/>
        <v>0</v>
      </c>
    </row>
    <row r="12" spans="1:28" x14ac:dyDescent="0.2">
      <c r="A12" s="15" t="s">
        <v>149</v>
      </c>
      <c r="B12" s="15" t="s">
        <v>43</v>
      </c>
      <c r="C12" s="15">
        <v>24</v>
      </c>
      <c r="D12" s="15">
        <v>1</v>
      </c>
      <c r="E12" s="15" t="s">
        <v>150</v>
      </c>
      <c r="F12" s="15" t="s">
        <v>114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 t="shared" si="5"/>
        <v>0</v>
      </c>
      <c r="W12" s="15" t="e">
        <f t="shared" si="0"/>
        <v>#DIV/0!</v>
      </c>
      <c r="X12" s="15" t="e">
        <f t="shared" si="1"/>
        <v>#DIV/0!</v>
      </c>
      <c r="Y12" s="15" t="e">
        <f t="shared" si="2"/>
        <v>#DIV/0!</v>
      </c>
      <c r="Z12" s="15" t="e">
        <f t="shared" ref="Z12:Z75" si="6">$I12/$H12</f>
        <v>#DIV/0!</v>
      </c>
      <c r="AA12" s="15" t="e">
        <f t="shared" si="3"/>
        <v>#DIV/0!</v>
      </c>
      <c r="AB12" s="15">
        <f t="shared" si="4"/>
        <v>0</v>
      </c>
    </row>
    <row r="13" spans="1:28" x14ac:dyDescent="0.2">
      <c r="A13" s="16" t="s">
        <v>151</v>
      </c>
      <c r="B13" s="16" t="s">
        <v>43</v>
      </c>
      <c r="C13" s="16">
        <v>26</v>
      </c>
      <c r="D13" s="16">
        <v>4</v>
      </c>
      <c r="E13" s="16" t="s">
        <v>102</v>
      </c>
      <c r="F13" s="16" t="s">
        <v>114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 t="shared" si="5"/>
        <v>0</v>
      </c>
      <c r="W13" s="16" t="e">
        <f t="shared" si="0"/>
        <v>#DIV/0!</v>
      </c>
      <c r="X13" s="16" t="e">
        <f t="shared" si="1"/>
        <v>#DIV/0!</v>
      </c>
      <c r="Y13" s="16" t="e">
        <f t="shared" si="2"/>
        <v>#DIV/0!</v>
      </c>
      <c r="Z13" s="16" t="e">
        <f t="shared" si="6"/>
        <v>#DIV/0!</v>
      </c>
      <c r="AA13" s="16" t="e">
        <f t="shared" si="3"/>
        <v>#DIV/0!</v>
      </c>
      <c r="AB13" s="16">
        <f t="shared" si="4"/>
        <v>0</v>
      </c>
    </row>
    <row r="14" spans="1:28" x14ac:dyDescent="0.2">
      <c r="A14" s="15" t="s">
        <v>152</v>
      </c>
      <c r="B14" s="15" t="s">
        <v>43</v>
      </c>
      <c r="C14" s="15">
        <v>24</v>
      </c>
      <c r="D14" s="15">
        <v>2</v>
      </c>
      <c r="E14" s="15" t="s">
        <v>153</v>
      </c>
      <c r="F14" s="15" t="s">
        <v>114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 t="shared" si="5"/>
        <v>0</v>
      </c>
      <c r="W14" s="15" t="e">
        <f t="shared" si="0"/>
        <v>#DIV/0!</v>
      </c>
      <c r="X14" s="15" t="e">
        <f t="shared" si="1"/>
        <v>#DIV/0!</v>
      </c>
      <c r="Y14" s="15" t="e">
        <f t="shared" si="2"/>
        <v>#DIV/0!</v>
      </c>
      <c r="Z14" s="15" t="e">
        <f t="shared" si="6"/>
        <v>#DIV/0!</v>
      </c>
      <c r="AA14" s="15" t="e">
        <f t="shared" si="3"/>
        <v>#DIV/0!</v>
      </c>
      <c r="AB14" s="15">
        <f t="shared" si="4"/>
        <v>0</v>
      </c>
    </row>
    <row r="15" spans="1:28" x14ac:dyDescent="0.2">
      <c r="A15" s="16" t="s">
        <v>154</v>
      </c>
      <c r="B15" s="16" t="s">
        <v>43</v>
      </c>
      <c r="C15" s="16">
        <v>25</v>
      </c>
      <c r="D15" s="16">
        <v>3</v>
      </c>
      <c r="E15" s="16" t="s">
        <v>155</v>
      </c>
      <c r="F15" s="16" t="s">
        <v>114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 t="shared" si="5"/>
        <v>0</v>
      </c>
      <c r="W15" s="16" t="e">
        <f t="shared" si="0"/>
        <v>#DIV/0!</v>
      </c>
      <c r="X15" s="16" t="e">
        <f t="shared" si="1"/>
        <v>#DIV/0!</v>
      </c>
      <c r="Y15" s="16" t="e">
        <f t="shared" si="2"/>
        <v>#DIV/0!</v>
      </c>
      <c r="Z15" s="16" t="e">
        <f t="shared" si="6"/>
        <v>#DIV/0!</v>
      </c>
      <c r="AA15" s="16" t="e">
        <f t="shared" si="3"/>
        <v>#DIV/0!</v>
      </c>
      <c r="AB15" s="16">
        <f t="shared" si="4"/>
        <v>0</v>
      </c>
    </row>
    <row r="16" spans="1:28" x14ac:dyDescent="0.2">
      <c r="A16" s="15" t="s">
        <v>156</v>
      </c>
      <c r="B16" s="15" t="s">
        <v>43</v>
      </c>
      <c r="C16" s="15">
        <v>22</v>
      </c>
      <c r="D16" s="15">
        <v>0</v>
      </c>
      <c r="E16" s="15" t="s">
        <v>157</v>
      </c>
      <c r="F16" s="15" t="s">
        <v>114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 t="shared" si="5"/>
        <v>0</v>
      </c>
      <c r="W16" s="15" t="e">
        <f t="shared" si="0"/>
        <v>#DIV/0!</v>
      </c>
      <c r="X16" s="15" t="e">
        <f t="shared" si="1"/>
        <v>#DIV/0!</v>
      </c>
      <c r="Y16" s="15" t="e">
        <f t="shared" si="2"/>
        <v>#DIV/0!</v>
      </c>
      <c r="Z16" s="15" t="e">
        <f t="shared" si="6"/>
        <v>#DIV/0!</v>
      </c>
      <c r="AA16" s="15" t="e">
        <f t="shared" si="3"/>
        <v>#DIV/0!</v>
      </c>
      <c r="AB16" s="15">
        <f t="shared" si="4"/>
        <v>0</v>
      </c>
    </row>
    <row r="17" spans="1:28" x14ac:dyDescent="0.2">
      <c r="A17" s="16" t="s">
        <v>158</v>
      </c>
      <c r="B17" s="16" t="s">
        <v>43</v>
      </c>
      <c r="C17" s="16">
        <v>27</v>
      </c>
      <c r="D17" s="16">
        <v>4</v>
      </c>
      <c r="E17" s="16" t="s">
        <v>159</v>
      </c>
      <c r="F17" s="16" t="s">
        <v>114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 t="shared" si="5"/>
        <v>0</v>
      </c>
      <c r="W17" s="16" t="e">
        <f t="shared" si="0"/>
        <v>#DIV/0!</v>
      </c>
      <c r="X17" s="16" t="e">
        <f t="shared" si="1"/>
        <v>#DIV/0!</v>
      </c>
      <c r="Y17" s="16" t="e">
        <f t="shared" si="2"/>
        <v>#DIV/0!</v>
      </c>
      <c r="Z17" s="16" t="e">
        <f t="shared" si="6"/>
        <v>#DIV/0!</v>
      </c>
      <c r="AA17" s="16" t="e">
        <f t="shared" si="3"/>
        <v>#DIV/0!</v>
      </c>
      <c r="AB17" s="16">
        <f t="shared" si="4"/>
        <v>0</v>
      </c>
    </row>
    <row r="18" spans="1:28" x14ac:dyDescent="0.2">
      <c r="A18" s="15" t="s">
        <v>160</v>
      </c>
      <c r="B18" s="15" t="s">
        <v>43</v>
      </c>
      <c r="C18" s="15">
        <v>28</v>
      </c>
      <c r="D18" s="15">
        <v>6</v>
      </c>
      <c r="E18" s="15" t="s">
        <v>161</v>
      </c>
      <c r="F18" s="15" t="s">
        <v>114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 t="shared" si="5"/>
        <v>0</v>
      </c>
      <c r="W18" s="15" t="e">
        <f t="shared" si="0"/>
        <v>#DIV/0!</v>
      </c>
      <c r="X18" s="15" t="e">
        <f t="shared" si="1"/>
        <v>#DIV/0!</v>
      </c>
      <c r="Y18" s="15" t="e">
        <f t="shared" ref="Y18:Y81" si="7">$R18/$Q18</f>
        <v>#DIV/0!</v>
      </c>
      <c r="Z18" s="15" t="e">
        <f t="shared" si="6"/>
        <v>#DIV/0!</v>
      </c>
      <c r="AA18" s="15" t="e">
        <f t="shared" si="3"/>
        <v>#DIV/0!</v>
      </c>
      <c r="AB18" s="15">
        <f t="shared" si="4"/>
        <v>0</v>
      </c>
    </row>
    <row r="19" spans="1:28" x14ac:dyDescent="0.2">
      <c r="A19" s="16" t="s">
        <v>162</v>
      </c>
      <c r="B19" s="16" t="s">
        <v>43</v>
      </c>
      <c r="C19" s="16">
        <v>29</v>
      </c>
      <c r="D19" s="16">
        <v>7</v>
      </c>
      <c r="E19" s="16" t="s">
        <v>163</v>
      </c>
      <c r="F19" s="16" t="s">
        <v>114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 t="shared" si="5"/>
        <v>0</v>
      </c>
      <c r="W19" s="16" t="e">
        <f t="shared" si="0"/>
        <v>#DIV/0!</v>
      </c>
      <c r="X19" s="16" t="e">
        <f t="shared" si="1"/>
        <v>#DIV/0!</v>
      </c>
      <c r="Y19" s="16" t="e">
        <f t="shared" si="7"/>
        <v>#DIV/0!</v>
      </c>
      <c r="Z19" s="16" t="e">
        <f t="shared" si="6"/>
        <v>#DIV/0!</v>
      </c>
      <c r="AA19" s="16" t="e">
        <f t="shared" si="3"/>
        <v>#DIV/0!</v>
      </c>
      <c r="AB19" s="16">
        <f t="shared" si="4"/>
        <v>0</v>
      </c>
    </row>
    <row r="20" spans="1:28" x14ac:dyDescent="0.2">
      <c r="A20" s="15" t="s">
        <v>164</v>
      </c>
      <c r="B20" s="15" t="s">
        <v>43</v>
      </c>
      <c r="C20" s="15">
        <v>22</v>
      </c>
      <c r="D20" s="15">
        <v>2</v>
      </c>
      <c r="E20" s="15" t="s">
        <v>78</v>
      </c>
      <c r="F20" s="15" t="s">
        <v>114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 t="shared" si="5"/>
        <v>0</v>
      </c>
      <c r="W20" s="15" t="e">
        <f t="shared" si="0"/>
        <v>#DIV/0!</v>
      </c>
      <c r="X20" s="15" t="e">
        <f t="shared" si="1"/>
        <v>#DIV/0!</v>
      </c>
      <c r="Y20" s="15" t="e">
        <f t="shared" si="7"/>
        <v>#DIV/0!</v>
      </c>
      <c r="Z20" s="15" t="e">
        <f t="shared" si="6"/>
        <v>#DIV/0!</v>
      </c>
      <c r="AA20" s="15" t="e">
        <f t="shared" si="3"/>
        <v>#DIV/0!</v>
      </c>
      <c r="AB20" s="15">
        <f t="shared" si="4"/>
        <v>0</v>
      </c>
    </row>
    <row r="21" spans="1:28" x14ac:dyDescent="0.2">
      <c r="A21" s="16" t="s">
        <v>165</v>
      </c>
      <c r="B21" s="16" t="s">
        <v>43</v>
      </c>
      <c r="C21" s="16">
        <v>23</v>
      </c>
      <c r="D21" s="16">
        <v>0</v>
      </c>
      <c r="E21" s="16" t="s">
        <v>166</v>
      </c>
      <c r="F21" s="16" t="s">
        <v>114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 t="shared" si="5"/>
        <v>0</v>
      </c>
      <c r="W21" s="16" t="e">
        <f t="shared" si="0"/>
        <v>#DIV/0!</v>
      </c>
      <c r="X21" s="16" t="e">
        <f t="shared" si="1"/>
        <v>#DIV/0!</v>
      </c>
      <c r="Y21" s="16" t="e">
        <f t="shared" si="7"/>
        <v>#DIV/0!</v>
      </c>
      <c r="Z21" s="16" t="e">
        <f t="shared" si="6"/>
        <v>#DIV/0!</v>
      </c>
      <c r="AA21" s="16" t="e">
        <f t="shared" si="3"/>
        <v>#DIV/0!</v>
      </c>
      <c r="AB21" s="16">
        <f t="shared" si="4"/>
        <v>0</v>
      </c>
    </row>
    <row r="22" spans="1:28" x14ac:dyDescent="0.2">
      <c r="A22" s="15" t="s">
        <v>167</v>
      </c>
      <c r="B22" s="15" t="s">
        <v>43</v>
      </c>
      <c r="C22" s="15">
        <v>26</v>
      </c>
      <c r="D22" s="15">
        <v>5</v>
      </c>
      <c r="E22" s="15" t="s">
        <v>168</v>
      </c>
      <c r="F22" s="15" t="s">
        <v>114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 t="shared" si="5"/>
        <v>0</v>
      </c>
      <c r="W22" s="15" t="e">
        <f t="shared" si="0"/>
        <v>#DIV/0!</v>
      </c>
      <c r="X22" s="15" t="e">
        <f t="shared" si="1"/>
        <v>#DIV/0!</v>
      </c>
      <c r="Y22" s="15" t="e">
        <f t="shared" si="7"/>
        <v>#DIV/0!</v>
      </c>
      <c r="Z22" s="15" t="e">
        <f t="shared" si="6"/>
        <v>#DIV/0!</v>
      </c>
      <c r="AA22" s="15" t="e">
        <f t="shared" si="3"/>
        <v>#DIV/0!</v>
      </c>
      <c r="AB22" s="15">
        <f t="shared" si="4"/>
        <v>0</v>
      </c>
    </row>
    <row r="23" spans="1:28" x14ac:dyDescent="0.2">
      <c r="A23" s="16" t="s">
        <v>223</v>
      </c>
      <c r="B23" s="16" t="s">
        <v>43</v>
      </c>
      <c r="C23" s="16">
        <v>30</v>
      </c>
      <c r="D23" s="16">
        <v>9</v>
      </c>
      <c r="E23" s="16" t="s">
        <v>78</v>
      </c>
      <c r="F23" s="16" t="s">
        <v>184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 t="shared" si="5"/>
        <v>0</v>
      </c>
      <c r="W23" s="16" t="e">
        <f t="shared" si="0"/>
        <v>#DIV/0!</v>
      </c>
      <c r="X23" s="16" t="e">
        <f t="shared" si="1"/>
        <v>#DIV/0!</v>
      </c>
      <c r="Y23" s="16" t="e">
        <f t="shared" si="7"/>
        <v>#DIV/0!</v>
      </c>
      <c r="Z23" s="16" t="e">
        <f t="shared" si="6"/>
        <v>#DIV/0!</v>
      </c>
      <c r="AA23" s="16" t="e">
        <f t="shared" ref="AA23:AA34" si="8">$J23/$H23</f>
        <v>#DIV/0!</v>
      </c>
      <c r="AB23" s="16">
        <f t="shared" si="4"/>
        <v>0</v>
      </c>
    </row>
    <row r="24" spans="1:28" x14ac:dyDescent="0.2">
      <c r="A24" s="15" t="s">
        <v>224</v>
      </c>
      <c r="B24" s="15" t="s">
        <v>43</v>
      </c>
      <c r="C24" s="15">
        <v>23</v>
      </c>
      <c r="D24" s="15">
        <v>3</v>
      </c>
      <c r="E24" s="15" t="s">
        <v>225</v>
      </c>
      <c r="F24" s="15" t="s">
        <v>184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 t="shared" si="5"/>
        <v>0</v>
      </c>
      <c r="W24" s="15" t="e">
        <f t="shared" si="0"/>
        <v>#DIV/0!</v>
      </c>
      <c r="X24" s="15" t="e">
        <f t="shared" si="1"/>
        <v>#DIV/0!</v>
      </c>
      <c r="Y24" s="15" t="e">
        <f t="shared" si="7"/>
        <v>#DIV/0!</v>
      </c>
      <c r="Z24" s="15" t="e">
        <f t="shared" si="6"/>
        <v>#DIV/0!</v>
      </c>
      <c r="AA24" s="15" t="e">
        <f t="shared" si="8"/>
        <v>#DIV/0!</v>
      </c>
      <c r="AB24" s="15">
        <f t="shared" si="4"/>
        <v>0</v>
      </c>
    </row>
    <row r="25" spans="1:28" x14ac:dyDescent="0.2">
      <c r="A25" s="16" t="s">
        <v>226</v>
      </c>
      <c r="B25" s="16" t="s">
        <v>43</v>
      </c>
      <c r="C25" s="16">
        <v>30</v>
      </c>
      <c r="D25" s="16">
        <v>9</v>
      </c>
      <c r="E25" s="16" t="s">
        <v>227</v>
      </c>
      <c r="F25" s="16" t="s">
        <v>184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 t="shared" si="5"/>
        <v>0</v>
      </c>
      <c r="W25" s="16" t="e">
        <f t="shared" si="0"/>
        <v>#DIV/0!</v>
      </c>
      <c r="X25" s="16" t="e">
        <f t="shared" si="1"/>
        <v>#DIV/0!</v>
      </c>
      <c r="Y25" s="16" t="e">
        <f t="shared" si="7"/>
        <v>#DIV/0!</v>
      </c>
      <c r="Z25" s="16" t="e">
        <f t="shared" si="6"/>
        <v>#DIV/0!</v>
      </c>
      <c r="AA25" s="16" t="e">
        <f t="shared" si="8"/>
        <v>#DIV/0!</v>
      </c>
      <c r="AB25" s="16">
        <f t="shared" si="4"/>
        <v>0</v>
      </c>
    </row>
    <row r="26" spans="1:28" x14ac:dyDescent="0.2">
      <c r="A26" s="15" t="s">
        <v>228</v>
      </c>
      <c r="B26" s="15" t="s">
        <v>43</v>
      </c>
      <c r="C26" s="15">
        <v>25</v>
      </c>
      <c r="D26" s="15">
        <v>1</v>
      </c>
      <c r="E26" s="15" t="s">
        <v>66</v>
      </c>
      <c r="F26" s="15" t="s">
        <v>184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 t="shared" si="5"/>
        <v>0</v>
      </c>
      <c r="W26" s="15" t="e">
        <f t="shared" si="0"/>
        <v>#DIV/0!</v>
      </c>
      <c r="X26" s="15" t="e">
        <f t="shared" si="1"/>
        <v>#DIV/0!</v>
      </c>
      <c r="Y26" s="15" t="e">
        <f t="shared" si="7"/>
        <v>#DIV/0!</v>
      </c>
      <c r="Z26" s="15" t="e">
        <f t="shared" si="6"/>
        <v>#DIV/0!</v>
      </c>
      <c r="AA26" s="15" t="e">
        <f t="shared" si="8"/>
        <v>#DIV/0!</v>
      </c>
      <c r="AB26" s="15">
        <f t="shared" si="4"/>
        <v>0</v>
      </c>
    </row>
    <row r="27" spans="1:28" x14ac:dyDescent="0.2">
      <c r="A27" s="16" t="s">
        <v>229</v>
      </c>
      <c r="B27" s="16" t="s">
        <v>43</v>
      </c>
      <c r="C27" s="16">
        <v>25</v>
      </c>
      <c r="D27" s="16">
        <v>1</v>
      </c>
      <c r="E27" s="16" t="s">
        <v>230</v>
      </c>
      <c r="F27" s="16" t="s">
        <v>184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 t="shared" si="5"/>
        <v>0</v>
      </c>
      <c r="W27" s="16" t="e">
        <f t="shared" si="0"/>
        <v>#DIV/0!</v>
      </c>
      <c r="X27" s="16" t="e">
        <f t="shared" si="1"/>
        <v>#DIV/0!</v>
      </c>
      <c r="Y27" s="16" t="e">
        <f t="shared" si="7"/>
        <v>#DIV/0!</v>
      </c>
      <c r="Z27" s="16" t="e">
        <f t="shared" si="6"/>
        <v>#DIV/0!</v>
      </c>
      <c r="AA27" s="16" t="e">
        <f t="shared" si="8"/>
        <v>#DIV/0!</v>
      </c>
      <c r="AB27" s="16">
        <f t="shared" si="4"/>
        <v>0</v>
      </c>
    </row>
    <row r="28" spans="1:28" x14ac:dyDescent="0.2">
      <c r="A28" s="15" t="s">
        <v>231</v>
      </c>
      <c r="B28" s="15" t="s">
        <v>43</v>
      </c>
      <c r="C28" s="15">
        <v>22</v>
      </c>
      <c r="D28" s="15">
        <v>0</v>
      </c>
      <c r="E28" s="15" t="s">
        <v>232</v>
      </c>
      <c r="F28" s="15" t="s">
        <v>184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 t="shared" si="5"/>
        <v>0</v>
      </c>
      <c r="W28" s="15" t="e">
        <f t="shared" si="0"/>
        <v>#DIV/0!</v>
      </c>
      <c r="X28" s="15" t="e">
        <f t="shared" si="1"/>
        <v>#DIV/0!</v>
      </c>
      <c r="Y28" s="15" t="e">
        <f t="shared" si="7"/>
        <v>#DIV/0!</v>
      </c>
      <c r="Z28" s="15" t="e">
        <f t="shared" si="6"/>
        <v>#DIV/0!</v>
      </c>
      <c r="AA28" s="15" t="e">
        <f t="shared" si="8"/>
        <v>#DIV/0!</v>
      </c>
      <c r="AB28" s="15">
        <f t="shared" si="4"/>
        <v>0</v>
      </c>
    </row>
    <row r="29" spans="1:28" x14ac:dyDescent="0.2">
      <c r="A29" s="16" t="s">
        <v>233</v>
      </c>
      <c r="B29" s="16" t="s">
        <v>43</v>
      </c>
      <c r="C29" s="16">
        <v>25</v>
      </c>
      <c r="D29" s="16">
        <v>4</v>
      </c>
      <c r="E29" s="16" t="s">
        <v>66</v>
      </c>
      <c r="F29" s="16" t="s">
        <v>184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 t="shared" si="5"/>
        <v>0</v>
      </c>
      <c r="W29" s="16" t="e">
        <f t="shared" si="0"/>
        <v>#DIV/0!</v>
      </c>
      <c r="X29" s="16" t="e">
        <f t="shared" si="1"/>
        <v>#DIV/0!</v>
      </c>
      <c r="Y29" s="16" t="e">
        <f t="shared" si="7"/>
        <v>#DIV/0!</v>
      </c>
      <c r="Z29" s="16" t="e">
        <f t="shared" si="6"/>
        <v>#DIV/0!</v>
      </c>
      <c r="AA29" s="16" t="e">
        <f t="shared" si="8"/>
        <v>#DIV/0!</v>
      </c>
      <c r="AB29" s="16">
        <f t="shared" si="4"/>
        <v>0</v>
      </c>
    </row>
    <row r="30" spans="1:28" x14ac:dyDescent="0.2">
      <c r="A30" s="15" t="s">
        <v>234</v>
      </c>
      <c r="B30" s="15" t="s">
        <v>43</v>
      </c>
      <c r="C30" s="15">
        <v>22</v>
      </c>
      <c r="D30" s="15">
        <v>0</v>
      </c>
      <c r="E30" s="15" t="s">
        <v>235</v>
      </c>
      <c r="F30" s="15" t="s">
        <v>184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 t="shared" si="5"/>
        <v>0</v>
      </c>
      <c r="W30" s="15" t="e">
        <f t="shared" si="0"/>
        <v>#DIV/0!</v>
      </c>
      <c r="X30" s="15" t="e">
        <f t="shared" si="1"/>
        <v>#DIV/0!</v>
      </c>
      <c r="Y30" s="15" t="e">
        <f t="shared" si="7"/>
        <v>#DIV/0!</v>
      </c>
      <c r="Z30" s="15" t="e">
        <f t="shared" si="6"/>
        <v>#DIV/0!</v>
      </c>
      <c r="AA30" s="15" t="e">
        <f t="shared" si="8"/>
        <v>#DIV/0!</v>
      </c>
      <c r="AB30" s="15">
        <f t="shared" si="4"/>
        <v>0</v>
      </c>
    </row>
    <row r="31" spans="1:28" x14ac:dyDescent="0.2">
      <c r="A31" s="16" t="s">
        <v>236</v>
      </c>
      <c r="B31" s="16" t="s">
        <v>43</v>
      </c>
      <c r="C31" s="16">
        <v>26</v>
      </c>
      <c r="D31" s="16">
        <v>4</v>
      </c>
      <c r="E31" s="16" t="s">
        <v>237</v>
      </c>
      <c r="F31" s="16" t="s">
        <v>184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 t="shared" si="5"/>
        <v>0</v>
      </c>
      <c r="W31" s="16" t="e">
        <f t="shared" si="0"/>
        <v>#DIV/0!</v>
      </c>
      <c r="X31" s="16" t="e">
        <f t="shared" si="1"/>
        <v>#DIV/0!</v>
      </c>
      <c r="Y31" s="16" t="e">
        <f t="shared" si="7"/>
        <v>#DIV/0!</v>
      </c>
      <c r="Z31" s="16" t="e">
        <f t="shared" si="6"/>
        <v>#DIV/0!</v>
      </c>
      <c r="AA31" s="16" t="e">
        <f t="shared" si="8"/>
        <v>#DIV/0!</v>
      </c>
      <c r="AB31" s="16">
        <f t="shared" si="4"/>
        <v>0</v>
      </c>
    </row>
    <row r="32" spans="1:28" x14ac:dyDescent="0.2">
      <c r="A32" s="15" t="s">
        <v>238</v>
      </c>
      <c r="B32" s="15" t="s">
        <v>43</v>
      </c>
      <c r="C32" s="15">
        <v>24</v>
      </c>
      <c r="D32" s="15">
        <v>0</v>
      </c>
      <c r="E32" s="15" t="s">
        <v>215</v>
      </c>
      <c r="F32" s="15" t="s">
        <v>184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 t="shared" si="5"/>
        <v>0</v>
      </c>
      <c r="W32" s="15" t="e">
        <f t="shared" si="0"/>
        <v>#DIV/0!</v>
      </c>
      <c r="X32" s="15" t="e">
        <f t="shared" si="1"/>
        <v>#DIV/0!</v>
      </c>
      <c r="Y32" s="15" t="e">
        <f t="shared" si="7"/>
        <v>#DIV/0!</v>
      </c>
      <c r="Z32" s="15" t="e">
        <f t="shared" si="6"/>
        <v>#DIV/0!</v>
      </c>
      <c r="AA32" s="15" t="e">
        <f t="shared" si="8"/>
        <v>#DIV/0!</v>
      </c>
      <c r="AB32" s="15">
        <f t="shared" si="4"/>
        <v>0</v>
      </c>
    </row>
    <row r="33" spans="1:28" x14ac:dyDescent="0.2">
      <c r="A33" s="16" t="s">
        <v>239</v>
      </c>
      <c r="B33" s="16" t="s">
        <v>43</v>
      </c>
      <c r="C33" s="16">
        <v>28</v>
      </c>
      <c r="D33" s="16">
        <v>5</v>
      </c>
      <c r="E33" s="16" t="s">
        <v>240</v>
      </c>
      <c r="F33" s="16" t="s">
        <v>184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 t="shared" si="5"/>
        <v>0</v>
      </c>
      <c r="W33" s="16" t="e">
        <f t="shared" si="0"/>
        <v>#DIV/0!</v>
      </c>
      <c r="X33" s="16" t="e">
        <f t="shared" si="1"/>
        <v>#DIV/0!</v>
      </c>
      <c r="Y33" s="16" t="e">
        <f t="shared" si="7"/>
        <v>#DIV/0!</v>
      </c>
      <c r="Z33" s="16" t="e">
        <f t="shared" si="6"/>
        <v>#DIV/0!</v>
      </c>
      <c r="AA33" s="16" t="e">
        <f t="shared" si="8"/>
        <v>#DIV/0!</v>
      </c>
      <c r="AB33" s="16">
        <f t="shared" si="4"/>
        <v>0</v>
      </c>
    </row>
    <row r="34" spans="1:28" x14ac:dyDescent="0.2">
      <c r="A34" s="15" t="s">
        <v>283</v>
      </c>
      <c r="B34" s="15" t="s">
        <v>43</v>
      </c>
      <c r="C34" s="15">
        <v>28</v>
      </c>
      <c r="D34" s="15">
        <v>3</v>
      </c>
      <c r="E34" s="15" t="s">
        <v>218</v>
      </c>
      <c r="F34" s="15" t="s">
        <v>250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 t="shared" si="5"/>
        <v>0</v>
      </c>
      <c r="W34" s="15" t="e">
        <f t="shared" si="0"/>
        <v>#DIV/0!</v>
      </c>
      <c r="X34" s="15" t="e">
        <f t="shared" si="1"/>
        <v>#DIV/0!</v>
      </c>
      <c r="Y34" s="15" t="e">
        <f t="shared" si="7"/>
        <v>#DIV/0!</v>
      </c>
      <c r="Z34" s="15" t="e">
        <f t="shared" si="6"/>
        <v>#DIV/0!</v>
      </c>
      <c r="AA34" s="15" t="e">
        <f>$K34/$H34</f>
        <v>#DIV/0!</v>
      </c>
      <c r="AB34" s="15">
        <f t="shared" si="4"/>
        <v>0</v>
      </c>
    </row>
    <row r="35" spans="1:28" x14ac:dyDescent="0.2">
      <c r="A35" s="16" t="s">
        <v>284</v>
      </c>
      <c r="B35" s="16" t="s">
        <v>43</v>
      </c>
      <c r="C35" s="16">
        <v>24</v>
      </c>
      <c r="D35" s="16">
        <v>2</v>
      </c>
      <c r="E35" s="16" t="s">
        <v>285</v>
      </c>
      <c r="F35" s="16" t="s">
        <v>250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 t="shared" si="5"/>
        <v>0</v>
      </c>
      <c r="W35" s="16" t="e">
        <f t="shared" si="0"/>
        <v>#DIV/0!</v>
      </c>
      <c r="X35" s="16" t="e">
        <f t="shared" si="1"/>
        <v>#DIV/0!</v>
      </c>
      <c r="Y35" s="16" t="e">
        <f t="shared" si="7"/>
        <v>#DIV/0!</v>
      </c>
      <c r="Z35" s="16" t="e">
        <f t="shared" si="6"/>
        <v>#DIV/0!</v>
      </c>
      <c r="AA35" s="16" t="e">
        <f>$K35/$H35</f>
        <v>#DIV/0!</v>
      </c>
      <c r="AB35" s="16">
        <f t="shared" si="4"/>
        <v>0</v>
      </c>
    </row>
    <row r="36" spans="1:28" x14ac:dyDescent="0.2">
      <c r="A36" s="15" t="s">
        <v>286</v>
      </c>
      <c r="B36" s="15" t="s">
        <v>43</v>
      </c>
      <c r="C36" s="15">
        <v>24</v>
      </c>
      <c r="D36" s="15">
        <v>4</v>
      </c>
      <c r="E36" s="15" t="s">
        <v>282</v>
      </c>
      <c r="F36" s="15" t="s">
        <v>250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 t="shared" si="5"/>
        <v>0</v>
      </c>
      <c r="W36" s="15" t="e">
        <f t="shared" si="0"/>
        <v>#DIV/0!</v>
      </c>
      <c r="X36" s="15" t="e">
        <f t="shared" si="1"/>
        <v>#DIV/0!</v>
      </c>
      <c r="Y36" s="15" t="e">
        <f t="shared" si="7"/>
        <v>#DIV/0!</v>
      </c>
      <c r="Z36" s="15" t="e">
        <f t="shared" si="6"/>
        <v>#DIV/0!</v>
      </c>
      <c r="AA36" s="15" t="e">
        <f>$K36/$H36</f>
        <v>#DIV/0!</v>
      </c>
      <c r="AB36" s="15">
        <f t="shared" si="4"/>
        <v>0</v>
      </c>
    </row>
    <row r="37" spans="1:28" x14ac:dyDescent="0.2">
      <c r="A37" s="16" t="s">
        <v>287</v>
      </c>
      <c r="B37" s="16" t="s">
        <v>43</v>
      </c>
      <c r="C37" s="16">
        <v>29</v>
      </c>
      <c r="D37" s="16">
        <v>9</v>
      </c>
      <c r="E37" s="16" t="s">
        <v>232</v>
      </c>
      <c r="F37" s="16" t="s">
        <v>250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 t="shared" si="5"/>
        <v>0</v>
      </c>
      <c r="W37" s="16" t="e">
        <f t="shared" si="0"/>
        <v>#DIV/0!</v>
      </c>
      <c r="X37" s="16" t="e">
        <f t="shared" si="1"/>
        <v>#DIV/0!</v>
      </c>
      <c r="Y37" s="16" t="e">
        <f t="shared" si="7"/>
        <v>#DIV/0!</v>
      </c>
      <c r="Z37" s="16" t="e">
        <f t="shared" si="6"/>
        <v>#DIV/0!</v>
      </c>
      <c r="AA37" s="16" t="e">
        <f>$K37/$H37</f>
        <v>#DIV/0!</v>
      </c>
      <c r="AB37" s="16">
        <f t="shared" si="4"/>
        <v>0</v>
      </c>
    </row>
    <row r="38" spans="1:28" x14ac:dyDescent="0.2">
      <c r="A38" s="15" t="s">
        <v>288</v>
      </c>
      <c r="B38" s="15" t="s">
        <v>43</v>
      </c>
      <c r="C38" s="15">
        <v>25</v>
      </c>
      <c r="D38" s="15">
        <v>5</v>
      </c>
      <c r="E38" s="15" t="s">
        <v>289</v>
      </c>
      <c r="F38" s="15" t="s">
        <v>250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 t="shared" si="5"/>
        <v>0</v>
      </c>
      <c r="W38" s="15" t="e">
        <f t="shared" si="0"/>
        <v>#DIV/0!</v>
      </c>
      <c r="X38" s="15" t="e">
        <f t="shared" si="1"/>
        <v>#DIV/0!</v>
      </c>
      <c r="Y38" s="15" t="e">
        <f t="shared" si="7"/>
        <v>#DIV/0!</v>
      </c>
      <c r="Z38" s="15" t="e">
        <f t="shared" si="6"/>
        <v>#DIV/0!</v>
      </c>
      <c r="AA38" s="15" t="e">
        <f>$K38/$H38</f>
        <v>#DIV/0!</v>
      </c>
      <c r="AB38" s="15">
        <f t="shared" si="4"/>
        <v>0</v>
      </c>
    </row>
    <row r="39" spans="1:28" x14ac:dyDescent="0.2">
      <c r="A39" s="16" t="s">
        <v>290</v>
      </c>
      <c r="B39" s="16" t="s">
        <v>43</v>
      </c>
      <c r="C39" s="16">
        <v>26</v>
      </c>
      <c r="D39" s="16">
        <v>5</v>
      </c>
      <c r="E39" s="16" t="s">
        <v>291</v>
      </c>
      <c r="F39" s="16" t="s">
        <v>250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 t="shared" si="5"/>
        <v>0</v>
      </c>
      <c r="W39" s="16" t="e">
        <f t="shared" si="0"/>
        <v>#DIV/0!</v>
      </c>
      <c r="X39" s="16" t="e">
        <f t="shared" si="1"/>
        <v>#DIV/0!</v>
      </c>
      <c r="Y39" s="16" t="e">
        <f t="shared" si="7"/>
        <v>#DIV/0!</v>
      </c>
      <c r="Z39" s="16" t="e">
        <f t="shared" si="6"/>
        <v>#DIV/0!</v>
      </c>
      <c r="AA39" s="16" t="e">
        <f>$K39/$H39</f>
        <v>#DIV/0!</v>
      </c>
      <c r="AB39" s="16">
        <f t="shared" si="4"/>
        <v>0</v>
      </c>
    </row>
    <row r="40" spans="1:28" x14ac:dyDescent="0.2">
      <c r="A40" s="15" t="s">
        <v>292</v>
      </c>
      <c r="B40" s="15" t="s">
        <v>43</v>
      </c>
      <c r="C40" s="15">
        <v>26</v>
      </c>
      <c r="D40" s="15">
        <v>3</v>
      </c>
      <c r="E40" s="15" t="s">
        <v>280</v>
      </c>
      <c r="F40" s="15" t="s">
        <v>250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 t="shared" si="5"/>
        <v>0</v>
      </c>
      <c r="W40" s="15" t="e">
        <f t="shared" si="0"/>
        <v>#DIV/0!</v>
      </c>
      <c r="X40" s="15" t="e">
        <f t="shared" si="1"/>
        <v>#DIV/0!</v>
      </c>
      <c r="Y40" s="15" t="e">
        <f t="shared" si="7"/>
        <v>#DIV/0!</v>
      </c>
      <c r="Z40" s="15" t="e">
        <f t="shared" si="6"/>
        <v>#DIV/0!</v>
      </c>
      <c r="AA40" s="15" t="e">
        <f>$K40/$H40</f>
        <v>#DIV/0!</v>
      </c>
      <c r="AB40" s="15">
        <f t="shared" si="4"/>
        <v>0</v>
      </c>
    </row>
    <row r="41" spans="1:28" x14ac:dyDescent="0.2">
      <c r="A41" s="16" t="s">
        <v>293</v>
      </c>
      <c r="B41" s="16" t="s">
        <v>43</v>
      </c>
      <c r="C41" s="16">
        <v>25</v>
      </c>
      <c r="D41" s="16">
        <v>3</v>
      </c>
      <c r="E41" s="16" t="s">
        <v>294</v>
      </c>
      <c r="F41" s="16" t="s">
        <v>250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 t="shared" si="5"/>
        <v>0</v>
      </c>
      <c r="W41" s="16" t="e">
        <f t="shared" si="0"/>
        <v>#DIV/0!</v>
      </c>
      <c r="X41" s="16" t="e">
        <f t="shared" si="1"/>
        <v>#DIV/0!</v>
      </c>
      <c r="Y41" s="16" t="e">
        <f t="shared" si="7"/>
        <v>#DIV/0!</v>
      </c>
      <c r="Z41" s="16" t="e">
        <f t="shared" si="6"/>
        <v>#DIV/0!</v>
      </c>
      <c r="AA41" s="16" t="e">
        <f>$K41/$H41</f>
        <v>#DIV/0!</v>
      </c>
      <c r="AB41" s="16">
        <f t="shared" si="4"/>
        <v>0</v>
      </c>
    </row>
    <row r="42" spans="1:28" x14ac:dyDescent="0.2">
      <c r="A42" s="15" t="s">
        <v>295</v>
      </c>
      <c r="B42" s="15" t="s">
        <v>43</v>
      </c>
      <c r="C42" s="15">
        <v>23</v>
      </c>
      <c r="D42" s="15">
        <v>2</v>
      </c>
      <c r="E42" s="15" t="s">
        <v>296</v>
      </c>
      <c r="F42" s="15" t="s">
        <v>250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 t="shared" si="5"/>
        <v>0</v>
      </c>
      <c r="W42" s="15" t="e">
        <f t="shared" si="0"/>
        <v>#DIV/0!</v>
      </c>
      <c r="X42" s="15" t="e">
        <f t="shared" si="1"/>
        <v>#DIV/0!</v>
      </c>
      <c r="Y42" s="15" t="e">
        <f t="shared" si="7"/>
        <v>#DIV/0!</v>
      </c>
      <c r="Z42" s="15" t="e">
        <f t="shared" si="6"/>
        <v>#DIV/0!</v>
      </c>
      <c r="AA42" s="15" t="e">
        <f>$K42/$H42</f>
        <v>#DIV/0!</v>
      </c>
      <c r="AB42" s="15">
        <f t="shared" si="4"/>
        <v>0</v>
      </c>
    </row>
    <row r="43" spans="1:28" x14ac:dyDescent="0.2">
      <c r="A43" s="16" t="s">
        <v>297</v>
      </c>
      <c r="B43" s="16" t="s">
        <v>43</v>
      </c>
      <c r="C43" s="16">
        <v>23</v>
      </c>
      <c r="D43" s="16">
        <v>0</v>
      </c>
      <c r="E43" s="16" t="s">
        <v>298</v>
      </c>
      <c r="F43" s="16" t="s">
        <v>250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 t="shared" si="5"/>
        <v>0</v>
      </c>
      <c r="W43" s="16" t="e">
        <f t="shared" si="0"/>
        <v>#DIV/0!</v>
      </c>
      <c r="X43" s="16" t="e">
        <f t="shared" si="1"/>
        <v>#DIV/0!</v>
      </c>
      <c r="Y43" s="16" t="e">
        <f t="shared" si="7"/>
        <v>#DIV/0!</v>
      </c>
      <c r="Z43" s="16" t="e">
        <f t="shared" si="6"/>
        <v>#DIV/0!</v>
      </c>
      <c r="AA43" s="16" t="e">
        <f>$K43/$H43</f>
        <v>#DIV/0!</v>
      </c>
      <c r="AB43" s="16">
        <f t="shared" si="4"/>
        <v>0</v>
      </c>
    </row>
    <row r="44" spans="1:28" x14ac:dyDescent="0.2">
      <c r="A44" s="15" t="s">
        <v>299</v>
      </c>
      <c r="B44" s="15" t="s">
        <v>43</v>
      </c>
      <c r="C44" s="15">
        <v>27</v>
      </c>
      <c r="D44" s="15">
        <v>6</v>
      </c>
      <c r="E44" s="15" t="s">
        <v>300</v>
      </c>
      <c r="F44" s="15" t="s">
        <v>250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 t="shared" si="5"/>
        <v>0</v>
      </c>
      <c r="W44" s="15" t="e">
        <f t="shared" si="0"/>
        <v>#DIV/0!</v>
      </c>
      <c r="X44" s="15" t="e">
        <f t="shared" si="1"/>
        <v>#DIV/0!</v>
      </c>
      <c r="Y44" s="15" t="e">
        <f t="shared" si="7"/>
        <v>#DIV/0!</v>
      </c>
      <c r="Z44" s="15" t="e">
        <f t="shared" si="6"/>
        <v>#DIV/0!</v>
      </c>
      <c r="AA44" s="15" t="e">
        <f>$K44/$H44</f>
        <v>#DIV/0!</v>
      </c>
      <c r="AB44" s="15">
        <f t="shared" si="4"/>
        <v>0</v>
      </c>
    </row>
    <row r="45" spans="1:28" x14ac:dyDescent="0.2">
      <c r="A45" s="16" t="s">
        <v>301</v>
      </c>
      <c r="B45" s="16" t="s">
        <v>43</v>
      </c>
      <c r="C45" s="16">
        <v>23</v>
      </c>
      <c r="D45" s="16">
        <v>0</v>
      </c>
      <c r="E45" s="16" t="s">
        <v>178</v>
      </c>
      <c r="F45" s="16" t="s">
        <v>250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 t="shared" si="5"/>
        <v>0</v>
      </c>
      <c r="W45" s="16" t="e">
        <f t="shared" si="0"/>
        <v>#DIV/0!</v>
      </c>
      <c r="X45" s="16" t="e">
        <f t="shared" si="1"/>
        <v>#DIV/0!</v>
      </c>
      <c r="Y45" s="16" t="e">
        <f t="shared" si="7"/>
        <v>#DIV/0!</v>
      </c>
      <c r="Z45" s="16" t="e">
        <f t="shared" si="6"/>
        <v>#DIV/0!</v>
      </c>
      <c r="AA45" s="16" t="e">
        <f>$K45/$H45</f>
        <v>#DIV/0!</v>
      </c>
      <c r="AB45" s="16">
        <f t="shared" si="4"/>
        <v>0</v>
      </c>
    </row>
    <row r="46" spans="1:28" x14ac:dyDescent="0.2">
      <c r="A46" s="15" t="s">
        <v>340</v>
      </c>
      <c r="B46" s="15" t="s">
        <v>43</v>
      </c>
      <c r="C46" s="15">
        <v>30</v>
      </c>
      <c r="D46" s="15">
        <v>7</v>
      </c>
      <c r="E46" s="15" t="s">
        <v>341</v>
      </c>
      <c r="F46" s="15" t="s">
        <v>311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 t="shared" si="5"/>
        <v>0</v>
      </c>
      <c r="W46" s="15" t="e">
        <f t="shared" si="0"/>
        <v>#DIV/0!</v>
      </c>
      <c r="X46" s="15" t="e">
        <f t="shared" si="1"/>
        <v>#DIV/0!</v>
      </c>
      <c r="Y46" s="15" t="e">
        <f t="shared" si="7"/>
        <v>#DIV/0!</v>
      </c>
      <c r="Z46" s="15" t="e">
        <f t="shared" si="6"/>
        <v>#DIV/0!</v>
      </c>
      <c r="AA46" s="15" t="e">
        <f>$K46/$H46</f>
        <v>#DIV/0!</v>
      </c>
      <c r="AB46" s="15">
        <f t="shared" si="4"/>
        <v>0</v>
      </c>
    </row>
    <row r="47" spans="1:28" x14ac:dyDescent="0.2">
      <c r="A47" s="16" t="s">
        <v>342</v>
      </c>
      <c r="B47" s="16" t="s">
        <v>43</v>
      </c>
      <c r="C47" s="16">
        <v>26</v>
      </c>
      <c r="D47" s="16">
        <v>6</v>
      </c>
      <c r="E47" s="16" t="s">
        <v>227</v>
      </c>
      <c r="F47" s="16" t="s">
        <v>311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 t="shared" si="5"/>
        <v>0</v>
      </c>
      <c r="W47" s="16" t="e">
        <f t="shared" si="0"/>
        <v>#DIV/0!</v>
      </c>
      <c r="X47" s="16" t="e">
        <f t="shared" si="1"/>
        <v>#DIV/0!</v>
      </c>
      <c r="Y47" s="16" t="e">
        <f t="shared" si="7"/>
        <v>#DIV/0!</v>
      </c>
      <c r="Z47" s="16" t="e">
        <f t="shared" si="6"/>
        <v>#DIV/0!</v>
      </c>
      <c r="AA47" s="16" t="e">
        <f>$K47/$H47</f>
        <v>#DIV/0!</v>
      </c>
      <c r="AB47" s="16">
        <f t="shared" si="4"/>
        <v>0</v>
      </c>
    </row>
    <row r="48" spans="1:28" x14ac:dyDescent="0.2">
      <c r="A48" s="15" t="s">
        <v>343</v>
      </c>
      <c r="B48" s="15" t="s">
        <v>43</v>
      </c>
      <c r="C48" s="15">
        <v>26</v>
      </c>
      <c r="D48" s="15">
        <v>2</v>
      </c>
      <c r="E48" s="15" t="s">
        <v>344</v>
      </c>
      <c r="F48" s="15" t="s">
        <v>311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 t="shared" si="5"/>
        <v>0</v>
      </c>
      <c r="W48" s="15" t="e">
        <f t="shared" si="0"/>
        <v>#DIV/0!</v>
      </c>
      <c r="X48" s="15" t="e">
        <f t="shared" si="1"/>
        <v>#DIV/0!</v>
      </c>
      <c r="Y48" s="15" t="e">
        <f t="shared" si="7"/>
        <v>#DIV/0!</v>
      </c>
      <c r="Z48" s="15" t="e">
        <f t="shared" si="6"/>
        <v>#DIV/0!</v>
      </c>
      <c r="AA48" s="15" t="e">
        <f>$K48/$H48</f>
        <v>#DIV/0!</v>
      </c>
      <c r="AB48" s="15">
        <f t="shared" si="4"/>
        <v>0</v>
      </c>
    </row>
    <row r="49" spans="1:28" x14ac:dyDescent="0.2">
      <c r="A49" s="16" t="s">
        <v>345</v>
      </c>
      <c r="B49" s="16" t="s">
        <v>43</v>
      </c>
      <c r="C49" s="16">
        <v>23</v>
      </c>
      <c r="D49" s="16">
        <v>3</v>
      </c>
      <c r="E49" s="16" t="s">
        <v>227</v>
      </c>
      <c r="F49" s="16" t="s">
        <v>311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 t="shared" si="5"/>
        <v>0</v>
      </c>
      <c r="W49" s="16" t="e">
        <f t="shared" si="0"/>
        <v>#DIV/0!</v>
      </c>
      <c r="X49" s="16" t="e">
        <f t="shared" si="1"/>
        <v>#DIV/0!</v>
      </c>
      <c r="Y49" s="16" t="e">
        <f t="shared" si="7"/>
        <v>#DIV/0!</v>
      </c>
      <c r="Z49" s="16" t="e">
        <f t="shared" si="6"/>
        <v>#DIV/0!</v>
      </c>
      <c r="AA49" s="16" t="e">
        <f>$K49/$H49</f>
        <v>#DIV/0!</v>
      </c>
      <c r="AB49" s="16">
        <f t="shared" si="4"/>
        <v>0</v>
      </c>
    </row>
    <row r="50" spans="1:28" x14ac:dyDescent="0.2">
      <c r="A50" s="15" t="s">
        <v>346</v>
      </c>
      <c r="B50" s="15" t="s">
        <v>43</v>
      </c>
      <c r="C50" s="15">
        <v>22</v>
      </c>
      <c r="D50" s="15">
        <v>0</v>
      </c>
      <c r="E50" s="15" t="s">
        <v>240</v>
      </c>
      <c r="F50" s="15" t="s">
        <v>311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 t="shared" si="5"/>
        <v>0</v>
      </c>
      <c r="W50" s="15" t="e">
        <f t="shared" si="0"/>
        <v>#DIV/0!</v>
      </c>
      <c r="X50" s="15" t="e">
        <f t="shared" si="1"/>
        <v>#DIV/0!</v>
      </c>
      <c r="Y50" s="15" t="e">
        <f t="shared" si="7"/>
        <v>#DIV/0!</v>
      </c>
      <c r="Z50" s="15" t="e">
        <f t="shared" si="6"/>
        <v>#DIV/0!</v>
      </c>
      <c r="AA50" s="15" t="e">
        <f>$K50/$H50</f>
        <v>#DIV/0!</v>
      </c>
      <c r="AB50" s="15">
        <f t="shared" si="4"/>
        <v>0</v>
      </c>
    </row>
    <row r="51" spans="1:28" x14ac:dyDescent="0.2">
      <c r="A51" s="16" t="s">
        <v>347</v>
      </c>
      <c r="B51" s="16" t="s">
        <v>43</v>
      </c>
      <c r="C51" s="16">
        <v>26</v>
      </c>
      <c r="D51" s="16">
        <v>1</v>
      </c>
      <c r="E51" s="16" t="s">
        <v>213</v>
      </c>
      <c r="F51" s="16" t="s">
        <v>311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 t="shared" si="5"/>
        <v>0</v>
      </c>
      <c r="W51" s="16" t="e">
        <f t="shared" si="0"/>
        <v>#DIV/0!</v>
      </c>
      <c r="X51" s="16" t="e">
        <f t="shared" si="1"/>
        <v>#DIV/0!</v>
      </c>
      <c r="Y51" s="16" t="e">
        <f t="shared" si="7"/>
        <v>#DIV/0!</v>
      </c>
      <c r="Z51" s="16" t="e">
        <f t="shared" si="6"/>
        <v>#DIV/0!</v>
      </c>
      <c r="AA51" s="16" t="e">
        <f>$K51/$H51</f>
        <v>#DIV/0!</v>
      </c>
      <c r="AB51" s="16">
        <f t="shared" si="4"/>
        <v>0</v>
      </c>
    </row>
    <row r="52" spans="1:28" x14ac:dyDescent="0.2">
      <c r="A52" s="15" t="s">
        <v>348</v>
      </c>
      <c r="B52" s="15" t="s">
        <v>43</v>
      </c>
      <c r="C52" s="15">
        <v>24</v>
      </c>
      <c r="D52" s="15">
        <v>4</v>
      </c>
      <c r="E52" s="15" t="s">
        <v>84</v>
      </c>
      <c r="F52" s="15" t="s">
        <v>311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 t="shared" si="5"/>
        <v>0</v>
      </c>
      <c r="W52" s="15" t="e">
        <f t="shared" si="0"/>
        <v>#DIV/0!</v>
      </c>
      <c r="X52" s="15" t="e">
        <f t="shared" si="1"/>
        <v>#DIV/0!</v>
      </c>
      <c r="Y52" s="15" t="e">
        <f t="shared" si="7"/>
        <v>#DIV/0!</v>
      </c>
      <c r="Z52" s="15" t="e">
        <f t="shared" si="6"/>
        <v>#DIV/0!</v>
      </c>
      <c r="AA52" s="15" t="e">
        <f>$K52/$H52</f>
        <v>#DIV/0!</v>
      </c>
      <c r="AB52" s="15">
        <f t="shared" si="4"/>
        <v>0</v>
      </c>
    </row>
    <row r="53" spans="1:28" x14ac:dyDescent="0.2">
      <c r="A53" s="16" t="s">
        <v>349</v>
      </c>
      <c r="B53" s="16" t="s">
        <v>43</v>
      </c>
      <c r="C53" s="16">
        <v>24</v>
      </c>
      <c r="D53" s="16">
        <v>3</v>
      </c>
      <c r="E53" s="16" t="s">
        <v>341</v>
      </c>
      <c r="F53" s="16" t="s">
        <v>311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 t="shared" si="5"/>
        <v>0</v>
      </c>
      <c r="W53" s="16" t="e">
        <f t="shared" si="0"/>
        <v>#DIV/0!</v>
      </c>
      <c r="X53" s="16" t="e">
        <f t="shared" si="1"/>
        <v>#DIV/0!</v>
      </c>
      <c r="Y53" s="16" t="e">
        <f t="shared" si="7"/>
        <v>#DIV/0!</v>
      </c>
      <c r="Z53" s="16" t="e">
        <f t="shared" si="6"/>
        <v>#DIV/0!</v>
      </c>
      <c r="AA53" s="16" t="e">
        <f>$K53/$H53</f>
        <v>#DIV/0!</v>
      </c>
      <c r="AB53" s="16">
        <f t="shared" si="4"/>
        <v>0</v>
      </c>
    </row>
    <row r="54" spans="1:28" x14ac:dyDescent="0.2">
      <c r="A54" s="15" t="s">
        <v>350</v>
      </c>
      <c r="B54" s="15" t="s">
        <v>43</v>
      </c>
      <c r="C54" s="15">
        <v>32</v>
      </c>
      <c r="D54" s="15">
        <v>10</v>
      </c>
      <c r="E54" s="15" t="s">
        <v>351</v>
      </c>
      <c r="F54" s="15" t="s">
        <v>311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 t="shared" si="5"/>
        <v>0</v>
      </c>
      <c r="W54" s="15" t="e">
        <f t="shared" si="0"/>
        <v>#DIV/0!</v>
      </c>
      <c r="X54" s="15" t="e">
        <f t="shared" si="1"/>
        <v>#DIV/0!</v>
      </c>
      <c r="Y54" s="15" t="e">
        <f t="shared" si="7"/>
        <v>#DIV/0!</v>
      </c>
      <c r="Z54" s="15" t="e">
        <f t="shared" si="6"/>
        <v>#DIV/0!</v>
      </c>
      <c r="AA54" s="15" t="e">
        <f>$K54/$H54</f>
        <v>#DIV/0!</v>
      </c>
      <c r="AB54" s="15">
        <f t="shared" si="4"/>
        <v>0</v>
      </c>
    </row>
    <row r="55" spans="1:28" x14ac:dyDescent="0.2">
      <c r="A55" s="16" t="s">
        <v>352</v>
      </c>
      <c r="B55" s="16" t="s">
        <v>43</v>
      </c>
      <c r="C55" s="16">
        <v>23</v>
      </c>
      <c r="D55" s="16">
        <v>0</v>
      </c>
      <c r="E55" s="16" t="s">
        <v>341</v>
      </c>
      <c r="F55" s="16" t="s">
        <v>311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 t="shared" si="5"/>
        <v>0</v>
      </c>
      <c r="W55" s="16" t="e">
        <f t="shared" si="0"/>
        <v>#DIV/0!</v>
      </c>
      <c r="X55" s="16" t="e">
        <f t="shared" si="1"/>
        <v>#DIV/0!</v>
      </c>
      <c r="Y55" s="16" t="e">
        <f t="shared" si="7"/>
        <v>#DIV/0!</v>
      </c>
      <c r="Z55" s="16" t="e">
        <f t="shared" si="6"/>
        <v>#DIV/0!</v>
      </c>
      <c r="AA55" s="16" t="e">
        <f>$K55/$H55</f>
        <v>#DIV/0!</v>
      </c>
      <c r="AB55" s="16">
        <f t="shared" si="4"/>
        <v>0</v>
      </c>
    </row>
    <row r="56" spans="1:28" x14ac:dyDescent="0.2">
      <c r="A56" s="15" t="s">
        <v>353</v>
      </c>
      <c r="B56" s="15" t="s">
        <v>43</v>
      </c>
      <c r="C56" s="15">
        <v>28</v>
      </c>
      <c r="D56" s="15">
        <v>4</v>
      </c>
      <c r="E56" s="15" t="s">
        <v>173</v>
      </c>
      <c r="F56" s="15" t="s">
        <v>311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 t="shared" si="5"/>
        <v>0</v>
      </c>
      <c r="W56" s="15" t="e">
        <f t="shared" si="0"/>
        <v>#DIV/0!</v>
      </c>
      <c r="X56" s="15" t="e">
        <f t="shared" si="1"/>
        <v>#DIV/0!</v>
      </c>
      <c r="Y56" s="15" t="e">
        <f t="shared" si="7"/>
        <v>#DIV/0!</v>
      </c>
      <c r="Z56" s="15" t="e">
        <f t="shared" si="6"/>
        <v>#DIV/0!</v>
      </c>
      <c r="AA56" s="15" t="e">
        <f>$K56/$H56</f>
        <v>#DIV/0!</v>
      </c>
      <c r="AB56" s="15">
        <f t="shared" si="4"/>
        <v>0</v>
      </c>
    </row>
    <row r="57" spans="1:28" x14ac:dyDescent="0.2">
      <c r="A57" s="16" t="s">
        <v>399</v>
      </c>
      <c r="B57" s="16" t="s">
        <v>43</v>
      </c>
      <c r="C57" s="16">
        <v>25</v>
      </c>
      <c r="D57" s="16">
        <v>4</v>
      </c>
      <c r="E57" s="16" t="s">
        <v>362</v>
      </c>
      <c r="F57" s="16" t="s">
        <v>364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 t="shared" si="5"/>
        <v>0</v>
      </c>
      <c r="W57" s="16" t="e">
        <f t="shared" si="0"/>
        <v>#DIV/0!</v>
      </c>
      <c r="X57" s="16" t="e">
        <f t="shared" si="1"/>
        <v>#DIV/0!</v>
      </c>
      <c r="Y57" s="16" t="e">
        <f t="shared" si="7"/>
        <v>#DIV/0!</v>
      </c>
      <c r="Z57" s="16" t="e">
        <f t="shared" si="6"/>
        <v>#DIV/0!</v>
      </c>
      <c r="AA57" s="16" t="e">
        <f>$K57/$H57</f>
        <v>#DIV/0!</v>
      </c>
      <c r="AB57" s="16">
        <f t="shared" si="4"/>
        <v>0</v>
      </c>
    </row>
    <row r="58" spans="1:28" x14ac:dyDescent="0.2">
      <c r="A58" s="15" t="s">
        <v>400</v>
      </c>
      <c r="B58" s="15" t="s">
        <v>43</v>
      </c>
      <c r="C58" s="15">
        <v>27</v>
      </c>
      <c r="D58" s="15">
        <v>5</v>
      </c>
      <c r="E58" s="15" t="s">
        <v>333</v>
      </c>
      <c r="F58" s="15" t="s">
        <v>364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 t="shared" si="5"/>
        <v>0</v>
      </c>
      <c r="W58" s="15" t="e">
        <f t="shared" si="0"/>
        <v>#DIV/0!</v>
      </c>
      <c r="X58" s="15" t="e">
        <f t="shared" si="1"/>
        <v>#DIV/0!</v>
      </c>
      <c r="Y58" s="15" t="e">
        <f t="shared" si="7"/>
        <v>#DIV/0!</v>
      </c>
      <c r="Z58" s="15" t="e">
        <f t="shared" si="6"/>
        <v>#DIV/0!</v>
      </c>
      <c r="AA58" s="15" t="e">
        <f>$K58/$H58</f>
        <v>#DIV/0!</v>
      </c>
      <c r="AB58" s="15">
        <f t="shared" si="4"/>
        <v>0</v>
      </c>
    </row>
    <row r="59" spans="1:28" x14ac:dyDescent="0.2">
      <c r="A59" s="16" t="s">
        <v>401</v>
      </c>
      <c r="B59" s="16" t="s">
        <v>43</v>
      </c>
      <c r="C59" s="16">
        <v>27</v>
      </c>
      <c r="D59" s="16">
        <v>4</v>
      </c>
      <c r="E59" s="16" t="s">
        <v>402</v>
      </c>
      <c r="F59" s="16" t="s">
        <v>364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 t="shared" si="5"/>
        <v>0</v>
      </c>
      <c r="W59" s="16" t="e">
        <f t="shared" si="0"/>
        <v>#DIV/0!</v>
      </c>
      <c r="X59" s="16" t="e">
        <f t="shared" si="1"/>
        <v>#DIV/0!</v>
      </c>
      <c r="Y59" s="16" t="e">
        <f t="shared" si="7"/>
        <v>#DIV/0!</v>
      </c>
      <c r="Z59" s="16" t="e">
        <f t="shared" si="6"/>
        <v>#DIV/0!</v>
      </c>
      <c r="AA59" s="16" t="e">
        <f>$K59/$H59</f>
        <v>#DIV/0!</v>
      </c>
      <c r="AB59" s="16">
        <f t="shared" si="4"/>
        <v>0</v>
      </c>
    </row>
    <row r="60" spans="1:28" x14ac:dyDescent="0.2">
      <c r="A60" s="15" t="s">
        <v>403</v>
      </c>
      <c r="B60" s="15" t="s">
        <v>43</v>
      </c>
      <c r="C60" s="15">
        <v>26</v>
      </c>
      <c r="D60" s="15">
        <v>2</v>
      </c>
      <c r="E60" s="15" t="s">
        <v>143</v>
      </c>
      <c r="F60" s="15" t="s">
        <v>364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 t="shared" si="5"/>
        <v>0</v>
      </c>
      <c r="W60" s="15" t="e">
        <f t="shared" si="0"/>
        <v>#DIV/0!</v>
      </c>
      <c r="X60" s="15" t="e">
        <f t="shared" si="1"/>
        <v>#DIV/0!</v>
      </c>
      <c r="Y60" s="15" t="e">
        <f t="shared" si="7"/>
        <v>#DIV/0!</v>
      </c>
      <c r="Z60" s="15" t="e">
        <f t="shared" si="6"/>
        <v>#DIV/0!</v>
      </c>
      <c r="AA60" s="15" t="e">
        <f>$K60/$H60</f>
        <v>#DIV/0!</v>
      </c>
      <c r="AB60" s="15">
        <f t="shared" si="4"/>
        <v>0</v>
      </c>
    </row>
    <row r="61" spans="1:28" x14ac:dyDescent="0.2">
      <c r="A61" s="16" t="s">
        <v>404</v>
      </c>
      <c r="B61" s="16" t="s">
        <v>43</v>
      </c>
      <c r="C61" s="16">
        <v>25</v>
      </c>
      <c r="D61" s="16">
        <v>4</v>
      </c>
      <c r="E61" s="16" t="s">
        <v>405</v>
      </c>
      <c r="F61" s="16" t="s">
        <v>364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 t="shared" si="5"/>
        <v>0</v>
      </c>
      <c r="W61" s="16" t="e">
        <f t="shared" si="0"/>
        <v>#DIV/0!</v>
      </c>
      <c r="X61" s="16" t="e">
        <f t="shared" si="1"/>
        <v>#DIV/0!</v>
      </c>
      <c r="Y61" s="16" t="e">
        <f t="shared" si="7"/>
        <v>#DIV/0!</v>
      </c>
      <c r="Z61" s="16" t="e">
        <f t="shared" si="6"/>
        <v>#DIV/0!</v>
      </c>
      <c r="AA61" s="16" t="e">
        <f>$K61/$H61</f>
        <v>#DIV/0!</v>
      </c>
      <c r="AB61" s="16">
        <f t="shared" si="4"/>
        <v>0</v>
      </c>
    </row>
    <row r="62" spans="1:28" x14ac:dyDescent="0.2">
      <c r="A62" s="15" t="s">
        <v>406</v>
      </c>
      <c r="B62" s="15" t="s">
        <v>43</v>
      </c>
      <c r="C62" s="15">
        <v>26</v>
      </c>
      <c r="D62" s="15">
        <v>6</v>
      </c>
      <c r="E62" s="15" t="s">
        <v>232</v>
      </c>
      <c r="F62" s="15" t="s">
        <v>364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 t="shared" si="5"/>
        <v>0</v>
      </c>
      <c r="W62" s="15" t="e">
        <f t="shared" si="0"/>
        <v>#DIV/0!</v>
      </c>
      <c r="X62" s="15" t="e">
        <f t="shared" si="1"/>
        <v>#DIV/0!</v>
      </c>
      <c r="Y62" s="15" t="e">
        <f t="shared" si="7"/>
        <v>#DIV/0!</v>
      </c>
      <c r="Z62" s="15" t="e">
        <f t="shared" si="6"/>
        <v>#DIV/0!</v>
      </c>
      <c r="AA62" s="15" t="e">
        <f>$K62/$H62</f>
        <v>#DIV/0!</v>
      </c>
      <c r="AB62" s="15">
        <f t="shared" si="4"/>
        <v>0</v>
      </c>
    </row>
    <row r="63" spans="1:28" x14ac:dyDescent="0.2">
      <c r="A63" s="16" t="s">
        <v>407</v>
      </c>
      <c r="B63" s="16" t="s">
        <v>43</v>
      </c>
      <c r="C63" s="16">
        <v>27</v>
      </c>
      <c r="D63" s="16">
        <v>6</v>
      </c>
      <c r="E63" s="16" t="s">
        <v>86</v>
      </c>
      <c r="F63" s="16" t="s">
        <v>364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 t="shared" si="5"/>
        <v>0</v>
      </c>
      <c r="W63" s="16" t="e">
        <f t="shared" si="0"/>
        <v>#DIV/0!</v>
      </c>
      <c r="X63" s="16" t="e">
        <f t="shared" si="1"/>
        <v>#DIV/0!</v>
      </c>
      <c r="Y63" s="16" t="e">
        <f t="shared" si="7"/>
        <v>#DIV/0!</v>
      </c>
      <c r="Z63" s="16" t="e">
        <f t="shared" si="6"/>
        <v>#DIV/0!</v>
      </c>
      <c r="AA63" s="16" t="e">
        <f>$K63/$H63</f>
        <v>#DIV/0!</v>
      </c>
      <c r="AB63" s="16">
        <f t="shared" si="4"/>
        <v>0</v>
      </c>
    </row>
    <row r="64" spans="1:28" x14ac:dyDescent="0.2">
      <c r="A64" s="15" t="s">
        <v>408</v>
      </c>
      <c r="B64" s="15" t="s">
        <v>43</v>
      </c>
      <c r="C64" s="15">
        <v>25</v>
      </c>
      <c r="D64" s="15">
        <v>2</v>
      </c>
      <c r="E64" s="15" t="s">
        <v>409</v>
      </c>
      <c r="F64" s="15" t="s">
        <v>364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 t="shared" si="5"/>
        <v>0</v>
      </c>
      <c r="W64" s="15" t="e">
        <f t="shared" si="0"/>
        <v>#DIV/0!</v>
      </c>
      <c r="X64" s="15" t="e">
        <f t="shared" si="1"/>
        <v>#DIV/0!</v>
      </c>
      <c r="Y64" s="15" t="e">
        <f t="shared" si="7"/>
        <v>#DIV/0!</v>
      </c>
      <c r="Z64" s="15" t="e">
        <f t="shared" si="6"/>
        <v>#DIV/0!</v>
      </c>
      <c r="AA64" s="15" t="e">
        <f>$K64/$H64</f>
        <v>#DIV/0!</v>
      </c>
      <c r="AB64" s="15">
        <f t="shared" si="4"/>
        <v>0</v>
      </c>
    </row>
    <row r="65" spans="1:28" x14ac:dyDescent="0.2">
      <c r="A65" s="16" t="s">
        <v>410</v>
      </c>
      <c r="B65" s="16" t="s">
        <v>43</v>
      </c>
      <c r="C65" s="16">
        <v>21</v>
      </c>
      <c r="D65" s="16">
        <v>0</v>
      </c>
      <c r="E65" s="16" t="s">
        <v>136</v>
      </c>
      <c r="F65" s="16" t="s">
        <v>364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 t="shared" si="5"/>
        <v>0</v>
      </c>
      <c r="W65" s="16" t="e">
        <f t="shared" si="0"/>
        <v>#DIV/0!</v>
      </c>
      <c r="X65" s="16" t="e">
        <f t="shared" si="1"/>
        <v>#DIV/0!</v>
      </c>
      <c r="Y65" s="16" t="e">
        <f t="shared" si="7"/>
        <v>#DIV/0!</v>
      </c>
      <c r="Z65" s="16" t="e">
        <f t="shared" si="6"/>
        <v>#DIV/0!</v>
      </c>
      <c r="AA65" s="16" t="e">
        <f>$K65/$H65</f>
        <v>#DIV/0!</v>
      </c>
      <c r="AB65" s="16">
        <f t="shared" si="4"/>
        <v>0</v>
      </c>
    </row>
    <row r="66" spans="1:28" x14ac:dyDescent="0.2">
      <c r="A66" s="15" t="s">
        <v>411</v>
      </c>
      <c r="B66" s="15" t="s">
        <v>43</v>
      </c>
      <c r="C66" s="15">
        <v>26</v>
      </c>
      <c r="D66" s="15">
        <v>6</v>
      </c>
      <c r="E66" s="15" t="s">
        <v>362</v>
      </c>
      <c r="F66" s="15" t="s">
        <v>364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 t="shared" si="5"/>
        <v>0</v>
      </c>
      <c r="W66" s="15" t="e">
        <f t="shared" ref="W66:W129" si="9">$P66/$H$33</f>
        <v>#DIV/0!</v>
      </c>
      <c r="X66" s="15" t="e">
        <f t="shared" ref="X66:X129" si="10">$N66/$M66</f>
        <v>#DIV/0!</v>
      </c>
      <c r="Y66" s="15" t="e">
        <f t="shared" si="7"/>
        <v>#DIV/0!</v>
      </c>
      <c r="Z66" s="15" t="e">
        <f t="shared" si="6"/>
        <v>#DIV/0!</v>
      </c>
      <c r="AA66" s="15" t="e">
        <f>$K66/$H66</f>
        <v>#DIV/0!</v>
      </c>
      <c r="AB66" s="15">
        <f t="shared" ref="AB66:AB129" si="11">($J66*Cp_yd)+($K66*Cp_td)+($L66*Cint)+($M66*Ccar)+($N66*Cr_yd)+($O66*Cr_td)+(Q66*Crec)+($R66*Crec_yd)+($S66*Crec_td)+($T66*Cfmb)+($U66*Ctp_c)</f>
        <v>0</v>
      </c>
    </row>
    <row r="67" spans="1:28" x14ac:dyDescent="0.2">
      <c r="A67" s="16" t="s">
        <v>453</v>
      </c>
      <c r="B67" s="16" t="s">
        <v>43</v>
      </c>
      <c r="C67" s="16">
        <v>29</v>
      </c>
      <c r="D67" s="16">
        <v>8</v>
      </c>
      <c r="E67" s="16" t="s">
        <v>74</v>
      </c>
      <c r="F67" s="16" t="s">
        <v>425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 t="shared" ref="V67:V130" si="12">($J67*0.04)+($K67*4)+($L67*-2)+($N67*0.1)+($O67*6)+($Q67)+($R67*0.1)+($S67*6)+($T67*-2)</f>
        <v>0</v>
      </c>
      <c r="W67" s="16" t="e">
        <f t="shared" si="9"/>
        <v>#DIV/0!</v>
      </c>
      <c r="X67" s="16" t="e">
        <f t="shared" si="10"/>
        <v>#DIV/0!</v>
      </c>
      <c r="Y67" s="16" t="e">
        <f t="shared" si="7"/>
        <v>#DIV/0!</v>
      </c>
      <c r="Z67" s="16" t="e">
        <f t="shared" si="6"/>
        <v>#DIV/0!</v>
      </c>
      <c r="AA67" s="16" t="e">
        <f>$K67/$H67</f>
        <v>#DIV/0!</v>
      </c>
      <c r="AB67" s="16">
        <f t="shared" si="11"/>
        <v>0</v>
      </c>
    </row>
    <row r="68" spans="1:28" x14ac:dyDescent="0.2">
      <c r="A68" s="15" t="s">
        <v>454</v>
      </c>
      <c r="B68" s="15" t="s">
        <v>43</v>
      </c>
      <c r="C68" s="15">
        <v>23</v>
      </c>
      <c r="D68" s="15">
        <v>0</v>
      </c>
      <c r="E68" s="15" t="s">
        <v>455</v>
      </c>
      <c r="F68" s="15" t="s">
        <v>425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 t="shared" si="12"/>
        <v>0</v>
      </c>
      <c r="W68" s="15" t="e">
        <f t="shared" si="9"/>
        <v>#DIV/0!</v>
      </c>
      <c r="X68" s="15" t="e">
        <f t="shared" si="10"/>
        <v>#DIV/0!</v>
      </c>
      <c r="Y68" s="15" t="e">
        <f t="shared" si="7"/>
        <v>#DIV/0!</v>
      </c>
      <c r="Z68" s="15" t="e">
        <f t="shared" si="6"/>
        <v>#DIV/0!</v>
      </c>
      <c r="AA68" s="15" t="e">
        <f>$K68/$H68</f>
        <v>#DIV/0!</v>
      </c>
      <c r="AB68" s="15">
        <f t="shared" si="11"/>
        <v>0</v>
      </c>
    </row>
    <row r="69" spans="1:28" x14ac:dyDescent="0.2">
      <c r="A69" s="16" t="s">
        <v>456</v>
      </c>
      <c r="B69" s="16" t="s">
        <v>43</v>
      </c>
      <c r="C69" s="16">
        <v>23</v>
      </c>
      <c r="D69" s="16">
        <v>3</v>
      </c>
      <c r="E69" s="16" t="s">
        <v>227</v>
      </c>
      <c r="F69" s="16" t="s">
        <v>425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 t="shared" si="12"/>
        <v>0</v>
      </c>
      <c r="W69" s="16" t="e">
        <f t="shared" si="9"/>
        <v>#DIV/0!</v>
      </c>
      <c r="X69" s="16" t="e">
        <f t="shared" si="10"/>
        <v>#DIV/0!</v>
      </c>
      <c r="Y69" s="16" t="e">
        <f t="shared" si="7"/>
        <v>#DIV/0!</v>
      </c>
      <c r="Z69" s="16" t="e">
        <f t="shared" si="6"/>
        <v>#DIV/0!</v>
      </c>
      <c r="AA69" s="16" t="e">
        <f>$K69/$H69</f>
        <v>#DIV/0!</v>
      </c>
      <c r="AB69" s="16">
        <f t="shared" si="11"/>
        <v>0</v>
      </c>
    </row>
    <row r="70" spans="1:28" x14ac:dyDescent="0.2">
      <c r="A70" s="15" t="s">
        <v>457</v>
      </c>
      <c r="B70" s="15" t="s">
        <v>43</v>
      </c>
      <c r="C70" s="15">
        <v>24</v>
      </c>
      <c r="D70" s="15">
        <v>4</v>
      </c>
      <c r="E70" s="15" t="s">
        <v>458</v>
      </c>
      <c r="F70" s="15" t="s">
        <v>425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 t="shared" si="12"/>
        <v>0</v>
      </c>
      <c r="W70" s="15" t="e">
        <f t="shared" si="9"/>
        <v>#DIV/0!</v>
      </c>
      <c r="X70" s="15" t="e">
        <f t="shared" si="10"/>
        <v>#DIV/0!</v>
      </c>
      <c r="Y70" s="15" t="e">
        <f t="shared" si="7"/>
        <v>#DIV/0!</v>
      </c>
      <c r="Z70" s="15" t="e">
        <f t="shared" si="6"/>
        <v>#DIV/0!</v>
      </c>
      <c r="AA70" s="15" t="e">
        <f>$K70/$H70</f>
        <v>#DIV/0!</v>
      </c>
      <c r="AB70" s="15">
        <f t="shared" si="11"/>
        <v>0</v>
      </c>
    </row>
    <row r="71" spans="1:28" x14ac:dyDescent="0.2">
      <c r="A71" s="16" t="s">
        <v>459</v>
      </c>
      <c r="B71" s="16" t="s">
        <v>43</v>
      </c>
      <c r="C71" s="16">
        <v>24</v>
      </c>
      <c r="D71" s="16">
        <v>0</v>
      </c>
      <c r="E71" s="16" t="s">
        <v>460</v>
      </c>
      <c r="F71" s="16" t="s">
        <v>425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 t="shared" si="12"/>
        <v>0</v>
      </c>
      <c r="W71" s="16" t="e">
        <f t="shared" si="9"/>
        <v>#DIV/0!</v>
      </c>
      <c r="X71" s="16" t="e">
        <f t="shared" si="10"/>
        <v>#DIV/0!</v>
      </c>
      <c r="Y71" s="16" t="e">
        <f t="shared" si="7"/>
        <v>#DIV/0!</v>
      </c>
      <c r="Z71" s="16" t="e">
        <f t="shared" si="6"/>
        <v>#DIV/0!</v>
      </c>
      <c r="AA71" s="16" t="e">
        <f>$K71/$H71</f>
        <v>#DIV/0!</v>
      </c>
      <c r="AB71" s="16">
        <f t="shared" si="11"/>
        <v>0</v>
      </c>
    </row>
    <row r="72" spans="1:28" x14ac:dyDescent="0.2">
      <c r="A72" s="15" t="s">
        <v>461</v>
      </c>
      <c r="B72" s="15" t="s">
        <v>43</v>
      </c>
      <c r="C72" s="15">
        <v>23</v>
      </c>
      <c r="D72" s="15">
        <v>0</v>
      </c>
      <c r="E72" s="15" t="s">
        <v>415</v>
      </c>
      <c r="F72" s="15" t="s">
        <v>425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 t="shared" si="12"/>
        <v>0</v>
      </c>
      <c r="W72" s="15" t="e">
        <f t="shared" si="9"/>
        <v>#DIV/0!</v>
      </c>
      <c r="X72" s="15" t="e">
        <f t="shared" si="10"/>
        <v>#DIV/0!</v>
      </c>
      <c r="Y72" s="15" t="e">
        <f t="shared" si="7"/>
        <v>#DIV/0!</v>
      </c>
      <c r="Z72" s="15" t="e">
        <f t="shared" si="6"/>
        <v>#DIV/0!</v>
      </c>
      <c r="AA72" s="15" t="e">
        <f>$K72/$H72</f>
        <v>#DIV/0!</v>
      </c>
      <c r="AB72" s="15">
        <f t="shared" si="11"/>
        <v>0</v>
      </c>
    </row>
    <row r="73" spans="1:28" x14ac:dyDescent="0.2">
      <c r="A73" s="16" t="s">
        <v>462</v>
      </c>
      <c r="B73" s="16" t="s">
        <v>43</v>
      </c>
      <c r="C73" s="16">
        <v>27</v>
      </c>
      <c r="D73" s="16">
        <v>3</v>
      </c>
      <c r="E73" s="16" t="s">
        <v>102</v>
      </c>
      <c r="F73" s="16" t="s">
        <v>425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 t="shared" si="12"/>
        <v>0</v>
      </c>
      <c r="W73" s="16" t="e">
        <f t="shared" si="9"/>
        <v>#DIV/0!</v>
      </c>
      <c r="X73" s="16" t="e">
        <f t="shared" si="10"/>
        <v>#DIV/0!</v>
      </c>
      <c r="Y73" s="16" t="e">
        <f t="shared" si="7"/>
        <v>#DIV/0!</v>
      </c>
      <c r="Z73" s="16" t="e">
        <f t="shared" si="6"/>
        <v>#DIV/0!</v>
      </c>
      <c r="AA73" s="16" t="e">
        <f>$K73/$H73</f>
        <v>#DIV/0!</v>
      </c>
      <c r="AB73" s="16">
        <f t="shared" si="11"/>
        <v>0</v>
      </c>
    </row>
    <row r="74" spans="1:28" x14ac:dyDescent="0.2">
      <c r="A74" s="15" t="s">
        <v>463</v>
      </c>
      <c r="B74" s="15" t="s">
        <v>43</v>
      </c>
      <c r="C74" s="15">
        <v>23</v>
      </c>
      <c r="D74" s="15">
        <v>0</v>
      </c>
      <c r="E74" s="15" t="s">
        <v>464</v>
      </c>
      <c r="F74" s="15" t="s">
        <v>425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 t="shared" si="12"/>
        <v>0</v>
      </c>
      <c r="W74" s="15" t="e">
        <f t="shared" si="9"/>
        <v>#DIV/0!</v>
      </c>
      <c r="X74" s="15" t="e">
        <f t="shared" si="10"/>
        <v>#DIV/0!</v>
      </c>
      <c r="Y74" s="15" t="e">
        <f t="shared" si="7"/>
        <v>#DIV/0!</v>
      </c>
      <c r="Z74" s="15" t="e">
        <f t="shared" si="6"/>
        <v>#DIV/0!</v>
      </c>
      <c r="AA74" s="15" t="e">
        <f>$K74/$H74</f>
        <v>#DIV/0!</v>
      </c>
      <c r="AB74" s="15">
        <f t="shared" si="11"/>
        <v>0</v>
      </c>
    </row>
    <row r="75" spans="1:28" x14ac:dyDescent="0.2">
      <c r="A75" s="16" t="s">
        <v>465</v>
      </c>
      <c r="B75" s="16" t="s">
        <v>43</v>
      </c>
      <c r="C75" s="16">
        <v>24</v>
      </c>
      <c r="D75" s="16">
        <v>0</v>
      </c>
      <c r="E75" s="16" t="s">
        <v>62</v>
      </c>
      <c r="F75" s="16" t="s">
        <v>425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 t="shared" si="12"/>
        <v>0</v>
      </c>
      <c r="W75" s="16" t="e">
        <f t="shared" si="9"/>
        <v>#DIV/0!</v>
      </c>
      <c r="X75" s="16" t="e">
        <f t="shared" si="10"/>
        <v>#DIV/0!</v>
      </c>
      <c r="Y75" s="16" t="e">
        <f t="shared" si="7"/>
        <v>#DIV/0!</v>
      </c>
      <c r="Z75" s="16" t="e">
        <f t="shared" si="6"/>
        <v>#DIV/0!</v>
      </c>
      <c r="AA75" s="16" t="e">
        <f>$K75/$H75</f>
        <v>#DIV/0!</v>
      </c>
      <c r="AB75" s="16">
        <f t="shared" si="11"/>
        <v>0</v>
      </c>
    </row>
    <row r="76" spans="1:28" x14ac:dyDescent="0.2">
      <c r="A76" s="15" t="s">
        <v>466</v>
      </c>
      <c r="B76" s="15" t="s">
        <v>43</v>
      </c>
      <c r="C76" s="15">
        <v>25</v>
      </c>
      <c r="D76" s="15">
        <v>1</v>
      </c>
      <c r="E76" s="15" t="s">
        <v>467</v>
      </c>
      <c r="F76" s="15" t="s">
        <v>425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 t="shared" si="12"/>
        <v>0</v>
      </c>
      <c r="W76" s="15" t="e">
        <f t="shared" si="9"/>
        <v>#DIV/0!</v>
      </c>
      <c r="X76" s="15" t="e">
        <f t="shared" si="10"/>
        <v>#DIV/0!</v>
      </c>
      <c r="Y76" s="15" t="e">
        <f t="shared" si="7"/>
        <v>#DIV/0!</v>
      </c>
      <c r="Z76" s="15" t="e">
        <f t="shared" ref="Z76:Z139" si="13">$I76/$H76</f>
        <v>#DIV/0!</v>
      </c>
      <c r="AA76" s="15" t="e">
        <f>$K76/$H76</f>
        <v>#DIV/0!</v>
      </c>
      <c r="AB76" s="15">
        <f t="shared" si="11"/>
        <v>0</v>
      </c>
    </row>
    <row r="77" spans="1:28" x14ac:dyDescent="0.2">
      <c r="A77" s="16" t="s">
        <v>468</v>
      </c>
      <c r="B77" s="16" t="s">
        <v>43</v>
      </c>
      <c r="C77" s="16">
        <v>26</v>
      </c>
      <c r="D77" s="16">
        <v>5</v>
      </c>
      <c r="E77" s="16" t="s">
        <v>248</v>
      </c>
      <c r="F77" s="16" t="s">
        <v>425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 t="shared" si="12"/>
        <v>0</v>
      </c>
      <c r="W77" s="16" t="e">
        <f t="shared" si="9"/>
        <v>#DIV/0!</v>
      </c>
      <c r="X77" s="16" t="e">
        <f t="shared" si="10"/>
        <v>#DIV/0!</v>
      </c>
      <c r="Y77" s="16" t="e">
        <f t="shared" si="7"/>
        <v>#DIV/0!</v>
      </c>
      <c r="Z77" s="16" t="e">
        <f t="shared" si="13"/>
        <v>#DIV/0!</v>
      </c>
      <c r="AA77" s="16" t="e">
        <f>$K77/$H77</f>
        <v>#DIV/0!</v>
      </c>
      <c r="AB77" s="16">
        <f t="shared" si="11"/>
        <v>0</v>
      </c>
    </row>
    <row r="78" spans="1:28" x14ac:dyDescent="0.2">
      <c r="A78" s="15" t="s">
        <v>505</v>
      </c>
      <c r="B78" s="15" t="s">
        <v>43</v>
      </c>
      <c r="C78" s="15">
        <v>22</v>
      </c>
      <c r="D78" s="15">
        <v>2</v>
      </c>
      <c r="E78" s="15" t="s">
        <v>62</v>
      </c>
      <c r="F78" s="15" t="s">
        <v>479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 t="shared" si="12"/>
        <v>0</v>
      </c>
      <c r="W78" s="15" t="e">
        <f t="shared" si="9"/>
        <v>#DIV/0!</v>
      </c>
      <c r="X78" s="15" t="e">
        <f t="shared" si="10"/>
        <v>#DIV/0!</v>
      </c>
      <c r="Y78" s="15" t="e">
        <f t="shared" si="7"/>
        <v>#DIV/0!</v>
      </c>
      <c r="Z78" s="15" t="e">
        <f t="shared" si="13"/>
        <v>#DIV/0!</v>
      </c>
      <c r="AA78" s="15" t="e">
        <f>$K78/$H78</f>
        <v>#DIV/0!</v>
      </c>
      <c r="AB78" s="15">
        <f t="shared" si="11"/>
        <v>0</v>
      </c>
    </row>
    <row r="79" spans="1:28" x14ac:dyDescent="0.2">
      <c r="A79" s="16" t="s">
        <v>506</v>
      </c>
      <c r="B79" s="16" t="s">
        <v>43</v>
      </c>
      <c r="C79" s="16">
        <v>29</v>
      </c>
      <c r="D79" s="16">
        <v>9</v>
      </c>
      <c r="E79" s="16" t="s">
        <v>153</v>
      </c>
      <c r="F79" s="16" t="s">
        <v>479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 t="shared" si="12"/>
        <v>0</v>
      </c>
      <c r="W79" s="16" t="e">
        <f t="shared" si="9"/>
        <v>#DIV/0!</v>
      </c>
      <c r="X79" s="16" t="e">
        <f t="shared" si="10"/>
        <v>#DIV/0!</v>
      </c>
      <c r="Y79" s="16" t="e">
        <f t="shared" si="7"/>
        <v>#DIV/0!</v>
      </c>
      <c r="Z79" s="16" t="e">
        <f t="shared" si="13"/>
        <v>#DIV/0!</v>
      </c>
      <c r="AA79" s="16" t="e">
        <f>$K79/$H79</f>
        <v>#DIV/0!</v>
      </c>
      <c r="AB79" s="16">
        <f t="shared" si="11"/>
        <v>0</v>
      </c>
    </row>
    <row r="80" spans="1:28" x14ac:dyDescent="0.2">
      <c r="A80" s="15" t="s">
        <v>507</v>
      </c>
      <c r="B80" s="15" t="s">
        <v>43</v>
      </c>
      <c r="C80" s="15">
        <v>24</v>
      </c>
      <c r="D80" s="15">
        <v>3</v>
      </c>
      <c r="E80" s="15" t="s">
        <v>508</v>
      </c>
      <c r="F80" s="15" t="s">
        <v>479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 t="shared" si="12"/>
        <v>0</v>
      </c>
      <c r="W80" s="15" t="e">
        <f t="shared" si="9"/>
        <v>#DIV/0!</v>
      </c>
      <c r="X80" s="15" t="e">
        <f t="shared" si="10"/>
        <v>#DIV/0!</v>
      </c>
      <c r="Y80" s="15" t="e">
        <f t="shared" si="7"/>
        <v>#DIV/0!</v>
      </c>
      <c r="Z80" s="15" t="e">
        <f t="shared" si="13"/>
        <v>#DIV/0!</v>
      </c>
      <c r="AA80" s="15" t="e">
        <f>$K80/$H80</f>
        <v>#DIV/0!</v>
      </c>
      <c r="AB80" s="15">
        <f t="shared" si="11"/>
        <v>0</v>
      </c>
    </row>
    <row r="81" spans="1:28" x14ac:dyDescent="0.2">
      <c r="A81" s="16" t="s">
        <v>509</v>
      </c>
      <c r="B81" s="16" t="s">
        <v>43</v>
      </c>
      <c r="C81" s="16">
        <v>32</v>
      </c>
      <c r="D81" s="16">
        <v>10</v>
      </c>
      <c r="E81" s="16" t="s">
        <v>66</v>
      </c>
      <c r="F81" s="16" t="s">
        <v>479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 t="shared" si="12"/>
        <v>0</v>
      </c>
      <c r="W81" s="16" t="e">
        <f t="shared" si="9"/>
        <v>#DIV/0!</v>
      </c>
      <c r="X81" s="16" t="e">
        <f t="shared" si="10"/>
        <v>#DIV/0!</v>
      </c>
      <c r="Y81" s="16" t="e">
        <f t="shared" si="7"/>
        <v>#DIV/0!</v>
      </c>
      <c r="Z81" s="16" t="e">
        <f t="shared" si="13"/>
        <v>#DIV/0!</v>
      </c>
      <c r="AA81" s="16" t="e">
        <f>$K81/$H81</f>
        <v>#DIV/0!</v>
      </c>
      <c r="AB81" s="16">
        <f t="shared" si="11"/>
        <v>0</v>
      </c>
    </row>
    <row r="82" spans="1:28" x14ac:dyDescent="0.2">
      <c r="A82" s="15" t="s">
        <v>510</v>
      </c>
      <c r="B82" s="15" t="s">
        <v>43</v>
      </c>
      <c r="C82" s="15">
        <v>30</v>
      </c>
      <c r="D82" s="15">
        <v>8</v>
      </c>
      <c r="E82" s="15" t="s">
        <v>511</v>
      </c>
      <c r="F82" s="15" t="s">
        <v>479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 t="shared" si="12"/>
        <v>0</v>
      </c>
      <c r="W82" s="15" t="e">
        <f t="shared" si="9"/>
        <v>#DIV/0!</v>
      </c>
      <c r="X82" s="15" t="e">
        <f t="shared" si="10"/>
        <v>#DIV/0!</v>
      </c>
      <c r="Y82" s="15" t="e">
        <f t="shared" ref="Y82:Y145" si="14">$R82/$Q82</f>
        <v>#DIV/0!</v>
      </c>
      <c r="Z82" s="15" t="e">
        <f t="shared" si="13"/>
        <v>#DIV/0!</v>
      </c>
      <c r="AA82" s="15" t="e">
        <f>$K82/$H82</f>
        <v>#DIV/0!</v>
      </c>
      <c r="AB82" s="15">
        <f t="shared" si="11"/>
        <v>0</v>
      </c>
    </row>
    <row r="83" spans="1:28" x14ac:dyDescent="0.2">
      <c r="A83" s="16" t="s">
        <v>512</v>
      </c>
      <c r="B83" s="16" t="s">
        <v>43</v>
      </c>
      <c r="C83" s="16">
        <v>25</v>
      </c>
      <c r="D83" s="16">
        <v>1</v>
      </c>
      <c r="E83" s="16" t="s">
        <v>397</v>
      </c>
      <c r="F83" s="16" t="s">
        <v>479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>
        <v>0</v>
      </c>
      <c r="V83" s="16">
        <f t="shared" si="12"/>
        <v>0</v>
      </c>
      <c r="W83" s="16" t="e">
        <f t="shared" si="9"/>
        <v>#DIV/0!</v>
      </c>
      <c r="X83" s="16" t="e">
        <f t="shared" si="10"/>
        <v>#DIV/0!</v>
      </c>
      <c r="Y83" s="16" t="e">
        <f t="shared" si="14"/>
        <v>#DIV/0!</v>
      </c>
      <c r="Z83" s="16" t="e">
        <f t="shared" si="13"/>
        <v>#DIV/0!</v>
      </c>
      <c r="AA83" s="16" t="e">
        <f>$K83/$H83</f>
        <v>#DIV/0!</v>
      </c>
      <c r="AB83" s="16">
        <f t="shared" si="11"/>
        <v>0</v>
      </c>
    </row>
    <row r="84" spans="1:28" x14ac:dyDescent="0.2">
      <c r="A84" s="15" t="s">
        <v>513</v>
      </c>
      <c r="B84" s="15" t="s">
        <v>43</v>
      </c>
      <c r="C84" s="15">
        <v>23</v>
      </c>
      <c r="D84" s="15">
        <v>3</v>
      </c>
      <c r="E84" s="15" t="s">
        <v>240</v>
      </c>
      <c r="F84" s="15" t="s">
        <v>479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f t="shared" si="12"/>
        <v>0</v>
      </c>
      <c r="W84" s="15" t="e">
        <f t="shared" si="9"/>
        <v>#DIV/0!</v>
      </c>
      <c r="X84" s="15" t="e">
        <f t="shared" si="10"/>
        <v>#DIV/0!</v>
      </c>
      <c r="Y84" s="15" t="e">
        <f t="shared" si="14"/>
        <v>#DIV/0!</v>
      </c>
      <c r="Z84" s="15" t="e">
        <f t="shared" si="13"/>
        <v>#DIV/0!</v>
      </c>
      <c r="AA84" s="15" t="e">
        <f>$K84/$H84</f>
        <v>#DIV/0!</v>
      </c>
      <c r="AB84" s="15">
        <f t="shared" si="11"/>
        <v>0</v>
      </c>
    </row>
    <row r="85" spans="1:28" x14ac:dyDescent="0.2">
      <c r="A85" s="16" t="s">
        <v>514</v>
      </c>
      <c r="B85" s="16" t="s">
        <v>43</v>
      </c>
      <c r="C85" s="16">
        <v>24</v>
      </c>
      <c r="D85" s="16">
        <v>4</v>
      </c>
      <c r="E85" s="16" t="s">
        <v>105</v>
      </c>
      <c r="F85" s="16" t="s">
        <v>479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 s="16">
        <v>0</v>
      </c>
      <c r="V85" s="16">
        <f t="shared" si="12"/>
        <v>0</v>
      </c>
      <c r="W85" s="16" t="e">
        <f t="shared" si="9"/>
        <v>#DIV/0!</v>
      </c>
      <c r="X85" s="16" t="e">
        <f t="shared" si="10"/>
        <v>#DIV/0!</v>
      </c>
      <c r="Y85" s="16" t="e">
        <f t="shared" si="14"/>
        <v>#DIV/0!</v>
      </c>
      <c r="Z85" s="16" t="e">
        <f t="shared" si="13"/>
        <v>#DIV/0!</v>
      </c>
      <c r="AA85" s="16" t="e">
        <f>$K85/$H85</f>
        <v>#DIV/0!</v>
      </c>
      <c r="AB85" s="16">
        <f t="shared" si="11"/>
        <v>0</v>
      </c>
    </row>
    <row r="86" spans="1:28" x14ac:dyDescent="0.2">
      <c r="A86" s="15" t="s">
        <v>515</v>
      </c>
      <c r="B86" s="15" t="s">
        <v>43</v>
      </c>
      <c r="C86" s="15">
        <v>22</v>
      </c>
      <c r="D86" s="15">
        <v>3</v>
      </c>
      <c r="E86" s="15" t="s">
        <v>464</v>
      </c>
      <c r="F86" s="15" t="s">
        <v>479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f t="shared" si="12"/>
        <v>0</v>
      </c>
      <c r="W86" s="15" t="e">
        <f t="shared" si="9"/>
        <v>#DIV/0!</v>
      </c>
      <c r="X86" s="15" t="e">
        <f t="shared" si="10"/>
        <v>#DIV/0!</v>
      </c>
      <c r="Y86" s="15" t="e">
        <f t="shared" si="14"/>
        <v>#DIV/0!</v>
      </c>
      <c r="Z86" s="15" t="e">
        <f t="shared" si="13"/>
        <v>#DIV/0!</v>
      </c>
      <c r="AA86" s="15" t="e">
        <f>$K86/$H86</f>
        <v>#DIV/0!</v>
      </c>
      <c r="AB86" s="15">
        <f t="shared" si="11"/>
        <v>0</v>
      </c>
    </row>
    <row r="87" spans="1:28" x14ac:dyDescent="0.2">
      <c r="A87" s="16" t="s">
        <v>516</v>
      </c>
      <c r="B87" s="16" t="s">
        <v>43</v>
      </c>
      <c r="C87" s="16">
        <v>23</v>
      </c>
      <c r="D87" s="16">
        <v>0</v>
      </c>
      <c r="E87" s="16" t="s">
        <v>143</v>
      </c>
      <c r="F87" s="16" t="s">
        <v>479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T87" s="16">
        <v>0</v>
      </c>
      <c r="U87" s="16">
        <v>0</v>
      </c>
      <c r="V87" s="16">
        <f t="shared" si="12"/>
        <v>0</v>
      </c>
      <c r="W87" s="16" t="e">
        <f t="shared" si="9"/>
        <v>#DIV/0!</v>
      </c>
      <c r="X87" s="16" t="e">
        <f t="shared" si="10"/>
        <v>#DIV/0!</v>
      </c>
      <c r="Y87" s="16" t="e">
        <f t="shared" si="14"/>
        <v>#DIV/0!</v>
      </c>
      <c r="Z87" s="16" t="e">
        <f t="shared" si="13"/>
        <v>#DIV/0!</v>
      </c>
      <c r="AA87" s="16" t="e">
        <f>$K87/$H87</f>
        <v>#DIV/0!</v>
      </c>
      <c r="AB87" s="16">
        <f t="shared" si="11"/>
        <v>0</v>
      </c>
    </row>
    <row r="88" spans="1:28" x14ac:dyDescent="0.2">
      <c r="A88" s="15" t="s">
        <v>517</v>
      </c>
      <c r="B88" s="15" t="s">
        <v>43</v>
      </c>
      <c r="C88" s="15">
        <v>25</v>
      </c>
      <c r="D88" s="15">
        <v>1</v>
      </c>
      <c r="E88" s="15" t="s">
        <v>335</v>
      </c>
      <c r="F88" s="15" t="s">
        <v>479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f t="shared" si="12"/>
        <v>0</v>
      </c>
      <c r="W88" s="15" t="e">
        <f t="shared" si="9"/>
        <v>#DIV/0!</v>
      </c>
      <c r="X88" s="15" t="e">
        <f t="shared" si="10"/>
        <v>#DIV/0!</v>
      </c>
      <c r="Y88" s="15" t="e">
        <f t="shared" si="14"/>
        <v>#DIV/0!</v>
      </c>
      <c r="Z88" s="15" t="e">
        <f t="shared" si="13"/>
        <v>#DIV/0!</v>
      </c>
      <c r="AA88" s="15" t="e">
        <f>$K88/$H88</f>
        <v>#DIV/0!</v>
      </c>
      <c r="AB88" s="15">
        <f t="shared" si="11"/>
        <v>0</v>
      </c>
    </row>
    <row r="89" spans="1:28" x14ac:dyDescent="0.2">
      <c r="A89" s="16" t="s">
        <v>518</v>
      </c>
      <c r="B89" s="16" t="s">
        <v>43</v>
      </c>
      <c r="C89" s="16">
        <v>24</v>
      </c>
      <c r="D89" s="16">
        <v>1</v>
      </c>
      <c r="E89" s="16" t="s">
        <v>519</v>
      </c>
      <c r="F89" s="16" t="s">
        <v>479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T89" s="16">
        <v>0</v>
      </c>
      <c r="U89" s="16">
        <v>0</v>
      </c>
      <c r="V89" s="16">
        <f t="shared" si="12"/>
        <v>0</v>
      </c>
      <c r="W89" s="16" t="e">
        <f t="shared" si="9"/>
        <v>#DIV/0!</v>
      </c>
      <c r="X89" s="16" t="e">
        <f t="shared" si="10"/>
        <v>#DIV/0!</v>
      </c>
      <c r="Y89" s="16" t="e">
        <f t="shared" si="14"/>
        <v>#DIV/0!</v>
      </c>
      <c r="Z89" s="16" t="e">
        <f t="shared" si="13"/>
        <v>#DIV/0!</v>
      </c>
      <c r="AA89" s="16" t="e">
        <f>$K89/$H89</f>
        <v>#DIV/0!</v>
      </c>
      <c r="AB89" s="16">
        <f t="shared" si="11"/>
        <v>0</v>
      </c>
    </row>
    <row r="90" spans="1:28" x14ac:dyDescent="0.2">
      <c r="A90" s="15" t="s">
        <v>560</v>
      </c>
      <c r="B90" s="15" t="s">
        <v>43</v>
      </c>
      <c r="C90" s="15">
        <v>23</v>
      </c>
      <c r="D90" s="15">
        <v>0</v>
      </c>
      <c r="E90" s="15" t="s">
        <v>391</v>
      </c>
      <c r="F90" s="15" t="s">
        <v>530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T90" s="15">
        <v>0</v>
      </c>
      <c r="U90" s="15">
        <v>0</v>
      </c>
      <c r="V90" s="15">
        <f t="shared" si="12"/>
        <v>0</v>
      </c>
      <c r="W90" s="15" t="e">
        <f t="shared" si="9"/>
        <v>#DIV/0!</v>
      </c>
      <c r="X90" s="15" t="e">
        <f t="shared" si="10"/>
        <v>#DIV/0!</v>
      </c>
      <c r="Y90" s="15" t="e">
        <f t="shared" si="14"/>
        <v>#DIV/0!</v>
      </c>
      <c r="Z90" s="15" t="e">
        <f t="shared" si="13"/>
        <v>#DIV/0!</v>
      </c>
      <c r="AA90" s="15" t="e">
        <f>$K90/$H90</f>
        <v>#DIV/0!</v>
      </c>
      <c r="AB90" s="15">
        <f t="shared" si="11"/>
        <v>0</v>
      </c>
    </row>
    <row r="91" spans="1:28" x14ac:dyDescent="0.2">
      <c r="A91" s="16" t="s">
        <v>561</v>
      </c>
      <c r="B91" s="16" t="s">
        <v>43</v>
      </c>
      <c r="C91" s="16">
        <v>23</v>
      </c>
      <c r="D91" s="16">
        <v>0</v>
      </c>
      <c r="E91" s="16" t="s">
        <v>341</v>
      </c>
      <c r="F91" s="16" t="s">
        <v>530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T91" s="16">
        <v>0</v>
      </c>
      <c r="U91" s="16">
        <v>0</v>
      </c>
      <c r="V91" s="16">
        <f t="shared" si="12"/>
        <v>0</v>
      </c>
      <c r="W91" s="16" t="e">
        <f t="shared" si="9"/>
        <v>#DIV/0!</v>
      </c>
      <c r="X91" s="16" t="e">
        <f t="shared" si="10"/>
        <v>#DIV/0!</v>
      </c>
      <c r="Y91" s="16" t="e">
        <f t="shared" si="14"/>
        <v>#DIV/0!</v>
      </c>
      <c r="Z91" s="16" t="e">
        <f t="shared" si="13"/>
        <v>#DIV/0!</v>
      </c>
      <c r="AA91" s="16" t="e">
        <f>$K91/$H91</f>
        <v>#DIV/0!</v>
      </c>
      <c r="AB91" s="16">
        <f t="shared" si="11"/>
        <v>0</v>
      </c>
    </row>
    <row r="92" spans="1:28" x14ac:dyDescent="0.2">
      <c r="A92" s="15" t="s">
        <v>562</v>
      </c>
      <c r="B92" s="15" t="s">
        <v>43</v>
      </c>
      <c r="C92" s="15">
        <v>29</v>
      </c>
      <c r="D92" s="15">
        <v>10</v>
      </c>
      <c r="E92" s="15" t="s">
        <v>111</v>
      </c>
      <c r="F92" s="15" t="s">
        <v>530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f t="shared" si="12"/>
        <v>0</v>
      </c>
      <c r="W92" s="15" t="e">
        <f t="shared" si="9"/>
        <v>#DIV/0!</v>
      </c>
      <c r="X92" s="15" t="e">
        <f t="shared" si="10"/>
        <v>#DIV/0!</v>
      </c>
      <c r="Y92" s="15" t="e">
        <f t="shared" si="14"/>
        <v>#DIV/0!</v>
      </c>
      <c r="Z92" s="15" t="e">
        <f t="shared" si="13"/>
        <v>#DIV/0!</v>
      </c>
      <c r="AA92" s="15" t="e">
        <f>$K92/$H92</f>
        <v>#DIV/0!</v>
      </c>
      <c r="AB92" s="15">
        <f t="shared" si="11"/>
        <v>0</v>
      </c>
    </row>
    <row r="93" spans="1:28" x14ac:dyDescent="0.2">
      <c r="A93" s="16" t="s">
        <v>563</v>
      </c>
      <c r="B93" s="16" t="s">
        <v>43</v>
      </c>
      <c r="C93" s="16">
        <v>25</v>
      </c>
      <c r="D93" s="16">
        <v>1</v>
      </c>
      <c r="E93" s="16" t="s">
        <v>240</v>
      </c>
      <c r="F93" s="16" t="s">
        <v>530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T93" s="16">
        <v>0</v>
      </c>
      <c r="U93" s="16">
        <v>0</v>
      </c>
      <c r="V93" s="16">
        <f t="shared" si="12"/>
        <v>0</v>
      </c>
      <c r="W93" s="16" t="e">
        <f t="shared" si="9"/>
        <v>#DIV/0!</v>
      </c>
      <c r="X93" s="16" t="e">
        <f t="shared" si="10"/>
        <v>#DIV/0!</v>
      </c>
      <c r="Y93" s="16" t="e">
        <f t="shared" si="14"/>
        <v>#DIV/0!</v>
      </c>
      <c r="Z93" s="16" t="e">
        <f t="shared" si="13"/>
        <v>#DIV/0!</v>
      </c>
      <c r="AA93" s="16" t="e">
        <f>$K93/$H93</f>
        <v>#DIV/0!</v>
      </c>
      <c r="AB93" s="16">
        <f t="shared" si="11"/>
        <v>0</v>
      </c>
    </row>
    <row r="94" spans="1:28" x14ac:dyDescent="0.2">
      <c r="A94" s="15" t="s">
        <v>564</v>
      </c>
      <c r="B94" s="15" t="s">
        <v>43</v>
      </c>
      <c r="C94" s="15">
        <v>24</v>
      </c>
      <c r="D94" s="15">
        <v>0</v>
      </c>
      <c r="E94" s="15" t="s">
        <v>565</v>
      </c>
      <c r="F94" s="15" t="s">
        <v>530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f t="shared" si="12"/>
        <v>0</v>
      </c>
      <c r="W94" s="15" t="e">
        <f t="shared" si="9"/>
        <v>#DIV/0!</v>
      </c>
      <c r="X94" s="15" t="e">
        <f t="shared" si="10"/>
        <v>#DIV/0!</v>
      </c>
      <c r="Y94" s="15" t="e">
        <f t="shared" si="14"/>
        <v>#DIV/0!</v>
      </c>
      <c r="Z94" s="15" t="e">
        <f t="shared" si="13"/>
        <v>#DIV/0!</v>
      </c>
      <c r="AA94" s="15" t="e">
        <f>$K94/$H94</f>
        <v>#DIV/0!</v>
      </c>
      <c r="AB94" s="15">
        <f t="shared" si="11"/>
        <v>0</v>
      </c>
    </row>
    <row r="95" spans="1:28" x14ac:dyDescent="0.2">
      <c r="A95" s="16" t="s">
        <v>566</v>
      </c>
      <c r="B95" s="16" t="s">
        <v>43</v>
      </c>
      <c r="C95" s="16">
        <v>25</v>
      </c>
      <c r="D95" s="16">
        <v>3</v>
      </c>
      <c r="E95" s="16" t="s">
        <v>102</v>
      </c>
      <c r="F95" s="16" t="s">
        <v>530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0</v>
      </c>
      <c r="U95" s="16">
        <v>0</v>
      </c>
      <c r="V95" s="16">
        <f t="shared" si="12"/>
        <v>0</v>
      </c>
      <c r="W95" s="16" t="e">
        <f t="shared" si="9"/>
        <v>#DIV/0!</v>
      </c>
      <c r="X95" s="16" t="e">
        <f t="shared" si="10"/>
        <v>#DIV/0!</v>
      </c>
      <c r="Y95" s="16" t="e">
        <f t="shared" si="14"/>
        <v>#DIV/0!</v>
      </c>
      <c r="Z95" s="16" t="e">
        <f t="shared" si="13"/>
        <v>#DIV/0!</v>
      </c>
      <c r="AA95" s="16" t="e">
        <f>$K95/$H95</f>
        <v>#DIV/0!</v>
      </c>
      <c r="AB95" s="16">
        <f t="shared" si="11"/>
        <v>0</v>
      </c>
    </row>
    <row r="96" spans="1:28" x14ac:dyDescent="0.2">
      <c r="A96" s="15" t="s">
        <v>567</v>
      </c>
      <c r="B96" s="15" t="s">
        <v>43</v>
      </c>
      <c r="C96" s="15">
        <v>27</v>
      </c>
      <c r="D96" s="15">
        <v>6</v>
      </c>
      <c r="E96" s="15" t="s">
        <v>107</v>
      </c>
      <c r="F96" s="15" t="s">
        <v>530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f t="shared" si="12"/>
        <v>0</v>
      </c>
      <c r="W96" s="15" t="e">
        <f t="shared" si="9"/>
        <v>#DIV/0!</v>
      </c>
      <c r="X96" s="15" t="e">
        <f t="shared" si="10"/>
        <v>#DIV/0!</v>
      </c>
      <c r="Y96" s="15" t="e">
        <f t="shared" si="14"/>
        <v>#DIV/0!</v>
      </c>
      <c r="Z96" s="15" t="e">
        <f t="shared" si="13"/>
        <v>#DIV/0!</v>
      </c>
      <c r="AA96" s="15" t="e">
        <f>$K96/$H96</f>
        <v>#DIV/0!</v>
      </c>
      <c r="AB96" s="15">
        <f t="shared" si="11"/>
        <v>0</v>
      </c>
    </row>
    <row r="97" spans="1:28" x14ac:dyDescent="0.2">
      <c r="A97" s="16" t="s">
        <v>568</v>
      </c>
      <c r="B97" s="16" t="s">
        <v>43</v>
      </c>
      <c r="C97" s="16">
        <v>24</v>
      </c>
      <c r="D97" s="16">
        <v>1</v>
      </c>
      <c r="E97" s="16" t="s">
        <v>569</v>
      </c>
      <c r="F97" s="16" t="s">
        <v>530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T97" s="16">
        <v>0</v>
      </c>
      <c r="U97" s="16">
        <v>0</v>
      </c>
      <c r="V97" s="16">
        <f t="shared" si="12"/>
        <v>0</v>
      </c>
      <c r="W97" s="16" t="e">
        <f t="shared" si="9"/>
        <v>#DIV/0!</v>
      </c>
      <c r="X97" s="16" t="e">
        <f t="shared" si="10"/>
        <v>#DIV/0!</v>
      </c>
      <c r="Y97" s="16" t="e">
        <f t="shared" si="14"/>
        <v>#DIV/0!</v>
      </c>
      <c r="Z97" s="16" t="e">
        <f t="shared" si="13"/>
        <v>#DIV/0!</v>
      </c>
      <c r="AA97" s="16" t="e">
        <f>$K97/$H97</f>
        <v>#DIV/0!</v>
      </c>
      <c r="AB97" s="16">
        <f t="shared" si="11"/>
        <v>0</v>
      </c>
    </row>
    <row r="98" spans="1:28" x14ac:dyDescent="0.2">
      <c r="A98" s="15" t="s">
        <v>570</v>
      </c>
      <c r="B98" s="15" t="s">
        <v>43</v>
      </c>
      <c r="C98" s="15">
        <v>27</v>
      </c>
      <c r="D98" s="15">
        <v>4</v>
      </c>
      <c r="E98" s="15" t="s">
        <v>218</v>
      </c>
      <c r="F98" s="15" t="s">
        <v>530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f t="shared" si="12"/>
        <v>0</v>
      </c>
      <c r="W98" s="15" t="e">
        <f t="shared" si="9"/>
        <v>#DIV/0!</v>
      </c>
      <c r="X98" s="15" t="e">
        <f t="shared" si="10"/>
        <v>#DIV/0!</v>
      </c>
      <c r="Y98" s="15" t="e">
        <f t="shared" si="14"/>
        <v>#DIV/0!</v>
      </c>
      <c r="Z98" s="15" t="e">
        <f t="shared" si="13"/>
        <v>#DIV/0!</v>
      </c>
      <c r="AA98" s="15" t="e">
        <f>$K98/$H98</f>
        <v>#DIV/0!</v>
      </c>
      <c r="AB98" s="15">
        <f t="shared" si="11"/>
        <v>0</v>
      </c>
    </row>
    <row r="99" spans="1:28" x14ac:dyDescent="0.2">
      <c r="A99" s="16" t="s">
        <v>571</v>
      </c>
      <c r="B99" s="16" t="s">
        <v>43</v>
      </c>
      <c r="C99" s="16">
        <v>24</v>
      </c>
      <c r="D99" s="16">
        <v>4</v>
      </c>
      <c r="E99" s="16" t="s">
        <v>68</v>
      </c>
      <c r="F99" s="16" t="s">
        <v>530</v>
      </c>
      <c r="G99" s="16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0</v>
      </c>
      <c r="Q99" s="16">
        <v>0</v>
      </c>
      <c r="R99" s="16">
        <v>0</v>
      </c>
      <c r="S99" s="16">
        <v>0</v>
      </c>
      <c r="T99" s="16">
        <v>0</v>
      </c>
      <c r="U99" s="16">
        <v>0</v>
      </c>
      <c r="V99" s="16">
        <f t="shared" si="12"/>
        <v>0</v>
      </c>
      <c r="W99" s="16" t="e">
        <f t="shared" si="9"/>
        <v>#DIV/0!</v>
      </c>
      <c r="X99" s="16" t="e">
        <f t="shared" si="10"/>
        <v>#DIV/0!</v>
      </c>
      <c r="Y99" s="16" t="e">
        <f t="shared" si="14"/>
        <v>#DIV/0!</v>
      </c>
      <c r="Z99" s="16" t="e">
        <f t="shared" si="13"/>
        <v>#DIV/0!</v>
      </c>
      <c r="AA99" s="16" t="e">
        <f>$K99/$H99</f>
        <v>#DIV/0!</v>
      </c>
      <c r="AB99" s="16">
        <f t="shared" si="11"/>
        <v>0</v>
      </c>
    </row>
    <row r="100" spans="1:28" x14ac:dyDescent="0.2">
      <c r="A100" s="15" t="s">
        <v>572</v>
      </c>
      <c r="B100" s="15" t="s">
        <v>43</v>
      </c>
      <c r="C100" s="15">
        <v>22</v>
      </c>
      <c r="D100" s="15">
        <v>0</v>
      </c>
      <c r="E100" s="15" t="s">
        <v>280</v>
      </c>
      <c r="F100" s="15" t="s">
        <v>530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f t="shared" si="12"/>
        <v>0</v>
      </c>
      <c r="W100" s="15" t="e">
        <f t="shared" si="9"/>
        <v>#DIV/0!</v>
      </c>
      <c r="X100" s="15" t="e">
        <f t="shared" si="10"/>
        <v>#DIV/0!</v>
      </c>
      <c r="Y100" s="15" t="e">
        <f t="shared" si="14"/>
        <v>#DIV/0!</v>
      </c>
      <c r="Z100" s="15" t="e">
        <f t="shared" si="13"/>
        <v>#DIV/0!</v>
      </c>
      <c r="AA100" s="15" t="e">
        <f>$K100/$H100</f>
        <v>#DIV/0!</v>
      </c>
      <c r="AB100" s="15">
        <f t="shared" si="11"/>
        <v>0</v>
      </c>
    </row>
    <row r="101" spans="1:28" x14ac:dyDescent="0.2">
      <c r="A101" s="16" t="s">
        <v>573</v>
      </c>
      <c r="B101" s="16" t="s">
        <v>43</v>
      </c>
      <c r="C101" s="16">
        <v>23</v>
      </c>
      <c r="D101" s="16">
        <v>0</v>
      </c>
      <c r="E101" s="16" t="s">
        <v>574</v>
      </c>
      <c r="F101" s="16" t="s">
        <v>530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f t="shared" si="12"/>
        <v>0</v>
      </c>
      <c r="W101" s="16" t="e">
        <f t="shared" si="9"/>
        <v>#DIV/0!</v>
      </c>
      <c r="X101" s="16" t="e">
        <f t="shared" si="10"/>
        <v>#DIV/0!</v>
      </c>
      <c r="Y101" s="16" t="e">
        <f t="shared" si="14"/>
        <v>#DIV/0!</v>
      </c>
      <c r="Z101" s="16" t="e">
        <f t="shared" si="13"/>
        <v>#DIV/0!</v>
      </c>
      <c r="AA101" s="16" t="e">
        <f>$K101/$H101</f>
        <v>#DIV/0!</v>
      </c>
      <c r="AB101" s="16">
        <f t="shared" si="11"/>
        <v>0</v>
      </c>
    </row>
    <row r="102" spans="1:28" x14ac:dyDescent="0.2">
      <c r="A102" s="15" t="s">
        <v>575</v>
      </c>
      <c r="B102" s="15" t="s">
        <v>43</v>
      </c>
      <c r="C102" s="15">
        <v>24</v>
      </c>
      <c r="D102" s="15">
        <v>2</v>
      </c>
      <c r="E102" s="15" t="s">
        <v>519</v>
      </c>
      <c r="F102" s="15" t="s">
        <v>530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f t="shared" si="12"/>
        <v>0</v>
      </c>
      <c r="W102" s="15" t="e">
        <f t="shared" si="9"/>
        <v>#DIV/0!</v>
      </c>
      <c r="X102" s="15" t="e">
        <f t="shared" si="10"/>
        <v>#DIV/0!</v>
      </c>
      <c r="Y102" s="15" t="e">
        <f t="shared" si="14"/>
        <v>#DIV/0!</v>
      </c>
      <c r="Z102" s="15" t="e">
        <f t="shared" si="13"/>
        <v>#DIV/0!</v>
      </c>
      <c r="AA102" s="15" t="e">
        <f>$K102/$H102</f>
        <v>#DIV/0!</v>
      </c>
      <c r="AB102" s="15">
        <f t="shared" si="11"/>
        <v>0</v>
      </c>
    </row>
    <row r="103" spans="1:28" x14ac:dyDescent="0.2">
      <c r="A103" s="16" t="s">
        <v>620</v>
      </c>
      <c r="B103" s="16" t="s">
        <v>43</v>
      </c>
      <c r="C103" s="16">
        <v>25</v>
      </c>
      <c r="D103" s="16">
        <v>2</v>
      </c>
      <c r="E103" s="16" t="s">
        <v>211</v>
      </c>
      <c r="F103" s="16" t="s">
        <v>584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f t="shared" si="12"/>
        <v>0</v>
      </c>
      <c r="W103" s="16" t="e">
        <f t="shared" si="9"/>
        <v>#DIV/0!</v>
      </c>
      <c r="X103" s="16" t="e">
        <f t="shared" si="10"/>
        <v>#DIV/0!</v>
      </c>
      <c r="Y103" s="16" t="e">
        <f t="shared" si="14"/>
        <v>#DIV/0!</v>
      </c>
      <c r="Z103" s="16" t="e">
        <f t="shared" si="13"/>
        <v>#DIV/0!</v>
      </c>
      <c r="AA103" s="16" t="e">
        <f t="shared" ref="AA103:AA116" si="15">$K103/$H103</f>
        <v>#DIV/0!</v>
      </c>
      <c r="AB103" s="16">
        <f t="shared" si="11"/>
        <v>0</v>
      </c>
    </row>
    <row r="104" spans="1:28" x14ac:dyDescent="0.2">
      <c r="A104" s="15" t="s">
        <v>621</v>
      </c>
      <c r="B104" s="15" t="s">
        <v>43</v>
      </c>
      <c r="C104" s="15">
        <v>25</v>
      </c>
      <c r="D104" s="15">
        <v>4</v>
      </c>
      <c r="E104" s="15" t="s">
        <v>143</v>
      </c>
      <c r="F104" s="15" t="s">
        <v>584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f t="shared" si="12"/>
        <v>0</v>
      </c>
      <c r="W104" s="15" t="e">
        <f t="shared" si="9"/>
        <v>#DIV/0!</v>
      </c>
      <c r="X104" s="15" t="e">
        <f t="shared" si="10"/>
        <v>#DIV/0!</v>
      </c>
      <c r="Y104" s="15" t="e">
        <f t="shared" si="14"/>
        <v>#DIV/0!</v>
      </c>
      <c r="Z104" s="15" t="e">
        <f t="shared" si="13"/>
        <v>#DIV/0!</v>
      </c>
      <c r="AA104" s="15" t="e">
        <f t="shared" si="15"/>
        <v>#DIV/0!</v>
      </c>
      <c r="AB104" s="15">
        <f t="shared" si="11"/>
        <v>0</v>
      </c>
    </row>
    <row r="105" spans="1:28" x14ac:dyDescent="0.2">
      <c r="A105" s="16" t="s">
        <v>622</v>
      </c>
      <c r="B105" s="16" t="s">
        <v>43</v>
      </c>
      <c r="C105" s="16">
        <v>23</v>
      </c>
      <c r="D105" s="16">
        <v>0</v>
      </c>
      <c r="E105" s="16" t="s">
        <v>623</v>
      </c>
      <c r="F105" s="16" t="s">
        <v>584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f t="shared" si="12"/>
        <v>0</v>
      </c>
      <c r="W105" s="16" t="e">
        <f t="shared" si="9"/>
        <v>#DIV/0!</v>
      </c>
      <c r="X105" s="16" t="e">
        <f t="shared" si="10"/>
        <v>#DIV/0!</v>
      </c>
      <c r="Y105" s="16" t="e">
        <f t="shared" si="14"/>
        <v>#DIV/0!</v>
      </c>
      <c r="Z105" s="16" t="e">
        <f t="shared" si="13"/>
        <v>#DIV/0!</v>
      </c>
      <c r="AA105" s="16" t="e">
        <f t="shared" si="15"/>
        <v>#DIV/0!</v>
      </c>
      <c r="AB105" s="16">
        <f t="shared" si="11"/>
        <v>0</v>
      </c>
    </row>
    <row r="106" spans="1:28" x14ac:dyDescent="0.2">
      <c r="A106" s="15" t="s">
        <v>624</v>
      </c>
      <c r="B106" s="15" t="s">
        <v>43</v>
      </c>
      <c r="C106" s="15">
        <v>26</v>
      </c>
      <c r="D106" s="15">
        <v>3</v>
      </c>
      <c r="E106" s="15" t="s">
        <v>95</v>
      </c>
      <c r="F106" s="15" t="s">
        <v>584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f t="shared" si="12"/>
        <v>0</v>
      </c>
      <c r="W106" s="15" t="e">
        <f t="shared" si="9"/>
        <v>#DIV/0!</v>
      </c>
      <c r="X106" s="15" t="e">
        <f t="shared" si="10"/>
        <v>#DIV/0!</v>
      </c>
      <c r="Y106" s="15" t="e">
        <f t="shared" si="14"/>
        <v>#DIV/0!</v>
      </c>
      <c r="Z106" s="15" t="e">
        <f t="shared" si="13"/>
        <v>#DIV/0!</v>
      </c>
      <c r="AA106" s="15" t="e">
        <f t="shared" si="15"/>
        <v>#DIV/0!</v>
      </c>
      <c r="AB106" s="15">
        <f t="shared" si="11"/>
        <v>0</v>
      </c>
    </row>
    <row r="107" spans="1:28" x14ac:dyDescent="0.2">
      <c r="A107" s="16" t="s">
        <v>625</v>
      </c>
      <c r="B107" s="16" t="s">
        <v>43</v>
      </c>
      <c r="C107" s="16">
        <v>25</v>
      </c>
      <c r="D107" s="16">
        <v>4</v>
      </c>
      <c r="E107" s="16" t="s">
        <v>66</v>
      </c>
      <c r="F107" s="16" t="s">
        <v>584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f t="shared" si="12"/>
        <v>0</v>
      </c>
      <c r="W107" s="16" t="e">
        <f t="shared" si="9"/>
        <v>#DIV/0!</v>
      </c>
      <c r="X107" s="16" t="e">
        <f t="shared" si="10"/>
        <v>#DIV/0!</v>
      </c>
      <c r="Y107" s="16" t="e">
        <f t="shared" si="14"/>
        <v>#DIV/0!</v>
      </c>
      <c r="Z107" s="16" t="e">
        <f t="shared" si="13"/>
        <v>#DIV/0!</v>
      </c>
      <c r="AA107" s="16" t="e">
        <f t="shared" si="15"/>
        <v>#DIV/0!</v>
      </c>
      <c r="AB107" s="16">
        <f t="shared" si="11"/>
        <v>0</v>
      </c>
    </row>
    <row r="108" spans="1:28" x14ac:dyDescent="0.2">
      <c r="A108" s="15" t="s">
        <v>626</v>
      </c>
      <c r="B108" s="15" t="s">
        <v>43</v>
      </c>
      <c r="C108" s="15">
        <v>24</v>
      </c>
      <c r="D108" s="15">
        <v>4</v>
      </c>
      <c r="E108" s="15" t="s">
        <v>153</v>
      </c>
      <c r="F108" s="15" t="s">
        <v>584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f t="shared" si="12"/>
        <v>0</v>
      </c>
      <c r="W108" s="15" t="e">
        <f t="shared" si="9"/>
        <v>#DIV/0!</v>
      </c>
      <c r="X108" s="15" t="e">
        <f t="shared" si="10"/>
        <v>#DIV/0!</v>
      </c>
      <c r="Y108" s="15" t="e">
        <f t="shared" si="14"/>
        <v>#DIV/0!</v>
      </c>
      <c r="Z108" s="15" t="e">
        <f t="shared" si="13"/>
        <v>#DIV/0!</v>
      </c>
      <c r="AA108" s="15" t="e">
        <f t="shared" si="15"/>
        <v>#DIV/0!</v>
      </c>
      <c r="AB108" s="15">
        <f t="shared" si="11"/>
        <v>0</v>
      </c>
    </row>
    <row r="109" spans="1:28" x14ac:dyDescent="0.2">
      <c r="A109" s="16" t="s">
        <v>627</v>
      </c>
      <c r="B109" s="16" t="s">
        <v>43</v>
      </c>
      <c r="C109" s="16">
        <v>25</v>
      </c>
      <c r="D109" s="16">
        <v>2</v>
      </c>
      <c r="E109" s="16" t="s">
        <v>282</v>
      </c>
      <c r="F109" s="16" t="s">
        <v>584</v>
      </c>
      <c r="G109" s="16">
        <v>0</v>
      </c>
      <c r="H109" s="16">
        <v>0</v>
      </c>
      <c r="I109" s="16">
        <v>0</v>
      </c>
      <c r="J109" s="16">
        <v>0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f t="shared" si="12"/>
        <v>0</v>
      </c>
      <c r="W109" s="16" t="e">
        <f t="shared" si="9"/>
        <v>#DIV/0!</v>
      </c>
      <c r="X109" s="16" t="e">
        <f t="shared" si="10"/>
        <v>#DIV/0!</v>
      </c>
      <c r="Y109" s="16" t="e">
        <f t="shared" si="14"/>
        <v>#DIV/0!</v>
      </c>
      <c r="Z109" s="16" t="e">
        <f t="shared" si="13"/>
        <v>#DIV/0!</v>
      </c>
      <c r="AA109" s="16" t="e">
        <f t="shared" si="15"/>
        <v>#DIV/0!</v>
      </c>
      <c r="AB109" s="16">
        <f t="shared" si="11"/>
        <v>0</v>
      </c>
    </row>
    <row r="110" spans="1:28" x14ac:dyDescent="0.2">
      <c r="A110" s="15" t="s">
        <v>628</v>
      </c>
      <c r="B110" s="15" t="s">
        <v>43</v>
      </c>
      <c r="C110" s="15">
        <v>26</v>
      </c>
      <c r="D110" s="15">
        <v>2</v>
      </c>
      <c r="E110" s="15" t="s">
        <v>629</v>
      </c>
      <c r="F110" s="15" t="s">
        <v>584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f t="shared" si="12"/>
        <v>0</v>
      </c>
      <c r="W110" s="15" t="e">
        <f t="shared" si="9"/>
        <v>#DIV/0!</v>
      </c>
      <c r="X110" s="15" t="e">
        <f t="shared" si="10"/>
        <v>#DIV/0!</v>
      </c>
      <c r="Y110" s="15" t="e">
        <f t="shared" si="14"/>
        <v>#DIV/0!</v>
      </c>
      <c r="Z110" s="15" t="e">
        <f t="shared" si="13"/>
        <v>#DIV/0!</v>
      </c>
      <c r="AA110" s="15" t="e">
        <f t="shared" si="15"/>
        <v>#DIV/0!</v>
      </c>
      <c r="AB110" s="15">
        <f t="shared" si="11"/>
        <v>0</v>
      </c>
    </row>
    <row r="111" spans="1:28" x14ac:dyDescent="0.2">
      <c r="A111" s="16" t="s">
        <v>630</v>
      </c>
      <c r="B111" s="16" t="s">
        <v>43</v>
      </c>
      <c r="C111" s="16">
        <v>21</v>
      </c>
      <c r="D111" s="16">
        <v>0</v>
      </c>
      <c r="E111" s="16" t="s">
        <v>68</v>
      </c>
      <c r="F111" s="16" t="s">
        <v>584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T111" s="16">
        <v>0</v>
      </c>
      <c r="U111" s="16">
        <v>0</v>
      </c>
      <c r="V111" s="16">
        <f t="shared" si="12"/>
        <v>0</v>
      </c>
      <c r="W111" s="16" t="e">
        <f t="shared" si="9"/>
        <v>#DIV/0!</v>
      </c>
      <c r="X111" s="16" t="e">
        <f t="shared" si="10"/>
        <v>#DIV/0!</v>
      </c>
      <c r="Y111" s="16" t="e">
        <f t="shared" si="14"/>
        <v>#DIV/0!</v>
      </c>
      <c r="Z111" s="16" t="e">
        <f t="shared" si="13"/>
        <v>#DIV/0!</v>
      </c>
      <c r="AA111" s="16" t="e">
        <f t="shared" si="15"/>
        <v>#DIV/0!</v>
      </c>
      <c r="AB111" s="16">
        <f t="shared" si="11"/>
        <v>0</v>
      </c>
    </row>
    <row r="112" spans="1:28" x14ac:dyDescent="0.2">
      <c r="A112" s="15" t="s">
        <v>631</v>
      </c>
      <c r="B112" s="15" t="s">
        <v>43</v>
      </c>
      <c r="C112" s="15">
        <v>29</v>
      </c>
      <c r="D112" s="15">
        <v>6</v>
      </c>
      <c r="E112" s="15" t="s">
        <v>207</v>
      </c>
      <c r="F112" s="15" t="s">
        <v>584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v>0</v>
      </c>
      <c r="V112" s="15">
        <f t="shared" si="12"/>
        <v>0</v>
      </c>
      <c r="W112" s="15" t="e">
        <f t="shared" si="9"/>
        <v>#DIV/0!</v>
      </c>
      <c r="X112" s="15" t="e">
        <f t="shared" si="10"/>
        <v>#DIV/0!</v>
      </c>
      <c r="Y112" s="15" t="e">
        <f t="shared" si="14"/>
        <v>#DIV/0!</v>
      </c>
      <c r="Z112" s="15" t="e">
        <f t="shared" si="13"/>
        <v>#DIV/0!</v>
      </c>
      <c r="AA112" s="15" t="e">
        <f t="shared" si="15"/>
        <v>#DIV/0!</v>
      </c>
      <c r="AB112" s="15">
        <f t="shared" si="11"/>
        <v>0</v>
      </c>
    </row>
    <row r="113" spans="1:28" x14ac:dyDescent="0.2">
      <c r="A113" s="16" t="s">
        <v>632</v>
      </c>
      <c r="B113" s="16" t="s">
        <v>43</v>
      </c>
      <c r="C113" s="16">
        <v>27</v>
      </c>
      <c r="D113" s="16">
        <v>6</v>
      </c>
      <c r="E113" s="16" t="s">
        <v>237</v>
      </c>
      <c r="F113" s="16" t="s">
        <v>584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f t="shared" si="12"/>
        <v>0</v>
      </c>
      <c r="W113" s="16" t="e">
        <f t="shared" si="9"/>
        <v>#DIV/0!</v>
      </c>
      <c r="X113" s="16" t="e">
        <f t="shared" si="10"/>
        <v>#DIV/0!</v>
      </c>
      <c r="Y113" s="16" t="e">
        <f t="shared" si="14"/>
        <v>#DIV/0!</v>
      </c>
      <c r="Z113" s="16" t="e">
        <f t="shared" si="13"/>
        <v>#DIV/0!</v>
      </c>
      <c r="AA113" s="16" t="e">
        <f t="shared" si="15"/>
        <v>#DIV/0!</v>
      </c>
      <c r="AB113" s="16">
        <f t="shared" si="11"/>
        <v>0</v>
      </c>
    </row>
    <row r="114" spans="1:28" x14ac:dyDescent="0.2">
      <c r="A114" s="15" t="s">
        <v>633</v>
      </c>
      <c r="B114" s="15" t="s">
        <v>43</v>
      </c>
      <c r="C114" s="15">
        <v>25</v>
      </c>
      <c r="D114" s="15">
        <v>2</v>
      </c>
      <c r="E114" s="15" t="s">
        <v>277</v>
      </c>
      <c r="F114" s="15" t="s">
        <v>584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f t="shared" si="12"/>
        <v>0</v>
      </c>
      <c r="W114" s="15" t="e">
        <f t="shared" si="9"/>
        <v>#DIV/0!</v>
      </c>
      <c r="X114" s="15" t="e">
        <f t="shared" si="10"/>
        <v>#DIV/0!</v>
      </c>
      <c r="Y114" s="15" t="e">
        <f t="shared" si="14"/>
        <v>#DIV/0!</v>
      </c>
      <c r="Z114" s="15" t="e">
        <f t="shared" si="13"/>
        <v>#DIV/0!</v>
      </c>
      <c r="AA114" s="15" t="e">
        <f t="shared" si="15"/>
        <v>#DIV/0!</v>
      </c>
      <c r="AB114" s="15">
        <f t="shared" si="11"/>
        <v>0</v>
      </c>
    </row>
    <row r="115" spans="1:28" x14ac:dyDescent="0.2">
      <c r="A115" s="16" t="s">
        <v>634</v>
      </c>
      <c r="B115" s="16" t="s">
        <v>43</v>
      </c>
      <c r="C115" s="16">
        <v>24</v>
      </c>
      <c r="D115" s="16">
        <v>2</v>
      </c>
      <c r="E115" s="16" t="s">
        <v>635</v>
      </c>
      <c r="F115" s="16" t="s">
        <v>584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f t="shared" si="12"/>
        <v>0</v>
      </c>
      <c r="W115" s="16" t="e">
        <f t="shared" si="9"/>
        <v>#DIV/0!</v>
      </c>
      <c r="X115" s="16" t="e">
        <f t="shared" si="10"/>
        <v>#DIV/0!</v>
      </c>
      <c r="Y115" s="16" t="e">
        <f t="shared" si="14"/>
        <v>#DIV/0!</v>
      </c>
      <c r="Z115" s="16" t="e">
        <f t="shared" si="13"/>
        <v>#DIV/0!</v>
      </c>
      <c r="AA115" s="16" t="e">
        <f t="shared" si="15"/>
        <v>#DIV/0!</v>
      </c>
      <c r="AB115" s="16">
        <f t="shared" si="11"/>
        <v>0</v>
      </c>
    </row>
    <row r="116" spans="1:28" x14ac:dyDescent="0.2">
      <c r="A116" s="15" t="s">
        <v>679</v>
      </c>
      <c r="B116" s="15" t="s">
        <v>43</v>
      </c>
      <c r="C116" s="15">
        <v>26</v>
      </c>
      <c r="D116" s="15">
        <v>1</v>
      </c>
      <c r="E116" s="15" t="s">
        <v>182</v>
      </c>
      <c r="F116" s="15" t="s">
        <v>647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f t="shared" si="12"/>
        <v>0</v>
      </c>
      <c r="W116" s="15" t="e">
        <f t="shared" si="9"/>
        <v>#DIV/0!</v>
      </c>
      <c r="X116" s="15" t="e">
        <f t="shared" si="10"/>
        <v>#DIV/0!</v>
      </c>
      <c r="Y116" s="15" t="e">
        <f t="shared" si="14"/>
        <v>#DIV/0!</v>
      </c>
      <c r="Z116" s="15" t="e">
        <f t="shared" si="13"/>
        <v>#DIV/0!</v>
      </c>
      <c r="AA116" s="15" t="e">
        <f>$K116/$H116</f>
        <v>#DIV/0!</v>
      </c>
      <c r="AB116" s="15">
        <f t="shared" si="11"/>
        <v>0</v>
      </c>
    </row>
    <row r="117" spans="1:28" x14ac:dyDescent="0.2">
      <c r="A117" s="16" t="s">
        <v>680</v>
      </c>
      <c r="B117" s="16" t="s">
        <v>43</v>
      </c>
      <c r="C117" s="16">
        <v>26</v>
      </c>
      <c r="D117" s="16">
        <v>3</v>
      </c>
      <c r="E117" s="16" t="s">
        <v>681</v>
      </c>
      <c r="F117" s="16" t="s">
        <v>647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T117" s="16">
        <v>0</v>
      </c>
      <c r="U117" s="16">
        <v>0</v>
      </c>
      <c r="V117" s="16">
        <f t="shared" si="12"/>
        <v>0</v>
      </c>
      <c r="W117" s="16" t="e">
        <f t="shared" si="9"/>
        <v>#DIV/0!</v>
      </c>
      <c r="X117" s="16" t="e">
        <f t="shared" si="10"/>
        <v>#DIV/0!</v>
      </c>
      <c r="Y117" s="16" t="e">
        <f t="shared" si="14"/>
        <v>#DIV/0!</v>
      </c>
      <c r="Z117" s="16" t="e">
        <f t="shared" si="13"/>
        <v>#DIV/0!</v>
      </c>
      <c r="AA117" s="16" t="e">
        <f>$K117/$H117</f>
        <v>#DIV/0!</v>
      </c>
      <c r="AB117" s="16">
        <f t="shared" si="11"/>
        <v>0</v>
      </c>
    </row>
    <row r="118" spans="1:28" x14ac:dyDescent="0.2">
      <c r="A118" s="15" t="s">
        <v>682</v>
      </c>
      <c r="B118" s="15" t="s">
        <v>43</v>
      </c>
      <c r="C118" s="15">
        <v>23</v>
      </c>
      <c r="D118" s="15">
        <v>0</v>
      </c>
      <c r="E118" s="15" t="s">
        <v>205</v>
      </c>
      <c r="F118" s="15" t="s">
        <v>647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v>0</v>
      </c>
      <c r="V118" s="15">
        <f t="shared" si="12"/>
        <v>0</v>
      </c>
      <c r="W118" s="15" t="e">
        <f t="shared" si="9"/>
        <v>#DIV/0!</v>
      </c>
      <c r="X118" s="15" t="e">
        <f t="shared" si="10"/>
        <v>#DIV/0!</v>
      </c>
      <c r="Y118" s="15" t="e">
        <f t="shared" si="14"/>
        <v>#DIV/0!</v>
      </c>
      <c r="Z118" s="15" t="e">
        <f t="shared" si="13"/>
        <v>#DIV/0!</v>
      </c>
      <c r="AA118" s="15" t="e">
        <f>$K118/$H118</f>
        <v>#DIV/0!</v>
      </c>
      <c r="AB118" s="15">
        <f t="shared" si="11"/>
        <v>0</v>
      </c>
    </row>
    <row r="119" spans="1:28" x14ac:dyDescent="0.2">
      <c r="A119" s="16" t="s">
        <v>683</v>
      </c>
      <c r="B119" s="16" t="s">
        <v>43</v>
      </c>
      <c r="C119" s="16"/>
      <c r="D119" s="16">
        <v>0</v>
      </c>
      <c r="E119" s="16" t="s">
        <v>362</v>
      </c>
      <c r="F119" s="16" t="s">
        <v>647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T119" s="16">
        <v>0</v>
      </c>
      <c r="U119" s="16">
        <v>0</v>
      </c>
      <c r="V119" s="16">
        <f t="shared" si="12"/>
        <v>0</v>
      </c>
      <c r="W119" s="16" t="e">
        <f t="shared" si="9"/>
        <v>#DIV/0!</v>
      </c>
      <c r="X119" s="16" t="e">
        <f t="shared" si="10"/>
        <v>#DIV/0!</v>
      </c>
      <c r="Y119" s="16" t="e">
        <f t="shared" si="14"/>
        <v>#DIV/0!</v>
      </c>
      <c r="Z119" s="16" t="e">
        <f t="shared" si="13"/>
        <v>#DIV/0!</v>
      </c>
      <c r="AA119" s="16" t="e">
        <f>$K119/$H119</f>
        <v>#DIV/0!</v>
      </c>
      <c r="AB119" s="16">
        <f t="shared" si="11"/>
        <v>0</v>
      </c>
    </row>
    <row r="120" spans="1:28" x14ac:dyDescent="0.2">
      <c r="A120" s="15" t="s">
        <v>684</v>
      </c>
      <c r="B120" s="15" t="s">
        <v>43</v>
      </c>
      <c r="C120" s="15">
        <v>23</v>
      </c>
      <c r="D120" s="15">
        <v>0</v>
      </c>
      <c r="E120" s="15" t="s">
        <v>170</v>
      </c>
      <c r="F120" s="15" t="s">
        <v>647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f t="shared" si="12"/>
        <v>0</v>
      </c>
      <c r="W120" s="15" t="e">
        <f t="shared" si="9"/>
        <v>#DIV/0!</v>
      </c>
      <c r="X120" s="15" t="e">
        <f t="shared" si="10"/>
        <v>#DIV/0!</v>
      </c>
      <c r="Y120" s="15" t="e">
        <f t="shared" si="14"/>
        <v>#DIV/0!</v>
      </c>
      <c r="Z120" s="15" t="e">
        <f t="shared" si="13"/>
        <v>#DIV/0!</v>
      </c>
      <c r="AA120" s="15" t="e">
        <f>$K120/$H120</f>
        <v>#DIV/0!</v>
      </c>
      <c r="AB120" s="15">
        <f t="shared" si="11"/>
        <v>0</v>
      </c>
    </row>
    <row r="121" spans="1:28" x14ac:dyDescent="0.2">
      <c r="A121" s="16" t="s">
        <v>685</v>
      </c>
      <c r="B121" s="16" t="s">
        <v>43</v>
      </c>
      <c r="C121" s="16">
        <v>23</v>
      </c>
      <c r="D121" s="16">
        <v>0</v>
      </c>
      <c r="E121" s="16" t="s">
        <v>163</v>
      </c>
      <c r="F121" s="16" t="s">
        <v>647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f t="shared" si="12"/>
        <v>0</v>
      </c>
      <c r="W121" s="16" t="e">
        <f t="shared" si="9"/>
        <v>#DIV/0!</v>
      </c>
      <c r="X121" s="16" t="e">
        <f t="shared" si="10"/>
        <v>#DIV/0!</v>
      </c>
      <c r="Y121" s="16" t="e">
        <f t="shared" si="14"/>
        <v>#DIV/0!</v>
      </c>
      <c r="Z121" s="16" t="e">
        <f t="shared" si="13"/>
        <v>#DIV/0!</v>
      </c>
      <c r="AA121" s="16" t="e">
        <f>$K121/$H121</f>
        <v>#DIV/0!</v>
      </c>
      <c r="AB121" s="16">
        <f t="shared" si="11"/>
        <v>0</v>
      </c>
    </row>
    <row r="122" spans="1:28" x14ac:dyDescent="0.2">
      <c r="A122" s="15" t="s">
        <v>686</v>
      </c>
      <c r="B122" s="15" t="s">
        <v>43</v>
      </c>
      <c r="C122" s="15">
        <v>33</v>
      </c>
      <c r="D122" s="15">
        <v>12</v>
      </c>
      <c r="E122" s="15" t="s">
        <v>666</v>
      </c>
      <c r="F122" s="15" t="s">
        <v>647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f t="shared" si="12"/>
        <v>0</v>
      </c>
      <c r="W122" s="15" t="e">
        <f t="shared" si="9"/>
        <v>#DIV/0!</v>
      </c>
      <c r="X122" s="15" t="e">
        <f t="shared" si="10"/>
        <v>#DIV/0!</v>
      </c>
      <c r="Y122" s="15" t="e">
        <f t="shared" si="14"/>
        <v>#DIV/0!</v>
      </c>
      <c r="Z122" s="15" t="e">
        <f t="shared" si="13"/>
        <v>#DIV/0!</v>
      </c>
      <c r="AA122" s="15" t="e">
        <f>$K122/$H122</f>
        <v>#DIV/0!</v>
      </c>
      <c r="AB122" s="15">
        <f t="shared" si="11"/>
        <v>0</v>
      </c>
    </row>
    <row r="123" spans="1:28" x14ac:dyDescent="0.2">
      <c r="A123" s="16" t="s">
        <v>687</v>
      </c>
      <c r="B123" s="16" t="s">
        <v>43</v>
      </c>
      <c r="C123" s="16">
        <v>27</v>
      </c>
      <c r="D123" s="16">
        <v>3</v>
      </c>
      <c r="E123" s="16" t="s">
        <v>688</v>
      </c>
      <c r="F123" s="16" t="s">
        <v>647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f t="shared" si="12"/>
        <v>0</v>
      </c>
      <c r="W123" s="16" t="e">
        <f t="shared" si="9"/>
        <v>#DIV/0!</v>
      </c>
      <c r="X123" s="16" t="e">
        <f t="shared" si="10"/>
        <v>#DIV/0!</v>
      </c>
      <c r="Y123" s="16" t="e">
        <f t="shared" si="14"/>
        <v>#DIV/0!</v>
      </c>
      <c r="Z123" s="16" t="e">
        <f t="shared" si="13"/>
        <v>#DIV/0!</v>
      </c>
      <c r="AA123" s="16" t="e">
        <f>$K123/$H123</f>
        <v>#DIV/0!</v>
      </c>
      <c r="AB123" s="16">
        <f t="shared" si="11"/>
        <v>0</v>
      </c>
    </row>
    <row r="124" spans="1:28" x14ac:dyDescent="0.2">
      <c r="A124" s="15" t="s">
        <v>689</v>
      </c>
      <c r="B124" s="15" t="s">
        <v>43</v>
      </c>
      <c r="C124" s="15">
        <v>25</v>
      </c>
      <c r="D124" s="15">
        <v>4</v>
      </c>
      <c r="E124" s="15" t="s">
        <v>393</v>
      </c>
      <c r="F124" s="15" t="s">
        <v>647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0</v>
      </c>
      <c r="U124" s="15">
        <v>0</v>
      </c>
      <c r="V124" s="15">
        <f t="shared" si="12"/>
        <v>0</v>
      </c>
      <c r="W124" s="15" t="e">
        <f t="shared" si="9"/>
        <v>#DIV/0!</v>
      </c>
      <c r="X124" s="15" t="e">
        <f t="shared" si="10"/>
        <v>#DIV/0!</v>
      </c>
      <c r="Y124" s="15" t="e">
        <f t="shared" si="14"/>
        <v>#DIV/0!</v>
      </c>
      <c r="Z124" s="15" t="e">
        <f t="shared" si="13"/>
        <v>#DIV/0!</v>
      </c>
      <c r="AA124" s="15" t="e">
        <f>$K124/$H124</f>
        <v>#DIV/0!</v>
      </c>
      <c r="AB124" s="15">
        <f t="shared" si="11"/>
        <v>0</v>
      </c>
    </row>
    <row r="125" spans="1:28" x14ac:dyDescent="0.2">
      <c r="A125" s="16" t="s">
        <v>690</v>
      </c>
      <c r="B125" s="16" t="s">
        <v>43</v>
      </c>
      <c r="C125" s="16">
        <v>29</v>
      </c>
      <c r="D125" s="16">
        <v>7</v>
      </c>
      <c r="E125" s="16" t="s">
        <v>691</v>
      </c>
      <c r="F125" s="16" t="s">
        <v>647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f t="shared" si="12"/>
        <v>0</v>
      </c>
      <c r="W125" s="16" t="e">
        <f t="shared" si="9"/>
        <v>#DIV/0!</v>
      </c>
      <c r="X125" s="16" t="e">
        <f t="shared" si="10"/>
        <v>#DIV/0!</v>
      </c>
      <c r="Y125" s="16" t="e">
        <f t="shared" si="14"/>
        <v>#DIV/0!</v>
      </c>
      <c r="Z125" s="16" t="e">
        <f t="shared" si="13"/>
        <v>#DIV/0!</v>
      </c>
      <c r="AA125" s="16" t="e">
        <f>$K125/$H125</f>
        <v>#DIV/0!</v>
      </c>
      <c r="AB125" s="16">
        <f t="shared" si="11"/>
        <v>0</v>
      </c>
    </row>
    <row r="126" spans="1:28" x14ac:dyDescent="0.2">
      <c r="A126" s="15" t="s">
        <v>692</v>
      </c>
      <c r="B126" s="15" t="s">
        <v>43</v>
      </c>
      <c r="C126" s="15">
        <v>28</v>
      </c>
      <c r="D126" s="15">
        <v>7</v>
      </c>
      <c r="E126" s="15" t="s">
        <v>307</v>
      </c>
      <c r="F126" s="15" t="s">
        <v>647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f t="shared" si="12"/>
        <v>0</v>
      </c>
      <c r="W126" s="15" t="e">
        <f t="shared" si="9"/>
        <v>#DIV/0!</v>
      </c>
      <c r="X126" s="15" t="e">
        <f t="shared" si="10"/>
        <v>#DIV/0!</v>
      </c>
      <c r="Y126" s="15" t="e">
        <f t="shared" si="14"/>
        <v>#DIV/0!</v>
      </c>
      <c r="Z126" s="15" t="e">
        <f t="shared" si="13"/>
        <v>#DIV/0!</v>
      </c>
      <c r="AA126" s="15" t="e">
        <f>$K126/$H126</f>
        <v>#DIV/0!</v>
      </c>
      <c r="AB126" s="15">
        <f t="shared" si="11"/>
        <v>0</v>
      </c>
    </row>
    <row r="127" spans="1:28" x14ac:dyDescent="0.2">
      <c r="A127" s="16" t="s">
        <v>693</v>
      </c>
      <c r="B127" s="16" t="s">
        <v>43</v>
      </c>
      <c r="C127" s="16">
        <v>23</v>
      </c>
      <c r="D127" s="16">
        <v>3</v>
      </c>
      <c r="E127" s="16" t="s">
        <v>78</v>
      </c>
      <c r="F127" s="16" t="s">
        <v>647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f t="shared" si="12"/>
        <v>0</v>
      </c>
      <c r="W127" s="16" t="e">
        <f t="shared" si="9"/>
        <v>#DIV/0!</v>
      </c>
      <c r="X127" s="16" t="e">
        <f t="shared" si="10"/>
        <v>#DIV/0!</v>
      </c>
      <c r="Y127" s="16" t="e">
        <f t="shared" si="14"/>
        <v>#DIV/0!</v>
      </c>
      <c r="Z127" s="16" t="e">
        <f t="shared" si="13"/>
        <v>#DIV/0!</v>
      </c>
      <c r="AA127" s="16" t="e">
        <f>$K127/$H127</f>
        <v>#DIV/0!</v>
      </c>
      <c r="AB127" s="16">
        <f t="shared" si="11"/>
        <v>0</v>
      </c>
    </row>
    <row r="128" spans="1:28" x14ac:dyDescent="0.2">
      <c r="A128" s="15" t="s">
        <v>732</v>
      </c>
      <c r="B128" s="15" t="s">
        <v>43</v>
      </c>
      <c r="C128" s="15">
        <v>23</v>
      </c>
      <c r="D128" s="15">
        <v>0</v>
      </c>
      <c r="E128" s="15" t="s">
        <v>733</v>
      </c>
      <c r="F128" s="15" t="s">
        <v>704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f t="shared" si="12"/>
        <v>0</v>
      </c>
      <c r="W128" s="15" t="e">
        <f t="shared" si="9"/>
        <v>#DIV/0!</v>
      </c>
      <c r="X128" s="15" t="e">
        <f t="shared" si="10"/>
        <v>#DIV/0!</v>
      </c>
      <c r="Y128" s="15" t="e">
        <f t="shared" si="14"/>
        <v>#DIV/0!</v>
      </c>
      <c r="Z128" s="15" t="e">
        <f t="shared" si="13"/>
        <v>#DIV/0!</v>
      </c>
      <c r="AA128" s="15" t="e">
        <f>$K128/$H128</f>
        <v>#DIV/0!</v>
      </c>
      <c r="AB128" s="15">
        <f t="shared" si="11"/>
        <v>0</v>
      </c>
    </row>
    <row r="129" spans="1:28" x14ac:dyDescent="0.2">
      <c r="A129" s="16" t="s">
        <v>734</v>
      </c>
      <c r="B129" s="16" t="s">
        <v>43</v>
      </c>
      <c r="C129" s="16"/>
      <c r="D129" s="16">
        <v>0</v>
      </c>
      <c r="E129" s="16" t="s">
        <v>91</v>
      </c>
      <c r="F129" s="16" t="s">
        <v>704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f t="shared" si="12"/>
        <v>0</v>
      </c>
      <c r="W129" s="16" t="e">
        <f t="shared" si="9"/>
        <v>#DIV/0!</v>
      </c>
      <c r="X129" s="16" t="e">
        <f t="shared" si="10"/>
        <v>#DIV/0!</v>
      </c>
      <c r="Y129" s="16" t="e">
        <f t="shared" si="14"/>
        <v>#DIV/0!</v>
      </c>
      <c r="Z129" s="16" t="e">
        <f t="shared" si="13"/>
        <v>#DIV/0!</v>
      </c>
      <c r="AA129" s="16" t="e">
        <f>$K129/$H129</f>
        <v>#DIV/0!</v>
      </c>
      <c r="AB129" s="16">
        <f t="shared" si="11"/>
        <v>0</v>
      </c>
    </row>
    <row r="130" spans="1:28" x14ac:dyDescent="0.2">
      <c r="A130" s="15" t="s">
        <v>735</v>
      </c>
      <c r="B130" s="15" t="s">
        <v>43</v>
      </c>
      <c r="C130" s="15">
        <v>23</v>
      </c>
      <c r="D130" s="15">
        <v>2</v>
      </c>
      <c r="E130" s="15" t="s">
        <v>736</v>
      </c>
      <c r="F130" s="15" t="s">
        <v>704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T130" s="15">
        <v>0</v>
      </c>
      <c r="U130" s="15">
        <v>0</v>
      </c>
      <c r="V130" s="15">
        <f t="shared" si="12"/>
        <v>0</v>
      </c>
      <c r="W130" s="15" t="e">
        <f t="shared" ref="W130:W193" si="16">$P130/$H$33</f>
        <v>#DIV/0!</v>
      </c>
      <c r="X130" s="15" t="e">
        <f t="shared" ref="X130:X193" si="17">$N130/$M130</f>
        <v>#DIV/0!</v>
      </c>
      <c r="Y130" s="15" t="e">
        <f t="shared" si="14"/>
        <v>#DIV/0!</v>
      </c>
      <c r="Z130" s="15" t="e">
        <f t="shared" si="13"/>
        <v>#DIV/0!</v>
      </c>
      <c r="AA130" s="15" t="e">
        <f>$K130/$H130</f>
        <v>#DIV/0!</v>
      </c>
      <c r="AB130" s="15">
        <f t="shared" ref="AB130:AB193" si="18">($J130*Cp_yd)+($K130*Cp_td)+($L130*Cint)+($M130*Ccar)+($N130*Cr_yd)+($O130*Cr_td)+(Q130*Crec)+($R130*Crec_yd)+($S130*Crec_td)+($T130*Cfmb)+($U130*Ctp_c)</f>
        <v>0</v>
      </c>
    </row>
    <row r="131" spans="1:28" x14ac:dyDescent="0.2">
      <c r="A131" s="16" t="s">
        <v>737</v>
      </c>
      <c r="B131" s="16" t="s">
        <v>43</v>
      </c>
      <c r="C131" s="16">
        <v>22</v>
      </c>
      <c r="D131" s="16">
        <v>0</v>
      </c>
      <c r="E131" s="16" t="s">
        <v>738</v>
      </c>
      <c r="F131" s="16" t="s">
        <v>704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f t="shared" ref="V131:V194" si="19">($J131*0.04)+($K131*4)+($L131*-2)+($N131*0.1)+($O131*6)+($Q131)+($R131*0.1)+($S131*6)+($T131*-2)</f>
        <v>0</v>
      </c>
      <c r="W131" s="16" t="e">
        <f t="shared" si="16"/>
        <v>#DIV/0!</v>
      </c>
      <c r="X131" s="16" t="e">
        <f t="shared" si="17"/>
        <v>#DIV/0!</v>
      </c>
      <c r="Y131" s="16" t="e">
        <f t="shared" si="14"/>
        <v>#DIV/0!</v>
      </c>
      <c r="Z131" s="16" t="e">
        <f t="shared" si="13"/>
        <v>#DIV/0!</v>
      </c>
      <c r="AA131" s="16" t="e">
        <f>$K131/$H131</f>
        <v>#DIV/0!</v>
      </c>
      <c r="AB131" s="16">
        <f t="shared" si="18"/>
        <v>0</v>
      </c>
    </row>
    <row r="132" spans="1:28" x14ac:dyDescent="0.2">
      <c r="A132" s="15" t="s">
        <v>739</v>
      </c>
      <c r="B132" s="15" t="s">
        <v>43</v>
      </c>
      <c r="C132" s="15">
        <v>23</v>
      </c>
      <c r="D132" s="15">
        <v>0</v>
      </c>
      <c r="E132" s="15" t="s">
        <v>240</v>
      </c>
      <c r="F132" s="15" t="s">
        <v>704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f t="shared" si="19"/>
        <v>0</v>
      </c>
      <c r="W132" s="15" t="e">
        <f t="shared" si="16"/>
        <v>#DIV/0!</v>
      </c>
      <c r="X132" s="15" t="e">
        <f t="shared" si="17"/>
        <v>#DIV/0!</v>
      </c>
      <c r="Y132" s="15" t="e">
        <f t="shared" si="14"/>
        <v>#DIV/0!</v>
      </c>
      <c r="Z132" s="15" t="e">
        <f t="shared" si="13"/>
        <v>#DIV/0!</v>
      </c>
      <c r="AA132" s="15" t="e">
        <f>$K132/$H132</f>
        <v>#DIV/0!</v>
      </c>
      <c r="AB132" s="15">
        <f t="shared" si="18"/>
        <v>0</v>
      </c>
    </row>
    <row r="133" spans="1:28" x14ac:dyDescent="0.2">
      <c r="A133" s="16" t="s">
        <v>740</v>
      </c>
      <c r="B133" s="16" t="s">
        <v>43</v>
      </c>
      <c r="C133" s="16">
        <v>24</v>
      </c>
      <c r="D133" s="16">
        <v>1</v>
      </c>
      <c r="E133" s="16" t="s">
        <v>215</v>
      </c>
      <c r="F133" s="16" t="s">
        <v>704</v>
      </c>
      <c r="G133" s="16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f t="shared" si="19"/>
        <v>0</v>
      </c>
      <c r="W133" s="16" t="e">
        <f t="shared" si="16"/>
        <v>#DIV/0!</v>
      </c>
      <c r="X133" s="16" t="e">
        <f t="shared" si="17"/>
        <v>#DIV/0!</v>
      </c>
      <c r="Y133" s="16" t="e">
        <f t="shared" si="14"/>
        <v>#DIV/0!</v>
      </c>
      <c r="Z133" s="16" t="e">
        <f t="shared" si="13"/>
        <v>#DIV/0!</v>
      </c>
      <c r="AA133" s="16" t="e">
        <f>$K133/$H133</f>
        <v>#DIV/0!</v>
      </c>
      <c r="AB133" s="16">
        <f t="shared" si="18"/>
        <v>0</v>
      </c>
    </row>
    <row r="134" spans="1:28" x14ac:dyDescent="0.2">
      <c r="A134" s="15" t="s">
        <v>741</v>
      </c>
      <c r="B134" s="15" t="s">
        <v>43</v>
      </c>
      <c r="C134" s="15">
        <v>25</v>
      </c>
      <c r="D134" s="15">
        <v>1</v>
      </c>
      <c r="E134" s="15" t="s">
        <v>742</v>
      </c>
      <c r="F134" s="15" t="s">
        <v>704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  <c r="O134" s="15">
        <v>0</v>
      </c>
      <c r="P134" s="15">
        <v>0</v>
      </c>
      <c r="Q134" s="15">
        <v>0</v>
      </c>
      <c r="R134" s="15">
        <v>0</v>
      </c>
      <c r="S134" s="15">
        <v>0</v>
      </c>
      <c r="T134" s="15">
        <v>0</v>
      </c>
      <c r="U134" s="15">
        <v>0</v>
      </c>
      <c r="V134" s="15">
        <f t="shared" si="19"/>
        <v>0</v>
      </c>
      <c r="W134" s="15" t="e">
        <f t="shared" si="16"/>
        <v>#DIV/0!</v>
      </c>
      <c r="X134" s="15" t="e">
        <f t="shared" si="17"/>
        <v>#DIV/0!</v>
      </c>
      <c r="Y134" s="15" t="e">
        <f t="shared" si="14"/>
        <v>#DIV/0!</v>
      </c>
      <c r="Z134" s="15" t="e">
        <f t="shared" si="13"/>
        <v>#DIV/0!</v>
      </c>
      <c r="AA134" s="15" t="e">
        <f>$K134/$H134</f>
        <v>#DIV/0!</v>
      </c>
      <c r="AB134" s="15">
        <f t="shared" si="18"/>
        <v>0</v>
      </c>
    </row>
    <row r="135" spans="1:28" x14ac:dyDescent="0.2">
      <c r="A135" s="16" t="s">
        <v>743</v>
      </c>
      <c r="B135" s="16" t="s">
        <v>43</v>
      </c>
      <c r="C135" s="16">
        <v>23</v>
      </c>
      <c r="D135" s="16">
        <v>0</v>
      </c>
      <c r="E135" s="16" t="s">
        <v>744</v>
      </c>
      <c r="F135" s="16" t="s">
        <v>704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f t="shared" si="19"/>
        <v>0</v>
      </c>
      <c r="W135" s="16" t="e">
        <f t="shared" si="16"/>
        <v>#DIV/0!</v>
      </c>
      <c r="X135" s="16" t="e">
        <f t="shared" si="17"/>
        <v>#DIV/0!</v>
      </c>
      <c r="Y135" s="16" t="e">
        <f t="shared" si="14"/>
        <v>#DIV/0!</v>
      </c>
      <c r="Z135" s="16" t="e">
        <f t="shared" si="13"/>
        <v>#DIV/0!</v>
      </c>
      <c r="AA135" s="16" t="e">
        <f>$K135/$H135</f>
        <v>#DIV/0!</v>
      </c>
      <c r="AB135" s="16">
        <f t="shared" si="18"/>
        <v>0</v>
      </c>
    </row>
    <row r="136" spans="1:28" x14ac:dyDescent="0.2">
      <c r="A136" s="15" t="s">
        <v>745</v>
      </c>
      <c r="B136" s="15" t="s">
        <v>43</v>
      </c>
      <c r="C136" s="15">
        <v>25</v>
      </c>
      <c r="D136" s="15">
        <v>2</v>
      </c>
      <c r="E136" s="15" t="s">
        <v>248</v>
      </c>
      <c r="F136" s="15" t="s">
        <v>704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T136" s="15">
        <v>0</v>
      </c>
      <c r="U136" s="15">
        <v>0</v>
      </c>
      <c r="V136" s="15">
        <f t="shared" si="19"/>
        <v>0</v>
      </c>
      <c r="W136" s="15" t="e">
        <f t="shared" si="16"/>
        <v>#DIV/0!</v>
      </c>
      <c r="X136" s="15" t="e">
        <f t="shared" si="17"/>
        <v>#DIV/0!</v>
      </c>
      <c r="Y136" s="15" t="e">
        <f t="shared" si="14"/>
        <v>#DIV/0!</v>
      </c>
      <c r="Z136" s="15" t="e">
        <f t="shared" si="13"/>
        <v>#DIV/0!</v>
      </c>
      <c r="AA136" s="15" t="e">
        <f>$K136/$H136</f>
        <v>#DIV/0!</v>
      </c>
      <c r="AB136" s="15">
        <f t="shared" si="18"/>
        <v>0</v>
      </c>
    </row>
    <row r="137" spans="1:28" x14ac:dyDescent="0.2">
      <c r="A137" s="16" t="s">
        <v>746</v>
      </c>
      <c r="B137" s="16" t="s">
        <v>43</v>
      </c>
      <c r="C137" s="16">
        <v>24</v>
      </c>
      <c r="D137" s="16">
        <v>2</v>
      </c>
      <c r="E137" s="16" t="s">
        <v>555</v>
      </c>
      <c r="F137" s="16" t="s">
        <v>704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f t="shared" si="19"/>
        <v>0</v>
      </c>
      <c r="W137" s="16" t="e">
        <f t="shared" si="16"/>
        <v>#DIV/0!</v>
      </c>
      <c r="X137" s="16" t="e">
        <f t="shared" si="17"/>
        <v>#DIV/0!</v>
      </c>
      <c r="Y137" s="16" t="e">
        <f t="shared" si="14"/>
        <v>#DIV/0!</v>
      </c>
      <c r="Z137" s="16" t="e">
        <f t="shared" si="13"/>
        <v>#DIV/0!</v>
      </c>
      <c r="AA137" s="16" t="e">
        <f>$K137/$H137</f>
        <v>#DIV/0!</v>
      </c>
      <c r="AB137" s="16">
        <f t="shared" si="18"/>
        <v>0</v>
      </c>
    </row>
    <row r="138" spans="1:28" x14ac:dyDescent="0.2">
      <c r="A138" s="15" t="s">
        <v>747</v>
      </c>
      <c r="B138" s="15" t="s">
        <v>43</v>
      </c>
      <c r="C138" s="15">
        <v>23</v>
      </c>
      <c r="D138" s="15">
        <v>0</v>
      </c>
      <c r="E138" s="15" t="s">
        <v>405</v>
      </c>
      <c r="F138" s="15" t="s">
        <v>704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T138" s="15">
        <v>0</v>
      </c>
      <c r="U138" s="15">
        <v>0</v>
      </c>
      <c r="V138" s="15">
        <f t="shared" si="19"/>
        <v>0</v>
      </c>
      <c r="W138" s="15" t="e">
        <f t="shared" si="16"/>
        <v>#DIV/0!</v>
      </c>
      <c r="X138" s="15" t="e">
        <f t="shared" si="17"/>
        <v>#DIV/0!</v>
      </c>
      <c r="Y138" s="15" t="e">
        <f t="shared" si="14"/>
        <v>#DIV/0!</v>
      </c>
      <c r="Z138" s="15" t="e">
        <f t="shared" si="13"/>
        <v>#DIV/0!</v>
      </c>
      <c r="AA138" s="15" t="e">
        <f>$K138/$H138</f>
        <v>#DIV/0!</v>
      </c>
      <c r="AB138" s="15">
        <f t="shared" si="18"/>
        <v>0</v>
      </c>
    </row>
    <row r="139" spans="1:28" x14ac:dyDescent="0.2">
      <c r="A139" s="16" t="s">
        <v>786</v>
      </c>
      <c r="B139" s="16" t="s">
        <v>43</v>
      </c>
      <c r="C139" s="16">
        <v>27</v>
      </c>
      <c r="D139" s="16">
        <v>1</v>
      </c>
      <c r="E139" s="16" t="s">
        <v>95</v>
      </c>
      <c r="F139" s="16" t="s">
        <v>756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f t="shared" si="19"/>
        <v>0</v>
      </c>
      <c r="W139" s="16" t="e">
        <f t="shared" si="16"/>
        <v>#DIV/0!</v>
      </c>
      <c r="X139" s="16" t="e">
        <f t="shared" si="17"/>
        <v>#DIV/0!</v>
      </c>
      <c r="Y139" s="16" t="e">
        <f t="shared" si="14"/>
        <v>#DIV/0!</v>
      </c>
      <c r="Z139" s="16" t="e">
        <f t="shared" si="13"/>
        <v>#DIV/0!</v>
      </c>
      <c r="AA139" s="16" t="e">
        <f>$K139/$H139</f>
        <v>#DIV/0!</v>
      </c>
      <c r="AB139" s="16">
        <f t="shared" si="18"/>
        <v>0</v>
      </c>
    </row>
    <row r="140" spans="1:28" x14ac:dyDescent="0.2">
      <c r="A140" s="15" t="s">
        <v>787</v>
      </c>
      <c r="B140" s="15" t="s">
        <v>43</v>
      </c>
      <c r="C140" s="15">
        <v>27</v>
      </c>
      <c r="D140" s="15">
        <v>7</v>
      </c>
      <c r="E140" s="15" t="s">
        <v>213</v>
      </c>
      <c r="F140" s="15" t="s">
        <v>756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  <c r="O140" s="15">
        <v>0</v>
      </c>
      <c r="P140" s="15">
        <v>0</v>
      </c>
      <c r="Q140" s="15">
        <v>0</v>
      </c>
      <c r="R140" s="15">
        <v>0</v>
      </c>
      <c r="S140" s="15">
        <v>0</v>
      </c>
      <c r="T140" s="15">
        <v>0</v>
      </c>
      <c r="U140" s="15">
        <v>0</v>
      </c>
      <c r="V140" s="15">
        <f t="shared" si="19"/>
        <v>0</v>
      </c>
      <c r="W140" s="15" t="e">
        <f t="shared" si="16"/>
        <v>#DIV/0!</v>
      </c>
      <c r="X140" s="15" t="e">
        <f t="shared" si="17"/>
        <v>#DIV/0!</v>
      </c>
      <c r="Y140" s="15" t="e">
        <f t="shared" si="14"/>
        <v>#DIV/0!</v>
      </c>
      <c r="Z140" s="15" t="e">
        <f t="shared" ref="Z140:Z203" si="20">$I140/$H140</f>
        <v>#DIV/0!</v>
      </c>
      <c r="AA140" s="15" t="e">
        <f>$K140/$H140</f>
        <v>#DIV/0!</v>
      </c>
      <c r="AB140" s="15">
        <f t="shared" si="18"/>
        <v>0</v>
      </c>
    </row>
    <row r="141" spans="1:28" x14ac:dyDescent="0.2">
      <c r="A141" s="16" t="s">
        <v>788</v>
      </c>
      <c r="B141" s="16" t="s">
        <v>43</v>
      </c>
      <c r="C141" s="16">
        <v>25</v>
      </c>
      <c r="D141" s="16">
        <v>1</v>
      </c>
      <c r="E141" s="16" t="s">
        <v>455</v>
      </c>
      <c r="F141" s="16" t="s">
        <v>756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f t="shared" si="19"/>
        <v>0</v>
      </c>
      <c r="W141" s="16" t="e">
        <f t="shared" si="16"/>
        <v>#DIV/0!</v>
      </c>
      <c r="X141" s="16" t="e">
        <f t="shared" si="17"/>
        <v>#DIV/0!</v>
      </c>
      <c r="Y141" s="16" t="e">
        <f t="shared" si="14"/>
        <v>#DIV/0!</v>
      </c>
      <c r="Z141" s="16" t="e">
        <f t="shared" si="20"/>
        <v>#DIV/0!</v>
      </c>
      <c r="AA141" s="16" t="e">
        <f>$K141/$H141</f>
        <v>#DIV/0!</v>
      </c>
      <c r="AB141" s="16">
        <f t="shared" si="18"/>
        <v>0</v>
      </c>
    </row>
    <row r="142" spans="1:28" x14ac:dyDescent="0.2">
      <c r="A142" s="15" t="s">
        <v>789</v>
      </c>
      <c r="B142" s="15" t="s">
        <v>43</v>
      </c>
      <c r="C142" s="15">
        <v>24</v>
      </c>
      <c r="D142" s="15">
        <v>3</v>
      </c>
      <c r="E142" s="15" t="s">
        <v>105</v>
      </c>
      <c r="F142" s="15" t="s">
        <v>756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T142" s="15">
        <v>0</v>
      </c>
      <c r="U142" s="15">
        <v>0</v>
      </c>
      <c r="V142" s="15">
        <f t="shared" si="19"/>
        <v>0</v>
      </c>
      <c r="W142" s="15" t="e">
        <f t="shared" si="16"/>
        <v>#DIV/0!</v>
      </c>
      <c r="X142" s="15" t="e">
        <f t="shared" si="17"/>
        <v>#DIV/0!</v>
      </c>
      <c r="Y142" s="15" t="e">
        <f t="shared" si="14"/>
        <v>#DIV/0!</v>
      </c>
      <c r="Z142" s="15" t="e">
        <f t="shared" si="20"/>
        <v>#DIV/0!</v>
      </c>
      <c r="AA142" s="15" t="e">
        <f>$K142/$H142</f>
        <v>#DIV/0!</v>
      </c>
      <c r="AB142" s="15">
        <f t="shared" si="18"/>
        <v>0</v>
      </c>
    </row>
    <row r="143" spans="1:28" x14ac:dyDescent="0.2">
      <c r="A143" s="16" t="s">
        <v>790</v>
      </c>
      <c r="B143" s="16" t="s">
        <v>43</v>
      </c>
      <c r="C143" s="16">
        <v>23</v>
      </c>
      <c r="D143" s="16">
        <v>0</v>
      </c>
      <c r="E143" s="16" t="s">
        <v>70</v>
      </c>
      <c r="F143" s="16" t="s">
        <v>756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f t="shared" si="19"/>
        <v>0</v>
      </c>
      <c r="W143" s="16" t="e">
        <f t="shared" si="16"/>
        <v>#DIV/0!</v>
      </c>
      <c r="X143" s="16" t="e">
        <f t="shared" si="17"/>
        <v>#DIV/0!</v>
      </c>
      <c r="Y143" s="16" t="e">
        <f t="shared" si="14"/>
        <v>#DIV/0!</v>
      </c>
      <c r="Z143" s="16" t="e">
        <f t="shared" si="20"/>
        <v>#DIV/0!</v>
      </c>
      <c r="AA143" s="16" t="e">
        <f>$K143/$H143</f>
        <v>#DIV/0!</v>
      </c>
      <c r="AB143" s="16">
        <f t="shared" si="18"/>
        <v>0</v>
      </c>
    </row>
    <row r="144" spans="1:28" x14ac:dyDescent="0.2">
      <c r="A144" s="15" t="s">
        <v>791</v>
      </c>
      <c r="B144" s="15" t="s">
        <v>43</v>
      </c>
      <c r="C144" s="15">
        <v>30</v>
      </c>
      <c r="D144" s="15">
        <v>8</v>
      </c>
      <c r="E144" s="15" t="s">
        <v>458</v>
      </c>
      <c r="F144" s="15" t="s">
        <v>756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T144" s="15">
        <v>0</v>
      </c>
      <c r="U144" s="15">
        <v>0</v>
      </c>
      <c r="V144" s="15">
        <f t="shared" si="19"/>
        <v>0</v>
      </c>
      <c r="W144" s="15" t="e">
        <f t="shared" si="16"/>
        <v>#DIV/0!</v>
      </c>
      <c r="X144" s="15" t="e">
        <f t="shared" si="17"/>
        <v>#DIV/0!</v>
      </c>
      <c r="Y144" s="15" t="e">
        <f t="shared" si="14"/>
        <v>#DIV/0!</v>
      </c>
      <c r="Z144" s="15" t="e">
        <f t="shared" si="20"/>
        <v>#DIV/0!</v>
      </c>
      <c r="AA144" s="15" t="e">
        <f>$K144/$H144</f>
        <v>#DIV/0!</v>
      </c>
      <c r="AB144" s="15">
        <f t="shared" si="18"/>
        <v>0</v>
      </c>
    </row>
    <row r="145" spans="1:28" x14ac:dyDescent="0.2">
      <c r="A145" s="16" t="s">
        <v>792</v>
      </c>
      <c r="B145" s="16" t="s">
        <v>43</v>
      </c>
      <c r="C145" s="16">
        <v>23</v>
      </c>
      <c r="D145" s="16">
        <v>0</v>
      </c>
      <c r="E145" s="16" t="s">
        <v>244</v>
      </c>
      <c r="F145" s="16" t="s">
        <v>756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f t="shared" si="19"/>
        <v>0</v>
      </c>
      <c r="W145" s="16" t="e">
        <f t="shared" si="16"/>
        <v>#DIV/0!</v>
      </c>
      <c r="X145" s="16" t="e">
        <f t="shared" si="17"/>
        <v>#DIV/0!</v>
      </c>
      <c r="Y145" s="16" t="e">
        <f t="shared" si="14"/>
        <v>#DIV/0!</v>
      </c>
      <c r="Z145" s="16" t="e">
        <f t="shared" si="20"/>
        <v>#DIV/0!</v>
      </c>
      <c r="AA145" s="16" t="e">
        <f>$K145/$H145</f>
        <v>#DIV/0!</v>
      </c>
      <c r="AB145" s="16">
        <f t="shared" si="18"/>
        <v>0</v>
      </c>
    </row>
    <row r="146" spans="1:28" x14ac:dyDescent="0.2">
      <c r="A146" s="15" t="s">
        <v>793</v>
      </c>
      <c r="B146" s="15" t="s">
        <v>43</v>
      </c>
      <c r="C146" s="15">
        <v>24</v>
      </c>
      <c r="D146" s="15">
        <v>1</v>
      </c>
      <c r="E146" s="15" t="s">
        <v>205</v>
      </c>
      <c r="F146" s="15" t="s">
        <v>756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  <c r="O146" s="15">
        <v>0</v>
      </c>
      <c r="P146" s="15">
        <v>0</v>
      </c>
      <c r="Q146" s="15">
        <v>0</v>
      </c>
      <c r="R146" s="15">
        <v>0</v>
      </c>
      <c r="S146" s="15">
        <v>0</v>
      </c>
      <c r="T146" s="15">
        <v>0</v>
      </c>
      <c r="U146" s="15">
        <v>0</v>
      </c>
      <c r="V146" s="15">
        <f t="shared" si="19"/>
        <v>0</v>
      </c>
      <c r="W146" s="15" t="e">
        <f t="shared" si="16"/>
        <v>#DIV/0!</v>
      </c>
      <c r="X146" s="15" t="e">
        <f t="shared" si="17"/>
        <v>#DIV/0!</v>
      </c>
      <c r="Y146" s="15" t="e">
        <f t="shared" ref="Y146:Y209" si="21">$R146/$Q146</f>
        <v>#DIV/0!</v>
      </c>
      <c r="Z146" s="15" t="e">
        <f t="shared" si="20"/>
        <v>#DIV/0!</v>
      </c>
      <c r="AA146" s="15" t="e">
        <f>$K146/$H146</f>
        <v>#DIV/0!</v>
      </c>
      <c r="AB146" s="15">
        <f t="shared" si="18"/>
        <v>0</v>
      </c>
    </row>
    <row r="147" spans="1:28" x14ac:dyDescent="0.2">
      <c r="A147" s="16" t="s">
        <v>794</v>
      </c>
      <c r="B147" s="16" t="s">
        <v>43</v>
      </c>
      <c r="C147" s="16">
        <v>24</v>
      </c>
      <c r="D147" s="16">
        <v>0</v>
      </c>
      <c r="E147" s="16" t="s">
        <v>795</v>
      </c>
      <c r="F147" s="16" t="s">
        <v>756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f t="shared" si="19"/>
        <v>0</v>
      </c>
      <c r="W147" s="16" t="e">
        <f t="shared" si="16"/>
        <v>#DIV/0!</v>
      </c>
      <c r="X147" s="16" t="e">
        <f t="shared" si="17"/>
        <v>#DIV/0!</v>
      </c>
      <c r="Y147" s="16" t="e">
        <f t="shared" si="21"/>
        <v>#DIV/0!</v>
      </c>
      <c r="Z147" s="16" t="e">
        <f t="shared" si="20"/>
        <v>#DIV/0!</v>
      </c>
      <c r="AA147" s="16" t="e">
        <f>$K147/$H147</f>
        <v>#DIV/0!</v>
      </c>
      <c r="AB147" s="16">
        <f t="shared" si="18"/>
        <v>0</v>
      </c>
    </row>
    <row r="148" spans="1:28" x14ac:dyDescent="0.2">
      <c r="A148" s="15" t="s">
        <v>796</v>
      </c>
      <c r="B148" s="15" t="s">
        <v>43</v>
      </c>
      <c r="C148" s="15">
        <v>23</v>
      </c>
      <c r="D148" s="15">
        <v>1</v>
      </c>
      <c r="E148" s="15" t="s">
        <v>153</v>
      </c>
      <c r="F148" s="15" t="s">
        <v>756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f t="shared" si="19"/>
        <v>0</v>
      </c>
      <c r="W148" s="15" t="e">
        <f t="shared" si="16"/>
        <v>#DIV/0!</v>
      </c>
      <c r="X148" s="15" t="e">
        <f t="shared" si="17"/>
        <v>#DIV/0!</v>
      </c>
      <c r="Y148" s="15" t="e">
        <f t="shared" si="21"/>
        <v>#DIV/0!</v>
      </c>
      <c r="Z148" s="15" t="e">
        <f t="shared" si="20"/>
        <v>#DIV/0!</v>
      </c>
      <c r="AA148" s="15" t="e">
        <f>$K148/$H148</f>
        <v>#DIV/0!</v>
      </c>
      <c r="AB148" s="15">
        <f t="shared" si="18"/>
        <v>0</v>
      </c>
    </row>
    <row r="149" spans="1:28" x14ac:dyDescent="0.2">
      <c r="A149" s="16" t="s">
        <v>797</v>
      </c>
      <c r="B149" s="16" t="s">
        <v>43</v>
      </c>
      <c r="C149" s="16">
        <v>26</v>
      </c>
      <c r="D149" s="16">
        <v>4</v>
      </c>
      <c r="E149" s="16" t="s">
        <v>467</v>
      </c>
      <c r="F149" s="16" t="s">
        <v>756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f t="shared" si="19"/>
        <v>0</v>
      </c>
      <c r="W149" s="16" t="e">
        <f t="shared" si="16"/>
        <v>#DIV/0!</v>
      </c>
      <c r="X149" s="16" t="e">
        <f t="shared" si="17"/>
        <v>#DIV/0!</v>
      </c>
      <c r="Y149" s="16" t="e">
        <f t="shared" si="21"/>
        <v>#DIV/0!</v>
      </c>
      <c r="Z149" s="16" t="e">
        <f t="shared" si="20"/>
        <v>#DIV/0!</v>
      </c>
      <c r="AA149" s="16" t="e">
        <f>$K149/$H149</f>
        <v>#DIV/0!</v>
      </c>
      <c r="AB149" s="16">
        <f t="shared" si="18"/>
        <v>0</v>
      </c>
    </row>
    <row r="150" spans="1:28" x14ac:dyDescent="0.2">
      <c r="A150" s="15" t="s">
        <v>798</v>
      </c>
      <c r="B150" s="15" t="s">
        <v>43</v>
      </c>
      <c r="C150" s="15">
        <v>22</v>
      </c>
      <c r="D150" s="15">
        <v>0</v>
      </c>
      <c r="E150" s="15" t="s">
        <v>74</v>
      </c>
      <c r="F150" s="15" t="s">
        <v>756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f t="shared" si="19"/>
        <v>0</v>
      </c>
      <c r="W150" s="15" t="e">
        <f t="shared" si="16"/>
        <v>#DIV/0!</v>
      </c>
      <c r="X150" s="15" t="e">
        <f t="shared" si="17"/>
        <v>#DIV/0!</v>
      </c>
      <c r="Y150" s="15" t="e">
        <f t="shared" si="21"/>
        <v>#DIV/0!</v>
      </c>
      <c r="Z150" s="15" t="e">
        <f t="shared" si="20"/>
        <v>#DIV/0!</v>
      </c>
      <c r="AA150" s="15" t="e">
        <f>$K150/$H150</f>
        <v>#DIV/0!</v>
      </c>
      <c r="AB150" s="15">
        <f t="shared" si="18"/>
        <v>0</v>
      </c>
    </row>
    <row r="151" spans="1:28" x14ac:dyDescent="0.2">
      <c r="A151" s="16" t="s">
        <v>838</v>
      </c>
      <c r="B151" s="16" t="s">
        <v>43</v>
      </c>
      <c r="C151" s="16"/>
      <c r="D151" s="16">
        <v>0</v>
      </c>
      <c r="E151" s="16" t="s">
        <v>839</v>
      </c>
      <c r="F151" s="16" t="s">
        <v>811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0</v>
      </c>
      <c r="V151" s="16">
        <f t="shared" si="19"/>
        <v>0</v>
      </c>
      <c r="W151" s="16" t="e">
        <f t="shared" si="16"/>
        <v>#DIV/0!</v>
      </c>
      <c r="X151" s="16" t="e">
        <f t="shared" si="17"/>
        <v>#DIV/0!</v>
      </c>
      <c r="Y151" s="16" t="e">
        <f t="shared" si="21"/>
        <v>#DIV/0!</v>
      </c>
      <c r="Z151" s="16" t="e">
        <f t="shared" si="20"/>
        <v>#DIV/0!</v>
      </c>
      <c r="AA151" s="16" t="e">
        <f>$K151/$H151</f>
        <v>#DIV/0!</v>
      </c>
      <c r="AB151" s="16">
        <f t="shared" si="18"/>
        <v>0</v>
      </c>
    </row>
    <row r="152" spans="1:28" x14ac:dyDescent="0.2">
      <c r="A152" s="15" t="s">
        <v>840</v>
      </c>
      <c r="B152" s="15" t="s">
        <v>43</v>
      </c>
      <c r="C152" s="15">
        <v>24</v>
      </c>
      <c r="D152" s="15">
        <v>0</v>
      </c>
      <c r="E152" s="15" t="s">
        <v>446</v>
      </c>
      <c r="F152" s="15" t="s">
        <v>811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  <c r="O152" s="15">
        <v>0</v>
      </c>
      <c r="P152" s="15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v>0</v>
      </c>
      <c r="V152" s="15">
        <f t="shared" si="19"/>
        <v>0</v>
      </c>
      <c r="W152" s="15" t="e">
        <f t="shared" si="16"/>
        <v>#DIV/0!</v>
      </c>
      <c r="X152" s="15" t="e">
        <f t="shared" si="17"/>
        <v>#DIV/0!</v>
      </c>
      <c r="Y152" s="15" t="e">
        <f t="shared" si="21"/>
        <v>#DIV/0!</v>
      </c>
      <c r="Z152" s="15" t="e">
        <f t="shared" si="20"/>
        <v>#DIV/0!</v>
      </c>
      <c r="AA152" s="15" t="e">
        <f>$K152/$H152</f>
        <v>#DIV/0!</v>
      </c>
      <c r="AB152" s="15">
        <f t="shared" si="18"/>
        <v>0</v>
      </c>
    </row>
    <row r="153" spans="1:28" x14ac:dyDescent="0.2">
      <c r="A153" s="16" t="s">
        <v>841</v>
      </c>
      <c r="B153" s="16" t="s">
        <v>43</v>
      </c>
      <c r="C153" s="16">
        <v>22</v>
      </c>
      <c r="D153" s="16">
        <v>0</v>
      </c>
      <c r="E153" s="16" t="s">
        <v>163</v>
      </c>
      <c r="F153" s="16" t="s">
        <v>811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f t="shared" si="19"/>
        <v>0</v>
      </c>
      <c r="W153" s="16" t="e">
        <f t="shared" si="16"/>
        <v>#DIV/0!</v>
      </c>
      <c r="X153" s="16" t="e">
        <f t="shared" si="17"/>
        <v>#DIV/0!</v>
      </c>
      <c r="Y153" s="16" t="e">
        <f t="shared" si="21"/>
        <v>#DIV/0!</v>
      </c>
      <c r="Z153" s="16" t="e">
        <f t="shared" si="20"/>
        <v>#DIV/0!</v>
      </c>
      <c r="AA153" s="16" t="e">
        <f>$K153/$H153</f>
        <v>#DIV/0!</v>
      </c>
      <c r="AB153" s="16">
        <f t="shared" si="18"/>
        <v>0</v>
      </c>
    </row>
    <row r="154" spans="1:28" x14ac:dyDescent="0.2">
      <c r="A154" s="15" t="s">
        <v>842</v>
      </c>
      <c r="B154" s="15" t="s">
        <v>43</v>
      </c>
      <c r="C154" s="15">
        <v>26</v>
      </c>
      <c r="D154" s="15">
        <v>5</v>
      </c>
      <c r="E154" s="15" t="s">
        <v>843</v>
      </c>
      <c r="F154" s="15" t="s">
        <v>811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T154" s="15">
        <v>0</v>
      </c>
      <c r="U154" s="15">
        <v>0</v>
      </c>
      <c r="V154" s="15">
        <f t="shared" si="19"/>
        <v>0</v>
      </c>
      <c r="W154" s="15" t="e">
        <f t="shared" si="16"/>
        <v>#DIV/0!</v>
      </c>
      <c r="X154" s="15" t="e">
        <f t="shared" si="17"/>
        <v>#DIV/0!</v>
      </c>
      <c r="Y154" s="15" t="e">
        <f t="shared" si="21"/>
        <v>#DIV/0!</v>
      </c>
      <c r="Z154" s="15" t="e">
        <f t="shared" si="20"/>
        <v>#DIV/0!</v>
      </c>
      <c r="AA154" s="15" t="e">
        <f>$K154/$H154</f>
        <v>#DIV/0!</v>
      </c>
      <c r="AB154" s="15">
        <f t="shared" si="18"/>
        <v>0</v>
      </c>
    </row>
    <row r="155" spans="1:28" x14ac:dyDescent="0.2">
      <c r="A155" s="16" t="s">
        <v>844</v>
      </c>
      <c r="B155" s="16" t="s">
        <v>43</v>
      </c>
      <c r="C155" s="16">
        <v>28</v>
      </c>
      <c r="D155" s="16">
        <v>7</v>
      </c>
      <c r="E155" s="16" t="s">
        <v>173</v>
      </c>
      <c r="F155" s="16" t="s">
        <v>811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0</v>
      </c>
      <c r="V155" s="16">
        <f t="shared" si="19"/>
        <v>0</v>
      </c>
      <c r="W155" s="16" t="e">
        <f t="shared" si="16"/>
        <v>#DIV/0!</v>
      </c>
      <c r="X155" s="16" t="e">
        <f t="shared" si="17"/>
        <v>#DIV/0!</v>
      </c>
      <c r="Y155" s="16" t="e">
        <f t="shared" si="21"/>
        <v>#DIV/0!</v>
      </c>
      <c r="Z155" s="16" t="e">
        <f t="shared" si="20"/>
        <v>#DIV/0!</v>
      </c>
      <c r="AA155" s="16" t="e">
        <f>$K155/$H155</f>
        <v>#DIV/0!</v>
      </c>
      <c r="AB155" s="16">
        <f t="shared" si="18"/>
        <v>0</v>
      </c>
    </row>
    <row r="156" spans="1:28" x14ac:dyDescent="0.2">
      <c r="A156" s="15" t="s">
        <v>845</v>
      </c>
      <c r="B156" s="15" t="s">
        <v>43</v>
      </c>
      <c r="C156" s="15">
        <v>29</v>
      </c>
      <c r="D156" s="15">
        <v>9</v>
      </c>
      <c r="E156" s="15" t="s">
        <v>282</v>
      </c>
      <c r="F156" s="15" t="s">
        <v>811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T156" s="15">
        <v>0</v>
      </c>
      <c r="U156" s="15">
        <v>0</v>
      </c>
      <c r="V156" s="15">
        <f t="shared" si="19"/>
        <v>0</v>
      </c>
      <c r="W156" s="15" t="e">
        <f t="shared" si="16"/>
        <v>#DIV/0!</v>
      </c>
      <c r="X156" s="15" t="e">
        <f t="shared" si="17"/>
        <v>#DIV/0!</v>
      </c>
      <c r="Y156" s="15" t="e">
        <f t="shared" si="21"/>
        <v>#DIV/0!</v>
      </c>
      <c r="Z156" s="15" t="e">
        <f t="shared" si="20"/>
        <v>#DIV/0!</v>
      </c>
      <c r="AA156" s="15" t="e">
        <f>$K156/$H156</f>
        <v>#DIV/0!</v>
      </c>
      <c r="AB156" s="15">
        <f t="shared" si="18"/>
        <v>0</v>
      </c>
    </row>
    <row r="157" spans="1:28" x14ac:dyDescent="0.2">
      <c r="A157" s="16" t="s">
        <v>846</v>
      </c>
      <c r="B157" s="16" t="s">
        <v>43</v>
      </c>
      <c r="C157" s="16">
        <v>23</v>
      </c>
      <c r="D157" s="16">
        <v>2</v>
      </c>
      <c r="E157" s="16" t="s">
        <v>136</v>
      </c>
      <c r="F157" s="16" t="s">
        <v>811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0</v>
      </c>
      <c r="V157" s="16">
        <f t="shared" si="19"/>
        <v>0</v>
      </c>
      <c r="W157" s="16" t="e">
        <f t="shared" si="16"/>
        <v>#DIV/0!</v>
      </c>
      <c r="X157" s="16" t="e">
        <f t="shared" si="17"/>
        <v>#DIV/0!</v>
      </c>
      <c r="Y157" s="16" t="e">
        <f t="shared" si="21"/>
        <v>#DIV/0!</v>
      </c>
      <c r="Z157" s="16" t="e">
        <f t="shared" si="20"/>
        <v>#DIV/0!</v>
      </c>
      <c r="AA157" s="16" t="e">
        <f>$K157/$H157</f>
        <v>#DIV/0!</v>
      </c>
      <c r="AB157" s="16">
        <f t="shared" si="18"/>
        <v>0</v>
      </c>
    </row>
    <row r="158" spans="1:28" x14ac:dyDescent="0.2">
      <c r="A158" s="15" t="s">
        <v>847</v>
      </c>
      <c r="B158" s="15" t="s">
        <v>43</v>
      </c>
      <c r="C158" s="15">
        <v>25</v>
      </c>
      <c r="D158" s="15">
        <v>4</v>
      </c>
      <c r="E158" s="15" t="s">
        <v>78</v>
      </c>
      <c r="F158" s="15" t="s">
        <v>811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  <c r="O158" s="15">
        <v>0</v>
      </c>
      <c r="P158" s="15">
        <v>0</v>
      </c>
      <c r="Q158" s="15">
        <v>0</v>
      </c>
      <c r="R158" s="15">
        <v>0</v>
      </c>
      <c r="S158" s="15">
        <v>0</v>
      </c>
      <c r="T158" s="15">
        <v>0</v>
      </c>
      <c r="U158" s="15">
        <v>0</v>
      </c>
      <c r="V158" s="15">
        <f t="shared" si="19"/>
        <v>0</v>
      </c>
      <c r="W158" s="15" t="e">
        <f t="shared" si="16"/>
        <v>#DIV/0!</v>
      </c>
      <c r="X158" s="15" t="e">
        <f t="shared" si="17"/>
        <v>#DIV/0!</v>
      </c>
      <c r="Y158" s="15" t="e">
        <f t="shared" si="21"/>
        <v>#DIV/0!</v>
      </c>
      <c r="Z158" s="15" t="e">
        <f t="shared" si="20"/>
        <v>#DIV/0!</v>
      </c>
      <c r="AA158" s="15" t="e">
        <f>$K158/$H158</f>
        <v>#DIV/0!</v>
      </c>
      <c r="AB158" s="15">
        <f t="shared" si="18"/>
        <v>0</v>
      </c>
    </row>
    <row r="159" spans="1:28" x14ac:dyDescent="0.2">
      <c r="A159" s="16" t="s">
        <v>848</v>
      </c>
      <c r="B159" s="16" t="s">
        <v>43</v>
      </c>
      <c r="C159" s="16">
        <v>23</v>
      </c>
      <c r="D159" s="16">
        <v>3</v>
      </c>
      <c r="E159" s="16" t="s">
        <v>458</v>
      </c>
      <c r="F159" s="16" t="s">
        <v>811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0</v>
      </c>
      <c r="V159" s="16">
        <f t="shared" si="19"/>
        <v>0</v>
      </c>
      <c r="W159" s="16" t="e">
        <f t="shared" si="16"/>
        <v>#DIV/0!</v>
      </c>
      <c r="X159" s="16" t="e">
        <f t="shared" si="17"/>
        <v>#DIV/0!</v>
      </c>
      <c r="Y159" s="16" t="e">
        <f t="shared" si="21"/>
        <v>#DIV/0!</v>
      </c>
      <c r="Z159" s="16" t="e">
        <f t="shared" si="20"/>
        <v>#DIV/0!</v>
      </c>
      <c r="AA159" s="16" t="e">
        <f>$K159/$H159</f>
        <v>#DIV/0!</v>
      </c>
      <c r="AB159" s="16">
        <f t="shared" si="18"/>
        <v>0</v>
      </c>
    </row>
    <row r="160" spans="1:28" x14ac:dyDescent="0.2">
      <c r="A160" s="15" t="s">
        <v>849</v>
      </c>
      <c r="B160" s="15" t="s">
        <v>43</v>
      </c>
      <c r="C160" s="15">
        <v>27</v>
      </c>
      <c r="D160" s="15">
        <v>4</v>
      </c>
      <c r="E160" s="15" t="s">
        <v>850</v>
      </c>
      <c r="F160" s="15" t="s">
        <v>811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T160" s="15">
        <v>0</v>
      </c>
      <c r="U160" s="15">
        <v>0</v>
      </c>
      <c r="V160" s="15">
        <f t="shared" si="19"/>
        <v>0</v>
      </c>
      <c r="W160" s="15" t="e">
        <f t="shared" si="16"/>
        <v>#DIV/0!</v>
      </c>
      <c r="X160" s="15" t="e">
        <f t="shared" si="17"/>
        <v>#DIV/0!</v>
      </c>
      <c r="Y160" s="15" t="e">
        <f t="shared" si="21"/>
        <v>#DIV/0!</v>
      </c>
      <c r="Z160" s="15" t="e">
        <f t="shared" si="20"/>
        <v>#DIV/0!</v>
      </c>
      <c r="AA160" s="15" t="e">
        <f>$K160/$H160</f>
        <v>#DIV/0!</v>
      </c>
      <c r="AB160" s="15">
        <f t="shared" si="18"/>
        <v>0</v>
      </c>
    </row>
    <row r="161" spans="1:28" x14ac:dyDescent="0.2">
      <c r="A161" s="16" t="s">
        <v>851</v>
      </c>
      <c r="B161" s="16" t="s">
        <v>43</v>
      </c>
      <c r="C161" s="16">
        <v>26</v>
      </c>
      <c r="D161" s="16">
        <v>3</v>
      </c>
      <c r="E161" s="16" t="s">
        <v>852</v>
      </c>
      <c r="F161" s="16" t="s">
        <v>811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0</v>
      </c>
      <c r="V161" s="16">
        <f t="shared" si="19"/>
        <v>0</v>
      </c>
      <c r="W161" s="16" t="e">
        <f t="shared" si="16"/>
        <v>#DIV/0!</v>
      </c>
      <c r="X161" s="16" t="e">
        <f t="shared" si="17"/>
        <v>#DIV/0!</v>
      </c>
      <c r="Y161" s="16" t="e">
        <f t="shared" si="21"/>
        <v>#DIV/0!</v>
      </c>
      <c r="Z161" s="16" t="e">
        <f t="shared" si="20"/>
        <v>#DIV/0!</v>
      </c>
      <c r="AA161" s="16" t="e">
        <f>$K161/$H161</f>
        <v>#DIV/0!</v>
      </c>
      <c r="AB161" s="16">
        <f t="shared" si="18"/>
        <v>0</v>
      </c>
    </row>
    <row r="162" spans="1:28" x14ac:dyDescent="0.2">
      <c r="A162" s="15" t="s">
        <v>853</v>
      </c>
      <c r="B162" s="15" t="s">
        <v>43</v>
      </c>
      <c r="C162" s="15">
        <v>27</v>
      </c>
      <c r="D162" s="15">
        <v>5</v>
      </c>
      <c r="E162" s="15" t="s">
        <v>446</v>
      </c>
      <c r="F162" s="15" t="s">
        <v>811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  <c r="V162" s="15">
        <f t="shared" si="19"/>
        <v>0</v>
      </c>
      <c r="W162" s="15" t="e">
        <f t="shared" si="16"/>
        <v>#DIV/0!</v>
      </c>
      <c r="X162" s="15" t="e">
        <f t="shared" si="17"/>
        <v>#DIV/0!</v>
      </c>
      <c r="Y162" s="15" t="e">
        <f t="shared" si="21"/>
        <v>#DIV/0!</v>
      </c>
      <c r="Z162" s="15" t="e">
        <f t="shared" si="20"/>
        <v>#DIV/0!</v>
      </c>
      <c r="AA162" s="15" t="e">
        <f>$K162/$H162</f>
        <v>#DIV/0!</v>
      </c>
      <c r="AB162" s="15">
        <f t="shared" si="18"/>
        <v>0</v>
      </c>
    </row>
    <row r="163" spans="1:28" x14ac:dyDescent="0.2">
      <c r="A163" s="16" t="s">
        <v>891</v>
      </c>
      <c r="B163" s="16" t="s">
        <v>43</v>
      </c>
      <c r="C163" s="16">
        <v>28</v>
      </c>
      <c r="D163" s="16">
        <v>7</v>
      </c>
      <c r="E163" s="16" t="s">
        <v>211</v>
      </c>
      <c r="F163" s="16" t="s">
        <v>866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0</v>
      </c>
      <c r="V163" s="16">
        <f t="shared" si="19"/>
        <v>0</v>
      </c>
      <c r="W163" s="16" t="e">
        <f t="shared" si="16"/>
        <v>#DIV/0!</v>
      </c>
      <c r="X163" s="16" t="e">
        <f t="shared" si="17"/>
        <v>#DIV/0!</v>
      </c>
      <c r="Y163" s="16" t="e">
        <f t="shared" si="21"/>
        <v>#DIV/0!</v>
      </c>
      <c r="Z163" s="16" t="e">
        <f t="shared" si="20"/>
        <v>#DIV/0!</v>
      </c>
      <c r="AA163" s="16" t="e">
        <f>$K163/$H163</f>
        <v>#DIV/0!</v>
      </c>
      <c r="AB163" s="16">
        <f t="shared" si="18"/>
        <v>0</v>
      </c>
    </row>
    <row r="164" spans="1:28" x14ac:dyDescent="0.2">
      <c r="A164" s="15" t="s">
        <v>892</v>
      </c>
      <c r="B164" s="15" t="s">
        <v>43</v>
      </c>
      <c r="C164" s="15">
        <v>23</v>
      </c>
      <c r="D164" s="15">
        <v>1</v>
      </c>
      <c r="E164" s="15" t="s">
        <v>362</v>
      </c>
      <c r="F164" s="15" t="s">
        <v>866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  <c r="O164" s="15">
        <v>0</v>
      </c>
      <c r="P164" s="15">
        <v>0</v>
      </c>
      <c r="Q164" s="15">
        <v>0</v>
      </c>
      <c r="R164" s="15">
        <v>0</v>
      </c>
      <c r="S164" s="15">
        <v>0</v>
      </c>
      <c r="T164" s="15">
        <v>0</v>
      </c>
      <c r="U164" s="15">
        <v>0</v>
      </c>
      <c r="V164" s="15">
        <f t="shared" si="19"/>
        <v>0</v>
      </c>
      <c r="W164" s="15" t="e">
        <f t="shared" si="16"/>
        <v>#DIV/0!</v>
      </c>
      <c r="X164" s="15" t="e">
        <f t="shared" si="17"/>
        <v>#DIV/0!</v>
      </c>
      <c r="Y164" s="15" t="e">
        <f t="shared" si="21"/>
        <v>#DIV/0!</v>
      </c>
      <c r="Z164" s="15" t="e">
        <f t="shared" si="20"/>
        <v>#DIV/0!</v>
      </c>
      <c r="AA164" s="15" t="e">
        <f>$K164/$H164</f>
        <v>#DIV/0!</v>
      </c>
      <c r="AB164" s="15">
        <f t="shared" si="18"/>
        <v>0</v>
      </c>
    </row>
    <row r="165" spans="1:28" x14ac:dyDescent="0.2">
      <c r="A165" s="16" t="s">
        <v>893</v>
      </c>
      <c r="B165" s="16" t="s">
        <v>43</v>
      </c>
      <c r="C165" s="16">
        <v>24</v>
      </c>
      <c r="D165" s="16">
        <v>0</v>
      </c>
      <c r="E165" s="16" t="s">
        <v>894</v>
      </c>
      <c r="F165" s="16" t="s">
        <v>866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0</v>
      </c>
      <c r="V165" s="16">
        <f t="shared" si="19"/>
        <v>0</v>
      </c>
      <c r="W165" s="16" t="e">
        <f t="shared" si="16"/>
        <v>#DIV/0!</v>
      </c>
      <c r="X165" s="16" t="e">
        <f t="shared" si="17"/>
        <v>#DIV/0!</v>
      </c>
      <c r="Y165" s="16" t="e">
        <f t="shared" si="21"/>
        <v>#DIV/0!</v>
      </c>
      <c r="Z165" s="16" t="e">
        <f t="shared" si="20"/>
        <v>#DIV/0!</v>
      </c>
      <c r="AA165" s="16" t="e">
        <f>$K165/$H165</f>
        <v>#DIV/0!</v>
      </c>
      <c r="AB165" s="16">
        <f t="shared" si="18"/>
        <v>0</v>
      </c>
    </row>
    <row r="166" spans="1:28" x14ac:dyDescent="0.2">
      <c r="A166" s="15" t="s">
        <v>895</v>
      </c>
      <c r="B166" s="15" t="s">
        <v>43</v>
      </c>
      <c r="C166" s="15">
        <v>26</v>
      </c>
      <c r="D166" s="15">
        <v>3</v>
      </c>
      <c r="E166" s="15" t="s">
        <v>282</v>
      </c>
      <c r="F166" s="15" t="s">
        <v>866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T166" s="15">
        <v>0</v>
      </c>
      <c r="U166" s="15">
        <v>0</v>
      </c>
      <c r="V166" s="15">
        <f t="shared" si="19"/>
        <v>0</v>
      </c>
      <c r="W166" s="15" t="e">
        <f t="shared" si="16"/>
        <v>#DIV/0!</v>
      </c>
      <c r="X166" s="15" t="e">
        <f t="shared" si="17"/>
        <v>#DIV/0!</v>
      </c>
      <c r="Y166" s="15" t="e">
        <f t="shared" si="21"/>
        <v>#DIV/0!</v>
      </c>
      <c r="Z166" s="15" t="e">
        <f t="shared" si="20"/>
        <v>#DIV/0!</v>
      </c>
      <c r="AA166" s="15" t="e">
        <f>$K166/$H166</f>
        <v>#DIV/0!</v>
      </c>
      <c r="AB166" s="15">
        <f t="shared" si="18"/>
        <v>0</v>
      </c>
    </row>
    <row r="167" spans="1:28" x14ac:dyDescent="0.2">
      <c r="A167" s="16" t="s">
        <v>896</v>
      </c>
      <c r="B167" s="16" t="s">
        <v>43</v>
      </c>
      <c r="C167" s="16">
        <v>23</v>
      </c>
      <c r="D167" s="16">
        <v>0</v>
      </c>
      <c r="E167" s="16" t="s">
        <v>227</v>
      </c>
      <c r="F167" s="16" t="s">
        <v>866</v>
      </c>
      <c r="G167" s="16">
        <v>0</v>
      </c>
      <c r="H167" s="16">
        <v>0</v>
      </c>
      <c r="I167" s="16">
        <v>0</v>
      </c>
      <c r="J167" s="16">
        <v>0</v>
      </c>
      <c r="K167" s="16">
        <v>0</v>
      </c>
      <c r="L167" s="16">
        <v>0</v>
      </c>
      <c r="M167" s="16">
        <v>0</v>
      </c>
      <c r="N167" s="16">
        <v>0</v>
      </c>
      <c r="O167" s="16">
        <v>0</v>
      </c>
      <c r="P167" s="16">
        <v>0</v>
      </c>
      <c r="Q167" s="16">
        <v>0</v>
      </c>
      <c r="R167" s="16">
        <v>0</v>
      </c>
      <c r="S167" s="16">
        <v>0</v>
      </c>
      <c r="T167" s="16">
        <v>0</v>
      </c>
      <c r="U167" s="16">
        <v>0</v>
      </c>
      <c r="V167" s="16">
        <f t="shared" si="19"/>
        <v>0</v>
      </c>
      <c r="W167" s="16" t="e">
        <f t="shared" si="16"/>
        <v>#DIV/0!</v>
      </c>
      <c r="X167" s="16" t="e">
        <f t="shared" si="17"/>
        <v>#DIV/0!</v>
      </c>
      <c r="Y167" s="16" t="e">
        <f t="shared" si="21"/>
        <v>#DIV/0!</v>
      </c>
      <c r="Z167" s="16" t="e">
        <f t="shared" si="20"/>
        <v>#DIV/0!</v>
      </c>
      <c r="AA167" s="16" t="e">
        <f>$K167/$H167</f>
        <v>#DIV/0!</v>
      </c>
      <c r="AB167" s="16">
        <f t="shared" si="18"/>
        <v>0</v>
      </c>
    </row>
    <row r="168" spans="1:28" x14ac:dyDescent="0.2">
      <c r="A168" s="15" t="s">
        <v>897</v>
      </c>
      <c r="B168" s="15" t="s">
        <v>43</v>
      </c>
      <c r="C168" s="15">
        <v>25</v>
      </c>
      <c r="D168" s="15">
        <v>2</v>
      </c>
      <c r="E168" s="15" t="s">
        <v>898</v>
      </c>
      <c r="F168" s="15" t="s">
        <v>866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  <c r="O168" s="15">
        <v>0</v>
      </c>
      <c r="P168" s="15">
        <v>0</v>
      </c>
      <c r="Q168" s="15">
        <v>0</v>
      </c>
      <c r="R168" s="15">
        <v>0</v>
      </c>
      <c r="S168" s="15">
        <v>0</v>
      </c>
      <c r="T168" s="15">
        <v>0</v>
      </c>
      <c r="U168" s="15">
        <v>0</v>
      </c>
      <c r="V168" s="15">
        <f t="shared" si="19"/>
        <v>0</v>
      </c>
      <c r="W168" s="15" t="e">
        <f t="shared" si="16"/>
        <v>#DIV/0!</v>
      </c>
      <c r="X168" s="15" t="e">
        <f t="shared" si="17"/>
        <v>#DIV/0!</v>
      </c>
      <c r="Y168" s="15" t="e">
        <f t="shared" si="21"/>
        <v>#DIV/0!</v>
      </c>
      <c r="Z168" s="15" t="e">
        <f t="shared" si="20"/>
        <v>#DIV/0!</v>
      </c>
      <c r="AA168" s="15" t="e">
        <f>$K168/$H168</f>
        <v>#DIV/0!</v>
      </c>
      <c r="AB168" s="15">
        <f t="shared" si="18"/>
        <v>0</v>
      </c>
    </row>
    <row r="169" spans="1:28" x14ac:dyDescent="0.2">
      <c r="A169" s="16" t="s">
        <v>899</v>
      </c>
      <c r="B169" s="16" t="s">
        <v>43</v>
      </c>
      <c r="C169" s="16">
        <v>28</v>
      </c>
      <c r="D169" s="16">
        <v>7</v>
      </c>
      <c r="E169" s="16" t="s">
        <v>220</v>
      </c>
      <c r="F169" s="16" t="s">
        <v>866</v>
      </c>
      <c r="G169" s="16">
        <v>0</v>
      </c>
      <c r="H169" s="16">
        <v>0</v>
      </c>
      <c r="I169" s="16">
        <v>0</v>
      </c>
      <c r="J169" s="16">
        <v>0</v>
      </c>
      <c r="K169" s="16">
        <v>0</v>
      </c>
      <c r="L169" s="16">
        <v>0</v>
      </c>
      <c r="M169" s="16">
        <v>0</v>
      </c>
      <c r="N169" s="16">
        <v>0</v>
      </c>
      <c r="O169" s="16">
        <v>0</v>
      </c>
      <c r="P169" s="16">
        <v>0</v>
      </c>
      <c r="Q169" s="16">
        <v>0</v>
      </c>
      <c r="R169" s="16">
        <v>0</v>
      </c>
      <c r="S169" s="16">
        <v>0</v>
      </c>
      <c r="T169" s="16">
        <v>0</v>
      </c>
      <c r="U169" s="16">
        <v>0</v>
      </c>
      <c r="V169" s="16">
        <f t="shared" si="19"/>
        <v>0</v>
      </c>
      <c r="W169" s="16" t="e">
        <f t="shared" si="16"/>
        <v>#DIV/0!</v>
      </c>
      <c r="X169" s="16" t="e">
        <f t="shared" si="17"/>
        <v>#DIV/0!</v>
      </c>
      <c r="Y169" s="16" t="e">
        <f t="shared" si="21"/>
        <v>#DIV/0!</v>
      </c>
      <c r="Z169" s="16" t="e">
        <f t="shared" si="20"/>
        <v>#DIV/0!</v>
      </c>
      <c r="AA169" s="16" t="e">
        <f>$K169/$H169</f>
        <v>#DIV/0!</v>
      </c>
      <c r="AB169" s="16">
        <f t="shared" si="18"/>
        <v>0</v>
      </c>
    </row>
    <row r="170" spans="1:28" x14ac:dyDescent="0.2">
      <c r="A170" s="15" t="s">
        <v>900</v>
      </c>
      <c r="B170" s="15" t="s">
        <v>43</v>
      </c>
      <c r="C170" s="15">
        <v>26</v>
      </c>
      <c r="D170" s="15">
        <v>6</v>
      </c>
      <c r="E170" s="15" t="s">
        <v>307</v>
      </c>
      <c r="F170" s="15" t="s">
        <v>866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  <c r="O170" s="15">
        <v>0</v>
      </c>
      <c r="P170" s="15">
        <v>0</v>
      </c>
      <c r="Q170" s="15">
        <v>0</v>
      </c>
      <c r="R170" s="15">
        <v>0</v>
      </c>
      <c r="S170" s="15">
        <v>0</v>
      </c>
      <c r="T170" s="15">
        <v>0</v>
      </c>
      <c r="U170" s="15">
        <v>0</v>
      </c>
      <c r="V170" s="15">
        <f t="shared" si="19"/>
        <v>0</v>
      </c>
      <c r="W170" s="15" t="e">
        <f t="shared" si="16"/>
        <v>#DIV/0!</v>
      </c>
      <c r="X170" s="15" t="e">
        <f t="shared" si="17"/>
        <v>#DIV/0!</v>
      </c>
      <c r="Y170" s="15" t="e">
        <f t="shared" si="21"/>
        <v>#DIV/0!</v>
      </c>
      <c r="Z170" s="15" t="e">
        <f t="shared" si="20"/>
        <v>#DIV/0!</v>
      </c>
      <c r="AA170" s="15" t="e">
        <f>$K170/$H170</f>
        <v>#DIV/0!</v>
      </c>
      <c r="AB170" s="15">
        <f t="shared" si="18"/>
        <v>0</v>
      </c>
    </row>
    <row r="171" spans="1:28" x14ac:dyDescent="0.2">
      <c r="A171" s="16" t="s">
        <v>901</v>
      </c>
      <c r="B171" s="16" t="s">
        <v>43</v>
      </c>
      <c r="C171" s="16">
        <v>24</v>
      </c>
      <c r="D171" s="16">
        <v>0</v>
      </c>
      <c r="E171" s="16" t="s">
        <v>248</v>
      </c>
      <c r="F171" s="16" t="s">
        <v>866</v>
      </c>
      <c r="G171" s="16">
        <v>0</v>
      </c>
      <c r="H171" s="16">
        <v>0</v>
      </c>
      <c r="I171" s="16">
        <v>0</v>
      </c>
      <c r="J171" s="16">
        <v>0</v>
      </c>
      <c r="K171" s="16">
        <v>0</v>
      </c>
      <c r="L171" s="16">
        <v>0</v>
      </c>
      <c r="M171" s="16">
        <v>0</v>
      </c>
      <c r="N171" s="16">
        <v>0</v>
      </c>
      <c r="O171" s="16">
        <v>0</v>
      </c>
      <c r="P171" s="16">
        <v>0</v>
      </c>
      <c r="Q171" s="16">
        <v>0</v>
      </c>
      <c r="R171" s="16">
        <v>0</v>
      </c>
      <c r="S171" s="16">
        <v>0</v>
      </c>
      <c r="T171" s="16">
        <v>0</v>
      </c>
      <c r="U171" s="16">
        <v>0</v>
      </c>
      <c r="V171" s="16">
        <f t="shared" si="19"/>
        <v>0</v>
      </c>
      <c r="W171" s="16" t="e">
        <f t="shared" si="16"/>
        <v>#DIV/0!</v>
      </c>
      <c r="X171" s="16" t="e">
        <f t="shared" si="17"/>
        <v>#DIV/0!</v>
      </c>
      <c r="Y171" s="16" t="e">
        <f t="shared" si="21"/>
        <v>#DIV/0!</v>
      </c>
      <c r="Z171" s="16" t="e">
        <f t="shared" si="20"/>
        <v>#DIV/0!</v>
      </c>
      <c r="AA171" s="16" t="e">
        <f>$K171/$H171</f>
        <v>#DIV/0!</v>
      </c>
      <c r="AB171" s="16">
        <f t="shared" si="18"/>
        <v>0</v>
      </c>
    </row>
    <row r="172" spans="1:28" x14ac:dyDescent="0.2">
      <c r="A172" s="15" t="s">
        <v>902</v>
      </c>
      <c r="B172" s="15" t="s">
        <v>43</v>
      </c>
      <c r="C172" s="15">
        <v>25</v>
      </c>
      <c r="D172" s="15">
        <v>2</v>
      </c>
      <c r="E172" s="15" t="s">
        <v>72</v>
      </c>
      <c r="F172" s="15" t="s">
        <v>866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  <c r="O172" s="15">
        <v>0</v>
      </c>
      <c r="P172" s="15">
        <v>0</v>
      </c>
      <c r="Q172" s="15">
        <v>0</v>
      </c>
      <c r="R172" s="15">
        <v>0</v>
      </c>
      <c r="S172" s="15">
        <v>0</v>
      </c>
      <c r="T172" s="15">
        <v>0</v>
      </c>
      <c r="U172" s="15">
        <v>0</v>
      </c>
      <c r="V172" s="15">
        <f t="shared" si="19"/>
        <v>0</v>
      </c>
      <c r="W172" s="15" t="e">
        <f t="shared" si="16"/>
        <v>#DIV/0!</v>
      </c>
      <c r="X172" s="15" t="e">
        <f t="shared" si="17"/>
        <v>#DIV/0!</v>
      </c>
      <c r="Y172" s="15" t="e">
        <f t="shared" si="21"/>
        <v>#DIV/0!</v>
      </c>
      <c r="Z172" s="15" t="e">
        <f t="shared" si="20"/>
        <v>#DIV/0!</v>
      </c>
      <c r="AA172" s="15" t="e">
        <f>$K172/$H172</f>
        <v>#DIV/0!</v>
      </c>
      <c r="AB172" s="15">
        <f t="shared" si="18"/>
        <v>0</v>
      </c>
    </row>
    <row r="173" spans="1:28" x14ac:dyDescent="0.2">
      <c r="A173" s="16" t="s">
        <v>903</v>
      </c>
      <c r="B173" s="16" t="s">
        <v>43</v>
      </c>
      <c r="C173" s="16">
        <v>28</v>
      </c>
      <c r="D173" s="16">
        <v>5</v>
      </c>
      <c r="E173" s="16" t="s">
        <v>153</v>
      </c>
      <c r="F173" s="16" t="s">
        <v>866</v>
      </c>
      <c r="G173" s="16">
        <v>0</v>
      </c>
      <c r="H173" s="16">
        <v>0</v>
      </c>
      <c r="I173" s="16">
        <v>0</v>
      </c>
      <c r="J173" s="16">
        <v>0</v>
      </c>
      <c r="K173" s="16">
        <v>0</v>
      </c>
      <c r="L173" s="16">
        <v>0</v>
      </c>
      <c r="M173" s="16">
        <v>0</v>
      </c>
      <c r="N173" s="16">
        <v>0</v>
      </c>
      <c r="O173" s="16">
        <v>0</v>
      </c>
      <c r="P173" s="16">
        <v>0</v>
      </c>
      <c r="Q173" s="16">
        <v>0</v>
      </c>
      <c r="R173" s="16">
        <v>0</v>
      </c>
      <c r="S173" s="16">
        <v>0</v>
      </c>
      <c r="T173" s="16">
        <v>0</v>
      </c>
      <c r="U173" s="16">
        <v>0</v>
      </c>
      <c r="V173" s="16">
        <f t="shared" si="19"/>
        <v>0</v>
      </c>
      <c r="W173" s="16" t="e">
        <f t="shared" si="16"/>
        <v>#DIV/0!</v>
      </c>
      <c r="X173" s="16" t="e">
        <f t="shared" si="17"/>
        <v>#DIV/0!</v>
      </c>
      <c r="Y173" s="16" t="e">
        <f t="shared" si="21"/>
        <v>#DIV/0!</v>
      </c>
      <c r="Z173" s="16" t="e">
        <f t="shared" si="20"/>
        <v>#DIV/0!</v>
      </c>
      <c r="AA173" s="16" t="e">
        <f>$K173/$H173</f>
        <v>#DIV/0!</v>
      </c>
      <c r="AB173" s="16">
        <f t="shared" si="18"/>
        <v>0</v>
      </c>
    </row>
    <row r="174" spans="1:28" x14ac:dyDescent="0.2">
      <c r="A174" s="15" t="s">
        <v>904</v>
      </c>
      <c r="B174" s="15" t="s">
        <v>43</v>
      </c>
      <c r="C174" s="15">
        <v>21</v>
      </c>
      <c r="D174" s="15">
        <v>0</v>
      </c>
      <c r="E174" s="15" t="s">
        <v>339</v>
      </c>
      <c r="F174" s="15" t="s">
        <v>866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  <c r="O174" s="15">
        <v>0</v>
      </c>
      <c r="P174" s="15">
        <v>0</v>
      </c>
      <c r="Q174" s="15">
        <v>0</v>
      </c>
      <c r="R174" s="15">
        <v>0</v>
      </c>
      <c r="S174" s="15">
        <v>0</v>
      </c>
      <c r="T174" s="15">
        <v>0</v>
      </c>
      <c r="U174" s="15">
        <v>0</v>
      </c>
      <c r="V174" s="15">
        <f t="shared" si="19"/>
        <v>0</v>
      </c>
      <c r="W174" s="15" t="e">
        <f t="shared" si="16"/>
        <v>#DIV/0!</v>
      </c>
      <c r="X174" s="15" t="e">
        <f t="shared" si="17"/>
        <v>#DIV/0!</v>
      </c>
      <c r="Y174" s="15" t="e">
        <f t="shared" si="21"/>
        <v>#DIV/0!</v>
      </c>
      <c r="Z174" s="15" t="e">
        <f t="shared" si="20"/>
        <v>#DIV/0!</v>
      </c>
      <c r="AA174" s="15" t="e">
        <f>$K174/$H174</f>
        <v>#DIV/0!</v>
      </c>
      <c r="AB174" s="15">
        <f t="shared" si="18"/>
        <v>0</v>
      </c>
    </row>
    <row r="175" spans="1:28" x14ac:dyDescent="0.2">
      <c r="A175" s="16" t="s">
        <v>944</v>
      </c>
      <c r="B175" s="16" t="s">
        <v>43</v>
      </c>
      <c r="C175" s="16">
        <v>25</v>
      </c>
      <c r="D175" s="16">
        <v>0</v>
      </c>
      <c r="E175" s="16" t="s">
        <v>666</v>
      </c>
      <c r="F175" s="16" t="s">
        <v>916</v>
      </c>
      <c r="G175" s="16">
        <v>0</v>
      </c>
      <c r="H175" s="16">
        <v>0</v>
      </c>
      <c r="I175" s="16">
        <v>0</v>
      </c>
      <c r="J175" s="16">
        <v>0</v>
      </c>
      <c r="K175" s="16">
        <v>0</v>
      </c>
      <c r="L175" s="16">
        <v>0</v>
      </c>
      <c r="M175" s="16">
        <v>0</v>
      </c>
      <c r="N175" s="16">
        <v>0</v>
      </c>
      <c r="O175" s="16">
        <v>0</v>
      </c>
      <c r="P175" s="16">
        <v>0</v>
      </c>
      <c r="Q175" s="16">
        <v>0</v>
      </c>
      <c r="R175" s="16">
        <v>0</v>
      </c>
      <c r="S175" s="16">
        <v>0</v>
      </c>
      <c r="T175" s="16">
        <v>0</v>
      </c>
      <c r="U175" s="16">
        <v>0</v>
      </c>
      <c r="V175" s="16">
        <f t="shared" si="19"/>
        <v>0</v>
      </c>
      <c r="W175" s="16" t="e">
        <f t="shared" si="16"/>
        <v>#DIV/0!</v>
      </c>
      <c r="X175" s="16" t="e">
        <f t="shared" si="17"/>
        <v>#DIV/0!</v>
      </c>
      <c r="Y175" s="16" t="e">
        <f t="shared" si="21"/>
        <v>#DIV/0!</v>
      </c>
      <c r="Z175" s="16" t="e">
        <f t="shared" si="20"/>
        <v>#DIV/0!</v>
      </c>
      <c r="AA175" s="16" t="e">
        <f>$K175/$H175</f>
        <v>#DIV/0!</v>
      </c>
      <c r="AB175" s="16">
        <f t="shared" si="18"/>
        <v>0</v>
      </c>
    </row>
    <row r="176" spans="1:28" x14ac:dyDescent="0.2">
      <c r="A176" s="15" t="s">
        <v>945</v>
      </c>
      <c r="B176" s="15" t="s">
        <v>43</v>
      </c>
      <c r="C176" s="15">
        <v>22</v>
      </c>
      <c r="D176" s="15">
        <v>1</v>
      </c>
      <c r="E176" s="15" t="s">
        <v>240</v>
      </c>
      <c r="F176" s="15" t="s">
        <v>916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  <c r="O176" s="15">
        <v>0</v>
      </c>
      <c r="P176" s="15">
        <v>0</v>
      </c>
      <c r="Q176" s="15">
        <v>0</v>
      </c>
      <c r="R176" s="15">
        <v>0</v>
      </c>
      <c r="S176" s="15">
        <v>0</v>
      </c>
      <c r="T176" s="15">
        <v>0</v>
      </c>
      <c r="U176" s="15">
        <v>0</v>
      </c>
      <c r="V176" s="15">
        <f t="shared" si="19"/>
        <v>0</v>
      </c>
      <c r="W176" s="15" t="e">
        <f t="shared" si="16"/>
        <v>#DIV/0!</v>
      </c>
      <c r="X176" s="15" t="e">
        <f t="shared" si="17"/>
        <v>#DIV/0!</v>
      </c>
      <c r="Y176" s="15" t="e">
        <f t="shared" si="21"/>
        <v>#DIV/0!</v>
      </c>
      <c r="Z176" s="15" t="e">
        <f t="shared" si="20"/>
        <v>#DIV/0!</v>
      </c>
      <c r="AA176" s="15" t="e">
        <f>$K176/$H176</f>
        <v>#DIV/0!</v>
      </c>
      <c r="AB176" s="15">
        <f t="shared" si="18"/>
        <v>0</v>
      </c>
    </row>
    <row r="177" spans="1:28" x14ac:dyDescent="0.2">
      <c r="A177" s="16" t="s">
        <v>946</v>
      </c>
      <c r="B177" s="16" t="s">
        <v>43</v>
      </c>
      <c r="C177" s="16">
        <v>24</v>
      </c>
      <c r="D177" s="16">
        <v>1</v>
      </c>
      <c r="E177" s="16" t="s">
        <v>360</v>
      </c>
      <c r="F177" s="16" t="s">
        <v>916</v>
      </c>
      <c r="G177" s="16">
        <v>0</v>
      </c>
      <c r="H177" s="16">
        <v>0</v>
      </c>
      <c r="I177" s="16">
        <v>0</v>
      </c>
      <c r="J177" s="16">
        <v>0</v>
      </c>
      <c r="K177" s="16">
        <v>0</v>
      </c>
      <c r="L177" s="16">
        <v>0</v>
      </c>
      <c r="M177" s="16">
        <v>0</v>
      </c>
      <c r="N177" s="16">
        <v>0</v>
      </c>
      <c r="O177" s="16">
        <v>0</v>
      </c>
      <c r="P177" s="16">
        <v>0</v>
      </c>
      <c r="Q177" s="16">
        <v>0</v>
      </c>
      <c r="R177" s="16">
        <v>0</v>
      </c>
      <c r="S177" s="16">
        <v>0</v>
      </c>
      <c r="T177" s="16">
        <v>0</v>
      </c>
      <c r="U177" s="16">
        <v>0</v>
      </c>
      <c r="V177" s="16">
        <f t="shared" si="19"/>
        <v>0</v>
      </c>
      <c r="W177" s="16" t="e">
        <f t="shared" si="16"/>
        <v>#DIV/0!</v>
      </c>
      <c r="X177" s="16" t="e">
        <f t="shared" si="17"/>
        <v>#DIV/0!</v>
      </c>
      <c r="Y177" s="16" t="e">
        <f t="shared" si="21"/>
        <v>#DIV/0!</v>
      </c>
      <c r="Z177" s="16" t="e">
        <f t="shared" si="20"/>
        <v>#DIV/0!</v>
      </c>
      <c r="AA177" s="16" t="e">
        <f>$K177/$H177</f>
        <v>#DIV/0!</v>
      </c>
      <c r="AB177" s="16">
        <f t="shared" si="18"/>
        <v>0</v>
      </c>
    </row>
    <row r="178" spans="1:28" x14ac:dyDescent="0.2">
      <c r="A178" s="15" t="s">
        <v>947</v>
      </c>
      <c r="B178" s="15" t="s">
        <v>43</v>
      </c>
      <c r="C178" s="15">
        <v>27</v>
      </c>
      <c r="D178" s="15">
        <v>6</v>
      </c>
      <c r="E178" s="15" t="s">
        <v>298</v>
      </c>
      <c r="F178" s="15" t="s">
        <v>916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  <c r="O178" s="15">
        <v>0</v>
      </c>
      <c r="P178" s="15">
        <v>0</v>
      </c>
      <c r="Q178" s="15">
        <v>0</v>
      </c>
      <c r="R178" s="15">
        <v>0</v>
      </c>
      <c r="S178" s="15">
        <v>0</v>
      </c>
      <c r="T178" s="15">
        <v>0</v>
      </c>
      <c r="U178" s="15">
        <v>0</v>
      </c>
      <c r="V178" s="15">
        <f t="shared" si="19"/>
        <v>0</v>
      </c>
      <c r="W178" s="15" t="e">
        <f t="shared" si="16"/>
        <v>#DIV/0!</v>
      </c>
      <c r="X178" s="15" t="e">
        <f t="shared" si="17"/>
        <v>#DIV/0!</v>
      </c>
      <c r="Y178" s="15" t="e">
        <f t="shared" si="21"/>
        <v>#DIV/0!</v>
      </c>
      <c r="Z178" s="15" t="e">
        <f t="shared" si="20"/>
        <v>#DIV/0!</v>
      </c>
      <c r="AA178" s="15" t="e">
        <f>$K178/$H178</f>
        <v>#DIV/0!</v>
      </c>
      <c r="AB178" s="15">
        <f t="shared" si="18"/>
        <v>0</v>
      </c>
    </row>
    <row r="179" spans="1:28" x14ac:dyDescent="0.2">
      <c r="A179" s="16" t="s">
        <v>948</v>
      </c>
      <c r="B179" s="16" t="s">
        <v>43</v>
      </c>
      <c r="C179" s="16">
        <v>22</v>
      </c>
      <c r="D179" s="16">
        <v>2</v>
      </c>
      <c r="E179" s="16" t="s">
        <v>357</v>
      </c>
      <c r="F179" s="16" t="s">
        <v>916</v>
      </c>
      <c r="G179" s="16">
        <v>0</v>
      </c>
      <c r="H179" s="16">
        <v>0</v>
      </c>
      <c r="I179" s="16">
        <v>0</v>
      </c>
      <c r="J179" s="16">
        <v>0</v>
      </c>
      <c r="K179" s="16">
        <v>0</v>
      </c>
      <c r="L179" s="16">
        <v>0</v>
      </c>
      <c r="M179" s="16">
        <v>0</v>
      </c>
      <c r="N179" s="16">
        <v>0</v>
      </c>
      <c r="O179" s="16">
        <v>0</v>
      </c>
      <c r="P179" s="16">
        <v>0</v>
      </c>
      <c r="Q179" s="16">
        <v>0</v>
      </c>
      <c r="R179" s="16">
        <v>0</v>
      </c>
      <c r="S179" s="16">
        <v>0</v>
      </c>
      <c r="T179" s="16">
        <v>0</v>
      </c>
      <c r="U179" s="16">
        <v>0</v>
      </c>
      <c r="V179" s="16">
        <f t="shared" si="19"/>
        <v>0</v>
      </c>
      <c r="W179" s="16" t="e">
        <f t="shared" si="16"/>
        <v>#DIV/0!</v>
      </c>
      <c r="X179" s="16" t="e">
        <f t="shared" si="17"/>
        <v>#DIV/0!</v>
      </c>
      <c r="Y179" s="16" t="e">
        <f t="shared" si="21"/>
        <v>#DIV/0!</v>
      </c>
      <c r="Z179" s="16" t="e">
        <f t="shared" si="20"/>
        <v>#DIV/0!</v>
      </c>
      <c r="AA179" s="16" t="e">
        <f>$K179/$H179</f>
        <v>#DIV/0!</v>
      </c>
      <c r="AB179" s="16">
        <f t="shared" si="18"/>
        <v>0</v>
      </c>
    </row>
    <row r="180" spans="1:28" x14ac:dyDescent="0.2">
      <c r="A180" s="15" t="s">
        <v>949</v>
      </c>
      <c r="B180" s="15" t="s">
        <v>43</v>
      </c>
      <c r="C180" s="15">
        <v>25</v>
      </c>
      <c r="D180" s="15">
        <v>1</v>
      </c>
      <c r="E180" s="15" t="s">
        <v>458</v>
      </c>
      <c r="F180" s="15" t="s">
        <v>916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  <c r="O180" s="15">
        <v>0</v>
      </c>
      <c r="P180" s="15">
        <v>0</v>
      </c>
      <c r="Q180" s="15">
        <v>0</v>
      </c>
      <c r="R180" s="15">
        <v>0</v>
      </c>
      <c r="S180" s="15">
        <v>0</v>
      </c>
      <c r="T180" s="15">
        <v>0</v>
      </c>
      <c r="U180" s="15">
        <v>0</v>
      </c>
      <c r="V180" s="15">
        <f t="shared" si="19"/>
        <v>0</v>
      </c>
      <c r="W180" s="15" t="e">
        <f t="shared" si="16"/>
        <v>#DIV/0!</v>
      </c>
      <c r="X180" s="15" t="e">
        <f t="shared" si="17"/>
        <v>#DIV/0!</v>
      </c>
      <c r="Y180" s="15" t="e">
        <f t="shared" si="21"/>
        <v>#DIV/0!</v>
      </c>
      <c r="Z180" s="15" t="e">
        <f t="shared" si="20"/>
        <v>#DIV/0!</v>
      </c>
      <c r="AA180" s="15" t="e">
        <f>$K180/$H180</f>
        <v>#DIV/0!</v>
      </c>
      <c r="AB180" s="15">
        <f t="shared" si="18"/>
        <v>0</v>
      </c>
    </row>
    <row r="181" spans="1:28" x14ac:dyDescent="0.2">
      <c r="A181" s="16" t="s">
        <v>950</v>
      </c>
      <c r="B181" s="16" t="s">
        <v>43</v>
      </c>
      <c r="C181" s="16">
        <v>23</v>
      </c>
      <c r="D181" s="16">
        <v>0</v>
      </c>
      <c r="E181" s="16" t="s">
        <v>280</v>
      </c>
      <c r="F181" s="16" t="s">
        <v>916</v>
      </c>
      <c r="G181" s="16">
        <v>0</v>
      </c>
      <c r="H181" s="16">
        <v>0</v>
      </c>
      <c r="I181" s="16">
        <v>0</v>
      </c>
      <c r="J181" s="16">
        <v>0</v>
      </c>
      <c r="K181" s="16">
        <v>0</v>
      </c>
      <c r="L181" s="16">
        <v>0</v>
      </c>
      <c r="M181" s="16">
        <v>0</v>
      </c>
      <c r="N181" s="16">
        <v>0</v>
      </c>
      <c r="O181" s="16">
        <v>0</v>
      </c>
      <c r="P181" s="16">
        <v>0</v>
      </c>
      <c r="Q181" s="16">
        <v>0</v>
      </c>
      <c r="R181" s="16">
        <v>0</v>
      </c>
      <c r="S181" s="16">
        <v>0</v>
      </c>
      <c r="T181" s="16">
        <v>0</v>
      </c>
      <c r="U181" s="16">
        <v>0</v>
      </c>
      <c r="V181" s="16">
        <f t="shared" si="19"/>
        <v>0</v>
      </c>
      <c r="W181" s="16" t="e">
        <f t="shared" si="16"/>
        <v>#DIV/0!</v>
      </c>
      <c r="X181" s="16" t="e">
        <f t="shared" si="17"/>
        <v>#DIV/0!</v>
      </c>
      <c r="Y181" s="16" t="e">
        <f t="shared" si="21"/>
        <v>#DIV/0!</v>
      </c>
      <c r="Z181" s="16" t="e">
        <f t="shared" si="20"/>
        <v>#DIV/0!</v>
      </c>
      <c r="AA181" s="16" t="e">
        <f>$K181/$H181</f>
        <v>#DIV/0!</v>
      </c>
      <c r="AB181" s="16">
        <f t="shared" si="18"/>
        <v>0</v>
      </c>
    </row>
    <row r="182" spans="1:28" x14ac:dyDescent="0.2">
      <c r="A182" s="15" t="s">
        <v>951</v>
      </c>
      <c r="B182" s="15" t="s">
        <v>43</v>
      </c>
      <c r="C182" s="15">
        <v>23</v>
      </c>
      <c r="D182" s="15">
        <v>0</v>
      </c>
      <c r="E182" s="15" t="s">
        <v>237</v>
      </c>
      <c r="F182" s="15" t="s">
        <v>916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  <c r="O182" s="15">
        <v>0</v>
      </c>
      <c r="P182" s="15">
        <v>0</v>
      </c>
      <c r="Q182" s="15">
        <v>0</v>
      </c>
      <c r="R182" s="15">
        <v>0</v>
      </c>
      <c r="S182" s="15">
        <v>0</v>
      </c>
      <c r="T182" s="15">
        <v>0</v>
      </c>
      <c r="U182" s="15">
        <v>0</v>
      </c>
      <c r="V182" s="15">
        <f t="shared" si="19"/>
        <v>0</v>
      </c>
      <c r="W182" s="15" t="e">
        <f t="shared" si="16"/>
        <v>#DIV/0!</v>
      </c>
      <c r="X182" s="15" t="e">
        <f t="shared" si="17"/>
        <v>#DIV/0!</v>
      </c>
      <c r="Y182" s="15" t="e">
        <f t="shared" si="21"/>
        <v>#DIV/0!</v>
      </c>
      <c r="Z182" s="15" t="e">
        <f t="shared" si="20"/>
        <v>#DIV/0!</v>
      </c>
      <c r="AA182" s="15" t="e">
        <f>$K182/$H182</f>
        <v>#DIV/0!</v>
      </c>
      <c r="AB182" s="15">
        <f t="shared" si="18"/>
        <v>0</v>
      </c>
    </row>
    <row r="183" spans="1:28" x14ac:dyDescent="0.2">
      <c r="A183" s="16" t="s">
        <v>952</v>
      </c>
      <c r="B183" s="16" t="s">
        <v>43</v>
      </c>
      <c r="C183" s="16">
        <v>23</v>
      </c>
      <c r="D183" s="16">
        <v>2</v>
      </c>
      <c r="E183" s="16" t="s">
        <v>458</v>
      </c>
      <c r="F183" s="16" t="s">
        <v>916</v>
      </c>
      <c r="G183" s="16">
        <v>0</v>
      </c>
      <c r="H183" s="16">
        <v>0</v>
      </c>
      <c r="I183" s="16">
        <v>0</v>
      </c>
      <c r="J183" s="16">
        <v>0</v>
      </c>
      <c r="K183" s="16">
        <v>0</v>
      </c>
      <c r="L183" s="16">
        <v>0</v>
      </c>
      <c r="M183" s="16">
        <v>0</v>
      </c>
      <c r="N183" s="16">
        <v>0</v>
      </c>
      <c r="O183" s="16">
        <v>0</v>
      </c>
      <c r="P183" s="16">
        <v>0</v>
      </c>
      <c r="Q183" s="16">
        <v>0</v>
      </c>
      <c r="R183" s="16">
        <v>0</v>
      </c>
      <c r="S183" s="16">
        <v>0</v>
      </c>
      <c r="T183" s="16">
        <v>0</v>
      </c>
      <c r="U183" s="16">
        <v>0</v>
      </c>
      <c r="V183" s="16">
        <f t="shared" si="19"/>
        <v>0</v>
      </c>
      <c r="W183" s="16" t="e">
        <f t="shared" si="16"/>
        <v>#DIV/0!</v>
      </c>
      <c r="X183" s="16" t="e">
        <f t="shared" si="17"/>
        <v>#DIV/0!</v>
      </c>
      <c r="Y183" s="16" t="e">
        <f t="shared" si="21"/>
        <v>#DIV/0!</v>
      </c>
      <c r="Z183" s="16" t="e">
        <f t="shared" si="20"/>
        <v>#DIV/0!</v>
      </c>
      <c r="AA183" s="16" t="e">
        <f>$K183/$H183</f>
        <v>#DIV/0!</v>
      </c>
      <c r="AB183" s="16">
        <f t="shared" si="18"/>
        <v>0</v>
      </c>
    </row>
    <row r="184" spans="1:28" x14ac:dyDescent="0.2">
      <c r="A184" s="15" t="s">
        <v>953</v>
      </c>
      <c r="B184" s="15" t="s">
        <v>43</v>
      </c>
      <c r="C184" s="15">
        <v>24</v>
      </c>
      <c r="D184" s="15">
        <v>0</v>
      </c>
      <c r="E184" s="15" t="s">
        <v>954</v>
      </c>
      <c r="F184" s="15" t="s">
        <v>916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  <c r="O184" s="15">
        <v>0</v>
      </c>
      <c r="P184" s="15">
        <v>0</v>
      </c>
      <c r="Q184" s="15">
        <v>0</v>
      </c>
      <c r="R184" s="15">
        <v>0</v>
      </c>
      <c r="S184" s="15">
        <v>0</v>
      </c>
      <c r="T184" s="15">
        <v>0</v>
      </c>
      <c r="U184" s="15">
        <v>0</v>
      </c>
      <c r="V184" s="15">
        <f t="shared" si="19"/>
        <v>0</v>
      </c>
      <c r="W184" s="15" t="e">
        <f t="shared" si="16"/>
        <v>#DIV/0!</v>
      </c>
      <c r="X184" s="15" t="e">
        <f t="shared" si="17"/>
        <v>#DIV/0!</v>
      </c>
      <c r="Y184" s="15" t="e">
        <f t="shared" si="21"/>
        <v>#DIV/0!</v>
      </c>
      <c r="Z184" s="15" t="e">
        <f t="shared" si="20"/>
        <v>#DIV/0!</v>
      </c>
      <c r="AA184" s="15" t="e">
        <f>$K184/$H184</f>
        <v>#DIV/0!</v>
      </c>
      <c r="AB184" s="15">
        <f t="shared" si="18"/>
        <v>0</v>
      </c>
    </row>
    <row r="185" spans="1:28" x14ac:dyDescent="0.2">
      <c r="A185" s="16" t="s">
        <v>955</v>
      </c>
      <c r="B185" s="16" t="s">
        <v>43</v>
      </c>
      <c r="C185" s="16">
        <v>23</v>
      </c>
      <c r="D185" s="16">
        <v>3</v>
      </c>
      <c r="E185" s="16" t="s">
        <v>100</v>
      </c>
      <c r="F185" s="16" t="s">
        <v>916</v>
      </c>
      <c r="G185" s="16">
        <v>0</v>
      </c>
      <c r="H185" s="16">
        <v>0</v>
      </c>
      <c r="I185" s="16">
        <v>0</v>
      </c>
      <c r="J185" s="16">
        <v>0</v>
      </c>
      <c r="K185" s="16">
        <v>0</v>
      </c>
      <c r="L185" s="16">
        <v>0</v>
      </c>
      <c r="M185" s="16">
        <v>0</v>
      </c>
      <c r="N185" s="16">
        <v>0</v>
      </c>
      <c r="O185" s="16">
        <v>0</v>
      </c>
      <c r="P185" s="16">
        <v>0</v>
      </c>
      <c r="Q185" s="16">
        <v>0</v>
      </c>
      <c r="R185" s="16">
        <v>0</v>
      </c>
      <c r="S185" s="16">
        <v>0</v>
      </c>
      <c r="T185" s="16">
        <v>0</v>
      </c>
      <c r="U185" s="16">
        <v>0</v>
      </c>
      <c r="V185" s="16">
        <f t="shared" si="19"/>
        <v>0</v>
      </c>
      <c r="W185" s="16" t="e">
        <f t="shared" si="16"/>
        <v>#DIV/0!</v>
      </c>
      <c r="X185" s="16" t="e">
        <f t="shared" si="17"/>
        <v>#DIV/0!</v>
      </c>
      <c r="Y185" s="16" t="e">
        <f t="shared" si="21"/>
        <v>#DIV/0!</v>
      </c>
      <c r="Z185" s="16" t="e">
        <f t="shared" si="20"/>
        <v>#DIV/0!</v>
      </c>
      <c r="AA185" s="16" t="e">
        <f>$K185/$H185</f>
        <v>#DIV/0!</v>
      </c>
      <c r="AB185" s="16">
        <f t="shared" si="18"/>
        <v>0</v>
      </c>
    </row>
    <row r="186" spans="1:28" x14ac:dyDescent="0.2">
      <c r="A186" s="15" t="s">
        <v>956</v>
      </c>
      <c r="B186" s="15" t="s">
        <v>43</v>
      </c>
      <c r="C186" s="15">
        <v>24</v>
      </c>
      <c r="D186" s="15">
        <v>3</v>
      </c>
      <c r="E186" s="15" t="s">
        <v>178</v>
      </c>
      <c r="F186" s="15" t="s">
        <v>916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  <c r="O186" s="15">
        <v>0</v>
      </c>
      <c r="P186" s="15">
        <v>0</v>
      </c>
      <c r="Q186" s="15">
        <v>0</v>
      </c>
      <c r="R186" s="15">
        <v>0</v>
      </c>
      <c r="S186" s="15">
        <v>0</v>
      </c>
      <c r="T186" s="15">
        <v>0</v>
      </c>
      <c r="U186" s="15">
        <v>0</v>
      </c>
      <c r="V186" s="15">
        <f t="shared" si="19"/>
        <v>0</v>
      </c>
      <c r="W186" s="15" t="e">
        <f t="shared" si="16"/>
        <v>#DIV/0!</v>
      </c>
      <c r="X186" s="15" t="e">
        <f t="shared" si="17"/>
        <v>#DIV/0!</v>
      </c>
      <c r="Y186" s="15" t="e">
        <f t="shared" si="21"/>
        <v>#DIV/0!</v>
      </c>
      <c r="Z186" s="15" t="e">
        <f t="shared" si="20"/>
        <v>#DIV/0!</v>
      </c>
      <c r="AA186" s="15" t="e">
        <f>$K186/$H186</f>
        <v>#DIV/0!</v>
      </c>
      <c r="AB186" s="15">
        <f t="shared" si="18"/>
        <v>0</v>
      </c>
    </row>
    <row r="187" spans="1:28" x14ac:dyDescent="0.2">
      <c r="A187" s="16" t="s">
        <v>957</v>
      </c>
      <c r="B187" s="16" t="s">
        <v>43</v>
      </c>
      <c r="C187" s="16">
        <v>28</v>
      </c>
      <c r="D187" s="16">
        <v>6</v>
      </c>
      <c r="E187" s="16" t="s">
        <v>80</v>
      </c>
      <c r="F187" s="16" t="s">
        <v>916</v>
      </c>
      <c r="G187" s="16">
        <v>0</v>
      </c>
      <c r="H187" s="16">
        <v>0</v>
      </c>
      <c r="I187" s="16">
        <v>0</v>
      </c>
      <c r="J187" s="16">
        <v>0</v>
      </c>
      <c r="K187" s="16">
        <v>0</v>
      </c>
      <c r="L187" s="16">
        <v>0</v>
      </c>
      <c r="M187" s="16">
        <v>0</v>
      </c>
      <c r="N187" s="16">
        <v>0</v>
      </c>
      <c r="O187" s="16">
        <v>0</v>
      </c>
      <c r="P187" s="16">
        <v>0</v>
      </c>
      <c r="Q187" s="16">
        <v>0</v>
      </c>
      <c r="R187" s="16">
        <v>0</v>
      </c>
      <c r="S187" s="16">
        <v>0</v>
      </c>
      <c r="T187" s="16">
        <v>0</v>
      </c>
      <c r="U187" s="16">
        <v>0</v>
      </c>
      <c r="V187" s="16">
        <f t="shared" si="19"/>
        <v>0</v>
      </c>
      <c r="W187" s="16" t="e">
        <f t="shared" si="16"/>
        <v>#DIV/0!</v>
      </c>
      <c r="X187" s="16" t="e">
        <f t="shared" si="17"/>
        <v>#DIV/0!</v>
      </c>
      <c r="Y187" s="16" t="e">
        <f t="shared" si="21"/>
        <v>#DIV/0!</v>
      </c>
      <c r="Z187" s="16" t="e">
        <f t="shared" si="20"/>
        <v>#DIV/0!</v>
      </c>
      <c r="AA187" s="16" t="e">
        <f>$K187/$H187</f>
        <v>#DIV/0!</v>
      </c>
      <c r="AB187" s="16">
        <f t="shared" si="18"/>
        <v>0</v>
      </c>
    </row>
    <row r="188" spans="1:28" x14ac:dyDescent="0.2">
      <c r="A188" s="15" t="s">
        <v>1000</v>
      </c>
      <c r="B188" s="15" t="s">
        <v>43</v>
      </c>
      <c r="C188" s="15">
        <v>31</v>
      </c>
      <c r="D188" s="15">
        <v>11</v>
      </c>
      <c r="E188" s="15" t="s">
        <v>666</v>
      </c>
      <c r="F188" s="15" t="s">
        <v>969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  <c r="O188" s="15">
        <v>0</v>
      </c>
      <c r="P188" s="15">
        <v>0</v>
      </c>
      <c r="Q188" s="15">
        <v>0</v>
      </c>
      <c r="R188" s="15">
        <v>0</v>
      </c>
      <c r="S188" s="15">
        <v>0</v>
      </c>
      <c r="T188" s="15">
        <v>0</v>
      </c>
      <c r="U188" s="15">
        <v>0</v>
      </c>
      <c r="V188" s="15">
        <f t="shared" si="19"/>
        <v>0</v>
      </c>
      <c r="W188" s="15" t="e">
        <f t="shared" si="16"/>
        <v>#DIV/0!</v>
      </c>
      <c r="X188" s="15" t="e">
        <f t="shared" si="17"/>
        <v>#DIV/0!</v>
      </c>
      <c r="Y188" s="15" t="e">
        <f t="shared" si="21"/>
        <v>#DIV/0!</v>
      </c>
      <c r="Z188" s="15" t="e">
        <f t="shared" si="20"/>
        <v>#DIV/0!</v>
      </c>
      <c r="AA188" s="15" t="e">
        <f>$K188/$H188</f>
        <v>#DIV/0!</v>
      </c>
      <c r="AB188" s="15">
        <f t="shared" si="18"/>
        <v>0</v>
      </c>
    </row>
    <row r="189" spans="1:28" x14ac:dyDescent="0.2">
      <c r="A189" s="16" t="s">
        <v>1001</v>
      </c>
      <c r="B189" s="16" t="s">
        <v>43</v>
      </c>
      <c r="C189" s="16">
        <v>25</v>
      </c>
      <c r="D189" s="16">
        <v>0</v>
      </c>
      <c r="E189" s="16" t="s">
        <v>78</v>
      </c>
      <c r="F189" s="16" t="s">
        <v>969</v>
      </c>
      <c r="G189" s="16">
        <v>0</v>
      </c>
      <c r="H189" s="16">
        <v>0</v>
      </c>
      <c r="I189" s="16">
        <v>0</v>
      </c>
      <c r="J189" s="16">
        <v>0</v>
      </c>
      <c r="K189" s="16">
        <v>0</v>
      </c>
      <c r="L189" s="16">
        <v>0</v>
      </c>
      <c r="M189" s="16">
        <v>0</v>
      </c>
      <c r="N189" s="16">
        <v>0</v>
      </c>
      <c r="O189" s="16">
        <v>0</v>
      </c>
      <c r="P189" s="16">
        <v>0</v>
      </c>
      <c r="Q189" s="16">
        <v>0</v>
      </c>
      <c r="R189" s="16">
        <v>0</v>
      </c>
      <c r="S189" s="16">
        <v>0</v>
      </c>
      <c r="T189" s="16">
        <v>0</v>
      </c>
      <c r="U189" s="16">
        <v>0</v>
      </c>
      <c r="V189" s="16">
        <f t="shared" si="19"/>
        <v>0</v>
      </c>
      <c r="W189" s="16" t="e">
        <f t="shared" si="16"/>
        <v>#DIV/0!</v>
      </c>
      <c r="X189" s="16" t="e">
        <f t="shared" si="17"/>
        <v>#DIV/0!</v>
      </c>
      <c r="Y189" s="16" t="e">
        <f t="shared" si="21"/>
        <v>#DIV/0!</v>
      </c>
      <c r="Z189" s="16" t="e">
        <f t="shared" si="20"/>
        <v>#DIV/0!</v>
      </c>
      <c r="AA189" s="16" t="e">
        <f>$K189/$H189</f>
        <v>#DIV/0!</v>
      </c>
      <c r="AB189" s="16">
        <f t="shared" si="18"/>
        <v>0</v>
      </c>
    </row>
    <row r="190" spans="1:28" x14ac:dyDescent="0.2">
      <c r="A190" s="15" t="s">
        <v>1002</v>
      </c>
      <c r="B190" s="15" t="s">
        <v>43</v>
      </c>
      <c r="C190" s="15">
        <v>22</v>
      </c>
      <c r="D190" s="15">
        <v>0</v>
      </c>
      <c r="E190" s="15" t="s">
        <v>76</v>
      </c>
      <c r="F190" s="15" t="s">
        <v>969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  <c r="O190" s="15">
        <v>0</v>
      </c>
      <c r="P190" s="15">
        <v>0</v>
      </c>
      <c r="Q190" s="15">
        <v>0</v>
      </c>
      <c r="R190" s="15">
        <v>0</v>
      </c>
      <c r="S190" s="15">
        <v>0</v>
      </c>
      <c r="T190" s="15">
        <v>0</v>
      </c>
      <c r="U190" s="15">
        <v>0</v>
      </c>
      <c r="V190" s="15">
        <f t="shared" si="19"/>
        <v>0</v>
      </c>
      <c r="W190" s="15" t="e">
        <f t="shared" si="16"/>
        <v>#DIV/0!</v>
      </c>
      <c r="X190" s="15" t="e">
        <f t="shared" si="17"/>
        <v>#DIV/0!</v>
      </c>
      <c r="Y190" s="15" t="e">
        <f t="shared" si="21"/>
        <v>#DIV/0!</v>
      </c>
      <c r="Z190" s="15" t="e">
        <f t="shared" si="20"/>
        <v>#DIV/0!</v>
      </c>
      <c r="AA190" s="15" t="e">
        <f>$K190/$H190</f>
        <v>#DIV/0!</v>
      </c>
      <c r="AB190" s="15">
        <f t="shared" si="18"/>
        <v>0</v>
      </c>
    </row>
    <row r="191" spans="1:28" x14ac:dyDescent="0.2">
      <c r="A191" s="16" t="s">
        <v>1003</v>
      </c>
      <c r="B191" s="16" t="s">
        <v>43</v>
      </c>
      <c r="C191" s="16">
        <v>27</v>
      </c>
      <c r="D191" s="16">
        <v>2</v>
      </c>
      <c r="E191" s="16" t="s">
        <v>1004</v>
      </c>
      <c r="F191" s="16" t="s">
        <v>969</v>
      </c>
      <c r="G191" s="16">
        <v>0</v>
      </c>
      <c r="H191" s="16">
        <v>0</v>
      </c>
      <c r="I191" s="16">
        <v>0</v>
      </c>
      <c r="J191" s="16">
        <v>0</v>
      </c>
      <c r="K191" s="16">
        <v>0</v>
      </c>
      <c r="L191" s="16">
        <v>0</v>
      </c>
      <c r="M191" s="16">
        <v>0</v>
      </c>
      <c r="N191" s="16">
        <v>0</v>
      </c>
      <c r="O191" s="16">
        <v>0</v>
      </c>
      <c r="P191" s="16">
        <v>0</v>
      </c>
      <c r="Q191" s="16">
        <v>0</v>
      </c>
      <c r="R191" s="16">
        <v>0</v>
      </c>
      <c r="S191" s="16">
        <v>0</v>
      </c>
      <c r="T191" s="16">
        <v>0</v>
      </c>
      <c r="U191" s="16">
        <v>0</v>
      </c>
      <c r="V191" s="16">
        <f t="shared" si="19"/>
        <v>0</v>
      </c>
      <c r="W191" s="16" t="e">
        <f t="shared" si="16"/>
        <v>#DIV/0!</v>
      </c>
      <c r="X191" s="16" t="e">
        <f t="shared" si="17"/>
        <v>#DIV/0!</v>
      </c>
      <c r="Y191" s="16" t="e">
        <f t="shared" si="21"/>
        <v>#DIV/0!</v>
      </c>
      <c r="Z191" s="16" t="e">
        <f t="shared" si="20"/>
        <v>#DIV/0!</v>
      </c>
      <c r="AA191" s="16" t="e">
        <f>$K191/$H191</f>
        <v>#DIV/0!</v>
      </c>
      <c r="AB191" s="16">
        <f t="shared" si="18"/>
        <v>0</v>
      </c>
    </row>
    <row r="192" spans="1:28" x14ac:dyDescent="0.2">
      <c r="A192" s="15" t="s">
        <v>1005</v>
      </c>
      <c r="B192" s="15" t="s">
        <v>43</v>
      </c>
      <c r="C192" s="15">
        <v>26</v>
      </c>
      <c r="D192" s="15">
        <v>4</v>
      </c>
      <c r="E192" s="15" t="s">
        <v>508</v>
      </c>
      <c r="F192" s="15" t="s">
        <v>969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  <c r="O192" s="15">
        <v>0</v>
      </c>
      <c r="P192" s="15">
        <v>0</v>
      </c>
      <c r="Q192" s="15">
        <v>0</v>
      </c>
      <c r="R192" s="15">
        <v>0</v>
      </c>
      <c r="S192" s="15">
        <v>0</v>
      </c>
      <c r="T192" s="15">
        <v>0</v>
      </c>
      <c r="U192" s="15">
        <v>0</v>
      </c>
      <c r="V192" s="15">
        <f t="shared" si="19"/>
        <v>0</v>
      </c>
      <c r="W192" s="15" t="e">
        <f t="shared" si="16"/>
        <v>#DIV/0!</v>
      </c>
      <c r="X192" s="15" t="e">
        <f t="shared" si="17"/>
        <v>#DIV/0!</v>
      </c>
      <c r="Y192" s="15" t="e">
        <f t="shared" si="21"/>
        <v>#DIV/0!</v>
      </c>
      <c r="Z192" s="15" t="e">
        <f t="shared" si="20"/>
        <v>#DIV/0!</v>
      </c>
      <c r="AA192" s="15" t="e">
        <f>$K192/$H192</f>
        <v>#DIV/0!</v>
      </c>
      <c r="AB192" s="15">
        <f t="shared" si="18"/>
        <v>0</v>
      </c>
    </row>
    <row r="193" spans="1:28" x14ac:dyDescent="0.2">
      <c r="A193" s="16" t="s">
        <v>1006</v>
      </c>
      <c r="B193" s="16" t="s">
        <v>43</v>
      </c>
      <c r="C193" s="16">
        <v>27</v>
      </c>
      <c r="D193" s="16">
        <v>2</v>
      </c>
      <c r="E193" s="16" t="s">
        <v>296</v>
      </c>
      <c r="F193" s="16" t="s">
        <v>969</v>
      </c>
      <c r="G193" s="16">
        <v>0</v>
      </c>
      <c r="H193" s="16">
        <v>0</v>
      </c>
      <c r="I193" s="16">
        <v>0</v>
      </c>
      <c r="J193" s="16">
        <v>0</v>
      </c>
      <c r="K193" s="16">
        <v>0</v>
      </c>
      <c r="L193" s="16">
        <v>0</v>
      </c>
      <c r="M193" s="16">
        <v>0</v>
      </c>
      <c r="N193" s="16">
        <v>0</v>
      </c>
      <c r="O193" s="16">
        <v>0</v>
      </c>
      <c r="P193" s="16">
        <v>0</v>
      </c>
      <c r="Q193" s="16">
        <v>0</v>
      </c>
      <c r="R193" s="16">
        <v>0</v>
      </c>
      <c r="S193" s="16">
        <v>0</v>
      </c>
      <c r="T193" s="16">
        <v>0</v>
      </c>
      <c r="U193" s="16">
        <v>0</v>
      </c>
      <c r="V193" s="16">
        <f t="shared" si="19"/>
        <v>0</v>
      </c>
      <c r="W193" s="16" t="e">
        <f t="shared" si="16"/>
        <v>#DIV/0!</v>
      </c>
      <c r="X193" s="16" t="e">
        <f t="shared" si="17"/>
        <v>#DIV/0!</v>
      </c>
      <c r="Y193" s="16" t="e">
        <f t="shared" si="21"/>
        <v>#DIV/0!</v>
      </c>
      <c r="Z193" s="16" t="e">
        <f t="shared" si="20"/>
        <v>#DIV/0!</v>
      </c>
      <c r="AA193" s="16" t="e">
        <f>$K193/$H193</f>
        <v>#DIV/0!</v>
      </c>
      <c r="AB193" s="16">
        <f t="shared" si="18"/>
        <v>0</v>
      </c>
    </row>
    <row r="194" spans="1:28" x14ac:dyDescent="0.2">
      <c r="A194" s="15" t="s">
        <v>1007</v>
      </c>
      <c r="B194" s="15" t="s">
        <v>43</v>
      </c>
      <c r="C194" s="15">
        <v>21</v>
      </c>
      <c r="D194" s="15">
        <v>0</v>
      </c>
      <c r="E194" s="15" t="s">
        <v>76</v>
      </c>
      <c r="F194" s="15" t="s">
        <v>969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  <c r="O194" s="15">
        <v>0</v>
      </c>
      <c r="P194" s="15">
        <v>0</v>
      </c>
      <c r="Q194" s="15">
        <v>0</v>
      </c>
      <c r="R194" s="15">
        <v>0</v>
      </c>
      <c r="S194" s="15">
        <v>0</v>
      </c>
      <c r="T194" s="15">
        <v>0</v>
      </c>
      <c r="U194" s="15">
        <v>0</v>
      </c>
      <c r="V194" s="15">
        <f t="shared" si="19"/>
        <v>0</v>
      </c>
      <c r="W194" s="15" t="e">
        <f t="shared" ref="W194:W257" si="22">$P194/$H$33</f>
        <v>#DIV/0!</v>
      </c>
      <c r="X194" s="15" t="e">
        <f t="shared" ref="X194:X257" si="23">$N194/$M194</f>
        <v>#DIV/0!</v>
      </c>
      <c r="Y194" s="15" t="e">
        <f t="shared" si="21"/>
        <v>#DIV/0!</v>
      </c>
      <c r="Z194" s="15" t="e">
        <f t="shared" si="20"/>
        <v>#DIV/0!</v>
      </c>
      <c r="AA194" s="15" t="e">
        <f>$K194/$H194</f>
        <v>#DIV/0!</v>
      </c>
      <c r="AB194" s="15">
        <f t="shared" ref="AB194:AB257" si="24">($J194*Cp_yd)+($K194*Cp_td)+($L194*Cint)+($M194*Ccar)+($N194*Cr_yd)+($O194*Cr_td)+(Q194*Crec)+($R194*Crec_yd)+($S194*Crec_td)+($T194*Cfmb)+($U194*Ctp_c)</f>
        <v>0</v>
      </c>
    </row>
    <row r="195" spans="1:28" x14ac:dyDescent="0.2">
      <c r="A195" s="16" t="s">
        <v>1008</v>
      </c>
      <c r="B195" s="16" t="s">
        <v>43</v>
      </c>
      <c r="C195" s="16">
        <v>23</v>
      </c>
      <c r="D195" s="16">
        <v>3</v>
      </c>
      <c r="E195" s="16" t="s">
        <v>143</v>
      </c>
      <c r="F195" s="16" t="s">
        <v>969</v>
      </c>
      <c r="G195" s="16">
        <v>0</v>
      </c>
      <c r="H195" s="16">
        <v>0</v>
      </c>
      <c r="I195" s="16">
        <v>0</v>
      </c>
      <c r="J195" s="16">
        <v>0</v>
      </c>
      <c r="K195" s="16">
        <v>0</v>
      </c>
      <c r="L195" s="16">
        <v>0</v>
      </c>
      <c r="M195" s="16">
        <v>0</v>
      </c>
      <c r="N195" s="16">
        <v>0</v>
      </c>
      <c r="O195" s="16">
        <v>0</v>
      </c>
      <c r="P195" s="16">
        <v>0</v>
      </c>
      <c r="Q195" s="16">
        <v>0</v>
      </c>
      <c r="R195" s="16">
        <v>0</v>
      </c>
      <c r="S195" s="16">
        <v>0</v>
      </c>
      <c r="T195" s="16">
        <v>0</v>
      </c>
      <c r="U195" s="16">
        <v>0</v>
      </c>
      <c r="V195" s="16">
        <f t="shared" ref="V195:V258" si="25">($J195*0.04)+($K195*4)+($L195*-2)+($N195*0.1)+($O195*6)+($Q195)+($R195*0.1)+($S195*6)+($T195*-2)</f>
        <v>0</v>
      </c>
      <c r="W195" s="16" t="e">
        <f t="shared" si="22"/>
        <v>#DIV/0!</v>
      </c>
      <c r="X195" s="16" t="e">
        <f t="shared" si="23"/>
        <v>#DIV/0!</v>
      </c>
      <c r="Y195" s="16" t="e">
        <f t="shared" si="21"/>
        <v>#DIV/0!</v>
      </c>
      <c r="Z195" s="16" t="e">
        <f t="shared" si="20"/>
        <v>#DIV/0!</v>
      </c>
      <c r="AA195" s="16" t="e">
        <f>$K195/$H195</f>
        <v>#DIV/0!</v>
      </c>
      <c r="AB195" s="16">
        <f t="shared" si="24"/>
        <v>0</v>
      </c>
    </row>
    <row r="196" spans="1:28" x14ac:dyDescent="0.2">
      <c r="A196" s="15" t="s">
        <v>1009</v>
      </c>
      <c r="B196" s="15" t="s">
        <v>43</v>
      </c>
      <c r="C196" s="15">
        <v>27</v>
      </c>
      <c r="D196" s="15">
        <v>3</v>
      </c>
      <c r="E196" s="15" t="s">
        <v>555</v>
      </c>
      <c r="F196" s="15" t="s">
        <v>969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  <c r="O196" s="15">
        <v>0</v>
      </c>
      <c r="P196" s="15">
        <v>0</v>
      </c>
      <c r="Q196" s="15">
        <v>0</v>
      </c>
      <c r="R196" s="15">
        <v>0</v>
      </c>
      <c r="S196" s="15">
        <v>0</v>
      </c>
      <c r="T196" s="15">
        <v>0</v>
      </c>
      <c r="U196" s="15">
        <v>0</v>
      </c>
      <c r="V196" s="15">
        <f t="shared" si="25"/>
        <v>0</v>
      </c>
      <c r="W196" s="15" t="e">
        <f t="shared" si="22"/>
        <v>#DIV/0!</v>
      </c>
      <c r="X196" s="15" t="e">
        <f t="shared" si="23"/>
        <v>#DIV/0!</v>
      </c>
      <c r="Y196" s="15" t="e">
        <f t="shared" si="21"/>
        <v>#DIV/0!</v>
      </c>
      <c r="Z196" s="15" t="e">
        <f t="shared" si="20"/>
        <v>#DIV/0!</v>
      </c>
      <c r="AA196" s="15" t="e">
        <f>$K196/$H196</f>
        <v>#DIV/0!</v>
      </c>
      <c r="AB196" s="15">
        <f t="shared" si="24"/>
        <v>0</v>
      </c>
    </row>
    <row r="197" spans="1:28" x14ac:dyDescent="0.2">
      <c r="A197" s="16" t="s">
        <v>1010</v>
      </c>
      <c r="B197" s="16" t="s">
        <v>43</v>
      </c>
      <c r="C197" s="16">
        <v>28</v>
      </c>
      <c r="D197" s="16">
        <v>7</v>
      </c>
      <c r="E197" s="16" t="s">
        <v>458</v>
      </c>
      <c r="F197" s="16" t="s">
        <v>969</v>
      </c>
      <c r="G197" s="16">
        <v>0</v>
      </c>
      <c r="H197" s="16">
        <v>0</v>
      </c>
      <c r="I197" s="16">
        <v>0</v>
      </c>
      <c r="J197" s="16">
        <v>0</v>
      </c>
      <c r="K197" s="16">
        <v>0</v>
      </c>
      <c r="L197" s="16">
        <v>0</v>
      </c>
      <c r="M197" s="16">
        <v>0</v>
      </c>
      <c r="N197" s="16">
        <v>0</v>
      </c>
      <c r="O197" s="16">
        <v>0</v>
      </c>
      <c r="P197" s="16">
        <v>0</v>
      </c>
      <c r="Q197" s="16">
        <v>0</v>
      </c>
      <c r="R197" s="16">
        <v>0</v>
      </c>
      <c r="S197" s="16">
        <v>0</v>
      </c>
      <c r="T197" s="16">
        <v>0</v>
      </c>
      <c r="U197" s="16">
        <v>0</v>
      </c>
      <c r="V197" s="16">
        <f t="shared" si="25"/>
        <v>0</v>
      </c>
      <c r="W197" s="16" t="e">
        <f t="shared" si="22"/>
        <v>#DIV/0!</v>
      </c>
      <c r="X197" s="16" t="e">
        <f t="shared" si="23"/>
        <v>#DIV/0!</v>
      </c>
      <c r="Y197" s="16" t="e">
        <f t="shared" si="21"/>
        <v>#DIV/0!</v>
      </c>
      <c r="Z197" s="16" t="e">
        <f t="shared" si="20"/>
        <v>#DIV/0!</v>
      </c>
      <c r="AA197" s="16" t="e">
        <f>$K197/$H197</f>
        <v>#DIV/0!</v>
      </c>
      <c r="AB197" s="16">
        <f t="shared" si="24"/>
        <v>0</v>
      </c>
    </row>
    <row r="198" spans="1:28" x14ac:dyDescent="0.2">
      <c r="A198" s="15" t="s">
        <v>1011</v>
      </c>
      <c r="B198" s="15" t="s">
        <v>43</v>
      </c>
      <c r="C198" s="15">
        <v>24</v>
      </c>
      <c r="D198" s="15">
        <v>0</v>
      </c>
      <c r="E198" s="15" t="s">
        <v>1012</v>
      </c>
      <c r="F198" s="15" t="s">
        <v>969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  <c r="O198" s="15">
        <v>0</v>
      </c>
      <c r="P198" s="15">
        <v>0</v>
      </c>
      <c r="Q198" s="15">
        <v>0</v>
      </c>
      <c r="R198" s="15">
        <v>0</v>
      </c>
      <c r="S198" s="15">
        <v>0</v>
      </c>
      <c r="T198" s="15">
        <v>0</v>
      </c>
      <c r="U198" s="15">
        <v>0</v>
      </c>
      <c r="V198" s="15">
        <f t="shared" si="25"/>
        <v>0</v>
      </c>
      <c r="W198" s="15" t="e">
        <f t="shared" si="22"/>
        <v>#DIV/0!</v>
      </c>
      <c r="X198" s="15" t="e">
        <f t="shared" si="23"/>
        <v>#DIV/0!</v>
      </c>
      <c r="Y198" s="15" t="e">
        <f t="shared" si="21"/>
        <v>#DIV/0!</v>
      </c>
      <c r="Z198" s="15" t="e">
        <f t="shared" si="20"/>
        <v>#DIV/0!</v>
      </c>
      <c r="AA198" s="15" t="e">
        <f>$K198/$H198</f>
        <v>#DIV/0!</v>
      </c>
      <c r="AB198" s="15">
        <f t="shared" si="24"/>
        <v>0</v>
      </c>
    </row>
    <row r="199" spans="1:28" x14ac:dyDescent="0.2">
      <c r="A199" s="16" t="s">
        <v>1051</v>
      </c>
      <c r="B199" s="16" t="s">
        <v>43</v>
      </c>
      <c r="C199" s="16">
        <v>23</v>
      </c>
      <c r="D199" s="16">
        <v>3</v>
      </c>
      <c r="E199" s="16" t="s">
        <v>209</v>
      </c>
      <c r="F199" s="16" t="s">
        <v>1021</v>
      </c>
      <c r="G199" s="16">
        <v>0</v>
      </c>
      <c r="H199" s="16">
        <v>0</v>
      </c>
      <c r="I199" s="16">
        <v>0</v>
      </c>
      <c r="J199" s="16">
        <v>0</v>
      </c>
      <c r="K199" s="16">
        <v>0</v>
      </c>
      <c r="L199" s="16">
        <v>0</v>
      </c>
      <c r="M199" s="16">
        <v>0</v>
      </c>
      <c r="N199" s="16">
        <v>0</v>
      </c>
      <c r="O199" s="16">
        <v>0</v>
      </c>
      <c r="P199" s="16">
        <v>0</v>
      </c>
      <c r="Q199" s="16">
        <v>0</v>
      </c>
      <c r="R199" s="16">
        <v>0</v>
      </c>
      <c r="S199" s="16">
        <v>0</v>
      </c>
      <c r="T199" s="16">
        <v>0</v>
      </c>
      <c r="U199" s="16">
        <v>0</v>
      </c>
      <c r="V199" s="16">
        <f t="shared" si="25"/>
        <v>0</v>
      </c>
      <c r="W199" s="16" t="e">
        <f t="shared" si="22"/>
        <v>#DIV/0!</v>
      </c>
      <c r="X199" s="16" t="e">
        <f t="shared" si="23"/>
        <v>#DIV/0!</v>
      </c>
      <c r="Y199" s="16" t="e">
        <f t="shared" si="21"/>
        <v>#DIV/0!</v>
      </c>
      <c r="Z199" s="16" t="e">
        <f t="shared" si="20"/>
        <v>#DIV/0!</v>
      </c>
      <c r="AA199" s="16" t="e">
        <f>$K199/$H199</f>
        <v>#DIV/0!</v>
      </c>
      <c r="AB199" s="16">
        <f t="shared" si="24"/>
        <v>0</v>
      </c>
    </row>
    <row r="200" spans="1:28" x14ac:dyDescent="0.2">
      <c r="A200" s="15" t="s">
        <v>1052</v>
      </c>
      <c r="B200" s="15" t="s">
        <v>43</v>
      </c>
      <c r="C200" s="15">
        <v>24</v>
      </c>
      <c r="D200" s="15">
        <v>0</v>
      </c>
      <c r="E200" s="15" t="s">
        <v>795</v>
      </c>
      <c r="F200" s="15" t="s">
        <v>1021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  <c r="O200" s="15">
        <v>0</v>
      </c>
      <c r="P200" s="15">
        <v>0</v>
      </c>
      <c r="Q200" s="15">
        <v>0</v>
      </c>
      <c r="R200" s="15">
        <v>0</v>
      </c>
      <c r="S200" s="15">
        <v>0</v>
      </c>
      <c r="T200" s="15">
        <v>0</v>
      </c>
      <c r="U200" s="15">
        <v>0</v>
      </c>
      <c r="V200" s="15">
        <f t="shared" si="25"/>
        <v>0</v>
      </c>
      <c r="W200" s="15" t="e">
        <f t="shared" si="22"/>
        <v>#DIV/0!</v>
      </c>
      <c r="X200" s="15" t="e">
        <f t="shared" si="23"/>
        <v>#DIV/0!</v>
      </c>
      <c r="Y200" s="15" t="e">
        <f t="shared" si="21"/>
        <v>#DIV/0!</v>
      </c>
      <c r="Z200" s="15" t="e">
        <f t="shared" si="20"/>
        <v>#DIV/0!</v>
      </c>
      <c r="AA200" s="15" t="e">
        <f>$K200/$H200</f>
        <v>#DIV/0!</v>
      </c>
      <c r="AB200" s="15">
        <f t="shared" si="24"/>
        <v>0</v>
      </c>
    </row>
    <row r="201" spans="1:28" x14ac:dyDescent="0.2">
      <c r="A201" s="16" t="s">
        <v>1053</v>
      </c>
      <c r="B201" s="16" t="s">
        <v>43</v>
      </c>
      <c r="C201" s="16">
        <v>22</v>
      </c>
      <c r="D201" s="16">
        <v>0</v>
      </c>
      <c r="E201" s="16" t="s">
        <v>209</v>
      </c>
      <c r="F201" s="16" t="s">
        <v>1021</v>
      </c>
      <c r="G201" s="16">
        <v>0</v>
      </c>
      <c r="H201" s="16">
        <v>0</v>
      </c>
      <c r="I201" s="16">
        <v>0</v>
      </c>
      <c r="J201" s="16">
        <v>0</v>
      </c>
      <c r="K201" s="16">
        <v>0</v>
      </c>
      <c r="L201" s="16">
        <v>0</v>
      </c>
      <c r="M201" s="16">
        <v>0</v>
      </c>
      <c r="N201" s="16">
        <v>0</v>
      </c>
      <c r="O201" s="16">
        <v>0</v>
      </c>
      <c r="P201" s="16">
        <v>0</v>
      </c>
      <c r="Q201" s="16">
        <v>0</v>
      </c>
      <c r="R201" s="16">
        <v>0</v>
      </c>
      <c r="S201" s="16">
        <v>0</v>
      </c>
      <c r="T201" s="16">
        <v>0</v>
      </c>
      <c r="U201" s="16">
        <v>0</v>
      </c>
      <c r="V201" s="16">
        <f t="shared" si="25"/>
        <v>0</v>
      </c>
      <c r="W201" s="16" t="e">
        <f t="shared" si="22"/>
        <v>#DIV/0!</v>
      </c>
      <c r="X201" s="16" t="e">
        <f t="shared" si="23"/>
        <v>#DIV/0!</v>
      </c>
      <c r="Y201" s="16" t="e">
        <f t="shared" si="21"/>
        <v>#DIV/0!</v>
      </c>
      <c r="Z201" s="16" t="e">
        <f t="shared" si="20"/>
        <v>#DIV/0!</v>
      </c>
      <c r="AA201" s="16" t="e">
        <f>$K201/$H201</f>
        <v>#DIV/0!</v>
      </c>
      <c r="AB201" s="16">
        <f t="shared" si="24"/>
        <v>0</v>
      </c>
    </row>
    <row r="202" spans="1:28" x14ac:dyDescent="0.2">
      <c r="A202" s="15" t="s">
        <v>1054</v>
      </c>
      <c r="B202" s="15" t="s">
        <v>43</v>
      </c>
      <c r="C202" s="15">
        <v>27</v>
      </c>
      <c r="D202" s="15">
        <v>4</v>
      </c>
      <c r="E202" s="15" t="s">
        <v>178</v>
      </c>
      <c r="F202" s="15" t="s">
        <v>1021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  <c r="O202" s="15">
        <v>0</v>
      </c>
      <c r="P202" s="15">
        <v>0</v>
      </c>
      <c r="Q202" s="15">
        <v>0</v>
      </c>
      <c r="R202" s="15">
        <v>0</v>
      </c>
      <c r="S202" s="15">
        <v>0</v>
      </c>
      <c r="T202" s="15">
        <v>0</v>
      </c>
      <c r="U202" s="15">
        <v>0</v>
      </c>
      <c r="V202" s="15">
        <f t="shared" si="25"/>
        <v>0</v>
      </c>
      <c r="W202" s="15" t="e">
        <f t="shared" si="22"/>
        <v>#DIV/0!</v>
      </c>
      <c r="X202" s="15" t="e">
        <f t="shared" si="23"/>
        <v>#DIV/0!</v>
      </c>
      <c r="Y202" s="15" t="e">
        <f t="shared" si="21"/>
        <v>#DIV/0!</v>
      </c>
      <c r="Z202" s="15" t="e">
        <f t="shared" si="20"/>
        <v>#DIV/0!</v>
      </c>
      <c r="AA202" s="15" t="e">
        <f>$K202/$H202</f>
        <v>#DIV/0!</v>
      </c>
      <c r="AB202" s="15">
        <f t="shared" si="24"/>
        <v>0</v>
      </c>
    </row>
    <row r="203" spans="1:28" x14ac:dyDescent="0.2">
      <c r="A203" s="16" t="s">
        <v>1055</v>
      </c>
      <c r="B203" s="16" t="s">
        <v>43</v>
      </c>
      <c r="C203" s="16">
        <v>24</v>
      </c>
      <c r="D203" s="16">
        <v>4</v>
      </c>
      <c r="E203" s="16" t="s">
        <v>225</v>
      </c>
      <c r="F203" s="16" t="s">
        <v>1021</v>
      </c>
      <c r="G203" s="16">
        <v>0</v>
      </c>
      <c r="H203" s="16">
        <v>0</v>
      </c>
      <c r="I203" s="16">
        <v>0</v>
      </c>
      <c r="J203" s="16">
        <v>0</v>
      </c>
      <c r="K203" s="16">
        <v>0</v>
      </c>
      <c r="L203" s="16">
        <v>0</v>
      </c>
      <c r="M203" s="16">
        <v>0</v>
      </c>
      <c r="N203" s="16">
        <v>0</v>
      </c>
      <c r="O203" s="16">
        <v>0</v>
      </c>
      <c r="P203" s="16">
        <v>0</v>
      </c>
      <c r="Q203" s="16">
        <v>0</v>
      </c>
      <c r="R203" s="16">
        <v>0</v>
      </c>
      <c r="S203" s="16">
        <v>0</v>
      </c>
      <c r="T203" s="16">
        <v>0</v>
      </c>
      <c r="U203" s="16">
        <v>0</v>
      </c>
      <c r="V203" s="16">
        <f t="shared" si="25"/>
        <v>0</v>
      </c>
      <c r="W203" s="16" t="e">
        <f t="shared" si="22"/>
        <v>#DIV/0!</v>
      </c>
      <c r="X203" s="16" t="e">
        <f t="shared" si="23"/>
        <v>#DIV/0!</v>
      </c>
      <c r="Y203" s="16" t="e">
        <f t="shared" si="21"/>
        <v>#DIV/0!</v>
      </c>
      <c r="Z203" s="16" t="e">
        <f t="shared" si="20"/>
        <v>#DIV/0!</v>
      </c>
      <c r="AA203" s="16" t="e">
        <f>$K203/$H203</f>
        <v>#DIV/0!</v>
      </c>
      <c r="AB203" s="16">
        <f t="shared" si="24"/>
        <v>0</v>
      </c>
    </row>
    <row r="204" spans="1:28" x14ac:dyDescent="0.2">
      <c r="A204" s="15" t="s">
        <v>1056</v>
      </c>
      <c r="B204" s="15" t="s">
        <v>43</v>
      </c>
      <c r="C204" s="15">
        <v>30</v>
      </c>
      <c r="D204" s="15">
        <v>7</v>
      </c>
      <c r="E204" s="15" t="s">
        <v>413</v>
      </c>
      <c r="F204" s="15" t="s">
        <v>1021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  <c r="O204" s="15">
        <v>0</v>
      </c>
      <c r="P204" s="15">
        <v>0</v>
      </c>
      <c r="Q204" s="15">
        <v>0</v>
      </c>
      <c r="R204" s="15">
        <v>0</v>
      </c>
      <c r="S204" s="15">
        <v>0</v>
      </c>
      <c r="T204" s="15">
        <v>0</v>
      </c>
      <c r="U204" s="15">
        <v>0</v>
      </c>
      <c r="V204" s="15">
        <f t="shared" si="25"/>
        <v>0</v>
      </c>
      <c r="W204" s="15" t="e">
        <f t="shared" si="22"/>
        <v>#DIV/0!</v>
      </c>
      <c r="X204" s="15" t="e">
        <f t="shared" si="23"/>
        <v>#DIV/0!</v>
      </c>
      <c r="Y204" s="15" t="e">
        <f t="shared" si="21"/>
        <v>#DIV/0!</v>
      </c>
      <c r="Z204" s="15" t="e">
        <f t="shared" ref="Z204:Z267" si="26">$I204/$H204</f>
        <v>#DIV/0!</v>
      </c>
      <c r="AA204" s="15" t="e">
        <f>$K204/$H204</f>
        <v>#DIV/0!</v>
      </c>
      <c r="AB204" s="15">
        <f t="shared" si="24"/>
        <v>0</v>
      </c>
    </row>
    <row r="205" spans="1:28" x14ac:dyDescent="0.2">
      <c r="A205" s="16" t="s">
        <v>1057</v>
      </c>
      <c r="B205" s="16" t="s">
        <v>43</v>
      </c>
      <c r="C205" s="16">
        <v>24</v>
      </c>
      <c r="D205" s="16">
        <v>2</v>
      </c>
      <c r="E205" s="16" t="s">
        <v>1058</v>
      </c>
      <c r="F205" s="16" t="s">
        <v>1021</v>
      </c>
      <c r="G205" s="16">
        <v>0</v>
      </c>
      <c r="H205" s="16">
        <v>0</v>
      </c>
      <c r="I205" s="16">
        <v>0</v>
      </c>
      <c r="J205" s="16">
        <v>0</v>
      </c>
      <c r="K205" s="16">
        <v>0</v>
      </c>
      <c r="L205" s="16">
        <v>0</v>
      </c>
      <c r="M205" s="16">
        <v>0</v>
      </c>
      <c r="N205" s="16">
        <v>0</v>
      </c>
      <c r="O205" s="16">
        <v>0</v>
      </c>
      <c r="P205" s="16">
        <v>0</v>
      </c>
      <c r="Q205" s="16">
        <v>0</v>
      </c>
      <c r="R205" s="16">
        <v>0</v>
      </c>
      <c r="S205" s="16">
        <v>0</v>
      </c>
      <c r="T205" s="16">
        <v>0</v>
      </c>
      <c r="U205" s="16">
        <v>0</v>
      </c>
      <c r="V205" s="16">
        <f t="shared" si="25"/>
        <v>0</v>
      </c>
      <c r="W205" s="16" t="e">
        <f t="shared" si="22"/>
        <v>#DIV/0!</v>
      </c>
      <c r="X205" s="16" t="e">
        <f t="shared" si="23"/>
        <v>#DIV/0!</v>
      </c>
      <c r="Y205" s="16" t="e">
        <f t="shared" si="21"/>
        <v>#DIV/0!</v>
      </c>
      <c r="Z205" s="16" t="e">
        <f t="shared" si="26"/>
        <v>#DIV/0!</v>
      </c>
      <c r="AA205" s="16" t="e">
        <f>$K205/$H205</f>
        <v>#DIV/0!</v>
      </c>
      <c r="AB205" s="16">
        <f t="shared" si="24"/>
        <v>0</v>
      </c>
    </row>
    <row r="206" spans="1:28" x14ac:dyDescent="0.2">
      <c r="A206" s="15" t="s">
        <v>1059</v>
      </c>
      <c r="B206" s="15" t="s">
        <v>43</v>
      </c>
      <c r="C206" s="15">
        <v>23</v>
      </c>
      <c r="D206" s="15">
        <v>0</v>
      </c>
      <c r="E206" s="15" t="s">
        <v>82</v>
      </c>
      <c r="F206" s="15" t="s">
        <v>1021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  <c r="O206" s="15">
        <v>0</v>
      </c>
      <c r="P206" s="15">
        <v>0</v>
      </c>
      <c r="Q206" s="15">
        <v>0</v>
      </c>
      <c r="R206" s="15">
        <v>0</v>
      </c>
      <c r="S206" s="15">
        <v>0</v>
      </c>
      <c r="T206" s="15">
        <v>0</v>
      </c>
      <c r="U206" s="15">
        <v>0</v>
      </c>
      <c r="V206" s="15">
        <f t="shared" si="25"/>
        <v>0</v>
      </c>
      <c r="W206" s="15" t="e">
        <f t="shared" si="22"/>
        <v>#DIV/0!</v>
      </c>
      <c r="X206" s="15" t="e">
        <f t="shared" si="23"/>
        <v>#DIV/0!</v>
      </c>
      <c r="Y206" s="15" t="e">
        <f t="shared" si="21"/>
        <v>#DIV/0!</v>
      </c>
      <c r="Z206" s="15" t="e">
        <f t="shared" si="26"/>
        <v>#DIV/0!</v>
      </c>
      <c r="AA206" s="15" t="e">
        <f>$K206/$H206</f>
        <v>#DIV/0!</v>
      </c>
      <c r="AB206" s="15">
        <f t="shared" si="24"/>
        <v>0</v>
      </c>
    </row>
    <row r="207" spans="1:28" x14ac:dyDescent="0.2">
      <c r="A207" s="16" t="s">
        <v>1060</v>
      </c>
      <c r="B207" s="16" t="s">
        <v>43</v>
      </c>
      <c r="C207" s="16">
        <v>28</v>
      </c>
      <c r="D207" s="16">
        <v>8</v>
      </c>
      <c r="E207" s="16" t="s">
        <v>178</v>
      </c>
      <c r="F207" s="16" t="s">
        <v>1021</v>
      </c>
      <c r="G207" s="16">
        <v>0</v>
      </c>
      <c r="H207" s="16">
        <v>0</v>
      </c>
      <c r="I207" s="16">
        <v>0</v>
      </c>
      <c r="J207" s="16">
        <v>0</v>
      </c>
      <c r="K207" s="16">
        <v>0</v>
      </c>
      <c r="L207" s="16">
        <v>0</v>
      </c>
      <c r="M207" s="16">
        <v>0</v>
      </c>
      <c r="N207" s="16">
        <v>0</v>
      </c>
      <c r="O207" s="16">
        <v>0</v>
      </c>
      <c r="P207" s="16">
        <v>0</v>
      </c>
      <c r="Q207" s="16">
        <v>0</v>
      </c>
      <c r="R207" s="16">
        <v>0</v>
      </c>
      <c r="S207" s="16">
        <v>0</v>
      </c>
      <c r="T207" s="16">
        <v>0</v>
      </c>
      <c r="U207" s="16">
        <v>0</v>
      </c>
      <c r="V207" s="16">
        <f t="shared" si="25"/>
        <v>0</v>
      </c>
      <c r="W207" s="16" t="e">
        <f t="shared" si="22"/>
        <v>#DIV/0!</v>
      </c>
      <c r="X207" s="16" t="e">
        <f t="shared" si="23"/>
        <v>#DIV/0!</v>
      </c>
      <c r="Y207" s="16" t="e">
        <f t="shared" si="21"/>
        <v>#DIV/0!</v>
      </c>
      <c r="Z207" s="16" t="e">
        <f t="shared" si="26"/>
        <v>#DIV/0!</v>
      </c>
      <c r="AA207" s="16" t="e">
        <f>$K207/$H207</f>
        <v>#DIV/0!</v>
      </c>
      <c r="AB207" s="16">
        <f t="shared" si="24"/>
        <v>0</v>
      </c>
    </row>
    <row r="208" spans="1:28" x14ac:dyDescent="0.2">
      <c r="A208" s="15" t="s">
        <v>1061</v>
      </c>
      <c r="B208" s="15" t="s">
        <v>43</v>
      </c>
      <c r="C208" s="15">
        <v>26</v>
      </c>
      <c r="D208" s="15">
        <v>3</v>
      </c>
      <c r="E208" s="15" t="s">
        <v>362</v>
      </c>
      <c r="F208" s="15" t="s">
        <v>1021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  <c r="O208" s="15">
        <v>0</v>
      </c>
      <c r="P208" s="15">
        <v>0</v>
      </c>
      <c r="Q208" s="15">
        <v>0</v>
      </c>
      <c r="R208" s="15">
        <v>0</v>
      </c>
      <c r="S208" s="15">
        <v>0</v>
      </c>
      <c r="T208" s="15">
        <v>0</v>
      </c>
      <c r="U208" s="15">
        <v>0</v>
      </c>
      <c r="V208" s="15">
        <f t="shared" si="25"/>
        <v>0</v>
      </c>
      <c r="W208" s="15" t="e">
        <f t="shared" si="22"/>
        <v>#DIV/0!</v>
      </c>
      <c r="X208" s="15" t="e">
        <f t="shared" si="23"/>
        <v>#DIV/0!</v>
      </c>
      <c r="Y208" s="15" t="e">
        <f t="shared" si="21"/>
        <v>#DIV/0!</v>
      </c>
      <c r="Z208" s="15" t="e">
        <f t="shared" si="26"/>
        <v>#DIV/0!</v>
      </c>
      <c r="AA208" s="15" t="e">
        <f>$K208/$H208</f>
        <v>#DIV/0!</v>
      </c>
      <c r="AB208" s="15">
        <f t="shared" si="24"/>
        <v>0</v>
      </c>
    </row>
    <row r="209" spans="1:28" x14ac:dyDescent="0.2">
      <c r="A209" s="16" t="s">
        <v>1062</v>
      </c>
      <c r="B209" s="16" t="s">
        <v>43</v>
      </c>
      <c r="C209" s="16">
        <v>25</v>
      </c>
      <c r="D209" s="16">
        <v>0</v>
      </c>
      <c r="E209" s="16" t="s">
        <v>1063</v>
      </c>
      <c r="F209" s="16" t="s">
        <v>1021</v>
      </c>
      <c r="G209" s="16">
        <v>0</v>
      </c>
      <c r="H209" s="16">
        <v>0</v>
      </c>
      <c r="I209" s="16">
        <v>0</v>
      </c>
      <c r="J209" s="16">
        <v>0</v>
      </c>
      <c r="K209" s="16">
        <v>0</v>
      </c>
      <c r="L209" s="16">
        <v>0</v>
      </c>
      <c r="M209" s="16">
        <v>0</v>
      </c>
      <c r="N209" s="16">
        <v>0</v>
      </c>
      <c r="O209" s="16">
        <v>0</v>
      </c>
      <c r="P209" s="16">
        <v>0</v>
      </c>
      <c r="Q209" s="16">
        <v>0</v>
      </c>
      <c r="R209" s="16">
        <v>0</v>
      </c>
      <c r="S209" s="16">
        <v>0</v>
      </c>
      <c r="T209" s="16">
        <v>0</v>
      </c>
      <c r="U209" s="16">
        <v>0</v>
      </c>
      <c r="V209" s="16">
        <f t="shared" si="25"/>
        <v>0</v>
      </c>
      <c r="W209" s="16" t="e">
        <f t="shared" si="22"/>
        <v>#DIV/0!</v>
      </c>
      <c r="X209" s="16" t="e">
        <f t="shared" si="23"/>
        <v>#DIV/0!</v>
      </c>
      <c r="Y209" s="16" t="e">
        <f t="shared" si="21"/>
        <v>#DIV/0!</v>
      </c>
      <c r="Z209" s="16" t="e">
        <f t="shared" si="26"/>
        <v>#DIV/0!</v>
      </c>
      <c r="AA209" s="16" t="e">
        <f>$K209/$H209</f>
        <v>#DIV/0!</v>
      </c>
      <c r="AB209" s="16">
        <f t="shared" si="24"/>
        <v>0</v>
      </c>
    </row>
    <row r="210" spans="1:28" x14ac:dyDescent="0.2">
      <c r="A210" s="15" t="s">
        <v>1105</v>
      </c>
      <c r="B210" s="15" t="s">
        <v>43</v>
      </c>
      <c r="C210" s="15">
        <v>30</v>
      </c>
      <c r="D210" s="15">
        <v>10</v>
      </c>
      <c r="E210" s="15" t="s">
        <v>280</v>
      </c>
      <c r="F210" s="15" t="s">
        <v>1075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  <c r="O210" s="15">
        <v>0</v>
      </c>
      <c r="P210" s="15">
        <v>0</v>
      </c>
      <c r="Q210" s="15">
        <v>0</v>
      </c>
      <c r="R210" s="15">
        <v>0</v>
      </c>
      <c r="S210" s="15">
        <v>0</v>
      </c>
      <c r="T210" s="15">
        <v>0</v>
      </c>
      <c r="U210" s="15">
        <v>0</v>
      </c>
      <c r="V210" s="15">
        <f t="shared" si="25"/>
        <v>0</v>
      </c>
      <c r="W210" s="15" t="e">
        <f t="shared" si="22"/>
        <v>#DIV/0!</v>
      </c>
      <c r="X210" s="15" t="e">
        <f t="shared" si="23"/>
        <v>#DIV/0!</v>
      </c>
      <c r="Y210" s="15" t="e">
        <f t="shared" ref="Y210:Y273" si="27">$R210/$Q210</f>
        <v>#DIV/0!</v>
      </c>
      <c r="Z210" s="15" t="e">
        <f t="shared" si="26"/>
        <v>#DIV/0!</v>
      </c>
      <c r="AA210" s="15" t="e">
        <f>$K210/$H210</f>
        <v>#DIV/0!</v>
      </c>
      <c r="AB210" s="15">
        <f t="shared" si="24"/>
        <v>0</v>
      </c>
    </row>
    <row r="211" spans="1:28" x14ac:dyDescent="0.2">
      <c r="A211" s="16" t="s">
        <v>1106</v>
      </c>
      <c r="B211" s="16" t="s">
        <v>43</v>
      </c>
      <c r="C211" s="16">
        <v>30</v>
      </c>
      <c r="D211" s="16">
        <v>6</v>
      </c>
      <c r="E211" s="16" t="s">
        <v>1107</v>
      </c>
      <c r="F211" s="16" t="s">
        <v>1075</v>
      </c>
      <c r="G211" s="16">
        <v>0</v>
      </c>
      <c r="H211" s="16">
        <v>0</v>
      </c>
      <c r="I211" s="16">
        <v>0</v>
      </c>
      <c r="J211" s="16">
        <v>0</v>
      </c>
      <c r="K211" s="16">
        <v>0</v>
      </c>
      <c r="L211" s="16">
        <v>0</v>
      </c>
      <c r="M211" s="16">
        <v>0</v>
      </c>
      <c r="N211" s="16">
        <v>0</v>
      </c>
      <c r="O211" s="16">
        <v>0</v>
      </c>
      <c r="P211" s="16">
        <v>0</v>
      </c>
      <c r="Q211" s="16">
        <v>0</v>
      </c>
      <c r="R211" s="16">
        <v>0</v>
      </c>
      <c r="S211" s="16">
        <v>0</v>
      </c>
      <c r="T211" s="16">
        <v>0</v>
      </c>
      <c r="U211" s="16">
        <v>0</v>
      </c>
      <c r="V211" s="16">
        <f t="shared" si="25"/>
        <v>0</v>
      </c>
      <c r="W211" s="16" t="e">
        <f t="shared" si="22"/>
        <v>#DIV/0!</v>
      </c>
      <c r="X211" s="16" t="e">
        <f t="shared" si="23"/>
        <v>#DIV/0!</v>
      </c>
      <c r="Y211" s="16" t="e">
        <f t="shared" si="27"/>
        <v>#DIV/0!</v>
      </c>
      <c r="Z211" s="16" t="e">
        <f t="shared" si="26"/>
        <v>#DIV/0!</v>
      </c>
      <c r="AA211" s="16" t="e">
        <f>$K211/$H211</f>
        <v>#DIV/0!</v>
      </c>
      <c r="AB211" s="16">
        <f t="shared" si="24"/>
        <v>0</v>
      </c>
    </row>
    <row r="212" spans="1:28" x14ac:dyDescent="0.2">
      <c r="A212" s="15" t="s">
        <v>1108</v>
      </c>
      <c r="B212" s="15" t="s">
        <v>43</v>
      </c>
      <c r="C212" s="15">
        <v>30</v>
      </c>
      <c r="D212" s="15">
        <v>7</v>
      </c>
      <c r="E212" s="15" t="s">
        <v>1109</v>
      </c>
      <c r="F212" s="15" t="s">
        <v>1075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  <c r="O212" s="15">
        <v>0</v>
      </c>
      <c r="P212" s="15">
        <v>0</v>
      </c>
      <c r="Q212" s="15">
        <v>0</v>
      </c>
      <c r="R212" s="15">
        <v>0</v>
      </c>
      <c r="S212" s="15">
        <v>0</v>
      </c>
      <c r="T212" s="15">
        <v>0</v>
      </c>
      <c r="U212" s="15">
        <v>0</v>
      </c>
      <c r="V212" s="15">
        <f t="shared" si="25"/>
        <v>0</v>
      </c>
      <c r="W212" s="15" t="e">
        <f t="shared" si="22"/>
        <v>#DIV/0!</v>
      </c>
      <c r="X212" s="15" t="e">
        <f t="shared" si="23"/>
        <v>#DIV/0!</v>
      </c>
      <c r="Y212" s="15" t="e">
        <f t="shared" si="27"/>
        <v>#DIV/0!</v>
      </c>
      <c r="Z212" s="15" t="e">
        <f t="shared" si="26"/>
        <v>#DIV/0!</v>
      </c>
      <c r="AA212" s="15" t="e">
        <f>$K212/$H212</f>
        <v>#DIV/0!</v>
      </c>
      <c r="AB212" s="15">
        <f t="shared" si="24"/>
        <v>0</v>
      </c>
    </row>
    <row r="213" spans="1:28" x14ac:dyDescent="0.2">
      <c r="A213" s="16" t="s">
        <v>1110</v>
      </c>
      <c r="B213" s="16" t="s">
        <v>43</v>
      </c>
      <c r="C213" s="16">
        <v>30</v>
      </c>
      <c r="D213" s="16">
        <v>9</v>
      </c>
      <c r="E213" s="16" t="s">
        <v>397</v>
      </c>
      <c r="F213" s="16" t="s">
        <v>1075</v>
      </c>
      <c r="G213" s="16">
        <v>0</v>
      </c>
      <c r="H213" s="16">
        <v>0</v>
      </c>
      <c r="I213" s="16">
        <v>0</v>
      </c>
      <c r="J213" s="16">
        <v>0</v>
      </c>
      <c r="K213" s="16">
        <v>0</v>
      </c>
      <c r="L213" s="16">
        <v>0</v>
      </c>
      <c r="M213" s="16">
        <v>0</v>
      </c>
      <c r="N213" s="16">
        <v>0</v>
      </c>
      <c r="O213" s="16">
        <v>0</v>
      </c>
      <c r="P213" s="16">
        <v>0</v>
      </c>
      <c r="Q213" s="16">
        <v>0</v>
      </c>
      <c r="R213" s="16">
        <v>0</v>
      </c>
      <c r="S213" s="16">
        <v>0</v>
      </c>
      <c r="T213" s="16">
        <v>0</v>
      </c>
      <c r="U213" s="16">
        <v>0</v>
      </c>
      <c r="V213" s="16">
        <f t="shared" si="25"/>
        <v>0</v>
      </c>
      <c r="W213" s="16" t="e">
        <f t="shared" si="22"/>
        <v>#DIV/0!</v>
      </c>
      <c r="X213" s="16" t="e">
        <f t="shared" si="23"/>
        <v>#DIV/0!</v>
      </c>
      <c r="Y213" s="16" t="e">
        <f t="shared" si="27"/>
        <v>#DIV/0!</v>
      </c>
      <c r="Z213" s="16" t="e">
        <f t="shared" si="26"/>
        <v>#DIV/0!</v>
      </c>
      <c r="AA213" s="16" t="e">
        <f>$K213/$H213</f>
        <v>#DIV/0!</v>
      </c>
      <c r="AB213" s="16">
        <f t="shared" si="24"/>
        <v>0</v>
      </c>
    </row>
    <row r="214" spans="1:28" x14ac:dyDescent="0.2">
      <c r="A214" s="15" t="s">
        <v>1111</v>
      </c>
      <c r="B214" s="15" t="s">
        <v>43</v>
      </c>
      <c r="C214" s="15">
        <v>27</v>
      </c>
      <c r="D214" s="15">
        <v>1</v>
      </c>
      <c r="E214" s="15" t="s">
        <v>218</v>
      </c>
      <c r="F214" s="15" t="s">
        <v>1075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  <c r="O214" s="15">
        <v>0</v>
      </c>
      <c r="P214" s="15">
        <v>0</v>
      </c>
      <c r="Q214" s="15">
        <v>0</v>
      </c>
      <c r="R214" s="15">
        <v>0</v>
      </c>
      <c r="S214" s="15">
        <v>0</v>
      </c>
      <c r="T214" s="15">
        <v>0</v>
      </c>
      <c r="U214" s="15">
        <v>0</v>
      </c>
      <c r="V214" s="15">
        <f t="shared" si="25"/>
        <v>0</v>
      </c>
      <c r="W214" s="15" t="e">
        <f t="shared" si="22"/>
        <v>#DIV/0!</v>
      </c>
      <c r="X214" s="15" t="e">
        <f t="shared" si="23"/>
        <v>#DIV/0!</v>
      </c>
      <c r="Y214" s="15" t="e">
        <f t="shared" si="27"/>
        <v>#DIV/0!</v>
      </c>
      <c r="Z214" s="15" t="e">
        <f t="shared" si="26"/>
        <v>#DIV/0!</v>
      </c>
      <c r="AA214" s="15" t="e">
        <f>$K214/$H214</f>
        <v>#DIV/0!</v>
      </c>
      <c r="AB214" s="15">
        <f t="shared" si="24"/>
        <v>0</v>
      </c>
    </row>
    <row r="215" spans="1:28" x14ac:dyDescent="0.2">
      <c r="A215" s="16" t="s">
        <v>1112</v>
      </c>
      <c r="B215" s="16" t="s">
        <v>43</v>
      </c>
      <c r="C215" s="16">
        <v>26</v>
      </c>
      <c r="D215" s="16">
        <v>5</v>
      </c>
      <c r="E215" s="16" t="s">
        <v>1113</v>
      </c>
      <c r="F215" s="16" t="s">
        <v>1075</v>
      </c>
      <c r="G215" s="16">
        <v>0</v>
      </c>
      <c r="H215" s="16">
        <v>0</v>
      </c>
      <c r="I215" s="16">
        <v>0</v>
      </c>
      <c r="J215" s="16">
        <v>0</v>
      </c>
      <c r="K215" s="16">
        <v>0</v>
      </c>
      <c r="L215" s="16">
        <v>0</v>
      </c>
      <c r="M215" s="16">
        <v>0</v>
      </c>
      <c r="N215" s="16">
        <v>0</v>
      </c>
      <c r="O215" s="16">
        <v>0</v>
      </c>
      <c r="P215" s="16">
        <v>0</v>
      </c>
      <c r="Q215" s="16">
        <v>0</v>
      </c>
      <c r="R215" s="16">
        <v>0</v>
      </c>
      <c r="S215" s="16">
        <v>0</v>
      </c>
      <c r="T215" s="16">
        <v>0</v>
      </c>
      <c r="U215" s="16">
        <v>0</v>
      </c>
      <c r="V215" s="16">
        <f t="shared" si="25"/>
        <v>0</v>
      </c>
      <c r="W215" s="16" t="e">
        <f t="shared" si="22"/>
        <v>#DIV/0!</v>
      </c>
      <c r="X215" s="16" t="e">
        <f t="shared" si="23"/>
        <v>#DIV/0!</v>
      </c>
      <c r="Y215" s="16" t="e">
        <f t="shared" si="27"/>
        <v>#DIV/0!</v>
      </c>
      <c r="Z215" s="16" t="e">
        <f t="shared" si="26"/>
        <v>#DIV/0!</v>
      </c>
      <c r="AA215" s="16" t="e">
        <f>$K215/$H215</f>
        <v>#DIV/0!</v>
      </c>
      <c r="AB215" s="16">
        <f t="shared" si="24"/>
        <v>0</v>
      </c>
    </row>
    <row r="216" spans="1:28" x14ac:dyDescent="0.2">
      <c r="A216" s="15" t="s">
        <v>1114</v>
      </c>
      <c r="B216" s="15" t="s">
        <v>43</v>
      </c>
      <c r="C216" s="15">
        <v>27</v>
      </c>
      <c r="D216" s="15">
        <v>5</v>
      </c>
      <c r="E216" s="15" t="s">
        <v>458</v>
      </c>
      <c r="F216" s="15" t="s">
        <v>1075</v>
      </c>
      <c r="G216" s="15">
        <v>0</v>
      </c>
      <c r="H216" s="15">
        <v>0</v>
      </c>
      <c r="I216" s="15">
        <v>0</v>
      </c>
      <c r="J216" s="15">
        <v>0</v>
      </c>
      <c r="K216" s="15">
        <v>0</v>
      </c>
      <c r="L216" s="15">
        <v>0</v>
      </c>
      <c r="M216" s="15">
        <v>0</v>
      </c>
      <c r="N216" s="15">
        <v>0</v>
      </c>
      <c r="O216" s="15">
        <v>0</v>
      </c>
      <c r="P216" s="15">
        <v>0</v>
      </c>
      <c r="Q216" s="15">
        <v>0</v>
      </c>
      <c r="R216" s="15">
        <v>0</v>
      </c>
      <c r="S216" s="15">
        <v>0</v>
      </c>
      <c r="T216" s="15">
        <v>0</v>
      </c>
      <c r="U216" s="15">
        <v>0</v>
      </c>
      <c r="V216" s="15">
        <f t="shared" si="25"/>
        <v>0</v>
      </c>
      <c r="W216" s="15" t="e">
        <f t="shared" si="22"/>
        <v>#DIV/0!</v>
      </c>
      <c r="X216" s="15" t="e">
        <f t="shared" si="23"/>
        <v>#DIV/0!</v>
      </c>
      <c r="Y216" s="15" t="e">
        <f t="shared" si="27"/>
        <v>#DIV/0!</v>
      </c>
      <c r="Z216" s="15" t="e">
        <f t="shared" si="26"/>
        <v>#DIV/0!</v>
      </c>
      <c r="AA216" s="15" t="e">
        <f>$K216/$H216</f>
        <v>#DIV/0!</v>
      </c>
      <c r="AB216" s="15">
        <f t="shared" si="24"/>
        <v>0</v>
      </c>
    </row>
    <row r="217" spans="1:28" x14ac:dyDescent="0.2">
      <c r="A217" s="16" t="s">
        <v>1115</v>
      </c>
      <c r="B217" s="16" t="s">
        <v>43</v>
      </c>
      <c r="C217" s="16">
        <v>27</v>
      </c>
      <c r="D217" s="16">
        <v>6</v>
      </c>
      <c r="E217" s="16" t="s">
        <v>153</v>
      </c>
      <c r="F217" s="16" t="s">
        <v>1075</v>
      </c>
      <c r="G217" s="16">
        <v>0</v>
      </c>
      <c r="H217" s="16">
        <v>0</v>
      </c>
      <c r="I217" s="16">
        <v>0</v>
      </c>
      <c r="J217" s="16">
        <v>0</v>
      </c>
      <c r="K217" s="16">
        <v>0</v>
      </c>
      <c r="L217" s="16">
        <v>0</v>
      </c>
      <c r="M217" s="16">
        <v>0</v>
      </c>
      <c r="N217" s="16">
        <v>0</v>
      </c>
      <c r="O217" s="16">
        <v>0</v>
      </c>
      <c r="P217" s="16">
        <v>0</v>
      </c>
      <c r="Q217" s="16">
        <v>0</v>
      </c>
      <c r="R217" s="16">
        <v>0</v>
      </c>
      <c r="S217" s="16">
        <v>0</v>
      </c>
      <c r="T217" s="16">
        <v>0</v>
      </c>
      <c r="U217" s="16">
        <v>0</v>
      </c>
      <c r="V217" s="16">
        <f t="shared" si="25"/>
        <v>0</v>
      </c>
      <c r="W217" s="16" t="e">
        <f t="shared" si="22"/>
        <v>#DIV/0!</v>
      </c>
      <c r="X217" s="16" t="e">
        <f t="shared" si="23"/>
        <v>#DIV/0!</v>
      </c>
      <c r="Y217" s="16" t="e">
        <f t="shared" si="27"/>
        <v>#DIV/0!</v>
      </c>
      <c r="Z217" s="16" t="e">
        <f t="shared" si="26"/>
        <v>#DIV/0!</v>
      </c>
      <c r="AA217" s="16" t="e">
        <f>$K217/$H217</f>
        <v>#DIV/0!</v>
      </c>
      <c r="AB217" s="16">
        <f t="shared" si="24"/>
        <v>0</v>
      </c>
    </row>
    <row r="218" spans="1:28" x14ac:dyDescent="0.2">
      <c r="A218" s="15" t="s">
        <v>1116</v>
      </c>
      <c r="B218" s="15" t="s">
        <v>43</v>
      </c>
      <c r="C218" s="15">
        <v>22</v>
      </c>
      <c r="D218" s="15">
        <v>0</v>
      </c>
      <c r="E218" s="15" t="s">
        <v>136</v>
      </c>
      <c r="F218" s="15" t="s">
        <v>1075</v>
      </c>
      <c r="G218" s="15">
        <v>0</v>
      </c>
      <c r="H218" s="15">
        <v>0</v>
      </c>
      <c r="I218" s="15">
        <v>0</v>
      </c>
      <c r="J218" s="15">
        <v>0</v>
      </c>
      <c r="K218" s="15">
        <v>0</v>
      </c>
      <c r="L218" s="15">
        <v>0</v>
      </c>
      <c r="M218" s="15">
        <v>0</v>
      </c>
      <c r="N218" s="15">
        <v>0</v>
      </c>
      <c r="O218" s="15">
        <v>0</v>
      </c>
      <c r="P218" s="15">
        <v>0</v>
      </c>
      <c r="Q218" s="15">
        <v>0</v>
      </c>
      <c r="R218" s="15">
        <v>0</v>
      </c>
      <c r="S218" s="15">
        <v>0</v>
      </c>
      <c r="T218" s="15">
        <v>0</v>
      </c>
      <c r="U218" s="15">
        <v>0</v>
      </c>
      <c r="V218" s="15">
        <f t="shared" si="25"/>
        <v>0</v>
      </c>
      <c r="W218" s="15" t="e">
        <f t="shared" si="22"/>
        <v>#DIV/0!</v>
      </c>
      <c r="X218" s="15" t="e">
        <f t="shared" si="23"/>
        <v>#DIV/0!</v>
      </c>
      <c r="Y218" s="15" t="e">
        <f t="shared" si="27"/>
        <v>#DIV/0!</v>
      </c>
      <c r="Z218" s="15" t="e">
        <f t="shared" si="26"/>
        <v>#DIV/0!</v>
      </c>
      <c r="AA218" s="15" t="e">
        <f>$K218/$H218</f>
        <v>#DIV/0!</v>
      </c>
      <c r="AB218" s="15">
        <f t="shared" si="24"/>
        <v>0</v>
      </c>
    </row>
    <row r="219" spans="1:28" x14ac:dyDescent="0.2">
      <c r="A219" s="16" t="s">
        <v>1117</v>
      </c>
      <c r="B219" s="16" t="s">
        <v>43</v>
      </c>
      <c r="C219" s="16">
        <v>26</v>
      </c>
      <c r="D219" s="16">
        <v>1</v>
      </c>
      <c r="E219" s="16" t="s">
        <v>1118</v>
      </c>
      <c r="F219" s="16" t="s">
        <v>1075</v>
      </c>
      <c r="G219" s="16">
        <v>0</v>
      </c>
      <c r="H219" s="16">
        <v>0</v>
      </c>
      <c r="I219" s="16">
        <v>0</v>
      </c>
      <c r="J219" s="16">
        <v>0</v>
      </c>
      <c r="K219" s="16">
        <v>0</v>
      </c>
      <c r="L219" s="16">
        <v>0</v>
      </c>
      <c r="M219" s="16">
        <v>0</v>
      </c>
      <c r="N219" s="16">
        <v>0</v>
      </c>
      <c r="O219" s="16">
        <v>0</v>
      </c>
      <c r="P219" s="16">
        <v>0</v>
      </c>
      <c r="Q219" s="16">
        <v>0</v>
      </c>
      <c r="R219" s="16">
        <v>0</v>
      </c>
      <c r="S219" s="16">
        <v>0</v>
      </c>
      <c r="T219" s="16">
        <v>0</v>
      </c>
      <c r="U219" s="16">
        <v>0</v>
      </c>
      <c r="V219" s="16">
        <f t="shared" si="25"/>
        <v>0</v>
      </c>
      <c r="W219" s="16" t="e">
        <f t="shared" si="22"/>
        <v>#DIV/0!</v>
      </c>
      <c r="X219" s="16" t="e">
        <f t="shared" si="23"/>
        <v>#DIV/0!</v>
      </c>
      <c r="Y219" s="16" t="e">
        <f t="shared" si="27"/>
        <v>#DIV/0!</v>
      </c>
      <c r="Z219" s="16" t="e">
        <f t="shared" si="26"/>
        <v>#DIV/0!</v>
      </c>
      <c r="AA219" s="16" t="e">
        <f>$K219/$H219</f>
        <v>#DIV/0!</v>
      </c>
      <c r="AB219" s="16">
        <f t="shared" si="24"/>
        <v>0</v>
      </c>
    </row>
    <row r="220" spans="1:28" x14ac:dyDescent="0.2">
      <c r="A220" s="15" t="s">
        <v>1154</v>
      </c>
      <c r="B220" s="15" t="s">
        <v>43</v>
      </c>
      <c r="C220" s="15">
        <v>27</v>
      </c>
      <c r="D220" s="15">
        <v>6</v>
      </c>
      <c r="E220" s="15" t="s">
        <v>397</v>
      </c>
      <c r="F220" s="15" t="s">
        <v>1127</v>
      </c>
      <c r="G220" s="15">
        <v>0</v>
      </c>
      <c r="H220" s="15">
        <v>0</v>
      </c>
      <c r="I220" s="15">
        <v>0</v>
      </c>
      <c r="J220" s="15">
        <v>0</v>
      </c>
      <c r="K220" s="15">
        <v>0</v>
      </c>
      <c r="L220" s="15">
        <v>0</v>
      </c>
      <c r="M220" s="15">
        <v>0</v>
      </c>
      <c r="N220" s="15">
        <v>0</v>
      </c>
      <c r="O220" s="15">
        <v>0</v>
      </c>
      <c r="P220" s="15">
        <v>0</v>
      </c>
      <c r="Q220" s="15">
        <v>0</v>
      </c>
      <c r="R220" s="15">
        <v>0</v>
      </c>
      <c r="S220" s="15">
        <v>0</v>
      </c>
      <c r="T220" s="15">
        <v>0</v>
      </c>
      <c r="U220" s="15">
        <v>0</v>
      </c>
      <c r="V220" s="15">
        <f t="shared" si="25"/>
        <v>0</v>
      </c>
      <c r="W220" s="15" t="e">
        <f t="shared" si="22"/>
        <v>#DIV/0!</v>
      </c>
      <c r="X220" s="15" t="e">
        <f t="shared" si="23"/>
        <v>#DIV/0!</v>
      </c>
      <c r="Y220" s="15" t="e">
        <f t="shared" si="27"/>
        <v>#DIV/0!</v>
      </c>
      <c r="Z220" s="15" t="e">
        <f t="shared" si="26"/>
        <v>#DIV/0!</v>
      </c>
      <c r="AA220" s="15" t="e">
        <f>$K220/$H220</f>
        <v>#DIV/0!</v>
      </c>
      <c r="AB220" s="15">
        <f t="shared" si="24"/>
        <v>0</v>
      </c>
    </row>
    <row r="221" spans="1:28" x14ac:dyDescent="0.2">
      <c r="A221" s="16" t="s">
        <v>1155</v>
      </c>
      <c r="B221" s="16" t="s">
        <v>43</v>
      </c>
      <c r="C221" s="16">
        <v>30</v>
      </c>
      <c r="D221" s="16">
        <v>8</v>
      </c>
      <c r="E221" s="16" t="s">
        <v>391</v>
      </c>
      <c r="F221" s="16" t="s">
        <v>1127</v>
      </c>
      <c r="G221" s="16">
        <v>0</v>
      </c>
      <c r="H221" s="16">
        <v>0</v>
      </c>
      <c r="I221" s="16">
        <v>0</v>
      </c>
      <c r="J221" s="16">
        <v>0</v>
      </c>
      <c r="K221" s="16">
        <v>0</v>
      </c>
      <c r="L221" s="16">
        <v>0</v>
      </c>
      <c r="M221" s="16">
        <v>0</v>
      </c>
      <c r="N221" s="16">
        <v>0</v>
      </c>
      <c r="O221" s="16">
        <v>0</v>
      </c>
      <c r="P221" s="16">
        <v>0</v>
      </c>
      <c r="Q221" s="16">
        <v>0</v>
      </c>
      <c r="R221" s="16">
        <v>0</v>
      </c>
      <c r="S221" s="16">
        <v>0</v>
      </c>
      <c r="T221" s="16">
        <v>0</v>
      </c>
      <c r="U221" s="16">
        <v>0</v>
      </c>
      <c r="V221" s="16">
        <f t="shared" si="25"/>
        <v>0</v>
      </c>
      <c r="W221" s="16" t="e">
        <f t="shared" si="22"/>
        <v>#DIV/0!</v>
      </c>
      <c r="X221" s="16" t="e">
        <f t="shared" si="23"/>
        <v>#DIV/0!</v>
      </c>
      <c r="Y221" s="16" t="e">
        <f t="shared" si="27"/>
        <v>#DIV/0!</v>
      </c>
      <c r="Z221" s="16" t="e">
        <f t="shared" si="26"/>
        <v>#DIV/0!</v>
      </c>
      <c r="AA221" s="16" t="e">
        <f>$K221/$H221</f>
        <v>#DIV/0!</v>
      </c>
      <c r="AB221" s="16">
        <f t="shared" si="24"/>
        <v>0</v>
      </c>
    </row>
    <row r="222" spans="1:28" x14ac:dyDescent="0.2">
      <c r="A222" s="15" t="s">
        <v>1156</v>
      </c>
      <c r="B222" s="15" t="s">
        <v>43</v>
      </c>
      <c r="C222" s="15">
        <v>24</v>
      </c>
      <c r="D222" s="15">
        <v>0</v>
      </c>
      <c r="E222" s="15" t="s">
        <v>629</v>
      </c>
      <c r="F222" s="15" t="s">
        <v>1127</v>
      </c>
      <c r="G222" s="15">
        <v>0</v>
      </c>
      <c r="H222" s="15">
        <v>0</v>
      </c>
      <c r="I222" s="15">
        <v>0</v>
      </c>
      <c r="J222" s="15">
        <v>0</v>
      </c>
      <c r="K222" s="15">
        <v>0</v>
      </c>
      <c r="L222" s="15">
        <v>0</v>
      </c>
      <c r="M222" s="15">
        <v>0</v>
      </c>
      <c r="N222" s="15">
        <v>0</v>
      </c>
      <c r="O222" s="15">
        <v>0</v>
      </c>
      <c r="P222" s="15">
        <v>0</v>
      </c>
      <c r="Q222" s="15">
        <v>0</v>
      </c>
      <c r="R222" s="15">
        <v>0</v>
      </c>
      <c r="S222" s="15">
        <v>0</v>
      </c>
      <c r="T222" s="15">
        <v>0</v>
      </c>
      <c r="U222" s="15">
        <v>0</v>
      </c>
      <c r="V222" s="15">
        <f t="shared" si="25"/>
        <v>0</v>
      </c>
      <c r="W222" s="15" t="e">
        <f t="shared" si="22"/>
        <v>#DIV/0!</v>
      </c>
      <c r="X222" s="15" t="e">
        <f t="shared" si="23"/>
        <v>#DIV/0!</v>
      </c>
      <c r="Y222" s="15" t="e">
        <f t="shared" si="27"/>
        <v>#DIV/0!</v>
      </c>
      <c r="Z222" s="15" t="e">
        <f t="shared" si="26"/>
        <v>#DIV/0!</v>
      </c>
      <c r="AA222" s="15" t="e">
        <f>$K222/$H222</f>
        <v>#DIV/0!</v>
      </c>
      <c r="AB222" s="15">
        <f t="shared" si="24"/>
        <v>0</v>
      </c>
    </row>
    <row r="223" spans="1:28" x14ac:dyDescent="0.2">
      <c r="A223" s="16" t="s">
        <v>1157</v>
      </c>
      <c r="B223" s="16" t="s">
        <v>43</v>
      </c>
      <c r="C223" s="16">
        <v>26</v>
      </c>
      <c r="D223" s="16">
        <v>5</v>
      </c>
      <c r="E223" s="16" t="s">
        <v>511</v>
      </c>
      <c r="F223" s="16" t="s">
        <v>1127</v>
      </c>
      <c r="G223" s="16">
        <v>0</v>
      </c>
      <c r="H223" s="16">
        <v>0</v>
      </c>
      <c r="I223" s="16">
        <v>0</v>
      </c>
      <c r="J223" s="16">
        <v>0</v>
      </c>
      <c r="K223" s="16">
        <v>0</v>
      </c>
      <c r="L223" s="16">
        <v>0</v>
      </c>
      <c r="M223" s="16">
        <v>0</v>
      </c>
      <c r="N223" s="16">
        <v>0</v>
      </c>
      <c r="O223" s="16">
        <v>0</v>
      </c>
      <c r="P223" s="16">
        <v>0</v>
      </c>
      <c r="Q223" s="16">
        <v>0</v>
      </c>
      <c r="R223" s="16">
        <v>0</v>
      </c>
      <c r="S223" s="16">
        <v>0</v>
      </c>
      <c r="T223" s="16">
        <v>0</v>
      </c>
      <c r="U223" s="16">
        <v>0</v>
      </c>
      <c r="V223" s="16">
        <f t="shared" si="25"/>
        <v>0</v>
      </c>
      <c r="W223" s="16" t="e">
        <f t="shared" si="22"/>
        <v>#DIV/0!</v>
      </c>
      <c r="X223" s="16" t="e">
        <f t="shared" si="23"/>
        <v>#DIV/0!</v>
      </c>
      <c r="Y223" s="16" t="e">
        <f t="shared" si="27"/>
        <v>#DIV/0!</v>
      </c>
      <c r="Z223" s="16" t="e">
        <f t="shared" si="26"/>
        <v>#DIV/0!</v>
      </c>
      <c r="AA223" s="16" t="e">
        <f>$K223/$H223</f>
        <v>#DIV/0!</v>
      </c>
      <c r="AB223" s="16">
        <f t="shared" si="24"/>
        <v>0</v>
      </c>
    </row>
    <row r="224" spans="1:28" x14ac:dyDescent="0.2">
      <c r="A224" s="15" t="s">
        <v>1158</v>
      </c>
      <c r="B224" s="15" t="s">
        <v>43</v>
      </c>
      <c r="C224" s="15">
        <v>28</v>
      </c>
      <c r="D224" s="15">
        <v>5</v>
      </c>
      <c r="E224" s="15" t="s">
        <v>294</v>
      </c>
      <c r="F224" s="15" t="s">
        <v>1127</v>
      </c>
      <c r="G224" s="15">
        <v>0</v>
      </c>
      <c r="H224" s="15">
        <v>0</v>
      </c>
      <c r="I224" s="15">
        <v>0</v>
      </c>
      <c r="J224" s="15">
        <v>0</v>
      </c>
      <c r="K224" s="15">
        <v>0</v>
      </c>
      <c r="L224" s="15">
        <v>0</v>
      </c>
      <c r="M224" s="15">
        <v>0</v>
      </c>
      <c r="N224" s="15">
        <v>0</v>
      </c>
      <c r="O224" s="15">
        <v>0</v>
      </c>
      <c r="P224" s="15">
        <v>0</v>
      </c>
      <c r="Q224" s="15">
        <v>0</v>
      </c>
      <c r="R224" s="15">
        <v>0</v>
      </c>
      <c r="S224" s="15">
        <v>0</v>
      </c>
      <c r="T224" s="15">
        <v>0</v>
      </c>
      <c r="U224" s="15">
        <v>0</v>
      </c>
      <c r="V224" s="15">
        <f t="shared" si="25"/>
        <v>0</v>
      </c>
      <c r="W224" s="15" t="e">
        <f t="shared" si="22"/>
        <v>#DIV/0!</v>
      </c>
      <c r="X224" s="15" t="e">
        <f t="shared" si="23"/>
        <v>#DIV/0!</v>
      </c>
      <c r="Y224" s="15" t="e">
        <f t="shared" si="27"/>
        <v>#DIV/0!</v>
      </c>
      <c r="Z224" s="15" t="e">
        <f t="shared" si="26"/>
        <v>#DIV/0!</v>
      </c>
      <c r="AA224" s="15" t="e">
        <f>$K224/$H224</f>
        <v>#DIV/0!</v>
      </c>
      <c r="AB224" s="15">
        <f t="shared" si="24"/>
        <v>0</v>
      </c>
    </row>
    <row r="225" spans="1:28" x14ac:dyDescent="0.2">
      <c r="A225" s="16" t="s">
        <v>1159</v>
      </c>
      <c r="B225" s="16" t="s">
        <v>43</v>
      </c>
      <c r="C225" s="16">
        <v>24</v>
      </c>
      <c r="D225" s="16">
        <v>0</v>
      </c>
      <c r="E225" s="16" t="s">
        <v>1068</v>
      </c>
      <c r="F225" s="16" t="s">
        <v>1127</v>
      </c>
      <c r="G225" s="16">
        <v>0</v>
      </c>
      <c r="H225" s="16">
        <v>0</v>
      </c>
      <c r="I225" s="16">
        <v>0</v>
      </c>
      <c r="J225" s="16">
        <v>0</v>
      </c>
      <c r="K225" s="16">
        <v>0</v>
      </c>
      <c r="L225" s="16">
        <v>0</v>
      </c>
      <c r="M225" s="16">
        <v>0</v>
      </c>
      <c r="N225" s="16">
        <v>0</v>
      </c>
      <c r="O225" s="16">
        <v>0</v>
      </c>
      <c r="P225" s="16">
        <v>0</v>
      </c>
      <c r="Q225" s="16">
        <v>0</v>
      </c>
      <c r="R225" s="16">
        <v>0</v>
      </c>
      <c r="S225" s="16">
        <v>0</v>
      </c>
      <c r="T225" s="16">
        <v>0</v>
      </c>
      <c r="U225" s="16">
        <v>0</v>
      </c>
      <c r="V225" s="16">
        <f t="shared" si="25"/>
        <v>0</v>
      </c>
      <c r="W225" s="16" t="e">
        <f t="shared" si="22"/>
        <v>#DIV/0!</v>
      </c>
      <c r="X225" s="16" t="e">
        <f t="shared" si="23"/>
        <v>#DIV/0!</v>
      </c>
      <c r="Y225" s="16" t="e">
        <f t="shared" si="27"/>
        <v>#DIV/0!</v>
      </c>
      <c r="Z225" s="16" t="e">
        <f t="shared" si="26"/>
        <v>#DIV/0!</v>
      </c>
      <c r="AA225" s="16" t="e">
        <f>$K225/$H225</f>
        <v>#DIV/0!</v>
      </c>
      <c r="AB225" s="16">
        <f t="shared" si="24"/>
        <v>0</v>
      </c>
    </row>
    <row r="226" spans="1:28" x14ac:dyDescent="0.2">
      <c r="A226" s="15" t="s">
        <v>1160</v>
      </c>
      <c r="B226" s="15" t="s">
        <v>43</v>
      </c>
      <c r="C226" s="15">
        <v>23</v>
      </c>
      <c r="D226" s="15">
        <v>2</v>
      </c>
      <c r="E226" s="15" t="s">
        <v>511</v>
      </c>
      <c r="F226" s="15" t="s">
        <v>1127</v>
      </c>
      <c r="G226" s="15">
        <v>0</v>
      </c>
      <c r="H226" s="15">
        <v>0</v>
      </c>
      <c r="I226" s="15">
        <v>0</v>
      </c>
      <c r="J226" s="15">
        <v>0</v>
      </c>
      <c r="K226" s="15">
        <v>0</v>
      </c>
      <c r="L226" s="15">
        <v>0</v>
      </c>
      <c r="M226" s="15">
        <v>0</v>
      </c>
      <c r="N226" s="15">
        <v>0</v>
      </c>
      <c r="O226" s="15">
        <v>0</v>
      </c>
      <c r="P226" s="15">
        <v>0</v>
      </c>
      <c r="Q226" s="15">
        <v>0</v>
      </c>
      <c r="R226" s="15">
        <v>0</v>
      </c>
      <c r="S226" s="15">
        <v>0</v>
      </c>
      <c r="T226" s="15">
        <v>0</v>
      </c>
      <c r="U226" s="15">
        <v>0</v>
      </c>
      <c r="V226" s="15">
        <f t="shared" si="25"/>
        <v>0</v>
      </c>
      <c r="W226" s="15" t="e">
        <f t="shared" si="22"/>
        <v>#DIV/0!</v>
      </c>
      <c r="X226" s="15" t="e">
        <f t="shared" si="23"/>
        <v>#DIV/0!</v>
      </c>
      <c r="Y226" s="15" t="e">
        <f t="shared" si="27"/>
        <v>#DIV/0!</v>
      </c>
      <c r="Z226" s="15" t="e">
        <f t="shared" si="26"/>
        <v>#DIV/0!</v>
      </c>
      <c r="AA226" s="15" t="e">
        <f>$K226/$H226</f>
        <v>#DIV/0!</v>
      </c>
      <c r="AB226" s="15">
        <f t="shared" si="24"/>
        <v>0</v>
      </c>
    </row>
    <row r="227" spans="1:28" x14ac:dyDescent="0.2">
      <c r="A227" s="16" t="s">
        <v>1161</v>
      </c>
      <c r="B227" s="16" t="s">
        <v>43</v>
      </c>
      <c r="C227" s="16">
        <v>29</v>
      </c>
      <c r="D227" s="16">
        <v>8</v>
      </c>
      <c r="E227" s="16" t="s">
        <v>1162</v>
      </c>
      <c r="F227" s="16" t="s">
        <v>1127</v>
      </c>
      <c r="G227" s="16">
        <v>0</v>
      </c>
      <c r="H227" s="16">
        <v>0</v>
      </c>
      <c r="I227" s="16">
        <v>0</v>
      </c>
      <c r="J227" s="16">
        <v>0</v>
      </c>
      <c r="K227" s="16">
        <v>0</v>
      </c>
      <c r="L227" s="16">
        <v>0</v>
      </c>
      <c r="M227" s="16">
        <v>0</v>
      </c>
      <c r="N227" s="16">
        <v>0</v>
      </c>
      <c r="O227" s="16">
        <v>0</v>
      </c>
      <c r="P227" s="16">
        <v>0</v>
      </c>
      <c r="Q227" s="16">
        <v>0</v>
      </c>
      <c r="R227" s="16">
        <v>0</v>
      </c>
      <c r="S227" s="16">
        <v>0</v>
      </c>
      <c r="T227" s="16">
        <v>0</v>
      </c>
      <c r="U227" s="16">
        <v>0</v>
      </c>
      <c r="V227" s="16">
        <f t="shared" si="25"/>
        <v>0</v>
      </c>
      <c r="W227" s="16" t="e">
        <f t="shared" si="22"/>
        <v>#DIV/0!</v>
      </c>
      <c r="X227" s="16" t="e">
        <f t="shared" si="23"/>
        <v>#DIV/0!</v>
      </c>
      <c r="Y227" s="16" t="e">
        <f t="shared" si="27"/>
        <v>#DIV/0!</v>
      </c>
      <c r="Z227" s="16" t="e">
        <f t="shared" si="26"/>
        <v>#DIV/0!</v>
      </c>
      <c r="AA227" s="16" t="e">
        <f>$K227/$H227</f>
        <v>#DIV/0!</v>
      </c>
      <c r="AB227" s="16">
        <f t="shared" si="24"/>
        <v>0</v>
      </c>
    </row>
    <row r="228" spans="1:28" x14ac:dyDescent="0.2">
      <c r="A228" s="15" t="s">
        <v>1163</v>
      </c>
      <c r="B228" s="15" t="s">
        <v>43</v>
      </c>
      <c r="C228" s="15">
        <v>24</v>
      </c>
      <c r="D228" s="15">
        <v>1</v>
      </c>
      <c r="E228" s="15" t="s">
        <v>240</v>
      </c>
      <c r="F228" s="15" t="s">
        <v>1127</v>
      </c>
      <c r="G228" s="15">
        <v>0</v>
      </c>
      <c r="H228" s="15">
        <v>0</v>
      </c>
      <c r="I228" s="15">
        <v>0</v>
      </c>
      <c r="J228" s="15">
        <v>0</v>
      </c>
      <c r="K228" s="15">
        <v>0</v>
      </c>
      <c r="L228" s="15">
        <v>0</v>
      </c>
      <c r="M228" s="15">
        <v>0</v>
      </c>
      <c r="N228" s="15">
        <v>0</v>
      </c>
      <c r="O228" s="15">
        <v>0</v>
      </c>
      <c r="P228" s="15">
        <v>0</v>
      </c>
      <c r="Q228" s="15">
        <v>0</v>
      </c>
      <c r="R228" s="15">
        <v>0</v>
      </c>
      <c r="S228" s="15">
        <v>0</v>
      </c>
      <c r="T228" s="15">
        <v>0</v>
      </c>
      <c r="U228" s="15">
        <v>0</v>
      </c>
      <c r="V228" s="15">
        <f t="shared" si="25"/>
        <v>0</v>
      </c>
      <c r="W228" s="15" t="e">
        <f t="shared" si="22"/>
        <v>#DIV/0!</v>
      </c>
      <c r="X228" s="15" t="e">
        <f t="shared" si="23"/>
        <v>#DIV/0!</v>
      </c>
      <c r="Y228" s="15" t="e">
        <f t="shared" si="27"/>
        <v>#DIV/0!</v>
      </c>
      <c r="Z228" s="15" t="e">
        <f t="shared" si="26"/>
        <v>#DIV/0!</v>
      </c>
      <c r="AA228" s="15" t="e">
        <f>$K228/$H228</f>
        <v>#DIV/0!</v>
      </c>
      <c r="AB228" s="15">
        <f t="shared" si="24"/>
        <v>0</v>
      </c>
    </row>
    <row r="229" spans="1:28" x14ac:dyDescent="0.2">
      <c r="A229" s="16" t="s">
        <v>1164</v>
      </c>
      <c r="B229" s="16" t="s">
        <v>43</v>
      </c>
      <c r="C229" s="16">
        <v>24</v>
      </c>
      <c r="D229" s="16">
        <v>3</v>
      </c>
      <c r="E229" s="16" t="s">
        <v>153</v>
      </c>
      <c r="F229" s="16" t="s">
        <v>1127</v>
      </c>
      <c r="G229" s="16">
        <v>0</v>
      </c>
      <c r="H229" s="16">
        <v>0</v>
      </c>
      <c r="I229" s="16">
        <v>0</v>
      </c>
      <c r="J229" s="16">
        <v>0</v>
      </c>
      <c r="K229" s="16">
        <v>0</v>
      </c>
      <c r="L229" s="16">
        <v>0</v>
      </c>
      <c r="M229" s="16">
        <v>0</v>
      </c>
      <c r="N229" s="16">
        <v>0</v>
      </c>
      <c r="O229" s="16">
        <v>0</v>
      </c>
      <c r="P229" s="16">
        <v>0</v>
      </c>
      <c r="Q229" s="16">
        <v>0</v>
      </c>
      <c r="R229" s="16">
        <v>0</v>
      </c>
      <c r="S229" s="16">
        <v>0</v>
      </c>
      <c r="T229" s="16">
        <v>0</v>
      </c>
      <c r="U229" s="16">
        <v>0</v>
      </c>
      <c r="V229" s="16">
        <f t="shared" si="25"/>
        <v>0</v>
      </c>
      <c r="W229" s="16" t="e">
        <f t="shared" si="22"/>
        <v>#DIV/0!</v>
      </c>
      <c r="X229" s="16" t="e">
        <f t="shared" si="23"/>
        <v>#DIV/0!</v>
      </c>
      <c r="Y229" s="16" t="e">
        <f t="shared" si="27"/>
        <v>#DIV/0!</v>
      </c>
      <c r="Z229" s="16" t="e">
        <f t="shared" si="26"/>
        <v>#DIV/0!</v>
      </c>
      <c r="AA229" s="16" t="e">
        <f>$K229/$H229</f>
        <v>#DIV/0!</v>
      </c>
      <c r="AB229" s="16">
        <f t="shared" si="24"/>
        <v>0</v>
      </c>
    </row>
    <row r="230" spans="1:28" x14ac:dyDescent="0.2">
      <c r="A230" s="15" t="s">
        <v>1201</v>
      </c>
      <c r="B230" s="15" t="s">
        <v>43</v>
      </c>
      <c r="C230" s="15">
        <v>21</v>
      </c>
      <c r="D230" s="15">
        <v>0</v>
      </c>
      <c r="E230" s="15" t="s">
        <v>78</v>
      </c>
      <c r="F230" s="15" t="s">
        <v>1176</v>
      </c>
      <c r="G230" s="15">
        <v>0</v>
      </c>
      <c r="H230" s="15">
        <v>0</v>
      </c>
      <c r="I230" s="15">
        <v>0</v>
      </c>
      <c r="J230" s="15">
        <v>0</v>
      </c>
      <c r="K230" s="15">
        <v>0</v>
      </c>
      <c r="L230" s="15">
        <v>0</v>
      </c>
      <c r="M230" s="15">
        <v>0</v>
      </c>
      <c r="N230" s="15">
        <v>0</v>
      </c>
      <c r="O230" s="15">
        <v>0</v>
      </c>
      <c r="P230" s="15">
        <v>0</v>
      </c>
      <c r="Q230" s="15">
        <v>0</v>
      </c>
      <c r="R230" s="15">
        <v>0</v>
      </c>
      <c r="S230" s="15">
        <v>0</v>
      </c>
      <c r="T230" s="15">
        <v>0</v>
      </c>
      <c r="U230" s="15">
        <v>0</v>
      </c>
      <c r="V230" s="15">
        <f t="shared" si="25"/>
        <v>0</v>
      </c>
      <c r="W230" s="15" t="e">
        <f t="shared" si="22"/>
        <v>#DIV/0!</v>
      </c>
      <c r="X230" s="15" t="e">
        <f t="shared" si="23"/>
        <v>#DIV/0!</v>
      </c>
      <c r="Y230" s="15" t="e">
        <f t="shared" si="27"/>
        <v>#DIV/0!</v>
      </c>
      <c r="Z230" s="15" t="e">
        <f t="shared" si="26"/>
        <v>#DIV/0!</v>
      </c>
      <c r="AA230" s="15" t="e">
        <f>$K230/$H230</f>
        <v>#DIV/0!</v>
      </c>
      <c r="AB230" s="15">
        <f t="shared" si="24"/>
        <v>0</v>
      </c>
    </row>
    <row r="231" spans="1:28" x14ac:dyDescent="0.2">
      <c r="A231" s="16" t="s">
        <v>1202</v>
      </c>
      <c r="B231" s="16" t="s">
        <v>43</v>
      </c>
      <c r="C231" s="16">
        <v>24</v>
      </c>
      <c r="D231" s="16">
        <v>1</v>
      </c>
      <c r="E231" s="16" t="s">
        <v>232</v>
      </c>
      <c r="F231" s="16" t="s">
        <v>1176</v>
      </c>
      <c r="G231" s="16">
        <v>0</v>
      </c>
      <c r="H231" s="16">
        <v>0</v>
      </c>
      <c r="I231" s="16">
        <v>0</v>
      </c>
      <c r="J231" s="16">
        <v>0</v>
      </c>
      <c r="K231" s="16">
        <v>0</v>
      </c>
      <c r="L231" s="16">
        <v>0</v>
      </c>
      <c r="M231" s="16">
        <v>0</v>
      </c>
      <c r="N231" s="16">
        <v>0</v>
      </c>
      <c r="O231" s="16">
        <v>0</v>
      </c>
      <c r="P231" s="16">
        <v>0</v>
      </c>
      <c r="Q231" s="16">
        <v>0</v>
      </c>
      <c r="R231" s="16">
        <v>0</v>
      </c>
      <c r="S231" s="16">
        <v>0</v>
      </c>
      <c r="T231" s="16">
        <v>0</v>
      </c>
      <c r="U231" s="16">
        <v>0</v>
      </c>
      <c r="V231" s="16">
        <f t="shared" si="25"/>
        <v>0</v>
      </c>
      <c r="W231" s="16" t="e">
        <f t="shared" si="22"/>
        <v>#DIV/0!</v>
      </c>
      <c r="X231" s="16" t="e">
        <f t="shared" si="23"/>
        <v>#DIV/0!</v>
      </c>
      <c r="Y231" s="16" t="e">
        <f t="shared" si="27"/>
        <v>#DIV/0!</v>
      </c>
      <c r="Z231" s="16" t="e">
        <f t="shared" si="26"/>
        <v>#DIV/0!</v>
      </c>
      <c r="AA231" s="16" t="e">
        <f>$K231/$H231</f>
        <v>#DIV/0!</v>
      </c>
      <c r="AB231" s="16">
        <f t="shared" si="24"/>
        <v>0</v>
      </c>
    </row>
    <row r="232" spans="1:28" x14ac:dyDescent="0.2">
      <c r="A232" s="15" t="s">
        <v>1203</v>
      </c>
      <c r="B232" s="15" t="s">
        <v>43</v>
      </c>
      <c r="C232" s="15">
        <v>25</v>
      </c>
      <c r="D232" s="15">
        <v>5</v>
      </c>
      <c r="E232" s="15" t="s">
        <v>155</v>
      </c>
      <c r="F232" s="15" t="s">
        <v>1176</v>
      </c>
      <c r="G232" s="15">
        <v>0</v>
      </c>
      <c r="H232" s="15">
        <v>0</v>
      </c>
      <c r="I232" s="15">
        <v>0</v>
      </c>
      <c r="J232" s="15">
        <v>0</v>
      </c>
      <c r="K232" s="15">
        <v>0</v>
      </c>
      <c r="L232" s="15">
        <v>0</v>
      </c>
      <c r="M232" s="15">
        <v>0</v>
      </c>
      <c r="N232" s="15">
        <v>0</v>
      </c>
      <c r="O232" s="15">
        <v>0</v>
      </c>
      <c r="P232" s="15">
        <v>0</v>
      </c>
      <c r="Q232" s="15">
        <v>0</v>
      </c>
      <c r="R232" s="15">
        <v>0</v>
      </c>
      <c r="S232" s="15">
        <v>0</v>
      </c>
      <c r="T232" s="15">
        <v>0</v>
      </c>
      <c r="U232" s="15">
        <v>0</v>
      </c>
      <c r="V232" s="15">
        <f t="shared" si="25"/>
        <v>0</v>
      </c>
      <c r="W232" s="15" t="e">
        <f t="shared" si="22"/>
        <v>#DIV/0!</v>
      </c>
      <c r="X232" s="15" t="e">
        <f t="shared" si="23"/>
        <v>#DIV/0!</v>
      </c>
      <c r="Y232" s="15" t="e">
        <f t="shared" si="27"/>
        <v>#DIV/0!</v>
      </c>
      <c r="Z232" s="15" t="e">
        <f t="shared" si="26"/>
        <v>#DIV/0!</v>
      </c>
      <c r="AA232" s="15" t="e">
        <f>$K232/$H232</f>
        <v>#DIV/0!</v>
      </c>
      <c r="AB232" s="15">
        <f t="shared" si="24"/>
        <v>0</v>
      </c>
    </row>
    <row r="233" spans="1:28" x14ac:dyDescent="0.2">
      <c r="A233" s="16" t="s">
        <v>1204</v>
      </c>
      <c r="B233" s="16" t="s">
        <v>43</v>
      </c>
      <c r="C233" s="16">
        <v>26</v>
      </c>
      <c r="D233" s="16">
        <v>0</v>
      </c>
      <c r="E233" s="16" t="s">
        <v>1068</v>
      </c>
      <c r="F233" s="16" t="s">
        <v>1176</v>
      </c>
      <c r="G233" s="16">
        <v>0</v>
      </c>
      <c r="H233" s="16">
        <v>0</v>
      </c>
      <c r="I233" s="16">
        <v>0</v>
      </c>
      <c r="J233" s="16">
        <v>0</v>
      </c>
      <c r="K233" s="16">
        <v>0</v>
      </c>
      <c r="L233" s="16">
        <v>0</v>
      </c>
      <c r="M233" s="16">
        <v>0</v>
      </c>
      <c r="N233" s="16">
        <v>0</v>
      </c>
      <c r="O233" s="16">
        <v>0</v>
      </c>
      <c r="P233" s="16">
        <v>0</v>
      </c>
      <c r="Q233" s="16">
        <v>0</v>
      </c>
      <c r="R233" s="16">
        <v>0</v>
      </c>
      <c r="S233" s="16">
        <v>0</v>
      </c>
      <c r="T233" s="16">
        <v>0</v>
      </c>
      <c r="U233" s="16">
        <v>0</v>
      </c>
      <c r="V233" s="16">
        <f t="shared" si="25"/>
        <v>0</v>
      </c>
      <c r="W233" s="16" t="e">
        <f t="shared" si="22"/>
        <v>#DIV/0!</v>
      </c>
      <c r="X233" s="16" t="e">
        <f t="shared" si="23"/>
        <v>#DIV/0!</v>
      </c>
      <c r="Y233" s="16" t="e">
        <f t="shared" si="27"/>
        <v>#DIV/0!</v>
      </c>
      <c r="Z233" s="16" t="e">
        <f t="shared" si="26"/>
        <v>#DIV/0!</v>
      </c>
      <c r="AA233" s="16" t="e">
        <f>$K233/$H233</f>
        <v>#DIV/0!</v>
      </c>
      <c r="AB233" s="16">
        <f t="shared" si="24"/>
        <v>0</v>
      </c>
    </row>
    <row r="234" spans="1:28" x14ac:dyDescent="0.2">
      <c r="A234" s="15" t="s">
        <v>1205</v>
      </c>
      <c r="B234" s="15" t="s">
        <v>43</v>
      </c>
      <c r="C234" s="15">
        <v>25</v>
      </c>
      <c r="D234" s="15">
        <v>2</v>
      </c>
      <c r="E234" s="15" t="s">
        <v>1206</v>
      </c>
      <c r="F234" s="15" t="s">
        <v>1176</v>
      </c>
      <c r="G234" s="15">
        <v>0</v>
      </c>
      <c r="H234" s="15">
        <v>0</v>
      </c>
      <c r="I234" s="15">
        <v>0</v>
      </c>
      <c r="J234" s="15">
        <v>0</v>
      </c>
      <c r="K234" s="15">
        <v>0</v>
      </c>
      <c r="L234" s="15">
        <v>0</v>
      </c>
      <c r="M234" s="15">
        <v>0</v>
      </c>
      <c r="N234" s="15">
        <v>0</v>
      </c>
      <c r="O234" s="15">
        <v>0</v>
      </c>
      <c r="P234" s="15">
        <v>0</v>
      </c>
      <c r="Q234" s="15">
        <v>0</v>
      </c>
      <c r="R234" s="15">
        <v>0</v>
      </c>
      <c r="S234" s="15">
        <v>0</v>
      </c>
      <c r="T234" s="15">
        <v>0</v>
      </c>
      <c r="U234" s="15">
        <v>0</v>
      </c>
      <c r="V234" s="15">
        <f t="shared" si="25"/>
        <v>0</v>
      </c>
      <c r="W234" s="15" t="e">
        <f t="shared" si="22"/>
        <v>#DIV/0!</v>
      </c>
      <c r="X234" s="15" t="e">
        <f t="shared" si="23"/>
        <v>#DIV/0!</v>
      </c>
      <c r="Y234" s="15" t="e">
        <f t="shared" si="27"/>
        <v>#DIV/0!</v>
      </c>
      <c r="Z234" s="15" t="e">
        <f t="shared" si="26"/>
        <v>#DIV/0!</v>
      </c>
      <c r="AA234" s="15" t="e">
        <f>$K234/$H234</f>
        <v>#DIV/0!</v>
      </c>
      <c r="AB234" s="15">
        <f t="shared" si="24"/>
        <v>0</v>
      </c>
    </row>
    <row r="235" spans="1:28" x14ac:dyDescent="0.2">
      <c r="A235" s="16" t="s">
        <v>1207</v>
      </c>
      <c r="B235" s="16" t="s">
        <v>43</v>
      </c>
      <c r="C235" s="16">
        <v>24</v>
      </c>
      <c r="D235" s="16">
        <v>4</v>
      </c>
      <c r="E235" s="16" t="s">
        <v>227</v>
      </c>
      <c r="F235" s="16" t="s">
        <v>1176</v>
      </c>
      <c r="G235" s="16">
        <v>0</v>
      </c>
      <c r="H235" s="16">
        <v>0</v>
      </c>
      <c r="I235" s="16">
        <v>0</v>
      </c>
      <c r="J235" s="16">
        <v>0</v>
      </c>
      <c r="K235" s="16">
        <v>0</v>
      </c>
      <c r="L235" s="16">
        <v>0</v>
      </c>
      <c r="M235" s="16">
        <v>0</v>
      </c>
      <c r="N235" s="16">
        <v>0</v>
      </c>
      <c r="O235" s="16">
        <v>0</v>
      </c>
      <c r="P235" s="16">
        <v>0</v>
      </c>
      <c r="Q235" s="16">
        <v>0</v>
      </c>
      <c r="R235" s="16">
        <v>0</v>
      </c>
      <c r="S235" s="16">
        <v>0</v>
      </c>
      <c r="T235" s="16">
        <v>0</v>
      </c>
      <c r="U235" s="16">
        <v>0</v>
      </c>
      <c r="V235" s="16">
        <f t="shared" si="25"/>
        <v>0</v>
      </c>
      <c r="W235" s="16" t="e">
        <f t="shared" si="22"/>
        <v>#DIV/0!</v>
      </c>
      <c r="X235" s="16" t="e">
        <f t="shared" si="23"/>
        <v>#DIV/0!</v>
      </c>
      <c r="Y235" s="16" t="e">
        <f t="shared" si="27"/>
        <v>#DIV/0!</v>
      </c>
      <c r="Z235" s="16" t="e">
        <f t="shared" si="26"/>
        <v>#DIV/0!</v>
      </c>
      <c r="AA235" s="16" t="e">
        <f>$K235/$H235</f>
        <v>#DIV/0!</v>
      </c>
      <c r="AB235" s="16">
        <f t="shared" si="24"/>
        <v>0</v>
      </c>
    </row>
    <row r="236" spans="1:28" x14ac:dyDescent="0.2">
      <c r="A236" s="15" t="s">
        <v>1208</v>
      </c>
      <c r="B236" s="15" t="s">
        <v>43</v>
      </c>
      <c r="C236" s="15">
        <v>23</v>
      </c>
      <c r="D236" s="15">
        <v>0</v>
      </c>
      <c r="E236" s="15" t="s">
        <v>995</v>
      </c>
      <c r="F236" s="15" t="s">
        <v>1176</v>
      </c>
      <c r="G236" s="15">
        <v>0</v>
      </c>
      <c r="H236" s="15">
        <v>0</v>
      </c>
      <c r="I236" s="15">
        <v>0</v>
      </c>
      <c r="J236" s="15">
        <v>0</v>
      </c>
      <c r="K236" s="15">
        <v>0</v>
      </c>
      <c r="L236" s="15">
        <v>0</v>
      </c>
      <c r="M236" s="15">
        <v>0</v>
      </c>
      <c r="N236" s="15">
        <v>0</v>
      </c>
      <c r="O236" s="15">
        <v>0</v>
      </c>
      <c r="P236" s="15">
        <v>0</v>
      </c>
      <c r="Q236" s="15">
        <v>0</v>
      </c>
      <c r="R236" s="15">
        <v>0</v>
      </c>
      <c r="S236" s="15">
        <v>0</v>
      </c>
      <c r="T236" s="15">
        <v>0</v>
      </c>
      <c r="U236" s="15">
        <v>0</v>
      </c>
      <c r="V236" s="15">
        <f t="shared" si="25"/>
        <v>0</v>
      </c>
      <c r="W236" s="15" t="e">
        <f t="shared" si="22"/>
        <v>#DIV/0!</v>
      </c>
      <c r="X236" s="15" t="e">
        <f t="shared" si="23"/>
        <v>#DIV/0!</v>
      </c>
      <c r="Y236" s="15" t="e">
        <f t="shared" si="27"/>
        <v>#DIV/0!</v>
      </c>
      <c r="Z236" s="15" t="e">
        <f t="shared" si="26"/>
        <v>#DIV/0!</v>
      </c>
      <c r="AA236" s="15" t="e">
        <f>$K236/$H236</f>
        <v>#DIV/0!</v>
      </c>
      <c r="AB236" s="15">
        <f t="shared" si="24"/>
        <v>0</v>
      </c>
    </row>
    <row r="237" spans="1:28" x14ac:dyDescent="0.2">
      <c r="A237" s="16" t="s">
        <v>1209</v>
      </c>
      <c r="B237" s="16" t="s">
        <v>43</v>
      </c>
      <c r="C237" s="16">
        <v>24</v>
      </c>
      <c r="D237" s="16">
        <v>2</v>
      </c>
      <c r="E237" s="16" t="s">
        <v>744</v>
      </c>
      <c r="F237" s="16" t="s">
        <v>1176</v>
      </c>
      <c r="G237" s="16">
        <v>0</v>
      </c>
      <c r="H237" s="16">
        <v>0</v>
      </c>
      <c r="I237" s="16">
        <v>0</v>
      </c>
      <c r="J237" s="16">
        <v>0</v>
      </c>
      <c r="K237" s="16">
        <v>0</v>
      </c>
      <c r="L237" s="16">
        <v>0</v>
      </c>
      <c r="M237" s="16">
        <v>0</v>
      </c>
      <c r="N237" s="16">
        <v>0</v>
      </c>
      <c r="O237" s="16">
        <v>0</v>
      </c>
      <c r="P237" s="16">
        <v>0</v>
      </c>
      <c r="Q237" s="16">
        <v>0</v>
      </c>
      <c r="R237" s="16">
        <v>0</v>
      </c>
      <c r="S237" s="16">
        <v>0</v>
      </c>
      <c r="T237" s="16">
        <v>0</v>
      </c>
      <c r="U237" s="16">
        <v>0</v>
      </c>
      <c r="V237" s="16">
        <f t="shared" si="25"/>
        <v>0</v>
      </c>
      <c r="W237" s="16" t="e">
        <f t="shared" si="22"/>
        <v>#DIV/0!</v>
      </c>
      <c r="X237" s="16" t="e">
        <f t="shared" si="23"/>
        <v>#DIV/0!</v>
      </c>
      <c r="Y237" s="16" t="e">
        <f t="shared" si="27"/>
        <v>#DIV/0!</v>
      </c>
      <c r="Z237" s="16" t="e">
        <f t="shared" si="26"/>
        <v>#DIV/0!</v>
      </c>
      <c r="AA237" s="16" t="e">
        <f>$K237/$H237</f>
        <v>#DIV/0!</v>
      </c>
      <c r="AB237" s="16">
        <f t="shared" si="24"/>
        <v>0</v>
      </c>
    </row>
    <row r="238" spans="1:28" x14ac:dyDescent="0.2">
      <c r="A238" s="15" t="s">
        <v>1210</v>
      </c>
      <c r="B238" s="15" t="s">
        <v>43</v>
      </c>
      <c r="C238" s="15">
        <v>26</v>
      </c>
      <c r="D238" s="15">
        <v>4</v>
      </c>
      <c r="E238" s="15" t="s">
        <v>397</v>
      </c>
      <c r="F238" s="15" t="s">
        <v>1176</v>
      </c>
      <c r="G238" s="15">
        <v>0</v>
      </c>
      <c r="H238" s="15">
        <v>0</v>
      </c>
      <c r="I238" s="15">
        <v>0</v>
      </c>
      <c r="J238" s="15">
        <v>0</v>
      </c>
      <c r="K238" s="15">
        <v>0</v>
      </c>
      <c r="L238" s="15">
        <v>0</v>
      </c>
      <c r="M238" s="15">
        <v>0</v>
      </c>
      <c r="N238" s="15">
        <v>0</v>
      </c>
      <c r="O238" s="15">
        <v>0</v>
      </c>
      <c r="P238" s="15">
        <v>0</v>
      </c>
      <c r="Q238" s="15">
        <v>0</v>
      </c>
      <c r="R238" s="15">
        <v>0</v>
      </c>
      <c r="S238" s="15">
        <v>0</v>
      </c>
      <c r="T238" s="15">
        <v>0</v>
      </c>
      <c r="U238" s="15">
        <v>0</v>
      </c>
      <c r="V238" s="15">
        <f t="shared" si="25"/>
        <v>0</v>
      </c>
      <c r="W238" s="15" t="e">
        <f t="shared" si="22"/>
        <v>#DIV/0!</v>
      </c>
      <c r="X238" s="15" t="e">
        <f t="shared" si="23"/>
        <v>#DIV/0!</v>
      </c>
      <c r="Y238" s="15" t="e">
        <f t="shared" si="27"/>
        <v>#DIV/0!</v>
      </c>
      <c r="Z238" s="15" t="e">
        <f t="shared" si="26"/>
        <v>#DIV/0!</v>
      </c>
      <c r="AA238" s="15" t="e">
        <f>$K238/$H238</f>
        <v>#DIV/0!</v>
      </c>
      <c r="AB238" s="15">
        <f t="shared" si="24"/>
        <v>0</v>
      </c>
    </row>
    <row r="239" spans="1:28" x14ac:dyDescent="0.2">
      <c r="A239" s="16" t="s">
        <v>1211</v>
      </c>
      <c r="B239" s="16" t="s">
        <v>43</v>
      </c>
      <c r="C239" s="16">
        <v>27</v>
      </c>
      <c r="D239" s="16">
        <v>6</v>
      </c>
      <c r="E239" s="16" t="s">
        <v>178</v>
      </c>
      <c r="F239" s="16" t="s">
        <v>1176</v>
      </c>
      <c r="G239" s="16">
        <v>0</v>
      </c>
      <c r="H239" s="16">
        <v>0</v>
      </c>
      <c r="I239" s="16">
        <v>0</v>
      </c>
      <c r="J239" s="16">
        <v>0</v>
      </c>
      <c r="K239" s="16">
        <v>0</v>
      </c>
      <c r="L239" s="16">
        <v>0</v>
      </c>
      <c r="M239" s="16">
        <v>0</v>
      </c>
      <c r="N239" s="16">
        <v>0</v>
      </c>
      <c r="O239" s="16">
        <v>0</v>
      </c>
      <c r="P239" s="16">
        <v>0</v>
      </c>
      <c r="Q239" s="16">
        <v>0</v>
      </c>
      <c r="R239" s="16">
        <v>0</v>
      </c>
      <c r="S239" s="16">
        <v>0</v>
      </c>
      <c r="T239" s="16">
        <v>0</v>
      </c>
      <c r="U239" s="16">
        <v>0</v>
      </c>
      <c r="V239" s="16">
        <f t="shared" si="25"/>
        <v>0</v>
      </c>
      <c r="W239" s="16" t="e">
        <f t="shared" si="22"/>
        <v>#DIV/0!</v>
      </c>
      <c r="X239" s="16" t="e">
        <f t="shared" si="23"/>
        <v>#DIV/0!</v>
      </c>
      <c r="Y239" s="16" t="e">
        <f t="shared" si="27"/>
        <v>#DIV/0!</v>
      </c>
      <c r="Z239" s="16" t="e">
        <f t="shared" si="26"/>
        <v>#DIV/0!</v>
      </c>
      <c r="AA239" s="16" t="e">
        <f>$K239/$H239</f>
        <v>#DIV/0!</v>
      </c>
      <c r="AB239" s="16">
        <f t="shared" si="24"/>
        <v>0</v>
      </c>
    </row>
    <row r="240" spans="1:28" x14ac:dyDescent="0.2">
      <c r="A240" s="15" t="s">
        <v>1212</v>
      </c>
      <c r="B240" s="15" t="s">
        <v>43</v>
      </c>
      <c r="C240" s="15">
        <v>24</v>
      </c>
      <c r="D240" s="15">
        <v>3</v>
      </c>
      <c r="E240" s="15" t="s">
        <v>220</v>
      </c>
      <c r="F240" s="15" t="s">
        <v>1176</v>
      </c>
      <c r="G240" s="15">
        <v>0</v>
      </c>
      <c r="H240" s="15">
        <v>0</v>
      </c>
      <c r="I240" s="15">
        <v>0</v>
      </c>
      <c r="J240" s="15">
        <v>0</v>
      </c>
      <c r="K240" s="15">
        <v>0</v>
      </c>
      <c r="L240" s="15">
        <v>0</v>
      </c>
      <c r="M240" s="15">
        <v>0</v>
      </c>
      <c r="N240" s="15">
        <v>0</v>
      </c>
      <c r="O240" s="15">
        <v>0</v>
      </c>
      <c r="P240" s="15">
        <v>0</v>
      </c>
      <c r="Q240" s="15">
        <v>0</v>
      </c>
      <c r="R240" s="15">
        <v>0</v>
      </c>
      <c r="S240" s="15">
        <v>0</v>
      </c>
      <c r="T240" s="15">
        <v>0</v>
      </c>
      <c r="U240" s="15">
        <v>0</v>
      </c>
      <c r="V240" s="15">
        <f t="shared" si="25"/>
        <v>0</v>
      </c>
      <c r="W240" s="15" t="e">
        <f t="shared" si="22"/>
        <v>#DIV/0!</v>
      </c>
      <c r="X240" s="15" t="e">
        <f t="shared" si="23"/>
        <v>#DIV/0!</v>
      </c>
      <c r="Y240" s="15" t="e">
        <f t="shared" si="27"/>
        <v>#DIV/0!</v>
      </c>
      <c r="Z240" s="15" t="e">
        <f t="shared" si="26"/>
        <v>#DIV/0!</v>
      </c>
      <c r="AA240" s="15" t="e">
        <f>$K240/$H240</f>
        <v>#DIV/0!</v>
      </c>
      <c r="AB240" s="15">
        <f t="shared" si="24"/>
        <v>0</v>
      </c>
    </row>
    <row r="241" spans="1:28" x14ac:dyDescent="0.2">
      <c r="A241" s="16" t="s">
        <v>1213</v>
      </c>
      <c r="B241" s="16" t="s">
        <v>43</v>
      </c>
      <c r="C241" s="16">
        <v>24</v>
      </c>
      <c r="D241" s="16">
        <v>4</v>
      </c>
      <c r="E241" s="16" t="s">
        <v>76</v>
      </c>
      <c r="F241" s="16" t="s">
        <v>1176</v>
      </c>
      <c r="G241" s="16">
        <v>0</v>
      </c>
      <c r="H241" s="16">
        <v>0</v>
      </c>
      <c r="I241" s="16">
        <v>0</v>
      </c>
      <c r="J241" s="16">
        <v>0</v>
      </c>
      <c r="K241" s="16">
        <v>0</v>
      </c>
      <c r="L241" s="16">
        <v>0</v>
      </c>
      <c r="M241" s="16">
        <v>0</v>
      </c>
      <c r="N241" s="16">
        <v>0</v>
      </c>
      <c r="O241" s="16">
        <v>0</v>
      </c>
      <c r="P241" s="16">
        <v>0</v>
      </c>
      <c r="Q241" s="16">
        <v>0</v>
      </c>
      <c r="R241" s="16">
        <v>0</v>
      </c>
      <c r="S241" s="16">
        <v>0</v>
      </c>
      <c r="T241" s="16">
        <v>0</v>
      </c>
      <c r="U241" s="16">
        <v>0</v>
      </c>
      <c r="V241" s="16">
        <f t="shared" si="25"/>
        <v>0</v>
      </c>
      <c r="W241" s="16" t="e">
        <f t="shared" si="22"/>
        <v>#DIV/0!</v>
      </c>
      <c r="X241" s="16" t="e">
        <f t="shared" si="23"/>
        <v>#DIV/0!</v>
      </c>
      <c r="Y241" s="16" t="e">
        <f t="shared" si="27"/>
        <v>#DIV/0!</v>
      </c>
      <c r="Z241" s="16" t="e">
        <f t="shared" si="26"/>
        <v>#DIV/0!</v>
      </c>
      <c r="AA241" s="16" t="e">
        <f>$K241/$H241</f>
        <v>#DIV/0!</v>
      </c>
      <c r="AB241" s="16">
        <f t="shared" si="24"/>
        <v>0</v>
      </c>
    </row>
    <row r="242" spans="1:28" x14ac:dyDescent="0.2">
      <c r="A242" s="15" t="s">
        <v>1248</v>
      </c>
      <c r="B242" s="15" t="s">
        <v>43</v>
      </c>
      <c r="C242" s="15">
        <v>28</v>
      </c>
      <c r="D242" s="15">
        <v>7</v>
      </c>
      <c r="E242" s="15" t="s">
        <v>413</v>
      </c>
      <c r="F242" s="15" t="s">
        <v>1222</v>
      </c>
      <c r="G242" s="15">
        <v>0</v>
      </c>
      <c r="H242" s="15">
        <v>0</v>
      </c>
      <c r="I242" s="15">
        <v>0</v>
      </c>
      <c r="J242" s="15">
        <v>0</v>
      </c>
      <c r="K242" s="15">
        <v>0</v>
      </c>
      <c r="L242" s="15">
        <v>0</v>
      </c>
      <c r="M242" s="15">
        <v>0</v>
      </c>
      <c r="N242" s="15">
        <v>0</v>
      </c>
      <c r="O242" s="15">
        <v>0</v>
      </c>
      <c r="P242" s="15">
        <v>0</v>
      </c>
      <c r="Q242" s="15">
        <v>0</v>
      </c>
      <c r="R242" s="15">
        <v>0</v>
      </c>
      <c r="S242" s="15">
        <v>0</v>
      </c>
      <c r="T242" s="15">
        <v>0</v>
      </c>
      <c r="U242" s="15">
        <v>0</v>
      </c>
      <c r="V242" s="15">
        <f t="shared" si="25"/>
        <v>0</v>
      </c>
      <c r="W242" s="15" t="e">
        <f t="shared" si="22"/>
        <v>#DIV/0!</v>
      </c>
      <c r="X242" s="15" t="e">
        <f t="shared" si="23"/>
        <v>#DIV/0!</v>
      </c>
      <c r="Y242" s="15" t="e">
        <f t="shared" si="27"/>
        <v>#DIV/0!</v>
      </c>
      <c r="Z242" s="15" t="e">
        <f t="shared" si="26"/>
        <v>#DIV/0!</v>
      </c>
      <c r="AA242" s="15" t="e">
        <f>$K242/$H242</f>
        <v>#DIV/0!</v>
      </c>
      <c r="AB242" s="15">
        <f t="shared" si="24"/>
        <v>0</v>
      </c>
    </row>
    <row r="243" spans="1:28" x14ac:dyDescent="0.2">
      <c r="A243" s="16" t="s">
        <v>1249</v>
      </c>
      <c r="B243" s="16" t="s">
        <v>43</v>
      </c>
      <c r="C243" s="16">
        <v>21</v>
      </c>
      <c r="D243" s="16">
        <v>0</v>
      </c>
      <c r="E243" s="16" t="s">
        <v>227</v>
      </c>
      <c r="F243" s="16" t="s">
        <v>1222</v>
      </c>
      <c r="G243" s="16">
        <v>0</v>
      </c>
      <c r="H243" s="16">
        <v>0</v>
      </c>
      <c r="I243" s="16">
        <v>0</v>
      </c>
      <c r="J243" s="16">
        <v>0</v>
      </c>
      <c r="K243" s="16">
        <v>0</v>
      </c>
      <c r="L243" s="16">
        <v>0</v>
      </c>
      <c r="M243" s="16">
        <v>0</v>
      </c>
      <c r="N243" s="16">
        <v>0</v>
      </c>
      <c r="O243" s="16">
        <v>0</v>
      </c>
      <c r="P243" s="16">
        <v>0</v>
      </c>
      <c r="Q243" s="16">
        <v>0</v>
      </c>
      <c r="R243" s="16">
        <v>0</v>
      </c>
      <c r="S243" s="16">
        <v>0</v>
      </c>
      <c r="T243" s="16">
        <v>0</v>
      </c>
      <c r="U243" s="16">
        <v>0</v>
      </c>
      <c r="V243" s="16">
        <f t="shared" si="25"/>
        <v>0</v>
      </c>
      <c r="W243" s="16" t="e">
        <f t="shared" si="22"/>
        <v>#DIV/0!</v>
      </c>
      <c r="X243" s="16" t="e">
        <f t="shared" si="23"/>
        <v>#DIV/0!</v>
      </c>
      <c r="Y243" s="16" t="e">
        <f t="shared" si="27"/>
        <v>#DIV/0!</v>
      </c>
      <c r="Z243" s="16" t="e">
        <f t="shared" si="26"/>
        <v>#DIV/0!</v>
      </c>
      <c r="AA243" s="16" t="e">
        <f>$K243/$H243</f>
        <v>#DIV/0!</v>
      </c>
      <c r="AB243" s="16">
        <f t="shared" si="24"/>
        <v>0</v>
      </c>
    </row>
    <row r="244" spans="1:28" x14ac:dyDescent="0.2">
      <c r="A244" s="15" t="s">
        <v>1250</v>
      </c>
      <c r="B244" s="15" t="s">
        <v>43</v>
      </c>
      <c r="C244" s="15">
        <v>22</v>
      </c>
      <c r="D244" s="15">
        <v>0</v>
      </c>
      <c r="E244" s="15" t="s">
        <v>1251</v>
      </c>
      <c r="F244" s="15" t="s">
        <v>1222</v>
      </c>
      <c r="G244" s="15">
        <v>0</v>
      </c>
      <c r="H244" s="15">
        <v>0</v>
      </c>
      <c r="I244" s="15">
        <v>0</v>
      </c>
      <c r="J244" s="15">
        <v>0</v>
      </c>
      <c r="K244" s="15">
        <v>0</v>
      </c>
      <c r="L244" s="15">
        <v>0</v>
      </c>
      <c r="M244" s="15">
        <v>0</v>
      </c>
      <c r="N244" s="15">
        <v>0</v>
      </c>
      <c r="O244" s="15">
        <v>0</v>
      </c>
      <c r="P244" s="15">
        <v>0</v>
      </c>
      <c r="Q244" s="15">
        <v>0</v>
      </c>
      <c r="R244" s="15">
        <v>0</v>
      </c>
      <c r="S244" s="15">
        <v>0</v>
      </c>
      <c r="T244" s="15">
        <v>0</v>
      </c>
      <c r="U244" s="15">
        <v>0</v>
      </c>
      <c r="V244" s="15">
        <f t="shared" si="25"/>
        <v>0</v>
      </c>
      <c r="W244" s="15" t="e">
        <f t="shared" si="22"/>
        <v>#DIV/0!</v>
      </c>
      <c r="X244" s="15" t="e">
        <f t="shared" si="23"/>
        <v>#DIV/0!</v>
      </c>
      <c r="Y244" s="15" t="e">
        <f t="shared" si="27"/>
        <v>#DIV/0!</v>
      </c>
      <c r="Z244" s="15" t="e">
        <f t="shared" si="26"/>
        <v>#DIV/0!</v>
      </c>
      <c r="AA244" s="15" t="e">
        <f>$K244/$H244</f>
        <v>#DIV/0!</v>
      </c>
      <c r="AB244" s="15">
        <f t="shared" si="24"/>
        <v>0</v>
      </c>
    </row>
    <row r="245" spans="1:28" x14ac:dyDescent="0.2">
      <c r="A245" s="16" t="s">
        <v>1252</v>
      </c>
      <c r="B245" s="16" t="s">
        <v>43</v>
      </c>
      <c r="C245" s="16">
        <v>27</v>
      </c>
      <c r="D245" s="16">
        <v>4</v>
      </c>
      <c r="E245" s="16" t="s">
        <v>393</v>
      </c>
      <c r="F245" s="16" t="s">
        <v>1222</v>
      </c>
      <c r="G245" s="16">
        <v>0</v>
      </c>
      <c r="H245" s="16">
        <v>0</v>
      </c>
      <c r="I245" s="16">
        <v>0</v>
      </c>
      <c r="J245" s="16">
        <v>0</v>
      </c>
      <c r="K245" s="16">
        <v>0</v>
      </c>
      <c r="L245" s="16">
        <v>0</v>
      </c>
      <c r="M245" s="16">
        <v>0</v>
      </c>
      <c r="N245" s="16">
        <v>0</v>
      </c>
      <c r="O245" s="16">
        <v>0</v>
      </c>
      <c r="P245" s="16">
        <v>0</v>
      </c>
      <c r="Q245" s="16">
        <v>0</v>
      </c>
      <c r="R245" s="16">
        <v>0</v>
      </c>
      <c r="S245" s="16">
        <v>0</v>
      </c>
      <c r="T245" s="16">
        <v>0</v>
      </c>
      <c r="U245" s="16">
        <v>0</v>
      </c>
      <c r="V245" s="16">
        <f t="shared" si="25"/>
        <v>0</v>
      </c>
      <c r="W245" s="16" t="e">
        <f t="shared" si="22"/>
        <v>#DIV/0!</v>
      </c>
      <c r="X245" s="16" t="e">
        <f t="shared" si="23"/>
        <v>#DIV/0!</v>
      </c>
      <c r="Y245" s="16" t="e">
        <f t="shared" si="27"/>
        <v>#DIV/0!</v>
      </c>
      <c r="Z245" s="16" t="e">
        <f t="shared" si="26"/>
        <v>#DIV/0!</v>
      </c>
      <c r="AA245" s="16" t="e">
        <f>$K245/$H245</f>
        <v>#DIV/0!</v>
      </c>
      <c r="AB245" s="16">
        <f t="shared" si="24"/>
        <v>0</v>
      </c>
    </row>
    <row r="246" spans="1:28" x14ac:dyDescent="0.2">
      <c r="A246" s="15" t="s">
        <v>1253</v>
      </c>
      <c r="B246" s="15" t="s">
        <v>43</v>
      </c>
      <c r="C246" s="15">
        <v>30</v>
      </c>
      <c r="D246" s="15">
        <v>9</v>
      </c>
      <c r="E246" s="15" t="s">
        <v>102</v>
      </c>
      <c r="F246" s="15" t="s">
        <v>1222</v>
      </c>
      <c r="G246" s="15">
        <v>0</v>
      </c>
      <c r="H246" s="15">
        <v>0</v>
      </c>
      <c r="I246" s="15">
        <v>0</v>
      </c>
      <c r="J246" s="15">
        <v>0</v>
      </c>
      <c r="K246" s="15">
        <v>0</v>
      </c>
      <c r="L246" s="15">
        <v>0</v>
      </c>
      <c r="M246" s="15">
        <v>0</v>
      </c>
      <c r="N246" s="15">
        <v>0</v>
      </c>
      <c r="O246" s="15">
        <v>0</v>
      </c>
      <c r="P246" s="15">
        <v>0</v>
      </c>
      <c r="Q246" s="15">
        <v>0</v>
      </c>
      <c r="R246" s="15">
        <v>0</v>
      </c>
      <c r="S246" s="15">
        <v>0</v>
      </c>
      <c r="T246" s="15">
        <v>0</v>
      </c>
      <c r="U246" s="15">
        <v>0</v>
      </c>
      <c r="V246" s="15">
        <f t="shared" si="25"/>
        <v>0</v>
      </c>
      <c r="W246" s="15" t="e">
        <f t="shared" si="22"/>
        <v>#DIV/0!</v>
      </c>
      <c r="X246" s="15" t="e">
        <f t="shared" si="23"/>
        <v>#DIV/0!</v>
      </c>
      <c r="Y246" s="15" t="e">
        <f t="shared" si="27"/>
        <v>#DIV/0!</v>
      </c>
      <c r="Z246" s="15" t="e">
        <f t="shared" si="26"/>
        <v>#DIV/0!</v>
      </c>
      <c r="AA246" s="15" t="e">
        <f>$K246/$H246</f>
        <v>#DIV/0!</v>
      </c>
      <c r="AB246" s="15">
        <f t="shared" si="24"/>
        <v>0</v>
      </c>
    </row>
    <row r="247" spans="1:28" x14ac:dyDescent="0.2">
      <c r="A247" s="16" t="s">
        <v>1254</v>
      </c>
      <c r="B247" s="16" t="s">
        <v>43</v>
      </c>
      <c r="C247" s="16">
        <v>25</v>
      </c>
      <c r="D247" s="16">
        <v>1</v>
      </c>
      <c r="E247" s="16" t="s">
        <v>282</v>
      </c>
      <c r="F247" s="16" t="s">
        <v>1222</v>
      </c>
      <c r="G247" s="16">
        <v>0</v>
      </c>
      <c r="H247" s="16">
        <v>0</v>
      </c>
      <c r="I247" s="16">
        <v>0</v>
      </c>
      <c r="J247" s="16">
        <v>0</v>
      </c>
      <c r="K247" s="16">
        <v>0</v>
      </c>
      <c r="L247" s="16">
        <v>0</v>
      </c>
      <c r="M247" s="16">
        <v>0</v>
      </c>
      <c r="N247" s="16">
        <v>0</v>
      </c>
      <c r="O247" s="16">
        <v>0</v>
      </c>
      <c r="P247" s="16">
        <v>0</v>
      </c>
      <c r="Q247" s="16">
        <v>0</v>
      </c>
      <c r="R247" s="16">
        <v>0</v>
      </c>
      <c r="S247" s="16">
        <v>0</v>
      </c>
      <c r="T247" s="16">
        <v>0</v>
      </c>
      <c r="U247" s="16">
        <v>0</v>
      </c>
      <c r="V247" s="16">
        <f t="shared" si="25"/>
        <v>0</v>
      </c>
      <c r="W247" s="16" t="e">
        <f t="shared" si="22"/>
        <v>#DIV/0!</v>
      </c>
      <c r="X247" s="16" t="e">
        <f t="shared" si="23"/>
        <v>#DIV/0!</v>
      </c>
      <c r="Y247" s="16" t="e">
        <f t="shared" si="27"/>
        <v>#DIV/0!</v>
      </c>
      <c r="Z247" s="16" t="e">
        <f t="shared" si="26"/>
        <v>#DIV/0!</v>
      </c>
      <c r="AA247" s="16" t="e">
        <f>$K247/$H247</f>
        <v>#DIV/0!</v>
      </c>
      <c r="AB247" s="16">
        <f t="shared" si="24"/>
        <v>0</v>
      </c>
    </row>
    <row r="248" spans="1:28" x14ac:dyDescent="0.2">
      <c r="A248" s="15" t="s">
        <v>1255</v>
      </c>
      <c r="B248" s="15" t="s">
        <v>43</v>
      </c>
      <c r="C248" s="15">
        <v>30</v>
      </c>
      <c r="D248" s="15">
        <v>9</v>
      </c>
      <c r="E248" s="15" t="s">
        <v>209</v>
      </c>
      <c r="F248" s="15" t="s">
        <v>1222</v>
      </c>
      <c r="G248" s="15">
        <v>0</v>
      </c>
      <c r="H248" s="15">
        <v>0</v>
      </c>
      <c r="I248" s="15">
        <v>0</v>
      </c>
      <c r="J248" s="15">
        <v>0</v>
      </c>
      <c r="K248" s="15">
        <v>0</v>
      </c>
      <c r="L248" s="15">
        <v>0</v>
      </c>
      <c r="M248" s="15">
        <v>0</v>
      </c>
      <c r="N248" s="15">
        <v>0</v>
      </c>
      <c r="O248" s="15">
        <v>0</v>
      </c>
      <c r="P248" s="15">
        <v>0</v>
      </c>
      <c r="Q248" s="15">
        <v>0</v>
      </c>
      <c r="R248" s="15">
        <v>0</v>
      </c>
      <c r="S248" s="15">
        <v>0</v>
      </c>
      <c r="T248" s="15">
        <v>0</v>
      </c>
      <c r="U248" s="15">
        <v>0</v>
      </c>
      <c r="V248" s="15">
        <f t="shared" si="25"/>
        <v>0</v>
      </c>
      <c r="W248" s="15" t="e">
        <f t="shared" si="22"/>
        <v>#DIV/0!</v>
      </c>
      <c r="X248" s="15" t="e">
        <f t="shared" si="23"/>
        <v>#DIV/0!</v>
      </c>
      <c r="Y248" s="15" t="e">
        <f t="shared" si="27"/>
        <v>#DIV/0!</v>
      </c>
      <c r="Z248" s="15" t="e">
        <f t="shared" si="26"/>
        <v>#DIV/0!</v>
      </c>
      <c r="AA248" s="15" t="e">
        <f>$K248/$H248</f>
        <v>#DIV/0!</v>
      </c>
      <c r="AB248" s="15">
        <f t="shared" si="24"/>
        <v>0</v>
      </c>
    </row>
    <row r="249" spans="1:28" x14ac:dyDescent="0.2">
      <c r="A249" s="16" t="s">
        <v>1256</v>
      </c>
      <c r="B249" s="16" t="s">
        <v>43</v>
      </c>
      <c r="C249" s="16">
        <v>22</v>
      </c>
      <c r="D249" s="16">
        <v>0</v>
      </c>
      <c r="E249" s="16" t="s">
        <v>1257</v>
      </c>
      <c r="F249" s="16" t="s">
        <v>1222</v>
      </c>
      <c r="G249" s="16">
        <v>0</v>
      </c>
      <c r="H249" s="16">
        <v>0</v>
      </c>
      <c r="I249" s="16">
        <v>0</v>
      </c>
      <c r="J249" s="16">
        <v>0</v>
      </c>
      <c r="K249" s="16">
        <v>0</v>
      </c>
      <c r="L249" s="16">
        <v>0</v>
      </c>
      <c r="M249" s="16">
        <v>0</v>
      </c>
      <c r="N249" s="16">
        <v>0</v>
      </c>
      <c r="O249" s="16">
        <v>0</v>
      </c>
      <c r="P249" s="16">
        <v>0</v>
      </c>
      <c r="Q249" s="16">
        <v>0</v>
      </c>
      <c r="R249" s="16">
        <v>0</v>
      </c>
      <c r="S249" s="16">
        <v>0</v>
      </c>
      <c r="T249" s="16">
        <v>0</v>
      </c>
      <c r="U249" s="16">
        <v>0</v>
      </c>
      <c r="V249" s="16">
        <f t="shared" si="25"/>
        <v>0</v>
      </c>
      <c r="W249" s="16" t="e">
        <f t="shared" si="22"/>
        <v>#DIV/0!</v>
      </c>
      <c r="X249" s="16" t="e">
        <f t="shared" si="23"/>
        <v>#DIV/0!</v>
      </c>
      <c r="Y249" s="16" t="e">
        <f t="shared" si="27"/>
        <v>#DIV/0!</v>
      </c>
      <c r="Z249" s="16" t="e">
        <f t="shared" si="26"/>
        <v>#DIV/0!</v>
      </c>
      <c r="AA249" s="16" t="e">
        <f>$K249/$H249</f>
        <v>#DIV/0!</v>
      </c>
      <c r="AB249" s="16">
        <f t="shared" si="24"/>
        <v>0</v>
      </c>
    </row>
    <row r="250" spans="1:28" x14ac:dyDescent="0.2">
      <c r="A250" s="15" t="s">
        <v>1258</v>
      </c>
      <c r="B250" s="15" t="s">
        <v>43</v>
      </c>
      <c r="C250" s="15">
        <v>37</v>
      </c>
      <c r="D250" s="15">
        <v>16</v>
      </c>
      <c r="E250" s="15" t="s">
        <v>418</v>
      </c>
      <c r="F250" s="15" t="s">
        <v>1222</v>
      </c>
      <c r="G250" s="15">
        <v>0</v>
      </c>
      <c r="H250" s="15">
        <v>0</v>
      </c>
      <c r="I250" s="15">
        <v>0</v>
      </c>
      <c r="J250" s="15">
        <v>0</v>
      </c>
      <c r="K250" s="15">
        <v>0</v>
      </c>
      <c r="L250" s="15">
        <v>0</v>
      </c>
      <c r="M250" s="15">
        <v>0</v>
      </c>
      <c r="N250" s="15">
        <v>0</v>
      </c>
      <c r="O250" s="15">
        <v>0</v>
      </c>
      <c r="P250" s="15">
        <v>0</v>
      </c>
      <c r="Q250" s="15">
        <v>0</v>
      </c>
      <c r="R250" s="15">
        <v>0</v>
      </c>
      <c r="S250" s="15">
        <v>0</v>
      </c>
      <c r="T250" s="15">
        <v>0</v>
      </c>
      <c r="U250" s="15">
        <v>0</v>
      </c>
      <c r="V250" s="15">
        <f t="shared" si="25"/>
        <v>0</v>
      </c>
      <c r="W250" s="15" t="e">
        <f t="shared" si="22"/>
        <v>#DIV/0!</v>
      </c>
      <c r="X250" s="15" t="e">
        <f t="shared" si="23"/>
        <v>#DIV/0!</v>
      </c>
      <c r="Y250" s="15" t="e">
        <f t="shared" si="27"/>
        <v>#DIV/0!</v>
      </c>
      <c r="Z250" s="15" t="e">
        <f t="shared" si="26"/>
        <v>#DIV/0!</v>
      </c>
      <c r="AA250" s="15" t="e">
        <f>$K250/$H250</f>
        <v>#DIV/0!</v>
      </c>
      <c r="AB250" s="15">
        <f t="shared" si="24"/>
        <v>0</v>
      </c>
    </row>
    <row r="251" spans="1:28" x14ac:dyDescent="0.2">
      <c r="A251" s="16" t="s">
        <v>1259</v>
      </c>
      <c r="B251" s="16" t="s">
        <v>43</v>
      </c>
      <c r="C251" s="16">
        <v>26</v>
      </c>
      <c r="D251" s="16">
        <v>7</v>
      </c>
      <c r="E251" s="16" t="s">
        <v>78</v>
      </c>
      <c r="F251" s="16" t="s">
        <v>1222</v>
      </c>
      <c r="G251" s="16">
        <v>0</v>
      </c>
      <c r="H251" s="16">
        <v>0</v>
      </c>
      <c r="I251" s="16">
        <v>0</v>
      </c>
      <c r="J251" s="16">
        <v>0</v>
      </c>
      <c r="K251" s="16">
        <v>0</v>
      </c>
      <c r="L251" s="16">
        <v>0</v>
      </c>
      <c r="M251" s="16">
        <v>0</v>
      </c>
      <c r="N251" s="16">
        <v>0</v>
      </c>
      <c r="O251" s="16">
        <v>0</v>
      </c>
      <c r="P251" s="16">
        <v>0</v>
      </c>
      <c r="Q251" s="16">
        <v>0</v>
      </c>
      <c r="R251" s="16">
        <v>0</v>
      </c>
      <c r="S251" s="16">
        <v>0</v>
      </c>
      <c r="T251" s="16">
        <v>0</v>
      </c>
      <c r="U251" s="16">
        <v>0</v>
      </c>
      <c r="V251" s="16">
        <f t="shared" si="25"/>
        <v>0</v>
      </c>
      <c r="W251" s="16" t="e">
        <f t="shared" si="22"/>
        <v>#DIV/0!</v>
      </c>
      <c r="X251" s="16" t="e">
        <f t="shared" si="23"/>
        <v>#DIV/0!</v>
      </c>
      <c r="Y251" s="16" t="e">
        <f t="shared" si="27"/>
        <v>#DIV/0!</v>
      </c>
      <c r="Z251" s="16" t="e">
        <f t="shared" si="26"/>
        <v>#DIV/0!</v>
      </c>
      <c r="AA251" s="16" t="e">
        <f>$K251/$H251</f>
        <v>#DIV/0!</v>
      </c>
      <c r="AB251" s="16">
        <f t="shared" si="24"/>
        <v>0</v>
      </c>
    </row>
    <row r="252" spans="1:28" x14ac:dyDescent="0.2">
      <c r="A252" s="15" t="s">
        <v>1260</v>
      </c>
      <c r="B252" s="15" t="s">
        <v>43</v>
      </c>
      <c r="C252" s="15">
        <v>23</v>
      </c>
      <c r="D252" s="15">
        <v>2</v>
      </c>
      <c r="E252" s="15" t="s">
        <v>393</v>
      </c>
      <c r="F252" s="15" t="s">
        <v>1222</v>
      </c>
      <c r="G252" s="15">
        <v>0</v>
      </c>
      <c r="H252" s="15">
        <v>0</v>
      </c>
      <c r="I252" s="15">
        <v>0</v>
      </c>
      <c r="J252" s="15">
        <v>0</v>
      </c>
      <c r="K252" s="15">
        <v>0</v>
      </c>
      <c r="L252" s="15">
        <v>0</v>
      </c>
      <c r="M252" s="15">
        <v>0</v>
      </c>
      <c r="N252" s="15">
        <v>0</v>
      </c>
      <c r="O252" s="15">
        <v>0</v>
      </c>
      <c r="P252" s="15">
        <v>0</v>
      </c>
      <c r="Q252" s="15">
        <v>0</v>
      </c>
      <c r="R252" s="15">
        <v>0</v>
      </c>
      <c r="S252" s="15">
        <v>0</v>
      </c>
      <c r="T252" s="15">
        <v>0</v>
      </c>
      <c r="U252" s="15">
        <v>0</v>
      </c>
      <c r="V252" s="15">
        <f t="shared" si="25"/>
        <v>0</v>
      </c>
      <c r="W252" s="15" t="e">
        <f t="shared" si="22"/>
        <v>#DIV/0!</v>
      </c>
      <c r="X252" s="15" t="e">
        <f t="shared" si="23"/>
        <v>#DIV/0!</v>
      </c>
      <c r="Y252" s="15" t="e">
        <f t="shared" si="27"/>
        <v>#DIV/0!</v>
      </c>
      <c r="Z252" s="15" t="e">
        <f t="shared" si="26"/>
        <v>#DIV/0!</v>
      </c>
      <c r="AA252" s="15" t="e">
        <f>$K252/$H252</f>
        <v>#DIV/0!</v>
      </c>
      <c r="AB252" s="15">
        <f t="shared" si="24"/>
        <v>0</v>
      </c>
    </row>
    <row r="253" spans="1:28" x14ac:dyDescent="0.2">
      <c r="A253" s="16" t="s">
        <v>1297</v>
      </c>
      <c r="B253" s="16" t="s">
        <v>43</v>
      </c>
      <c r="C253" s="16">
        <v>24</v>
      </c>
      <c r="D253" s="16">
        <v>1</v>
      </c>
      <c r="E253" s="16" t="s">
        <v>519</v>
      </c>
      <c r="F253" s="16" t="s">
        <v>1270</v>
      </c>
      <c r="G253" s="16">
        <v>0</v>
      </c>
      <c r="H253" s="16">
        <v>0</v>
      </c>
      <c r="I253" s="16">
        <v>0</v>
      </c>
      <c r="J253" s="16">
        <v>0</v>
      </c>
      <c r="K253" s="16">
        <v>0</v>
      </c>
      <c r="L253" s="16">
        <v>0</v>
      </c>
      <c r="M253" s="16">
        <v>0</v>
      </c>
      <c r="N253" s="16">
        <v>0</v>
      </c>
      <c r="O253" s="16">
        <v>0</v>
      </c>
      <c r="P253" s="16">
        <v>0</v>
      </c>
      <c r="Q253" s="16">
        <v>0</v>
      </c>
      <c r="R253" s="16">
        <v>0</v>
      </c>
      <c r="S253" s="16">
        <v>0</v>
      </c>
      <c r="T253" s="16">
        <v>0</v>
      </c>
      <c r="U253" s="16">
        <v>0</v>
      </c>
      <c r="V253" s="16">
        <f t="shared" si="25"/>
        <v>0</v>
      </c>
      <c r="W253" s="16" t="e">
        <f t="shared" si="22"/>
        <v>#DIV/0!</v>
      </c>
      <c r="X253" s="16" t="e">
        <f t="shared" si="23"/>
        <v>#DIV/0!</v>
      </c>
      <c r="Y253" s="16" t="e">
        <f t="shared" si="27"/>
        <v>#DIV/0!</v>
      </c>
      <c r="Z253" s="16" t="e">
        <f t="shared" si="26"/>
        <v>#DIV/0!</v>
      </c>
      <c r="AA253" s="16" t="e">
        <f>$K253/$H253</f>
        <v>#DIV/0!</v>
      </c>
      <c r="AB253" s="16">
        <f t="shared" si="24"/>
        <v>0</v>
      </c>
    </row>
    <row r="254" spans="1:28" x14ac:dyDescent="0.2">
      <c r="A254" s="15" t="s">
        <v>1298</v>
      </c>
      <c r="B254" s="15" t="s">
        <v>43</v>
      </c>
      <c r="C254" s="15">
        <v>25</v>
      </c>
      <c r="D254" s="15">
        <v>3</v>
      </c>
      <c r="E254" s="15" t="s">
        <v>150</v>
      </c>
      <c r="F254" s="15" t="s">
        <v>1270</v>
      </c>
      <c r="G254" s="15">
        <v>0</v>
      </c>
      <c r="H254" s="15">
        <v>0</v>
      </c>
      <c r="I254" s="15">
        <v>0</v>
      </c>
      <c r="J254" s="15">
        <v>0</v>
      </c>
      <c r="K254" s="15">
        <v>0</v>
      </c>
      <c r="L254" s="15">
        <v>0</v>
      </c>
      <c r="M254" s="15">
        <v>0</v>
      </c>
      <c r="N254" s="15">
        <v>0</v>
      </c>
      <c r="O254" s="15">
        <v>0</v>
      </c>
      <c r="P254" s="15">
        <v>0</v>
      </c>
      <c r="Q254" s="15">
        <v>0</v>
      </c>
      <c r="R254" s="15">
        <v>0</v>
      </c>
      <c r="S254" s="15">
        <v>0</v>
      </c>
      <c r="T254" s="15">
        <v>0</v>
      </c>
      <c r="U254" s="15">
        <v>0</v>
      </c>
      <c r="V254" s="15">
        <f t="shared" si="25"/>
        <v>0</v>
      </c>
      <c r="W254" s="15" t="e">
        <f t="shared" si="22"/>
        <v>#DIV/0!</v>
      </c>
      <c r="X254" s="15" t="e">
        <f t="shared" si="23"/>
        <v>#DIV/0!</v>
      </c>
      <c r="Y254" s="15" t="e">
        <f t="shared" si="27"/>
        <v>#DIV/0!</v>
      </c>
      <c r="Z254" s="15" t="e">
        <f t="shared" si="26"/>
        <v>#DIV/0!</v>
      </c>
      <c r="AA254" s="15" t="e">
        <f>$K254/$H254</f>
        <v>#DIV/0!</v>
      </c>
      <c r="AB254" s="15">
        <f t="shared" si="24"/>
        <v>0</v>
      </c>
    </row>
    <row r="255" spans="1:28" x14ac:dyDescent="0.2">
      <c r="A255" s="16" t="s">
        <v>1299</v>
      </c>
      <c r="B255" s="16" t="s">
        <v>43</v>
      </c>
      <c r="C255" s="16">
        <v>23</v>
      </c>
      <c r="D255" s="16">
        <v>0</v>
      </c>
      <c r="E255" s="16" t="s">
        <v>1300</v>
      </c>
      <c r="F255" s="16" t="s">
        <v>1270</v>
      </c>
      <c r="G255" s="16">
        <v>0</v>
      </c>
      <c r="H255" s="16">
        <v>0</v>
      </c>
      <c r="I255" s="16">
        <v>0</v>
      </c>
      <c r="J255" s="16">
        <v>0</v>
      </c>
      <c r="K255" s="16">
        <v>0</v>
      </c>
      <c r="L255" s="16">
        <v>0</v>
      </c>
      <c r="M255" s="16">
        <v>0</v>
      </c>
      <c r="N255" s="16">
        <v>0</v>
      </c>
      <c r="O255" s="16">
        <v>0</v>
      </c>
      <c r="P255" s="16">
        <v>0</v>
      </c>
      <c r="Q255" s="16">
        <v>0</v>
      </c>
      <c r="R255" s="16">
        <v>0</v>
      </c>
      <c r="S255" s="16">
        <v>0</v>
      </c>
      <c r="T255" s="16">
        <v>0</v>
      </c>
      <c r="U255" s="16">
        <v>0</v>
      </c>
      <c r="V255" s="16">
        <f t="shared" si="25"/>
        <v>0</v>
      </c>
      <c r="W255" s="16" t="e">
        <f t="shared" si="22"/>
        <v>#DIV/0!</v>
      </c>
      <c r="X255" s="16" t="e">
        <f t="shared" si="23"/>
        <v>#DIV/0!</v>
      </c>
      <c r="Y255" s="16" t="e">
        <f t="shared" si="27"/>
        <v>#DIV/0!</v>
      </c>
      <c r="Z255" s="16" t="e">
        <f t="shared" si="26"/>
        <v>#DIV/0!</v>
      </c>
      <c r="AA255" s="16" t="e">
        <f>$K255/$H255</f>
        <v>#DIV/0!</v>
      </c>
      <c r="AB255" s="16">
        <f t="shared" si="24"/>
        <v>0</v>
      </c>
    </row>
    <row r="256" spans="1:28" x14ac:dyDescent="0.2">
      <c r="A256" s="15" t="s">
        <v>1301</v>
      </c>
      <c r="B256" s="15" t="s">
        <v>43</v>
      </c>
      <c r="C256" s="15">
        <v>24</v>
      </c>
      <c r="D256" s="15">
        <v>4</v>
      </c>
      <c r="E256" s="15" t="s">
        <v>341</v>
      </c>
      <c r="F256" s="15" t="s">
        <v>1270</v>
      </c>
      <c r="G256" s="15">
        <v>0</v>
      </c>
      <c r="H256" s="15">
        <v>0</v>
      </c>
      <c r="I256" s="15">
        <v>0</v>
      </c>
      <c r="J256" s="15">
        <v>0</v>
      </c>
      <c r="K256" s="15">
        <v>0</v>
      </c>
      <c r="L256" s="15">
        <v>0</v>
      </c>
      <c r="M256" s="15">
        <v>0</v>
      </c>
      <c r="N256" s="15">
        <v>0</v>
      </c>
      <c r="O256" s="15">
        <v>0</v>
      </c>
      <c r="P256" s="15">
        <v>0</v>
      </c>
      <c r="Q256" s="15">
        <v>0</v>
      </c>
      <c r="R256" s="15">
        <v>0</v>
      </c>
      <c r="S256" s="15">
        <v>0</v>
      </c>
      <c r="T256" s="15">
        <v>0</v>
      </c>
      <c r="U256" s="15">
        <v>0</v>
      </c>
      <c r="V256" s="15">
        <f t="shared" si="25"/>
        <v>0</v>
      </c>
      <c r="W256" s="15" t="e">
        <f t="shared" si="22"/>
        <v>#DIV/0!</v>
      </c>
      <c r="X256" s="15" t="e">
        <f t="shared" si="23"/>
        <v>#DIV/0!</v>
      </c>
      <c r="Y256" s="15" t="e">
        <f t="shared" si="27"/>
        <v>#DIV/0!</v>
      </c>
      <c r="Z256" s="15" t="e">
        <f t="shared" si="26"/>
        <v>#DIV/0!</v>
      </c>
      <c r="AA256" s="15" t="e">
        <f>$K256/$H256</f>
        <v>#DIV/0!</v>
      </c>
      <c r="AB256" s="15">
        <f t="shared" si="24"/>
        <v>0</v>
      </c>
    </row>
    <row r="257" spans="1:28" x14ac:dyDescent="0.2">
      <c r="A257" s="16" t="s">
        <v>1302</v>
      </c>
      <c r="B257" s="16" t="s">
        <v>43</v>
      </c>
      <c r="C257" s="16">
        <v>24</v>
      </c>
      <c r="D257" s="16">
        <v>1</v>
      </c>
      <c r="E257" s="16" t="s">
        <v>227</v>
      </c>
      <c r="F257" s="16" t="s">
        <v>1270</v>
      </c>
      <c r="G257" s="16">
        <v>0</v>
      </c>
      <c r="H257" s="16">
        <v>0</v>
      </c>
      <c r="I257" s="16">
        <v>0</v>
      </c>
      <c r="J257" s="16">
        <v>0</v>
      </c>
      <c r="K257" s="16">
        <v>0</v>
      </c>
      <c r="L257" s="16">
        <v>0</v>
      </c>
      <c r="M257" s="16">
        <v>0</v>
      </c>
      <c r="N257" s="16">
        <v>0</v>
      </c>
      <c r="O257" s="16">
        <v>0</v>
      </c>
      <c r="P257" s="16">
        <v>0</v>
      </c>
      <c r="Q257" s="16">
        <v>0</v>
      </c>
      <c r="R257" s="16">
        <v>0</v>
      </c>
      <c r="S257" s="16">
        <v>0</v>
      </c>
      <c r="T257" s="16">
        <v>0</v>
      </c>
      <c r="U257" s="16">
        <v>0</v>
      </c>
      <c r="V257" s="16">
        <f t="shared" si="25"/>
        <v>0</v>
      </c>
      <c r="W257" s="16" t="e">
        <f t="shared" si="22"/>
        <v>#DIV/0!</v>
      </c>
      <c r="X257" s="16" t="e">
        <f t="shared" si="23"/>
        <v>#DIV/0!</v>
      </c>
      <c r="Y257" s="16" t="e">
        <f t="shared" si="27"/>
        <v>#DIV/0!</v>
      </c>
      <c r="Z257" s="16" t="e">
        <f t="shared" si="26"/>
        <v>#DIV/0!</v>
      </c>
      <c r="AA257" s="16" t="e">
        <f>$K257/$H257</f>
        <v>#DIV/0!</v>
      </c>
      <c r="AB257" s="16">
        <f t="shared" si="24"/>
        <v>0</v>
      </c>
    </row>
    <row r="258" spans="1:28" x14ac:dyDescent="0.2">
      <c r="A258" s="15" t="s">
        <v>1303</v>
      </c>
      <c r="B258" s="15" t="s">
        <v>43</v>
      </c>
      <c r="C258" s="15">
        <v>29</v>
      </c>
      <c r="D258" s="15">
        <v>4</v>
      </c>
      <c r="E258" s="15" t="s">
        <v>391</v>
      </c>
      <c r="F258" s="15" t="s">
        <v>1270</v>
      </c>
      <c r="G258" s="15">
        <v>0</v>
      </c>
      <c r="H258" s="15">
        <v>0</v>
      </c>
      <c r="I258" s="15">
        <v>0</v>
      </c>
      <c r="J258" s="15">
        <v>0</v>
      </c>
      <c r="K258" s="15">
        <v>0</v>
      </c>
      <c r="L258" s="15">
        <v>0</v>
      </c>
      <c r="M258" s="15">
        <v>0</v>
      </c>
      <c r="N258" s="15">
        <v>0</v>
      </c>
      <c r="O258" s="15">
        <v>0</v>
      </c>
      <c r="P258" s="15">
        <v>0</v>
      </c>
      <c r="Q258" s="15">
        <v>0</v>
      </c>
      <c r="R258" s="15">
        <v>0</v>
      </c>
      <c r="S258" s="15">
        <v>0</v>
      </c>
      <c r="T258" s="15">
        <v>0</v>
      </c>
      <c r="U258" s="15">
        <v>0</v>
      </c>
      <c r="V258" s="15">
        <f t="shared" si="25"/>
        <v>0</v>
      </c>
      <c r="W258" s="15" t="e">
        <f t="shared" ref="W258:W321" si="28">$P258/$H$33</f>
        <v>#DIV/0!</v>
      </c>
      <c r="X258" s="15" t="e">
        <f t="shared" ref="X258:X321" si="29">$N258/$M258</f>
        <v>#DIV/0!</v>
      </c>
      <c r="Y258" s="15" t="e">
        <f t="shared" si="27"/>
        <v>#DIV/0!</v>
      </c>
      <c r="Z258" s="15" t="e">
        <f t="shared" si="26"/>
        <v>#DIV/0!</v>
      </c>
      <c r="AA258" s="15" t="e">
        <f>$K258/$H258</f>
        <v>#DIV/0!</v>
      </c>
      <c r="AB258" s="15">
        <f t="shared" ref="AB258:AB321" si="30">($J258*Cp_yd)+($K258*Cp_td)+($L258*Cint)+($M258*Ccar)+($N258*Cr_yd)+($O258*Cr_td)+(Q258*Crec)+($R258*Crec_yd)+($S258*Crec_td)+($T258*Cfmb)+($U258*Ctp_c)</f>
        <v>0</v>
      </c>
    </row>
    <row r="259" spans="1:28" x14ac:dyDescent="0.2">
      <c r="A259" s="16" t="s">
        <v>1304</v>
      </c>
      <c r="B259" s="16" t="s">
        <v>43</v>
      </c>
      <c r="C259" s="16">
        <v>26</v>
      </c>
      <c r="D259" s="16">
        <v>1</v>
      </c>
      <c r="E259" s="16" t="s">
        <v>1305</v>
      </c>
      <c r="F259" s="16" t="s">
        <v>1270</v>
      </c>
      <c r="G259" s="16">
        <v>0</v>
      </c>
      <c r="H259" s="16">
        <v>0</v>
      </c>
      <c r="I259" s="16">
        <v>0</v>
      </c>
      <c r="J259" s="16">
        <v>0</v>
      </c>
      <c r="K259" s="16">
        <v>0</v>
      </c>
      <c r="L259" s="16">
        <v>0</v>
      </c>
      <c r="M259" s="16">
        <v>0</v>
      </c>
      <c r="N259" s="16">
        <v>0</v>
      </c>
      <c r="O259" s="16">
        <v>0</v>
      </c>
      <c r="P259" s="16">
        <v>0</v>
      </c>
      <c r="Q259" s="16">
        <v>0</v>
      </c>
      <c r="R259" s="16">
        <v>0</v>
      </c>
      <c r="S259" s="16">
        <v>0</v>
      </c>
      <c r="T259" s="16">
        <v>0</v>
      </c>
      <c r="U259" s="16">
        <v>0</v>
      </c>
      <c r="V259" s="16">
        <f t="shared" ref="V259:V322" si="31">($J259*0.04)+($K259*4)+($L259*-2)+($N259*0.1)+($O259*6)+($Q259)+($R259*0.1)+($S259*6)+($T259*-2)</f>
        <v>0</v>
      </c>
      <c r="W259" s="16" t="e">
        <f t="shared" si="28"/>
        <v>#DIV/0!</v>
      </c>
      <c r="X259" s="16" t="e">
        <f t="shared" si="29"/>
        <v>#DIV/0!</v>
      </c>
      <c r="Y259" s="16" t="e">
        <f t="shared" si="27"/>
        <v>#DIV/0!</v>
      </c>
      <c r="Z259" s="16" t="e">
        <f t="shared" si="26"/>
        <v>#DIV/0!</v>
      </c>
      <c r="AA259" s="16" t="e">
        <f>$K259/$H259</f>
        <v>#DIV/0!</v>
      </c>
      <c r="AB259" s="16">
        <f t="shared" si="30"/>
        <v>0</v>
      </c>
    </row>
    <row r="260" spans="1:28" x14ac:dyDescent="0.2">
      <c r="A260" s="15" t="s">
        <v>1306</v>
      </c>
      <c r="B260" s="15" t="s">
        <v>43</v>
      </c>
      <c r="C260" s="15">
        <v>23</v>
      </c>
      <c r="D260" s="15">
        <v>2</v>
      </c>
      <c r="E260" s="15" t="s">
        <v>213</v>
      </c>
      <c r="F260" s="15" t="s">
        <v>1270</v>
      </c>
      <c r="G260" s="15">
        <v>0</v>
      </c>
      <c r="H260" s="15">
        <v>0</v>
      </c>
      <c r="I260" s="15">
        <v>0</v>
      </c>
      <c r="J260" s="15">
        <v>0</v>
      </c>
      <c r="K260" s="15">
        <v>0</v>
      </c>
      <c r="L260" s="15">
        <v>0</v>
      </c>
      <c r="M260" s="15">
        <v>0</v>
      </c>
      <c r="N260" s="15">
        <v>0</v>
      </c>
      <c r="O260" s="15">
        <v>0</v>
      </c>
      <c r="P260" s="15">
        <v>0</v>
      </c>
      <c r="Q260" s="15">
        <v>0</v>
      </c>
      <c r="R260" s="15">
        <v>0</v>
      </c>
      <c r="S260" s="15">
        <v>0</v>
      </c>
      <c r="T260" s="15">
        <v>0</v>
      </c>
      <c r="U260" s="15">
        <v>0</v>
      </c>
      <c r="V260" s="15">
        <f t="shared" si="31"/>
        <v>0</v>
      </c>
      <c r="W260" s="15" t="e">
        <f t="shared" si="28"/>
        <v>#DIV/0!</v>
      </c>
      <c r="X260" s="15" t="e">
        <f t="shared" si="29"/>
        <v>#DIV/0!</v>
      </c>
      <c r="Y260" s="15" t="e">
        <f t="shared" si="27"/>
        <v>#DIV/0!</v>
      </c>
      <c r="Z260" s="15" t="e">
        <f t="shared" si="26"/>
        <v>#DIV/0!</v>
      </c>
      <c r="AA260" s="15" t="e">
        <f>$K260/$H260</f>
        <v>#DIV/0!</v>
      </c>
      <c r="AB260" s="15">
        <f t="shared" si="30"/>
        <v>0</v>
      </c>
    </row>
    <row r="261" spans="1:28" x14ac:dyDescent="0.2">
      <c r="A261" s="16" t="s">
        <v>1307</v>
      </c>
      <c r="B261" s="16" t="s">
        <v>43</v>
      </c>
      <c r="C261" s="16">
        <v>23</v>
      </c>
      <c r="D261" s="16">
        <v>0</v>
      </c>
      <c r="E261" s="16" t="s">
        <v>95</v>
      </c>
      <c r="F261" s="16" t="s">
        <v>1270</v>
      </c>
      <c r="G261" s="16">
        <v>0</v>
      </c>
      <c r="H261" s="16">
        <v>0</v>
      </c>
      <c r="I261" s="16">
        <v>0</v>
      </c>
      <c r="J261" s="16">
        <v>0</v>
      </c>
      <c r="K261" s="16">
        <v>0</v>
      </c>
      <c r="L261" s="16">
        <v>0</v>
      </c>
      <c r="M261" s="16">
        <v>0</v>
      </c>
      <c r="N261" s="16">
        <v>0</v>
      </c>
      <c r="O261" s="16">
        <v>0</v>
      </c>
      <c r="P261" s="16">
        <v>0</v>
      </c>
      <c r="Q261" s="16">
        <v>0</v>
      </c>
      <c r="R261" s="16">
        <v>0</v>
      </c>
      <c r="S261" s="16">
        <v>0</v>
      </c>
      <c r="T261" s="16">
        <v>0</v>
      </c>
      <c r="U261" s="16">
        <v>0</v>
      </c>
      <c r="V261" s="16">
        <f t="shared" si="31"/>
        <v>0</v>
      </c>
      <c r="W261" s="16" t="e">
        <f t="shared" si="28"/>
        <v>#DIV/0!</v>
      </c>
      <c r="X261" s="16" t="e">
        <f t="shared" si="29"/>
        <v>#DIV/0!</v>
      </c>
      <c r="Y261" s="16" t="e">
        <f t="shared" si="27"/>
        <v>#DIV/0!</v>
      </c>
      <c r="Z261" s="16" t="e">
        <f t="shared" si="26"/>
        <v>#DIV/0!</v>
      </c>
      <c r="AA261" s="16" t="e">
        <f>$K261/$H261</f>
        <v>#DIV/0!</v>
      </c>
      <c r="AB261" s="16">
        <f t="shared" si="30"/>
        <v>0</v>
      </c>
    </row>
    <row r="262" spans="1:28" x14ac:dyDescent="0.2">
      <c r="A262" s="15" t="s">
        <v>1308</v>
      </c>
      <c r="B262" s="15" t="s">
        <v>43</v>
      </c>
      <c r="C262" s="15">
        <v>24</v>
      </c>
      <c r="D262" s="15">
        <v>2</v>
      </c>
      <c r="E262" s="15" t="s">
        <v>1309</v>
      </c>
      <c r="F262" s="15" t="s">
        <v>1270</v>
      </c>
      <c r="G262" s="15">
        <v>0</v>
      </c>
      <c r="H262" s="15">
        <v>0</v>
      </c>
      <c r="I262" s="15">
        <v>0</v>
      </c>
      <c r="J262" s="15">
        <v>0</v>
      </c>
      <c r="K262" s="15">
        <v>0</v>
      </c>
      <c r="L262" s="15">
        <v>0</v>
      </c>
      <c r="M262" s="15">
        <v>0</v>
      </c>
      <c r="N262" s="15">
        <v>0</v>
      </c>
      <c r="O262" s="15">
        <v>0</v>
      </c>
      <c r="P262" s="15">
        <v>0</v>
      </c>
      <c r="Q262" s="15">
        <v>0</v>
      </c>
      <c r="R262" s="15">
        <v>0</v>
      </c>
      <c r="S262" s="15">
        <v>0</v>
      </c>
      <c r="T262" s="15">
        <v>0</v>
      </c>
      <c r="U262" s="15">
        <v>0</v>
      </c>
      <c r="V262" s="15">
        <f t="shared" si="31"/>
        <v>0</v>
      </c>
      <c r="W262" s="15" t="e">
        <f t="shared" si="28"/>
        <v>#DIV/0!</v>
      </c>
      <c r="X262" s="15" t="e">
        <f t="shared" si="29"/>
        <v>#DIV/0!</v>
      </c>
      <c r="Y262" s="15" t="e">
        <f t="shared" si="27"/>
        <v>#DIV/0!</v>
      </c>
      <c r="Z262" s="15" t="e">
        <f t="shared" si="26"/>
        <v>#DIV/0!</v>
      </c>
      <c r="AA262" s="15" t="e">
        <f>$K262/$H262</f>
        <v>#DIV/0!</v>
      </c>
      <c r="AB262" s="15">
        <f t="shared" si="30"/>
        <v>0</v>
      </c>
    </row>
    <row r="263" spans="1:28" x14ac:dyDescent="0.2">
      <c r="A263" s="16" t="s">
        <v>1310</v>
      </c>
      <c r="B263" s="16" t="s">
        <v>43</v>
      </c>
      <c r="C263" s="16">
        <v>27</v>
      </c>
      <c r="D263" s="16">
        <v>6</v>
      </c>
      <c r="E263" s="16" t="s">
        <v>282</v>
      </c>
      <c r="F263" s="16" t="s">
        <v>1270</v>
      </c>
      <c r="G263" s="16">
        <v>0</v>
      </c>
      <c r="H263" s="16">
        <v>0</v>
      </c>
      <c r="I263" s="16">
        <v>0</v>
      </c>
      <c r="J263" s="16">
        <v>0</v>
      </c>
      <c r="K263" s="16">
        <v>0</v>
      </c>
      <c r="L263" s="16">
        <v>0</v>
      </c>
      <c r="M263" s="16">
        <v>0</v>
      </c>
      <c r="N263" s="16">
        <v>0</v>
      </c>
      <c r="O263" s="16">
        <v>0</v>
      </c>
      <c r="P263" s="16">
        <v>0</v>
      </c>
      <c r="Q263" s="16">
        <v>0</v>
      </c>
      <c r="R263" s="16">
        <v>0</v>
      </c>
      <c r="S263" s="16">
        <v>0</v>
      </c>
      <c r="T263" s="16">
        <v>0</v>
      </c>
      <c r="U263" s="16">
        <v>0</v>
      </c>
      <c r="V263" s="16">
        <f t="shared" si="31"/>
        <v>0</v>
      </c>
      <c r="W263" s="16" t="e">
        <f t="shared" si="28"/>
        <v>#DIV/0!</v>
      </c>
      <c r="X263" s="16" t="e">
        <f t="shared" si="29"/>
        <v>#DIV/0!</v>
      </c>
      <c r="Y263" s="16" t="e">
        <f t="shared" si="27"/>
        <v>#DIV/0!</v>
      </c>
      <c r="Z263" s="16" t="e">
        <f t="shared" si="26"/>
        <v>#DIV/0!</v>
      </c>
      <c r="AA263" s="16" t="e">
        <f>$K263/$H263</f>
        <v>#DIV/0!</v>
      </c>
      <c r="AB263" s="16">
        <f t="shared" si="30"/>
        <v>0</v>
      </c>
    </row>
    <row r="264" spans="1:28" x14ac:dyDescent="0.2">
      <c r="A264" s="15" t="s">
        <v>1346</v>
      </c>
      <c r="B264" s="15" t="s">
        <v>43</v>
      </c>
      <c r="C264" s="15">
        <v>34</v>
      </c>
      <c r="D264" s="15">
        <v>12</v>
      </c>
      <c r="E264" s="15" t="s">
        <v>237</v>
      </c>
      <c r="F264" s="15" t="s">
        <v>1320</v>
      </c>
      <c r="G264" s="15">
        <v>0</v>
      </c>
      <c r="H264" s="15">
        <v>0</v>
      </c>
      <c r="I264" s="15">
        <v>0</v>
      </c>
      <c r="J264" s="15">
        <v>0</v>
      </c>
      <c r="K264" s="15">
        <v>0</v>
      </c>
      <c r="L264" s="15">
        <v>0</v>
      </c>
      <c r="M264" s="15">
        <v>0</v>
      </c>
      <c r="N264" s="15">
        <v>0</v>
      </c>
      <c r="O264" s="15">
        <v>0</v>
      </c>
      <c r="P264" s="15">
        <v>0</v>
      </c>
      <c r="Q264" s="15">
        <v>0</v>
      </c>
      <c r="R264" s="15">
        <v>0</v>
      </c>
      <c r="S264" s="15">
        <v>0</v>
      </c>
      <c r="T264" s="15">
        <v>0</v>
      </c>
      <c r="U264" s="15">
        <v>0</v>
      </c>
      <c r="V264" s="15">
        <f t="shared" si="31"/>
        <v>0</v>
      </c>
      <c r="W264" s="15" t="e">
        <f t="shared" si="28"/>
        <v>#DIV/0!</v>
      </c>
      <c r="X264" s="15" t="e">
        <f t="shared" si="29"/>
        <v>#DIV/0!</v>
      </c>
      <c r="Y264" s="15" t="e">
        <f t="shared" si="27"/>
        <v>#DIV/0!</v>
      </c>
      <c r="Z264" s="15" t="e">
        <f t="shared" si="26"/>
        <v>#DIV/0!</v>
      </c>
      <c r="AA264" s="15" t="e">
        <f>$K264/$H264</f>
        <v>#DIV/0!</v>
      </c>
      <c r="AB264" s="15">
        <f t="shared" si="30"/>
        <v>0</v>
      </c>
    </row>
    <row r="265" spans="1:28" x14ac:dyDescent="0.2">
      <c r="A265" s="16" t="s">
        <v>1347</v>
      </c>
      <c r="B265" s="16" t="s">
        <v>43</v>
      </c>
      <c r="C265" s="16">
        <v>26</v>
      </c>
      <c r="D265" s="16">
        <v>5</v>
      </c>
      <c r="E265" s="16" t="s">
        <v>213</v>
      </c>
      <c r="F265" s="16" t="s">
        <v>1320</v>
      </c>
      <c r="G265" s="16">
        <v>0</v>
      </c>
      <c r="H265" s="16">
        <v>0</v>
      </c>
      <c r="I265" s="16">
        <v>0</v>
      </c>
      <c r="J265" s="16">
        <v>0</v>
      </c>
      <c r="K265" s="16">
        <v>0</v>
      </c>
      <c r="L265" s="16">
        <v>0</v>
      </c>
      <c r="M265" s="16">
        <v>0</v>
      </c>
      <c r="N265" s="16">
        <v>0</v>
      </c>
      <c r="O265" s="16">
        <v>0</v>
      </c>
      <c r="P265" s="16">
        <v>0</v>
      </c>
      <c r="Q265" s="16">
        <v>0</v>
      </c>
      <c r="R265" s="16">
        <v>0</v>
      </c>
      <c r="S265" s="16">
        <v>0</v>
      </c>
      <c r="T265" s="16">
        <v>0</v>
      </c>
      <c r="U265" s="16">
        <v>0</v>
      </c>
      <c r="V265" s="16">
        <f t="shared" si="31"/>
        <v>0</v>
      </c>
      <c r="W265" s="16" t="e">
        <f t="shared" si="28"/>
        <v>#DIV/0!</v>
      </c>
      <c r="X265" s="16" t="e">
        <f t="shared" si="29"/>
        <v>#DIV/0!</v>
      </c>
      <c r="Y265" s="16" t="e">
        <f t="shared" si="27"/>
        <v>#DIV/0!</v>
      </c>
      <c r="Z265" s="16" t="e">
        <f t="shared" si="26"/>
        <v>#DIV/0!</v>
      </c>
      <c r="AA265" s="16" t="e">
        <f>$K265/$H265</f>
        <v>#DIV/0!</v>
      </c>
      <c r="AB265" s="16">
        <f t="shared" si="30"/>
        <v>0</v>
      </c>
    </row>
    <row r="266" spans="1:28" x14ac:dyDescent="0.2">
      <c r="A266" s="15" t="s">
        <v>1348</v>
      </c>
      <c r="B266" s="15" t="s">
        <v>43</v>
      </c>
      <c r="C266" s="15">
        <v>30</v>
      </c>
      <c r="D266" s="15">
        <v>9</v>
      </c>
      <c r="E266" s="15" t="s">
        <v>697</v>
      </c>
      <c r="F266" s="15" t="s">
        <v>1320</v>
      </c>
      <c r="G266" s="15">
        <v>0</v>
      </c>
      <c r="H266" s="15">
        <v>0</v>
      </c>
      <c r="I266" s="15">
        <v>0</v>
      </c>
      <c r="J266" s="15">
        <v>0</v>
      </c>
      <c r="K266" s="15">
        <v>0</v>
      </c>
      <c r="L266" s="15">
        <v>0</v>
      </c>
      <c r="M266" s="15">
        <v>0</v>
      </c>
      <c r="N266" s="15">
        <v>0</v>
      </c>
      <c r="O266" s="15">
        <v>0</v>
      </c>
      <c r="P266" s="15">
        <v>0</v>
      </c>
      <c r="Q266" s="15">
        <v>0</v>
      </c>
      <c r="R266" s="15">
        <v>0</v>
      </c>
      <c r="S266" s="15">
        <v>0</v>
      </c>
      <c r="T266" s="15">
        <v>0</v>
      </c>
      <c r="U266" s="15">
        <v>0</v>
      </c>
      <c r="V266" s="15">
        <f t="shared" si="31"/>
        <v>0</v>
      </c>
      <c r="W266" s="15" t="e">
        <f t="shared" si="28"/>
        <v>#DIV/0!</v>
      </c>
      <c r="X266" s="15" t="e">
        <f t="shared" si="29"/>
        <v>#DIV/0!</v>
      </c>
      <c r="Y266" s="15" t="e">
        <f t="shared" si="27"/>
        <v>#DIV/0!</v>
      </c>
      <c r="Z266" s="15" t="e">
        <f t="shared" si="26"/>
        <v>#DIV/0!</v>
      </c>
      <c r="AA266" s="15" t="e">
        <f>$K266/$H266</f>
        <v>#DIV/0!</v>
      </c>
      <c r="AB266" s="15">
        <f t="shared" si="30"/>
        <v>0</v>
      </c>
    </row>
    <row r="267" spans="1:28" x14ac:dyDescent="0.2">
      <c r="A267" s="16" t="s">
        <v>1349</v>
      </c>
      <c r="B267" s="16" t="s">
        <v>43</v>
      </c>
      <c r="C267" s="16">
        <v>23</v>
      </c>
      <c r="D267" s="16">
        <v>0</v>
      </c>
      <c r="E267" s="16" t="s">
        <v>344</v>
      </c>
      <c r="F267" s="16" t="s">
        <v>1320</v>
      </c>
      <c r="G267" s="16">
        <v>0</v>
      </c>
      <c r="H267" s="16">
        <v>0</v>
      </c>
      <c r="I267" s="16">
        <v>0</v>
      </c>
      <c r="J267" s="16">
        <v>0</v>
      </c>
      <c r="K267" s="16">
        <v>0</v>
      </c>
      <c r="L267" s="16">
        <v>0</v>
      </c>
      <c r="M267" s="16">
        <v>0</v>
      </c>
      <c r="N267" s="16">
        <v>0</v>
      </c>
      <c r="O267" s="16">
        <v>0</v>
      </c>
      <c r="P267" s="16">
        <v>0</v>
      </c>
      <c r="Q267" s="16">
        <v>0</v>
      </c>
      <c r="R267" s="16">
        <v>0</v>
      </c>
      <c r="S267" s="16">
        <v>0</v>
      </c>
      <c r="T267" s="16">
        <v>0</v>
      </c>
      <c r="U267" s="16">
        <v>0</v>
      </c>
      <c r="V267" s="16">
        <f t="shared" si="31"/>
        <v>0</v>
      </c>
      <c r="W267" s="16" t="e">
        <f t="shared" si="28"/>
        <v>#DIV/0!</v>
      </c>
      <c r="X267" s="16" t="e">
        <f t="shared" si="29"/>
        <v>#DIV/0!</v>
      </c>
      <c r="Y267" s="16" t="e">
        <f t="shared" si="27"/>
        <v>#DIV/0!</v>
      </c>
      <c r="Z267" s="16" t="e">
        <f t="shared" si="26"/>
        <v>#DIV/0!</v>
      </c>
      <c r="AA267" s="16" t="e">
        <f>$K267/$H267</f>
        <v>#DIV/0!</v>
      </c>
      <c r="AB267" s="16">
        <f t="shared" si="30"/>
        <v>0</v>
      </c>
    </row>
    <row r="268" spans="1:28" x14ac:dyDescent="0.2">
      <c r="A268" s="15" t="s">
        <v>1350</v>
      </c>
      <c r="B268" s="15" t="s">
        <v>43</v>
      </c>
      <c r="C268" s="15">
        <v>24</v>
      </c>
      <c r="D268" s="15">
        <v>3</v>
      </c>
      <c r="E268" s="15" t="s">
        <v>111</v>
      </c>
      <c r="F268" s="15" t="s">
        <v>1320</v>
      </c>
      <c r="G268" s="15">
        <v>0</v>
      </c>
      <c r="H268" s="15">
        <v>0</v>
      </c>
      <c r="I268" s="15">
        <v>0</v>
      </c>
      <c r="J268" s="15">
        <v>0</v>
      </c>
      <c r="K268" s="15">
        <v>0</v>
      </c>
      <c r="L268" s="15">
        <v>0</v>
      </c>
      <c r="M268" s="15">
        <v>0</v>
      </c>
      <c r="N268" s="15">
        <v>0</v>
      </c>
      <c r="O268" s="15">
        <v>0</v>
      </c>
      <c r="P268" s="15">
        <v>0</v>
      </c>
      <c r="Q268" s="15">
        <v>0</v>
      </c>
      <c r="R268" s="15">
        <v>0</v>
      </c>
      <c r="S268" s="15">
        <v>0</v>
      </c>
      <c r="T268" s="15">
        <v>0</v>
      </c>
      <c r="U268" s="15">
        <v>0</v>
      </c>
      <c r="V268" s="15">
        <f t="shared" si="31"/>
        <v>0</v>
      </c>
      <c r="W268" s="15" t="e">
        <f t="shared" si="28"/>
        <v>#DIV/0!</v>
      </c>
      <c r="X268" s="15" t="e">
        <f t="shared" si="29"/>
        <v>#DIV/0!</v>
      </c>
      <c r="Y268" s="15" t="e">
        <f t="shared" si="27"/>
        <v>#DIV/0!</v>
      </c>
      <c r="Z268" s="15" t="e">
        <f t="shared" ref="Z268:Z331" si="32">$I268/$H268</f>
        <v>#DIV/0!</v>
      </c>
      <c r="AA268" s="15" t="e">
        <f>$K268/$H268</f>
        <v>#DIV/0!</v>
      </c>
      <c r="AB268" s="15">
        <f t="shared" si="30"/>
        <v>0</v>
      </c>
    </row>
    <row r="269" spans="1:28" x14ac:dyDescent="0.2">
      <c r="A269" s="16" t="s">
        <v>1351</v>
      </c>
      <c r="B269" s="16" t="s">
        <v>43</v>
      </c>
      <c r="C269" s="16">
        <v>21</v>
      </c>
      <c r="D269" s="16">
        <v>0</v>
      </c>
      <c r="E269" s="16" t="s">
        <v>143</v>
      </c>
      <c r="F269" s="16" t="s">
        <v>1320</v>
      </c>
      <c r="G269" s="16">
        <v>0</v>
      </c>
      <c r="H269" s="16">
        <v>0</v>
      </c>
      <c r="I269" s="16">
        <v>0</v>
      </c>
      <c r="J269" s="16">
        <v>0</v>
      </c>
      <c r="K269" s="16">
        <v>0</v>
      </c>
      <c r="L269" s="16">
        <v>0</v>
      </c>
      <c r="M269" s="16">
        <v>0</v>
      </c>
      <c r="N269" s="16">
        <v>0</v>
      </c>
      <c r="O269" s="16">
        <v>0</v>
      </c>
      <c r="P269" s="16">
        <v>0</v>
      </c>
      <c r="Q269" s="16">
        <v>0</v>
      </c>
      <c r="R269" s="16">
        <v>0</v>
      </c>
      <c r="S269" s="16">
        <v>0</v>
      </c>
      <c r="T269" s="16">
        <v>0</v>
      </c>
      <c r="U269" s="16">
        <v>0</v>
      </c>
      <c r="V269" s="16">
        <f t="shared" si="31"/>
        <v>0</v>
      </c>
      <c r="W269" s="16" t="e">
        <f t="shared" si="28"/>
        <v>#DIV/0!</v>
      </c>
      <c r="X269" s="16" t="e">
        <f t="shared" si="29"/>
        <v>#DIV/0!</v>
      </c>
      <c r="Y269" s="16" t="e">
        <f t="shared" si="27"/>
        <v>#DIV/0!</v>
      </c>
      <c r="Z269" s="16" t="e">
        <f t="shared" si="32"/>
        <v>#DIV/0!</v>
      </c>
      <c r="AA269" s="16" t="e">
        <f>$K269/$H269</f>
        <v>#DIV/0!</v>
      </c>
      <c r="AB269" s="16">
        <f t="shared" si="30"/>
        <v>0</v>
      </c>
    </row>
    <row r="270" spans="1:28" x14ac:dyDescent="0.2">
      <c r="A270" s="15" t="s">
        <v>1352</v>
      </c>
      <c r="B270" s="15" t="s">
        <v>43</v>
      </c>
      <c r="C270" s="15">
        <v>25</v>
      </c>
      <c r="D270" s="15">
        <v>4</v>
      </c>
      <c r="E270" s="15" t="s">
        <v>66</v>
      </c>
      <c r="F270" s="15" t="s">
        <v>1320</v>
      </c>
      <c r="G270" s="15">
        <v>0</v>
      </c>
      <c r="H270" s="15">
        <v>0</v>
      </c>
      <c r="I270" s="15">
        <v>0</v>
      </c>
      <c r="J270" s="15">
        <v>0</v>
      </c>
      <c r="K270" s="15">
        <v>0</v>
      </c>
      <c r="L270" s="15">
        <v>0</v>
      </c>
      <c r="M270" s="15">
        <v>0</v>
      </c>
      <c r="N270" s="15">
        <v>0</v>
      </c>
      <c r="O270" s="15">
        <v>0</v>
      </c>
      <c r="P270" s="15">
        <v>0</v>
      </c>
      <c r="Q270" s="15">
        <v>0</v>
      </c>
      <c r="R270" s="15">
        <v>0</v>
      </c>
      <c r="S270" s="15">
        <v>0</v>
      </c>
      <c r="T270" s="15">
        <v>0</v>
      </c>
      <c r="U270" s="15">
        <v>0</v>
      </c>
      <c r="V270" s="15">
        <f t="shared" si="31"/>
        <v>0</v>
      </c>
      <c r="W270" s="15" t="e">
        <f t="shared" si="28"/>
        <v>#DIV/0!</v>
      </c>
      <c r="X270" s="15" t="e">
        <f t="shared" si="29"/>
        <v>#DIV/0!</v>
      </c>
      <c r="Y270" s="15" t="e">
        <f t="shared" si="27"/>
        <v>#DIV/0!</v>
      </c>
      <c r="Z270" s="15" t="e">
        <f t="shared" si="32"/>
        <v>#DIV/0!</v>
      </c>
      <c r="AA270" s="15" t="e">
        <f>$K270/$H270</f>
        <v>#DIV/0!</v>
      </c>
      <c r="AB270" s="15">
        <f t="shared" si="30"/>
        <v>0</v>
      </c>
    </row>
    <row r="271" spans="1:28" x14ac:dyDescent="0.2">
      <c r="A271" s="16" t="s">
        <v>1353</v>
      </c>
      <c r="B271" s="16" t="s">
        <v>43</v>
      </c>
      <c r="C271" s="16">
        <v>29</v>
      </c>
      <c r="D271" s="16">
        <v>5</v>
      </c>
      <c r="E271" s="16" t="s">
        <v>86</v>
      </c>
      <c r="F271" s="16" t="s">
        <v>1320</v>
      </c>
      <c r="G271" s="16">
        <v>0</v>
      </c>
      <c r="H271" s="16">
        <v>0</v>
      </c>
      <c r="I271" s="16">
        <v>0</v>
      </c>
      <c r="J271" s="16">
        <v>0</v>
      </c>
      <c r="K271" s="16">
        <v>0</v>
      </c>
      <c r="L271" s="16">
        <v>0</v>
      </c>
      <c r="M271" s="16">
        <v>0</v>
      </c>
      <c r="N271" s="16">
        <v>0</v>
      </c>
      <c r="O271" s="16">
        <v>0</v>
      </c>
      <c r="P271" s="16">
        <v>0</v>
      </c>
      <c r="Q271" s="16">
        <v>0</v>
      </c>
      <c r="R271" s="16">
        <v>0</v>
      </c>
      <c r="S271" s="16">
        <v>0</v>
      </c>
      <c r="T271" s="16">
        <v>0</v>
      </c>
      <c r="U271" s="16">
        <v>0</v>
      </c>
      <c r="V271" s="16">
        <f t="shared" si="31"/>
        <v>0</v>
      </c>
      <c r="W271" s="16" t="e">
        <f t="shared" si="28"/>
        <v>#DIV/0!</v>
      </c>
      <c r="X271" s="16" t="e">
        <f t="shared" si="29"/>
        <v>#DIV/0!</v>
      </c>
      <c r="Y271" s="16" t="e">
        <f t="shared" si="27"/>
        <v>#DIV/0!</v>
      </c>
      <c r="Z271" s="16" t="e">
        <f t="shared" si="32"/>
        <v>#DIV/0!</v>
      </c>
      <c r="AA271" s="16" t="e">
        <f>$K271/$H271</f>
        <v>#DIV/0!</v>
      </c>
      <c r="AB271" s="16">
        <f t="shared" si="30"/>
        <v>0</v>
      </c>
    </row>
    <row r="272" spans="1:28" x14ac:dyDescent="0.2">
      <c r="A272" s="15" t="s">
        <v>1354</v>
      </c>
      <c r="B272" s="15" t="s">
        <v>43</v>
      </c>
      <c r="C272" s="15">
        <v>24</v>
      </c>
      <c r="D272" s="15">
        <v>1</v>
      </c>
      <c r="E272" s="15" t="s">
        <v>309</v>
      </c>
      <c r="F272" s="15" t="s">
        <v>1320</v>
      </c>
      <c r="G272" s="15">
        <v>0</v>
      </c>
      <c r="H272" s="15">
        <v>0</v>
      </c>
      <c r="I272" s="15">
        <v>0</v>
      </c>
      <c r="J272" s="15">
        <v>0</v>
      </c>
      <c r="K272" s="15">
        <v>0</v>
      </c>
      <c r="L272" s="15">
        <v>0</v>
      </c>
      <c r="M272" s="15">
        <v>0</v>
      </c>
      <c r="N272" s="15">
        <v>0</v>
      </c>
      <c r="O272" s="15">
        <v>0</v>
      </c>
      <c r="P272" s="15">
        <v>0</v>
      </c>
      <c r="Q272" s="15">
        <v>0</v>
      </c>
      <c r="R272" s="15">
        <v>0</v>
      </c>
      <c r="S272" s="15">
        <v>0</v>
      </c>
      <c r="T272" s="15">
        <v>0</v>
      </c>
      <c r="U272" s="15">
        <v>0</v>
      </c>
      <c r="V272" s="15">
        <f t="shared" si="31"/>
        <v>0</v>
      </c>
      <c r="W272" s="15" t="e">
        <f t="shared" si="28"/>
        <v>#DIV/0!</v>
      </c>
      <c r="X272" s="15" t="e">
        <f t="shared" si="29"/>
        <v>#DIV/0!</v>
      </c>
      <c r="Y272" s="15" t="e">
        <f t="shared" si="27"/>
        <v>#DIV/0!</v>
      </c>
      <c r="Z272" s="15" t="e">
        <f t="shared" si="32"/>
        <v>#DIV/0!</v>
      </c>
      <c r="AA272" s="15" t="e">
        <f>$K272/$H272</f>
        <v>#DIV/0!</v>
      </c>
      <c r="AB272" s="15">
        <f t="shared" si="30"/>
        <v>0</v>
      </c>
    </row>
    <row r="273" spans="1:28" x14ac:dyDescent="0.2">
      <c r="A273" s="16" t="s">
        <v>1355</v>
      </c>
      <c r="B273" s="16" t="s">
        <v>43</v>
      </c>
      <c r="C273" s="16">
        <v>22</v>
      </c>
      <c r="D273" s="16">
        <v>2</v>
      </c>
      <c r="E273" s="16" t="s">
        <v>150</v>
      </c>
      <c r="F273" s="16" t="s">
        <v>1320</v>
      </c>
      <c r="G273" s="16">
        <v>0</v>
      </c>
      <c r="H273" s="16">
        <v>0</v>
      </c>
      <c r="I273" s="16">
        <v>0</v>
      </c>
      <c r="J273" s="16">
        <v>0</v>
      </c>
      <c r="K273" s="16">
        <v>0</v>
      </c>
      <c r="L273" s="16">
        <v>0</v>
      </c>
      <c r="M273" s="16">
        <v>0</v>
      </c>
      <c r="N273" s="16">
        <v>0</v>
      </c>
      <c r="O273" s="16">
        <v>0</v>
      </c>
      <c r="P273" s="16">
        <v>0</v>
      </c>
      <c r="Q273" s="16">
        <v>0</v>
      </c>
      <c r="R273" s="16">
        <v>0</v>
      </c>
      <c r="S273" s="16">
        <v>0</v>
      </c>
      <c r="T273" s="16">
        <v>0</v>
      </c>
      <c r="U273" s="16">
        <v>0</v>
      </c>
      <c r="V273" s="16">
        <f t="shared" si="31"/>
        <v>0</v>
      </c>
      <c r="W273" s="16" t="e">
        <f t="shared" si="28"/>
        <v>#DIV/0!</v>
      </c>
      <c r="X273" s="16" t="e">
        <f t="shared" si="29"/>
        <v>#DIV/0!</v>
      </c>
      <c r="Y273" s="16" t="e">
        <f t="shared" si="27"/>
        <v>#DIV/0!</v>
      </c>
      <c r="Z273" s="16" t="e">
        <f t="shared" si="32"/>
        <v>#DIV/0!</v>
      </c>
      <c r="AA273" s="16" t="e">
        <f>$K273/$H273</f>
        <v>#DIV/0!</v>
      </c>
      <c r="AB273" s="16">
        <f t="shared" si="30"/>
        <v>0</v>
      </c>
    </row>
    <row r="274" spans="1:28" x14ac:dyDescent="0.2">
      <c r="A274" s="15" t="s">
        <v>1356</v>
      </c>
      <c r="B274" s="15" t="s">
        <v>43</v>
      </c>
      <c r="C274" s="15">
        <v>30</v>
      </c>
      <c r="D274" s="15">
        <v>8</v>
      </c>
      <c r="E274" s="15" t="s">
        <v>68</v>
      </c>
      <c r="F274" s="15" t="s">
        <v>1320</v>
      </c>
      <c r="G274" s="15">
        <v>0</v>
      </c>
      <c r="H274" s="15">
        <v>0</v>
      </c>
      <c r="I274" s="15">
        <v>0</v>
      </c>
      <c r="J274" s="15">
        <v>0</v>
      </c>
      <c r="K274" s="15">
        <v>0</v>
      </c>
      <c r="L274" s="15">
        <v>0</v>
      </c>
      <c r="M274" s="15">
        <v>0</v>
      </c>
      <c r="N274" s="15">
        <v>0</v>
      </c>
      <c r="O274" s="15">
        <v>0</v>
      </c>
      <c r="P274" s="15">
        <v>0</v>
      </c>
      <c r="Q274" s="15">
        <v>0</v>
      </c>
      <c r="R274" s="15">
        <v>0</v>
      </c>
      <c r="S274" s="15">
        <v>0</v>
      </c>
      <c r="T274" s="15">
        <v>0</v>
      </c>
      <c r="U274" s="15">
        <v>0</v>
      </c>
      <c r="V274" s="15">
        <f t="shared" si="31"/>
        <v>0</v>
      </c>
      <c r="W274" s="15" t="e">
        <f t="shared" si="28"/>
        <v>#DIV/0!</v>
      </c>
      <c r="X274" s="15" t="e">
        <f t="shared" si="29"/>
        <v>#DIV/0!</v>
      </c>
      <c r="Y274" s="15" t="e">
        <f t="shared" ref="Y274:Y337" si="33">$R274/$Q274</f>
        <v>#DIV/0!</v>
      </c>
      <c r="Z274" s="15" t="e">
        <f t="shared" si="32"/>
        <v>#DIV/0!</v>
      </c>
      <c r="AA274" s="15" t="e">
        <f>$K274/$H274</f>
        <v>#DIV/0!</v>
      </c>
      <c r="AB274" s="15">
        <f t="shared" si="30"/>
        <v>0</v>
      </c>
    </row>
    <row r="275" spans="1:28" x14ac:dyDescent="0.2">
      <c r="A275" s="16" t="s">
        <v>1357</v>
      </c>
      <c r="B275" s="16" t="s">
        <v>43</v>
      </c>
      <c r="C275" s="16">
        <v>27</v>
      </c>
      <c r="D275" s="16">
        <v>3</v>
      </c>
      <c r="E275" s="16" t="s">
        <v>344</v>
      </c>
      <c r="F275" s="16" t="s">
        <v>1320</v>
      </c>
      <c r="G275" s="16">
        <v>0</v>
      </c>
      <c r="H275" s="16">
        <v>0</v>
      </c>
      <c r="I275" s="16">
        <v>0</v>
      </c>
      <c r="J275" s="16">
        <v>0</v>
      </c>
      <c r="K275" s="16">
        <v>0</v>
      </c>
      <c r="L275" s="16">
        <v>0</v>
      </c>
      <c r="M275" s="16">
        <v>0</v>
      </c>
      <c r="N275" s="16">
        <v>0</v>
      </c>
      <c r="O275" s="16">
        <v>0</v>
      </c>
      <c r="P275" s="16">
        <v>0</v>
      </c>
      <c r="Q275" s="16">
        <v>0</v>
      </c>
      <c r="R275" s="16">
        <v>0</v>
      </c>
      <c r="S275" s="16">
        <v>0</v>
      </c>
      <c r="T275" s="16">
        <v>0</v>
      </c>
      <c r="U275" s="16">
        <v>0</v>
      </c>
      <c r="V275" s="16">
        <f t="shared" si="31"/>
        <v>0</v>
      </c>
      <c r="W275" s="16" t="e">
        <f t="shared" si="28"/>
        <v>#DIV/0!</v>
      </c>
      <c r="X275" s="16" t="e">
        <f t="shared" si="29"/>
        <v>#DIV/0!</v>
      </c>
      <c r="Y275" s="16" t="e">
        <f t="shared" si="33"/>
        <v>#DIV/0!</v>
      </c>
      <c r="Z275" s="16" t="e">
        <f t="shared" si="32"/>
        <v>#DIV/0!</v>
      </c>
      <c r="AA275" s="16" t="e">
        <f>$K275/$H275</f>
        <v>#DIV/0!</v>
      </c>
      <c r="AB275" s="16">
        <f t="shared" si="30"/>
        <v>0</v>
      </c>
    </row>
    <row r="276" spans="1:28" x14ac:dyDescent="0.2">
      <c r="A276" s="15" t="s">
        <v>1390</v>
      </c>
      <c r="B276" s="15" t="s">
        <v>43</v>
      </c>
      <c r="C276" s="15">
        <v>24</v>
      </c>
      <c r="D276" s="15">
        <v>0</v>
      </c>
      <c r="E276" s="15" t="s">
        <v>898</v>
      </c>
      <c r="F276" s="15" t="s">
        <v>1365</v>
      </c>
      <c r="G276" s="15">
        <v>0</v>
      </c>
      <c r="H276" s="15">
        <v>0</v>
      </c>
      <c r="I276" s="15">
        <v>0</v>
      </c>
      <c r="J276" s="15">
        <v>0</v>
      </c>
      <c r="K276" s="15">
        <v>0</v>
      </c>
      <c r="L276" s="15">
        <v>0</v>
      </c>
      <c r="M276" s="15">
        <v>0</v>
      </c>
      <c r="N276" s="15">
        <v>0</v>
      </c>
      <c r="O276" s="15">
        <v>0</v>
      </c>
      <c r="P276" s="15">
        <v>0</v>
      </c>
      <c r="Q276" s="15">
        <v>0</v>
      </c>
      <c r="R276" s="15">
        <v>0</v>
      </c>
      <c r="S276" s="15">
        <v>0</v>
      </c>
      <c r="T276" s="15">
        <v>0</v>
      </c>
      <c r="U276" s="15">
        <v>0</v>
      </c>
      <c r="V276" s="15">
        <f t="shared" si="31"/>
        <v>0</v>
      </c>
      <c r="W276" s="15" t="e">
        <f t="shared" si="28"/>
        <v>#DIV/0!</v>
      </c>
      <c r="X276" s="15" t="e">
        <f t="shared" si="29"/>
        <v>#DIV/0!</v>
      </c>
      <c r="Y276" s="15" t="e">
        <f t="shared" si="33"/>
        <v>#DIV/0!</v>
      </c>
      <c r="Z276" s="15" t="e">
        <f t="shared" si="32"/>
        <v>#DIV/0!</v>
      </c>
      <c r="AA276" s="15" t="e">
        <f>$K276/$H276</f>
        <v>#DIV/0!</v>
      </c>
      <c r="AB276" s="15">
        <f t="shared" si="30"/>
        <v>0</v>
      </c>
    </row>
    <row r="277" spans="1:28" x14ac:dyDescent="0.2">
      <c r="A277" s="16" t="s">
        <v>1391</v>
      </c>
      <c r="B277" s="16" t="s">
        <v>43</v>
      </c>
      <c r="C277" s="16">
        <v>26</v>
      </c>
      <c r="D277" s="16">
        <v>1</v>
      </c>
      <c r="E277" s="16" t="s">
        <v>1392</v>
      </c>
      <c r="F277" s="16" t="s">
        <v>1365</v>
      </c>
      <c r="G277" s="16">
        <v>0</v>
      </c>
      <c r="H277" s="16">
        <v>0</v>
      </c>
      <c r="I277" s="16">
        <v>0</v>
      </c>
      <c r="J277" s="16">
        <v>0</v>
      </c>
      <c r="K277" s="16">
        <v>0</v>
      </c>
      <c r="L277" s="16">
        <v>0</v>
      </c>
      <c r="M277" s="16">
        <v>0</v>
      </c>
      <c r="N277" s="16">
        <v>0</v>
      </c>
      <c r="O277" s="16">
        <v>0</v>
      </c>
      <c r="P277" s="16">
        <v>0</v>
      </c>
      <c r="Q277" s="16">
        <v>0</v>
      </c>
      <c r="R277" s="16">
        <v>0</v>
      </c>
      <c r="S277" s="16">
        <v>0</v>
      </c>
      <c r="T277" s="16">
        <v>0</v>
      </c>
      <c r="U277" s="16">
        <v>0</v>
      </c>
      <c r="V277" s="16">
        <f t="shared" si="31"/>
        <v>0</v>
      </c>
      <c r="W277" s="16" t="e">
        <f t="shared" si="28"/>
        <v>#DIV/0!</v>
      </c>
      <c r="X277" s="16" t="e">
        <f t="shared" si="29"/>
        <v>#DIV/0!</v>
      </c>
      <c r="Y277" s="16" t="e">
        <f t="shared" si="33"/>
        <v>#DIV/0!</v>
      </c>
      <c r="Z277" s="16" t="e">
        <f t="shared" si="32"/>
        <v>#DIV/0!</v>
      </c>
      <c r="AA277" s="16" t="e">
        <f>$K277/$H277</f>
        <v>#DIV/0!</v>
      </c>
      <c r="AB277" s="16">
        <f t="shared" si="30"/>
        <v>0</v>
      </c>
    </row>
    <row r="278" spans="1:28" x14ac:dyDescent="0.2">
      <c r="A278" s="15" t="s">
        <v>1393</v>
      </c>
      <c r="B278" s="15" t="s">
        <v>43</v>
      </c>
      <c r="C278" s="15">
        <v>32</v>
      </c>
      <c r="D278" s="15">
        <v>13</v>
      </c>
      <c r="E278" s="15" t="s">
        <v>150</v>
      </c>
      <c r="F278" s="15" t="s">
        <v>1365</v>
      </c>
      <c r="G278" s="15">
        <v>0</v>
      </c>
      <c r="H278" s="15">
        <v>0</v>
      </c>
      <c r="I278" s="15">
        <v>0</v>
      </c>
      <c r="J278" s="15">
        <v>0</v>
      </c>
      <c r="K278" s="15">
        <v>0</v>
      </c>
      <c r="L278" s="15">
        <v>0</v>
      </c>
      <c r="M278" s="15">
        <v>0</v>
      </c>
      <c r="N278" s="15">
        <v>0</v>
      </c>
      <c r="O278" s="15">
        <v>0</v>
      </c>
      <c r="P278" s="15">
        <v>0</v>
      </c>
      <c r="Q278" s="15">
        <v>0</v>
      </c>
      <c r="R278" s="15">
        <v>0</v>
      </c>
      <c r="S278" s="15">
        <v>0</v>
      </c>
      <c r="T278" s="15">
        <v>0</v>
      </c>
      <c r="U278" s="15">
        <v>0</v>
      </c>
      <c r="V278" s="15">
        <f t="shared" si="31"/>
        <v>0</v>
      </c>
      <c r="W278" s="15" t="e">
        <f t="shared" si="28"/>
        <v>#DIV/0!</v>
      </c>
      <c r="X278" s="15" t="e">
        <f t="shared" si="29"/>
        <v>#DIV/0!</v>
      </c>
      <c r="Y278" s="15" t="e">
        <f t="shared" si="33"/>
        <v>#DIV/0!</v>
      </c>
      <c r="Z278" s="15" t="e">
        <f t="shared" si="32"/>
        <v>#DIV/0!</v>
      </c>
      <c r="AA278" s="15" t="e">
        <f>$K278/$H278</f>
        <v>#DIV/0!</v>
      </c>
      <c r="AB278" s="15">
        <f t="shared" si="30"/>
        <v>0</v>
      </c>
    </row>
    <row r="279" spans="1:28" x14ac:dyDescent="0.2">
      <c r="A279" s="16" t="s">
        <v>1394</v>
      </c>
      <c r="B279" s="16" t="s">
        <v>43</v>
      </c>
      <c r="C279" s="16">
        <v>28</v>
      </c>
      <c r="D279" s="16">
        <v>7</v>
      </c>
      <c r="E279" s="16" t="s">
        <v>357</v>
      </c>
      <c r="F279" s="16" t="s">
        <v>1365</v>
      </c>
      <c r="G279" s="16">
        <v>0</v>
      </c>
      <c r="H279" s="16">
        <v>0</v>
      </c>
      <c r="I279" s="16">
        <v>0</v>
      </c>
      <c r="J279" s="16">
        <v>0</v>
      </c>
      <c r="K279" s="16">
        <v>0</v>
      </c>
      <c r="L279" s="16">
        <v>0</v>
      </c>
      <c r="M279" s="16">
        <v>0</v>
      </c>
      <c r="N279" s="16">
        <v>0</v>
      </c>
      <c r="O279" s="16">
        <v>0</v>
      </c>
      <c r="P279" s="16">
        <v>0</v>
      </c>
      <c r="Q279" s="16">
        <v>0</v>
      </c>
      <c r="R279" s="16">
        <v>0</v>
      </c>
      <c r="S279" s="16">
        <v>0</v>
      </c>
      <c r="T279" s="16">
        <v>0</v>
      </c>
      <c r="U279" s="16">
        <v>0</v>
      </c>
      <c r="V279" s="16">
        <f t="shared" si="31"/>
        <v>0</v>
      </c>
      <c r="W279" s="16" t="e">
        <f t="shared" si="28"/>
        <v>#DIV/0!</v>
      </c>
      <c r="X279" s="16" t="e">
        <f t="shared" si="29"/>
        <v>#DIV/0!</v>
      </c>
      <c r="Y279" s="16" t="e">
        <f t="shared" si="33"/>
        <v>#DIV/0!</v>
      </c>
      <c r="Z279" s="16" t="e">
        <f t="shared" si="32"/>
        <v>#DIV/0!</v>
      </c>
      <c r="AA279" s="16" t="e">
        <f>$K279/$H279</f>
        <v>#DIV/0!</v>
      </c>
      <c r="AB279" s="16">
        <f t="shared" si="30"/>
        <v>0</v>
      </c>
    </row>
    <row r="280" spans="1:28" x14ac:dyDescent="0.2">
      <c r="A280" s="15" t="s">
        <v>1395</v>
      </c>
      <c r="B280" s="15" t="s">
        <v>43</v>
      </c>
      <c r="C280" s="15">
        <v>30</v>
      </c>
      <c r="D280" s="15">
        <v>7</v>
      </c>
      <c r="E280" s="15" t="s">
        <v>72</v>
      </c>
      <c r="F280" s="15" t="s">
        <v>1365</v>
      </c>
      <c r="G280" s="15">
        <v>0</v>
      </c>
      <c r="H280" s="15">
        <v>0</v>
      </c>
      <c r="I280" s="15">
        <v>0</v>
      </c>
      <c r="J280" s="15">
        <v>0</v>
      </c>
      <c r="K280" s="15">
        <v>0</v>
      </c>
      <c r="L280" s="15">
        <v>0</v>
      </c>
      <c r="M280" s="15">
        <v>0</v>
      </c>
      <c r="N280" s="15">
        <v>0</v>
      </c>
      <c r="O280" s="15">
        <v>0</v>
      </c>
      <c r="P280" s="15">
        <v>0</v>
      </c>
      <c r="Q280" s="15">
        <v>0</v>
      </c>
      <c r="R280" s="15">
        <v>0</v>
      </c>
      <c r="S280" s="15">
        <v>0</v>
      </c>
      <c r="T280" s="15">
        <v>0</v>
      </c>
      <c r="U280" s="15">
        <v>0</v>
      </c>
      <c r="V280" s="15">
        <f t="shared" si="31"/>
        <v>0</v>
      </c>
      <c r="W280" s="15" t="e">
        <f t="shared" si="28"/>
        <v>#DIV/0!</v>
      </c>
      <c r="X280" s="15" t="e">
        <f t="shared" si="29"/>
        <v>#DIV/0!</v>
      </c>
      <c r="Y280" s="15" t="e">
        <f t="shared" si="33"/>
        <v>#DIV/0!</v>
      </c>
      <c r="Z280" s="15" t="e">
        <f t="shared" si="32"/>
        <v>#DIV/0!</v>
      </c>
      <c r="AA280" s="15" t="e">
        <f>$K280/$H280</f>
        <v>#DIV/0!</v>
      </c>
      <c r="AB280" s="15">
        <f t="shared" si="30"/>
        <v>0</v>
      </c>
    </row>
    <row r="281" spans="1:28" x14ac:dyDescent="0.2">
      <c r="A281" s="16" t="s">
        <v>1396</v>
      </c>
      <c r="B281" s="16" t="s">
        <v>43</v>
      </c>
      <c r="C281" s="16">
        <v>22</v>
      </c>
      <c r="D281" s="16">
        <v>0</v>
      </c>
      <c r="E281" s="16" t="s">
        <v>1397</v>
      </c>
      <c r="F281" s="16" t="s">
        <v>1365</v>
      </c>
      <c r="G281" s="16">
        <v>0</v>
      </c>
      <c r="H281" s="16">
        <v>0</v>
      </c>
      <c r="I281" s="16">
        <v>0</v>
      </c>
      <c r="J281" s="16">
        <v>0</v>
      </c>
      <c r="K281" s="16">
        <v>0</v>
      </c>
      <c r="L281" s="16">
        <v>0</v>
      </c>
      <c r="M281" s="16">
        <v>0</v>
      </c>
      <c r="N281" s="16">
        <v>0</v>
      </c>
      <c r="O281" s="16">
        <v>0</v>
      </c>
      <c r="P281" s="16">
        <v>0</v>
      </c>
      <c r="Q281" s="16">
        <v>0</v>
      </c>
      <c r="R281" s="16">
        <v>0</v>
      </c>
      <c r="S281" s="16">
        <v>0</v>
      </c>
      <c r="T281" s="16">
        <v>0</v>
      </c>
      <c r="U281" s="16">
        <v>0</v>
      </c>
      <c r="V281" s="16">
        <f t="shared" si="31"/>
        <v>0</v>
      </c>
      <c r="W281" s="16" t="e">
        <f t="shared" si="28"/>
        <v>#DIV/0!</v>
      </c>
      <c r="X281" s="16" t="e">
        <f t="shared" si="29"/>
        <v>#DIV/0!</v>
      </c>
      <c r="Y281" s="16" t="e">
        <f t="shared" si="33"/>
        <v>#DIV/0!</v>
      </c>
      <c r="Z281" s="16" t="e">
        <f t="shared" si="32"/>
        <v>#DIV/0!</v>
      </c>
      <c r="AA281" s="16" t="e">
        <f>$K281/$H281</f>
        <v>#DIV/0!</v>
      </c>
      <c r="AB281" s="16">
        <f t="shared" si="30"/>
        <v>0</v>
      </c>
    </row>
    <row r="282" spans="1:28" x14ac:dyDescent="0.2">
      <c r="A282" s="15" t="s">
        <v>1398</v>
      </c>
      <c r="B282" s="15" t="s">
        <v>43</v>
      </c>
      <c r="C282" s="15">
        <v>25</v>
      </c>
      <c r="D282" s="15">
        <v>5</v>
      </c>
      <c r="E282" s="15" t="s">
        <v>173</v>
      </c>
      <c r="F282" s="15" t="s">
        <v>1365</v>
      </c>
      <c r="G282" s="15">
        <v>0</v>
      </c>
      <c r="H282" s="15">
        <v>0</v>
      </c>
      <c r="I282" s="15">
        <v>0</v>
      </c>
      <c r="J282" s="15">
        <v>0</v>
      </c>
      <c r="K282" s="15">
        <v>0</v>
      </c>
      <c r="L282" s="15">
        <v>0</v>
      </c>
      <c r="M282" s="15">
        <v>0</v>
      </c>
      <c r="N282" s="15">
        <v>0</v>
      </c>
      <c r="O282" s="15">
        <v>0</v>
      </c>
      <c r="P282" s="15">
        <v>0</v>
      </c>
      <c r="Q282" s="15">
        <v>0</v>
      </c>
      <c r="R282" s="15">
        <v>0</v>
      </c>
      <c r="S282" s="15">
        <v>0</v>
      </c>
      <c r="T282" s="15">
        <v>0</v>
      </c>
      <c r="U282" s="15">
        <v>0</v>
      </c>
      <c r="V282" s="15">
        <f t="shared" si="31"/>
        <v>0</v>
      </c>
      <c r="W282" s="15" t="e">
        <f t="shared" si="28"/>
        <v>#DIV/0!</v>
      </c>
      <c r="X282" s="15" t="e">
        <f t="shared" si="29"/>
        <v>#DIV/0!</v>
      </c>
      <c r="Y282" s="15" t="e">
        <f t="shared" si="33"/>
        <v>#DIV/0!</v>
      </c>
      <c r="Z282" s="15" t="e">
        <f t="shared" si="32"/>
        <v>#DIV/0!</v>
      </c>
      <c r="AA282" s="15" t="e">
        <f>$K282/$H282</f>
        <v>#DIV/0!</v>
      </c>
      <c r="AB282" s="15">
        <f t="shared" si="30"/>
        <v>0</v>
      </c>
    </row>
    <row r="283" spans="1:28" x14ac:dyDescent="0.2">
      <c r="A283" s="16" t="s">
        <v>1399</v>
      </c>
      <c r="B283" s="16" t="s">
        <v>43</v>
      </c>
      <c r="C283" s="16">
        <v>24</v>
      </c>
      <c r="D283" s="16">
        <v>0</v>
      </c>
      <c r="E283" s="16" t="s">
        <v>677</v>
      </c>
      <c r="F283" s="16" t="s">
        <v>1365</v>
      </c>
      <c r="G283" s="16">
        <v>0</v>
      </c>
      <c r="H283" s="16">
        <v>0</v>
      </c>
      <c r="I283" s="16">
        <v>0</v>
      </c>
      <c r="J283" s="16">
        <v>0</v>
      </c>
      <c r="K283" s="16">
        <v>0</v>
      </c>
      <c r="L283" s="16">
        <v>0</v>
      </c>
      <c r="M283" s="16">
        <v>0</v>
      </c>
      <c r="N283" s="16">
        <v>0</v>
      </c>
      <c r="O283" s="16">
        <v>0</v>
      </c>
      <c r="P283" s="16">
        <v>0</v>
      </c>
      <c r="Q283" s="16">
        <v>0</v>
      </c>
      <c r="R283" s="16">
        <v>0</v>
      </c>
      <c r="S283" s="16">
        <v>0</v>
      </c>
      <c r="T283" s="16">
        <v>0</v>
      </c>
      <c r="U283" s="16">
        <v>0</v>
      </c>
      <c r="V283" s="16">
        <f t="shared" si="31"/>
        <v>0</v>
      </c>
      <c r="W283" s="16" t="e">
        <f t="shared" si="28"/>
        <v>#DIV/0!</v>
      </c>
      <c r="X283" s="16" t="e">
        <f t="shared" si="29"/>
        <v>#DIV/0!</v>
      </c>
      <c r="Y283" s="16" t="e">
        <f t="shared" si="33"/>
        <v>#DIV/0!</v>
      </c>
      <c r="Z283" s="16" t="e">
        <f t="shared" si="32"/>
        <v>#DIV/0!</v>
      </c>
      <c r="AA283" s="16" t="e">
        <f>$K283/$H283</f>
        <v>#DIV/0!</v>
      </c>
      <c r="AB283" s="16">
        <f t="shared" si="30"/>
        <v>0</v>
      </c>
    </row>
    <row r="284" spans="1:28" x14ac:dyDescent="0.2">
      <c r="A284" s="15" t="s">
        <v>1400</v>
      </c>
      <c r="B284" s="15" t="s">
        <v>43</v>
      </c>
      <c r="C284" s="15">
        <v>27</v>
      </c>
      <c r="D284" s="15">
        <v>5</v>
      </c>
      <c r="E284" s="15" t="s">
        <v>244</v>
      </c>
      <c r="F284" s="15" t="s">
        <v>1365</v>
      </c>
      <c r="G284" s="15">
        <v>0</v>
      </c>
      <c r="H284" s="15">
        <v>0</v>
      </c>
      <c r="I284" s="15">
        <v>0</v>
      </c>
      <c r="J284" s="15">
        <v>0</v>
      </c>
      <c r="K284" s="15">
        <v>0</v>
      </c>
      <c r="L284" s="15">
        <v>0</v>
      </c>
      <c r="M284" s="15">
        <v>0</v>
      </c>
      <c r="N284" s="15">
        <v>0</v>
      </c>
      <c r="O284" s="15">
        <v>0</v>
      </c>
      <c r="P284" s="15">
        <v>0</v>
      </c>
      <c r="Q284" s="15">
        <v>0</v>
      </c>
      <c r="R284" s="15">
        <v>0</v>
      </c>
      <c r="S284" s="15">
        <v>0</v>
      </c>
      <c r="T284" s="15">
        <v>0</v>
      </c>
      <c r="U284" s="15">
        <v>0</v>
      </c>
      <c r="V284" s="15">
        <f t="shared" si="31"/>
        <v>0</v>
      </c>
      <c r="W284" s="15" t="e">
        <f t="shared" si="28"/>
        <v>#DIV/0!</v>
      </c>
      <c r="X284" s="15" t="e">
        <f t="shared" si="29"/>
        <v>#DIV/0!</v>
      </c>
      <c r="Y284" s="15" t="e">
        <f t="shared" si="33"/>
        <v>#DIV/0!</v>
      </c>
      <c r="Z284" s="15" t="e">
        <f t="shared" si="32"/>
        <v>#DIV/0!</v>
      </c>
      <c r="AA284" s="15" t="e">
        <f>$K284/$H284</f>
        <v>#DIV/0!</v>
      </c>
      <c r="AB284" s="15">
        <f t="shared" si="30"/>
        <v>0</v>
      </c>
    </row>
    <row r="285" spans="1:28" x14ac:dyDescent="0.2">
      <c r="A285" s="16" t="s">
        <v>1401</v>
      </c>
      <c r="B285" s="16" t="s">
        <v>43</v>
      </c>
      <c r="C285" s="16">
        <v>23</v>
      </c>
      <c r="D285" s="16">
        <v>0</v>
      </c>
      <c r="E285" s="16" t="s">
        <v>1402</v>
      </c>
      <c r="F285" s="16" t="s">
        <v>1365</v>
      </c>
      <c r="G285" s="16">
        <v>0</v>
      </c>
      <c r="H285" s="16">
        <v>0</v>
      </c>
      <c r="I285" s="16">
        <v>0</v>
      </c>
      <c r="J285" s="16">
        <v>0</v>
      </c>
      <c r="K285" s="16">
        <v>0</v>
      </c>
      <c r="L285" s="16">
        <v>0</v>
      </c>
      <c r="M285" s="16">
        <v>0</v>
      </c>
      <c r="N285" s="16">
        <v>0</v>
      </c>
      <c r="O285" s="16">
        <v>0</v>
      </c>
      <c r="P285" s="16">
        <v>0</v>
      </c>
      <c r="Q285" s="16">
        <v>0</v>
      </c>
      <c r="R285" s="16">
        <v>0</v>
      </c>
      <c r="S285" s="16">
        <v>0</v>
      </c>
      <c r="T285" s="16">
        <v>0</v>
      </c>
      <c r="U285" s="16">
        <v>0</v>
      </c>
      <c r="V285" s="16">
        <f t="shared" si="31"/>
        <v>0</v>
      </c>
      <c r="W285" s="16" t="e">
        <f t="shared" si="28"/>
        <v>#DIV/0!</v>
      </c>
      <c r="X285" s="16" t="e">
        <f t="shared" si="29"/>
        <v>#DIV/0!</v>
      </c>
      <c r="Y285" s="16" t="e">
        <f t="shared" si="33"/>
        <v>#DIV/0!</v>
      </c>
      <c r="Z285" s="16" t="e">
        <f t="shared" si="32"/>
        <v>#DIV/0!</v>
      </c>
      <c r="AA285" s="16" t="e">
        <f>$K285/$H285</f>
        <v>#DIV/0!</v>
      </c>
      <c r="AB285" s="16">
        <f t="shared" si="30"/>
        <v>0</v>
      </c>
    </row>
    <row r="286" spans="1:28" x14ac:dyDescent="0.2">
      <c r="A286" s="15" t="s">
        <v>1403</v>
      </c>
      <c r="B286" s="15" t="s">
        <v>43</v>
      </c>
      <c r="C286" s="15">
        <v>27</v>
      </c>
      <c r="D286" s="15">
        <v>3</v>
      </c>
      <c r="E286" s="15" t="s">
        <v>1404</v>
      </c>
      <c r="F286" s="15" t="s">
        <v>1365</v>
      </c>
      <c r="G286" s="15">
        <v>0</v>
      </c>
      <c r="H286" s="15">
        <v>0</v>
      </c>
      <c r="I286" s="15">
        <v>0</v>
      </c>
      <c r="J286" s="15">
        <v>0</v>
      </c>
      <c r="K286" s="15">
        <v>0</v>
      </c>
      <c r="L286" s="15">
        <v>0</v>
      </c>
      <c r="M286" s="15">
        <v>0</v>
      </c>
      <c r="N286" s="15">
        <v>0</v>
      </c>
      <c r="O286" s="15">
        <v>0</v>
      </c>
      <c r="P286" s="15">
        <v>0</v>
      </c>
      <c r="Q286" s="15">
        <v>0</v>
      </c>
      <c r="R286" s="15">
        <v>0</v>
      </c>
      <c r="S286" s="15">
        <v>0</v>
      </c>
      <c r="T286" s="15">
        <v>0</v>
      </c>
      <c r="U286" s="15">
        <v>0</v>
      </c>
      <c r="V286" s="15">
        <f t="shared" si="31"/>
        <v>0</v>
      </c>
      <c r="W286" s="15" t="e">
        <f t="shared" si="28"/>
        <v>#DIV/0!</v>
      </c>
      <c r="X286" s="15" t="e">
        <f t="shared" si="29"/>
        <v>#DIV/0!</v>
      </c>
      <c r="Y286" s="15" t="e">
        <f t="shared" si="33"/>
        <v>#DIV/0!</v>
      </c>
      <c r="Z286" s="15" t="e">
        <f t="shared" si="32"/>
        <v>#DIV/0!</v>
      </c>
      <c r="AA286" s="15" t="e">
        <f>$K286/$H286</f>
        <v>#DIV/0!</v>
      </c>
      <c r="AB286" s="15">
        <f t="shared" si="30"/>
        <v>0</v>
      </c>
    </row>
    <row r="287" spans="1:28" x14ac:dyDescent="0.2">
      <c r="A287" s="16" t="s">
        <v>1436</v>
      </c>
      <c r="B287" s="16" t="s">
        <v>43</v>
      </c>
      <c r="C287" s="16">
        <v>28</v>
      </c>
      <c r="D287" s="16">
        <v>1</v>
      </c>
      <c r="E287" s="16" t="s">
        <v>205</v>
      </c>
      <c r="F287" s="16" t="s">
        <v>1413</v>
      </c>
      <c r="G287" s="16">
        <v>0</v>
      </c>
      <c r="H287" s="16">
        <v>0</v>
      </c>
      <c r="I287" s="16">
        <v>0</v>
      </c>
      <c r="J287" s="16">
        <v>0</v>
      </c>
      <c r="K287" s="16">
        <v>0</v>
      </c>
      <c r="L287" s="16">
        <v>0</v>
      </c>
      <c r="M287" s="16">
        <v>0</v>
      </c>
      <c r="N287" s="16">
        <v>0</v>
      </c>
      <c r="O287" s="16">
        <v>0</v>
      </c>
      <c r="P287" s="16">
        <v>0</v>
      </c>
      <c r="Q287" s="16">
        <v>0</v>
      </c>
      <c r="R287" s="16">
        <v>0</v>
      </c>
      <c r="S287" s="16">
        <v>0</v>
      </c>
      <c r="T287" s="16">
        <v>0</v>
      </c>
      <c r="U287" s="16">
        <v>0</v>
      </c>
      <c r="V287" s="16">
        <f t="shared" si="31"/>
        <v>0</v>
      </c>
      <c r="W287" s="16" t="e">
        <f t="shared" si="28"/>
        <v>#DIV/0!</v>
      </c>
      <c r="X287" s="16" t="e">
        <f t="shared" si="29"/>
        <v>#DIV/0!</v>
      </c>
      <c r="Y287" s="16" t="e">
        <f t="shared" si="33"/>
        <v>#DIV/0!</v>
      </c>
      <c r="Z287" s="16" t="e">
        <f t="shared" si="32"/>
        <v>#DIV/0!</v>
      </c>
      <c r="AA287" s="16" t="e">
        <f>$K287/$H287</f>
        <v>#DIV/0!</v>
      </c>
      <c r="AB287" s="16">
        <f t="shared" si="30"/>
        <v>0</v>
      </c>
    </row>
    <row r="288" spans="1:28" x14ac:dyDescent="0.2">
      <c r="A288" s="15" t="s">
        <v>1437</v>
      </c>
      <c r="B288" s="15" t="s">
        <v>43</v>
      </c>
      <c r="C288" s="15">
        <v>26</v>
      </c>
      <c r="D288" s="15">
        <v>5</v>
      </c>
      <c r="E288" s="15" t="s">
        <v>240</v>
      </c>
      <c r="F288" s="15" t="s">
        <v>1413</v>
      </c>
      <c r="G288" s="15">
        <v>0</v>
      </c>
      <c r="H288" s="15">
        <v>0</v>
      </c>
      <c r="I288" s="15">
        <v>0</v>
      </c>
      <c r="J288" s="15">
        <v>0</v>
      </c>
      <c r="K288" s="15">
        <v>0</v>
      </c>
      <c r="L288" s="15">
        <v>0</v>
      </c>
      <c r="M288" s="15">
        <v>0</v>
      </c>
      <c r="N288" s="15">
        <v>0</v>
      </c>
      <c r="O288" s="15">
        <v>0</v>
      </c>
      <c r="P288" s="15">
        <v>0</v>
      </c>
      <c r="Q288" s="15">
        <v>0</v>
      </c>
      <c r="R288" s="15">
        <v>0</v>
      </c>
      <c r="S288" s="15">
        <v>0</v>
      </c>
      <c r="T288" s="15">
        <v>0</v>
      </c>
      <c r="U288" s="15">
        <v>0</v>
      </c>
      <c r="V288" s="15">
        <f t="shared" si="31"/>
        <v>0</v>
      </c>
      <c r="W288" s="15" t="e">
        <f t="shared" si="28"/>
        <v>#DIV/0!</v>
      </c>
      <c r="X288" s="15" t="e">
        <f t="shared" si="29"/>
        <v>#DIV/0!</v>
      </c>
      <c r="Y288" s="15" t="e">
        <f t="shared" si="33"/>
        <v>#DIV/0!</v>
      </c>
      <c r="Z288" s="15" t="e">
        <f t="shared" si="32"/>
        <v>#DIV/0!</v>
      </c>
      <c r="AA288" s="15" t="e">
        <f>$K288/$H288</f>
        <v>#DIV/0!</v>
      </c>
      <c r="AB288" s="15">
        <f t="shared" si="30"/>
        <v>0</v>
      </c>
    </row>
    <row r="289" spans="1:28" x14ac:dyDescent="0.2">
      <c r="A289" s="16" t="s">
        <v>1438</v>
      </c>
      <c r="B289" s="16" t="s">
        <v>43</v>
      </c>
      <c r="C289" s="16">
        <v>27</v>
      </c>
      <c r="D289" s="16">
        <v>3</v>
      </c>
      <c r="E289" s="16" t="s">
        <v>458</v>
      </c>
      <c r="F289" s="16" t="s">
        <v>1413</v>
      </c>
      <c r="G289" s="16">
        <v>0</v>
      </c>
      <c r="H289" s="16">
        <v>0</v>
      </c>
      <c r="I289" s="16">
        <v>0</v>
      </c>
      <c r="J289" s="16">
        <v>0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f t="shared" si="31"/>
        <v>0</v>
      </c>
      <c r="W289" s="16" t="e">
        <f t="shared" si="28"/>
        <v>#DIV/0!</v>
      </c>
      <c r="X289" s="16" t="e">
        <f t="shared" si="29"/>
        <v>#DIV/0!</v>
      </c>
      <c r="Y289" s="16" t="e">
        <f t="shared" si="33"/>
        <v>#DIV/0!</v>
      </c>
      <c r="Z289" s="16" t="e">
        <f t="shared" si="32"/>
        <v>#DIV/0!</v>
      </c>
      <c r="AA289" s="16" t="e">
        <f>$K289/$H289</f>
        <v>#DIV/0!</v>
      </c>
      <c r="AB289" s="16">
        <f t="shared" si="30"/>
        <v>0</v>
      </c>
    </row>
    <row r="290" spans="1:28" x14ac:dyDescent="0.2">
      <c r="A290" s="15" t="s">
        <v>1439</v>
      </c>
      <c r="B290" s="15" t="s">
        <v>43</v>
      </c>
      <c r="C290" s="15">
        <v>25</v>
      </c>
      <c r="D290" s="15">
        <v>4</v>
      </c>
      <c r="E290" s="15" t="s">
        <v>178</v>
      </c>
      <c r="F290" s="15" t="s">
        <v>1413</v>
      </c>
      <c r="G290" s="15">
        <v>0</v>
      </c>
      <c r="H290" s="15">
        <v>0</v>
      </c>
      <c r="I290" s="15">
        <v>0</v>
      </c>
      <c r="J290" s="15">
        <v>0</v>
      </c>
      <c r="K290" s="15">
        <v>0</v>
      </c>
      <c r="L290" s="15">
        <v>0</v>
      </c>
      <c r="M290" s="15">
        <v>0</v>
      </c>
      <c r="N290" s="15">
        <v>0</v>
      </c>
      <c r="O290" s="15">
        <v>0</v>
      </c>
      <c r="P290" s="15">
        <v>0</v>
      </c>
      <c r="Q290" s="15">
        <v>0</v>
      </c>
      <c r="R290" s="15">
        <v>0</v>
      </c>
      <c r="S290" s="15">
        <v>0</v>
      </c>
      <c r="T290" s="15">
        <v>0</v>
      </c>
      <c r="U290" s="15">
        <v>0</v>
      </c>
      <c r="V290" s="15">
        <f t="shared" si="31"/>
        <v>0</v>
      </c>
      <c r="W290" s="15" t="e">
        <f t="shared" si="28"/>
        <v>#DIV/0!</v>
      </c>
      <c r="X290" s="15" t="e">
        <f t="shared" si="29"/>
        <v>#DIV/0!</v>
      </c>
      <c r="Y290" s="15" t="e">
        <f t="shared" si="33"/>
        <v>#DIV/0!</v>
      </c>
      <c r="Z290" s="15" t="e">
        <f t="shared" si="32"/>
        <v>#DIV/0!</v>
      </c>
      <c r="AA290" s="15" t="e">
        <f>$K290/$H290</f>
        <v>#DIV/0!</v>
      </c>
      <c r="AB290" s="15">
        <f t="shared" si="30"/>
        <v>0</v>
      </c>
    </row>
    <row r="291" spans="1:28" x14ac:dyDescent="0.2">
      <c r="A291" s="16" t="s">
        <v>1440</v>
      </c>
      <c r="B291" s="16" t="s">
        <v>43</v>
      </c>
      <c r="C291" s="16">
        <v>26</v>
      </c>
      <c r="D291" s="16">
        <v>2</v>
      </c>
      <c r="E291" s="16" t="s">
        <v>207</v>
      </c>
      <c r="F291" s="16" t="s">
        <v>1413</v>
      </c>
      <c r="G291" s="16">
        <v>0</v>
      </c>
      <c r="H291" s="16">
        <v>0</v>
      </c>
      <c r="I291" s="16">
        <v>0</v>
      </c>
      <c r="J291" s="16">
        <v>0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f t="shared" si="31"/>
        <v>0</v>
      </c>
      <c r="W291" s="16" t="e">
        <f t="shared" si="28"/>
        <v>#DIV/0!</v>
      </c>
      <c r="X291" s="16" t="e">
        <f t="shared" si="29"/>
        <v>#DIV/0!</v>
      </c>
      <c r="Y291" s="16" t="e">
        <f t="shared" si="33"/>
        <v>#DIV/0!</v>
      </c>
      <c r="Z291" s="16" t="e">
        <f t="shared" si="32"/>
        <v>#DIV/0!</v>
      </c>
      <c r="AA291" s="16" t="e">
        <f>$K291/$H291</f>
        <v>#DIV/0!</v>
      </c>
      <c r="AB291" s="16">
        <f t="shared" si="30"/>
        <v>0</v>
      </c>
    </row>
    <row r="292" spans="1:28" x14ac:dyDescent="0.2">
      <c r="A292" s="15" t="s">
        <v>1441</v>
      </c>
      <c r="B292" s="15" t="s">
        <v>43</v>
      </c>
      <c r="C292" s="15">
        <v>22</v>
      </c>
      <c r="D292" s="15">
        <v>0</v>
      </c>
      <c r="E292" s="15" t="s">
        <v>175</v>
      </c>
      <c r="F292" s="15" t="s">
        <v>1413</v>
      </c>
      <c r="G292" s="15">
        <v>0</v>
      </c>
      <c r="H292" s="15">
        <v>0</v>
      </c>
      <c r="I292" s="15">
        <v>0</v>
      </c>
      <c r="J292" s="15">
        <v>0</v>
      </c>
      <c r="K292" s="15">
        <v>0</v>
      </c>
      <c r="L292" s="15">
        <v>0</v>
      </c>
      <c r="M292" s="15">
        <v>0</v>
      </c>
      <c r="N292" s="15">
        <v>0</v>
      </c>
      <c r="O292" s="15">
        <v>0</v>
      </c>
      <c r="P292" s="15">
        <v>0</v>
      </c>
      <c r="Q292" s="15">
        <v>0</v>
      </c>
      <c r="R292" s="15">
        <v>0</v>
      </c>
      <c r="S292" s="15">
        <v>0</v>
      </c>
      <c r="T292" s="15">
        <v>0</v>
      </c>
      <c r="U292" s="15">
        <v>0</v>
      </c>
      <c r="V292" s="15">
        <f t="shared" si="31"/>
        <v>0</v>
      </c>
      <c r="W292" s="15" t="e">
        <f t="shared" si="28"/>
        <v>#DIV/0!</v>
      </c>
      <c r="X292" s="15" t="e">
        <f t="shared" si="29"/>
        <v>#DIV/0!</v>
      </c>
      <c r="Y292" s="15" t="e">
        <f t="shared" si="33"/>
        <v>#DIV/0!</v>
      </c>
      <c r="Z292" s="15" t="e">
        <f t="shared" si="32"/>
        <v>#DIV/0!</v>
      </c>
      <c r="AA292" s="15" t="e">
        <f>$K292/$H292</f>
        <v>#DIV/0!</v>
      </c>
      <c r="AB292" s="15">
        <f t="shared" si="30"/>
        <v>0</v>
      </c>
    </row>
    <row r="293" spans="1:28" x14ac:dyDescent="0.2">
      <c r="A293" s="16" t="s">
        <v>1442</v>
      </c>
      <c r="B293" s="16" t="s">
        <v>43</v>
      </c>
      <c r="C293" s="16">
        <v>23</v>
      </c>
      <c r="D293" s="16">
        <v>0</v>
      </c>
      <c r="E293" s="16" t="s">
        <v>1118</v>
      </c>
      <c r="F293" s="16" t="s">
        <v>1413</v>
      </c>
      <c r="G293" s="16">
        <v>0</v>
      </c>
      <c r="H293" s="16">
        <v>0</v>
      </c>
      <c r="I293" s="16">
        <v>0</v>
      </c>
      <c r="J293" s="16">
        <v>0</v>
      </c>
      <c r="K293" s="16">
        <v>0</v>
      </c>
      <c r="L293" s="16">
        <v>0</v>
      </c>
      <c r="M293" s="16">
        <v>0</v>
      </c>
      <c r="N293" s="16">
        <v>0</v>
      </c>
      <c r="O293" s="16">
        <v>0</v>
      </c>
      <c r="P293" s="16">
        <v>0</v>
      </c>
      <c r="Q293" s="16">
        <v>0</v>
      </c>
      <c r="R293" s="16">
        <v>0</v>
      </c>
      <c r="S293" s="16">
        <v>0</v>
      </c>
      <c r="T293" s="16">
        <v>0</v>
      </c>
      <c r="U293" s="16">
        <v>0</v>
      </c>
      <c r="V293" s="16">
        <f t="shared" si="31"/>
        <v>0</v>
      </c>
      <c r="W293" s="16" t="e">
        <f t="shared" si="28"/>
        <v>#DIV/0!</v>
      </c>
      <c r="X293" s="16" t="e">
        <f t="shared" si="29"/>
        <v>#DIV/0!</v>
      </c>
      <c r="Y293" s="16" t="e">
        <f t="shared" si="33"/>
        <v>#DIV/0!</v>
      </c>
      <c r="Z293" s="16" t="e">
        <f t="shared" si="32"/>
        <v>#DIV/0!</v>
      </c>
      <c r="AA293" s="16" t="e">
        <f>$K293/$H293</f>
        <v>#DIV/0!</v>
      </c>
      <c r="AB293" s="16">
        <f t="shared" si="30"/>
        <v>0</v>
      </c>
    </row>
    <row r="294" spans="1:28" x14ac:dyDescent="0.2">
      <c r="A294" s="15" t="s">
        <v>1443</v>
      </c>
      <c r="B294" s="15" t="s">
        <v>43</v>
      </c>
      <c r="C294" s="15">
        <v>22</v>
      </c>
      <c r="D294" s="15">
        <v>0</v>
      </c>
      <c r="E294" s="15" t="s">
        <v>458</v>
      </c>
      <c r="F294" s="15" t="s">
        <v>1413</v>
      </c>
      <c r="G294" s="15">
        <v>0</v>
      </c>
      <c r="H294" s="15">
        <v>0</v>
      </c>
      <c r="I294" s="15">
        <v>0</v>
      </c>
      <c r="J294" s="15">
        <v>0</v>
      </c>
      <c r="K294" s="15">
        <v>0</v>
      </c>
      <c r="L294" s="15">
        <v>0</v>
      </c>
      <c r="M294" s="15">
        <v>0</v>
      </c>
      <c r="N294" s="15">
        <v>0</v>
      </c>
      <c r="O294" s="15">
        <v>0</v>
      </c>
      <c r="P294" s="15">
        <v>0</v>
      </c>
      <c r="Q294" s="15">
        <v>0</v>
      </c>
      <c r="R294" s="15">
        <v>0</v>
      </c>
      <c r="S294" s="15">
        <v>0</v>
      </c>
      <c r="T294" s="15">
        <v>0</v>
      </c>
      <c r="U294" s="15">
        <v>0</v>
      </c>
      <c r="V294" s="15">
        <f t="shared" si="31"/>
        <v>0</v>
      </c>
      <c r="W294" s="15" t="e">
        <f t="shared" si="28"/>
        <v>#DIV/0!</v>
      </c>
      <c r="X294" s="15" t="e">
        <f t="shared" si="29"/>
        <v>#DIV/0!</v>
      </c>
      <c r="Y294" s="15" t="e">
        <f t="shared" si="33"/>
        <v>#DIV/0!</v>
      </c>
      <c r="Z294" s="15" t="e">
        <f t="shared" si="32"/>
        <v>#DIV/0!</v>
      </c>
      <c r="AA294" s="15" t="e">
        <f>$K294/$H294</f>
        <v>#DIV/0!</v>
      </c>
      <c r="AB294" s="15">
        <f t="shared" si="30"/>
        <v>0</v>
      </c>
    </row>
    <row r="295" spans="1:28" x14ac:dyDescent="0.2">
      <c r="A295" s="16" t="s">
        <v>1444</v>
      </c>
      <c r="B295" s="16" t="s">
        <v>43</v>
      </c>
      <c r="C295" s="16">
        <v>24</v>
      </c>
      <c r="D295" s="16">
        <v>1</v>
      </c>
      <c r="E295" s="16" t="s">
        <v>397</v>
      </c>
      <c r="F295" s="16" t="s">
        <v>1413</v>
      </c>
      <c r="G295" s="16">
        <v>0</v>
      </c>
      <c r="H295" s="16">
        <v>0</v>
      </c>
      <c r="I295" s="16">
        <v>0</v>
      </c>
      <c r="J295" s="16">
        <v>0</v>
      </c>
      <c r="K295" s="16">
        <v>0</v>
      </c>
      <c r="L295" s="16">
        <v>0</v>
      </c>
      <c r="M295" s="16">
        <v>0</v>
      </c>
      <c r="N295" s="16">
        <v>0</v>
      </c>
      <c r="O295" s="16">
        <v>0</v>
      </c>
      <c r="P295" s="16">
        <v>0</v>
      </c>
      <c r="Q295" s="16">
        <v>0</v>
      </c>
      <c r="R295" s="16">
        <v>0</v>
      </c>
      <c r="S295" s="16">
        <v>0</v>
      </c>
      <c r="T295" s="16">
        <v>0</v>
      </c>
      <c r="U295" s="16">
        <v>0</v>
      </c>
      <c r="V295" s="16">
        <f t="shared" si="31"/>
        <v>0</v>
      </c>
      <c r="W295" s="16" t="e">
        <f t="shared" si="28"/>
        <v>#DIV/0!</v>
      </c>
      <c r="X295" s="16" t="e">
        <f t="shared" si="29"/>
        <v>#DIV/0!</v>
      </c>
      <c r="Y295" s="16" t="e">
        <f t="shared" si="33"/>
        <v>#DIV/0!</v>
      </c>
      <c r="Z295" s="16" t="e">
        <f t="shared" si="32"/>
        <v>#DIV/0!</v>
      </c>
      <c r="AA295" s="16" t="e">
        <f>$K295/$H295</f>
        <v>#DIV/0!</v>
      </c>
      <c r="AB295" s="16">
        <f t="shared" si="30"/>
        <v>0</v>
      </c>
    </row>
    <row r="296" spans="1:28" x14ac:dyDescent="0.2">
      <c r="A296" s="15" t="s">
        <v>1445</v>
      </c>
      <c r="B296" s="15" t="s">
        <v>43</v>
      </c>
      <c r="C296" s="15">
        <v>24</v>
      </c>
      <c r="D296" s="15">
        <v>3</v>
      </c>
      <c r="E296" s="15" t="s">
        <v>153</v>
      </c>
      <c r="F296" s="15" t="s">
        <v>1413</v>
      </c>
      <c r="G296" s="15">
        <v>0</v>
      </c>
      <c r="H296" s="15">
        <v>0</v>
      </c>
      <c r="I296" s="15">
        <v>0</v>
      </c>
      <c r="J296" s="15">
        <v>0</v>
      </c>
      <c r="K296" s="15">
        <v>0</v>
      </c>
      <c r="L296" s="15">
        <v>0</v>
      </c>
      <c r="M296" s="15">
        <v>0</v>
      </c>
      <c r="N296" s="15">
        <v>0</v>
      </c>
      <c r="O296" s="15">
        <v>0</v>
      </c>
      <c r="P296" s="15">
        <v>0</v>
      </c>
      <c r="Q296" s="15">
        <v>0</v>
      </c>
      <c r="R296" s="15">
        <v>0</v>
      </c>
      <c r="S296" s="15">
        <v>0</v>
      </c>
      <c r="T296" s="15">
        <v>0</v>
      </c>
      <c r="U296" s="15">
        <v>0</v>
      </c>
      <c r="V296" s="15">
        <f t="shared" si="31"/>
        <v>0</v>
      </c>
      <c r="W296" s="15" t="e">
        <f t="shared" si="28"/>
        <v>#DIV/0!</v>
      </c>
      <c r="X296" s="15" t="e">
        <f t="shared" si="29"/>
        <v>#DIV/0!</v>
      </c>
      <c r="Y296" s="15" t="e">
        <f t="shared" si="33"/>
        <v>#DIV/0!</v>
      </c>
      <c r="Z296" s="15" t="e">
        <f t="shared" si="32"/>
        <v>#DIV/0!</v>
      </c>
      <c r="AA296" s="15" t="e">
        <f>$K296/$H296</f>
        <v>#DIV/0!</v>
      </c>
      <c r="AB296" s="15">
        <f t="shared" si="30"/>
        <v>0</v>
      </c>
    </row>
    <row r="297" spans="1:28" x14ac:dyDescent="0.2">
      <c r="A297" s="16" t="s">
        <v>1446</v>
      </c>
      <c r="B297" s="16" t="s">
        <v>43</v>
      </c>
      <c r="C297" s="16">
        <v>28</v>
      </c>
      <c r="D297" s="16">
        <v>4</v>
      </c>
      <c r="E297" s="16" t="s">
        <v>70</v>
      </c>
      <c r="F297" s="16" t="s">
        <v>1413</v>
      </c>
      <c r="G297" s="16">
        <v>0</v>
      </c>
      <c r="H297" s="16">
        <v>0</v>
      </c>
      <c r="I297" s="16">
        <v>0</v>
      </c>
      <c r="J297" s="16">
        <v>0</v>
      </c>
      <c r="K297" s="16">
        <v>0</v>
      </c>
      <c r="L297" s="16">
        <v>0</v>
      </c>
      <c r="M297" s="16">
        <v>0</v>
      </c>
      <c r="N297" s="16">
        <v>0</v>
      </c>
      <c r="O297" s="16">
        <v>0</v>
      </c>
      <c r="P297" s="16">
        <v>0</v>
      </c>
      <c r="Q297" s="16">
        <v>0</v>
      </c>
      <c r="R297" s="16">
        <v>0</v>
      </c>
      <c r="S297" s="16">
        <v>0</v>
      </c>
      <c r="T297" s="16">
        <v>0</v>
      </c>
      <c r="U297" s="16">
        <v>0</v>
      </c>
      <c r="V297" s="16">
        <f t="shared" si="31"/>
        <v>0</v>
      </c>
      <c r="W297" s="16" t="e">
        <f t="shared" si="28"/>
        <v>#DIV/0!</v>
      </c>
      <c r="X297" s="16" t="e">
        <f t="shared" si="29"/>
        <v>#DIV/0!</v>
      </c>
      <c r="Y297" s="16" t="e">
        <f t="shared" si="33"/>
        <v>#DIV/0!</v>
      </c>
      <c r="Z297" s="16" t="e">
        <f t="shared" si="32"/>
        <v>#DIV/0!</v>
      </c>
      <c r="AA297" s="16" t="e">
        <f>$K297/$H297</f>
        <v>#DIV/0!</v>
      </c>
      <c r="AB297" s="16">
        <f t="shared" si="30"/>
        <v>0</v>
      </c>
    </row>
    <row r="298" spans="1:28" x14ac:dyDescent="0.2">
      <c r="A298" s="15" t="s">
        <v>1447</v>
      </c>
      <c r="B298" s="15" t="s">
        <v>43</v>
      </c>
      <c r="C298" s="15">
        <v>25</v>
      </c>
      <c r="D298" s="15">
        <v>4</v>
      </c>
      <c r="E298" s="15" t="s">
        <v>898</v>
      </c>
      <c r="F298" s="15" t="s">
        <v>1413</v>
      </c>
      <c r="G298" s="15">
        <v>0</v>
      </c>
      <c r="H298" s="15">
        <v>0</v>
      </c>
      <c r="I298" s="15">
        <v>0</v>
      </c>
      <c r="J298" s="15">
        <v>0</v>
      </c>
      <c r="K298" s="15">
        <v>0</v>
      </c>
      <c r="L298" s="15">
        <v>0</v>
      </c>
      <c r="M298" s="15">
        <v>0</v>
      </c>
      <c r="N298" s="15">
        <v>0</v>
      </c>
      <c r="O298" s="15">
        <v>0</v>
      </c>
      <c r="P298" s="15">
        <v>0</v>
      </c>
      <c r="Q298" s="15">
        <v>0</v>
      </c>
      <c r="R298" s="15">
        <v>0</v>
      </c>
      <c r="S298" s="15">
        <v>0</v>
      </c>
      <c r="T298" s="15">
        <v>0</v>
      </c>
      <c r="U298" s="15">
        <v>0</v>
      </c>
      <c r="V298" s="15">
        <f t="shared" si="31"/>
        <v>0</v>
      </c>
      <c r="W298" s="15" t="e">
        <f t="shared" si="28"/>
        <v>#DIV/0!</v>
      </c>
      <c r="X298" s="15" t="e">
        <f t="shared" si="29"/>
        <v>#DIV/0!</v>
      </c>
      <c r="Y298" s="15" t="e">
        <f t="shared" si="33"/>
        <v>#DIV/0!</v>
      </c>
      <c r="Z298" s="15" t="e">
        <f t="shared" si="32"/>
        <v>#DIV/0!</v>
      </c>
      <c r="AA298" s="15" t="e">
        <f>$K298/$H298</f>
        <v>#DIV/0!</v>
      </c>
      <c r="AB298" s="15">
        <f t="shared" si="30"/>
        <v>0</v>
      </c>
    </row>
    <row r="299" spans="1:28" x14ac:dyDescent="0.2">
      <c r="A299" s="16" t="s">
        <v>1485</v>
      </c>
      <c r="B299" s="16" t="s">
        <v>43</v>
      </c>
      <c r="C299" s="16">
        <v>24</v>
      </c>
      <c r="D299" s="16">
        <v>2</v>
      </c>
      <c r="E299" s="16" t="s">
        <v>557</v>
      </c>
      <c r="F299" s="16" t="s">
        <v>1457</v>
      </c>
      <c r="G299" s="16">
        <v>0</v>
      </c>
      <c r="H299" s="16">
        <v>0</v>
      </c>
      <c r="I299" s="16">
        <v>0</v>
      </c>
      <c r="J299" s="16">
        <v>0</v>
      </c>
      <c r="K299" s="16">
        <v>0</v>
      </c>
      <c r="L299" s="16">
        <v>0</v>
      </c>
      <c r="M299" s="16">
        <v>0</v>
      </c>
      <c r="N299" s="16">
        <v>0</v>
      </c>
      <c r="O299" s="16">
        <v>0</v>
      </c>
      <c r="P299" s="16">
        <v>0</v>
      </c>
      <c r="Q299" s="16">
        <v>0</v>
      </c>
      <c r="R299" s="16">
        <v>0</v>
      </c>
      <c r="S299" s="16">
        <v>0</v>
      </c>
      <c r="T299" s="16">
        <v>0</v>
      </c>
      <c r="U299" s="16">
        <v>0</v>
      </c>
      <c r="V299" s="16">
        <f t="shared" si="31"/>
        <v>0</v>
      </c>
      <c r="W299" s="16" t="e">
        <f t="shared" si="28"/>
        <v>#DIV/0!</v>
      </c>
      <c r="X299" s="16" t="e">
        <f t="shared" si="29"/>
        <v>#DIV/0!</v>
      </c>
      <c r="Y299" s="16" t="e">
        <f t="shared" si="33"/>
        <v>#DIV/0!</v>
      </c>
      <c r="Z299" s="16" t="e">
        <f t="shared" si="32"/>
        <v>#DIV/0!</v>
      </c>
      <c r="AA299" s="16" t="e">
        <f>$K299/$H299</f>
        <v>#DIV/0!</v>
      </c>
      <c r="AB299" s="16">
        <f t="shared" si="30"/>
        <v>0</v>
      </c>
    </row>
    <row r="300" spans="1:28" x14ac:dyDescent="0.2">
      <c r="A300" s="15" t="s">
        <v>1486</v>
      </c>
      <c r="B300" s="15" t="s">
        <v>43</v>
      </c>
      <c r="C300" s="15">
        <v>26</v>
      </c>
      <c r="D300" s="15">
        <v>5</v>
      </c>
      <c r="E300" s="15" t="s">
        <v>362</v>
      </c>
      <c r="F300" s="15" t="s">
        <v>1457</v>
      </c>
      <c r="G300" s="15">
        <v>0</v>
      </c>
      <c r="H300" s="15">
        <v>0</v>
      </c>
      <c r="I300" s="15">
        <v>0</v>
      </c>
      <c r="J300" s="15">
        <v>0</v>
      </c>
      <c r="K300" s="15">
        <v>0</v>
      </c>
      <c r="L300" s="15">
        <v>0</v>
      </c>
      <c r="M300" s="15">
        <v>0</v>
      </c>
      <c r="N300" s="15">
        <v>0</v>
      </c>
      <c r="O300" s="15">
        <v>0</v>
      </c>
      <c r="P300" s="15">
        <v>0</v>
      </c>
      <c r="Q300" s="15">
        <v>0</v>
      </c>
      <c r="R300" s="15">
        <v>0</v>
      </c>
      <c r="S300" s="15">
        <v>0</v>
      </c>
      <c r="T300" s="15">
        <v>0</v>
      </c>
      <c r="U300" s="15">
        <v>0</v>
      </c>
      <c r="V300" s="15">
        <f t="shared" si="31"/>
        <v>0</v>
      </c>
      <c r="W300" s="15" t="e">
        <f t="shared" si="28"/>
        <v>#DIV/0!</v>
      </c>
      <c r="X300" s="15" t="e">
        <f t="shared" si="29"/>
        <v>#DIV/0!</v>
      </c>
      <c r="Y300" s="15" t="e">
        <f t="shared" si="33"/>
        <v>#DIV/0!</v>
      </c>
      <c r="Z300" s="15" t="e">
        <f t="shared" si="32"/>
        <v>#DIV/0!</v>
      </c>
      <c r="AA300" s="15" t="e">
        <f>$K300/$H300</f>
        <v>#DIV/0!</v>
      </c>
      <c r="AB300" s="15">
        <f t="shared" si="30"/>
        <v>0</v>
      </c>
    </row>
    <row r="301" spans="1:28" x14ac:dyDescent="0.2">
      <c r="A301" s="16" t="s">
        <v>1487</v>
      </c>
      <c r="B301" s="16" t="s">
        <v>43</v>
      </c>
      <c r="C301" s="16">
        <v>27</v>
      </c>
      <c r="D301" s="16">
        <v>2</v>
      </c>
      <c r="E301" s="16" t="s">
        <v>244</v>
      </c>
      <c r="F301" s="16" t="s">
        <v>1457</v>
      </c>
      <c r="G301" s="16">
        <v>0</v>
      </c>
      <c r="H301" s="16">
        <v>0</v>
      </c>
      <c r="I301" s="16">
        <v>0</v>
      </c>
      <c r="J301" s="16">
        <v>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0</v>
      </c>
      <c r="R301" s="16">
        <v>0</v>
      </c>
      <c r="S301" s="16">
        <v>0</v>
      </c>
      <c r="T301" s="16">
        <v>0</v>
      </c>
      <c r="U301" s="16">
        <v>0</v>
      </c>
      <c r="V301" s="16">
        <f t="shared" si="31"/>
        <v>0</v>
      </c>
      <c r="W301" s="16" t="e">
        <f t="shared" si="28"/>
        <v>#DIV/0!</v>
      </c>
      <c r="X301" s="16" t="e">
        <f t="shared" si="29"/>
        <v>#DIV/0!</v>
      </c>
      <c r="Y301" s="16" t="e">
        <f t="shared" si="33"/>
        <v>#DIV/0!</v>
      </c>
      <c r="Z301" s="16" t="e">
        <f t="shared" si="32"/>
        <v>#DIV/0!</v>
      </c>
      <c r="AA301" s="16" t="e">
        <f>$K301/$H301</f>
        <v>#DIV/0!</v>
      </c>
      <c r="AB301" s="16">
        <f t="shared" si="30"/>
        <v>0</v>
      </c>
    </row>
    <row r="302" spans="1:28" x14ac:dyDescent="0.2">
      <c r="A302" s="15" t="s">
        <v>1488</v>
      </c>
      <c r="B302" s="15" t="s">
        <v>43</v>
      </c>
      <c r="C302" s="15">
        <v>23</v>
      </c>
      <c r="D302" s="15">
        <v>0</v>
      </c>
      <c r="E302" s="15" t="s">
        <v>795</v>
      </c>
      <c r="F302" s="15" t="s">
        <v>1457</v>
      </c>
      <c r="G302" s="15">
        <v>0</v>
      </c>
      <c r="H302" s="15">
        <v>0</v>
      </c>
      <c r="I302" s="15">
        <v>0</v>
      </c>
      <c r="J302" s="15">
        <v>0</v>
      </c>
      <c r="K302" s="15">
        <v>0</v>
      </c>
      <c r="L302" s="15">
        <v>0</v>
      </c>
      <c r="M302" s="15">
        <v>0</v>
      </c>
      <c r="N302" s="15">
        <v>0</v>
      </c>
      <c r="O302" s="15">
        <v>0</v>
      </c>
      <c r="P302" s="15">
        <v>0</v>
      </c>
      <c r="Q302" s="15">
        <v>0</v>
      </c>
      <c r="R302" s="15">
        <v>0</v>
      </c>
      <c r="S302" s="15">
        <v>0</v>
      </c>
      <c r="T302" s="15">
        <v>0</v>
      </c>
      <c r="U302" s="15">
        <v>0</v>
      </c>
      <c r="V302" s="15">
        <f t="shared" si="31"/>
        <v>0</v>
      </c>
      <c r="W302" s="15" t="e">
        <f t="shared" si="28"/>
        <v>#DIV/0!</v>
      </c>
      <c r="X302" s="15" t="e">
        <f t="shared" si="29"/>
        <v>#DIV/0!</v>
      </c>
      <c r="Y302" s="15" t="e">
        <f t="shared" si="33"/>
        <v>#DIV/0!</v>
      </c>
      <c r="Z302" s="15" t="e">
        <f t="shared" si="32"/>
        <v>#DIV/0!</v>
      </c>
      <c r="AA302" s="15" t="e">
        <f>$K302/$H302</f>
        <v>#DIV/0!</v>
      </c>
      <c r="AB302" s="15">
        <f t="shared" si="30"/>
        <v>0</v>
      </c>
    </row>
    <row r="303" spans="1:28" x14ac:dyDescent="0.2">
      <c r="A303" s="16" t="s">
        <v>1489</v>
      </c>
      <c r="B303" s="16" t="s">
        <v>43</v>
      </c>
      <c r="C303" s="16">
        <v>26</v>
      </c>
      <c r="D303" s="16">
        <v>3</v>
      </c>
      <c r="E303" s="16" t="s">
        <v>339</v>
      </c>
      <c r="F303" s="16" t="s">
        <v>1457</v>
      </c>
      <c r="G303" s="16">
        <v>0</v>
      </c>
      <c r="H303" s="16">
        <v>0</v>
      </c>
      <c r="I303" s="16">
        <v>0</v>
      </c>
      <c r="J303" s="16">
        <v>0</v>
      </c>
      <c r="K303" s="16">
        <v>0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f t="shared" si="31"/>
        <v>0</v>
      </c>
      <c r="W303" s="16" t="e">
        <f t="shared" si="28"/>
        <v>#DIV/0!</v>
      </c>
      <c r="X303" s="16" t="e">
        <f t="shared" si="29"/>
        <v>#DIV/0!</v>
      </c>
      <c r="Y303" s="16" t="e">
        <f t="shared" si="33"/>
        <v>#DIV/0!</v>
      </c>
      <c r="Z303" s="16" t="e">
        <f t="shared" si="32"/>
        <v>#DIV/0!</v>
      </c>
      <c r="AA303" s="16" t="e">
        <f>$K303/$H303</f>
        <v>#DIV/0!</v>
      </c>
      <c r="AB303" s="16">
        <f t="shared" si="30"/>
        <v>0</v>
      </c>
    </row>
    <row r="304" spans="1:28" x14ac:dyDescent="0.2">
      <c r="A304" s="15" t="s">
        <v>1490</v>
      </c>
      <c r="B304" s="15" t="s">
        <v>43</v>
      </c>
      <c r="C304" s="15">
        <v>25</v>
      </c>
      <c r="D304" s="15">
        <v>2</v>
      </c>
      <c r="E304" s="15" t="s">
        <v>209</v>
      </c>
      <c r="F304" s="15" t="s">
        <v>1457</v>
      </c>
      <c r="G304" s="15">
        <v>0</v>
      </c>
      <c r="H304" s="15">
        <v>0</v>
      </c>
      <c r="I304" s="15">
        <v>0</v>
      </c>
      <c r="J304" s="15">
        <v>0</v>
      </c>
      <c r="K304" s="15">
        <v>0</v>
      </c>
      <c r="L304" s="15">
        <v>0</v>
      </c>
      <c r="M304" s="15">
        <v>0</v>
      </c>
      <c r="N304" s="15">
        <v>0</v>
      </c>
      <c r="O304" s="15">
        <v>0</v>
      </c>
      <c r="P304" s="15">
        <v>0</v>
      </c>
      <c r="Q304" s="15">
        <v>0</v>
      </c>
      <c r="R304" s="15">
        <v>0</v>
      </c>
      <c r="S304" s="15">
        <v>0</v>
      </c>
      <c r="T304" s="15">
        <v>0</v>
      </c>
      <c r="U304" s="15">
        <v>0</v>
      </c>
      <c r="V304" s="15">
        <f t="shared" si="31"/>
        <v>0</v>
      </c>
      <c r="W304" s="15" t="e">
        <f t="shared" si="28"/>
        <v>#DIV/0!</v>
      </c>
      <c r="X304" s="15" t="e">
        <f t="shared" si="29"/>
        <v>#DIV/0!</v>
      </c>
      <c r="Y304" s="15" t="e">
        <f t="shared" si="33"/>
        <v>#DIV/0!</v>
      </c>
      <c r="Z304" s="15" t="e">
        <f t="shared" si="32"/>
        <v>#DIV/0!</v>
      </c>
      <c r="AA304" s="15" t="e">
        <f>$K304/$H304</f>
        <v>#DIV/0!</v>
      </c>
      <c r="AB304" s="15">
        <f t="shared" si="30"/>
        <v>0</v>
      </c>
    </row>
    <row r="305" spans="1:28" x14ac:dyDescent="0.2">
      <c r="A305" s="16" t="s">
        <v>1491</v>
      </c>
      <c r="B305" s="16" t="s">
        <v>43</v>
      </c>
      <c r="C305" s="16">
        <v>27</v>
      </c>
      <c r="D305" s="16">
        <v>5</v>
      </c>
      <c r="E305" s="16" t="s">
        <v>138</v>
      </c>
      <c r="F305" s="16" t="s">
        <v>1457</v>
      </c>
      <c r="G305" s="16">
        <v>0</v>
      </c>
      <c r="H305" s="16">
        <v>0</v>
      </c>
      <c r="I305" s="16">
        <v>0</v>
      </c>
      <c r="J305" s="16">
        <v>0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f t="shared" si="31"/>
        <v>0</v>
      </c>
      <c r="W305" s="16" t="e">
        <f t="shared" si="28"/>
        <v>#DIV/0!</v>
      </c>
      <c r="X305" s="16" t="e">
        <f t="shared" si="29"/>
        <v>#DIV/0!</v>
      </c>
      <c r="Y305" s="16" t="e">
        <f t="shared" si="33"/>
        <v>#DIV/0!</v>
      </c>
      <c r="Z305" s="16" t="e">
        <f t="shared" si="32"/>
        <v>#DIV/0!</v>
      </c>
      <c r="AA305" s="16" t="e">
        <f>$K305/$H305</f>
        <v>#DIV/0!</v>
      </c>
      <c r="AB305" s="16">
        <f t="shared" si="30"/>
        <v>0</v>
      </c>
    </row>
    <row r="306" spans="1:28" x14ac:dyDescent="0.2">
      <c r="A306" s="15" t="s">
        <v>1492</v>
      </c>
      <c r="B306" s="15" t="s">
        <v>43</v>
      </c>
      <c r="C306" s="15">
        <v>26</v>
      </c>
      <c r="D306" s="15">
        <v>5</v>
      </c>
      <c r="E306" s="15" t="s">
        <v>1493</v>
      </c>
      <c r="F306" s="15" t="s">
        <v>1457</v>
      </c>
      <c r="G306" s="15">
        <v>0</v>
      </c>
      <c r="H306" s="15">
        <v>0</v>
      </c>
      <c r="I306" s="15">
        <v>0</v>
      </c>
      <c r="J306" s="15">
        <v>0</v>
      </c>
      <c r="K306" s="15">
        <v>0</v>
      </c>
      <c r="L306" s="15">
        <v>0</v>
      </c>
      <c r="M306" s="15">
        <v>0</v>
      </c>
      <c r="N306" s="15">
        <v>0</v>
      </c>
      <c r="O306" s="15">
        <v>0</v>
      </c>
      <c r="P306" s="15">
        <v>0</v>
      </c>
      <c r="Q306" s="15">
        <v>0</v>
      </c>
      <c r="R306" s="15">
        <v>0</v>
      </c>
      <c r="S306" s="15">
        <v>0</v>
      </c>
      <c r="T306" s="15">
        <v>0</v>
      </c>
      <c r="U306" s="15">
        <v>0</v>
      </c>
      <c r="V306" s="15">
        <f t="shared" si="31"/>
        <v>0</v>
      </c>
      <c r="W306" s="15" t="e">
        <f t="shared" si="28"/>
        <v>#DIV/0!</v>
      </c>
      <c r="X306" s="15" t="e">
        <f t="shared" si="29"/>
        <v>#DIV/0!</v>
      </c>
      <c r="Y306" s="15" t="e">
        <f t="shared" si="33"/>
        <v>#DIV/0!</v>
      </c>
      <c r="Z306" s="15" t="e">
        <f t="shared" si="32"/>
        <v>#DIV/0!</v>
      </c>
      <c r="AA306" s="15" t="e">
        <f>$K306/$H306</f>
        <v>#DIV/0!</v>
      </c>
      <c r="AB306" s="15">
        <f t="shared" si="30"/>
        <v>0</v>
      </c>
    </row>
    <row r="307" spans="1:28" x14ac:dyDescent="0.2">
      <c r="A307" s="16" t="s">
        <v>1494</v>
      </c>
      <c r="B307" s="16" t="s">
        <v>43</v>
      </c>
      <c r="C307" s="16">
        <v>22</v>
      </c>
      <c r="D307" s="16">
        <v>2</v>
      </c>
      <c r="E307" s="16" t="s">
        <v>173</v>
      </c>
      <c r="F307" s="16" t="s">
        <v>1457</v>
      </c>
      <c r="G307" s="16">
        <v>0</v>
      </c>
      <c r="H307" s="16">
        <v>0</v>
      </c>
      <c r="I307" s="16">
        <v>0</v>
      </c>
      <c r="J307" s="16">
        <v>0</v>
      </c>
      <c r="K307" s="16">
        <v>0</v>
      </c>
      <c r="L307" s="16">
        <v>0</v>
      </c>
      <c r="M307" s="16">
        <v>0</v>
      </c>
      <c r="N307" s="16">
        <v>0</v>
      </c>
      <c r="O307" s="16">
        <v>0</v>
      </c>
      <c r="P307" s="16">
        <v>0</v>
      </c>
      <c r="Q307" s="16">
        <v>0</v>
      </c>
      <c r="R307" s="16">
        <v>0</v>
      </c>
      <c r="S307" s="16">
        <v>0</v>
      </c>
      <c r="T307" s="16">
        <v>0</v>
      </c>
      <c r="U307" s="16">
        <v>0</v>
      </c>
      <c r="V307" s="16">
        <f t="shared" si="31"/>
        <v>0</v>
      </c>
      <c r="W307" s="16" t="e">
        <f t="shared" si="28"/>
        <v>#DIV/0!</v>
      </c>
      <c r="X307" s="16" t="e">
        <f t="shared" si="29"/>
        <v>#DIV/0!</v>
      </c>
      <c r="Y307" s="16" t="e">
        <f t="shared" si="33"/>
        <v>#DIV/0!</v>
      </c>
      <c r="Z307" s="16" t="e">
        <f t="shared" si="32"/>
        <v>#DIV/0!</v>
      </c>
      <c r="AA307" s="16" t="e">
        <f>$K307/$H307</f>
        <v>#DIV/0!</v>
      </c>
      <c r="AB307" s="16">
        <f t="shared" si="30"/>
        <v>0</v>
      </c>
    </row>
    <row r="308" spans="1:28" x14ac:dyDescent="0.2">
      <c r="A308" s="15" t="s">
        <v>1495</v>
      </c>
      <c r="B308" s="15" t="s">
        <v>43</v>
      </c>
      <c r="C308" s="15">
        <v>29</v>
      </c>
      <c r="D308" s="15">
        <v>10</v>
      </c>
      <c r="E308" s="15" t="s">
        <v>339</v>
      </c>
      <c r="F308" s="15" t="s">
        <v>1457</v>
      </c>
      <c r="G308" s="15">
        <v>0</v>
      </c>
      <c r="H308" s="15">
        <v>0</v>
      </c>
      <c r="I308" s="15">
        <v>0</v>
      </c>
      <c r="J308" s="15">
        <v>0</v>
      </c>
      <c r="K308" s="15">
        <v>0</v>
      </c>
      <c r="L308" s="15">
        <v>0</v>
      </c>
      <c r="M308" s="15">
        <v>0</v>
      </c>
      <c r="N308" s="15">
        <v>0</v>
      </c>
      <c r="O308" s="15">
        <v>0</v>
      </c>
      <c r="P308" s="15">
        <v>0</v>
      </c>
      <c r="Q308" s="15">
        <v>0</v>
      </c>
      <c r="R308" s="15">
        <v>0</v>
      </c>
      <c r="S308" s="15">
        <v>0</v>
      </c>
      <c r="T308" s="15">
        <v>0</v>
      </c>
      <c r="U308" s="15">
        <v>0</v>
      </c>
      <c r="V308" s="15">
        <f t="shared" si="31"/>
        <v>0</v>
      </c>
      <c r="W308" s="15" t="e">
        <f t="shared" si="28"/>
        <v>#DIV/0!</v>
      </c>
      <c r="X308" s="15" t="e">
        <f t="shared" si="29"/>
        <v>#DIV/0!</v>
      </c>
      <c r="Y308" s="15" t="e">
        <f t="shared" si="33"/>
        <v>#DIV/0!</v>
      </c>
      <c r="Z308" s="15" t="e">
        <f t="shared" si="32"/>
        <v>#DIV/0!</v>
      </c>
      <c r="AA308" s="15" t="e">
        <f>$K308/$H308</f>
        <v>#DIV/0!</v>
      </c>
      <c r="AB308" s="15">
        <f t="shared" si="30"/>
        <v>0</v>
      </c>
    </row>
    <row r="309" spans="1:28" x14ac:dyDescent="0.2">
      <c r="A309" s="16" t="s">
        <v>1531</v>
      </c>
      <c r="B309" s="16" t="s">
        <v>43</v>
      </c>
      <c r="C309" s="16">
        <v>25</v>
      </c>
      <c r="D309" s="16">
        <v>0</v>
      </c>
      <c r="E309" s="16" t="s">
        <v>418</v>
      </c>
      <c r="F309" s="16" t="s">
        <v>1503</v>
      </c>
      <c r="G309" s="16">
        <v>0</v>
      </c>
      <c r="H309" s="16">
        <v>0</v>
      </c>
      <c r="I309" s="16">
        <v>0</v>
      </c>
      <c r="J309" s="16">
        <v>0</v>
      </c>
      <c r="K309" s="16">
        <v>0</v>
      </c>
      <c r="L309" s="16">
        <v>0</v>
      </c>
      <c r="M309" s="16">
        <v>0</v>
      </c>
      <c r="N309" s="16">
        <v>0</v>
      </c>
      <c r="O309" s="16">
        <v>0</v>
      </c>
      <c r="P309" s="16">
        <v>0</v>
      </c>
      <c r="Q309" s="16">
        <v>0</v>
      </c>
      <c r="R309" s="16">
        <v>0</v>
      </c>
      <c r="S309" s="16">
        <v>0</v>
      </c>
      <c r="T309" s="16">
        <v>0</v>
      </c>
      <c r="U309" s="16">
        <v>0</v>
      </c>
      <c r="V309" s="16">
        <f t="shared" si="31"/>
        <v>0</v>
      </c>
      <c r="W309" s="16" t="e">
        <f t="shared" si="28"/>
        <v>#DIV/0!</v>
      </c>
      <c r="X309" s="16" t="e">
        <f t="shared" si="29"/>
        <v>#DIV/0!</v>
      </c>
      <c r="Y309" s="16" t="e">
        <f t="shared" si="33"/>
        <v>#DIV/0!</v>
      </c>
      <c r="Z309" s="16" t="e">
        <f t="shared" si="32"/>
        <v>#DIV/0!</v>
      </c>
      <c r="AA309" s="16" t="e">
        <f>$K309/$H309</f>
        <v>#DIV/0!</v>
      </c>
      <c r="AB309" s="16">
        <f t="shared" si="30"/>
        <v>0</v>
      </c>
    </row>
    <row r="310" spans="1:28" x14ac:dyDescent="0.2">
      <c r="A310" s="15" t="s">
        <v>1532</v>
      </c>
      <c r="B310" s="15" t="s">
        <v>43</v>
      </c>
      <c r="C310" s="15">
        <v>26</v>
      </c>
      <c r="D310" s="15">
        <v>3</v>
      </c>
      <c r="E310" s="15" t="s">
        <v>357</v>
      </c>
      <c r="F310" s="15" t="s">
        <v>1503</v>
      </c>
      <c r="G310" s="15">
        <v>0</v>
      </c>
      <c r="H310" s="15">
        <v>0</v>
      </c>
      <c r="I310" s="15">
        <v>0</v>
      </c>
      <c r="J310" s="15">
        <v>0</v>
      </c>
      <c r="K310" s="15">
        <v>0</v>
      </c>
      <c r="L310" s="15">
        <v>0</v>
      </c>
      <c r="M310" s="15">
        <v>0</v>
      </c>
      <c r="N310" s="15">
        <v>0</v>
      </c>
      <c r="O310" s="15">
        <v>0</v>
      </c>
      <c r="P310" s="15">
        <v>0</v>
      </c>
      <c r="Q310" s="15">
        <v>0</v>
      </c>
      <c r="R310" s="15">
        <v>0</v>
      </c>
      <c r="S310" s="15">
        <v>0</v>
      </c>
      <c r="T310" s="15">
        <v>0</v>
      </c>
      <c r="U310" s="15">
        <v>0</v>
      </c>
      <c r="V310" s="15">
        <f t="shared" si="31"/>
        <v>0</v>
      </c>
      <c r="W310" s="15" t="e">
        <f t="shared" si="28"/>
        <v>#DIV/0!</v>
      </c>
      <c r="X310" s="15" t="e">
        <f t="shared" si="29"/>
        <v>#DIV/0!</v>
      </c>
      <c r="Y310" s="15" t="e">
        <f t="shared" si="33"/>
        <v>#DIV/0!</v>
      </c>
      <c r="Z310" s="15" t="e">
        <f t="shared" si="32"/>
        <v>#DIV/0!</v>
      </c>
      <c r="AA310" s="15" t="e">
        <f>$K310/$H310</f>
        <v>#DIV/0!</v>
      </c>
      <c r="AB310" s="15">
        <f t="shared" si="30"/>
        <v>0</v>
      </c>
    </row>
    <row r="311" spans="1:28" x14ac:dyDescent="0.2">
      <c r="A311" s="16" t="s">
        <v>1533</v>
      </c>
      <c r="B311" s="16" t="s">
        <v>43</v>
      </c>
      <c r="C311" s="16">
        <v>25</v>
      </c>
      <c r="D311" s="16">
        <v>0</v>
      </c>
      <c r="E311" s="16" t="s">
        <v>1534</v>
      </c>
      <c r="F311" s="16" t="s">
        <v>1503</v>
      </c>
      <c r="G311" s="16">
        <v>0</v>
      </c>
      <c r="H311" s="16">
        <v>0</v>
      </c>
      <c r="I311" s="16">
        <v>0</v>
      </c>
      <c r="J311" s="16">
        <v>0</v>
      </c>
      <c r="K311" s="16">
        <v>0</v>
      </c>
      <c r="L311" s="16">
        <v>0</v>
      </c>
      <c r="M311" s="16">
        <v>0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0</v>
      </c>
      <c r="T311" s="16">
        <v>0</v>
      </c>
      <c r="U311" s="16">
        <v>0</v>
      </c>
      <c r="V311" s="16">
        <f t="shared" si="31"/>
        <v>0</v>
      </c>
      <c r="W311" s="16" t="e">
        <f t="shared" si="28"/>
        <v>#DIV/0!</v>
      </c>
      <c r="X311" s="16" t="e">
        <f t="shared" si="29"/>
        <v>#DIV/0!</v>
      </c>
      <c r="Y311" s="16" t="e">
        <f t="shared" si="33"/>
        <v>#DIV/0!</v>
      </c>
      <c r="Z311" s="16" t="e">
        <f t="shared" si="32"/>
        <v>#DIV/0!</v>
      </c>
      <c r="AA311" s="16" t="e">
        <f>$K311/$H311</f>
        <v>#DIV/0!</v>
      </c>
      <c r="AB311" s="16">
        <f t="shared" si="30"/>
        <v>0</v>
      </c>
    </row>
    <row r="312" spans="1:28" x14ac:dyDescent="0.2">
      <c r="A312" s="15" t="s">
        <v>1535</v>
      </c>
      <c r="B312" s="15" t="s">
        <v>43</v>
      </c>
      <c r="C312" s="15">
        <v>25</v>
      </c>
      <c r="D312" s="15">
        <v>1</v>
      </c>
      <c r="E312" s="15" t="s">
        <v>753</v>
      </c>
      <c r="F312" s="15" t="s">
        <v>1503</v>
      </c>
      <c r="G312" s="15">
        <v>0</v>
      </c>
      <c r="H312" s="15">
        <v>0</v>
      </c>
      <c r="I312" s="15">
        <v>0</v>
      </c>
      <c r="J312" s="15">
        <v>0</v>
      </c>
      <c r="K312" s="15">
        <v>0</v>
      </c>
      <c r="L312" s="15">
        <v>0</v>
      </c>
      <c r="M312" s="15">
        <v>0</v>
      </c>
      <c r="N312" s="15">
        <v>0</v>
      </c>
      <c r="O312" s="15">
        <v>0</v>
      </c>
      <c r="P312" s="15">
        <v>0</v>
      </c>
      <c r="Q312" s="15">
        <v>0</v>
      </c>
      <c r="R312" s="15">
        <v>0</v>
      </c>
      <c r="S312" s="15">
        <v>0</v>
      </c>
      <c r="T312" s="15">
        <v>0</v>
      </c>
      <c r="U312" s="15">
        <v>0</v>
      </c>
      <c r="V312" s="15">
        <f t="shared" si="31"/>
        <v>0</v>
      </c>
      <c r="W312" s="15" t="e">
        <f t="shared" si="28"/>
        <v>#DIV/0!</v>
      </c>
      <c r="X312" s="15" t="e">
        <f t="shared" si="29"/>
        <v>#DIV/0!</v>
      </c>
      <c r="Y312" s="15" t="e">
        <f t="shared" si="33"/>
        <v>#DIV/0!</v>
      </c>
      <c r="Z312" s="15" t="e">
        <f t="shared" si="32"/>
        <v>#DIV/0!</v>
      </c>
      <c r="AA312" s="15" t="e">
        <f>$K312/$H312</f>
        <v>#DIV/0!</v>
      </c>
      <c r="AB312" s="15">
        <f t="shared" si="30"/>
        <v>0</v>
      </c>
    </row>
    <row r="313" spans="1:28" x14ac:dyDescent="0.2">
      <c r="A313" s="16" t="s">
        <v>1536</v>
      </c>
      <c r="B313" s="16" t="s">
        <v>43</v>
      </c>
      <c r="C313" s="16">
        <v>24</v>
      </c>
      <c r="D313" s="16">
        <v>0</v>
      </c>
      <c r="E313" s="16" t="s">
        <v>467</v>
      </c>
      <c r="F313" s="16" t="s">
        <v>1503</v>
      </c>
      <c r="G313" s="16">
        <v>0</v>
      </c>
      <c r="H313" s="16">
        <v>0</v>
      </c>
      <c r="I313" s="16">
        <v>0</v>
      </c>
      <c r="J313" s="16">
        <v>0</v>
      </c>
      <c r="K313" s="16">
        <v>0</v>
      </c>
      <c r="L313" s="16">
        <v>0</v>
      </c>
      <c r="M313" s="16">
        <v>0</v>
      </c>
      <c r="N313" s="16">
        <v>0</v>
      </c>
      <c r="O313" s="16">
        <v>0</v>
      </c>
      <c r="P313" s="16">
        <v>0</v>
      </c>
      <c r="Q313" s="16">
        <v>0</v>
      </c>
      <c r="R313" s="16">
        <v>0</v>
      </c>
      <c r="S313" s="16">
        <v>0</v>
      </c>
      <c r="T313" s="16">
        <v>0</v>
      </c>
      <c r="U313" s="16">
        <v>0</v>
      </c>
      <c r="V313" s="16">
        <f t="shared" si="31"/>
        <v>0</v>
      </c>
      <c r="W313" s="16" t="e">
        <f t="shared" si="28"/>
        <v>#DIV/0!</v>
      </c>
      <c r="X313" s="16" t="e">
        <f t="shared" si="29"/>
        <v>#DIV/0!</v>
      </c>
      <c r="Y313" s="16" t="e">
        <f t="shared" si="33"/>
        <v>#DIV/0!</v>
      </c>
      <c r="Z313" s="16" t="e">
        <f t="shared" si="32"/>
        <v>#DIV/0!</v>
      </c>
      <c r="AA313" s="16" t="e">
        <f>$K313/$H313</f>
        <v>#DIV/0!</v>
      </c>
      <c r="AB313" s="16">
        <f t="shared" si="30"/>
        <v>0</v>
      </c>
    </row>
    <row r="314" spans="1:28" x14ac:dyDescent="0.2">
      <c r="A314" s="15" t="s">
        <v>1537</v>
      </c>
      <c r="B314" s="15" t="s">
        <v>43</v>
      </c>
      <c r="C314" s="15">
        <v>24</v>
      </c>
      <c r="D314" s="15">
        <v>0</v>
      </c>
      <c r="E314" s="15" t="s">
        <v>111</v>
      </c>
      <c r="F314" s="15" t="s">
        <v>1503</v>
      </c>
      <c r="G314" s="15">
        <v>0</v>
      </c>
      <c r="H314" s="15">
        <v>0</v>
      </c>
      <c r="I314" s="15">
        <v>0</v>
      </c>
      <c r="J314" s="15">
        <v>0</v>
      </c>
      <c r="K314" s="15">
        <v>0</v>
      </c>
      <c r="L314" s="15">
        <v>0</v>
      </c>
      <c r="M314" s="15">
        <v>0</v>
      </c>
      <c r="N314" s="15">
        <v>0</v>
      </c>
      <c r="O314" s="15">
        <v>0</v>
      </c>
      <c r="P314" s="15">
        <v>0</v>
      </c>
      <c r="Q314" s="15">
        <v>0</v>
      </c>
      <c r="R314" s="15">
        <v>0</v>
      </c>
      <c r="S314" s="15">
        <v>0</v>
      </c>
      <c r="T314" s="15">
        <v>0</v>
      </c>
      <c r="U314" s="15">
        <v>0</v>
      </c>
      <c r="V314" s="15">
        <f t="shared" si="31"/>
        <v>0</v>
      </c>
      <c r="W314" s="15" t="e">
        <f t="shared" si="28"/>
        <v>#DIV/0!</v>
      </c>
      <c r="X314" s="15" t="e">
        <f t="shared" si="29"/>
        <v>#DIV/0!</v>
      </c>
      <c r="Y314" s="15" t="e">
        <f t="shared" si="33"/>
        <v>#DIV/0!</v>
      </c>
      <c r="Z314" s="15" t="e">
        <f t="shared" si="32"/>
        <v>#DIV/0!</v>
      </c>
      <c r="AA314" s="15" t="e">
        <f>$K314/$H314</f>
        <v>#DIV/0!</v>
      </c>
      <c r="AB314" s="15">
        <f t="shared" si="30"/>
        <v>0</v>
      </c>
    </row>
    <row r="315" spans="1:28" x14ac:dyDescent="0.2">
      <c r="A315" s="16" t="s">
        <v>1538</v>
      </c>
      <c r="B315" s="16" t="s">
        <v>43</v>
      </c>
      <c r="C315" s="16">
        <v>30</v>
      </c>
      <c r="D315" s="16">
        <v>9</v>
      </c>
      <c r="E315" s="16" t="s">
        <v>559</v>
      </c>
      <c r="F315" s="16" t="s">
        <v>1503</v>
      </c>
      <c r="G315" s="16">
        <v>0</v>
      </c>
      <c r="H315" s="16">
        <v>0</v>
      </c>
      <c r="I315" s="16">
        <v>0</v>
      </c>
      <c r="J315" s="16">
        <v>0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f t="shared" si="31"/>
        <v>0</v>
      </c>
      <c r="W315" s="16" t="e">
        <f t="shared" si="28"/>
        <v>#DIV/0!</v>
      </c>
      <c r="X315" s="16" t="e">
        <f t="shared" si="29"/>
        <v>#DIV/0!</v>
      </c>
      <c r="Y315" s="16" t="e">
        <f t="shared" si="33"/>
        <v>#DIV/0!</v>
      </c>
      <c r="Z315" s="16" t="e">
        <f t="shared" si="32"/>
        <v>#DIV/0!</v>
      </c>
      <c r="AA315" s="16" t="e">
        <f>$K315/$H315</f>
        <v>#DIV/0!</v>
      </c>
      <c r="AB315" s="16">
        <f t="shared" si="30"/>
        <v>0</v>
      </c>
    </row>
    <row r="316" spans="1:28" x14ac:dyDescent="0.2">
      <c r="A316" s="15" t="s">
        <v>1539</v>
      </c>
      <c r="B316" s="15" t="s">
        <v>43</v>
      </c>
      <c r="C316" s="15"/>
      <c r="D316" s="15">
        <v>0</v>
      </c>
      <c r="E316" s="15" t="s">
        <v>806</v>
      </c>
      <c r="F316" s="15" t="s">
        <v>1503</v>
      </c>
      <c r="G316" s="15">
        <v>0</v>
      </c>
      <c r="H316" s="15">
        <v>0</v>
      </c>
      <c r="I316" s="15">
        <v>0</v>
      </c>
      <c r="J316" s="15">
        <v>0</v>
      </c>
      <c r="K316" s="15">
        <v>0</v>
      </c>
      <c r="L316" s="15">
        <v>0</v>
      </c>
      <c r="M316" s="15">
        <v>0</v>
      </c>
      <c r="N316" s="15">
        <v>0</v>
      </c>
      <c r="O316" s="15">
        <v>0</v>
      </c>
      <c r="P316" s="15">
        <v>0</v>
      </c>
      <c r="Q316" s="15">
        <v>0</v>
      </c>
      <c r="R316" s="15">
        <v>0</v>
      </c>
      <c r="S316" s="15">
        <v>0</v>
      </c>
      <c r="T316" s="15">
        <v>0</v>
      </c>
      <c r="U316" s="15">
        <v>0</v>
      </c>
      <c r="V316" s="15">
        <f t="shared" si="31"/>
        <v>0</v>
      </c>
      <c r="W316" s="15" t="e">
        <f t="shared" si="28"/>
        <v>#DIV/0!</v>
      </c>
      <c r="X316" s="15" t="e">
        <f t="shared" si="29"/>
        <v>#DIV/0!</v>
      </c>
      <c r="Y316" s="15" t="e">
        <f t="shared" si="33"/>
        <v>#DIV/0!</v>
      </c>
      <c r="Z316" s="15" t="e">
        <f t="shared" si="32"/>
        <v>#DIV/0!</v>
      </c>
      <c r="AA316" s="15" t="e">
        <f>$K316/$H316</f>
        <v>#DIV/0!</v>
      </c>
      <c r="AB316" s="15">
        <f t="shared" si="30"/>
        <v>0</v>
      </c>
    </row>
    <row r="317" spans="1:28" x14ac:dyDescent="0.2">
      <c r="A317" s="16" t="s">
        <v>1540</v>
      </c>
      <c r="B317" s="16" t="s">
        <v>43</v>
      </c>
      <c r="C317" s="16">
        <v>25</v>
      </c>
      <c r="D317" s="16">
        <v>5</v>
      </c>
      <c r="E317" s="16" t="s">
        <v>240</v>
      </c>
      <c r="F317" s="16" t="s">
        <v>1503</v>
      </c>
      <c r="G317" s="16">
        <v>0</v>
      </c>
      <c r="H317" s="16">
        <v>0</v>
      </c>
      <c r="I317" s="16">
        <v>0</v>
      </c>
      <c r="J317" s="16">
        <v>0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0</v>
      </c>
      <c r="U317" s="16">
        <v>0</v>
      </c>
      <c r="V317" s="16">
        <f t="shared" si="31"/>
        <v>0</v>
      </c>
      <c r="W317" s="16" t="e">
        <f t="shared" si="28"/>
        <v>#DIV/0!</v>
      </c>
      <c r="X317" s="16" t="e">
        <f t="shared" si="29"/>
        <v>#DIV/0!</v>
      </c>
      <c r="Y317" s="16" t="e">
        <f t="shared" si="33"/>
        <v>#DIV/0!</v>
      </c>
      <c r="Z317" s="16" t="e">
        <f t="shared" si="32"/>
        <v>#DIV/0!</v>
      </c>
      <c r="AA317" s="16" t="e">
        <f>$K317/$H317</f>
        <v>#DIV/0!</v>
      </c>
      <c r="AB317" s="16">
        <f t="shared" si="30"/>
        <v>0</v>
      </c>
    </row>
    <row r="318" spans="1:28" x14ac:dyDescent="0.2">
      <c r="A318" s="15" t="s">
        <v>1541</v>
      </c>
      <c r="B318" s="15" t="s">
        <v>43</v>
      </c>
      <c r="C318" s="15">
        <v>21</v>
      </c>
      <c r="D318" s="15">
        <v>0</v>
      </c>
      <c r="E318" s="15" t="s">
        <v>213</v>
      </c>
      <c r="F318" s="15" t="s">
        <v>1503</v>
      </c>
      <c r="G318" s="15">
        <v>0</v>
      </c>
      <c r="H318" s="15">
        <v>0</v>
      </c>
      <c r="I318" s="15">
        <v>0</v>
      </c>
      <c r="J318" s="15">
        <v>0</v>
      </c>
      <c r="K318" s="15">
        <v>0</v>
      </c>
      <c r="L318" s="15">
        <v>0</v>
      </c>
      <c r="M318" s="15">
        <v>0</v>
      </c>
      <c r="N318" s="15">
        <v>0</v>
      </c>
      <c r="O318" s="15">
        <v>0</v>
      </c>
      <c r="P318" s="15">
        <v>0</v>
      </c>
      <c r="Q318" s="15">
        <v>0</v>
      </c>
      <c r="R318" s="15">
        <v>0</v>
      </c>
      <c r="S318" s="15">
        <v>0</v>
      </c>
      <c r="T318" s="15">
        <v>0</v>
      </c>
      <c r="U318" s="15">
        <v>0</v>
      </c>
      <c r="V318" s="15">
        <f t="shared" si="31"/>
        <v>0</v>
      </c>
      <c r="W318" s="15" t="e">
        <f t="shared" si="28"/>
        <v>#DIV/0!</v>
      </c>
      <c r="X318" s="15" t="e">
        <f t="shared" si="29"/>
        <v>#DIV/0!</v>
      </c>
      <c r="Y318" s="15" t="e">
        <f t="shared" si="33"/>
        <v>#DIV/0!</v>
      </c>
      <c r="Z318" s="15" t="e">
        <f t="shared" si="32"/>
        <v>#DIV/0!</v>
      </c>
      <c r="AA318" s="15" t="e">
        <f>$K318/$H318</f>
        <v>#DIV/0!</v>
      </c>
      <c r="AB318" s="15">
        <f t="shared" si="30"/>
        <v>0</v>
      </c>
    </row>
    <row r="319" spans="1:28" x14ac:dyDescent="0.2">
      <c r="A319" s="16" t="s">
        <v>1542</v>
      </c>
      <c r="B319" s="16" t="s">
        <v>43</v>
      </c>
      <c r="C319" s="16">
        <v>27</v>
      </c>
      <c r="D319" s="16">
        <v>2</v>
      </c>
      <c r="E319" s="16" t="s">
        <v>138</v>
      </c>
      <c r="F319" s="16" t="s">
        <v>1503</v>
      </c>
      <c r="G319" s="16">
        <v>0</v>
      </c>
      <c r="H319" s="16">
        <v>0</v>
      </c>
      <c r="I319" s="16">
        <v>0</v>
      </c>
      <c r="J319" s="16">
        <v>0</v>
      </c>
      <c r="K319" s="16">
        <v>0</v>
      </c>
      <c r="L319" s="16">
        <v>0</v>
      </c>
      <c r="M319" s="16">
        <v>0</v>
      </c>
      <c r="N319" s="16">
        <v>0</v>
      </c>
      <c r="O319" s="16">
        <v>0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f t="shared" si="31"/>
        <v>0</v>
      </c>
      <c r="W319" s="16" t="e">
        <f t="shared" si="28"/>
        <v>#DIV/0!</v>
      </c>
      <c r="X319" s="16" t="e">
        <f t="shared" si="29"/>
        <v>#DIV/0!</v>
      </c>
      <c r="Y319" s="16" t="e">
        <f t="shared" si="33"/>
        <v>#DIV/0!</v>
      </c>
      <c r="Z319" s="16" t="e">
        <f t="shared" si="32"/>
        <v>#DIV/0!</v>
      </c>
      <c r="AA319" s="16" t="e">
        <f>$K319/$H319</f>
        <v>#DIV/0!</v>
      </c>
      <c r="AB319" s="16">
        <f t="shared" si="30"/>
        <v>0</v>
      </c>
    </row>
    <row r="320" spans="1:28" x14ac:dyDescent="0.2">
      <c r="A320" s="15" t="s">
        <v>1543</v>
      </c>
      <c r="B320" s="15" t="s">
        <v>43</v>
      </c>
      <c r="C320" s="15">
        <v>26</v>
      </c>
      <c r="D320" s="15">
        <v>1</v>
      </c>
      <c r="E320" s="15" t="s">
        <v>294</v>
      </c>
      <c r="F320" s="15" t="s">
        <v>1503</v>
      </c>
      <c r="G320" s="15">
        <v>0</v>
      </c>
      <c r="H320" s="15">
        <v>0</v>
      </c>
      <c r="I320" s="15">
        <v>0</v>
      </c>
      <c r="J320" s="15">
        <v>0</v>
      </c>
      <c r="K320" s="15">
        <v>0</v>
      </c>
      <c r="L320" s="15">
        <v>0</v>
      </c>
      <c r="M320" s="15">
        <v>0</v>
      </c>
      <c r="N320" s="15">
        <v>0</v>
      </c>
      <c r="O320" s="15">
        <v>0</v>
      </c>
      <c r="P320" s="15">
        <v>0</v>
      </c>
      <c r="Q320" s="15">
        <v>0</v>
      </c>
      <c r="R320" s="15">
        <v>0</v>
      </c>
      <c r="S320" s="15">
        <v>0</v>
      </c>
      <c r="T320" s="15">
        <v>0</v>
      </c>
      <c r="U320" s="15">
        <v>0</v>
      </c>
      <c r="V320" s="15">
        <f t="shared" si="31"/>
        <v>0</v>
      </c>
      <c r="W320" s="15" t="e">
        <f t="shared" si="28"/>
        <v>#DIV/0!</v>
      </c>
      <c r="X320" s="15" t="e">
        <f t="shared" si="29"/>
        <v>#DIV/0!</v>
      </c>
      <c r="Y320" s="15" t="e">
        <f t="shared" si="33"/>
        <v>#DIV/0!</v>
      </c>
      <c r="Z320" s="15" t="e">
        <f t="shared" si="32"/>
        <v>#DIV/0!</v>
      </c>
      <c r="AA320" s="15" t="e">
        <f>$K320/$H320</f>
        <v>#DIV/0!</v>
      </c>
      <c r="AB320" s="15">
        <f t="shared" si="30"/>
        <v>0</v>
      </c>
    </row>
    <row r="321" spans="1:28" x14ac:dyDescent="0.2">
      <c r="A321" s="16" t="s">
        <v>1580</v>
      </c>
      <c r="B321" s="16" t="s">
        <v>43</v>
      </c>
      <c r="C321" s="16">
        <v>25</v>
      </c>
      <c r="D321" s="16">
        <v>4</v>
      </c>
      <c r="E321" s="16" t="s">
        <v>155</v>
      </c>
      <c r="F321" s="16" t="s">
        <v>1552</v>
      </c>
      <c r="G321" s="16">
        <v>0</v>
      </c>
      <c r="H321" s="16">
        <v>0</v>
      </c>
      <c r="I321" s="16">
        <v>0</v>
      </c>
      <c r="J321" s="16">
        <v>0</v>
      </c>
      <c r="K321" s="16">
        <v>0</v>
      </c>
      <c r="L321" s="16">
        <v>0</v>
      </c>
      <c r="M321" s="16">
        <v>0</v>
      </c>
      <c r="N321" s="16">
        <v>0</v>
      </c>
      <c r="O321" s="16">
        <v>0</v>
      </c>
      <c r="P321" s="16">
        <v>0</v>
      </c>
      <c r="Q321" s="16">
        <v>0</v>
      </c>
      <c r="R321" s="16">
        <v>0</v>
      </c>
      <c r="S321" s="16">
        <v>0</v>
      </c>
      <c r="T321" s="16">
        <v>0</v>
      </c>
      <c r="U321" s="16">
        <v>0</v>
      </c>
      <c r="V321" s="16">
        <f t="shared" si="31"/>
        <v>0</v>
      </c>
      <c r="W321" s="16" t="e">
        <f t="shared" si="28"/>
        <v>#DIV/0!</v>
      </c>
      <c r="X321" s="16" t="e">
        <f t="shared" si="29"/>
        <v>#DIV/0!</v>
      </c>
      <c r="Y321" s="16" t="e">
        <f t="shared" si="33"/>
        <v>#DIV/0!</v>
      </c>
      <c r="Z321" s="16" t="e">
        <f t="shared" si="32"/>
        <v>#DIV/0!</v>
      </c>
      <c r="AA321" s="16" t="e">
        <f>$K321/$H321</f>
        <v>#DIV/0!</v>
      </c>
      <c r="AB321" s="16">
        <f t="shared" si="30"/>
        <v>0</v>
      </c>
    </row>
    <row r="322" spans="1:28" x14ac:dyDescent="0.2">
      <c r="A322" s="15" t="s">
        <v>1581</v>
      </c>
      <c r="B322" s="15" t="s">
        <v>43</v>
      </c>
      <c r="C322" s="15">
        <v>23</v>
      </c>
      <c r="D322" s="15">
        <v>0</v>
      </c>
      <c r="E322" s="15" t="s">
        <v>105</v>
      </c>
      <c r="F322" s="15" t="s">
        <v>1552</v>
      </c>
      <c r="G322" s="15">
        <v>0</v>
      </c>
      <c r="H322" s="15">
        <v>0</v>
      </c>
      <c r="I322" s="15">
        <v>0</v>
      </c>
      <c r="J322" s="15">
        <v>0</v>
      </c>
      <c r="K322" s="15">
        <v>0</v>
      </c>
      <c r="L322" s="15">
        <v>0</v>
      </c>
      <c r="M322" s="15">
        <v>0</v>
      </c>
      <c r="N322" s="15">
        <v>0</v>
      </c>
      <c r="O322" s="15">
        <v>0</v>
      </c>
      <c r="P322" s="15">
        <v>0</v>
      </c>
      <c r="Q322" s="15">
        <v>0</v>
      </c>
      <c r="R322" s="15">
        <v>0</v>
      </c>
      <c r="S322" s="15">
        <v>0</v>
      </c>
      <c r="T322" s="15">
        <v>0</v>
      </c>
      <c r="U322" s="15">
        <v>0</v>
      </c>
      <c r="V322" s="15">
        <f t="shared" si="31"/>
        <v>0</v>
      </c>
      <c r="W322" s="15" t="e">
        <f t="shared" ref="W322:W365" si="34">$P322/$H$33</f>
        <v>#DIV/0!</v>
      </c>
      <c r="X322" s="15" t="e">
        <f t="shared" ref="X322:X365" si="35">$N322/$M322</f>
        <v>#DIV/0!</v>
      </c>
      <c r="Y322" s="15" t="e">
        <f t="shared" si="33"/>
        <v>#DIV/0!</v>
      </c>
      <c r="Z322" s="15" t="e">
        <f t="shared" si="32"/>
        <v>#DIV/0!</v>
      </c>
      <c r="AA322" s="15" t="e">
        <f>$K322/$H322</f>
        <v>#DIV/0!</v>
      </c>
      <c r="AB322" s="15">
        <f t="shared" ref="AB322:AB365" si="36">($J322*Cp_yd)+($K322*Cp_td)+($L322*Cint)+($M322*Ccar)+($N322*Cr_yd)+($O322*Cr_td)+(Q322*Crec)+($R322*Crec_yd)+($S322*Crec_td)+($T322*Cfmb)+($U322*Ctp_c)</f>
        <v>0</v>
      </c>
    </row>
    <row r="323" spans="1:28" x14ac:dyDescent="0.2">
      <c r="A323" s="16" t="s">
        <v>1582</v>
      </c>
      <c r="B323" s="16" t="s">
        <v>43</v>
      </c>
      <c r="C323" s="16">
        <v>30</v>
      </c>
      <c r="D323" s="16">
        <v>9</v>
      </c>
      <c r="E323" s="16" t="s">
        <v>173</v>
      </c>
      <c r="F323" s="16" t="s">
        <v>1552</v>
      </c>
      <c r="G323" s="16">
        <v>0</v>
      </c>
      <c r="H323" s="16">
        <v>0</v>
      </c>
      <c r="I323" s="16">
        <v>0</v>
      </c>
      <c r="J323" s="16">
        <v>0</v>
      </c>
      <c r="K323" s="16">
        <v>0</v>
      </c>
      <c r="L323" s="16">
        <v>0</v>
      </c>
      <c r="M323" s="16">
        <v>0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 s="16">
        <v>0</v>
      </c>
      <c r="V323" s="16">
        <f t="shared" ref="V323:V365" si="37">($J323*0.04)+($K323*4)+($L323*-2)+($N323*0.1)+($O323*6)+($Q323)+($R323*0.1)+($S323*6)+($T323*-2)</f>
        <v>0</v>
      </c>
      <c r="W323" s="16" t="e">
        <f t="shared" si="34"/>
        <v>#DIV/0!</v>
      </c>
      <c r="X323" s="16" t="e">
        <f t="shared" si="35"/>
        <v>#DIV/0!</v>
      </c>
      <c r="Y323" s="16" t="e">
        <f t="shared" si="33"/>
        <v>#DIV/0!</v>
      </c>
      <c r="Z323" s="16" t="e">
        <f t="shared" si="32"/>
        <v>#DIV/0!</v>
      </c>
      <c r="AA323" s="16" t="e">
        <f>$K323/$H323</f>
        <v>#DIV/0!</v>
      </c>
      <c r="AB323" s="16">
        <f t="shared" si="36"/>
        <v>0</v>
      </c>
    </row>
    <row r="324" spans="1:28" x14ac:dyDescent="0.2">
      <c r="A324" s="15" t="s">
        <v>1583</v>
      </c>
      <c r="B324" s="15" t="s">
        <v>43</v>
      </c>
      <c r="C324" s="15">
        <v>24</v>
      </c>
      <c r="D324" s="15">
        <v>2</v>
      </c>
      <c r="E324" s="15" t="s">
        <v>237</v>
      </c>
      <c r="F324" s="15" t="s">
        <v>1552</v>
      </c>
      <c r="G324" s="15">
        <v>0</v>
      </c>
      <c r="H324" s="15">
        <v>0</v>
      </c>
      <c r="I324" s="15">
        <v>0</v>
      </c>
      <c r="J324" s="15">
        <v>0</v>
      </c>
      <c r="K324" s="15">
        <v>0</v>
      </c>
      <c r="L324" s="15">
        <v>0</v>
      </c>
      <c r="M324" s="15">
        <v>0</v>
      </c>
      <c r="N324" s="15">
        <v>0</v>
      </c>
      <c r="O324" s="15">
        <v>0</v>
      </c>
      <c r="P324" s="15">
        <v>0</v>
      </c>
      <c r="Q324" s="15">
        <v>0</v>
      </c>
      <c r="R324" s="15">
        <v>0</v>
      </c>
      <c r="S324" s="15">
        <v>0</v>
      </c>
      <c r="T324" s="15">
        <v>0</v>
      </c>
      <c r="U324" s="15">
        <v>0</v>
      </c>
      <c r="V324" s="15">
        <f t="shared" si="37"/>
        <v>0</v>
      </c>
      <c r="W324" s="15" t="e">
        <f t="shared" si="34"/>
        <v>#DIV/0!</v>
      </c>
      <c r="X324" s="15" t="e">
        <f t="shared" si="35"/>
        <v>#DIV/0!</v>
      </c>
      <c r="Y324" s="15" t="e">
        <f t="shared" si="33"/>
        <v>#DIV/0!</v>
      </c>
      <c r="Z324" s="15" t="e">
        <f t="shared" si="32"/>
        <v>#DIV/0!</v>
      </c>
      <c r="AA324" s="15" t="e">
        <f>$K324/$H324</f>
        <v>#DIV/0!</v>
      </c>
      <c r="AB324" s="15">
        <f t="shared" si="36"/>
        <v>0</v>
      </c>
    </row>
    <row r="325" spans="1:28" x14ac:dyDescent="0.2">
      <c r="A325" s="16" t="s">
        <v>1584</v>
      </c>
      <c r="B325" s="16" t="s">
        <v>43</v>
      </c>
      <c r="C325" s="16">
        <v>26</v>
      </c>
      <c r="D325" s="16">
        <v>3</v>
      </c>
      <c r="E325" s="16" t="s">
        <v>143</v>
      </c>
      <c r="F325" s="16" t="s">
        <v>1552</v>
      </c>
      <c r="G325" s="16">
        <v>0</v>
      </c>
      <c r="H325" s="16">
        <v>0</v>
      </c>
      <c r="I325" s="16">
        <v>0</v>
      </c>
      <c r="J325" s="16">
        <v>0</v>
      </c>
      <c r="K325" s="16">
        <v>0</v>
      </c>
      <c r="L325" s="16">
        <v>0</v>
      </c>
      <c r="M325" s="16">
        <v>0</v>
      </c>
      <c r="N325" s="16">
        <v>0</v>
      </c>
      <c r="O325" s="16">
        <v>0</v>
      </c>
      <c r="P325" s="16">
        <v>0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f t="shared" si="37"/>
        <v>0</v>
      </c>
      <c r="W325" s="16" t="e">
        <f t="shared" si="34"/>
        <v>#DIV/0!</v>
      </c>
      <c r="X325" s="16" t="e">
        <f t="shared" si="35"/>
        <v>#DIV/0!</v>
      </c>
      <c r="Y325" s="16" t="e">
        <f t="shared" si="33"/>
        <v>#DIV/0!</v>
      </c>
      <c r="Z325" s="16" t="e">
        <f t="shared" si="32"/>
        <v>#DIV/0!</v>
      </c>
      <c r="AA325" s="16" t="e">
        <f>$K325/$H325</f>
        <v>#DIV/0!</v>
      </c>
      <c r="AB325" s="16">
        <f t="shared" si="36"/>
        <v>0</v>
      </c>
    </row>
    <row r="326" spans="1:28" x14ac:dyDescent="0.2">
      <c r="A326" s="15" t="s">
        <v>1585</v>
      </c>
      <c r="B326" s="15" t="s">
        <v>43</v>
      </c>
      <c r="C326" s="15">
        <v>25</v>
      </c>
      <c r="D326" s="15">
        <v>1</v>
      </c>
      <c r="E326" s="15" t="s">
        <v>218</v>
      </c>
      <c r="F326" s="15" t="s">
        <v>1552</v>
      </c>
      <c r="G326" s="15">
        <v>0</v>
      </c>
      <c r="H326" s="15">
        <v>0</v>
      </c>
      <c r="I326" s="15">
        <v>0</v>
      </c>
      <c r="J326" s="15">
        <v>0</v>
      </c>
      <c r="K326" s="15">
        <v>0</v>
      </c>
      <c r="L326" s="15">
        <v>0</v>
      </c>
      <c r="M326" s="15">
        <v>0</v>
      </c>
      <c r="N326" s="15">
        <v>0</v>
      </c>
      <c r="O326" s="15">
        <v>0</v>
      </c>
      <c r="P326" s="15">
        <v>0</v>
      </c>
      <c r="Q326" s="15">
        <v>0</v>
      </c>
      <c r="R326" s="15">
        <v>0</v>
      </c>
      <c r="S326" s="15">
        <v>0</v>
      </c>
      <c r="T326" s="15">
        <v>0</v>
      </c>
      <c r="U326" s="15">
        <v>0</v>
      </c>
      <c r="V326" s="15">
        <f t="shared" si="37"/>
        <v>0</v>
      </c>
      <c r="W326" s="15" t="e">
        <f t="shared" si="34"/>
        <v>#DIV/0!</v>
      </c>
      <c r="X326" s="15" t="e">
        <f t="shared" si="35"/>
        <v>#DIV/0!</v>
      </c>
      <c r="Y326" s="15" t="e">
        <f t="shared" si="33"/>
        <v>#DIV/0!</v>
      </c>
      <c r="Z326" s="15" t="e">
        <f t="shared" si="32"/>
        <v>#DIV/0!</v>
      </c>
      <c r="AA326" s="15" t="e">
        <f>$K326/$H326</f>
        <v>#DIV/0!</v>
      </c>
      <c r="AB326" s="15">
        <f t="shared" si="36"/>
        <v>0</v>
      </c>
    </row>
    <row r="327" spans="1:28" x14ac:dyDescent="0.2">
      <c r="A327" s="16" t="s">
        <v>1586</v>
      </c>
      <c r="B327" s="16" t="s">
        <v>43</v>
      </c>
      <c r="C327" s="16">
        <v>26</v>
      </c>
      <c r="D327" s="16">
        <v>6</v>
      </c>
      <c r="E327" s="16" t="s">
        <v>458</v>
      </c>
      <c r="F327" s="16" t="s">
        <v>1552</v>
      </c>
      <c r="G327" s="16">
        <v>0</v>
      </c>
      <c r="H327" s="16">
        <v>0</v>
      </c>
      <c r="I327" s="16">
        <v>0</v>
      </c>
      <c r="J327" s="16">
        <v>0</v>
      </c>
      <c r="K327" s="16">
        <v>0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0</v>
      </c>
      <c r="R327" s="16">
        <v>0</v>
      </c>
      <c r="S327" s="16">
        <v>0</v>
      </c>
      <c r="T327" s="16">
        <v>0</v>
      </c>
      <c r="U327" s="16">
        <v>0</v>
      </c>
      <c r="V327" s="16">
        <f t="shared" si="37"/>
        <v>0</v>
      </c>
      <c r="W327" s="16" t="e">
        <f t="shared" si="34"/>
        <v>#DIV/0!</v>
      </c>
      <c r="X327" s="16" t="e">
        <f t="shared" si="35"/>
        <v>#DIV/0!</v>
      </c>
      <c r="Y327" s="16" t="e">
        <f t="shared" si="33"/>
        <v>#DIV/0!</v>
      </c>
      <c r="Z327" s="16" t="e">
        <f t="shared" si="32"/>
        <v>#DIV/0!</v>
      </c>
      <c r="AA327" s="16" t="e">
        <f>$K327/$H327</f>
        <v>#DIV/0!</v>
      </c>
      <c r="AB327" s="16">
        <f t="shared" si="36"/>
        <v>0</v>
      </c>
    </row>
    <row r="328" spans="1:28" x14ac:dyDescent="0.2">
      <c r="A328" s="15" t="s">
        <v>1587</v>
      </c>
      <c r="B328" s="15" t="s">
        <v>43</v>
      </c>
      <c r="C328" s="15">
        <v>24</v>
      </c>
      <c r="D328" s="15">
        <v>1</v>
      </c>
      <c r="E328" s="15" t="s">
        <v>163</v>
      </c>
      <c r="F328" s="15" t="s">
        <v>1552</v>
      </c>
      <c r="G328" s="15">
        <v>0</v>
      </c>
      <c r="H328" s="15">
        <v>0</v>
      </c>
      <c r="I328" s="15">
        <v>0</v>
      </c>
      <c r="J328" s="15">
        <v>0</v>
      </c>
      <c r="K328" s="15">
        <v>0</v>
      </c>
      <c r="L328" s="15">
        <v>0</v>
      </c>
      <c r="M328" s="15">
        <v>0</v>
      </c>
      <c r="N328" s="15">
        <v>0</v>
      </c>
      <c r="O328" s="15">
        <v>0</v>
      </c>
      <c r="P328" s="15">
        <v>0</v>
      </c>
      <c r="Q328" s="15">
        <v>0</v>
      </c>
      <c r="R328" s="15">
        <v>0</v>
      </c>
      <c r="S328" s="15">
        <v>0</v>
      </c>
      <c r="T328" s="15">
        <v>0</v>
      </c>
      <c r="U328" s="15">
        <v>0</v>
      </c>
      <c r="V328" s="15">
        <f t="shared" si="37"/>
        <v>0</v>
      </c>
      <c r="W328" s="15" t="e">
        <f t="shared" si="34"/>
        <v>#DIV/0!</v>
      </c>
      <c r="X328" s="15" t="e">
        <f t="shared" si="35"/>
        <v>#DIV/0!</v>
      </c>
      <c r="Y328" s="15" t="e">
        <f t="shared" si="33"/>
        <v>#DIV/0!</v>
      </c>
      <c r="Z328" s="15" t="e">
        <f t="shared" si="32"/>
        <v>#DIV/0!</v>
      </c>
      <c r="AA328" s="15" t="e">
        <f>$K328/$H328</f>
        <v>#DIV/0!</v>
      </c>
      <c r="AB328" s="15">
        <f t="shared" si="36"/>
        <v>0</v>
      </c>
    </row>
    <row r="329" spans="1:28" x14ac:dyDescent="0.2">
      <c r="A329" s="16" t="s">
        <v>1588</v>
      </c>
      <c r="B329" s="16" t="s">
        <v>43</v>
      </c>
      <c r="C329" s="16">
        <v>27</v>
      </c>
      <c r="D329" s="16">
        <v>5</v>
      </c>
      <c r="E329" s="16" t="s">
        <v>341</v>
      </c>
      <c r="F329" s="16" t="s">
        <v>1552</v>
      </c>
      <c r="G329" s="16">
        <v>0</v>
      </c>
      <c r="H329" s="16">
        <v>0</v>
      </c>
      <c r="I329" s="16">
        <v>0</v>
      </c>
      <c r="J329" s="16">
        <v>0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f t="shared" si="37"/>
        <v>0</v>
      </c>
      <c r="W329" s="16" t="e">
        <f t="shared" si="34"/>
        <v>#DIV/0!</v>
      </c>
      <c r="X329" s="16" t="e">
        <f t="shared" si="35"/>
        <v>#DIV/0!</v>
      </c>
      <c r="Y329" s="16" t="e">
        <f t="shared" si="33"/>
        <v>#DIV/0!</v>
      </c>
      <c r="Z329" s="16" t="e">
        <f t="shared" si="32"/>
        <v>#DIV/0!</v>
      </c>
      <c r="AA329" s="16" t="e">
        <f>$K329/$H329</f>
        <v>#DIV/0!</v>
      </c>
      <c r="AB329" s="16">
        <f t="shared" si="36"/>
        <v>0</v>
      </c>
    </row>
    <row r="330" spans="1:28" x14ac:dyDescent="0.2">
      <c r="A330" s="15" t="s">
        <v>1589</v>
      </c>
      <c r="B330" s="15" t="s">
        <v>43</v>
      </c>
      <c r="C330" s="15">
        <v>30</v>
      </c>
      <c r="D330" s="15">
        <v>8</v>
      </c>
      <c r="E330" s="15" t="s">
        <v>1590</v>
      </c>
      <c r="F330" s="15" t="s">
        <v>1552</v>
      </c>
      <c r="G330" s="15">
        <v>0</v>
      </c>
      <c r="H330" s="15">
        <v>0</v>
      </c>
      <c r="I330" s="15">
        <v>0</v>
      </c>
      <c r="J330" s="15">
        <v>0</v>
      </c>
      <c r="K330" s="15">
        <v>0</v>
      </c>
      <c r="L330" s="15">
        <v>0</v>
      </c>
      <c r="M330" s="15">
        <v>0</v>
      </c>
      <c r="N330" s="15">
        <v>0</v>
      </c>
      <c r="O330" s="15">
        <v>0</v>
      </c>
      <c r="P330" s="15">
        <v>0</v>
      </c>
      <c r="Q330" s="15">
        <v>0</v>
      </c>
      <c r="R330" s="15">
        <v>0</v>
      </c>
      <c r="S330" s="15">
        <v>0</v>
      </c>
      <c r="T330" s="15">
        <v>0</v>
      </c>
      <c r="U330" s="15">
        <v>0</v>
      </c>
      <c r="V330" s="15">
        <f t="shared" si="37"/>
        <v>0</v>
      </c>
      <c r="W330" s="15" t="e">
        <f t="shared" si="34"/>
        <v>#DIV/0!</v>
      </c>
      <c r="X330" s="15" t="e">
        <f t="shared" si="35"/>
        <v>#DIV/0!</v>
      </c>
      <c r="Y330" s="15" t="e">
        <f t="shared" si="33"/>
        <v>#DIV/0!</v>
      </c>
      <c r="Z330" s="15" t="e">
        <f t="shared" si="32"/>
        <v>#DIV/0!</v>
      </c>
      <c r="AA330" s="15" t="e">
        <f>$K330/$H330</f>
        <v>#DIV/0!</v>
      </c>
      <c r="AB330" s="15">
        <f t="shared" si="36"/>
        <v>0</v>
      </c>
    </row>
    <row r="331" spans="1:28" x14ac:dyDescent="0.2">
      <c r="A331" s="16" t="s">
        <v>1628</v>
      </c>
      <c r="B331" s="16" t="s">
        <v>43</v>
      </c>
      <c r="C331" s="16">
        <v>23</v>
      </c>
      <c r="D331" s="16">
        <v>0</v>
      </c>
      <c r="E331" s="16" t="s">
        <v>76</v>
      </c>
      <c r="F331" s="16" t="s">
        <v>1599</v>
      </c>
      <c r="G331" s="16">
        <v>0</v>
      </c>
      <c r="H331" s="16">
        <v>0</v>
      </c>
      <c r="I331" s="16">
        <v>0</v>
      </c>
      <c r="J331" s="16">
        <v>0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0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f t="shared" si="37"/>
        <v>0</v>
      </c>
      <c r="W331" s="16" t="e">
        <f t="shared" si="34"/>
        <v>#DIV/0!</v>
      </c>
      <c r="X331" s="16" t="e">
        <f t="shared" si="35"/>
        <v>#DIV/0!</v>
      </c>
      <c r="Y331" s="16" t="e">
        <f t="shared" si="33"/>
        <v>#DIV/0!</v>
      </c>
      <c r="Z331" s="16" t="e">
        <f t="shared" si="32"/>
        <v>#DIV/0!</v>
      </c>
      <c r="AA331" s="16" t="e">
        <f>$K331/$H331</f>
        <v>#DIV/0!</v>
      </c>
      <c r="AB331" s="16">
        <f t="shared" si="36"/>
        <v>0</v>
      </c>
    </row>
    <row r="332" spans="1:28" x14ac:dyDescent="0.2">
      <c r="A332" s="15" t="s">
        <v>1629</v>
      </c>
      <c r="B332" s="15" t="s">
        <v>43</v>
      </c>
      <c r="C332" s="15">
        <v>29</v>
      </c>
      <c r="D332" s="15">
        <v>10</v>
      </c>
      <c r="E332" s="15" t="s">
        <v>307</v>
      </c>
      <c r="F332" s="15" t="s">
        <v>1599</v>
      </c>
      <c r="G332" s="15">
        <v>0</v>
      </c>
      <c r="H332" s="15">
        <v>0</v>
      </c>
      <c r="I332" s="15">
        <v>0</v>
      </c>
      <c r="J332" s="15">
        <v>0</v>
      </c>
      <c r="K332" s="15">
        <v>0</v>
      </c>
      <c r="L332" s="15">
        <v>0</v>
      </c>
      <c r="M332" s="15">
        <v>0</v>
      </c>
      <c r="N332" s="15">
        <v>0</v>
      </c>
      <c r="O332" s="15">
        <v>0</v>
      </c>
      <c r="P332" s="15">
        <v>0</v>
      </c>
      <c r="Q332" s="15">
        <v>0</v>
      </c>
      <c r="R332" s="15">
        <v>0</v>
      </c>
      <c r="S332" s="15">
        <v>0</v>
      </c>
      <c r="T332" s="15">
        <v>0</v>
      </c>
      <c r="U332" s="15">
        <v>0</v>
      </c>
      <c r="V332" s="15">
        <f t="shared" si="37"/>
        <v>0</v>
      </c>
      <c r="W332" s="15" t="e">
        <f t="shared" si="34"/>
        <v>#DIV/0!</v>
      </c>
      <c r="X332" s="15" t="e">
        <f t="shared" si="35"/>
        <v>#DIV/0!</v>
      </c>
      <c r="Y332" s="15" t="e">
        <f t="shared" si="33"/>
        <v>#DIV/0!</v>
      </c>
      <c r="Z332" s="15" t="e">
        <f t="shared" ref="Z332:Z365" si="38">$I332/$H332</f>
        <v>#DIV/0!</v>
      </c>
      <c r="AA332" s="15" t="e">
        <f>$K332/$H332</f>
        <v>#DIV/0!</v>
      </c>
      <c r="AB332" s="15">
        <f t="shared" si="36"/>
        <v>0</v>
      </c>
    </row>
    <row r="333" spans="1:28" x14ac:dyDescent="0.2">
      <c r="A333" s="16" t="s">
        <v>1630</v>
      </c>
      <c r="B333" s="16" t="s">
        <v>43</v>
      </c>
      <c r="C333" s="16">
        <v>27</v>
      </c>
      <c r="D333" s="16">
        <v>6</v>
      </c>
      <c r="E333" s="16" t="s">
        <v>227</v>
      </c>
      <c r="F333" s="16" t="s">
        <v>1599</v>
      </c>
      <c r="G333" s="16">
        <v>0</v>
      </c>
      <c r="H333" s="16">
        <v>0</v>
      </c>
      <c r="I333" s="16">
        <v>0</v>
      </c>
      <c r="J333" s="16">
        <v>0</v>
      </c>
      <c r="K333" s="16">
        <v>0</v>
      </c>
      <c r="L333" s="16">
        <v>0</v>
      </c>
      <c r="M333" s="16">
        <v>0</v>
      </c>
      <c r="N333" s="16">
        <v>0</v>
      </c>
      <c r="O333" s="16">
        <v>0</v>
      </c>
      <c r="P333" s="16">
        <v>0</v>
      </c>
      <c r="Q333" s="16">
        <v>0</v>
      </c>
      <c r="R333" s="16">
        <v>0</v>
      </c>
      <c r="S333" s="16">
        <v>0</v>
      </c>
      <c r="T333" s="16">
        <v>0</v>
      </c>
      <c r="U333" s="16">
        <v>0</v>
      </c>
      <c r="V333" s="16">
        <f t="shared" si="37"/>
        <v>0</v>
      </c>
      <c r="W333" s="16" t="e">
        <f t="shared" si="34"/>
        <v>#DIV/0!</v>
      </c>
      <c r="X333" s="16" t="e">
        <f t="shared" si="35"/>
        <v>#DIV/0!</v>
      </c>
      <c r="Y333" s="16" t="e">
        <f t="shared" si="33"/>
        <v>#DIV/0!</v>
      </c>
      <c r="Z333" s="16" t="e">
        <f t="shared" si="38"/>
        <v>#DIV/0!</v>
      </c>
      <c r="AA333" s="16" t="e">
        <f>$K333/$H333</f>
        <v>#DIV/0!</v>
      </c>
      <c r="AB333" s="16">
        <f t="shared" si="36"/>
        <v>0</v>
      </c>
    </row>
    <row r="334" spans="1:28" x14ac:dyDescent="0.2">
      <c r="A334" s="15" t="s">
        <v>1631</v>
      </c>
      <c r="B334" s="15" t="s">
        <v>43</v>
      </c>
      <c r="C334" s="15">
        <v>25</v>
      </c>
      <c r="D334" s="15">
        <v>1</v>
      </c>
      <c r="E334" s="15" t="s">
        <v>511</v>
      </c>
      <c r="F334" s="15" t="s">
        <v>1599</v>
      </c>
      <c r="G334" s="15">
        <v>0</v>
      </c>
      <c r="H334" s="15">
        <v>0</v>
      </c>
      <c r="I334" s="15">
        <v>0</v>
      </c>
      <c r="J334" s="15">
        <v>0</v>
      </c>
      <c r="K334" s="15">
        <v>0</v>
      </c>
      <c r="L334" s="15">
        <v>0</v>
      </c>
      <c r="M334" s="15">
        <v>0</v>
      </c>
      <c r="N334" s="15">
        <v>0</v>
      </c>
      <c r="O334" s="15">
        <v>0</v>
      </c>
      <c r="P334" s="15">
        <v>0</v>
      </c>
      <c r="Q334" s="15">
        <v>0</v>
      </c>
      <c r="R334" s="15">
        <v>0</v>
      </c>
      <c r="S334" s="15">
        <v>0</v>
      </c>
      <c r="T334" s="15">
        <v>0</v>
      </c>
      <c r="U334" s="15">
        <v>0</v>
      </c>
      <c r="V334" s="15">
        <f t="shared" si="37"/>
        <v>0</v>
      </c>
      <c r="W334" s="15" t="e">
        <f t="shared" si="34"/>
        <v>#DIV/0!</v>
      </c>
      <c r="X334" s="15" t="e">
        <f t="shared" si="35"/>
        <v>#DIV/0!</v>
      </c>
      <c r="Y334" s="15" t="e">
        <f t="shared" si="33"/>
        <v>#DIV/0!</v>
      </c>
      <c r="Z334" s="15" t="e">
        <f t="shared" si="38"/>
        <v>#DIV/0!</v>
      </c>
      <c r="AA334" s="15" t="e">
        <f>$K334/$H334</f>
        <v>#DIV/0!</v>
      </c>
      <c r="AB334" s="15">
        <f t="shared" si="36"/>
        <v>0</v>
      </c>
    </row>
    <row r="335" spans="1:28" x14ac:dyDescent="0.2">
      <c r="A335" s="16" t="s">
        <v>1632</v>
      </c>
      <c r="B335" s="16" t="s">
        <v>43</v>
      </c>
      <c r="C335" s="16">
        <v>27</v>
      </c>
      <c r="D335" s="16">
        <v>7</v>
      </c>
      <c r="E335" s="16" t="s">
        <v>339</v>
      </c>
      <c r="F335" s="16" t="s">
        <v>1599</v>
      </c>
      <c r="G335" s="16">
        <v>0</v>
      </c>
      <c r="H335" s="16">
        <v>0</v>
      </c>
      <c r="I335" s="16">
        <v>0</v>
      </c>
      <c r="J335" s="16">
        <v>0</v>
      </c>
      <c r="K335" s="16">
        <v>0</v>
      </c>
      <c r="L335" s="16">
        <v>0</v>
      </c>
      <c r="M335" s="16">
        <v>0</v>
      </c>
      <c r="N335" s="16">
        <v>0</v>
      </c>
      <c r="O335" s="16">
        <v>0</v>
      </c>
      <c r="P335" s="16">
        <v>0</v>
      </c>
      <c r="Q335" s="16">
        <v>0</v>
      </c>
      <c r="R335" s="16">
        <v>0</v>
      </c>
      <c r="S335" s="16">
        <v>0</v>
      </c>
      <c r="T335" s="16">
        <v>0</v>
      </c>
      <c r="U335" s="16">
        <v>0</v>
      </c>
      <c r="V335" s="16">
        <f t="shared" si="37"/>
        <v>0</v>
      </c>
      <c r="W335" s="16" t="e">
        <f t="shared" si="34"/>
        <v>#DIV/0!</v>
      </c>
      <c r="X335" s="16" t="e">
        <f t="shared" si="35"/>
        <v>#DIV/0!</v>
      </c>
      <c r="Y335" s="16" t="e">
        <f t="shared" si="33"/>
        <v>#DIV/0!</v>
      </c>
      <c r="Z335" s="16" t="e">
        <f t="shared" si="38"/>
        <v>#DIV/0!</v>
      </c>
      <c r="AA335" s="16" t="e">
        <f>$K335/$H335</f>
        <v>#DIV/0!</v>
      </c>
      <c r="AB335" s="16">
        <f t="shared" si="36"/>
        <v>0</v>
      </c>
    </row>
    <row r="336" spans="1:28" x14ac:dyDescent="0.2">
      <c r="A336" s="15" t="s">
        <v>1633</v>
      </c>
      <c r="B336" s="15" t="s">
        <v>43</v>
      </c>
      <c r="C336" s="15">
        <v>22</v>
      </c>
      <c r="D336" s="15">
        <v>0</v>
      </c>
      <c r="E336" s="15" t="s">
        <v>232</v>
      </c>
      <c r="F336" s="15" t="s">
        <v>1599</v>
      </c>
      <c r="G336" s="15">
        <v>0</v>
      </c>
      <c r="H336" s="15">
        <v>0</v>
      </c>
      <c r="I336" s="15">
        <v>0</v>
      </c>
      <c r="J336" s="15">
        <v>0</v>
      </c>
      <c r="K336" s="15">
        <v>0</v>
      </c>
      <c r="L336" s="15">
        <v>0</v>
      </c>
      <c r="M336" s="15">
        <v>0</v>
      </c>
      <c r="N336" s="15">
        <v>0</v>
      </c>
      <c r="O336" s="15">
        <v>0</v>
      </c>
      <c r="P336" s="15">
        <v>0</v>
      </c>
      <c r="Q336" s="15">
        <v>0</v>
      </c>
      <c r="R336" s="15">
        <v>0</v>
      </c>
      <c r="S336" s="15">
        <v>0</v>
      </c>
      <c r="T336" s="15">
        <v>0</v>
      </c>
      <c r="U336" s="15">
        <v>0</v>
      </c>
      <c r="V336" s="15">
        <f t="shared" si="37"/>
        <v>0</v>
      </c>
      <c r="W336" s="15" t="e">
        <f t="shared" si="34"/>
        <v>#DIV/0!</v>
      </c>
      <c r="X336" s="15" t="e">
        <f t="shared" si="35"/>
        <v>#DIV/0!</v>
      </c>
      <c r="Y336" s="15" t="e">
        <f t="shared" si="33"/>
        <v>#DIV/0!</v>
      </c>
      <c r="Z336" s="15" t="e">
        <f t="shared" si="38"/>
        <v>#DIV/0!</v>
      </c>
      <c r="AA336" s="15" t="e">
        <f>$K336/$H336</f>
        <v>#DIV/0!</v>
      </c>
      <c r="AB336" s="15">
        <f t="shared" si="36"/>
        <v>0</v>
      </c>
    </row>
    <row r="337" spans="1:28" x14ac:dyDescent="0.2">
      <c r="A337" s="16" t="s">
        <v>1634</v>
      </c>
      <c r="B337" s="16" t="s">
        <v>43</v>
      </c>
      <c r="C337" s="16">
        <v>23</v>
      </c>
      <c r="D337" s="16">
        <v>0</v>
      </c>
      <c r="E337" s="16" t="s">
        <v>148</v>
      </c>
      <c r="F337" s="16" t="s">
        <v>1599</v>
      </c>
      <c r="G337" s="16">
        <v>0</v>
      </c>
      <c r="H337" s="16">
        <v>0</v>
      </c>
      <c r="I337" s="16">
        <v>0</v>
      </c>
      <c r="J337" s="16">
        <v>0</v>
      </c>
      <c r="K337" s="16">
        <v>0</v>
      </c>
      <c r="L337" s="16">
        <v>0</v>
      </c>
      <c r="M337" s="16">
        <v>0</v>
      </c>
      <c r="N337" s="16">
        <v>0</v>
      </c>
      <c r="O337" s="16">
        <v>0</v>
      </c>
      <c r="P337" s="16">
        <v>0</v>
      </c>
      <c r="Q337" s="16">
        <v>0</v>
      </c>
      <c r="R337" s="16">
        <v>0</v>
      </c>
      <c r="S337" s="16">
        <v>0</v>
      </c>
      <c r="T337" s="16">
        <v>0</v>
      </c>
      <c r="U337" s="16">
        <v>0</v>
      </c>
      <c r="V337" s="16">
        <f t="shared" si="37"/>
        <v>0</v>
      </c>
      <c r="W337" s="16" t="e">
        <f t="shared" si="34"/>
        <v>#DIV/0!</v>
      </c>
      <c r="X337" s="16" t="e">
        <f t="shared" si="35"/>
        <v>#DIV/0!</v>
      </c>
      <c r="Y337" s="16" t="e">
        <f t="shared" si="33"/>
        <v>#DIV/0!</v>
      </c>
      <c r="Z337" s="16" t="e">
        <f t="shared" si="38"/>
        <v>#DIV/0!</v>
      </c>
      <c r="AA337" s="16" t="e">
        <f>$K337/$H337</f>
        <v>#DIV/0!</v>
      </c>
      <c r="AB337" s="16">
        <f t="shared" si="36"/>
        <v>0</v>
      </c>
    </row>
    <row r="338" spans="1:28" x14ac:dyDescent="0.2">
      <c r="A338" s="15" t="s">
        <v>1635</v>
      </c>
      <c r="B338" s="15" t="s">
        <v>43</v>
      </c>
      <c r="C338" s="15">
        <v>23</v>
      </c>
      <c r="D338" s="15">
        <v>0</v>
      </c>
      <c r="E338" s="15" t="s">
        <v>1636</v>
      </c>
      <c r="F338" s="15" t="s">
        <v>1599</v>
      </c>
      <c r="G338" s="15">
        <v>0</v>
      </c>
      <c r="H338" s="15">
        <v>0</v>
      </c>
      <c r="I338" s="15">
        <v>0</v>
      </c>
      <c r="J338" s="15">
        <v>0</v>
      </c>
      <c r="K338" s="15">
        <v>0</v>
      </c>
      <c r="L338" s="15">
        <v>0</v>
      </c>
      <c r="M338" s="15">
        <v>0</v>
      </c>
      <c r="N338" s="15">
        <v>0</v>
      </c>
      <c r="O338" s="15">
        <v>0</v>
      </c>
      <c r="P338" s="15">
        <v>0</v>
      </c>
      <c r="Q338" s="15">
        <v>0</v>
      </c>
      <c r="R338" s="15">
        <v>0</v>
      </c>
      <c r="S338" s="15">
        <v>0</v>
      </c>
      <c r="T338" s="15">
        <v>0</v>
      </c>
      <c r="U338" s="15">
        <v>0</v>
      </c>
      <c r="V338" s="15">
        <f t="shared" si="37"/>
        <v>0</v>
      </c>
      <c r="W338" s="15" t="e">
        <f t="shared" si="34"/>
        <v>#DIV/0!</v>
      </c>
      <c r="X338" s="15" t="e">
        <f t="shared" si="35"/>
        <v>#DIV/0!</v>
      </c>
      <c r="Y338" s="15" t="e">
        <f t="shared" ref="Y338:Y365" si="39">$R338/$Q338</f>
        <v>#DIV/0!</v>
      </c>
      <c r="Z338" s="15" t="e">
        <f t="shared" si="38"/>
        <v>#DIV/0!</v>
      </c>
      <c r="AA338" s="15" t="e">
        <f>$K338/$H338</f>
        <v>#DIV/0!</v>
      </c>
      <c r="AB338" s="15">
        <f t="shared" si="36"/>
        <v>0</v>
      </c>
    </row>
    <row r="339" spans="1:28" x14ac:dyDescent="0.2">
      <c r="A339" s="16" t="s">
        <v>1637</v>
      </c>
      <c r="B339" s="16" t="s">
        <v>43</v>
      </c>
      <c r="C339" s="16">
        <v>28</v>
      </c>
      <c r="D339" s="16">
        <v>5</v>
      </c>
      <c r="E339" s="16" t="s">
        <v>681</v>
      </c>
      <c r="F339" s="16" t="s">
        <v>1599</v>
      </c>
      <c r="G339" s="16">
        <v>0</v>
      </c>
      <c r="H339" s="16">
        <v>0</v>
      </c>
      <c r="I339" s="16">
        <v>0</v>
      </c>
      <c r="J339" s="16">
        <v>0</v>
      </c>
      <c r="K339" s="16">
        <v>0</v>
      </c>
      <c r="L339" s="16">
        <v>0</v>
      </c>
      <c r="M339" s="16">
        <v>0</v>
      </c>
      <c r="N339" s="16">
        <v>0</v>
      </c>
      <c r="O339" s="16">
        <v>0</v>
      </c>
      <c r="P339" s="16">
        <v>0</v>
      </c>
      <c r="Q339" s="16">
        <v>0</v>
      </c>
      <c r="R339" s="16">
        <v>0</v>
      </c>
      <c r="S339" s="16">
        <v>0</v>
      </c>
      <c r="T339" s="16">
        <v>0</v>
      </c>
      <c r="U339" s="16">
        <v>0</v>
      </c>
      <c r="V339" s="16">
        <f t="shared" si="37"/>
        <v>0</v>
      </c>
      <c r="W339" s="16" t="e">
        <f t="shared" si="34"/>
        <v>#DIV/0!</v>
      </c>
      <c r="X339" s="16" t="e">
        <f t="shared" si="35"/>
        <v>#DIV/0!</v>
      </c>
      <c r="Y339" s="16" t="e">
        <f t="shared" si="39"/>
        <v>#DIV/0!</v>
      </c>
      <c r="Z339" s="16" t="e">
        <f t="shared" si="38"/>
        <v>#DIV/0!</v>
      </c>
      <c r="AA339" s="16" t="e">
        <f>$K339/$H339</f>
        <v>#DIV/0!</v>
      </c>
      <c r="AB339" s="16">
        <f t="shared" si="36"/>
        <v>0</v>
      </c>
    </row>
    <row r="340" spans="1:28" x14ac:dyDescent="0.2">
      <c r="A340" s="15" t="s">
        <v>1638</v>
      </c>
      <c r="B340" s="15" t="s">
        <v>43</v>
      </c>
      <c r="C340" s="15">
        <v>22</v>
      </c>
      <c r="D340" s="15">
        <v>0</v>
      </c>
      <c r="E340" s="15" t="s">
        <v>248</v>
      </c>
      <c r="F340" s="15" t="s">
        <v>1599</v>
      </c>
      <c r="G340" s="15">
        <v>0</v>
      </c>
      <c r="H340" s="15">
        <v>0</v>
      </c>
      <c r="I340" s="15">
        <v>0</v>
      </c>
      <c r="J340" s="15">
        <v>0</v>
      </c>
      <c r="K340" s="15">
        <v>0</v>
      </c>
      <c r="L340" s="15">
        <v>0</v>
      </c>
      <c r="M340" s="15">
        <v>0</v>
      </c>
      <c r="N340" s="15">
        <v>0</v>
      </c>
      <c r="O340" s="15">
        <v>0</v>
      </c>
      <c r="P340" s="15">
        <v>0</v>
      </c>
      <c r="Q340" s="15">
        <v>0</v>
      </c>
      <c r="R340" s="15">
        <v>0</v>
      </c>
      <c r="S340" s="15">
        <v>0</v>
      </c>
      <c r="T340" s="15">
        <v>0</v>
      </c>
      <c r="U340" s="15">
        <v>0</v>
      </c>
      <c r="V340" s="15">
        <f t="shared" si="37"/>
        <v>0</v>
      </c>
      <c r="W340" s="15" t="e">
        <f t="shared" si="34"/>
        <v>#DIV/0!</v>
      </c>
      <c r="X340" s="15" t="e">
        <f t="shared" si="35"/>
        <v>#DIV/0!</v>
      </c>
      <c r="Y340" s="15" t="e">
        <f t="shared" si="39"/>
        <v>#DIV/0!</v>
      </c>
      <c r="Z340" s="15" t="e">
        <f t="shared" si="38"/>
        <v>#DIV/0!</v>
      </c>
      <c r="AA340" s="15" t="e">
        <f>$K340/$H340</f>
        <v>#DIV/0!</v>
      </c>
      <c r="AB340" s="15">
        <f t="shared" si="36"/>
        <v>0</v>
      </c>
    </row>
    <row r="341" spans="1:28" x14ac:dyDescent="0.2">
      <c r="A341" s="16" t="s">
        <v>1639</v>
      </c>
      <c r="B341" s="16" t="s">
        <v>43</v>
      </c>
      <c r="C341" s="16">
        <v>23</v>
      </c>
      <c r="D341" s="16">
        <v>2</v>
      </c>
      <c r="E341" s="16" t="s">
        <v>89</v>
      </c>
      <c r="F341" s="16" t="s">
        <v>1599</v>
      </c>
      <c r="G341" s="16">
        <v>0</v>
      </c>
      <c r="H341" s="16">
        <v>0</v>
      </c>
      <c r="I341" s="16">
        <v>0</v>
      </c>
      <c r="J341" s="16">
        <v>0</v>
      </c>
      <c r="K341" s="16">
        <v>0</v>
      </c>
      <c r="L341" s="16">
        <v>0</v>
      </c>
      <c r="M341" s="16"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f t="shared" si="37"/>
        <v>0</v>
      </c>
      <c r="W341" s="16" t="e">
        <f t="shared" si="34"/>
        <v>#DIV/0!</v>
      </c>
      <c r="X341" s="16" t="e">
        <f t="shared" si="35"/>
        <v>#DIV/0!</v>
      </c>
      <c r="Y341" s="16" t="e">
        <f t="shared" si="39"/>
        <v>#DIV/0!</v>
      </c>
      <c r="Z341" s="16" t="e">
        <f t="shared" si="38"/>
        <v>#DIV/0!</v>
      </c>
      <c r="AA341" s="16" t="e">
        <f>$K341/$H341</f>
        <v>#DIV/0!</v>
      </c>
      <c r="AB341" s="16">
        <f t="shared" si="36"/>
        <v>0</v>
      </c>
    </row>
    <row r="342" spans="1:28" x14ac:dyDescent="0.2">
      <c r="A342" s="15" t="s">
        <v>1678</v>
      </c>
      <c r="B342" s="15" t="s">
        <v>43</v>
      </c>
      <c r="C342" s="15">
        <v>23</v>
      </c>
      <c r="D342" s="15">
        <v>2</v>
      </c>
      <c r="E342" s="15" t="s">
        <v>175</v>
      </c>
      <c r="F342" s="15" t="s">
        <v>1648</v>
      </c>
      <c r="G342" s="15">
        <v>0</v>
      </c>
      <c r="H342" s="15">
        <v>0</v>
      </c>
      <c r="I342" s="15">
        <v>0</v>
      </c>
      <c r="J342" s="15">
        <v>0</v>
      </c>
      <c r="K342" s="15">
        <v>0</v>
      </c>
      <c r="L342" s="15">
        <v>0</v>
      </c>
      <c r="M342" s="15">
        <v>0</v>
      </c>
      <c r="N342" s="15">
        <v>0</v>
      </c>
      <c r="O342" s="15">
        <v>0</v>
      </c>
      <c r="P342" s="15">
        <v>0</v>
      </c>
      <c r="Q342" s="15">
        <v>0</v>
      </c>
      <c r="R342" s="15">
        <v>0</v>
      </c>
      <c r="S342" s="15">
        <v>0</v>
      </c>
      <c r="T342" s="15">
        <v>0</v>
      </c>
      <c r="U342" s="15">
        <v>0</v>
      </c>
      <c r="V342" s="15">
        <f t="shared" si="37"/>
        <v>0</v>
      </c>
      <c r="W342" s="15" t="e">
        <f t="shared" si="34"/>
        <v>#DIV/0!</v>
      </c>
      <c r="X342" s="15" t="e">
        <f t="shared" si="35"/>
        <v>#DIV/0!</v>
      </c>
      <c r="Y342" s="15" t="e">
        <f t="shared" si="39"/>
        <v>#DIV/0!</v>
      </c>
      <c r="Z342" s="15" t="e">
        <f t="shared" si="38"/>
        <v>#DIV/0!</v>
      </c>
      <c r="AA342" s="15" t="e">
        <f>$K342/$H342</f>
        <v>#DIV/0!</v>
      </c>
      <c r="AB342" s="15">
        <f t="shared" si="36"/>
        <v>0</v>
      </c>
    </row>
    <row r="343" spans="1:28" x14ac:dyDescent="0.2">
      <c r="A343" s="16" t="s">
        <v>1679</v>
      </c>
      <c r="B343" s="16" t="s">
        <v>43</v>
      </c>
      <c r="C343" s="16">
        <v>24</v>
      </c>
      <c r="D343" s="16">
        <v>0</v>
      </c>
      <c r="E343" s="16" t="s">
        <v>1045</v>
      </c>
      <c r="F343" s="16" t="s">
        <v>1648</v>
      </c>
      <c r="G343" s="16">
        <v>0</v>
      </c>
      <c r="H343" s="16">
        <v>0</v>
      </c>
      <c r="I343" s="16">
        <v>0</v>
      </c>
      <c r="J343" s="16">
        <v>0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f t="shared" si="37"/>
        <v>0</v>
      </c>
      <c r="W343" s="16" t="e">
        <f t="shared" si="34"/>
        <v>#DIV/0!</v>
      </c>
      <c r="X343" s="16" t="e">
        <f t="shared" si="35"/>
        <v>#DIV/0!</v>
      </c>
      <c r="Y343" s="16" t="e">
        <f t="shared" si="39"/>
        <v>#DIV/0!</v>
      </c>
      <c r="Z343" s="16" t="e">
        <f t="shared" si="38"/>
        <v>#DIV/0!</v>
      </c>
      <c r="AA343" s="16" t="e">
        <f>$K343/$H343</f>
        <v>#DIV/0!</v>
      </c>
      <c r="AB343" s="16">
        <f t="shared" si="36"/>
        <v>0</v>
      </c>
    </row>
    <row r="344" spans="1:28" x14ac:dyDescent="0.2">
      <c r="A344" s="15" t="s">
        <v>1680</v>
      </c>
      <c r="B344" s="15" t="s">
        <v>43</v>
      </c>
      <c r="C344" s="15">
        <v>23</v>
      </c>
      <c r="D344" s="15">
        <v>0</v>
      </c>
      <c r="E344" s="15" t="s">
        <v>111</v>
      </c>
      <c r="F344" s="15" t="s">
        <v>1648</v>
      </c>
      <c r="G344" s="15">
        <v>0</v>
      </c>
      <c r="H344" s="15">
        <v>0</v>
      </c>
      <c r="I344" s="15">
        <v>0</v>
      </c>
      <c r="J344" s="15">
        <v>0</v>
      </c>
      <c r="K344" s="15">
        <v>0</v>
      </c>
      <c r="L344" s="15">
        <v>0</v>
      </c>
      <c r="M344" s="15">
        <v>0</v>
      </c>
      <c r="N344" s="15">
        <v>0</v>
      </c>
      <c r="O344" s="15">
        <v>0</v>
      </c>
      <c r="P344" s="15">
        <v>0</v>
      </c>
      <c r="Q344" s="15">
        <v>0</v>
      </c>
      <c r="R344" s="15">
        <v>0</v>
      </c>
      <c r="S344" s="15">
        <v>0</v>
      </c>
      <c r="T344" s="15">
        <v>0</v>
      </c>
      <c r="U344" s="15">
        <v>0</v>
      </c>
      <c r="V344" s="15">
        <f t="shared" si="37"/>
        <v>0</v>
      </c>
      <c r="W344" s="15" t="e">
        <f t="shared" si="34"/>
        <v>#DIV/0!</v>
      </c>
      <c r="X344" s="15" t="e">
        <f t="shared" si="35"/>
        <v>#DIV/0!</v>
      </c>
      <c r="Y344" s="15" t="e">
        <f t="shared" si="39"/>
        <v>#DIV/0!</v>
      </c>
      <c r="Z344" s="15" t="e">
        <f t="shared" si="38"/>
        <v>#DIV/0!</v>
      </c>
      <c r="AA344" s="15" t="e">
        <f>$K344/$H344</f>
        <v>#DIV/0!</v>
      </c>
      <c r="AB344" s="15">
        <f t="shared" si="36"/>
        <v>0</v>
      </c>
    </row>
    <row r="345" spans="1:28" x14ac:dyDescent="0.2">
      <c r="A345" s="16" t="s">
        <v>1681</v>
      </c>
      <c r="B345" s="16" t="s">
        <v>43</v>
      </c>
      <c r="C345" s="16">
        <v>24</v>
      </c>
      <c r="D345" s="16">
        <v>0</v>
      </c>
      <c r="E345" s="16" t="s">
        <v>393</v>
      </c>
      <c r="F345" s="16" t="s">
        <v>1648</v>
      </c>
      <c r="G345" s="16">
        <v>0</v>
      </c>
      <c r="H345" s="16">
        <v>0</v>
      </c>
      <c r="I345" s="16">
        <v>0</v>
      </c>
      <c r="J345" s="16">
        <v>0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f t="shared" si="37"/>
        <v>0</v>
      </c>
      <c r="W345" s="16" t="e">
        <f t="shared" si="34"/>
        <v>#DIV/0!</v>
      </c>
      <c r="X345" s="16" t="e">
        <f t="shared" si="35"/>
        <v>#DIV/0!</v>
      </c>
      <c r="Y345" s="16" t="e">
        <f t="shared" si="39"/>
        <v>#DIV/0!</v>
      </c>
      <c r="Z345" s="16" t="e">
        <f t="shared" si="38"/>
        <v>#DIV/0!</v>
      </c>
      <c r="AA345" s="16" t="e">
        <f>$K345/$H345</f>
        <v>#DIV/0!</v>
      </c>
      <c r="AB345" s="16">
        <f t="shared" si="36"/>
        <v>0</v>
      </c>
    </row>
    <row r="346" spans="1:28" x14ac:dyDescent="0.2">
      <c r="A346" s="15" t="s">
        <v>1682</v>
      </c>
      <c r="B346" s="15" t="s">
        <v>43</v>
      </c>
      <c r="C346" s="15">
        <v>31</v>
      </c>
      <c r="D346" s="15">
        <v>10</v>
      </c>
      <c r="E346" s="15" t="s">
        <v>458</v>
      </c>
      <c r="F346" s="15" t="s">
        <v>1648</v>
      </c>
      <c r="G346" s="15">
        <v>0</v>
      </c>
      <c r="H346" s="15">
        <v>0</v>
      </c>
      <c r="I346" s="15">
        <v>0</v>
      </c>
      <c r="J346" s="15">
        <v>0</v>
      </c>
      <c r="K346" s="15">
        <v>0</v>
      </c>
      <c r="L346" s="15">
        <v>0</v>
      </c>
      <c r="M346" s="15">
        <v>0</v>
      </c>
      <c r="N346" s="15">
        <v>0</v>
      </c>
      <c r="O346" s="15">
        <v>0</v>
      </c>
      <c r="P346" s="15">
        <v>0</v>
      </c>
      <c r="Q346" s="15">
        <v>0</v>
      </c>
      <c r="R346" s="15">
        <v>0</v>
      </c>
      <c r="S346" s="15">
        <v>0</v>
      </c>
      <c r="T346" s="15">
        <v>0</v>
      </c>
      <c r="U346" s="15">
        <v>0</v>
      </c>
      <c r="V346" s="15">
        <f t="shared" si="37"/>
        <v>0</v>
      </c>
      <c r="W346" s="15" t="e">
        <f t="shared" si="34"/>
        <v>#DIV/0!</v>
      </c>
      <c r="X346" s="15" t="e">
        <f t="shared" si="35"/>
        <v>#DIV/0!</v>
      </c>
      <c r="Y346" s="15" t="e">
        <f t="shared" si="39"/>
        <v>#DIV/0!</v>
      </c>
      <c r="Z346" s="15" t="e">
        <f t="shared" si="38"/>
        <v>#DIV/0!</v>
      </c>
      <c r="AA346" s="15" t="e">
        <f>$K346/$H346</f>
        <v>#DIV/0!</v>
      </c>
      <c r="AB346" s="15">
        <f t="shared" si="36"/>
        <v>0</v>
      </c>
    </row>
    <row r="347" spans="1:28" x14ac:dyDescent="0.2">
      <c r="A347" s="16" t="s">
        <v>1683</v>
      </c>
      <c r="B347" s="16" t="s">
        <v>43</v>
      </c>
      <c r="C347" s="16">
        <v>23</v>
      </c>
      <c r="D347" s="16">
        <v>0</v>
      </c>
      <c r="E347" s="16" t="s">
        <v>173</v>
      </c>
      <c r="F347" s="16" t="s">
        <v>1648</v>
      </c>
      <c r="G347" s="16">
        <v>0</v>
      </c>
      <c r="H347" s="16">
        <v>0</v>
      </c>
      <c r="I347" s="16">
        <v>0</v>
      </c>
      <c r="J347" s="16">
        <v>0</v>
      </c>
      <c r="K347" s="16">
        <v>0</v>
      </c>
      <c r="L347" s="16">
        <v>0</v>
      </c>
      <c r="M347" s="16">
        <v>0</v>
      </c>
      <c r="N347" s="16">
        <v>0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6">
        <v>0</v>
      </c>
      <c r="U347" s="16">
        <v>0</v>
      </c>
      <c r="V347" s="16">
        <f t="shared" si="37"/>
        <v>0</v>
      </c>
      <c r="W347" s="16" t="e">
        <f t="shared" si="34"/>
        <v>#DIV/0!</v>
      </c>
      <c r="X347" s="16" t="e">
        <f t="shared" si="35"/>
        <v>#DIV/0!</v>
      </c>
      <c r="Y347" s="16" t="e">
        <f t="shared" si="39"/>
        <v>#DIV/0!</v>
      </c>
      <c r="Z347" s="16" t="e">
        <f t="shared" si="38"/>
        <v>#DIV/0!</v>
      </c>
      <c r="AA347" s="16" t="e">
        <f>$K347/$H347</f>
        <v>#DIV/0!</v>
      </c>
      <c r="AB347" s="16">
        <f t="shared" si="36"/>
        <v>0</v>
      </c>
    </row>
    <row r="348" spans="1:28" x14ac:dyDescent="0.2">
      <c r="A348" s="15" t="s">
        <v>1684</v>
      </c>
      <c r="B348" s="15" t="s">
        <v>43</v>
      </c>
      <c r="C348" s="15">
        <v>24</v>
      </c>
      <c r="D348" s="15">
        <v>1</v>
      </c>
      <c r="E348" s="15" t="s">
        <v>1685</v>
      </c>
      <c r="F348" s="15" t="s">
        <v>1648</v>
      </c>
      <c r="G348" s="15">
        <v>0</v>
      </c>
      <c r="H348" s="15">
        <v>0</v>
      </c>
      <c r="I348" s="15">
        <v>0</v>
      </c>
      <c r="J348" s="15">
        <v>0</v>
      </c>
      <c r="K348" s="15">
        <v>0</v>
      </c>
      <c r="L348" s="15">
        <v>0</v>
      </c>
      <c r="M348" s="15">
        <v>0</v>
      </c>
      <c r="N348" s="15">
        <v>0</v>
      </c>
      <c r="O348" s="15">
        <v>0</v>
      </c>
      <c r="P348" s="15">
        <v>0</v>
      </c>
      <c r="Q348" s="15">
        <v>0</v>
      </c>
      <c r="R348" s="15">
        <v>0</v>
      </c>
      <c r="S348" s="15">
        <v>0</v>
      </c>
      <c r="T348" s="15">
        <v>0</v>
      </c>
      <c r="U348" s="15">
        <v>0</v>
      </c>
      <c r="V348" s="15">
        <f t="shared" si="37"/>
        <v>0</v>
      </c>
      <c r="W348" s="15" t="e">
        <f t="shared" si="34"/>
        <v>#DIV/0!</v>
      </c>
      <c r="X348" s="15" t="e">
        <f t="shared" si="35"/>
        <v>#DIV/0!</v>
      </c>
      <c r="Y348" s="15" t="e">
        <f t="shared" si="39"/>
        <v>#DIV/0!</v>
      </c>
      <c r="Z348" s="15" t="e">
        <f t="shared" si="38"/>
        <v>#DIV/0!</v>
      </c>
      <c r="AA348" s="15" t="e">
        <f>$K348/$H348</f>
        <v>#DIV/0!</v>
      </c>
      <c r="AB348" s="15">
        <f t="shared" si="36"/>
        <v>0</v>
      </c>
    </row>
    <row r="349" spans="1:28" x14ac:dyDescent="0.2">
      <c r="A349" s="16" t="s">
        <v>1686</v>
      </c>
      <c r="B349" s="16" t="s">
        <v>43</v>
      </c>
      <c r="C349" s="16">
        <v>24</v>
      </c>
      <c r="D349" s="16">
        <v>3</v>
      </c>
      <c r="E349" s="16" t="s">
        <v>227</v>
      </c>
      <c r="F349" s="16" t="s">
        <v>1648</v>
      </c>
      <c r="G349" s="16">
        <v>0</v>
      </c>
      <c r="H349" s="16">
        <v>0</v>
      </c>
      <c r="I349" s="16">
        <v>0</v>
      </c>
      <c r="J349" s="16">
        <v>0</v>
      </c>
      <c r="K349" s="16">
        <v>0</v>
      </c>
      <c r="L349" s="16">
        <v>0</v>
      </c>
      <c r="M349" s="16">
        <v>0</v>
      </c>
      <c r="N349" s="16">
        <v>0</v>
      </c>
      <c r="O349" s="16">
        <v>0</v>
      </c>
      <c r="P349" s="16">
        <v>0</v>
      </c>
      <c r="Q349" s="16">
        <v>0</v>
      </c>
      <c r="R349" s="16">
        <v>0</v>
      </c>
      <c r="S349" s="16">
        <v>0</v>
      </c>
      <c r="T349" s="16">
        <v>0</v>
      </c>
      <c r="U349" s="16">
        <v>0</v>
      </c>
      <c r="V349" s="16">
        <f t="shared" si="37"/>
        <v>0</v>
      </c>
      <c r="W349" s="16" t="e">
        <f t="shared" si="34"/>
        <v>#DIV/0!</v>
      </c>
      <c r="X349" s="16" t="e">
        <f t="shared" si="35"/>
        <v>#DIV/0!</v>
      </c>
      <c r="Y349" s="16" t="e">
        <f t="shared" si="39"/>
        <v>#DIV/0!</v>
      </c>
      <c r="Z349" s="16" t="e">
        <f t="shared" si="38"/>
        <v>#DIV/0!</v>
      </c>
      <c r="AA349" s="16" t="e">
        <f>$K349/$H349</f>
        <v>#DIV/0!</v>
      </c>
      <c r="AB349" s="16">
        <f t="shared" si="36"/>
        <v>0</v>
      </c>
    </row>
    <row r="350" spans="1:28" x14ac:dyDescent="0.2">
      <c r="A350" s="15" t="s">
        <v>1687</v>
      </c>
      <c r="B350" s="15" t="s">
        <v>43</v>
      </c>
      <c r="C350" s="15">
        <v>30</v>
      </c>
      <c r="D350" s="15">
        <v>8</v>
      </c>
      <c r="E350" s="15" t="s">
        <v>136</v>
      </c>
      <c r="F350" s="15" t="s">
        <v>1648</v>
      </c>
      <c r="G350" s="15">
        <v>0</v>
      </c>
      <c r="H350" s="15">
        <v>0</v>
      </c>
      <c r="I350" s="15">
        <v>0</v>
      </c>
      <c r="J350" s="15">
        <v>0</v>
      </c>
      <c r="K350" s="15">
        <v>0</v>
      </c>
      <c r="L350" s="15">
        <v>0</v>
      </c>
      <c r="M350" s="15">
        <v>0</v>
      </c>
      <c r="N350" s="15">
        <v>0</v>
      </c>
      <c r="O350" s="15">
        <v>0</v>
      </c>
      <c r="P350" s="15">
        <v>0</v>
      </c>
      <c r="Q350" s="15">
        <v>0</v>
      </c>
      <c r="R350" s="15">
        <v>0</v>
      </c>
      <c r="S350" s="15">
        <v>0</v>
      </c>
      <c r="T350" s="15">
        <v>0</v>
      </c>
      <c r="U350" s="15">
        <v>0</v>
      </c>
      <c r="V350" s="15">
        <f t="shared" si="37"/>
        <v>0</v>
      </c>
      <c r="W350" s="15" t="e">
        <f t="shared" si="34"/>
        <v>#DIV/0!</v>
      </c>
      <c r="X350" s="15" t="e">
        <f t="shared" si="35"/>
        <v>#DIV/0!</v>
      </c>
      <c r="Y350" s="15" t="e">
        <f t="shared" si="39"/>
        <v>#DIV/0!</v>
      </c>
      <c r="Z350" s="15" t="e">
        <f t="shared" si="38"/>
        <v>#DIV/0!</v>
      </c>
      <c r="AA350" s="15" t="e">
        <f>$K350/$H350</f>
        <v>#DIV/0!</v>
      </c>
      <c r="AB350" s="15">
        <f t="shared" si="36"/>
        <v>0</v>
      </c>
    </row>
    <row r="351" spans="1:28" x14ac:dyDescent="0.2">
      <c r="A351" s="16" t="s">
        <v>1688</v>
      </c>
      <c r="B351" s="16" t="s">
        <v>43</v>
      </c>
      <c r="C351" s="16">
        <v>24</v>
      </c>
      <c r="D351" s="16">
        <v>2</v>
      </c>
      <c r="E351" s="16" t="s">
        <v>418</v>
      </c>
      <c r="F351" s="16" t="s">
        <v>1648</v>
      </c>
      <c r="G351" s="16">
        <v>0</v>
      </c>
      <c r="H351" s="16">
        <v>0</v>
      </c>
      <c r="I351" s="16">
        <v>0</v>
      </c>
      <c r="J351" s="16">
        <v>0</v>
      </c>
      <c r="K351" s="16">
        <v>0</v>
      </c>
      <c r="L351" s="16">
        <v>0</v>
      </c>
      <c r="M351" s="16">
        <v>0</v>
      </c>
      <c r="N351" s="16">
        <v>0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0</v>
      </c>
      <c r="V351" s="16">
        <f t="shared" si="37"/>
        <v>0</v>
      </c>
      <c r="W351" s="16" t="e">
        <f t="shared" si="34"/>
        <v>#DIV/0!</v>
      </c>
      <c r="X351" s="16" t="e">
        <f t="shared" si="35"/>
        <v>#DIV/0!</v>
      </c>
      <c r="Y351" s="16" t="e">
        <f t="shared" si="39"/>
        <v>#DIV/0!</v>
      </c>
      <c r="Z351" s="16" t="e">
        <f t="shared" si="38"/>
        <v>#DIV/0!</v>
      </c>
      <c r="AA351" s="16" t="e">
        <f>$K351/$H351</f>
        <v>#DIV/0!</v>
      </c>
      <c r="AB351" s="16">
        <f t="shared" si="36"/>
        <v>0</v>
      </c>
    </row>
    <row r="352" spans="1:28" x14ac:dyDescent="0.2">
      <c r="A352" s="15" t="s">
        <v>1689</v>
      </c>
      <c r="B352" s="15" t="s">
        <v>43</v>
      </c>
      <c r="C352" s="15">
        <v>24</v>
      </c>
      <c r="D352" s="15">
        <v>1</v>
      </c>
      <c r="E352" s="15" t="s">
        <v>237</v>
      </c>
      <c r="F352" s="15" t="s">
        <v>1648</v>
      </c>
      <c r="G352" s="15">
        <v>0</v>
      </c>
      <c r="H352" s="15">
        <v>0</v>
      </c>
      <c r="I352" s="15">
        <v>0</v>
      </c>
      <c r="J352" s="15">
        <v>0</v>
      </c>
      <c r="K352" s="15">
        <v>0</v>
      </c>
      <c r="L352" s="15">
        <v>0</v>
      </c>
      <c r="M352" s="15">
        <v>0</v>
      </c>
      <c r="N352" s="15">
        <v>0</v>
      </c>
      <c r="O352" s="15">
        <v>0</v>
      </c>
      <c r="P352" s="15">
        <v>0</v>
      </c>
      <c r="Q352" s="15">
        <v>0</v>
      </c>
      <c r="R352" s="15">
        <v>0</v>
      </c>
      <c r="S352" s="15">
        <v>0</v>
      </c>
      <c r="T352" s="15">
        <v>0</v>
      </c>
      <c r="U352" s="15">
        <v>0</v>
      </c>
      <c r="V352" s="15">
        <f t="shared" si="37"/>
        <v>0</v>
      </c>
      <c r="W352" s="15" t="e">
        <f t="shared" si="34"/>
        <v>#DIV/0!</v>
      </c>
      <c r="X352" s="15" t="e">
        <f t="shared" si="35"/>
        <v>#DIV/0!</v>
      </c>
      <c r="Y352" s="15" t="e">
        <f t="shared" si="39"/>
        <v>#DIV/0!</v>
      </c>
      <c r="Z352" s="15" t="e">
        <f t="shared" si="38"/>
        <v>#DIV/0!</v>
      </c>
      <c r="AA352" s="15" t="e">
        <f>$K352/$H352</f>
        <v>#DIV/0!</v>
      </c>
      <c r="AB352" s="15">
        <f t="shared" si="36"/>
        <v>0</v>
      </c>
    </row>
    <row r="353" spans="1:28" x14ac:dyDescent="0.2">
      <c r="A353" s="16" t="s">
        <v>1728</v>
      </c>
      <c r="B353" s="16" t="s">
        <v>43</v>
      </c>
      <c r="C353" s="16">
        <v>23</v>
      </c>
      <c r="D353" s="16">
        <v>0</v>
      </c>
      <c r="E353" s="16" t="s">
        <v>418</v>
      </c>
      <c r="F353" s="16" t="s">
        <v>1699</v>
      </c>
      <c r="G353" s="16">
        <v>0</v>
      </c>
      <c r="H353" s="16">
        <v>0</v>
      </c>
      <c r="I353" s="16">
        <v>0</v>
      </c>
      <c r="J353" s="16">
        <v>0</v>
      </c>
      <c r="K353" s="16">
        <v>0</v>
      </c>
      <c r="L353" s="16">
        <v>0</v>
      </c>
      <c r="M353" s="16">
        <v>0</v>
      </c>
      <c r="N353" s="16">
        <v>0</v>
      </c>
      <c r="O353" s="16">
        <v>0</v>
      </c>
      <c r="P353" s="16">
        <v>0</v>
      </c>
      <c r="Q353" s="16">
        <v>0</v>
      </c>
      <c r="R353" s="16">
        <v>0</v>
      </c>
      <c r="S353" s="16">
        <v>0</v>
      </c>
      <c r="T353" s="16">
        <v>0</v>
      </c>
      <c r="U353" s="16">
        <v>0</v>
      </c>
      <c r="V353" s="16">
        <f t="shared" si="37"/>
        <v>0</v>
      </c>
      <c r="W353" s="16" t="e">
        <f t="shared" si="34"/>
        <v>#DIV/0!</v>
      </c>
      <c r="X353" s="16" t="e">
        <f t="shared" si="35"/>
        <v>#DIV/0!</v>
      </c>
      <c r="Y353" s="16" t="e">
        <f t="shared" si="39"/>
        <v>#DIV/0!</v>
      </c>
      <c r="Z353" s="16" t="e">
        <f t="shared" si="38"/>
        <v>#DIV/0!</v>
      </c>
      <c r="AA353" s="16" t="e">
        <f>$K353/$H353</f>
        <v>#DIV/0!</v>
      </c>
      <c r="AB353" s="16">
        <f t="shared" si="36"/>
        <v>0</v>
      </c>
    </row>
    <row r="354" spans="1:28" x14ac:dyDescent="0.2">
      <c r="A354" s="15" t="s">
        <v>1729</v>
      </c>
      <c r="B354" s="15" t="s">
        <v>43</v>
      </c>
      <c r="C354" s="15">
        <v>24</v>
      </c>
      <c r="D354" s="15">
        <v>0</v>
      </c>
      <c r="E354" s="15" t="s">
        <v>803</v>
      </c>
      <c r="F354" s="15" t="s">
        <v>1699</v>
      </c>
      <c r="G354" s="15">
        <v>0</v>
      </c>
      <c r="H354" s="15">
        <v>0</v>
      </c>
      <c r="I354" s="15">
        <v>0</v>
      </c>
      <c r="J354" s="15">
        <v>0</v>
      </c>
      <c r="K354" s="15">
        <v>0</v>
      </c>
      <c r="L354" s="15">
        <v>0</v>
      </c>
      <c r="M354" s="15">
        <v>0</v>
      </c>
      <c r="N354" s="15">
        <v>0</v>
      </c>
      <c r="O354" s="15">
        <v>0</v>
      </c>
      <c r="P354" s="15">
        <v>0</v>
      </c>
      <c r="Q354" s="15">
        <v>0</v>
      </c>
      <c r="R354" s="15">
        <v>0</v>
      </c>
      <c r="S354" s="15">
        <v>0</v>
      </c>
      <c r="T354" s="15">
        <v>0</v>
      </c>
      <c r="U354" s="15">
        <v>0</v>
      </c>
      <c r="V354" s="15">
        <f t="shared" si="37"/>
        <v>0</v>
      </c>
      <c r="W354" s="15" t="e">
        <f t="shared" si="34"/>
        <v>#DIV/0!</v>
      </c>
      <c r="X354" s="15" t="e">
        <f t="shared" si="35"/>
        <v>#DIV/0!</v>
      </c>
      <c r="Y354" s="15" t="e">
        <f t="shared" si="39"/>
        <v>#DIV/0!</v>
      </c>
      <c r="Z354" s="15" t="e">
        <f t="shared" si="38"/>
        <v>#DIV/0!</v>
      </c>
      <c r="AA354" s="15" t="e">
        <f>$K354/$H354</f>
        <v>#DIV/0!</v>
      </c>
      <c r="AB354" s="15">
        <f t="shared" si="36"/>
        <v>0</v>
      </c>
    </row>
    <row r="355" spans="1:28" x14ac:dyDescent="0.2">
      <c r="A355" s="16" t="s">
        <v>1730</v>
      </c>
      <c r="B355" s="16" t="s">
        <v>43</v>
      </c>
      <c r="C355" s="16">
        <v>23</v>
      </c>
      <c r="D355" s="16">
        <v>3</v>
      </c>
      <c r="E355" s="16" t="s">
        <v>163</v>
      </c>
      <c r="F355" s="16" t="s">
        <v>1699</v>
      </c>
      <c r="G355" s="16">
        <v>0</v>
      </c>
      <c r="H355" s="16">
        <v>0</v>
      </c>
      <c r="I355" s="16">
        <v>0</v>
      </c>
      <c r="J355" s="16">
        <v>0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f t="shared" si="37"/>
        <v>0</v>
      </c>
      <c r="W355" s="16" t="e">
        <f t="shared" si="34"/>
        <v>#DIV/0!</v>
      </c>
      <c r="X355" s="16" t="e">
        <f t="shared" si="35"/>
        <v>#DIV/0!</v>
      </c>
      <c r="Y355" s="16" t="e">
        <f t="shared" si="39"/>
        <v>#DIV/0!</v>
      </c>
      <c r="Z355" s="16" t="e">
        <f t="shared" si="38"/>
        <v>#DIV/0!</v>
      </c>
      <c r="AA355" s="16" t="e">
        <f>$K355/$H355</f>
        <v>#DIV/0!</v>
      </c>
      <c r="AB355" s="16">
        <f t="shared" si="36"/>
        <v>0</v>
      </c>
    </row>
    <row r="356" spans="1:28" x14ac:dyDescent="0.2">
      <c r="A356" s="15" t="s">
        <v>1731</v>
      </c>
      <c r="B356" s="15" t="s">
        <v>43</v>
      </c>
      <c r="C356" s="15">
        <v>23</v>
      </c>
      <c r="D356" s="15">
        <v>2</v>
      </c>
      <c r="E356" s="15" t="s">
        <v>339</v>
      </c>
      <c r="F356" s="15" t="s">
        <v>1699</v>
      </c>
      <c r="G356" s="15">
        <v>0</v>
      </c>
      <c r="H356" s="15">
        <v>0</v>
      </c>
      <c r="I356" s="15">
        <v>0</v>
      </c>
      <c r="J356" s="15">
        <v>0</v>
      </c>
      <c r="K356" s="15">
        <v>0</v>
      </c>
      <c r="L356" s="15">
        <v>0</v>
      </c>
      <c r="M356" s="15">
        <v>0</v>
      </c>
      <c r="N356" s="15">
        <v>0</v>
      </c>
      <c r="O356" s="15">
        <v>0</v>
      </c>
      <c r="P356" s="15">
        <v>0</v>
      </c>
      <c r="Q356" s="15">
        <v>0</v>
      </c>
      <c r="R356" s="15">
        <v>0</v>
      </c>
      <c r="S356" s="15">
        <v>0</v>
      </c>
      <c r="T356" s="15">
        <v>0</v>
      </c>
      <c r="U356" s="15">
        <v>0</v>
      </c>
      <c r="V356" s="15">
        <f t="shared" si="37"/>
        <v>0</v>
      </c>
      <c r="W356" s="15" t="e">
        <f t="shared" si="34"/>
        <v>#DIV/0!</v>
      </c>
      <c r="X356" s="15" t="e">
        <f t="shared" si="35"/>
        <v>#DIV/0!</v>
      </c>
      <c r="Y356" s="15" t="e">
        <f t="shared" si="39"/>
        <v>#DIV/0!</v>
      </c>
      <c r="Z356" s="15" t="e">
        <f t="shared" si="38"/>
        <v>#DIV/0!</v>
      </c>
      <c r="AA356" s="15" t="e">
        <f>$K356/$H356</f>
        <v>#DIV/0!</v>
      </c>
      <c r="AB356" s="15">
        <f t="shared" si="36"/>
        <v>0</v>
      </c>
    </row>
    <row r="357" spans="1:28" x14ac:dyDescent="0.2">
      <c r="A357" s="16" t="s">
        <v>1732</v>
      </c>
      <c r="B357" s="16" t="s">
        <v>43</v>
      </c>
      <c r="C357" s="16">
        <v>28</v>
      </c>
      <c r="D357" s="16">
        <v>5</v>
      </c>
      <c r="E357" s="16" t="s">
        <v>803</v>
      </c>
      <c r="F357" s="16" t="s">
        <v>1699</v>
      </c>
      <c r="G357" s="16">
        <v>0</v>
      </c>
      <c r="H357" s="16">
        <v>0</v>
      </c>
      <c r="I357" s="16">
        <v>0</v>
      </c>
      <c r="J357" s="16">
        <v>0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f t="shared" si="37"/>
        <v>0</v>
      </c>
      <c r="W357" s="16" t="e">
        <f t="shared" si="34"/>
        <v>#DIV/0!</v>
      </c>
      <c r="X357" s="16" t="e">
        <f t="shared" si="35"/>
        <v>#DIV/0!</v>
      </c>
      <c r="Y357" s="16" t="e">
        <f t="shared" si="39"/>
        <v>#DIV/0!</v>
      </c>
      <c r="Z357" s="16" t="e">
        <f t="shared" si="38"/>
        <v>#DIV/0!</v>
      </c>
      <c r="AA357" s="16" t="e">
        <f>$K357/$H357</f>
        <v>#DIV/0!</v>
      </c>
      <c r="AB357" s="16">
        <f t="shared" si="36"/>
        <v>0</v>
      </c>
    </row>
    <row r="358" spans="1:28" x14ac:dyDescent="0.2">
      <c r="A358" s="15" t="s">
        <v>1733</v>
      </c>
      <c r="B358" s="15" t="s">
        <v>43</v>
      </c>
      <c r="C358" s="15">
        <v>23</v>
      </c>
      <c r="D358" s="15">
        <v>1</v>
      </c>
      <c r="E358" s="15" t="s">
        <v>455</v>
      </c>
      <c r="F358" s="15" t="s">
        <v>1699</v>
      </c>
      <c r="G358" s="15">
        <v>0</v>
      </c>
      <c r="H358" s="15">
        <v>0</v>
      </c>
      <c r="I358" s="15">
        <v>0</v>
      </c>
      <c r="J358" s="15">
        <v>0</v>
      </c>
      <c r="K358" s="15">
        <v>0</v>
      </c>
      <c r="L358" s="15">
        <v>0</v>
      </c>
      <c r="M358" s="15">
        <v>0</v>
      </c>
      <c r="N358" s="15">
        <v>0</v>
      </c>
      <c r="O358" s="15">
        <v>0</v>
      </c>
      <c r="P358" s="15">
        <v>0</v>
      </c>
      <c r="Q358" s="15">
        <v>0</v>
      </c>
      <c r="R358" s="15">
        <v>0</v>
      </c>
      <c r="S358" s="15">
        <v>0</v>
      </c>
      <c r="T358" s="15">
        <v>0</v>
      </c>
      <c r="U358" s="15">
        <v>0</v>
      </c>
      <c r="V358" s="15">
        <f t="shared" si="37"/>
        <v>0</v>
      </c>
      <c r="W358" s="15" t="e">
        <f t="shared" si="34"/>
        <v>#DIV/0!</v>
      </c>
      <c r="X358" s="15" t="e">
        <f t="shared" si="35"/>
        <v>#DIV/0!</v>
      </c>
      <c r="Y358" s="15" t="e">
        <f t="shared" si="39"/>
        <v>#DIV/0!</v>
      </c>
      <c r="Z358" s="15" t="e">
        <f t="shared" si="38"/>
        <v>#DIV/0!</v>
      </c>
      <c r="AA358" s="15" t="e">
        <f>$K358/$H358</f>
        <v>#DIV/0!</v>
      </c>
      <c r="AB358" s="15">
        <f t="shared" si="36"/>
        <v>0</v>
      </c>
    </row>
    <row r="359" spans="1:28" x14ac:dyDescent="0.2">
      <c r="A359" s="16" t="s">
        <v>1734</v>
      </c>
      <c r="B359" s="16" t="s">
        <v>43</v>
      </c>
      <c r="C359" s="16">
        <v>27</v>
      </c>
      <c r="D359" s="16">
        <v>5</v>
      </c>
      <c r="E359" s="16" t="s">
        <v>213</v>
      </c>
      <c r="F359" s="16" t="s">
        <v>1699</v>
      </c>
      <c r="G359" s="16">
        <v>0</v>
      </c>
      <c r="H359" s="16">
        <v>0</v>
      </c>
      <c r="I359" s="16">
        <v>0</v>
      </c>
      <c r="J359" s="16">
        <v>0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f t="shared" si="37"/>
        <v>0</v>
      </c>
      <c r="W359" s="16" t="e">
        <f t="shared" si="34"/>
        <v>#DIV/0!</v>
      </c>
      <c r="X359" s="16" t="e">
        <f t="shared" si="35"/>
        <v>#DIV/0!</v>
      </c>
      <c r="Y359" s="16" t="e">
        <f t="shared" si="39"/>
        <v>#DIV/0!</v>
      </c>
      <c r="Z359" s="16" t="e">
        <f t="shared" si="38"/>
        <v>#DIV/0!</v>
      </c>
      <c r="AA359" s="16" t="e">
        <f>$K359/$H359</f>
        <v>#DIV/0!</v>
      </c>
      <c r="AB359" s="16">
        <f t="shared" si="36"/>
        <v>0</v>
      </c>
    </row>
    <row r="360" spans="1:28" x14ac:dyDescent="0.2">
      <c r="A360" s="15" t="s">
        <v>1735</v>
      </c>
      <c r="B360" s="15" t="s">
        <v>43</v>
      </c>
      <c r="C360" s="15">
        <v>24</v>
      </c>
      <c r="D360" s="15">
        <v>3</v>
      </c>
      <c r="E360" s="15" t="s">
        <v>82</v>
      </c>
      <c r="F360" s="15" t="s">
        <v>1699</v>
      </c>
      <c r="G360" s="15">
        <v>0</v>
      </c>
      <c r="H360" s="15">
        <v>0</v>
      </c>
      <c r="I360" s="15">
        <v>0</v>
      </c>
      <c r="J360" s="15">
        <v>0</v>
      </c>
      <c r="K360" s="15">
        <v>0</v>
      </c>
      <c r="L360" s="15">
        <v>0</v>
      </c>
      <c r="M360" s="15">
        <v>0</v>
      </c>
      <c r="N360" s="15">
        <v>0</v>
      </c>
      <c r="O360" s="15">
        <v>0</v>
      </c>
      <c r="P360" s="15">
        <v>0</v>
      </c>
      <c r="Q360" s="15">
        <v>0</v>
      </c>
      <c r="R360" s="15">
        <v>0</v>
      </c>
      <c r="S360" s="15">
        <v>0</v>
      </c>
      <c r="T360" s="15">
        <v>0</v>
      </c>
      <c r="U360" s="15">
        <v>0</v>
      </c>
      <c r="V360" s="15">
        <f t="shared" si="37"/>
        <v>0</v>
      </c>
      <c r="W360" s="15" t="e">
        <f t="shared" si="34"/>
        <v>#DIV/0!</v>
      </c>
      <c r="X360" s="15" t="e">
        <f t="shared" si="35"/>
        <v>#DIV/0!</v>
      </c>
      <c r="Y360" s="15" t="e">
        <f t="shared" si="39"/>
        <v>#DIV/0!</v>
      </c>
      <c r="Z360" s="15" t="e">
        <f t="shared" si="38"/>
        <v>#DIV/0!</v>
      </c>
      <c r="AA360" s="15" t="e">
        <f>$K360/$H360</f>
        <v>#DIV/0!</v>
      </c>
      <c r="AB360" s="15">
        <f t="shared" si="36"/>
        <v>0</v>
      </c>
    </row>
    <row r="361" spans="1:28" x14ac:dyDescent="0.2">
      <c r="A361" s="16" t="s">
        <v>1736</v>
      </c>
      <c r="B361" s="16" t="s">
        <v>43</v>
      </c>
      <c r="C361" s="16">
        <v>29</v>
      </c>
      <c r="D361" s="16">
        <v>6</v>
      </c>
      <c r="E361" s="16" t="s">
        <v>559</v>
      </c>
      <c r="F361" s="16" t="s">
        <v>1699</v>
      </c>
      <c r="G361" s="16">
        <v>0</v>
      </c>
      <c r="H361" s="16">
        <v>0</v>
      </c>
      <c r="I361" s="16">
        <v>0</v>
      </c>
      <c r="J361" s="16">
        <v>0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f t="shared" si="37"/>
        <v>0</v>
      </c>
      <c r="W361" s="16" t="e">
        <f t="shared" si="34"/>
        <v>#DIV/0!</v>
      </c>
      <c r="X361" s="16" t="e">
        <f t="shared" si="35"/>
        <v>#DIV/0!</v>
      </c>
      <c r="Y361" s="16" t="e">
        <f t="shared" si="39"/>
        <v>#DIV/0!</v>
      </c>
      <c r="Z361" s="16" t="e">
        <f t="shared" si="38"/>
        <v>#DIV/0!</v>
      </c>
      <c r="AA361" s="16" t="e">
        <f>$K361/$H361</f>
        <v>#DIV/0!</v>
      </c>
      <c r="AB361" s="16">
        <f t="shared" si="36"/>
        <v>0</v>
      </c>
    </row>
    <row r="362" spans="1:28" x14ac:dyDescent="0.2">
      <c r="A362" s="15" t="s">
        <v>1737</v>
      </c>
      <c r="B362" s="15" t="s">
        <v>43</v>
      </c>
      <c r="C362" s="15">
        <v>24</v>
      </c>
      <c r="D362" s="15">
        <v>0</v>
      </c>
      <c r="E362" s="15" t="s">
        <v>702</v>
      </c>
      <c r="F362" s="15" t="s">
        <v>1699</v>
      </c>
      <c r="G362" s="15">
        <v>0</v>
      </c>
      <c r="H362" s="15">
        <v>0</v>
      </c>
      <c r="I362" s="15">
        <v>0</v>
      </c>
      <c r="J362" s="15">
        <v>0</v>
      </c>
      <c r="K362" s="15">
        <v>0</v>
      </c>
      <c r="L362" s="15">
        <v>0</v>
      </c>
      <c r="M362" s="15">
        <v>0</v>
      </c>
      <c r="N362" s="15">
        <v>0</v>
      </c>
      <c r="O362" s="15">
        <v>0</v>
      </c>
      <c r="P362" s="15">
        <v>0</v>
      </c>
      <c r="Q362" s="15">
        <v>0</v>
      </c>
      <c r="R362" s="15">
        <v>0</v>
      </c>
      <c r="S362" s="15">
        <v>0</v>
      </c>
      <c r="T362" s="15">
        <v>0</v>
      </c>
      <c r="U362" s="15">
        <v>0</v>
      </c>
      <c r="V362" s="15">
        <f t="shared" si="37"/>
        <v>0</v>
      </c>
      <c r="W362" s="15" t="e">
        <f t="shared" si="34"/>
        <v>#DIV/0!</v>
      </c>
      <c r="X362" s="15" t="e">
        <f t="shared" si="35"/>
        <v>#DIV/0!</v>
      </c>
      <c r="Y362" s="15" t="e">
        <f t="shared" si="39"/>
        <v>#DIV/0!</v>
      </c>
      <c r="Z362" s="15" t="e">
        <f t="shared" si="38"/>
        <v>#DIV/0!</v>
      </c>
      <c r="AA362" s="15" t="e">
        <f>$K362/$H362</f>
        <v>#DIV/0!</v>
      </c>
      <c r="AB362" s="15">
        <f t="shared" si="36"/>
        <v>0</v>
      </c>
    </row>
    <row r="363" spans="1:28" x14ac:dyDescent="0.2">
      <c r="A363" s="16" t="s">
        <v>1738</v>
      </c>
      <c r="B363" s="16" t="s">
        <v>43</v>
      </c>
      <c r="C363" s="16">
        <v>27</v>
      </c>
      <c r="D363" s="16">
        <v>7</v>
      </c>
      <c r="E363" s="16" t="s">
        <v>213</v>
      </c>
      <c r="F363" s="16" t="s">
        <v>1699</v>
      </c>
      <c r="G363" s="16">
        <v>0</v>
      </c>
      <c r="H363" s="16">
        <v>0</v>
      </c>
      <c r="I363" s="16">
        <v>0</v>
      </c>
      <c r="J363" s="16">
        <v>0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f t="shared" si="37"/>
        <v>0</v>
      </c>
      <c r="W363" s="16" t="e">
        <f t="shared" si="34"/>
        <v>#DIV/0!</v>
      </c>
      <c r="X363" s="16" t="e">
        <f t="shared" si="35"/>
        <v>#DIV/0!</v>
      </c>
      <c r="Y363" s="16" t="e">
        <f t="shared" si="39"/>
        <v>#DIV/0!</v>
      </c>
      <c r="Z363" s="16" t="e">
        <f t="shared" si="38"/>
        <v>#DIV/0!</v>
      </c>
      <c r="AA363" s="16" t="e">
        <f>$K363/$H363</f>
        <v>#DIV/0!</v>
      </c>
      <c r="AB363" s="16">
        <f t="shared" si="36"/>
        <v>0</v>
      </c>
    </row>
    <row r="364" spans="1:28" x14ac:dyDescent="0.2">
      <c r="A364" s="15" t="s">
        <v>1739</v>
      </c>
      <c r="B364" s="15" t="s">
        <v>43</v>
      </c>
      <c r="C364" s="15">
        <v>23</v>
      </c>
      <c r="D364" s="15">
        <v>0</v>
      </c>
      <c r="E364" s="15" t="s">
        <v>339</v>
      </c>
      <c r="F364" s="15" t="s">
        <v>1699</v>
      </c>
      <c r="G364" s="15">
        <v>0</v>
      </c>
      <c r="H364" s="15">
        <v>0</v>
      </c>
      <c r="I364" s="15">
        <v>0</v>
      </c>
      <c r="J364" s="15">
        <v>0</v>
      </c>
      <c r="K364" s="15">
        <v>0</v>
      </c>
      <c r="L364" s="15">
        <v>0</v>
      </c>
      <c r="M364" s="15">
        <v>0</v>
      </c>
      <c r="N364" s="15">
        <v>0</v>
      </c>
      <c r="O364" s="15">
        <v>0</v>
      </c>
      <c r="P364" s="15">
        <v>0</v>
      </c>
      <c r="Q364" s="15">
        <v>0</v>
      </c>
      <c r="R364" s="15">
        <v>0</v>
      </c>
      <c r="S364" s="15">
        <v>0</v>
      </c>
      <c r="T364" s="15">
        <v>0</v>
      </c>
      <c r="U364" s="15">
        <v>0</v>
      </c>
      <c r="V364" s="15">
        <f t="shared" si="37"/>
        <v>0</v>
      </c>
      <c r="W364" s="15" t="e">
        <f t="shared" si="34"/>
        <v>#DIV/0!</v>
      </c>
      <c r="X364" s="15" t="e">
        <f t="shared" si="35"/>
        <v>#DIV/0!</v>
      </c>
      <c r="Y364" s="15" t="e">
        <f t="shared" si="39"/>
        <v>#DIV/0!</v>
      </c>
      <c r="Z364" s="15" t="e">
        <f t="shared" si="38"/>
        <v>#DIV/0!</v>
      </c>
      <c r="AA364" s="15" t="e">
        <f>$K364/$H364</f>
        <v>#DIV/0!</v>
      </c>
      <c r="AB364" s="15">
        <f t="shared" si="36"/>
        <v>0</v>
      </c>
    </row>
    <row r="365" spans="1:28" x14ac:dyDescent="0.2">
      <c r="A365" s="18" t="s">
        <v>1740</v>
      </c>
      <c r="B365" s="18" t="s">
        <v>43</v>
      </c>
      <c r="C365" s="18">
        <v>23</v>
      </c>
      <c r="D365" s="18">
        <v>0</v>
      </c>
      <c r="E365" s="18" t="s">
        <v>102</v>
      </c>
      <c r="F365" s="18" t="s">
        <v>1699</v>
      </c>
      <c r="G365" s="18">
        <v>0</v>
      </c>
      <c r="H365" s="18">
        <v>0</v>
      </c>
      <c r="I365" s="18">
        <v>0</v>
      </c>
      <c r="J365" s="18">
        <v>0</v>
      </c>
      <c r="K365" s="18">
        <v>0</v>
      </c>
      <c r="L365" s="18">
        <v>0</v>
      </c>
      <c r="M365" s="18">
        <v>0</v>
      </c>
      <c r="N365" s="18">
        <v>0</v>
      </c>
      <c r="O365" s="18">
        <v>0</v>
      </c>
      <c r="P365" s="18">
        <v>0</v>
      </c>
      <c r="Q365" s="18">
        <v>0</v>
      </c>
      <c r="R365" s="18">
        <v>0</v>
      </c>
      <c r="S365" s="18">
        <v>0</v>
      </c>
      <c r="T365" s="18">
        <v>0</v>
      </c>
      <c r="U365" s="18">
        <v>0</v>
      </c>
      <c r="V365" s="18">
        <f t="shared" si="37"/>
        <v>0</v>
      </c>
      <c r="W365" s="18" t="e">
        <f t="shared" si="34"/>
        <v>#DIV/0!</v>
      </c>
      <c r="X365" s="18" t="e">
        <f t="shared" si="35"/>
        <v>#DIV/0!</v>
      </c>
      <c r="Y365" s="18" t="e">
        <f t="shared" si="39"/>
        <v>#DIV/0!</v>
      </c>
      <c r="Z365" s="18" t="e">
        <f t="shared" si="38"/>
        <v>#DIV/0!</v>
      </c>
      <c r="AA365" s="18" t="e">
        <f>$K365/$H365</f>
        <v>#DIV/0!</v>
      </c>
      <c r="AB365" s="18">
        <f t="shared" si="36"/>
        <v>0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C631-EEDD-4F36-9555-75A1DA96DA77}">
  <sheetPr codeName="Sheet37"/>
  <dimension ref="A1:AB167"/>
  <sheetViews>
    <sheetView zoomScale="90" zoomScaleNormal="90" workbookViewId="0"/>
  </sheetViews>
  <sheetFormatPr baseColWidth="10" defaultColWidth="8.83203125" defaultRowHeight="15" x14ac:dyDescent="0.2"/>
  <cols>
    <col min="1" max="1" width="17.83203125" bestFit="1" customWidth="1"/>
    <col min="2" max="2" width="6.6640625" customWidth="1"/>
    <col min="3" max="3" width="6.5" customWidth="1"/>
    <col min="4" max="4" width="6.33203125" customWidth="1"/>
    <col min="5" max="5" width="16.6640625" bestFit="1" customWidth="1"/>
    <col min="6" max="6" width="7.33203125" customWidth="1"/>
    <col min="7" max="7" width="4.5" customWidth="1"/>
    <col min="8" max="8" width="7.33203125" customWidth="1"/>
    <col min="9" max="9" width="6.6640625" customWidth="1"/>
    <col min="10" max="10" width="7.1640625" customWidth="1"/>
    <col min="11" max="11" width="6.83203125" customWidth="1"/>
    <col min="12" max="12" width="5.33203125" customWidth="1"/>
    <col min="13" max="13" width="6" customWidth="1"/>
    <col min="14" max="14" width="7" customWidth="1"/>
    <col min="15" max="15" width="6.6640625" customWidth="1"/>
    <col min="16" max="16" width="5.5" customWidth="1"/>
    <col min="17" max="17" width="6" customWidth="1"/>
    <col min="18" max="18" width="8.6640625" customWidth="1"/>
    <col min="19" max="19" width="8.33203125" customWidth="1"/>
    <col min="20" max="20" width="6.5" customWidth="1"/>
    <col min="21" max="21" width="6.6640625" customWidth="1"/>
    <col min="22" max="22" width="7.6640625" customWidth="1"/>
    <col min="23" max="23" width="10.6640625" customWidth="1"/>
    <col min="24" max="25" width="7.1640625" bestFit="1" customWidth="1"/>
    <col min="26" max="26" width="9.83203125" customWidth="1"/>
    <col min="27" max="27" width="9" customWidth="1"/>
    <col min="28" max="28" width="10.33203125" customWidth="1"/>
  </cols>
  <sheetData>
    <row r="1" spans="1:28" x14ac:dyDescent="0.2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">
      <c r="A2" s="15" t="s">
        <v>103</v>
      </c>
      <c r="B2" s="15" t="s">
        <v>38</v>
      </c>
      <c r="C2" s="15">
        <v>32</v>
      </c>
      <c r="D2" s="15">
        <v>11</v>
      </c>
      <c r="E2" s="15" t="s">
        <v>102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>($J2*0.04)+($K2*4)+($L2*-2)+($N2*0.1)+($O2*6)+($Q2)+($R2*0.1)+($S2*6)+($T2*-2)</f>
        <v>0</v>
      </c>
      <c r="W2" s="15" t="e">
        <f t="shared" ref="W2:W21" si="0">$P2/$H$33</f>
        <v>#DIV/0!</v>
      </c>
      <c r="X2" s="15" t="e">
        <f t="shared" ref="X2:X21" si="1">$N2/$M2</f>
        <v>#DIV/0!</v>
      </c>
      <c r="Y2" s="15" t="e">
        <f t="shared" ref="Y2:Z17" si="2">$R2/$Q2</f>
        <v>#DIV/0!</v>
      </c>
      <c r="Z2" s="15" t="e">
        <f t="shared" si="2"/>
        <v>#DIV/0!</v>
      </c>
      <c r="AA2" s="15" t="e">
        <f t="shared" ref="AA2:AA8" si="3">$K2/$H2</f>
        <v>#DIV/0!</v>
      </c>
      <c r="AB2" s="15">
        <f t="shared" ref="AB2:AB14" si="4">($J2*Cp_yd)+($K2*Cp_td)+($L2*Cint)+($M2*Ccar)+($N2*Cr_yd)+($O2*Cr_td)+(Q2*Crec)+($R2*Crec_yd)+($S2*Crec_td)+($T2*Cfmb)+($U2*Ctp_c)</f>
        <v>0</v>
      </c>
    </row>
    <row r="3" spans="1:28" x14ac:dyDescent="0.2">
      <c r="A3" s="16" t="s">
        <v>104</v>
      </c>
      <c r="B3" s="16" t="s">
        <v>38</v>
      </c>
      <c r="C3" s="16">
        <v>25</v>
      </c>
      <c r="D3" s="16">
        <v>0</v>
      </c>
      <c r="E3" s="16" t="s">
        <v>105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 t="shared" ref="V3:V21" si="5">($J3*0.04)+($K3*4)+($L3*-2)+($N3*0.1)+($O3*6)+($Q3)+($R3*0.1)+($S3*6)+($T3*-2)</f>
        <v>0</v>
      </c>
      <c r="W3" s="16" t="e">
        <f t="shared" si="0"/>
        <v>#DIV/0!</v>
      </c>
      <c r="X3" s="16" t="e">
        <f t="shared" si="1"/>
        <v>#DIV/0!</v>
      </c>
      <c r="Y3" s="16" t="e">
        <f t="shared" si="2"/>
        <v>#DIV/0!</v>
      </c>
      <c r="Z3" s="16" t="e">
        <f t="shared" si="2"/>
        <v>#DIV/0!</v>
      </c>
      <c r="AA3" s="16" t="e">
        <f t="shared" si="3"/>
        <v>#DIV/0!</v>
      </c>
      <c r="AB3" s="16">
        <f t="shared" si="4"/>
        <v>0</v>
      </c>
    </row>
    <row r="4" spans="1:28" x14ac:dyDescent="0.2">
      <c r="A4" s="15" t="s">
        <v>106</v>
      </c>
      <c r="B4" s="15" t="s">
        <v>38</v>
      </c>
      <c r="C4" s="15">
        <v>23</v>
      </c>
      <c r="D4" s="15">
        <v>2</v>
      </c>
      <c r="E4" s="15" t="s">
        <v>107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 t="shared" si="5"/>
        <v>0</v>
      </c>
      <c r="W4" s="15" t="e">
        <f t="shared" si="0"/>
        <v>#DIV/0!</v>
      </c>
      <c r="X4" s="15" t="e">
        <f t="shared" si="1"/>
        <v>#DIV/0!</v>
      </c>
      <c r="Y4" s="15" t="e">
        <f t="shared" si="2"/>
        <v>#DIV/0!</v>
      </c>
      <c r="Z4" s="15" t="e">
        <f t="shared" si="2"/>
        <v>#DIV/0!</v>
      </c>
      <c r="AA4" s="15" t="e">
        <f t="shared" si="3"/>
        <v>#DIV/0!</v>
      </c>
      <c r="AB4" s="15">
        <f t="shared" si="4"/>
        <v>0</v>
      </c>
    </row>
    <row r="5" spans="1:28" x14ac:dyDescent="0.2">
      <c r="A5" s="16" t="s">
        <v>108</v>
      </c>
      <c r="B5" s="16" t="s">
        <v>38</v>
      </c>
      <c r="C5" s="16">
        <v>26</v>
      </c>
      <c r="D5" s="16">
        <v>1</v>
      </c>
      <c r="E5" s="16" t="s">
        <v>93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 t="shared" si="5"/>
        <v>0</v>
      </c>
      <c r="W5" s="16" t="e">
        <f t="shared" si="0"/>
        <v>#DIV/0!</v>
      </c>
      <c r="X5" s="16" t="e">
        <f t="shared" si="1"/>
        <v>#DIV/0!</v>
      </c>
      <c r="Y5" s="16" t="e">
        <f t="shared" si="2"/>
        <v>#DIV/0!</v>
      </c>
      <c r="Z5" s="16" t="e">
        <f t="shared" si="2"/>
        <v>#DIV/0!</v>
      </c>
      <c r="AA5" s="16" t="e">
        <f t="shared" si="3"/>
        <v>#DIV/0!</v>
      </c>
      <c r="AB5" s="16">
        <f t="shared" si="4"/>
        <v>0</v>
      </c>
    </row>
    <row r="6" spans="1:28" x14ac:dyDescent="0.2">
      <c r="A6" s="15" t="s">
        <v>109</v>
      </c>
      <c r="B6" s="15" t="s">
        <v>38</v>
      </c>
      <c r="C6" s="15">
        <v>29</v>
      </c>
      <c r="D6" s="15">
        <v>9</v>
      </c>
      <c r="E6" s="15" t="s">
        <v>66</v>
      </c>
      <c r="F6" s="15" t="s">
        <v>25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 t="shared" si="5"/>
        <v>0</v>
      </c>
      <c r="W6" s="15" t="e">
        <f t="shared" si="0"/>
        <v>#DIV/0!</v>
      </c>
      <c r="X6" s="15" t="e">
        <f t="shared" si="1"/>
        <v>#DIV/0!</v>
      </c>
      <c r="Y6" s="15" t="e">
        <f t="shared" si="2"/>
        <v>#DIV/0!</v>
      </c>
      <c r="Z6" s="15" t="e">
        <f t="shared" si="2"/>
        <v>#DIV/0!</v>
      </c>
      <c r="AA6" s="15" t="e">
        <f t="shared" si="3"/>
        <v>#DIV/0!</v>
      </c>
      <c r="AB6" s="15">
        <f t="shared" si="4"/>
        <v>0</v>
      </c>
    </row>
    <row r="7" spans="1:28" x14ac:dyDescent="0.2">
      <c r="A7" s="16" t="s">
        <v>110</v>
      </c>
      <c r="B7" s="16" t="s">
        <v>38</v>
      </c>
      <c r="C7" s="16">
        <v>26</v>
      </c>
      <c r="D7" s="16">
        <v>2</v>
      </c>
      <c r="E7" s="16" t="s">
        <v>111</v>
      </c>
      <c r="F7" s="16" t="s">
        <v>25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 t="shared" si="5"/>
        <v>0</v>
      </c>
      <c r="W7" s="16" t="e">
        <f t="shared" si="0"/>
        <v>#DIV/0!</v>
      </c>
      <c r="X7" s="16" t="e">
        <f t="shared" si="1"/>
        <v>#DIV/0!</v>
      </c>
      <c r="Y7" s="16" t="e">
        <f t="shared" si="2"/>
        <v>#DIV/0!</v>
      </c>
      <c r="Z7" s="16" t="e">
        <f t="shared" si="2"/>
        <v>#DIV/0!</v>
      </c>
      <c r="AA7" s="16" t="e">
        <f>$K7/$H7</f>
        <v>#DIV/0!</v>
      </c>
      <c r="AB7" s="16">
        <f t="shared" si="4"/>
        <v>0</v>
      </c>
    </row>
    <row r="8" spans="1:28" x14ac:dyDescent="0.2">
      <c r="A8" s="15" t="s">
        <v>171</v>
      </c>
      <c r="B8" s="15" t="s">
        <v>38</v>
      </c>
      <c r="C8" s="15">
        <v>24</v>
      </c>
      <c r="D8" s="15">
        <v>1</v>
      </c>
      <c r="E8" s="15" t="s">
        <v>102</v>
      </c>
      <c r="F8" s="15" t="s">
        <v>114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 t="shared" si="5"/>
        <v>0</v>
      </c>
      <c r="W8" s="15" t="e">
        <f t="shared" si="0"/>
        <v>#DIV/0!</v>
      </c>
      <c r="X8" s="15" t="e">
        <f t="shared" si="1"/>
        <v>#DIV/0!</v>
      </c>
      <c r="Y8" s="15" t="e">
        <f t="shared" si="2"/>
        <v>#DIV/0!</v>
      </c>
      <c r="Z8" s="15" t="e">
        <f t="shared" ref="Z8:Z21" si="6">$I8/$H8</f>
        <v>#DIV/0!</v>
      </c>
      <c r="AA8" s="15" t="e">
        <f t="shared" ref="AA8:AA14" si="7">$K8/$H8</f>
        <v>#DIV/0!</v>
      </c>
      <c r="AB8" s="15">
        <f t="shared" si="4"/>
        <v>0</v>
      </c>
    </row>
    <row r="9" spans="1:28" x14ac:dyDescent="0.2">
      <c r="A9" s="16" t="s">
        <v>172</v>
      </c>
      <c r="B9" s="16" t="s">
        <v>38</v>
      </c>
      <c r="C9" s="16">
        <v>23</v>
      </c>
      <c r="D9" s="16">
        <v>2</v>
      </c>
      <c r="E9" s="16" t="s">
        <v>173</v>
      </c>
      <c r="F9" s="16" t="s">
        <v>114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 t="shared" si="5"/>
        <v>0</v>
      </c>
      <c r="W9" s="16" t="e">
        <f t="shared" si="0"/>
        <v>#DIV/0!</v>
      </c>
      <c r="X9" s="16" t="e">
        <f t="shared" si="1"/>
        <v>#DIV/0!</v>
      </c>
      <c r="Y9" s="16" t="e">
        <f t="shared" si="2"/>
        <v>#DIV/0!</v>
      </c>
      <c r="Z9" s="16" t="e">
        <f t="shared" si="6"/>
        <v>#DIV/0!</v>
      </c>
      <c r="AA9" s="16" t="e">
        <f t="shared" si="7"/>
        <v>#DIV/0!</v>
      </c>
      <c r="AB9" s="16">
        <f t="shared" si="4"/>
        <v>0</v>
      </c>
    </row>
    <row r="10" spans="1:28" x14ac:dyDescent="0.2">
      <c r="A10" s="15" t="s">
        <v>174</v>
      </c>
      <c r="B10" s="15" t="s">
        <v>38</v>
      </c>
      <c r="C10" s="15">
        <v>25</v>
      </c>
      <c r="D10" s="15">
        <v>3</v>
      </c>
      <c r="E10" s="15" t="s">
        <v>175</v>
      </c>
      <c r="F10" s="15" t="s">
        <v>114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 t="shared" si="5"/>
        <v>0</v>
      </c>
      <c r="W10" s="15" t="e">
        <f t="shared" si="0"/>
        <v>#DIV/0!</v>
      </c>
      <c r="X10" s="15" t="e">
        <f t="shared" si="1"/>
        <v>#DIV/0!</v>
      </c>
      <c r="Y10" s="15" t="e">
        <f t="shared" si="2"/>
        <v>#DIV/0!</v>
      </c>
      <c r="Z10" s="15" t="e">
        <f t="shared" si="6"/>
        <v>#DIV/0!</v>
      </c>
      <c r="AA10" s="15" t="e">
        <f t="shared" si="7"/>
        <v>#DIV/0!</v>
      </c>
      <c r="AB10" s="15">
        <f t="shared" si="4"/>
        <v>0</v>
      </c>
    </row>
    <row r="11" spans="1:28" x14ac:dyDescent="0.2">
      <c r="A11" s="16" t="s">
        <v>176</v>
      </c>
      <c r="B11" s="16" t="s">
        <v>38</v>
      </c>
      <c r="C11" s="16">
        <v>28</v>
      </c>
      <c r="D11" s="16">
        <v>3</v>
      </c>
      <c r="E11" s="16" t="s">
        <v>100</v>
      </c>
      <c r="F11" s="16" t="s">
        <v>114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 t="shared" si="5"/>
        <v>0</v>
      </c>
      <c r="W11" s="16" t="e">
        <f t="shared" si="0"/>
        <v>#DIV/0!</v>
      </c>
      <c r="X11" s="16" t="e">
        <f t="shared" si="1"/>
        <v>#DIV/0!</v>
      </c>
      <c r="Y11" s="16" t="e">
        <f t="shared" si="2"/>
        <v>#DIV/0!</v>
      </c>
      <c r="Z11" s="16" t="e">
        <f t="shared" si="6"/>
        <v>#DIV/0!</v>
      </c>
      <c r="AA11" s="16" t="e">
        <f t="shared" si="7"/>
        <v>#DIV/0!</v>
      </c>
      <c r="AB11" s="16">
        <f t="shared" si="4"/>
        <v>0</v>
      </c>
    </row>
    <row r="12" spans="1:28" x14ac:dyDescent="0.2">
      <c r="A12" s="15" t="s">
        <v>177</v>
      </c>
      <c r="B12" s="15" t="s">
        <v>38</v>
      </c>
      <c r="C12" s="15">
        <v>22</v>
      </c>
      <c r="D12" s="15">
        <v>3</v>
      </c>
      <c r="E12" s="15" t="s">
        <v>178</v>
      </c>
      <c r="F12" s="15" t="s">
        <v>114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 t="shared" si="5"/>
        <v>0</v>
      </c>
      <c r="W12" s="15" t="e">
        <f t="shared" si="0"/>
        <v>#DIV/0!</v>
      </c>
      <c r="X12" s="15" t="e">
        <f t="shared" si="1"/>
        <v>#DIV/0!</v>
      </c>
      <c r="Y12" s="15" t="e">
        <f t="shared" si="2"/>
        <v>#DIV/0!</v>
      </c>
      <c r="Z12" s="15" t="e">
        <f t="shared" si="6"/>
        <v>#DIV/0!</v>
      </c>
      <c r="AA12" s="15" t="e">
        <f t="shared" si="7"/>
        <v>#DIV/0!</v>
      </c>
      <c r="AB12" s="15">
        <f t="shared" si="4"/>
        <v>0</v>
      </c>
    </row>
    <row r="13" spans="1:28" x14ac:dyDescent="0.2">
      <c r="A13" s="16" t="s">
        <v>179</v>
      </c>
      <c r="B13" s="16" t="s">
        <v>38</v>
      </c>
      <c r="C13" s="16">
        <v>31</v>
      </c>
      <c r="D13" s="16">
        <v>8</v>
      </c>
      <c r="E13" s="16" t="s">
        <v>180</v>
      </c>
      <c r="F13" s="16" t="s">
        <v>114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 t="shared" si="5"/>
        <v>0</v>
      </c>
      <c r="W13" s="16" t="e">
        <f t="shared" si="0"/>
        <v>#DIV/0!</v>
      </c>
      <c r="X13" s="16" t="e">
        <f t="shared" si="1"/>
        <v>#DIV/0!</v>
      </c>
      <c r="Y13" s="16" t="e">
        <f t="shared" si="2"/>
        <v>#DIV/0!</v>
      </c>
      <c r="Z13" s="16" t="e">
        <f t="shared" si="6"/>
        <v>#DIV/0!</v>
      </c>
      <c r="AA13" s="16" t="e">
        <f t="shared" si="7"/>
        <v>#DIV/0!</v>
      </c>
      <c r="AB13" s="16">
        <f t="shared" si="4"/>
        <v>0</v>
      </c>
    </row>
    <row r="14" spans="1:28" x14ac:dyDescent="0.2">
      <c r="A14" s="15" t="s">
        <v>242</v>
      </c>
      <c r="B14" s="15" t="s">
        <v>38</v>
      </c>
      <c r="C14" s="15">
        <v>27</v>
      </c>
      <c r="D14" s="15">
        <v>6</v>
      </c>
      <c r="E14" s="15" t="s">
        <v>68</v>
      </c>
      <c r="F14" s="15" t="s">
        <v>184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 t="shared" si="5"/>
        <v>0</v>
      </c>
      <c r="W14" s="15" t="e">
        <f t="shared" si="0"/>
        <v>#DIV/0!</v>
      </c>
      <c r="X14" s="15" t="e">
        <f t="shared" si="1"/>
        <v>#DIV/0!</v>
      </c>
      <c r="Y14" s="15" t="e">
        <f t="shared" si="2"/>
        <v>#DIV/0!</v>
      </c>
      <c r="Z14" s="15" t="e">
        <f t="shared" si="6"/>
        <v>#DIV/0!</v>
      </c>
      <c r="AA14" s="15" t="e">
        <f t="shared" ref="AA14:AA17" si="8">$J14/$H14</f>
        <v>#DIV/0!</v>
      </c>
      <c r="AB14" s="15">
        <f>($J14*Cp_yd)+($K14*Cp_td)+($L14*Cint)+($M14*Ccar)+($N14*Cr_yd)+($O14*Cr_td)+(Q14*Crec)+($R14*Crec_yd)+($S14*Crec_td)+($T14*Cfmb)+($U14*Ctp_c)</f>
        <v>0</v>
      </c>
    </row>
    <row r="15" spans="1:28" x14ac:dyDescent="0.2">
      <c r="A15" s="16" t="s">
        <v>243</v>
      </c>
      <c r="B15" s="16" t="s">
        <v>38</v>
      </c>
      <c r="C15" s="16">
        <v>24</v>
      </c>
      <c r="D15" s="16">
        <v>2</v>
      </c>
      <c r="E15" s="16" t="s">
        <v>244</v>
      </c>
      <c r="F15" s="16" t="s">
        <v>184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 t="shared" si="5"/>
        <v>0</v>
      </c>
      <c r="W15" s="16" t="e">
        <f t="shared" si="0"/>
        <v>#DIV/0!</v>
      </c>
      <c r="X15" s="16" t="e">
        <f t="shared" si="1"/>
        <v>#DIV/0!</v>
      </c>
      <c r="Y15" s="16" t="e">
        <f t="shared" si="2"/>
        <v>#DIV/0!</v>
      </c>
      <c r="Z15" s="16" t="e">
        <f t="shared" si="6"/>
        <v>#DIV/0!</v>
      </c>
      <c r="AA15" s="16" t="e">
        <f t="shared" si="8"/>
        <v>#DIV/0!</v>
      </c>
      <c r="AB15" s="16">
        <f>($J15*Cp_yd)+($K15*Cp_td)+($L15*Cint)+($M15*Ccar)+($N15*Cr_yd)+($O15*Cr_td)+(Q15*Crec)+($R15*Crec_yd)+($S15*Crec_td)+($T15*Cfmb)+($U15*Ctp_c)</f>
        <v>0</v>
      </c>
    </row>
    <row r="16" spans="1:28" x14ac:dyDescent="0.2">
      <c r="A16" s="15" t="s">
        <v>245</v>
      </c>
      <c r="B16" s="15" t="s">
        <v>38</v>
      </c>
      <c r="C16" s="15">
        <v>23</v>
      </c>
      <c r="D16" s="15">
        <v>2</v>
      </c>
      <c r="E16" s="15" t="s">
        <v>246</v>
      </c>
      <c r="F16" s="15" t="s">
        <v>184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 t="shared" si="5"/>
        <v>0</v>
      </c>
      <c r="W16" s="15" t="e">
        <f t="shared" si="0"/>
        <v>#DIV/0!</v>
      </c>
      <c r="X16" s="15" t="e">
        <f t="shared" si="1"/>
        <v>#DIV/0!</v>
      </c>
      <c r="Y16" s="15" t="e">
        <f t="shared" si="2"/>
        <v>#DIV/0!</v>
      </c>
      <c r="Z16" s="15" t="e">
        <f t="shared" si="6"/>
        <v>#DIV/0!</v>
      </c>
      <c r="AA16" s="15" t="e">
        <f t="shared" si="8"/>
        <v>#DIV/0!</v>
      </c>
      <c r="AB16" s="15">
        <f>($J16*Cp_yd)+($K16*Cp_td)+($L16*Cint)+($M16*Ccar)+($N16*Cr_yd)+($O16*Cr_td)+(Q16*Crec)+($R16*Crec_yd)+($S16*Crec_td)+($T16*Cfmb)+($U16*Ctp_c)</f>
        <v>0</v>
      </c>
    </row>
    <row r="17" spans="1:28" x14ac:dyDescent="0.2">
      <c r="A17" s="16" t="s">
        <v>303</v>
      </c>
      <c r="B17" s="16" t="s">
        <v>38</v>
      </c>
      <c r="C17" s="16">
        <v>23</v>
      </c>
      <c r="D17" s="16">
        <v>0</v>
      </c>
      <c r="E17" s="16" t="s">
        <v>207</v>
      </c>
      <c r="F17" s="16" t="s">
        <v>250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 t="shared" si="5"/>
        <v>0</v>
      </c>
      <c r="W17" s="16" t="e">
        <f t="shared" si="0"/>
        <v>#DIV/0!</v>
      </c>
      <c r="X17" s="16" t="e">
        <f t="shared" si="1"/>
        <v>#DIV/0!</v>
      </c>
      <c r="Y17" s="16" t="e">
        <f t="shared" si="2"/>
        <v>#DIV/0!</v>
      </c>
      <c r="Z17" s="16" t="e">
        <f t="shared" si="6"/>
        <v>#DIV/0!</v>
      </c>
      <c r="AA17" s="16" t="e">
        <f>$K17/$H17</f>
        <v>#DIV/0!</v>
      </c>
      <c r="AB17" s="16">
        <f>($J17*Cp_yd)+($K17*Cp_td)+($L17*Cint)+($M17*Ccar)+($N17*Cr_yd)+($O17*Cr_td)+(Q17*Crec)+($R17*Crec_yd)+($S17*Crec_td)+($T17*Cfmb)+($U17*Ctp_c)</f>
        <v>0</v>
      </c>
    </row>
    <row r="18" spans="1:28" x14ac:dyDescent="0.2">
      <c r="A18" s="15" t="s">
        <v>304</v>
      </c>
      <c r="B18" s="15" t="s">
        <v>38</v>
      </c>
      <c r="C18" s="15">
        <v>26</v>
      </c>
      <c r="D18" s="15">
        <v>5</v>
      </c>
      <c r="E18" s="15" t="s">
        <v>240</v>
      </c>
      <c r="F18" s="15" t="s">
        <v>250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 t="shared" si="5"/>
        <v>0</v>
      </c>
      <c r="W18" s="15" t="e">
        <f t="shared" si="0"/>
        <v>#DIV/0!</v>
      </c>
      <c r="X18" s="15" t="e">
        <f t="shared" si="1"/>
        <v>#DIV/0!</v>
      </c>
      <c r="Y18" s="15" t="e">
        <f t="shared" ref="Y18:Y21" si="9">$R18/$Q18</f>
        <v>#DIV/0!</v>
      </c>
      <c r="Z18" s="15" t="e">
        <f t="shared" si="6"/>
        <v>#DIV/0!</v>
      </c>
      <c r="AA18" s="15" t="e">
        <f>$K18/$H18</f>
        <v>#DIV/0!</v>
      </c>
      <c r="AB18" s="15">
        <f>($J18*Cp_yd)+($K18*Cp_td)+($L18*Cint)+($M18*Ccar)+($N18*Cr_yd)+($O18*Cr_td)+(Q18*Crec)+($R18*Crec_yd)+($S18*Crec_td)+($T18*Cfmb)+($U18*Ctp_c)</f>
        <v>0</v>
      </c>
    </row>
    <row r="19" spans="1:28" x14ac:dyDescent="0.2">
      <c r="A19" s="16" t="s">
        <v>305</v>
      </c>
      <c r="B19" s="16" t="s">
        <v>38</v>
      </c>
      <c r="C19" s="16">
        <v>24</v>
      </c>
      <c r="D19" s="16">
        <v>2</v>
      </c>
      <c r="E19" s="16" t="s">
        <v>168</v>
      </c>
      <c r="F19" s="16" t="s">
        <v>250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 t="shared" si="5"/>
        <v>0</v>
      </c>
      <c r="W19" s="16" t="e">
        <f t="shared" si="0"/>
        <v>#DIV/0!</v>
      </c>
      <c r="X19" s="16" t="e">
        <f t="shared" si="1"/>
        <v>#DIV/0!</v>
      </c>
      <c r="Y19" s="16" t="e">
        <f t="shared" si="9"/>
        <v>#DIV/0!</v>
      </c>
      <c r="Z19" s="16" t="e">
        <f t="shared" si="6"/>
        <v>#DIV/0!</v>
      </c>
      <c r="AA19" s="16" t="e">
        <f>$K19/$H19</f>
        <v>#DIV/0!</v>
      </c>
      <c r="AB19" s="16">
        <f>($J19*Cp_yd)+($K19*Cp_td)+($L19*Cint)+($M19*Ccar)+($N19*Cr_yd)+($O19*Cr_td)+(Q19*Crec)+($R19*Crec_yd)+($S19*Crec_td)+($T19*Cfmb)+($U19*Ctp_c)</f>
        <v>0</v>
      </c>
    </row>
    <row r="20" spans="1:28" x14ac:dyDescent="0.2">
      <c r="A20" s="15" t="s">
        <v>306</v>
      </c>
      <c r="B20" s="15" t="s">
        <v>38</v>
      </c>
      <c r="C20" s="15">
        <v>27</v>
      </c>
      <c r="D20" s="15">
        <v>4</v>
      </c>
      <c r="E20" s="15" t="s">
        <v>307</v>
      </c>
      <c r="F20" s="15" t="s">
        <v>250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 t="shared" si="5"/>
        <v>0</v>
      </c>
      <c r="W20" s="15" t="e">
        <f t="shared" si="0"/>
        <v>#DIV/0!</v>
      </c>
      <c r="X20" s="15" t="e">
        <f t="shared" si="1"/>
        <v>#DIV/0!</v>
      </c>
      <c r="Y20" s="15" t="e">
        <f t="shared" si="9"/>
        <v>#DIV/0!</v>
      </c>
      <c r="Z20" s="15" t="e">
        <f t="shared" si="6"/>
        <v>#DIV/0!</v>
      </c>
      <c r="AA20" s="15" t="e">
        <f>$K20/$H20</f>
        <v>#DIV/0!</v>
      </c>
      <c r="AB20" s="15">
        <f>($J20*Cp_yd)+($K20*Cp_td)+($L20*Cint)+($M20*Ccar)+($N20*Cr_yd)+($O20*Cr_td)+(Q20*Crec)+($R20*Crec_yd)+($S20*Crec_td)+($T20*Cfmb)+($U20*Ctp_c)</f>
        <v>0</v>
      </c>
    </row>
    <row r="21" spans="1:28" x14ac:dyDescent="0.2">
      <c r="A21" s="16" t="s">
        <v>355</v>
      </c>
      <c r="B21" s="16" t="s">
        <v>38</v>
      </c>
      <c r="C21" s="16">
        <v>29</v>
      </c>
      <c r="D21" s="16">
        <v>6</v>
      </c>
      <c r="E21" s="16" t="s">
        <v>341</v>
      </c>
      <c r="F21" s="16" t="s">
        <v>311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>($J21*0.04)+($K21*4)+($L21*-2)+($N21*0.1)+($O21*6)+($Q21)+($R21*0.1)+($S21*6)+($T21*-2)</f>
        <v>0</v>
      </c>
      <c r="W21" s="16" t="e">
        <f>$P21/$H$33</f>
        <v>#DIV/0!</v>
      </c>
      <c r="X21" s="16" t="e">
        <f>$N21/$M21</f>
        <v>#DIV/0!</v>
      </c>
      <c r="Y21" s="16" t="e">
        <f>$R21/$Q21</f>
        <v>#DIV/0!</v>
      </c>
      <c r="Z21" s="16" t="e">
        <f>$I21/$H21</f>
        <v>#DIV/0!</v>
      </c>
      <c r="AA21" s="16" t="e">
        <f>$K21/$H21</f>
        <v>#DIV/0!</v>
      </c>
      <c r="AB21" s="16">
        <f>($J21*Cp_yd)+($K21*Cp_td)+($L21*Cint)+($M21*Ccar)+($N21*Cr_yd)+($O21*Cr_td)+(Q21*Crec)+($R21*Crec_yd)+($S21*Crec_td)+($T21*Cfmb)+($U21*Ctp_c)</f>
        <v>0</v>
      </c>
    </row>
    <row r="22" spans="1:28" x14ac:dyDescent="0.2">
      <c r="A22" s="15" t="s">
        <v>356</v>
      </c>
      <c r="B22" s="15" t="s">
        <v>38</v>
      </c>
      <c r="C22" s="15">
        <v>26</v>
      </c>
      <c r="D22" s="15">
        <v>3</v>
      </c>
      <c r="E22" s="15" t="s">
        <v>357</v>
      </c>
      <c r="F22" s="15" t="s">
        <v>311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>($J22*0.04)+($K22*4)+($L22*-2)+($N22*0.1)+($O22*6)+($Q22)+($R22*0.1)+($S22*6)+($T22*-2)</f>
        <v>0</v>
      </c>
      <c r="W22" s="15" t="e">
        <f>$P22/$H$33</f>
        <v>#DIV/0!</v>
      </c>
      <c r="X22" s="15" t="e">
        <f>$N22/$M22</f>
        <v>#DIV/0!</v>
      </c>
      <c r="Y22" s="15" t="e">
        <f>$R22/$Q22</f>
        <v>#DIV/0!</v>
      </c>
      <c r="Z22" s="15" t="e">
        <f>$I22/$H22</f>
        <v>#DIV/0!</v>
      </c>
      <c r="AA22" s="15" t="e">
        <f>$K22/$H22</f>
        <v>#DIV/0!</v>
      </c>
      <c r="AB22" s="15">
        <f>($J22*Cp_yd)+($K22*Cp_td)+($L22*Cint)+($M22*Ccar)+($N22*Cr_yd)+($O22*Cr_td)+(Q22*Crec)+($R22*Crec_yd)+($S22*Crec_td)+($T22*Cfmb)+($U22*Ctp_c)</f>
        <v>0</v>
      </c>
    </row>
    <row r="23" spans="1:28" x14ac:dyDescent="0.2">
      <c r="A23" s="16" t="s">
        <v>358</v>
      </c>
      <c r="B23" s="16" t="s">
        <v>38</v>
      </c>
      <c r="C23" s="16">
        <v>26</v>
      </c>
      <c r="D23" s="16">
        <v>2</v>
      </c>
      <c r="E23" s="16" t="s">
        <v>227</v>
      </c>
      <c r="F23" s="16" t="s">
        <v>311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>($J23*0.04)+($K23*4)+($L23*-2)+($N23*0.1)+($O23*6)+($Q23)+($R23*0.1)+($S23*6)+($T23*-2)</f>
        <v>0</v>
      </c>
      <c r="W23" s="16" t="e">
        <f>$P23/$H$33</f>
        <v>#DIV/0!</v>
      </c>
      <c r="X23" s="16" t="e">
        <f>$N23/$M23</f>
        <v>#DIV/0!</v>
      </c>
      <c r="Y23" s="16" t="e">
        <f>$R23/$Q23</f>
        <v>#DIV/0!</v>
      </c>
      <c r="Z23" s="16" t="e">
        <f>$I23/$H23</f>
        <v>#DIV/0!</v>
      </c>
      <c r="AA23" s="16" t="e">
        <f>$K23/$H23</f>
        <v>#DIV/0!</v>
      </c>
      <c r="AB23" s="16">
        <f>($J23*Cp_yd)+($K23*Cp_td)+($L23*Cint)+($M23*Ccar)+($N23*Cr_yd)+($O23*Cr_td)+(Q23*Crec)+($R23*Crec_yd)+($S23*Crec_td)+($T23*Cfmb)+($U23*Ctp_c)</f>
        <v>0</v>
      </c>
    </row>
    <row r="24" spans="1:28" x14ac:dyDescent="0.2">
      <c r="A24" s="15" t="s">
        <v>359</v>
      </c>
      <c r="B24" s="15" t="s">
        <v>38</v>
      </c>
      <c r="C24" s="15">
        <v>27</v>
      </c>
      <c r="D24" s="15">
        <v>6</v>
      </c>
      <c r="E24" s="15" t="s">
        <v>360</v>
      </c>
      <c r="F24" s="15" t="s">
        <v>311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>($J24*0.04)+($K24*4)+($L24*-2)+($N24*0.1)+($O24*6)+($Q24)+($R24*0.1)+($S24*6)+($T24*-2)</f>
        <v>0</v>
      </c>
      <c r="W24" s="15" t="e">
        <f>$P24/$H$33</f>
        <v>#DIV/0!</v>
      </c>
      <c r="X24" s="15" t="e">
        <f>$N24/$M24</f>
        <v>#DIV/0!</v>
      </c>
      <c r="Y24" s="15" t="e">
        <f>$R24/$Q24</f>
        <v>#DIV/0!</v>
      </c>
      <c r="Z24" s="15" t="e">
        <f>$I24/$H24</f>
        <v>#DIV/0!</v>
      </c>
      <c r="AA24" s="15" t="e">
        <f>$K24/$H24</f>
        <v>#DIV/0!</v>
      </c>
      <c r="AB24" s="15">
        <f>($J24*Cp_yd)+($K24*Cp_td)+($L24*Cint)+($M24*Ccar)+($N24*Cr_yd)+($O24*Cr_td)+(Q24*Crec)+($R24*Crec_yd)+($S24*Crec_td)+($T24*Cfmb)+($U24*Ctp_c)</f>
        <v>0</v>
      </c>
    </row>
    <row r="25" spans="1:28" x14ac:dyDescent="0.2">
      <c r="A25" s="16" t="s">
        <v>414</v>
      </c>
      <c r="B25" s="16" t="s">
        <v>38</v>
      </c>
      <c r="C25" s="16">
        <v>26</v>
      </c>
      <c r="D25" s="16">
        <v>4</v>
      </c>
      <c r="E25" s="16" t="s">
        <v>415</v>
      </c>
      <c r="F25" s="16" t="s">
        <v>364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 t="shared" ref="V25:V56" si="10">($J25*0.04)+($K25*4)+($L25*-2)+($N25*0.1)+($O25*6)+($Q25)+($R25*0.1)+($S25*6)+($T25*-2)</f>
        <v>0</v>
      </c>
      <c r="W25" s="16" t="e">
        <f t="shared" ref="W25:W56" si="11">$P25/$H$33</f>
        <v>#DIV/0!</v>
      </c>
      <c r="X25" s="16" t="e">
        <f t="shared" ref="X25:X56" si="12">$N25/$M25</f>
        <v>#DIV/0!</v>
      </c>
      <c r="Y25" s="16" t="e">
        <f t="shared" ref="Y25:Y56" si="13">$R25/$Q25</f>
        <v>#DIV/0!</v>
      </c>
      <c r="Z25" s="16" t="e">
        <f t="shared" ref="Z25:Z56" si="14">$I25/$H25</f>
        <v>#DIV/0!</v>
      </c>
      <c r="AA25" s="16" t="e">
        <f>$K25/$H25</f>
        <v>#DIV/0!</v>
      </c>
      <c r="AB25" s="16">
        <f t="shared" ref="AB25:AB56" si="15">($J25*Cp_yd)+($K25*Cp_td)+($L25*Cint)+($M25*Ccar)+($N25*Cr_yd)+($O25*Cr_td)+(Q25*Crec)+($R25*Crec_yd)+($S25*Crec_td)+($T25*Cfmb)+($U25*Ctp_c)</f>
        <v>0</v>
      </c>
    </row>
    <row r="26" spans="1:28" x14ac:dyDescent="0.2">
      <c r="A26" s="15" t="s">
        <v>416</v>
      </c>
      <c r="B26" s="15" t="s">
        <v>38</v>
      </c>
      <c r="C26" s="15">
        <v>24</v>
      </c>
      <c r="D26" s="15">
        <v>4</v>
      </c>
      <c r="E26" s="15" t="s">
        <v>362</v>
      </c>
      <c r="F26" s="15" t="s">
        <v>364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 t="shared" si="10"/>
        <v>0</v>
      </c>
      <c r="W26" s="15" t="e">
        <f t="shared" si="11"/>
        <v>#DIV/0!</v>
      </c>
      <c r="X26" s="15" t="e">
        <f t="shared" si="12"/>
        <v>#DIV/0!</v>
      </c>
      <c r="Y26" s="15" t="e">
        <f t="shared" si="13"/>
        <v>#DIV/0!</v>
      </c>
      <c r="Z26" s="15" t="e">
        <f t="shared" si="14"/>
        <v>#DIV/0!</v>
      </c>
      <c r="AA26" s="15" t="e">
        <f>$K26/$H26</f>
        <v>#DIV/0!</v>
      </c>
      <c r="AB26" s="15">
        <f t="shared" si="15"/>
        <v>0</v>
      </c>
    </row>
    <row r="27" spans="1:28" x14ac:dyDescent="0.2">
      <c r="A27" s="16" t="s">
        <v>417</v>
      </c>
      <c r="B27" s="16" t="s">
        <v>38</v>
      </c>
      <c r="C27" s="16">
        <v>39</v>
      </c>
      <c r="D27" s="16">
        <v>18</v>
      </c>
      <c r="E27" s="16" t="s">
        <v>418</v>
      </c>
      <c r="F27" s="16" t="s">
        <v>364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 t="shared" si="10"/>
        <v>0</v>
      </c>
      <c r="W27" s="16" t="e">
        <f t="shared" si="11"/>
        <v>#DIV/0!</v>
      </c>
      <c r="X27" s="16" t="e">
        <f t="shared" si="12"/>
        <v>#DIV/0!</v>
      </c>
      <c r="Y27" s="16" t="e">
        <f t="shared" si="13"/>
        <v>#DIV/0!</v>
      </c>
      <c r="Z27" s="16" t="e">
        <f t="shared" si="14"/>
        <v>#DIV/0!</v>
      </c>
      <c r="AA27" s="16" t="e">
        <f>$K27/$H27</f>
        <v>#DIV/0!</v>
      </c>
      <c r="AB27" s="16">
        <f t="shared" si="15"/>
        <v>0</v>
      </c>
    </row>
    <row r="28" spans="1:28" x14ac:dyDescent="0.2">
      <c r="A28" s="15" t="s">
        <v>419</v>
      </c>
      <c r="B28" s="15" t="s">
        <v>38</v>
      </c>
      <c r="C28" s="15">
        <v>25</v>
      </c>
      <c r="D28" s="15">
        <v>4</v>
      </c>
      <c r="E28" s="15" t="s">
        <v>300</v>
      </c>
      <c r="F28" s="15" t="s">
        <v>364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 t="shared" si="10"/>
        <v>0</v>
      </c>
      <c r="W28" s="15" t="e">
        <f t="shared" si="11"/>
        <v>#DIV/0!</v>
      </c>
      <c r="X28" s="15" t="e">
        <f t="shared" si="12"/>
        <v>#DIV/0!</v>
      </c>
      <c r="Y28" s="15" t="e">
        <f t="shared" si="13"/>
        <v>#DIV/0!</v>
      </c>
      <c r="Z28" s="15" t="e">
        <f t="shared" si="14"/>
        <v>#DIV/0!</v>
      </c>
      <c r="AA28" s="15" t="e">
        <f>$K28/$H28</f>
        <v>#DIV/0!</v>
      </c>
      <c r="AB28" s="15">
        <f t="shared" si="15"/>
        <v>0</v>
      </c>
    </row>
    <row r="29" spans="1:28" x14ac:dyDescent="0.2">
      <c r="A29" s="16" t="s">
        <v>420</v>
      </c>
      <c r="B29" s="16" t="s">
        <v>38</v>
      </c>
      <c r="C29" s="16"/>
      <c r="D29" s="16">
        <v>0</v>
      </c>
      <c r="E29" s="16" t="s">
        <v>421</v>
      </c>
      <c r="F29" s="16" t="s">
        <v>364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 t="shared" si="10"/>
        <v>0</v>
      </c>
      <c r="W29" s="16" t="e">
        <f t="shared" si="11"/>
        <v>#DIV/0!</v>
      </c>
      <c r="X29" s="16" t="e">
        <f t="shared" si="12"/>
        <v>#DIV/0!</v>
      </c>
      <c r="Y29" s="16" t="e">
        <f t="shared" si="13"/>
        <v>#DIV/0!</v>
      </c>
      <c r="Z29" s="16" t="e">
        <f t="shared" si="14"/>
        <v>#DIV/0!</v>
      </c>
      <c r="AA29" s="16" t="e">
        <f>$K29/$H29</f>
        <v>#DIV/0!</v>
      </c>
      <c r="AB29" s="16">
        <f t="shared" si="15"/>
        <v>0</v>
      </c>
    </row>
    <row r="30" spans="1:28" x14ac:dyDescent="0.2">
      <c r="A30" s="15" t="s">
        <v>470</v>
      </c>
      <c r="B30" s="15" t="s">
        <v>38</v>
      </c>
      <c r="C30" s="15">
        <v>26</v>
      </c>
      <c r="D30" s="15">
        <v>4</v>
      </c>
      <c r="E30" s="15" t="s">
        <v>418</v>
      </c>
      <c r="F30" s="15" t="s">
        <v>425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 t="shared" si="10"/>
        <v>0</v>
      </c>
      <c r="W30" s="15" t="e">
        <f t="shared" si="11"/>
        <v>#DIV/0!</v>
      </c>
      <c r="X30" s="15" t="e">
        <f t="shared" si="12"/>
        <v>#DIV/0!</v>
      </c>
      <c r="Y30" s="15" t="e">
        <f t="shared" si="13"/>
        <v>#DIV/0!</v>
      </c>
      <c r="Z30" s="15" t="e">
        <f t="shared" si="14"/>
        <v>#DIV/0!</v>
      </c>
      <c r="AA30" s="15" t="e">
        <f>$K30/$H30</f>
        <v>#DIV/0!</v>
      </c>
      <c r="AB30" s="15">
        <f t="shared" si="15"/>
        <v>0</v>
      </c>
    </row>
    <row r="31" spans="1:28" x14ac:dyDescent="0.2">
      <c r="A31" s="16" t="s">
        <v>471</v>
      </c>
      <c r="B31" s="16" t="s">
        <v>38</v>
      </c>
      <c r="C31" s="16">
        <v>27</v>
      </c>
      <c r="D31" s="16">
        <v>2</v>
      </c>
      <c r="E31" s="16" t="s">
        <v>339</v>
      </c>
      <c r="F31" s="16" t="s">
        <v>425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 t="shared" si="10"/>
        <v>0</v>
      </c>
      <c r="W31" s="16" t="e">
        <f t="shared" si="11"/>
        <v>#DIV/0!</v>
      </c>
      <c r="X31" s="16" t="e">
        <f t="shared" si="12"/>
        <v>#DIV/0!</v>
      </c>
      <c r="Y31" s="16" t="e">
        <f t="shared" si="13"/>
        <v>#DIV/0!</v>
      </c>
      <c r="Z31" s="16" t="e">
        <f t="shared" si="14"/>
        <v>#DIV/0!</v>
      </c>
      <c r="AA31" s="16" t="e">
        <f>$K31/$H31</f>
        <v>#DIV/0!</v>
      </c>
      <c r="AB31" s="16">
        <f t="shared" si="15"/>
        <v>0</v>
      </c>
    </row>
    <row r="32" spans="1:28" x14ac:dyDescent="0.2">
      <c r="A32" s="15" t="s">
        <v>472</v>
      </c>
      <c r="B32" s="15" t="s">
        <v>38</v>
      </c>
      <c r="C32" s="15">
        <v>28</v>
      </c>
      <c r="D32" s="15">
        <v>4</v>
      </c>
      <c r="E32" s="15" t="s">
        <v>473</v>
      </c>
      <c r="F32" s="15" t="s">
        <v>425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 t="shared" si="10"/>
        <v>0</v>
      </c>
      <c r="W32" s="15" t="e">
        <f t="shared" si="11"/>
        <v>#DIV/0!</v>
      </c>
      <c r="X32" s="15" t="e">
        <f t="shared" si="12"/>
        <v>#DIV/0!</v>
      </c>
      <c r="Y32" s="15" t="e">
        <f t="shared" si="13"/>
        <v>#DIV/0!</v>
      </c>
      <c r="Z32" s="15" t="e">
        <f t="shared" si="14"/>
        <v>#DIV/0!</v>
      </c>
      <c r="AA32" s="15" t="e">
        <f>$K32/$H32</f>
        <v>#DIV/0!</v>
      </c>
      <c r="AB32" s="15">
        <f t="shared" si="15"/>
        <v>0</v>
      </c>
    </row>
    <row r="33" spans="1:28" x14ac:dyDescent="0.2">
      <c r="A33" s="16" t="s">
        <v>474</v>
      </c>
      <c r="B33" s="16" t="s">
        <v>38</v>
      </c>
      <c r="C33" s="16">
        <v>27</v>
      </c>
      <c r="D33" s="16">
        <v>5</v>
      </c>
      <c r="E33" s="16" t="s">
        <v>86</v>
      </c>
      <c r="F33" s="16" t="s">
        <v>425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 t="shared" si="10"/>
        <v>0</v>
      </c>
      <c r="W33" s="16" t="e">
        <f t="shared" si="11"/>
        <v>#DIV/0!</v>
      </c>
      <c r="X33" s="16" t="e">
        <f t="shared" si="12"/>
        <v>#DIV/0!</v>
      </c>
      <c r="Y33" s="16" t="e">
        <f t="shared" si="13"/>
        <v>#DIV/0!</v>
      </c>
      <c r="Z33" s="16" t="e">
        <f t="shared" si="14"/>
        <v>#DIV/0!</v>
      </c>
      <c r="AA33" s="16" t="e">
        <f>$K33/$H33</f>
        <v>#DIV/0!</v>
      </c>
      <c r="AB33" s="16">
        <f t="shared" si="15"/>
        <v>0</v>
      </c>
    </row>
    <row r="34" spans="1:28" x14ac:dyDescent="0.2">
      <c r="A34" s="15" t="s">
        <v>475</v>
      </c>
      <c r="B34" s="15" t="s">
        <v>38</v>
      </c>
      <c r="C34" s="15">
        <v>25</v>
      </c>
      <c r="D34" s="15">
        <v>5</v>
      </c>
      <c r="E34" s="15" t="s">
        <v>153</v>
      </c>
      <c r="F34" s="15" t="s">
        <v>425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 t="shared" si="10"/>
        <v>0</v>
      </c>
      <c r="W34" s="15" t="e">
        <f t="shared" si="11"/>
        <v>#DIV/0!</v>
      </c>
      <c r="X34" s="15" t="e">
        <f t="shared" si="12"/>
        <v>#DIV/0!</v>
      </c>
      <c r="Y34" s="15" t="e">
        <f t="shared" si="13"/>
        <v>#DIV/0!</v>
      </c>
      <c r="Z34" s="15" t="e">
        <f t="shared" si="14"/>
        <v>#DIV/0!</v>
      </c>
      <c r="AA34" s="15" t="e">
        <f>$K34/$H34</f>
        <v>#DIV/0!</v>
      </c>
      <c r="AB34" s="15">
        <f t="shared" si="15"/>
        <v>0</v>
      </c>
    </row>
    <row r="35" spans="1:28" x14ac:dyDescent="0.2">
      <c r="A35" s="16" t="s">
        <v>476</v>
      </c>
      <c r="B35" s="16" t="s">
        <v>38</v>
      </c>
      <c r="C35" s="16">
        <v>24</v>
      </c>
      <c r="D35" s="16">
        <v>0</v>
      </c>
      <c r="E35" s="16" t="s">
        <v>70</v>
      </c>
      <c r="F35" s="16" t="s">
        <v>425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 t="shared" si="10"/>
        <v>0</v>
      </c>
      <c r="W35" s="16" t="e">
        <f t="shared" si="11"/>
        <v>#DIV/0!</v>
      </c>
      <c r="X35" s="16" t="e">
        <f t="shared" si="12"/>
        <v>#DIV/0!</v>
      </c>
      <c r="Y35" s="16" t="e">
        <f t="shared" si="13"/>
        <v>#DIV/0!</v>
      </c>
      <c r="Z35" s="16" t="e">
        <f t="shared" si="14"/>
        <v>#DIV/0!</v>
      </c>
      <c r="AA35" s="16" t="e">
        <f>$K35/$H35</f>
        <v>#DIV/0!</v>
      </c>
      <c r="AB35" s="16">
        <f t="shared" si="15"/>
        <v>0</v>
      </c>
    </row>
    <row r="36" spans="1:28" x14ac:dyDescent="0.2">
      <c r="A36" s="15" t="s">
        <v>521</v>
      </c>
      <c r="B36" s="15" t="s">
        <v>38</v>
      </c>
      <c r="C36" s="15">
        <v>31</v>
      </c>
      <c r="D36" s="15">
        <v>6</v>
      </c>
      <c r="E36" s="15" t="s">
        <v>282</v>
      </c>
      <c r="F36" s="15" t="s">
        <v>479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 t="shared" si="10"/>
        <v>0</v>
      </c>
      <c r="W36" s="15" t="e">
        <f t="shared" si="11"/>
        <v>#DIV/0!</v>
      </c>
      <c r="X36" s="15" t="e">
        <f t="shared" si="12"/>
        <v>#DIV/0!</v>
      </c>
      <c r="Y36" s="15" t="e">
        <f t="shared" si="13"/>
        <v>#DIV/0!</v>
      </c>
      <c r="Z36" s="15" t="e">
        <f t="shared" si="14"/>
        <v>#DIV/0!</v>
      </c>
      <c r="AA36" s="15" t="e">
        <f>$K36/$H36</f>
        <v>#DIV/0!</v>
      </c>
      <c r="AB36" s="15">
        <f t="shared" si="15"/>
        <v>0</v>
      </c>
    </row>
    <row r="37" spans="1:28" x14ac:dyDescent="0.2">
      <c r="A37" s="16" t="s">
        <v>522</v>
      </c>
      <c r="B37" s="16" t="s">
        <v>38</v>
      </c>
      <c r="C37" s="16">
        <v>25</v>
      </c>
      <c r="D37" s="16">
        <v>4</v>
      </c>
      <c r="E37" s="16" t="s">
        <v>523</v>
      </c>
      <c r="F37" s="16" t="s">
        <v>479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 t="shared" si="10"/>
        <v>0</v>
      </c>
      <c r="W37" s="16" t="e">
        <f t="shared" si="11"/>
        <v>#DIV/0!</v>
      </c>
      <c r="X37" s="16" t="e">
        <f t="shared" si="12"/>
        <v>#DIV/0!</v>
      </c>
      <c r="Y37" s="16" t="e">
        <f t="shared" si="13"/>
        <v>#DIV/0!</v>
      </c>
      <c r="Z37" s="16" t="e">
        <f t="shared" si="14"/>
        <v>#DIV/0!</v>
      </c>
      <c r="AA37" s="16" t="e">
        <f>$K37/$H37</f>
        <v>#DIV/0!</v>
      </c>
      <c r="AB37" s="16">
        <f t="shared" si="15"/>
        <v>0</v>
      </c>
    </row>
    <row r="38" spans="1:28" x14ac:dyDescent="0.2">
      <c r="A38" s="15" t="s">
        <v>524</v>
      </c>
      <c r="B38" s="15" t="s">
        <v>38</v>
      </c>
      <c r="C38" s="15">
        <v>25</v>
      </c>
      <c r="D38" s="15">
        <v>3</v>
      </c>
      <c r="E38" s="15" t="s">
        <v>153</v>
      </c>
      <c r="F38" s="15" t="s">
        <v>479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 t="shared" si="10"/>
        <v>0</v>
      </c>
      <c r="W38" s="15" t="e">
        <f t="shared" si="11"/>
        <v>#DIV/0!</v>
      </c>
      <c r="X38" s="15" t="e">
        <f t="shared" si="12"/>
        <v>#DIV/0!</v>
      </c>
      <c r="Y38" s="15" t="e">
        <f t="shared" si="13"/>
        <v>#DIV/0!</v>
      </c>
      <c r="Z38" s="15" t="e">
        <f t="shared" si="14"/>
        <v>#DIV/0!</v>
      </c>
      <c r="AA38" s="15" t="e">
        <f>$K38/$H38</f>
        <v>#DIV/0!</v>
      </c>
      <c r="AB38" s="15">
        <f t="shared" si="15"/>
        <v>0</v>
      </c>
    </row>
    <row r="39" spans="1:28" x14ac:dyDescent="0.2">
      <c r="A39" s="16" t="s">
        <v>525</v>
      </c>
      <c r="B39" s="16" t="s">
        <v>38</v>
      </c>
      <c r="C39" s="16">
        <v>25</v>
      </c>
      <c r="D39" s="16">
        <v>0</v>
      </c>
      <c r="E39" s="16" t="s">
        <v>526</v>
      </c>
      <c r="F39" s="16" t="s">
        <v>479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 t="shared" si="10"/>
        <v>0</v>
      </c>
      <c r="W39" s="16" t="e">
        <f t="shared" si="11"/>
        <v>#DIV/0!</v>
      </c>
      <c r="X39" s="16" t="e">
        <f t="shared" si="12"/>
        <v>#DIV/0!</v>
      </c>
      <c r="Y39" s="16" t="e">
        <f t="shared" si="13"/>
        <v>#DIV/0!</v>
      </c>
      <c r="Z39" s="16" t="e">
        <f t="shared" si="14"/>
        <v>#DIV/0!</v>
      </c>
      <c r="AA39" s="16" t="e">
        <f>$K39/$H39</f>
        <v>#DIV/0!</v>
      </c>
      <c r="AB39" s="16">
        <f t="shared" si="15"/>
        <v>0</v>
      </c>
    </row>
    <row r="40" spans="1:28" x14ac:dyDescent="0.2">
      <c r="A40" s="15" t="s">
        <v>527</v>
      </c>
      <c r="B40" s="15" t="s">
        <v>38</v>
      </c>
      <c r="C40" s="15">
        <v>23</v>
      </c>
      <c r="D40" s="15">
        <v>1</v>
      </c>
      <c r="E40" s="15" t="s">
        <v>523</v>
      </c>
      <c r="F40" s="15" t="s">
        <v>479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 t="shared" si="10"/>
        <v>0</v>
      </c>
      <c r="W40" s="15" t="e">
        <f t="shared" si="11"/>
        <v>#DIV/0!</v>
      </c>
      <c r="X40" s="15" t="e">
        <f t="shared" si="12"/>
        <v>#DIV/0!</v>
      </c>
      <c r="Y40" s="15" t="e">
        <f t="shared" si="13"/>
        <v>#DIV/0!</v>
      </c>
      <c r="Z40" s="15" t="e">
        <f t="shared" si="14"/>
        <v>#DIV/0!</v>
      </c>
      <c r="AA40" s="15" t="e">
        <f>$K40/$H40</f>
        <v>#DIV/0!</v>
      </c>
      <c r="AB40" s="15">
        <f t="shared" si="15"/>
        <v>0</v>
      </c>
    </row>
    <row r="41" spans="1:28" x14ac:dyDescent="0.2">
      <c r="A41" s="16" t="s">
        <v>577</v>
      </c>
      <c r="B41" s="16" t="s">
        <v>38</v>
      </c>
      <c r="C41" s="16">
        <v>24</v>
      </c>
      <c r="D41" s="16">
        <v>0</v>
      </c>
      <c r="E41" s="16" t="s">
        <v>143</v>
      </c>
      <c r="F41" s="16" t="s">
        <v>530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 t="shared" si="10"/>
        <v>0</v>
      </c>
      <c r="W41" s="16" t="e">
        <f t="shared" si="11"/>
        <v>#DIV/0!</v>
      </c>
      <c r="X41" s="16" t="e">
        <f t="shared" si="12"/>
        <v>#DIV/0!</v>
      </c>
      <c r="Y41" s="16" t="e">
        <f t="shared" si="13"/>
        <v>#DIV/0!</v>
      </c>
      <c r="Z41" s="16" t="e">
        <f t="shared" si="14"/>
        <v>#DIV/0!</v>
      </c>
      <c r="AA41" s="16" t="e">
        <f>$K41/$H41</f>
        <v>#DIV/0!</v>
      </c>
      <c r="AB41" s="16">
        <f t="shared" si="15"/>
        <v>0</v>
      </c>
    </row>
    <row r="42" spans="1:28" x14ac:dyDescent="0.2">
      <c r="A42" s="15" t="s">
        <v>578</v>
      </c>
      <c r="B42" s="15" t="s">
        <v>38</v>
      </c>
      <c r="C42" s="15">
        <v>24</v>
      </c>
      <c r="D42" s="15">
        <v>2</v>
      </c>
      <c r="E42" s="15" t="s">
        <v>72</v>
      </c>
      <c r="F42" s="15" t="s">
        <v>530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 t="shared" si="10"/>
        <v>0</v>
      </c>
      <c r="W42" s="15" t="e">
        <f t="shared" si="11"/>
        <v>#DIV/0!</v>
      </c>
      <c r="X42" s="15" t="e">
        <f t="shared" si="12"/>
        <v>#DIV/0!</v>
      </c>
      <c r="Y42" s="15" t="e">
        <f t="shared" si="13"/>
        <v>#DIV/0!</v>
      </c>
      <c r="Z42" s="15" t="e">
        <f t="shared" si="14"/>
        <v>#DIV/0!</v>
      </c>
      <c r="AA42" s="15" t="e">
        <f>$K42/$H42</f>
        <v>#DIV/0!</v>
      </c>
      <c r="AB42" s="15">
        <f t="shared" si="15"/>
        <v>0</v>
      </c>
    </row>
    <row r="43" spans="1:28" x14ac:dyDescent="0.2">
      <c r="A43" s="16" t="s">
        <v>579</v>
      </c>
      <c r="B43" s="16" t="s">
        <v>38</v>
      </c>
      <c r="C43" s="16">
        <v>25</v>
      </c>
      <c r="D43" s="16">
        <v>1</v>
      </c>
      <c r="E43" s="16" t="s">
        <v>70</v>
      </c>
      <c r="F43" s="16" t="s">
        <v>530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 t="shared" si="10"/>
        <v>0</v>
      </c>
      <c r="W43" s="16" t="e">
        <f t="shared" si="11"/>
        <v>#DIV/0!</v>
      </c>
      <c r="X43" s="16" t="e">
        <f t="shared" si="12"/>
        <v>#DIV/0!</v>
      </c>
      <c r="Y43" s="16" t="e">
        <f t="shared" si="13"/>
        <v>#DIV/0!</v>
      </c>
      <c r="Z43" s="16" t="e">
        <f t="shared" si="14"/>
        <v>#DIV/0!</v>
      </c>
      <c r="AA43" s="16" t="e">
        <f>$K43/$H43</f>
        <v>#DIV/0!</v>
      </c>
      <c r="AB43" s="16">
        <f t="shared" si="15"/>
        <v>0</v>
      </c>
    </row>
    <row r="44" spans="1:28" x14ac:dyDescent="0.2">
      <c r="A44" s="15" t="s">
        <v>580</v>
      </c>
      <c r="B44" s="15" t="s">
        <v>38</v>
      </c>
      <c r="C44" s="15">
        <v>24</v>
      </c>
      <c r="D44" s="15">
        <v>2</v>
      </c>
      <c r="E44" s="15" t="s">
        <v>360</v>
      </c>
      <c r="F44" s="15" t="s">
        <v>530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 t="shared" si="10"/>
        <v>0</v>
      </c>
      <c r="W44" s="15" t="e">
        <f t="shared" si="11"/>
        <v>#DIV/0!</v>
      </c>
      <c r="X44" s="15" t="e">
        <f t="shared" si="12"/>
        <v>#DIV/0!</v>
      </c>
      <c r="Y44" s="15" t="e">
        <f t="shared" si="13"/>
        <v>#DIV/0!</v>
      </c>
      <c r="Z44" s="15" t="e">
        <f t="shared" si="14"/>
        <v>#DIV/0!</v>
      </c>
      <c r="AA44" s="15" t="e">
        <f>$K44/$H44</f>
        <v>#DIV/0!</v>
      </c>
      <c r="AB44" s="15">
        <f t="shared" si="15"/>
        <v>0</v>
      </c>
    </row>
    <row r="45" spans="1:28" x14ac:dyDescent="0.2">
      <c r="A45" s="16" t="s">
        <v>581</v>
      </c>
      <c r="B45" s="16" t="s">
        <v>38</v>
      </c>
      <c r="C45" s="16">
        <v>25</v>
      </c>
      <c r="D45" s="16">
        <v>4</v>
      </c>
      <c r="E45" s="16" t="s">
        <v>105</v>
      </c>
      <c r="F45" s="16" t="s">
        <v>530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 t="shared" si="10"/>
        <v>0</v>
      </c>
      <c r="W45" s="16" t="e">
        <f t="shared" si="11"/>
        <v>#DIV/0!</v>
      </c>
      <c r="X45" s="16" t="e">
        <f t="shared" si="12"/>
        <v>#DIV/0!</v>
      </c>
      <c r="Y45" s="16" t="e">
        <f t="shared" si="13"/>
        <v>#DIV/0!</v>
      </c>
      <c r="Z45" s="16" t="e">
        <f t="shared" si="14"/>
        <v>#DIV/0!</v>
      </c>
      <c r="AA45" s="16" t="e">
        <f>$K45/$H45</f>
        <v>#DIV/0!</v>
      </c>
      <c r="AB45" s="16">
        <f t="shared" si="15"/>
        <v>0</v>
      </c>
    </row>
    <row r="46" spans="1:28" x14ac:dyDescent="0.2">
      <c r="A46" s="15" t="s">
        <v>638</v>
      </c>
      <c r="B46" s="15" t="s">
        <v>38</v>
      </c>
      <c r="C46" s="15">
        <v>24</v>
      </c>
      <c r="D46" s="15">
        <v>0</v>
      </c>
      <c r="E46" s="15" t="s">
        <v>341</v>
      </c>
      <c r="F46" s="15" t="s">
        <v>584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 t="shared" si="10"/>
        <v>0</v>
      </c>
      <c r="W46" s="15" t="e">
        <f t="shared" si="11"/>
        <v>#DIV/0!</v>
      </c>
      <c r="X46" s="15" t="e">
        <f t="shared" si="12"/>
        <v>#DIV/0!</v>
      </c>
      <c r="Y46" s="15" t="e">
        <f t="shared" si="13"/>
        <v>#DIV/0!</v>
      </c>
      <c r="Z46" s="15" t="e">
        <f t="shared" si="14"/>
        <v>#DIV/0!</v>
      </c>
      <c r="AA46" s="15" t="e">
        <f t="shared" ref="AA46:AA51" si="16">$K46/$H46</f>
        <v>#DIV/0!</v>
      </c>
      <c r="AB46" s="15">
        <f t="shared" si="15"/>
        <v>0</v>
      </c>
    </row>
    <row r="47" spans="1:28" x14ac:dyDescent="0.2">
      <c r="A47" s="16" t="s">
        <v>639</v>
      </c>
      <c r="B47" s="16" t="s">
        <v>38</v>
      </c>
      <c r="C47" s="16">
        <v>23</v>
      </c>
      <c r="D47" s="16">
        <v>2</v>
      </c>
      <c r="E47" s="16" t="s">
        <v>418</v>
      </c>
      <c r="F47" s="16" t="s">
        <v>584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 t="shared" si="10"/>
        <v>0</v>
      </c>
      <c r="W47" s="16" t="e">
        <f t="shared" si="11"/>
        <v>#DIV/0!</v>
      </c>
      <c r="X47" s="16" t="e">
        <f t="shared" si="12"/>
        <v>#DIV/0!</v>
      </c>
      <c r="Y47" s="16" t="e">
        <f t="shared" si="13"/>
        <v>#DIV/0!</v>
      </c>
      <c r="Z47" s="16" t="e">
        <f t="shared" si="14"/>
        <v>#DIV/0!</v>
      </c>
      <c r="AA47" s="16" t="e">
        <f t="shared" si="16"/>
        <v>#DIV/0!</v>
      </c>
      <c r="AB47" s="16">
        <f t="shared" si="15"/>
        <v>0</v>
      </c>
    </row>
    <row r="48" spans="1:28" x14ac:dyDescent="0.2">
      <c r="A48" s="15" t="s">
        <v>640</v>
      </c>
      <c r="B48" s="15" t="s">
        <v>38</v>
      </c>
      <c r="C48" s="15">
        <v>26</v>
      </c>
      <c r="D48" s="15">
        <v>2</v>
      </c>
      <c r="E48" s="15" t="s">
        <v>155</v>
      </c>
      <c r="F48" s="15" t="s">
        <v>584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 t="shared" si="10"/>
        <v>0</v>
      </c>
      <c r="W48" s="15" t="e">
        <f t="shared" si="11"/>
        <v>#DIV/0!</v>
      </c>
      <c r="X48" s="15" t="e">
        <f t="shared" si="12"/>
        <v>#DIV/0!</v>
      </c>
      <c r="Y48" s="15" t="e">
        <f t="shared" si="13"/>
        <v>#DIV/0!</v>
      </c>
      <c r="Z48" s="15" t="e">
        <f t="shared" si="14"/>
        <v>#DIV/0!</v>
      </c>
      <c r="AA48" s="15" t="e">
        <f t="shared" si="16"/>
        <v>#DIV/0!</v>
      </c>
      <c r="AB48" s="15">
        <f t="shared" si="15"/>
        <v>0</v>
      </c>
    </row>
    <row r="49" spans="1:28" x14ac:dyDescent="0.2">
      <c r="A49" s="16" t="s">
        <v>641</v>
      </c>
      <c r="B49" s="16" t="s">
        <v>38</v>
      </c>
      <c r="C49" s="16">
        <v>31</v>
      </c>
      <c r="D49" s="16">
        <v>8</v>
      </c>
      <c r="E49" s="16" t="s">
        <v>642</v>
      </c>
      <c r="F49" s="16" t="s">
        <v>584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 t="shared" si="10"/>
        <v>0</v>
      </c>
      <c r="W49" s="16" t="e">
        <f t="shared" si="11"/>
        <v>#DIV/0!</v>
      </c>
      <c r="X49" s="16" t="e">
        <f t="shared" si="12"/>
        <v>#DIV/0!</v>
      </c>
      <c r="Y49" s="16" t="e">
        <f t="shared" si="13"/>
        <v>#DIV/0!</v>
      </c>
      <c r="Z49" s="16" t="e">
        <f t="shared" si="14"/>
        <v>#DIV/0!</v>
      </c>
      <c r="AA49" s="16" t="e">
        <f t="shared" si="16"/>
        <v>#DIV/0!</v>
      </c>
      <c r="AB49" s="16">
        <f t="shared" si="15"/>
        <v>0</v>
      </c>
    </row>
    <row r="50" spans="1:28" x14ac:dyDescent="0.2">
      <c r="A50" s="15" t="s">
        <v>643</v>
      </c>
      <c r="B50" s="15" t="s">
        <v>38</v>
      </c>
      <c r="C50" s="15">
        <v>25</v>
      </c>
      <c r="D50" s="15">
        <v>4</v>
      </c>
      <c r="E50" s="15" t="s">
        <v>613</v>
      </c>
      <c r="F50" s="15" t="s">
        <v>584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 t="shared" si="10"/>
        <v>0</v>
      </c>
      <c r="W50" s="15" t="e">
        <f t="shared" si="11"/>
        <v>#DIV/0!</v>
      </c>
      <c r="X50" s="15" t="e">
        <f t="shared" si="12"/>
        <v>#DIV/0!</v>
      </c>
      <c r="Y50" s="15" t="e">
        <f t="shared" si="13"/>
        <v>#DIV/0!</v>
      </c>
      <c r="Z50" s="15" t="e">
        <f t="shared" si="14"/>
        <v>#DIV/0!</v>
      </c>
      <c r="AA50" s="15" t="e">
        <f t="shared" si="16"/>
        <v>#DIV/0!</v>
      </c>
      <c r="AB50" s="15">
        <f t="shared" si="15"/>
        <v>0</v>
      </c>
    </row>
    <row r="51" spans="1:28" x14ac:dyDescent="0.2">
      <c r="A51" s="16" t="s">
        <v>695</v>
      </c>
      <c r="B51" s="16" t="s">
        <v>38</v>
      </c>
      <c r="C51" s="16">
        <v>28</v>
      </c>
      <c r="D51" s="16">
        <v>6</v>
      </c>
      <c r="E51" s="16" t="s">
        <v>86</v>
      </c>
      <c r="F51" s="16" t="s">
        <v>647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 t="shared" si="10"/>
        <v>0</v>
      </c>
      <c r="W51" s="16" t="e">
        <f t="shared" si="11"/>
        <v>#DIV/0!</v>
      </c>
      <c r="X51" s="16" t="e">
        <f t="shared" si="12"/>
        <v>#DIV/0!</v>
      </c>
      <c r="Y51" s="16" t="e">
        <f t="shared" si="13"/>
        <v>#DIV/0!</v>
      </c>
      <c r="Z51" s="16" t="e">
        <f t="shared" si="14"/>
        <v>#DIV/0!</v>
      </c>
      <c r="AA51" s="16" t="e">
        <f>$K51/$H51</f>
        <v>#DIV/0!</v>
      </c>
      <c r="AB51" s="16">
        <f t="shared" si="15"/>
        <v>0</v>
      </c>
    </row>
    <row r="52" spans="1:28" x14ac:dyDescent="0.2">
      <c r="A52" s="15" t="s">
        <v>696</v>
      </c>
      <c r="B52" s="15" t="s">
        <v>38</v>
      </c>
      <c r="C52" s="15">
        <v>28</v>
      </c>
      <c r="D52" s="15">
        <v>3</v>
      </c>
      <c r="E52" s="15" t="s">
        <v>697</v>
      </c>
      <c r="F52" s="15" t="s">
        <v>647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 t="shared" si="10"/>
        <v>0</v>
      </c>
      <c r="W52" s="15" t="e">
        <f t="shared" si="11"/>
        <v>#DIV/0!</v>
      </c>
      <c r="X52" s="15" t="e">
        <f t="shared" si="12"/>
        <v>#DIV/0!</v>
      </c>
      <c r="Y52" s="15" t="e">
        <f t="shared" si="13"/>
        <v>#DIV/0!</v>
      </c>
      <c r="Z52" s="15" t="e">
        <f t="shared" si="14"/>
        <v>#DIV/0!</v>
      </c>
      <c r="AA52" s="15" t="e">
        <f>$K52/$H52</f>
        <v>#DIV/0!</v>
      </c>
      <c r="AB52" s="15">
        <f t="shared" si="15"/>
        <v>0</v>
      </c>
    </row>
    <row r="53" spans="1:28" x14ac:dyDescent="0.2">
      <c r="A53" s="16" t="s">
        <v>698</v>
      </c>
      <c r="B53" s="16" t="s">
        <v>38</v>
      </c>
      <c r="C53" s="16">
        <v>22</v>
      </c>
      <c r="D53" s="16">
        <v>0</v>
      </c>
      <c r="E53" s="16" t="s">
        <v>100</v>
      </c>
      <c r="F53" s="16" t="s">
        <v>647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 t="shared" si="10"/>
        <v>0</v>
      </c>
      <c r="W53" s="16" t="e">
        <f t="shared" si="11"/>
        <v>#DIV/0!</v>
      </c>
      <c r="X53" s="16" t="e">
        <f t="shared" si="12"/>
        <v>#DIV/0!</v>
      </c>
      <c r="Y53" s="16" t="e">
        <f t="shared" si="13"/>
        <v>#DIV/0!</v>
      </c>
      <c r="Z53" s="16" t="e">
        <f t="shared" si="14"/>
        <v>#DIV/0!</v>
      </c>
      <c r="AA53" s="16" t="e">
        <f>$K53/$H53</f>
        <v>#DIV/0!</v>
      </c>
      <c r="AB53" s="16">
        <f t="shared" si="15"/>
        <v>0</v>
      </c>
    </row>
    <row r="54" spans="1:28" x14ac:dyDescent="0.2">
      <c r="A54" s="15" t="s">
        <v>699</v>
      </c>
      <c r="B54" s="15" t="s">
        <v>38</v>
      </c>
      <c r="C54" s="15">
        <v>24</v>
      </c>
      <c r="D54" s="15">
        <v>2</v>
      </c>
      <c r="E54" s="15" t="s">
        <v>333</v>
      </c>
      <c r="F54" s="15" t="s">
        <v>647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 t="shared" si="10"/>
        <v>0</v>
      </c>
      <c r="W54" s="15" t="e">
        <f t="shared" si="11"/>
        <v>#DIV/0!</v>
      </c>
      <c r="X54" s="15" t="e">
        <f t="shared" si="12"/>
        <v>#DIV/0!</v>
      </c>
      <c r="Y54" s="15" t="e">
        <f t="shared" si="13"/>
        <v>#DIV/0!</v>
      </c>
      <c r="Z54" s="15" t="e">
        <f t="shared" si="14"/>
        <v>#DIV/0!</v>
      </c>
      <c r="AA54" s="15" t="e">
        <f>$K54/$H54</f>
        <v>#DIV/0!</v>
      </c>
      <c r="AB54" s="15">
        <f t="shared" si="15"/>
        <v>0</v>
      </c>
    </row>
    <row r="55" spans="1:28" x14ac:dyDescent="0.2">
      <c r="A55" s="16" t="s">
        <v>700</v>
      </c>
      <c r="B55" s="16" t="s">
        <v>38</v>
      </c>
      <c r="C55" s="16">
        <v>24</v>
      </c>
      <c r="D55" s="16">
        <v>3</v>
      </c>
      <c r="E55" s="16" t="s">
        <v>362</v>
      </c>
      <c r="F55" s="16" t="s">
        <v>647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 t="shared" si="10"/>
        <v>0</v>
      </c>
      <c r="W55" s="16" t="e">
        <f t="shared" si="11"/>
        <v>#DIV/0!</v>
      </c>
      <c r="X55" s="16" t="e">
        <f t="shared" si="12"/>
        <v>#DIV/0!</v>
      </c>
      <c r="Y55" s="16" t="e">
        <f t="shared" si="13"/>
        <v>#DIV/0!</v>
      </c>
      <c r="Z55" s="16" t="e">
        <f t="shared" si="14"/>
        <v>#DIV/0!</v>
      </c>
      <c r="AA55" s="16" t="e">
        <f>$K55/$H55</f>
        <v>#DIV/0!</v>
      </c>
      <c r="AB55" s="16">
        <f t="shared" si="15"/>
        <v>0</v>
      </c>
    </row>
    <row r="56" spans="1:28" x14ac:dyDescent="0.2">
      <c r="A56" s="15" t="s">
        <v>749</v>
      </c>
      <c r="B56" s="15" t="s">
        <v>38</v>
      </c>
      <c r="C56" s="15">
        <v>24</v>
      </c>
      <c r="D56" s="15">
        <v>1</v>
      </c>
      <c r="E56" s="15" t="s">
        <v>248</v>
      </c>
      <c r="F56" s="15" t="s">
        <v>704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>($J56*0.04)+($K56*4)+($L56*-2)+($N56*0.1)+($O56*6)+($Q56)+($R56*0.1)+($S56*6)+($T56*-2)</f>
        <v>0</v>
      </c>
      <c r="W56" s="15" t="e">
        <f>$P56/$H$33</f>
        <v>#DIV/0!</v>
      </c>
      <c r="X56" s="15" t="e">
        <f>$N56/$M56</f>
        <v>#DIV/0!</v>
      </c>
      <c r="Y56" s="15" t="e">
        <f>$R56/$Q56</f>
        <v>#DIV/0!</v>
      </c>
      <c r="Z56" s="15" t="e">
        <f>$I56/$H56</f>
        <v>#DIV/0!</v>
      </c>
      <c r="AA56" s="15" t="e">
        <f>$K56/$H56</f>
        <v>#DIV/0!</v>
      </c>
      <c r="AB56" s="15">
        <f>($J56*Cp_yd)+($K56*Cp_td)+($L56*Cint)+($M56*Ccar)+($N56*Cr_yd)+($O56*Cr_td)+(Q56*Crec)+($R56*Crec_yd)+($S56*Crec_td)+($T56*Cfmb)+($U56*Ctp_c)</f>
        <v>0</v>
      </c>
    </row>
    <row r="57" spans="1:28" x14ac:dyDescent="0.2">
      <c r="A57" s="16" t="s">
        <v>750</v>
      </c>
      <c r="B57" s="16" t="s">
        <v>38</v>
      </c>
      <c r="C57" s="16">
        <v>26</v>
      </c>
      <c r="D57" s="16">
        <v>4</v>
      </c>
      <c r="E57" s="16" t="s">
        <v>455</v>
      </c>
      <c r="F57" s="16" t="s">
        <v>704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>($J57*0.04)+($K57*4)+($L57*-2)+($N57*0.1)+($O57*6)+($Q57)+($R57*0.1)+($S57*6)+($T57*-2)</f>
        <v>0</v>
      </c>
      <c r="W57" s="16" t="e">
        <f>$P57/$H$33</f>
        <v>#DIV/0!</v>
      </c>
      <c r="X57" s="16" t="e">
        <f>$N57/$M57</f>
        <v>#DIV/0!</v>
      </c>
      <c r="Y57" s="16" t="e">
        <f>$R57/$Q57</f>
        <v>#DIV/0!</v>
      </c>
      <c r="Z57" s="16" t="e">
        <f>$I57/$H57</f>
        <v>#DIV/0!</v>
      </c>
      <c r="AA57" s="16" t="e">
        <f>$K57/$H57</f>
        <v>#DIV/0!</v>
      </c>
      <c r="AB57" s="16">
        <f>($J57*Cp_yd)+($K57*Cp_td)+($L57*Cint)+($M57*Ccar)+($N57*Cr_yd)+($O57*Cr_td)+(Q57*Crec)+($R57*Crec_yd)+($S57*Crec_td)+($T57*Cfmb)+($U57*Ctp_c)</f>
        <v>0</v>
      </c>
    </row>
    <row r="58" spans="1:28" x14ac:dyDescent="0.2">
      <c r="A58" s="15" t="s">
        <v>751</v>
      </c>
      <c r="B58" s="15" t="s">
        <v>38</v>
      </c>
      <c r="C58" s="15">
        <v>26</v>
      </c>
      <c r="D58" s="15">
        <v>4</v>
      </c>
      <c r="E58" s="15" t="s">
        <v>136</v>
      </c>
      <c r="F58" s="15" t="s">
        <v>704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>($J58*0.04)+($K58*4)+($L58*-2)+($N58*0.1)+($O58*6)+($Q58)+($R58*0.1)+($S58*6)+($T58*-2)</f>
        <v>0</v>
      </c>
      <c r="W58" s="15" t="e">
        <f>$P58/$H$33</f>
        <v>#DIV/0!</v>
      </c>
      <c r="X58" s="15" t="e">
        <f>$N58/$M58</f>
        <v>#DIV/0!</v>
      </c>
      <c r="Y58" s="15" t="e">
        <f>$R58/$Q58</f>
        <v>#DIV/0!</v>
      </c>
      <c r="Z58" s="15" t="e">
        <f>$I58/$H58</f>
        <v>#DIV/0!</v>
      </c>
      <c r="AA58" s="15" t="e">
        <f>$K58/$H58</f>
        <v>#DIV/0!</v>
      </c>
      <c r="AB58" s="15">
        <f>($J58*Cp_yd)+($K58*Cp_td)+($L58*Cint)+($M58*Ccar)+($N58*Cr_yd)+($O58*Cr_td)+(Q58*Crec)+($R58*Crec_yd)+($S58*Crec_td)+($T58*Cfmb)+($U58*Ctp_c)</f>
        <v>0</v>
      </c>
    </row>
    <row r="59" spans="1:28" x14ac:dyDescent="0.2">
      <c r="A59" s="16" t="s">
        <v>752</v>
      </c>
      <c r="B59" s="16" t="s">
        <v>38</v>
      </c>
      <c r="C59" s="16">
        <v>22</v>
      </c>
      <c r="D59" s="16">
        <v>0</v>
      </c>
      <c r="E59" s="16" t="s">
        <v>753</v>
      </c>
      <c r="F59" s="16" t="s">
        <v>704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>($J59*0.04)+($K59*4)+($L59*-2)+($N59*0.1)+($O59*6)+($Q59)+($R59*0.1)+($S59*6)+($T59*-2)</f>
        <v>0</v>
      </c>
      <c r="W59" s="16" t="e">
        <f>$P59/$H$33</f>
        <v>#DIV/0!</v>
      </c>
      <c r="X59" s="16" t="e">
        <f>$N59/$M59</f>
        <v>#DIV/0!</v>
      </c>
      <c r="Y59" s="16" t="e">
        <f>$R59/$Q59</f>
        <v>#DIV/0!</v>
      </c>
      <c r="Z59" s="16" t="e">
        <f>$I59/$H59</f>
        <v>#DIV/0!</v>
      </c>
      <c r="AA59" s="16" t="e">
        <f>$K59/$H59</f>
        <v>#DIV/0!</v>
      </c>
      <c r="AB59" s="16">
        <f>($J59*Cp_yd)+($K59*Cp_td)+($L59*Cint)+($M59*Ccar)+($N59*Cr_yd)+($O59*Cr_td)+(Q59*Crec)+($R59*Crec_yd)+($S59*Crec_td)+($T59*Cfmb)+($U59*Ctp_c)</f>
        <v>0</v>
      </c>
    </row>
    <row r="60" spans="1:28" x14ac:dyDescent="0.2">
      <c r="A60" s="15" t="s">
        <v>800</v>
      </c>
      <c r="B60" s="15" t="s">
        <v>38</v>
      </c>
      <c r="C60" s="15">
        <v>23</v>
      </c>
      <c r="D60" s="15">
        <v>3</v>
      </c>
      <c r="E60" s="15" t="s">
        <v>397</v>
      </c>
      <c r="F60" s="15" t="s">
        <v>756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 t="shared" ref="V60:V123" si="17">($J60*0.04)+($K60*4)+($L60*-2)+($N60*0.1)+($O60*6)+($Q60)+($R60*0.1)+($S60*6)+($T60*-2)</f>
        <v>0</v>
      </c>
      <c r="W60" s="15" t="e">
        <f t="shared" ref="W60:W123" si="18">$P60/$H$33</f>
        <v>#DIV/0!</v>
      </c>
      <c r="X60" s="15" t="e">
        <f t="shared" ref="X60:X123" si="19">$N60/$M60</f>
        <v>#DIV/0!</v>
      </c>
      <c r="Y60" s="15" t="e">
        <f t="shared" ref="Y60:Y123" si="20">$R60/$Q60</f>
        <v>#DIV/0!</v>
      </c>
      <c r="Z60" s="15" t="e">
        <f t="shared" ref="Z60:Z123" si="21">$I60/$H60</f>
        <v>#DIV/0!</v>
      </c>
      <c r="AA60" s="15" t="e">
        <f>$K60/$H60</f>
        <v>#DIV/0!</v>
      </c>
      <c r="AB60" s="15">
        <f t="shared" ref="AB60:AB123" si="22">($J60*Cp_yd)+($K60*Cp_td)+($L60*Cint)+($M60*Ccar)+($N60*Cr_yd)+($O60*Cr_td)+(Q60*Crec)+($R60*Crec_yd)+($S60*Crec_td)+($T60*Cfmb)+($U60*Ctp_c)</f>
        <v>0</v>
      </c>
    </row>
    <row r="61" spans="1:28" x14ac:dyDescent="0.2">
      <c r="A61" s="16" t="s">
        <v>801</v>
      </c>
      <c r="B61" s="16" t="s">
        <v>38</v>
      </c>
      <c r="C61" s="16">
        <v>24</v>
      </c>
      <c r="D61" s="16">
        <v>2</v>
      </c>
      <c r="E61" s="16" t="s">
        <v>333</v>
      </c>
      <c r="F61" s="16" t="s">
        <v>756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 t="shared" si="17"/>
        <v>0</v>
      </c>
      <c r="W61" s="16" t="e">
        <f t="shared" si="18"/>
        <v>#DIV/0!</v>
      </c>
      <c r="X61" s="16" t="e">
        <f t="shared" si="19"/>
        <v>#DIV/0!</v>
      </c>
      <c r="Y61" s="16" t="e">
        <f t="shared" si="20"/>
        <v>#DIV/0!</v>
      </c>
      <c r="Z61" s="16" t="e">
        <f t="shared" si="21"/>
        <v>#DIV/0!</v>
      </c>
      <c r="AA61" s="16" t="e">
        <f>$K61/$H61</f>
        <v>#DIV/0!</v>
      </c>
      <c r="AB61" s="16">
        <f t="shared" si="22"/>
        <v>0</v>
      </c>
    </row>
    <row r="62" spans="1:28" x14ac:dyDescent="0.2">
      <c r="A62" s="15" t="s">
        <v>802</v>
      </c>
      <c r="B62" s="15" t="s">
        <v>38</v>
      </c>
      <c r="C62" s="15">
        <v>23</v>
      </c>
      <c r="D62" s="15">
        <v>0</v>
      </c>
      <c r="E62" s="15" t="s">
        <v>803</v>
      </c>
      <c r="F62" s="15" t="s">
        <v>756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 t="shared" si="17"/>
        <v>0</v>
      </c>
      <c r="W62" s="15" t="e">
        <f t="shared" si="18"/>
        <v>#DIV/0!</v>
      </c>
      <c r="X62" s="15" t="e">
        <f t="shared" si="19"/>
        <v>#DIV/0!</v>
      </c>
      <c r="Y62" s="15" t="e">
        <f t="shared" si="20"/>
        <v>#DIV/0!</v>
      </c>
      <c r="Z62" s="15" t="e">
        <f t="shared" si="21"/>
        <v>#DIV/0!</v>
      </c>
      <c r="AA62" s="15" t="e">
        <f>$K62/$H62</f>
        <v>#DIV/0!</v>
      </c>
      <c r="AB62" s="15">
        <f t="shared" si="22"/>
        <v>0</v>
      </c>
    </row>
    <row r="63" spans="1:28" x14ac:dyDescent="0.2">
      <c r="A63" s="16" t="s">
        <v>804</v>
      </c>
      <c r="B63" s="16" t="s">
        <v>38</v>
      </c>
      <c r="C63" s="16">
        <v>23</v>
      </c>
      <c r="D63" s="16">
        <v>2</v>
      </c>
      <c r="E63" s="16" t="s">
        <v>111</v>
      </c>
      <c r="F63" s="16" t="s">
        <v>756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 t="shared" si="17"/>
        <v>0</v>
      </c>
      <c r="W63" s="16" t="e">
        <f t="shared" si="18"/>
        <v>#DIV/0!</v>
      </c>
      <c r="X63" s="16" t="e">
        <f t="shared" si="19"/>
        <v>#DIV/0!</v>
      </c>
      <c r="Y63" s="16" t="e">
        <f t="shared" si="20"/>
        <v>#DIV/0!</v>
      </c>
      <c r="Z63" s="16" t="e">
        <f t="shared" si="21"/>
        <v>#DIV/0!</v>
      </c>
      <c r="AA63" s="16" t="e">
        <f>$K63/$H63</f>
        <v>#DIV/0!</v>
      </c>
      <c r="AB63" s="16">
        <f t="shared" si="22"/>
        <v>0</v>
      </c>
    </row>
    <row r="64" spans="1:28" x14ac:dyDescent="0.2">
      <c r="A64" s="15" t="s">
        <v>805</v>
      </c>
      <c r="B64" s="15" t="s">
        <v>38</v>
      </c>
      <c r="C64" s="15">
        <v>29</v>
      </c>
      <c r="D64" s="15">
        <v>4</v>
      </c>
      <c r="E64" s="15" t="s">
        <v>806</v>
      </c>
      <c r="F64" s="15" t="s">
        <v>756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 t="shared" si="17"/>
        <v>0</v>
      </c>
      <c r="W64" s="15" t="e">
        <f t="shared" si="18"/>
        <v>#DIV/0!</v>
      </c>
      <c r="X64" s="15" t="e">
        <f t="shared" si="19"/>
        <v>#DIV/0!</v>
      </c>
      <c r="Y64" s="15" t="e">
        <f t="shared" si="20"/>
        <v>#DIV/0!</v>
      </c>
      <c r="Z64" s="15" t="e">
        <f t="shared" si="21"/>
        <v>#DIV/0!</v>
      </c>
      <c r="AA64" s="15" t="e">
        <f>$K64/$H64</f>
        <v>#DIV/0!</v>
      </c>
      <c r="AB64" s="15">
        <f t="shared" si="22"/>
        <v>0</v>
      </c>
    </row>
    <row r="65" spans="1:28" x14ac:dyDescent="0.2">
      <c r="A65" s="16" t="s">
        <v>807</v>
      </c>
      <c r="B65" s="16" t="s">
        <v>38</v>
      </c>
      <c r="C65" s="16">
        <v>27</v>
      </c>
      <c r="D65" s="16">
        <v>6</v>
      </c>
      <c r="E65" s="16" t="s">
        <v>102</v>
      </c>
      <c r="F65" s="16" t="s">
        <v>756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 t="shared" si="17"/>
        <v>0</v>
      </c>
      <c r="W65" s="16" t="e">
        <f t="shared" si="18"/>
        <v>#DIV/0!</v>
      </c>
      <c r="X65" s="16" t="e">
        <f t="shared" si="19"/>
        <v>#DIV/0!</v>
      </c>
      <c r="Y65" s="16" t="e">
        <f t="shared" si="20"/>
        <v>#DIV/0!</v>
      </c>
      <c r="Z65" s="16" t="e">
        <f t="shared" si="21"/>
        <v>#DIV/0!</v>
      </c>
      <c r="AA65" s="16" t="e">
        <f>$K65/$H65</f>
        <v>#DIV/0!</v>
      </c>
      <c r="AB65" s="16">
        <f t="shared" si="22"/>
        <v>0</v>
      </c>
    </row>
    <row r="66" spans="1:28" x14ac:dyDescent="0.2">
      <c r="A66" s="15" t="s">
        <v>808</v>
      </c>
      <c r="B66" s="15" t="s">
        <v>38</v>
      </c>
      <c r="C66" s="15">
        <v>31</v>
      </c>
      <c r="D66" s="15">
        <v>8</v>
      </c>
      <c r="E66" s="15" t="s">
        <v>726</v>
      </c>
      <c r="F66" s="15" t="s">
        <v>756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 t="shared" si="17"/>
        <v>0</v>
      </c>
      <c r="W66" s="15" t="e">
        <f t="shared" si="18"/>
        <v>#DIV/0!</v>
      </c>
      <c r="X66" s="15" t="e">
        <f t="shared" si="19"/>
        <v>#DIV/0!</v>
      </c>
      <c r="Y66" s="15" t="e">
        <f t="shared" si="20"/>
        <v>#DIV/0!</v>
      </c>
      <c r="Z66" s="15" t="e">
        <f t="shared" si="21"/>
        <v>#DIV/0!</v>
      </c>
      <c r="AA66" s="15" t="e">
        <f>$K66/$H66</f>
        <v>#DIV/0!</v>
      </c>
      <c r="AB66" s="15">
        <f t="shared" si="22"/>
        <v>0</v>
      </c>
    </row>
    <row r="67" spans="1:28" x14ac:dyDescent="0.2">
      <c r="A67" s="16" t="s">
        <v>855</v>
      </c>
      <c r="B67" s="16" t="s">
        <v>38</v>
      </c>
      <c r="C67" s="16">
        <v>29</v>
      </c>
      <c r="D67" s="16">
        <v>6</v>
      </c>
      <c r="E67" s="16" t="s">
        <v>856</v>
      </c>
      <c r="F67" s="16" t="s">
        <v>811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 t="shared" si="17"/>
        <v>0</v>
      </c>
      <c r="W67" s="16" t="e">
        <f t="shared" si="18"/>
        <v>#DIV/0!</v>
      </c>
      <c r="X67" s="16" t="e">
        <f t="shared" si="19"/>
        <v>#DIV/0!</v>
      </c>
      <c r="Y67" s="16" t="e">
        <f t="shared" si="20"/>
        <v>#DIV/0!</v>
      </c>
      <c r="Z67" s="16" t="e">
        <f t="shared" si="21"/>
        <v>#DIV/0!</v>
      </c>
      <c r="AA67" s="16" t="e">
        <f>$K67/$H67</f>
        <v>#DIV/0!</v>
      </c>
      <c r="AB67" s="16">
        <f t="shared" si="22"/>
        <v>0</v>
      </c>
    </row>
    <row r="68" spans="1:28" x14ac:dyDescent="0.2">
      <c r="A68" s="15" t="s">
        <v>857</v>
      </c>
      <c r="B68" s="15" t="s">
        <v>38</v>
      </c>
      <c r="C68" s="15">
        <v>29</v>
      </c>
      <c r="D68" s="15">
        <v>6</v>
      </c>
      <c r="E68" s="15" t="s">
        <v>205</v>
      </c>
      <c r="F68" s="15" t="s">
        <v>811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 t="shared" si="17"/>
        <v>0</v>
      </c>
      <c r="W68" s="15" t="e">
        <f t="shared" si="18"/>
        <v>#DIV/0!</v>
      </c>
      <c r="X68" s="15" t="e">
        <f t="shared" si="19"/>
        <v>#DIV/0!</v>
      </c>
      <c r="Y68" s="15" t="e">
        <f t="shared" si="20"/>
        <v>#DIV/0!</v>
      </c>
      <c r="Z68" s="15" t="e">
        <f t="shared" si="21"/>
        <v>#DIV/0!</v>
      </c>
      <c r="AA68" s="15" t="e">
        <f>$K68/$H68</f>
        <v>#DIV/0!</v>
      </c>
      <c r="AB68" s="15">
        <f t="shared" si="22"/>
        <v>0</v>
      </c>
    </row>
    <row r="69" spans="1:28" x14ac:dyDescent="0.2">
      <c r="A69" s="16" t="s">
        <v>858</v>
      </c>
      <c r="B69" s="16" t="s">
        <v>38</v>
      </c>
      <c r="C69" s="16">
        <v>26</v>
      </c>
      <c r="D69" s="16">
        <v>2</v>
      </c>
      <c r="E69" s="16" t="s">
        <v>105</v>
      </c>
      <c r="F69" s="16" t="s">
        <v>811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 t="shared" si="17"/>
        <v>0</v>
      </c>
      <c r="W69" s="16" t="e">
        <f t="shared" si="18"/>
        <v>#DIV/0!</v>
      </c>
      <c r="X69" s="16" t="e">
        <f t="shared" si="19"/>
        <v>#DIV/0!</v>
      </c>
      <c r="Y69" s="16" t="e">
        <f t="shared" si="20"/>
        <v>#DIV/0!</v>
      </c>
      <c r="Z69" s="16" t="e">
        <f t="shared" si="21"/>
        <v>#DIV/0!</v>
      </c>
      <c r="AA69" s="16" t="e">
        <f>$K69/$H69</f>
        <v>#DIV/0!</v>
      </c>
      <c r="AB69" s="16">
        <f t="shared" si="22"/>
        <v>0</v>
      </c>
    </row>
    <row r="70" spans="1:28" x14ac:dyDescent="0.2">
      <c r="A70" s="15" t="s">
        <v>859</v>
      </c>
      <c r="B70" s="15" t="s">
        <v>38</v>
      </c>
      <c r="C70" s="15">
        <v>25</v>
      </c>
      <c r="D70" s="15">
        <v>3</v>
      </c>
      <c r="E70" s="15" t="s">
        <v>237</v>
      </c>
      <c r="F70" s="15" t="s">
        <v>811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 t="shared" si="17"/>
        <v>0</v>
      </c>
      <c r="W70" s="15" t="e">
        <f t="shared" si="18"/>
        <v>#DIV/0!</v>
      </c>
      <c r="X70" s="15" t="e">
        <f t="shared" si="19"/>
        <v>#DIV/0!</v>
      </c>
      <c r="Y70" s="15" t="e">
        <f t="shared" si="20"/>
        <v>#DIV/0!</v>
      </c>
      <c r="Z70" s="15" t="e">
        <f t="shared" si="21"/>
        <v>#DIV/0!</v>
      </c>
      <c r="AA70" s="15" t="e">
        <f>$K70/$H70</f>
        <v>#DIV/0!</v>
      </c>
      <c r="AB70" s="15">
        <f t="shared" si="22"/>
        <v>0</v>
      </c>
    </row>
    <row r="71" spans="1:28" x14ac:dyDescent="0.2">
      <c r="A71" s="16" t="s">
        <v>860</v>
      </c>
      <c r="B71" s="16" t="s">
        <v>38</v>
      </c>
      <c r="C71" s="16">
        <v>26</v>
      </c>
      <c r="D71" s="16">
        <v>1</v>
      </c>
      <c r="E71" s="16" t="s">
        <v>244</v>
      </c>
      <c r="F71" s="16" t="s">
        <v>811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 t="shared" si="17"/>
        <v>0</v>
      </c>
      <c r="W71" s="16" t="e">
        <f t="shared" si="18"/>
        <v>#DIV/0!</v>
      </c>
      <c r="X71" s="16" t="e">
        <f t="shared" si="19"/>
        <v>#DIV/0!</v>
      </c>
      <c r="Y71" s="16" t="e">
        <f t="shared" si="20"/>
        <v>#DIV/0!</v>
      </c>
      <c r="Z71" s="16" t="e">
        <f t="shared" si="21"/>
        <v>#DIV/0!</v>
      </c>
      <c r="AA71" s="16" t="e">
        <f>$K71/$H71</f>
        <v>#DIV/0!</v>
      </c>
      <c r="AB71" s="16">
        <f t="shared" si="22"/>
        <v>0</v>
      </c>
    </row>
    <row r="72" spans="1:28" x14ac:dyDescent="0.2">
      <c r="A72" s="15" t="s">
        <v>861</v>
      </c>
      <c r="B72" s="15" t="s">
        <v>38</v>
      </c>
      <c r="C72" s="15">
        <v>24</v>
      </c>
      <c r="D72" s="15">
        <v>0</v>
      </c>
      <c r="E72" s="15" t="s">
        <v>397</v>
      </c>
      <c r="F72" s="15" t="s">
        <v>811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 t="shared" si="17"/>
        <v>0</v>
      </c>
      <c r="W72" s="15" t="e">
        <f t="shared" si="18"/>
        <v>#DIV/0!</v>
      </c>
      <c r="X72" s="15" t="e">
        <f t="shared" si="19"/>
        <v>#DIV/0!</v>
      </c>
      <c r="Y72" s="15" t="e">
        <f t="shared" si="20"/>
        <v>#DIV/0!</v>
      </c>
      <c r="Z72" s="15" t="e">
        <f t="shared" si="21"/>
        <v>#DIV/0!</v>
      </c>
      <c r="AA72" s="15" t="e">
        <f>$K72/$H72</f>
        <v>#DIV/0!</v>
      </c>
      <c r="AB72" s="15">
        <f t="shared" si="22"/>
        <v>0</v>
      </c>
    </row>
    <row r="73" spans="1:28" x14ac:dyDescent="0.2">
      <c r="A73" s="16" t="s">
        <v>862</v>
      </c>
      <c r="B73" s="16" t="s">
        <v>38</v>
      </c>
      <c r="C73" s="16">
        <v>25</v>
      </c>
      <c r="D73" s="16">
        <v>2</v>
      </c>
      <c r="E73" s="16" t="s">
        <v>616</v>
      </c>
      <c r="F73" s="16" t="s">
        <v>811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 t="shared" si="17"/>
        <v>0</v>
      </c>
      <c r="W73" s="16" t="e">
        <f t="shared" si="18"/>
        <v>#DIV/0!</v>
      </c>
      <c r="X73" s="16" t="e">
        <f t="shared" si="19"/>
        <v>#DIV/0!</v>
      </c>
      <c r="Y73" s="16" t="e">
        <f t="shared" si="20"/>
        <v>#DIV/0!</v>
      </c>
      <c r="Z73" s="16" t="e">
        <f t="shared" si="21"/>
        <v>#DIV/0!</v>
      </c>
      <c r="AA73" s="16" t="e">
        <f>$K73/$H73</f>
        <v>#DIV/0!</v>
      </c>
      <c r="AB73" s="16">
        <f t="shared" si="22"/>
        <v>0</v>
      </c>
    </row>
    <row r="74" spans="1:28" x14ac:dyDescent="0.2">
      <c r="A74" s="15" t="s">
        <v>863</v>
      </c>
      <c r="B74" s="15" t="s">
        <v>38</v>
      </c>
      <c r="C74" s="15">
        <v>28</v>
      </c>
      <c r="D74" s="15">
        <v>6</v>
      </c>
      <c r="E74" s="15" t="s">
        <v>307</v>
      </c>
      <c r="F74" s="15" t="s">
        <v>811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 t="shared" si="17"/>
        <v>0</v>
      </c>
      <c r="W74" s="15" t="e">
        <f t="shared" si="18"/>
        <v>#DIV/0!</v>
      </c>
      <c r="X74" s="15" t="e">
        <f t="shared" si="19"/>
        <v>#DIV/0!</v>
      </c>
      <c r="Y74" s="15" t="e">
        <f t="shared" si="20"/>
        <v>#DIV/0!</v>
      </c>
      <c r="Z74" s="15" t="e">
        <f t="shared" si="21"/>
        <v>#DIV/0!</v>
      </c>
      <c r="AA74" s="15" t="e">
        <f>$K74/$H74</f>
        <v>#DIV/0!</v>
      </c>
      <c r="AB74" s="15">
        <f t="shared" si="22"/>
        <v>0</v>
      </c>
    </row>
    <row r="75" spans="1:28" x14ac:dyDescent="0.2">
      <c r="A75" s="16" t="s">
        <v>906</v>
      </c>
      <c r="B75" s="16" t="s">
        <v>38</v>
      </c>
      <c r="C75" s="16">
        <v>28</v>
      </c>
      <c r="D75" s="16">
        <v>7</v>
      </c>
      <c r="E75" s="16" t="s">
        <v>240</v>
      </c>
      <c r="F75" s="16" t="s">
        <v>866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 t="shared" si="17"/>
        <v>0</v>
      </c>
      <c r="W75" s="16" t="e">
        <f t="shared" si="18"/>
        <v>#DIV/0!</v>
      </c>
      <c r="X75" s="16" t="e">
        <f t="shared" si="19"/>
        <v>#DIV/0!</v>
      </c>
      <c r="Y75" s="16" t="e">
        <f t="shared" si="20"/>
        <v>#DIV/0!</v>
      </c>
      <c r="Z75" s="16" t="e">
        <f t="shared" si="21"/>
        <v>#DIV/0!</v>
      </c>
      <c r="AA75" s="16" t="e">
        <f>$K75/$H75</f>
        <v>#DIV/0!</v>
      </c>
      <c r="AB75" s="16">
        <f t="shared" si="22"/>
        <v>0</v>
      </c>
    </row>
    <row r="76" spans="1:28" x14ac:dyDescent="0.2">
      <c r="A76" s="15" t="s">
        <v>907</v>
      </c>
      <c r="B76" s="15" t="s">
        <v>38</v>
      </c>
      <c r="C76" s="15">
        <v>25</v>
      </c>
      <c r="D76" s="15">
        <v>3</v>
      </c>
      <c r="E76" s="15" t="s">
        <v>213</v>
      </c>
      <c r="F76" s="15" t="s">
        <v>866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 t="shared" si="17"/>
        <v>0</v>
      </c>
      <c r="W76" s="15" t="e">
        <f t="shared" si="18"/>
        <v>#DIV/0!</v>
      </c>
      <c r="X76" s="15" t="e">
        <f t="shared" si="19"/>
        <v>#DIV/0!</v>
      </c>
      <c r="Y76" s="15" t="e">
        <f t="shared" si="20"/>
        <v>#DIV/0!</v>
      </c>
      <c r="Z76" s="15" t="e">
        <f t="shared" si="21"/>
        <v>#DIV/0!</v>
      </c>
      <c r="AA76" s="15" t="e">
        <f>$K76/$H76</f>
        <v>#DIV/0!</v>
      </c>
      <c r="AB76" s="15">
        <f t="shared" si="22"/>
        <v>0</v>
      </c>
    </row>
    <row r="77" spans="1:28" x14ac:dyDescent="0.2">
      <c r="A77" s="16" t="s">
        <v>908</v>
      </c>
      <c r="B77" s="16" t="s">
        <v>38</v>
      </c>
      <c r="C77" s="16">
        <v>25</v>
      </c>
      <c r="D77" s="16">
        <v>1</v>
      </c>
      <c r="E77" s="16" t="s">
        <v>909</v>
      </c>
      <c r="F77" s="16" t="s">
        <v>866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 t="shared" si="17"/>
        <v>0</v>
      </c>
      <c r="W77" s="16" t="e">
        <f t="shared" si="18"/>
        <v>#DIV/0!</v>
      </c>
      <c r="X77" s="16" t="e">
        <f t="shared" si="19"/>
        <v>#DIV/0!</v>
      </c>
      <c r="Y77" s="16" t="e">
        <f t="shared" si="20"/>
        <v>#DIV/0!</v>
      </c>
      <c r="Z77" s="16" t="e">
        <f t="shared" si="21"/>
        <v>#DIV/0!</v>
      </c>
      <c r="AA77" s="16" t="e">
        <f>$K77/$H77</f>
        <v>#DIV/0!</v>
      </c>
      <c r="AB77" s="16">
        <f t="shared" si="22"/>
        <v>0</v>
      </c>
    </row>
    <row r="78" spans="1:28" x14ac:dyDescent="0.2">
      <c r="A78" s="15" t="s">
        <v>910</v>
      </c>
      <c r="B78" s="15" t="s">
        <v>38</v>
      </c>
      <c r="C78" s="15">
        <v>25</v>
      </c>
      <c r="D78" s="15">
        <v>1</v>
      </c>
      <c r="E78" s="15" t="s">
        <v>335</v>
      </c>
      <c r="F78" s="15" t="s">
        <v>866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 t="shared" si="17"/>
        <v>0</v>
      </c>
      <c r="W78" s="15" t="e">
        <f t="shared" si="18"/>
        <v>#DIV/0!</v>
      </c>
      <c r="X78" s="15" t="e">
        <f t="shared" si="19"/>
        <v>#DIV/0!</v>
      </c>
      <c r="Y78" s="15" t="e">
        <f t="shared" si="20"/>
        <v>#DIV/0!</v>
      </c>
      <c r="Z78" s="15" t="e">
        <f t="shared" si="21"/>
        <v>#DIV/0!</v>
      </c>
      <c r="AA78" s="15" t="e">
        <f>$K78/$H78</f>
        <v>#DIV/0!</v>
      </c>
      <c r="AB78" s="15">
        <f t="shared" si="22"/>
        <v>0</v>
      </c>
    </row>
    <row r="79" spans="1:28" x14ac:dyDescent="0.2">
      <c r="A79" s="16" t="s">
        <v>911</v>
      </c>
      <c r="B79" s="16" t="s">
        <v>38</v>
      </c>
      <c r="C79" s="16">
        <v>27</v>
      </c>
      <c r="D79" s="16">
        <v>2</v>
      </c>
      <c r="E79" s="16" t="s">
        <v>912</v>
      </c>
      <c r="F79" s="16" t="s">
        <v>866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 t="shared" si="17"/>
        <v>0</v>
      </c>
      <c r="W79" s="16" t="e">
        <f t="shared" si="18"/>
        <v>#DIV/0!</v>
      </c>
      <c r="X79" s="16" t="e">
        <f t="shared" si="19"/>
        <v>#DIV/0!</v>
      </c>
      <c r="Y79" s="16" t="e">
        <f t="shared" si="20"/>
        <v>#DIV/0!</v>
      </c>
      <c r="Z79" s="16" t="e">
        <f t="shared" si="21"/>
        <v>#DIV/0!</v>
      </c>
      <c r="AA79" s="16" t="e">
        <f>$K79/$H79</f>
        <v>#DIV/0!</v>
      </c>
      <c r="AB79" s="16">
        <f t="shared" si="22"/>
        <v>0</v>
      </c>
    </row>
    <row r="80" spans="1:28" x14ac:dyDescent="0.2">
      <c r="A80" s="15" t="s">
        <v>913</v>
      </c>
      <c r="B80" s="15" t="s">
        <v>38</v>
      </c>
      <c r="C80" s="15">
        <v>22</v>
      </c>
      <c r="D80" s="15">
        <v>0</v>
      </c>
      <c r="E80" s="15" t="s">
        <v>339</v>
      </c>
      <c r="F80" s="15" t="s">
        <v>866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 t="shared" si="17"/>
        <v>0</v>
      </c>
      <c r="W80" s="15" t="e">
        <f t="shared" si="18"/>
        <v>#DIV/0!</v>
      </c>
      <c r="X80" s="15" t="e">
        <f t="shared" si="19"/>
        <v>#DIV/0!</v>
      </c>
      <c r="Y80" s="15" t="e">
        <f t="shared" si="20"/>
        <v>#DIV/0!</v>
      </c>
      <c r="Z80" s="15" t="e">
        <f t="shared" si="21"/>
        <v>#DIV/0!</v>
      </c>
      <c r="AA80" s="15" t="e">
        <f>$K80/$H80</f>
        <v>#DIV/0!</v>
      </c>
      <c r="AB80" s="15">
        <f t="shared" si="22"/>
        <v>0</v>
      </c>
    </row>
    <row r="81" spans="1:28" x14ac:dyDescent="0.2">
      <c r="A81" s="16" t="s">
        <v>960</v>
      </c>
      <c r="B81" s="16" t="s">
        <v>38</v>
      </c>
      <c r="C81" s="16">
        <v>32</v>
      </c>
      <c r="D81" s="16">
        <v>9</v>
      </c>
      <c r="E81" s="16" t="s">
        <v>68</v>
      </c>
      <c r="F81" s="16" t="s">
        <v>916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 t="shared" si="17"/>
        <v>0</v>
      </c>
      <c r="W81" s="16" t="e">
        <f t="shared" si="18"/>
        <v>#DIV/0!</v>
      </c>
      <c r="X81" s="16" t="e">
        <f t="shared" si="19"/>
        <v>#DIV/0!</v>
      </c>
      <c r="Y81" s="16" t="e">
        <f t="shared" si="20"/>
        <v>#DIV/0!</v>
      </c>
      <c r="Z81" s="16" t="e">
        <f t="shared" si="21"/>
        <v>#DIV/0!</v>
      </c>
      <c r="AA81" s="16" t="e">
        <f>$K81/$H81</f>
        <v>#DIV/0!</v>
      </c>
      <c r="AB81" s="16">
        <f t="shared" si="22"/>
        <v>0</v>
      </c>
    </row>
    <row r="82" spans="1:28" x14ac:dyDescent="0.2">
      <c r="A82" s="15" t="s">
        <v>961</v>
      </c>
      <c r="B82" s="15" t="s">
        <v>38</v>
      </c>
      <c r="C82" s="15">
        <v>27</v>
      </c>
      <c r="D82" s="15">
        <v>3</v>
      </c>
      <c r="E82" s="15" t="s">
        <v>613</v>
      </c>
      <c r="F82" s="15" t="s">
        <v>916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 t="shared" si="17"/>
        <v>0</v>
      </c>
      <c r="W82" s="15" t="e">
        <f t="shared" si="18"/>
        <v>#DIV/0!</v>
      </c>
      <c r="X82" s="15" t="e">
        <f t="shared" si="19"/>
        <v>#DIV/0!</v>
      </c>
      <c r="Y82" s="15" t="e">
        <f t="shared" si="20"/>
        <v>#DIV/0!</v>
      </c>
      <c r="Z82" s="15" t="e">
        <f t="shared" si="21"/>
        <v>#DIV/0!</v>
      </c>
      <c r="AA82" s="15" t="e">
        <f>$K82/$H82</f>
        <v>#DIV/0!</v>
      </c>
      <c r="AB82" s="15">
        <f t="shared" si="22"/>
        <v>0</v>
      </c>
    </row>
    <row r="83" spans="1:28" x14ac:dyDescent="0.2">
      <c r="A83" s="16" t="s">
        <v>962</v>
      </c>
      <c r="B83" s="16" t="s">
        <v>38</v>
      </c>
      <c r="C83" s="16">
        <v>27</v>
      </c>
      <c r="D83" s="16">
        <v>1</v>
      </c>
      <c r="E83" s="16" t="s">
        <v>82</v>
      </c>
      <c r="F83" s="16" t="s">
        <v>916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>
        <v>0</v>
      </c>
      <c r="V83" s="16">
        <f t="shared" si="17"/>
        <v>0</v>
      </c>
      <c r="W83" s="16" t="e">
        <f t="shared" si="18"/>
        <v>#DIV/0!</v>
      </c>
      <c r="X83" s="16" t="e">
        <f t="shared" si="19"/>
        <v>#DIV/0!</v>
      </c>
      <c r="Y83" s="16" t="e">
        <f t="shared" si="20"/>
        <v>#DIV/0!</v>
      </c>
      <c r="Z83" s="16" t="e">
        <f t="shared" si="21"/>
        <v>#DIV/0!</v>
      </c>
      <c r="AA83" s="16" t="e">
        <f>$K83/$H83</f>
        <v>#DIV/0!</v>
      </c>
      <c r="AB83" s="16">
        <f t="shared" si="22"/>
        <v>0</v>
      </c>
    </row>
    <row r="84" spans="1:28" x14ac:dyDescent="0.2">
      <c r="A84" s="15" t="s">
        <v>963</v>
      </c>
      <c r="B84" s="15" t="s">
        <v>38</v>
      </c>
      <c r="C84" s="15">
        <v>27</v>
      </c>
      <c r="D84" s="15">
        <v>3</v>
      </c>
      <c r="E84" s="15" t="s">
        <v>964</v>
      </c>
      <c r="F84" s="15" t="s">
        <v>916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f t="shared" si="17"/>
        <v>0</v>
      </c>
      <c r="W84" s="15" t="e">
        <f t="shared" si="18"/>
        <v>#DIV/0!</v>
      </c>
      <c r="X84" s="15" t="e">
        <f t="shared" si="19"/>
        <v>#DIV/0!</v>
      </c>
      <c r="Y84" s="15" t="e">
        <f t="shared" si="20"/>
        <v>#DIV/0!</v>
      </c>
      <c r="Z84" s="15" t="e">
        <f t="shared" si="21"/>
        <v>#DIV/0!</v>
      </c>
      <c r="AA84" s="15" t="e">
        <f>$K84/$H84</f>
        <v>#DIV/0!</v>
      </c>
      <c r="AB84" s="15">
        <f t="shared" si="22"/>
        <v>0</v>
      </c>
    </row>
    <row r="85" spans="1:28" x14ac:dyDescent="0.2">
      <c r="A85" s="16" t="s">
        <v>965</v>
      </c>
      <c r="B85" s="16" t="s">
        <v>38</v>
      </c>
      <c r="C85" s="16">
        <v>22</v>
      </c>
      <c r="D85" s="16">
        <v>0</v>
      </c>
      <c r="E85" s="16" t="s">
        <v>298</v>
      </c>
      <c r="F85" s="16" t="s">
        <v>916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 s="16">
        <v>0</v>
      </c>
      <c r="V85" s="16">
        <f t="shared" si="17"/>
        <v>0</v>
      </c>
      <c r="W85" s="16" t="e">
        <f t="shared" si="18"/>
        <v>#DIV/0!</v>
      </c>
      <c r="X85" s="16" t="e">
        <f t="shared" si="19"/>
        <v>#DIV/0!</v>
      </c>
      <c r="Y85" s="16" t="e">
        <f t="shared" si="20"/>
        <v>#DIV/0!</v>
      </c>
      <c r="Z85" s="16" t="e">
        <f t="shared" si="21"/>
        <v>#DIV/0!</v>
      </c>
      <c r="AA85" s="16" t="e">
        <f>$K85/$H85</f>
        <v>#DIV/0!</v>
      </c>
      <c r="AB85" s="16">
        <f t="shared" si="22"/>
        <v>0</v>
      </c>
    </row>
    <row r="86" spans="1:28" x14ac:dyDescent="0.2">
      <c r="A86" s="15" t="s">
        <v>966</v>
      </c>
      <c r="B86" s="15" t="s">
        <v>38</v>
      </c>
      <c r="C86" s="15">
        <v>24</v>
      </c>
      <c r="D86" s="15">
        <v>3</v>
      </c>
      <c r="E86" s="15" t="s">
        <v>697</v>
      </c>
      <c r="F86" s="15" t="s">
        <v>916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f t="shared" si="17"/>
        <v>0</v>
      </c>
      <c r="W86" s="15" t="e">
        <f t="shared" si="18"/>
        <v>#DIV/0!</v>
      </c>
      <c r="X86" s="15" t="e">
        <f t="shared" si="19"/>
        <v>#DIV/0!</v>
      </c>
      <c r="Y86" s="15" t="e">
        <f t="shared" si="20"/>
        <v>#DIV/0!</v>
      </c>
      <c r="Z86" s="15" t="e">
        <f t="shared" si="21"/>
        <v>#DIV/0!</v>
      </c>
      <c r="AA86" s="15" t="e">
        <f>$K86/$H86</f>
        <v>#DIV/0!</v>
      </c>
      <c r="AB86" s="15">
        <f t="shared" si="22"/>
        <v>0</v>
      </c>
    </row>
    <row r="87" spans="1:28" x14ac:dyDescent="0.2">
      <c r="A87" s="16" t="s">
        <v>1014</v>
      </c>
      <c r="B87" s="16" t="s">
        <v>38</v>
      </c>
      <c r="C87" s="16">
        <v>29</v>
      </c>
      <c r="D87" s="16">
        <v>7</v>
      </c>
      <c r="E87" s="16" t="s">
        <v>519</v>
      </c>
      <c r="F87" s="16" t="s">
        <v>969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T87" s="16">
        <v>0</v>
      </c>
      <c r="U87" s="16">
        <v>0</v>
      </c>
      <c r="V87" s="16">
        <f t="shared" si="17"/>
        <v>0</v>
      </c>
      <c r="W87" s="16" t="e">
        <f t="shared" si="18"/>
        <v>#DIV/0!</v>
      </c>
      <c r="X87" s="16" t="e">
        <f t="shared" si="19"/>
        <v>#DIV/0!</v>
      </c>
      <c r="Y87" s="16" t="e">
        <f t="shared" si="20"/>
        <v>#DIV/0!</v>
      </c>
      <c r="Z87" s="16" t="e">
        <f t="shared" si="21"/>
        <v>#DIV/0!</v>
      </c>
      <c r="AA87" s="16" t="e">
        <f>$K87/$H87</f>
        <v>#DIV/0!</v>
      </c>
      <c r="AB87" s="16">
        <f t="shared" si="22"/>
        <v>0</v>
      </c>
    </row>
    <row r="88" spans="1:28" x14ac:dyDescent="0.2">
      <c r="A88" s="15" t="s">
        <v>1015</v>
      </c>
      <c r="B88" s="15" t="s">
        <v>38</v>
      </c>
      <c r="C88" s="15">
        <v>22</v>
      </c>
      <c r="D88" s="15">
        <v>0</v>
      </c>
      <c r="E88" s="15" t="s">
        <v>418</v>
      </c>
      <c r="F88" s="15" t="s">
        <v>969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f t="shared" si="17"/>
        <v>0</v>
      </c>
      <c r="W88" s="15" t="e">
        <f t="shared" si="18"/>
        <v>#DIV/0!</v>
      </c>
      <c r="X88" s="15" t="e">
        <f t="shared" si="19"/>
        <v>#DIV/0!</v>
      </c>
      <c r="Y88" s="15" t="e">
        <f t="shared" si="20"/>
        <v>#DIV/0!</v>
      </c>
      <c r="Z88" s="15" t="e">
        <f t="shared" si="21"/>
        <v>#DIV/0!</v>
      </c>
      <c r="AA88" s="15" t="e">
        <f>$K88/$H88</f>
        <v>#DIV/0!</v>
      </c>
      <c r="AB88" s="15">
        <f t="shared" si="22"/>
        <v>0</v>
      </c>
    </row>
    <row r="89" spans="1:28" x14ac:dyDescent="0.2">
      <c r="A89" s="16" t="s">
        <v>1016</v>
      </c>
      <c r="B89" s="16" t="s">
        <v>38</v>
      </c>
      <c r="C89" s="16">
        <v>25</v>
      </c>
      <c r="D89" s="16">
        <v>1</v>
      </c>
      <c r="E89" s="16" t="s">
        <v>205</v>
      </c>
      <c r="F89" s="16" t="s">
        <v>969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T89" s="16">
        <v>0</v>
      </c>
      <c r="U89" s="16">
        <v>0</v>
      </c>
      <c r="V89" s="16">
        <f t="shared" si="17"/>
        <v>0</v>
      </c>
      <c r="W89" s="16" t="e">
        <f t="shared" si="18"/>
        <v>#DIV/0!</v>
      </c>
      <c r="X89" s="16" t="e">
        <f t="shared" si="19"/>
        <v>#DIV/0!</v>
      </c>
      <c r="Y89" s="16" t="e">
        <f t="shared" si="20"/>
        <v>#DIV/0!</v>
      </c>
      <c r="Z89" s="16" t="e">
        <f t="shared" si="21"/>
        <v>#DIV/0!</v>
      </c>
      <c r="AA89" s="16" t="e">
        <f>$K89/$H89</f>
        <v>#DIV/0!</v>
      </c>
      <c r="AB89" s="16">
        <f t="shared" si="22"/>
        <v>0</v>
      </c>
    </row>
    <row r="90" spans="1:28" x14ac:dyDescent="0.2">
      <c r="A90" s="15" t="s">
        <v>1017</v>
      </c>
      <c r="B90" s="15" t="s">
        <v>38</v>
      </c>
      <c r="C90" s="15">
        <v>24</v>
      </c>
      <c r="D90" s="15">
        <v>3</v>
      </c>
      <c r="E90" s="15" t="s">
        <v>173</v>
      </c>
      <c r="F90" s="15" t="s">
        <v>969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T90" s="15">
        <v>0</v>
      </c>
      <c r="U90" s="15">
        <v>0</v>
      </c>
      <c r="V90" s="15">
        <f t="shared" si="17"/>
        <v>0</v>
      </c>
      <c r="W90" s="15" t="e">
        <f t="shared" si="18"/>
        <v>#DIV/0!</v>
      </c>
      <c r="X90" s="15" t="e">
        <f t="shared" si="19"/>
        <v>#DIV/0!</v>
      </c>
      <c r="Y90" s="15" t="e">
        <f t="shared" si="20"/>
        <v>#DIV/0!</v>
      </c>
      <c r="Z90" s="15" t="e">
        <f t="shared" si="21"/>
        <v>#DIV/0!</v>
      </c>
      <c r="AA90" s="15" t="e">
        <f>$K90/$H90</f>
        <v>#DIV/0!</v>
      </c>
      <c r="AB90" s="15">
        <f t="shared" si="22"/>
        <v>0</v>
      </c>
    </row>
    <row r="91" spans="1:28" x14ac:dyDescent="0.2">
      <c r="A91" s="16" t="s">
        <v>1018</v>
      </c>
      <c r="B91" s="16" t="s">
        <v>38</v>
      </c>
      <c r="C91" s="16">
        <v>26</v>
      </c>
      <c r="D91" s="16">
        <v>4</v>
      </c>
      <c r="E91" s="16" t="s">
        <v>1019</v>
      </c>
      <c r="F91" s="16" t="s">
        <v>969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T91" s="16">
        <v>0</v>
      </c>
      <c r="U91" s="16">
        <v>0</v>
      </c>
      <c r="V91" s="16">
        <f t="shared" si="17"/>
        <v>0</v>
      </c>
      <c r="W91" s="16" t="e">
        <f t="shared" si="18"/>
        <v>#DIV/0!</v>
      </c>
      <c r="X91" s="16" t="e">
        <f t="shared" si="19"/>
        <v>#DIV/0!</v>
      </c>
      <c r="Y91" s="16" t="e">
        <f t="shared" si="20"/>
        <v>#DIV/0!</v>
      </c>
      <c r="Z91" s="16" t="e">
        <f t="shared" si="21"/>
        <v>#DIV/0!</v>
      </c>
      <c r="AA91" s="16" t="e">
        <f>$K91/$H91</f>
        <v>#DIV/0!</v>
      </c>
      <c r="AB91" s="16">
        <f t="shared" si="22"/>
        <v>0</v>
      </c>
    </row>
    <row r="92" spans="1:28" x14ac:dyDescent="0.2">
      <c r="A92" s="15" t="s">
        <v>1066</v>
      </c>
      <c r="B92" s="15" t="s">
        <v>38</v>
      </c>
      <c r="C92" s="15">
        <v>22</v>
      </c>
      <c r="D92" s="15">
        <v>0</v>
      </c>
      <c r="E92" s="15" t="s">
        <v>458</v>
      </c>
      <c r="F92" s="15" t="s">
        <v>1021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f t="shared" si="17"/>
        <v>0</v>
      </c>
      <c r="W92" s="15" t="e">
        <f t="shared" si="18"/>
        <v>#DIV/0!</v>
      </c>
      <c r="X92" s="15" t="e">
        <f t="shared" si="19"/>
        <v>#DIV/0!</v>
      </c>
      <c r="Y92" s="15" t="e">
        <f t="shared" si="20"/>
        <v>#DIV/0!</v>
      </c>
      <c r="Z92" s="15" t="e">
        <f t="shared" si="21"/>
        <v>#DIV/0!</v>
      </c>
      <c r="AA92" s="15" t="e">
        <f>$K92/$H92</f>
        <v>#DIV/0!</v>
      </c>
      <c r="AB92" s="15">
        <f t="shared" si="22"/>
        <v>0</v>
      </c>
    </row>
    <row r="93" spans="1:28" x14ac:dyDescent="0.2">
      <c r="A93" s="16" t="s">
        <v>1067</v>
      </c>
      <c r="B93" s="16" t="s">
        <v>38</v>
      </c>
      <c r="C93" s="16">
        <v>30</v>
      </c>
      <c r="D93" s="16">
        <v>8</v>
      </c>
      <c r="E93" s="16" t="s">
        <v>1068</v>
      </c>
      <c r="F93" s="16" t="s">
        <v>1021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T93" s="16">
        <v>0</v>
      </c>
      <c r="U93" s="16">
        <v>0</v>
      </c>
      <c r="V93" s="16">
        <f t="shared" si="17"/>
        <v>0</v>
      </c>
      <c r="W93" s="16" t="e">
        <f t="shared" si="18"/>
        <v>#DIV/0!</v>
      </c>
      <c r="X93" s="16" t="e">
        <f t="shared" si="19"/>
        <v>#DIV/0!</v>
      </c>
      <c r="Y93" s="16" t="e">
        <f t="shared" si="20"/>
        <v>#DIV/0!</v>
      </c>
      <c r="Z93" s="16" t="e">
        <f t="shared" si="21"/>
        <v>#DIV/0!</v>
      </c>
      <c r="AA93" s="16" t="e">
        <f>$K93/$H93</f>
        <v>#DIV/0!</v>
      </c>
      <c r="AB93" s="16">
        <f t="shared" si="22"/>
        <v>0</v>
      </c>
    </row>
    <row r="94" spans="1:28" x14ac:dyDescent="0.2">
      <c r="A94" s="15" t="s">
        <v>1069</v>
      </c>
      <c r="B94" s="15" t="s">
        <v>38</v>
      </c>
      <c r="C94" s="15">
        <v>26</v>
      </c>
      <c r="D94" s="15">
        <v>4</v>
      </c>
      <c r="E94" s="15" t="s">
        <v>62</v>
      </c>
      <c r="F94" s="15" t="s">
        <v>1021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f t="shared" si="17"/>
        <v>0</v>
      </c>
      <c r="W94" s="15" t="e">
        <f t="shared" si="18"/>
        <v>#DIV/0!</v>
      </c>
      <c r="X94" s="15" t="e">
        <f t="shared" si="19"/>
        <v>#DIV/0!</v>
      </c>
      <c r="Y94" s="15" t="e">
        <f t="shared" si="20"/>
        <v>#DIV/0!</v>
      </c>
      <c r="Z94" s="15" t="e">
        <f t="shared" si="21"/>
        <v>#DIV/0!</v>
      </c>
      <c r="AA94" s="15" t="e">
        <f>$K94/$H94</f>
        <v>#DIV/0!</v>
      </c>
      <c r="AB94" s="15">
        <f t="shared" si="22"/>
        <v>0</v>
      </c>
    </row>
    <row r="95" spans="1:28" x14ac:dyDescent="0.2">
      <c r="A95" s="16" t="s">
        <v>1070</v>
      </c>
      <c r="B95" s="16" t="s">
        <v>38</v>
      </c>
      <c r="C95" s="16">
        <v>26</v>
      </c>
      <c r="D95" s="16">
        <v>2</v>
      </c>
      <c r="E95" s="16" t="s">
        <v>93</v>
      </c>
      <c r="F95" s="16" t="s">
        <v>1021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0</v>
      </c>
      <c r="U95" s="16">
        <v>0</v>
      </c>
      <c r="V95" s="16">
        <f t="shared" si="17"/>
        <v>0</v>
      </c>
      <c r="W95" s="16" t="e">
        <f t="shared" si="18"/>
        <v>#DIV/0!</v>
      </c>
      <c r="X95" s="16" t="e">
        <f t="shared" si="19"/>
        <v>#DIV/0!</v>
      </c>
      <c r="Y95" s="16" t="e">
        <f t="shared" si="20"/>
        <v>#DIV/0!</v>
      </c>
      <c r="Z95" s="16" t="e">
        <f t="shared" si="21"/>
        <v>#DIV/0!</v>
      </c>
      <c r="AA95" s="16" t="e">
        <f>$K95/$H95</f>
        <v>#DIV/0!</v>
      </c>
      <c r="AB95" s="16">
        <f t="shared" si="22"/>
        <v>0</v>
      </c>
    </row>
    <row r="96" spans="1:28" x14ac:dyDescent="0.2">
      <c r="A96" s="15" t="s">
        <v>1071</v>
      </c>
      <c r="B96" s="15" t="s">
        <v>38</v>
      </c>
      <c r="C96" s="15">
        <v>24</v>
      </c>
      <c r="D96" s="15">
        <v>3</v>
      </c>
      <c r="E96" s="15" t="s">
        <v>235</v>
      </c>
      <c r="F96" s="15" t="s">
        <v>1021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f t="shared" si="17"/>
        <v>0</v>
      </c>
      <c r="W96" s="15" t="e">
        <f t="shared" si="18"/>
        <v>#DIV/0!</v>
      </c>
      <c r="X96" s="15" t="e">
        <f t="shared" si="19"/>
        <v>#DIV/0!</v>
      </c>
      <c r="Y96" s="15" t="e">
        <f t="shared" si="20"/>
        <v>#DIV/0!</v>
      </c>
      <c r="Z96" s="15" t="e">
        <f t="shared" si="21"/>
        <v>#DIV/0!</v>
      </c>
      <c r="AA96" s="15" t="e">
        <f>$K96/$H96</f>
        <v>#DIV/0!</v>
      </c>
      <c r="AB96" s="15">
        <f t="shared" si="22"/>
        <v>0</v>
      </c>
    </row>
    <row r="97" spans="1:28" x14ac:dyDescent="0.2">
      <c r="A97" s="16" t="s">
        <v>1072</v>
      </c>
      <c r="B97" s="16" t="s">
        <v>38</v>
      </c>
      <c r="C97" s="16">
        <v>24</v>
      </c>
      <c r="D97" s="16">
        <v>1</v>
      </c>
      <c r="E97" s="16" t="s">
        <v>1012</v>
      </c>
      <c r="F97" s="16" t="s">
        <v>1021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T97" s="16">
        <v>0</v>
      </c>
      <c r="U97" s="16">
        <v>0</v>
      </c>
      <c r="V97" s="16">
        <f t="shared" si="17"/>
        <v>0</v>
      </c>
      <c r="W97" s="16" t="e">
        <f t="shared" si="18"/>
        <v>#DIV/0!</v>
      </c>
      <c r="X97" s="16" t="e">
        <f t="shared" si="19"/>
        <v>#DIV/0!</v>
      </c>
      <c r="Y97" s="16" t="e">
        <f t="shared" si="20"/>
        <v>#DIV/0!</v>
      </c>
      <c r="Z97" s="16" t="e">
        <f t="shared" si="21"/>
        <v>#DIV/0!</v>
      </c>
      <c r="AA97" s="16" t="e">
        <f>$K97/$H97</f>
        <v>#DIV/0!</v>
      </c>
      <c r="AB97" s="16">
        <f t="shared" si="22"/>
        <v>0</v>
      </c>
    </row>
    <row r="98" spans="1:28" x14ac:dyDescent="0.2">
      <c r="A98" s="15" t="s">
        <v>1120</v>
      </c>
      <c r="B98" s="15" t="s">
        <v>38</v>
      </c>
      <c r="C98" s="15">
        <v>25</v>
      </c>
      <c r="D98" s="15">
        <v>1</v>
      </c>
      <c r="E98" s="15" t="s">
        <v>207</v>
      </c>
      <c r="F98" s="15" t="s">
        <v>1075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f t="shared" si="17"/>
        <v>0</v>
      </c>
      <c r="W98" s="15" t="e">
        <f t="shared" si="18"/>
        <v>#DIV/0!</v>
      </c>
      <c r="X98" s="15" t="e">
        <f t="shared" si="19"/>
        <v>#DIV/0!</v>
      </c>
      <c r="Y98" s="15" t="e">
        <f t="shared" si="20"/>
        <v>#DIV/0!</v>
      </c>
      <c r="Z98" s="15" t="e">
        <f t="shared" si="21"/>
        <v>#DIV/0!</v>
      </c>
      <c r="AA98" s="15" t="e">
        <f>$K98/$H98</f>
        <v>#DIV/0!</v>
      </c>
      <c r="AB98" s="15">
        <f t="shared" si="22"/>
        <v>0</v>
      </c>
    </row>
    <row r="99" spans="1:28" x14ac:dyDescent="0.2">
      <c r="A99" s="16" t="s">
        <v>1121</v>
      </c>
      <c r="B99" s="16" t="s">
        <v>38</v>
      </c>
      <c r="C99" s="16">
        <v>29</v>
      </c>
      <c r="D99" s="16">
        <v>7</v>
      </c>
      <c r="E99" s="16" t="s">
        <v>272</v>
      </c>
      <c r="F99" s="16" t="s">
        <v>1075</v>
      </c>
      <c r="G99" s="16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0</v>
      </c>
      <c r="Q99" s="16">
        <v>0</v>
      </c>
      <c r="R99" s="16">
        <v>0</v>
      </c>
      <c r="S99" s="16">
        <v>0</v>
      </c>
      <c r="T99" s="16">
        <v>0</v>
      </c>
      <c r="U99" s="16">
        <v>0</v>
      </c>
      <c r="V99" s="16">
        <f t="shared" si="17"/>
        <v>0</v>
      </c>
      <c r="W99" s="16" t="e">
        <f t="shared" si="18"/>
        <v>#DIV/0!</v>
      </c>
      <c r="X99" s="16" t="e">
        <f t="shared" si="19"/>
        <v>#DIV/0!</v>
      </c>
      <c r="Y99" s="16" t="e">
        <f t="shared" si="20"/>
        <v>#DIV/0!</v>
      </c>
      <c r="Z99" s="16" t="e">
        <f t="shared" si="21"/>
        <v>#DIV/0!</v>
      </c>
      <c r="AA99" s="16" t="e">
        <f>$K99/$H99</f>
        <v>#DIV/0!</v>
      </c>
      <c r="AB99" s="16">
        <f t="shared" si="22"/>
        <v>0</v>
      </c>
    </row>
    <row r="100" spans="1:28" x14ac:dyDescent="0.2">
      <c r="A100" s="15" t="s">
        <v>1122</v>
      </c>
      <c r="B100" s="15" t="s">
        <v>38</v>
      </c>
      <c r="C100" s="15">
        <v>28</v>
      </c>
      <c r="D100" s="15">
        <v>8</v>
      </c>
      <c r="E100" s="15" t="s">
        <v>102</v>
      </c>
      <c r="F100" s="15" t="s">
        <v>1075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f t="shared" si="17"/>
        <v>0</v>
      </c>
      <c r="W100" s="15" t="e">
        <f t="shared" si="18"/>
        <v>#DIV/0!</v>
      </c>
      <c r="X100" s="15" t="e">
        <f t="shared" si="19"/>
        <v>#DIV/0!</v>
      </c>
      <c r="Y100" s="15" t="e">
        <f t="shared" si="20"/>
        <v>#DIV/0!</v>
      </c>
      <c r="Z100" s="15" t="e">
        <f t="shared" si="21"/>
        <v>#DIV/0!</v>
      </c>
      <c r="AA100" s="15" t="e">
        <f>$K100/$H100</f>
        <v>#DIV/0!</v>
      </c>
      <c r="AB100" s="15">
        <f t="shared" si="22"/>
        <v>0</v>
      </c>
    </row>
    <row r="101" spans="1:28" x14ac:dyDescent="0.2">
      <c r="A101" s="16" t="s">
        <v>1123</v>
      </c>
      <c r="B101" s="16" t="s">
        <v>38</v>
      </c>
      <c r="C101" s="16">
        <v>26</v>
      </c>
      <c r="D101" s="16">
        <v>4</v>
      </c>
      <c r="E101" s="16" t="s">
        <v>415</v>
      </c>
      <c r="F101" s="16" t="s">
        <v>1075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f t="shared" si="17"/>
        <v>0</v>
      </c>
      <c r="W101" s="16" t="e">
        <f t="shared" si="18"/>
        <v>#DIV/0!</v>
      </c>
      <c r="X101" s="16" t="e">
        <f t="shared" si="19"/>
        <v>#DIV/0!</v>
      </c>
      <c r="Y101" s="16" t="e">
        <f t="shared" si="20"/>
        <v>#DIV/0!</v>
      </c>
      <c r="Z101" s="16" t="e">
        <f t="shared" si="21"/>
        <v>#DIV/0!</v>
      </c>
      <c r="AA101" s="16" t="e">
        <f>$K101/$H101</f>
        <v>#DIV/0!</v>
      </c>
      <c r="AB101" s="16">
        <f t="shared" si="22"/>
        <v>0</v>
      </c>
    </row>
    <row r="102" spans="1:28" x14ac:dyDescent="0.2">
      <c r="A102" s="15" t="s">
        <v>1124</v>
      </c>
      <c r="B102" s="15" t="s">
        <v>38</v>
      </c>
      <c r="C102" s="15">
        <v>22</v>
      </c>
      <c r="D102" s="15">
        <v>0</v>
      </c>
      <c r="E102" s="15" t="s">
        <v>362</v>
      </c>
      <c r="F102" s="15" t="s">
        <v>1075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f t="shared" si="17"/>
        <v>0</v>
      </c>
      <c r="W102" s="15" t="e">
        <f t="shared" si="18"/>
        <v>#DIV/0!</v>
      </c>
      <c r="X102" s="15" t="e">
        <f t="shared" si="19"/>
        <v>#DIV/0!</v>
      </c>
      <c r="Y102" s="15" t="e">
        <f t="shared" si="20"/>
        <v>#DIV/0!</v>
      </c>
      <c r="Z102" s="15" t="e">
        <f t="shared" si="21"/>
        <v>#DIV/0!</v>
      </c>
      <c r="AA102" s="15" t="e">
        <f>$K102/$H102</f>
        <v>#DIV/0!</v>
      </c>
      <c r="AB102" s="15">
        <f t="shared" si="22"/>
        <v>0</v>
      </c>
    </row>
    <row r="103" spans="1:28" x14ac:dyDescent="0.2">
      <c r="A103" s="16" t="s">
        <v>1166</v>
      </c>
      <c r="B103" s="16" t="s">
        <v>38</v>
      </c>
      <c r="C103" s="16">
        <v>25</v>
      </c>
      <c r="D103" s="16">
        <v>2</v>
      </c>
      <c r="E103" s="16" t="s">
        <v>1167</v>
      </c>
      <c r="F103" s="16" t="s">
        <v>1127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f t="shared" si="17"/>
        <v>0</v>
      </c>
      <c r="W103" s="16" t="e">
        <f t="shared" si="18"/>
        <v>#DIV/0!</v>
      </c>
      <c r="X103" s="16" t="e">
        <f t="shared" si="19"/>
        <v>#DIV/0!</v>
      </c>
      <c r="Y103" s="16" t="e">
        <f t="shared" si="20"/>
        <v>#DIV/0!</v>
      </c>
      <c r="Z103" s="16" t="e">
        <f t="shared" si="21"/>
        <v>#DIV/0!</v>
      </c>
      <c r="AA103" s="16" t="e">
        <f>$K103/$H103</f>
        <v>#DIV/0!</v>
      </c>
      <c r="AB103" s="16">
        <f t="shared" si="22"/>
        <v>0</v>
      </c>
    </row>
    <row r="104" spans="1:28" x14ac:dyDescent="0.2">
      <c r="A104" s="15" t="s">
        <v>1168</v>
      </c>
      <c r="B104" s="15" t="s">
        <v>38</v>
      </c>
      <c r="C104" s="15">
        <v>22</v>
      </c>
      <c r="D104" s="15">
        <v>0</v>
      </c>
      <c r="E104" s="15" t="s">
        <v>102</v>
      </c>
      <c r="F104" s="15" t="s">
        <v>1127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f t="shared" si="17"/>
        <v>0</v>
      </c>
      <c r="W104" s="15" t="e">
        <f t="shared" si="18"/>
        <v>#DIV/0!</v>
      </c>
      <c r="X104" s="15" t="e">
        <f t="shared" si="19"/>
        <v>#DIV/0!</v>
      </c>
      <c r="Y104" s="15" t="e">
        <f t="shared" si="20"/>
        <v>#DIV/0!</v>
      </c>
      <c r="Z104" s="15" t="e">
        <f t="shared" si="21"/>
        <v>#DIV/0!</v>
      </c>
      <c r="AA104" s="15" t="e">
        <f>$K104/$H104</f>
        <v>#DIV/0!</v>
      </c>
      <c r="AB104" s="15">
        <f t="shared" si="22"/>
        <v>0</v>
      </c>
    </row>
    <row r="105" spans="1:28" x14ac:dyDescent="0.2">
      <c r="A105" s="16" t="s">
        <v>1169</v>
      </c>
      <c r="B105" s="16" t="s">
        <v>38</v>
      </c>
      <c r="C105" s="16">
        <v>23</v>
      </c>
      <c r="D105" s="16">
        <v>0</v>
      </c>
      <c r="E105" s="16" t="s">
        <v>1170</v>
      </c>
      <c r="F105" s="16" t="s">
        <v>1127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f t="shared" si="17"/>
        <v>0</v>
      </c>
      <c r="W105" s="16" t="e">
        <f t="shared" si="18"/>
        <v>#DIV/0!</v>
      </c>
      <c r="X105" s="16" t="e">
        <f t="shared" si="19"/>
        <v>#DIV/0!</v>
      </c>
      <c r="Y105" s="16" t="e">
        <f t="shared" si="20"/>
        <v>#DIV/0!</v>
      </c>
      <c r="Z105" s="16" t="e">
        <f t="shared" si="21"/>
        <v>#DIV/0!</v>
      </c>
      <c r="AA105" s="16" t="e">
        <f>$K105/$H105</f>
        <v>#DIV/0!</v>
      </c>
      <c r="AB105" s="16">
        <f t="shared" si="22"/>
        <v>0</v>
      </c>
    </row>
    <row r="106" spans="1:28" x14ac:dyDescent="0.2">
      <c r="A106" s="15" t="s">
        <v>1171</v>
      </c>
      <c r="B106" s="15" t="s">
        <v>38</v>
      </c>
      <c r="C106" s="15">
        <v>30</v>
      </c>
      <c r="D106" s="15">
        <v>9</v>
      </c>
      <c r="E106" s="15" t="s">
        <v>215</v>
      </c>
      <c r="F106" s="15" t="s">
        <v>1127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f t="shared" si="17"/>
        <v>0</v>
      </c>
      <c r="W106" s="15" t="e">
        <f t="shared" si="18"/>
        <v>#DIV/0!</v>
      </c>
      <c r="X106" s="15" t="e">
        <f t="shared" si="19"/>
        <v>#DIV/0!</v>
      </c>
      <c r="Y106" s="15" t="e">
        <f t="shared" si="20"/>
        <v>#DIV/0!</v>
      </c>
      <c r="Z106" s="15" t="e">
        <f t="shared" si="21"/>
        <v>#DIV/0!</v>
      </c>
      <c r="AA106" s="15" t="e">
        <f>$K106/$H106</f>
        <v>#DIV/0!</v>
      </c>
      <c r="AB106" s="15">
        <f t="shared" si="22"/>
        <v>0</v>
      </c>
    </row>
    <row r="107" spans="1:28" x14ac:dyDescent="0.2">
      <c r="A107" s="16" t="s">
        <v>1172</v>
      </c>
      <c r="B107" s="16" t="s">
        <v>38</v>
      </c>
      <c r="C107" s="16">
        <v>29</v>
      </c>
      <c r="D107" s="16">
        <v>6</v>
      </c>
      <c r="E107" s="16" t="s">
        <v>1173</v>
      </c>
      <c r="F107" s="16" t="s">
        <v>1127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f t="shared" si="17"/>
        <v>0</v>
      </c>
      <c r="W107" s="16" t="e">
        <f t="shared" si="18"/>
        <v>#DIV/0!</v>
      </c>
      <c r="X107" s="16" t="e">
        <f t="shared" si="19"/>
        <v>#DIV/0!</v>
      </c>
      <c r="Y107" s="16" t="e">
        <f t="shared" si="20"/>
        <v>#DIV/0!</v>
      </c>
      <c r="Z107" s="16" t="e">
        <f t="shared" si="21"/>
        <v>#DIV/0!</v>
      </c>
      <c r="AA107" s="16" t="e">
        <f>$K107/$H107</f>
        <v>#DIV/0!</v>
      </c>
      <c r="AB107" s="16">
        <f t="shared" si="22"/>
        <v>0</v>
      </c>
    </row>
    <row r="108" spans="1:28" x14ac:dyDescent="0.2">
      <c r="A108" s="15" t="s">
        <v>1215</v>
      </c>
      <c r="B108" s="15" t="s">
        <v>38</v>
      </c>
      <c r="C108" s="15">
        <v>26</v>
      </c>
      <c r="D108" s="15">
        <v>5</v>
      </c>
      <c r="E108" s="15" t="s">
        <v>100</v>
      </c>
      <c r="F108" s="15" t="s">
        <v>1176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f t="shared" si="17"/>
        <v>0</v>
      </c>
      <c r="W108" s="15" t="e">
        <f t="shared" si="18"/>
        <v>#DIV/0!</v>
      </c>
      <c r="X108" s="15" t="e">
        <f t="shared" si="19"/>
        <v>#DIV/0!</v>
      </c>
      <c r="Y108" s="15" t="e">
        <f t="shared" si="20"/>
        <v>#DIV/0!</v>
      </c>
      <c r="Z108" s="15" t="e">
        <f t="shared" si="21"/>
        <v>#DIV/0!</v>
      </c>
      <c r="AA108" s="15" t="e">
        <f>$K108/$H108</f>
        <v>#DIV/0!</v>
      </c>
      <c r="AB108" s="15">
        <f t="shared" si="22"/>
        <v>0</v>
      </c>
    </row>
    <row r="109" spans="1:28" x14ac:dyDescent="0.2">
      <c r="A109" s="16" t="s">
        <v>1216</v>
      </c>
      <c r="B109" s="16" t="s">
        <v>38</v>
      </c>
      <c r="C109" s="16">
        <v>28</v>
      </c>
      <c r="D109" s="16">
        <v>6</v>
      </c>
      <c r="E109" s="16" t="s">
        <v>205</v>
      </c>
      <c r="F109" s="16" t="s">
        <v>1176</v>
      </c>
      <c r="G109" s="16">
        <v>0</v>
      </c>
      <c r="H109" s="16">
        <v>0</v>
      </c>
      <c r="I109" s="16">
        <v>0</v>
      </c>
      <c r="J109" s="16">
        <v>0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f t="shared" si="17"/>
        <v>0</v>
      </c>
      <c r="W109" s="16" t="e">
        <f t="shared" si="18"/>
        <v>#DIV/0!</v>
      </c>
      <c r="X109" s="16" t="e">
        <f t="shared" si="19"/>
        <v>#DIV/0!</v>
      </c>
      <c r="Y109" s="16" t="e">
        <f t="shared" si="20"/>
        <v>#DIV/0!</v>
      </c>
      <c r="Z109" s="16" t="e">
        <f t="shared" si="21"/>
        <v>#DIV/0!</v>
      </c>
      <c r="AA109" s="16" t="e">
        <f>$K109/$H109</f>
        <v>#DIV/0!</v>
      </c>
      <c r="AB109" s="16">
        <f t="shared" si="22"/>
        <v>0</v>
      </c>
    </row>
    <row r="110" spans="1:28" x14ac:dyDescent="0.2">
      <c r="A110" s="15" t="s">
        <v>1217</v>
      </c>
      <c r="B110" s="15" t="s">
        <v>38</v>
      </c>
      <c r="C110" s="15">
        <v>24</v>
      </c>
      <c r="D110" s="15">
        <v>2</v>
      </c>
      <c r="E110" s="15" t="s">
        <v>341</v>
      </c>
      <c r="F110" s="15" t="s">
        <v>1176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f t="shared" si="17"/>
        <v>0</v>
      </c>
      <c r="W110" s="15" t="e">
        <f t="shared" si="18"/>
        <v>#DIV/0!</v>
      </c>
      <c r="X110" s="15" t="e">
        <f t="shared" si="19"/>
        <v>#DIV/0!</v>
      </c>
      <c r="Y110" s="15" t="e">
        <f t="shared" si="20"/>
        <v>#DIV/0!</v>
      </c>
      <c r="Z110" s="15" t="e">
        <f t="shared" si="21"/>
        <v>#DIV/0!</v>
      </c>
      <c r="AA110" s="15" t="e">
        <f>$K110/$H110</f>
        <v>#DIV/0!</v>
      </c>
      <c r="AB110" s="15">
        <f t="shared" si="22"/>
        <v>0</v>
      </c>
    </row>
    <row r="111" spans="1:28" x14ac:dyDescent="0.2">
      <c r="A111" s="16" t="s">
        <v>1218</v>
      </c>
      <c r="B111" s="16" t="s">
        <v>38</v>
      </c>
      <c r="C111" s="16">
        <v>26</v>
      </c>
      <c r="D111" s="16">
        <v>5</v>
      </c>
      <c r="E111" s="16" t="s">
        <v>894</v>
      </c>
      <c r="F111" s="16" t="s">
        <v>1176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T111" s="16">
        <v>0</v>
      </c>
      <c r="U111" s="16">
        <v>0</v>
      </c>
      <c r="V111" s="16">
        <f t="shared" si="17"/>
        <v>0</v>
      </c>
      <c r="W111" s="16" t="e">
        <f t="shared" si="18"/>
        <v>#DIV/0!</v>
      </c>
      <c r="X111" s="16" t="e">
        <f t="shared" si="19"/>
        <v>#DIV/0!</v>
      </c>
      <c r="Y111" s="16" t="e">
        <f t="shared" si="20"/>
        <v>#DIV/0!</v>
      </c>
      <c r="Z111" s="16" t="e">
        <f t="shared" si="21"/>
        <v>#DIV/0!</v>
      </c>
      <c r="AA111" s="16" t="e">
        <f>$K111/$H111</f>
        <v>#DIV/0!</v>
      </c>
      <c r="AB111" s="16">
        <f t="shared" si="22"/>
        <v>0</v>
      </c>
    </row>
    <row r="112" spans="1:28" x14ac:dyDescent="0.2">
      <c r="A112" s="15" t="s">
        <v>1219</v>
      </c>
      <c r="B112" s="15" t="s">
        <v>38</v>
      </c>
      <c r="C112" s="15">
        <v>23</v>
      </c>
      <c r="D112" s="15">
        <v>0</v>
      </c>
      <c r="E112" s="15" t="s">
        <v>393</v>
      </c>
      <c r="F112" s="15" t="s">
        <v>1176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v>0</v>
      </c>
      <c r="V112" s="15">
        <f t="shared" si="17"/>
        <v>0</v>
      </c>
      <c r="W112" s="15" t="e">
        <f t="shared" si="18"/>
        <v>#DIV/0!</v>
      </c>
      <c r="X112" s="15" t="e">
        <f t="shared" si="19"/>
        <v>#DIV/0!</v>
      </c>
      <c r="Y112" s="15" t="e">
        <f t="shared" si="20"/>
        <v>#DIV/0!</v>
      </c>
      <c r="Z112" s="15" t="e">
        <f t="shared" si="21"/>
        <v>#DIV/0!</v>
      </c>
      <c r="AA112" s="15" t="e">
        <f>$K112/$H112</f>
        <v>#DIV/0!</v>
      </c>
      <c r="AB112" s="15">
        <f t="shared" si="22"/>
        <v>0</v>
      </c>
    </row>
    <row r="113" spans="1:28" x14ac:dyDescent="0.2">
      <c r="A113" s="16" t="s">
        <v>1263</v>
      </c>
      <c r="B113" s="16" t="s">
        <v>38</v>
      </c>
      <c r="C113" s="16">
        <v>28</v>
      </c>
      <c r="D113" s="16">
        <v>6</v>
      </c>
      <c r="E113" s="16" t="s">
        <v>998</v>
      </c>
      <c r="F113" s="16" t="s">
        <v>1222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f t="shared" si="17"/>
        <v>0</v>
      </c>
      <c r="W113" s="16" t="e">
        <f t="shared" si="18"/>
        <v>#DIV/0!</v>
      </c>
      <c r="X113" s="16" t="e">
        <f t="shared" si="19"/>
        <v>#DIV/0!</v>
      </c>
      <c r="Y113" s="16" t="e">
        <f t="shared" si="20"/>
        <v>#DIV/0!</v>
      </c>
      <c r="Z113" s="16" t="e">
        <f t="shared" si="21"/>
        <v>#DIV/0!</v>
      </c>
      <c r="AA113" s="16" t="e">
        <f>$K113/$H113</f>
        <v>#DIV/0!</v>
      </c>
      <c r="AB113" s="16">
        <f t="shared" si="22"/>
        <v>0</v>
      </c>
    </row>
    <row r="114" spans="1:28" x14ac:dyDescent="0.2">
      <c r="A114" s="15" t="s">
        <v>1264</v>
      </c>
      <c r="B114" s="15" t="s">
        <v>38</v>
      </c>
      <c r="C114" s="15">
        <v>27</v>
      </c>
      <c r="D114" s="15">
        <v>6</v>
      </c>
      <c r="E114" s="15" t="s">
        <v>339</v>
      </c>
      <c r="F114" s="15" t="s">
        <v>1222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f t="shared" si="17"/>
        <v>0</v>
      </c>
      <c r="W114" s="15" t="e">
        <f t="shared" si="18"/>
        <v>#DIV/0!</v>
      </c>
      <c r="X114" s="15" t="e">
        <f t="shared" si="19"/>
        <v>#DIV/0!</v>
      </c>
      <c r="Y114" s="15" t="e">
        <f t="shared" si="20"/>
        <v>#DIV/0!</v>
      </c>
      <c r="Z114" s="15" t="e">
        <f t="shared" si="21"/>
        <v>#DIV/0!</v>
      </c>
      <c r="AA114" s="15" t="e">
        <f>$K114/$H114</f>
        <v>#DIV/0!</v>
      </c>
      <c r="AB114" s="15">
        <f t="shared" si="22"/>
        <v>0</v>
      </c>
    </row>
    <row r="115" spans="1:28" x14ac:dyDescent="0.2">
      <c r="A115" s="16" t="s">
        <v>1265</v>
      </c>
      <c r="B115" s="16" t="s">
        <v>38</v>
      </c>
      <c r="C115" s="16">
        <v>28</v>
      </c>
      <c r="D115" s="16">
        <v>8</v>
      </c>
      <c r="E115" s="16" t="s">
        <v>175</v>
      </c>
      <c r="F115" s="16" t="s">
        <v>1222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f t="shared" si="17"/>
        <v>0</v>
      </c>
      <c r="W115" s="16" t="e">
        <f t="shared" si="18"/>
        <v>#DIV/0!</v>
      </c>
      <c r="X115" s="16" t="e">
        <f t="shared" si="19"/>
        <v>#DIV/0!</v>
      </c>
      <c r="Y115" s="16" t="e">
        <f t="shared" si="20"/>
        <v>#DIV/0!</v>
      </c>
      <c r="Z115" s="16" t="e">
        <f t="shared" si="21"/>
        <v>#DIV/0!</v>
      </c>
      <c r="AA115" s="16" t="e">
        <f>$K115/$H115</f>
        <v>#DIV/0!</v>
      </c>
      <c r="AB115" s="16">
        <f t="shared" si="22"/>
        <v>0</v>
      </c>
    </row>
    <row r="116" spans="1:28" x14ac:dyDescent="0.2">
      <c r="A116" s="15" t="s">
        <v>1266</v>
      </c>
      <c r="B116" s="15" t="s">
        <v>38</v>
      </c>
      <c r="C116" s="15">
        <v>25</v>
      </c>
      <c r="D116" s="15">
        <v>0</v>
      </c>
      <c r="E116" s="15" t="s">
        <v>574</v>
      </c>
      <c r="F116" s="15" t="s">
        <v>1222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f t="shared" si="17"/>
        <v>0</v>
      </c>
      <c r="W116" s="15" t="e">
        <f t="shared" si="18"/>
        <v>#DIV/0!</v>
      </c>
      <c r="X116" s="15" t="e">
        <f t="shared" si="19"/>
        <v>#DIV/0!</v>
      </c>
      <c r="Y116" s="15" t="e">
        <f t="shared" si="20"/>
        <v>#DIV/0!</v>
      </c>
      <c r="Z116" s="15" t="e">
        <f t="shared" si="21"/>
        <v>#DIV/0!</v>
      </c>
      <c r="AA116" s="15" t="e">
        <f>$K116/$H116</f>
        <v>#DIV/0!</v>
      </c>
      <c r="AB116" s="15">
        <f t="shared" si="22"/>
        <v>0</v>
      </c>
    </row>
    <row r="117" spans="1:28" x14ac:dyDescent="0.2">
      <c r="A117" s="16" t="s">
        <v>1267</v>
      </c>
      <c r="B117" s="16" t="s">
        <v>38</v>
      </c>
      <c r="C117" s="16">
        <v>27</v>
      </c>
      <c r="D117" s="16">
        <v>1</v>
      </c>
      <c r="E117" s="16" t="s">
        <v>744</v>
      </c>
      <c r="F117" s="16" t="s">
        <v>1222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T117" s="16">
        <v>0</v>
      </c>
      <c r="U117" s="16">
        <v>0</v>
      </c>
      <c r="V117" s="16">
        <f t="shared" si="17"/>
        <v>0</v>
      </c>
      <c r="W117" s="16" t="e">
        <f t="shared" si="18"/>
        <v>#DIV/0!</v>
      </c>
      <c r="X117" s="16" t="e">
        <f t="shared" si="19"/>
        <v>#DIV/0!</v>
      </c>
      <c r="Y117" s="16" t="e">
        <f t="shared" si="20"/>
        <v>#DIV/0!</v>
      </c>
      <c r="Z117" s="16" t="e">
        <f t="shared" si="21"/>
        <v>#DIV/0!</v>
      </c>
      <c r="AA117" s="16" t="e">
        <f>$K117/$H117</f>
        <v>#DIV/0!</v>
      </c>
      <c r="AB117" s="16">
        <f t="shared" si="22"/>
        <v>0</v>
      </c>
    </row>
    <row r="118" spans="1:28" x14ac:dyDescent="0.2">
      <c r="A118" s="15" t="s">
        <v>1312</v>
      </c>
      <c r="B118" s="15" t="s">
        <v>38</v>
      </c>
      <c r="C118" s="15">
        <v>36</v>
      </c>
      <c r="D118" s="15">
        <v>13</v>
      </c>
      <c r="E118" s="15" t="s">
        <v>397</v>
      </c>
      <c r="F118" s="15" t="s">
        <v>1270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v>0</v>
      </c>
      <c r="V118" s="15">
        <f t="shared" si="17"/>
        <v>0</v>
      </c>
      <c r="W118" s="15" t="e">
        <f t="shared" si="18"/>
        <v>#DIV/0!</v>
      </c>
      <c r="X118" s="15" t="e">
        <f t="shared" si="19"/>
        <v>#DIV/0!</v>
      </c>
      <c r="Y118" s="15" t="e">
        <f t="shared" si="20"/>
        <v>#DIV/0!</v>
      </c>
      <c r="Z118" s="15" t="e">
        <f t="shared" si="21"/>
        <v>#DIV/0!</v>
      </c>
      <c r="AA118" s="15" t="e">
        <f>$K118/$H118</f>
        <v>#DIV/0!</v>
      </c>
      <c r="AB118" s="15">
        <f t="shared" si="22"/>
        <v>0</v>
      </c>
    </row>
    <row r="119" spans="1:28" x14ac:dyDescent="0.2">
      <c r="A119" s="16" t="s">
        <v>1313</v>
      </c>
      <c r="B119" s="16" t="s">
        <v>38</v>
      </c>
      <c r="C119" s="16">
        <v>32</v>
      </c>
      <c r="D119" s="16">
        <v>7</v>
      </c>
      <c r="E119" s="16" t="s">
        <v>82</v>
      </c>
      <c r="F119" s="16" t="s">
        <v>1270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T119" s="16">
        <v>0</v>
      </c>
      <c r="U119" s="16">
        <v>0</v>
      </c>
      <c r="V119" s="16">
        <f t="shared" si="17"/>
        <v>0</v>
      </c>
      <c r="W119" s="16" t="e">
        <f t="shared" si="18"/>
        <v>#DIV/0!</v>
      </c>
      <c r="X119" s="16" t="e">
        <f t="shared" si="19"/>
        <v>#DIV/0!</v>
      </c>
      <c r="Y119" s="16" t="e">
        <f t="shared" si="20"/>
        <v>#DIV/0!</v>
      </c>
      <c r="Z119" s="16" t="e">
        <f t="shared" si="21"/>
        <v>#DIV/0!</v>
      </c>
      <c r="AA119" s="16" t="e">
        <f>$K119/$H119</f>
        <v>#DIV/0!</v>
      </c>
      <c r="AB119" s="16">
        <f t="shared" si="22"/>
        <v>0</v>
      </c>
    </row>
    <row r="120" spans="1:28" x14ac:dyDescent="0.2">
      <c r="A120" s="15" t="s">
        <v>1314</v>
      </c>
      <c r="B120" s="15" t="s">
        <v>38</v>
      </c>
      <c r="C120" s="15">
        <v>29</v>
      </c>
      <c r="D120" s="15">
        <v>7</v>
      </c>
      <c r="E120" s="15" t="s">
        <v>74</v>
      </c>
      <c r="F120" s="15" t="s">
        <v>1270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f t="shared" si="17"/>
        <v>0</v>
      </c>
      <c r="W120" s="15" t="e">
        <f t="shared" si="18"/>
        <v>#DIV/0!</v>
      </c>
      <c r="X120" s="15" t="e">
        <f t="shared" si="19"/>
        <v>#DIV/0!</v>
      </c>
      <c r="Y120" s="15" t="e">
        <f t="shared" si="20"/>
        <v>#DIV/0!</v>
      </c>
      <c r="Z120" s="15" t="e">
        <f t="shared" si="21"/>
        <v>#DIV/0!</v>
      </c>
      <c r="AA120" s="15" t="e">
        <f>$K120/$H120</f>
        <v>#DIV/0!</v>
      </c>
      <c r="AB120" s="15">
        <f t="shared" si="22"/>
        <v>0</v>
      </c>
    </row>
    <row r="121" spans="1:28" x14ac:dyDescent="0.2">
      <c r="A121" s="16" t="s">
        <v>1315</v>
      </c>
      <c r="B121" s="16" t="s">
        <v>38</v>
      </c>
      <c r="C121" s="16">
        <v>29</v>
      </c>
      <c r="D121" s="16">
        <v>9</v>
      </c>
      <c r="E121" s="16" t="s">
        <v>339</v>
      </c>
      <c r="F121" s="16" t="s">
        <v>1270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f t="shared" si="17"/>
        <v>0</v>
      </c>
      <c r="W121" s="16" t="e">
        <f t="shared" si="18"/>
        <v>#DIV/0!</v>
      </c>
      <c r="X121" s="16" t="e">
        <f t="shared" si="19"/>
        <v>#DIV/0!</v>
      </c>
      <c r="Y121" s="16" t="e">
        <f t="shared" si="20"/>
        <v>#DIV/0!</v>
      </c>
      <c r="Z121" s="16" t="e">
        <f t="shared" si="21"/>
        <v>#DIV/0!</v>
      </c>
      <c r="AA121" s="16" t="e">
        <f>$K121/$H121</f>
        <v>#DIV/0!</v>
      </c>
      <c r="AB121" s="16">
        <f t="shared" si="22"/>
        <v>0</v>
      </c>
    </row>
    <row r="122" spans="1:28" x14ac:dyDescent="0.2">
      <c r="A122" s="15" t="s">
        <v>1316</v>
      </c>
      <c r="B122" s="15" t="s">
        <v>38</v>
      </c>
      <c r="C122" s="15">
        <v>26</v>
      </c>
      <c r="D122" s="15">
        <v>4</v>
      </c>
      <c r="E122" s="15" t="s">
        <v>205</v>
      </c>
      <c r="F122" s="15" t="s">
        <v>1270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f t="shared" si="17"/>
        <v>0</v>
      </c>
      <c r="W122" s="15" t="e">
        <f t="shared" si="18"/>
        <v>#DIV/0!</v>
      </c>
      <c r="X122" s="15" t="e">
        <f t="shared" si="19"/>
        <v>#DIV/0!</v>
      </c>
      <c r="Y122" s="15" t="e">
        <f t="shared" si="20"/>
        <v>#DIV/0!</v>
      </c>
      <c r="Z122" s="15" t="e">
        <f t="shared" si="21"/>
        <v>#DIV/0!</v>
      </c>
      <c r="AA122" s="15" t="e">
        <f>$K122/$H122</f>
        <v>#DIV/0!</v>
      </c>
      <c r="AB122" s="15">
        <f t="shared" si="22"/>
        <v>0</v>
      </c>
    </row>
    <row r="123" spans="1:28" x14ac:dyDescent="0.2">
      <c r="A123" s="16" t="s">
        <v>1317</v>
      </c>
      <c r="B123" s="16" t="s">
        <v>38</v>
      </c>
      <c r="C123" s="16">
        <v>25</v>
      </c>
      <c r="D123" s="16">
        <v>1</v>
      </c>
      <c r="E123" s="16" t="s">
        <v>74</v>
      </c>
      <c r="F123" s="16" t="s">
        <v>1270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f t="shared" si="17"/>
        <v>0</v>
      </c>
      <c r="W123" s="16" t="e">
        <f t="shared" si="18"/>
        <v>#DIV/0!</v>
      </c>
      <c r="X123" s="16" t="e">
        <f t="shared" si="19"/>
        <v>#DIV/0!</v>
      </c>
      <c r="Y123" s="16" t="e">
        <f t="shared" si="20"/>
        <v>#DIV/0!</v>
      </c>
      <c r="Z123" s="16" t="e">
        <f t="shared" si="21"/>
        <v>#DIV/0!</v>
      </c>
      <c r="AA123" s="16" t="e">
        <f>$K123/$H123</f>
        <v>#DIV/0!</v>
      </c>
      <c r="AB123" s="16">
        <f t="shared" si="22"/>
        <v>0</v>
      </c>
    </row>
    <row r="124" spans="1:28" x14ac:dyDescent="0.2">
      <c r="A124" s="15" t="s">
        <v>1359</v>
      </c>
      <c r="B124" s="15" t="s">
        <v>38</v>
      </c>
      <c r="C124" s="15">
        <v>22</v>
      </c>
      <c r="D124" s="15">
        <v>2</v>
      </c>
      <c r="E124" s="15" t="s">
        <v>795</v>
      </c>
      <c r="F124" s="15" t="s">
        <v>1320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0</v>
      </c>
      <c r="U124" s="15">
        <v>0</v>
      </c>
      <c r="V124" s="15">
        <f>($J124*0.04)+($K124*4)+($L124*-2)+($N124*0.1)+($O124*6)+($Q124)+($R124*0.1)+($S124*6)+($T124*-2)</f>
        <v>0</v>
      </c>
      <c r="W124" s="15" t="e">
        <f>$P124/$H$33</f>
        <v>#DIV/0!</v>
      </c>
      <c r="X124" s="15" t="e">
        <f>$N124/$M124</f>
        <v>#DIV/0!</v>
      </c>
      <c r="Y124" s="15" t="e">
        <f>$R124/$Q124</f>
        <v>#DIV/0!</v>
      </c>
      <c r="Z124" s="15" t="e">
        <f>$I124/$H124</f>
        <v>#DIV/0!</v>
      </c>
      <c r="AA124" s="15" t="e">
        <f>$J124/$H124</f>
        <v>#DIV/0!</v>
      </c>
      <c r="AB124" s="15">
        <f>($J124*Cp_yd)+($K124*Cp_td)+($L124*Cint)+($M124*Ccar)+($N124*Cr_yd)+($O124*Cr_td)+(Q124*Crec)+($R124*Crec_yd)+($S124*Crec_td)+($T124*Cfmb)+($U124*Ctp_c)</f>
        <v>0</v>
      </c>
    </row>
    <row r="125" spans="1:28" x14ac:dyDescent="0.2">
      <c r="A125" s="16" t="s">
        <v>1360</v>
      </c>
      <c r="B125" s="16" t="s">
        <v>38</v>
      </c>
      <c r="C125" s="16">
        <v>25</v>
      </c>
      <c r="D125" s="16">
        <v>3</v>
      </c>
      <c r="E125" s="16" t="s">
        <v>173</v>
      </c>
      <c r="F125" s="16" t="s">
        <v>1320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f>($J125*0.04)+($K125*4)+($L125*-2)+($N125*0.1)+($O125*6)+($Q125)+($R125*0.1)+($S125*6)+($T125*-2)</f>
        <v>0</v>
      </c>
      <c r="W125" s="16" t="e">
        <f>$P125/$H$33</f>
        <v>#DIV/0!</v>
      </c>
      <c r="X125" s="16" t="e">
        <f>$N125/$M125</f>
        <v>#DIV/0!</v>
      </c>
      <c r="Y125" s="16" t="e">
        <f>$R125/$Q125</f>
        <v>#DIV/0!</v>
      </c>
      <c r="Z125" s="16" t="e">
        <f>$I125/$H125</f>
        <v>#DIV/0!</v>
      </c>
      <c r="AA125" s="16" t="e">
        <f>$J125/$H125</f>
        <v>#DIV/0!</v>
      </c>
      <c r="AB125" s="16">
        <f>($J125*Cp_yd)+($K125*Cp_td)+($L125*Cint)+($M125*Ccar)+($N125*Cr_yd)+($O125*Cr_td)+(Q125*Crec)+($R125*Crec_yd)+($S125*Crec_td)+($T125*Cfmb)+($U125*Ctp_c)</f>
        <v>0</v>
      </c>
    </row>
    <row r="126" spans="1:28" x14ac:dyDescent="0.2">
      <c r="A126" s="15" t="s">
        <v>1361</v>
      </c>
      <c r="B126" s="15" t="s">
        <v>38</v>
      </c>
      <c r="C126" s="15">
        <v>23</v>
      </c>
      <c r="D126" s="15">
        <v>0</v>
      </c>
      <c r="E126" s="15" t="s">
        <v>220</v>
      </c>
      <c r="F126" s="15" t="s">
        <v>1320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f>($J126*0.04)+($K126*4)+($L126*-2)+($N126*0.1)+($O126*6)+($Q126)+($R126*0.1)+($S126*6)+($T126*-2)</f>
        <v>0</v>
      </c>
      <c r="W126" s="15" t="e">
        <f>$P126/$H$33</f>
        <v>#DIV/0!</v>
      </c>
      <c r="X126" s="15" t="e">
        <f>$N126/$M126</f>
        <v>#DIV/0!</v>
      </c>
      <c r="Y126" s="15" t="e">
        <f>$R126/$Q126</f>
        <v>#DIV/0!</v>
      </c>
      <c r="Z126" s="15" t="e">
        <f>$I126/$H126</f>
        <v>#DIV/0!</v>
      </c>
      <c r="AA126" s="15" t="e">
        <f>$J126/$H126</f>
        <v>#DIV/0!</v>
      </c>
      <c r="AB126" s="15">
        <f>($J126*Cp_yd)+($K126*Cp_td)+($L126*Cint)+($M126*Ccar)+($N126*Cr_yd)+($O126*Cr_td)+(Q126*Crec)+($R126*Crec_yd)+($S126*Crec_td)+($T126*Cfmb)+($U126*Ctp_c)</f>
        <v>0</v>
      </c>
    </row>
    <row r="127" spans="1:28" x14ac:dyDescent="0.2">
      <c r="A127" s="16" t="s">
        <v>1362</v>
      </c>
      <c r="B127" s="16" t="s">
        <v>38</v>
      </c>
      <c r="C127" s="16">
        <v>28</v>
      </c>
      <c r="D127" s="16">
        <v>5</v>
      </c>
      <c r="E127" s="16" t="s">
        <v>235</v>
      </c>
      <c r="F127" s="16" t="s">
        <v>1320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f>($J127*0.04)+($K127*4)+($L127*-2)+($N127*0.1)+($O127*6)+($Q127)+($R127*0.1)+($S127*6)+($T127*-2)</f>
        <v>0</v>
      </c>
      <c r="W127" s="16" t="e">
        <f>$P127/$H$33</f>
        <v>#DIV/0!</v>
      </c>
      <c r="X127" s="16" t="e">
        <f>$N127/$M127</f>
        <v>#DIV/0!</v>
      </c>
      <c r="Y127" s="16" t="e">
        <f>$R127/$Q127</f>
        <v>#DIV/0!</v>
      </c>
      <c r="Z127" s="16" t="e">
        <f>$I127/$H127</f>
        <v>#DIV/0!</v>
      </c>
      <c r="AA127" s="16" t="e">
        <f>$J127/$H127</f>
        <v>#DIV/0!</v>
      </c>
      <c r="AB127" s="16">
        <f>($J127*Cp_yd)+($K127*Cp_td)+($L127*Cint)+($M127*Ccar)+($N127*Cr_yd)+($O127*Cr_td)+(Q127*Crec)+($R127*Crec_yd)+($S127*Crec_td)+($T127*Cfmb)+($U127*Ctp_c)</f>
        <v>0</v>
      </c>
    </row>
    <row r="128" spans="1:28" x14ac:dyDescent="0.2">
      <c r="A128" s="15" t="s">
        <v>1406</v>
      </c>
      <c r="B128" s="15" t="s">
        <v>38</v>
      </c>
      <c r="C128" s="15">
        <v>28</v>
      </c>
      <c r="D128" s="15">
        <v>6</v>
      </c>
      <c r="E128" s="15" t="s">
        <v>309</v>
      </c>
      <c r="F128" s="15" t="s">
        <v>1365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f t="shared" ref="V128:V138" si="23">($J128*0.04)+($K128*4)+($L128*-2)+($N128*0.1)+($O128*6)+($Q128)+($R128*0.1)+($S128*6)+($T128*-2)</f>
        <v>0</v>
      </c>
      <c r="W128" s="15" t="e">
        <f t="shared" ref="W128:W138" si="24">$P128/$H$33</f>
        <v>#DIV/0!</v>
      </c>
      <c r="X128" s="15" t="e">
        <f t="shared" ref="X128:X138" si="25">$N128/$M128</f>
        <v>#DIV/0!</v>
      </c>
      <c r="Y128" s="15" t="e">
        <f t="shared" ref="Y128:Y138" si="26">$R128/$Q128</f>
        <v>#DIV/0!</v>
      </c>
      <c r="Z128" s="15" t="e">
        <f t="shared" ref="Z128:Z138" si="27">$I128/$H128</f>
        <v>#DIV/0!</v>
      </c>
      <c r="AA128" s="15" t="e">
        <f>$K128/$H128</f>
        <v>#DIV/0!</v>
      </c>
      <c r="AB128" s="15">
        <f t="shared" ref="AB128:AB138" si="28">($J128*Cp_yd)+($K128*Cp_td)+($L128*Cint)+($M128*Ccar)+($N128*Cr_yd)+($O128*Cr_td)+(Q128*Crec)+($R128*Crec_yd)+($S128*Crec_td)+($T128*Cfmb)+($U128*Ctp_c)</f>
        <v>0</v>
      </c>
    </row>
    <row r="129" spans="1:28" x14ac:dyDescent="0.2">
      <c r="A129" s="16" t="s">
        <v>1407</v>
      </c>
      <c r="B129" s="16" t="s">
        <v>38</v>
      </c>
      <c r="C129" s="16">
        <v>24</v>
      </c>
      <c r="D129" s="16">
        <v>0</v>
      </c>
      <c r="E129" s="16" t="s">
        <v>455</v>
      </c>
      <c r="F129" s="16" t="s">
        <v>1365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f t="shared" si="23"/>
        <v>0</v>
      </c>
      <c r="W129" s="16" t="e">
        <f t="shared" si="24"/>
        <v>#DIV/0!</v>
      </c>
      <c r="X129" s="16" t="e">
        <f t="shared" si="25"/>
        <v>#DIV/0!</v>
      </c>
      <c r="Y129" s="16" t="e">
        <f t="shared" si="26"/>
        <v>#DIV/0!</v>
      </c>
      <c r="Z129" s="16" t="e">
        <f t="shared" si="27"/>
        <v>#DIV/0!</v>
      </c>
      <c r="AA129" s="16" t="e">
        <f>$K129/$H129</f>
        <v>#DIV/0!</v>
      </c>
      <c r="AB129" s="16">
        <f t="shared" si="28"/>
        <v>0</v>
      </c>
    </row>
    <row r="130" spans="1:28" x14ac:dyDescent="0.2">
      <c r="A130" s="15" t="s">
        <v>1408</v>
      </c>
      <c r="B130" s="15" t="s">
        <v>38</v>
      </c>
      <c r="C130" s="15">
        <v>24</v>
      </c>
      <c r="D130" s="15">
        <v>0</v>
      </c>
      <c r="E130" s="15" t="s">
        <v>98</v>
      </c>
      <c r="F130" s="15" t="s">
        <v>1365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T130" s="15">
        <v>0</v>
      </c>
      <c r="U130" s="15">
        <v>0</v>
      </c>
      <c r="V130" s="15">
        <f t="shared" si="23"/>
        <v>0</v>
      </c>
      <c r="W130" s="15" t="e">
        <f t="shared" si="24"/>
        <v>#DIV/0!</v>
      </c>
      <c r="X130" s="15" t="e">
        <f t="shared" si="25"/>
        <v>#DIV/0!</v>
      </c>
      <c r="Y130" s="15" t="e">
        <f t="shared" si="26"/>
        <v>#DIV/0!</v>
      </c>
      <c r="Z130" s="15" t="e">
        <f t="shared" si="27"/>
        <v>#DIV/0!</v>
      </c>
      <c r="AA130" s="15" t="e">
        <f>$K130/$H130</f>
        <v>#DIV/0!</v>
      </c>
      <c r="AB130" s="15">
        <f t="shared" si="28"/>
        <v>0</v>
      </c>
    </row>
    <row r="131" spans="1:28" x14ac:dyDescent="0.2">
      <c r="A131" s="16" t="s">
        <v>1409</v>
      </c>
      <c r="B131" s="16" t="s">
        <v>38</v>
      </c>
      <c r="C131" s="16">
        <v>23</v>
      </c>
      <c r="D131" s="16">
        <v>2</v>
      </c>
      <c r="E131" s="16" t="s">
        <v>213</v>
      </c>
      <c r="F131" s="16" t="s">
        <v>1365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f t="shared" si="23"/>
        <v>0</v>
      </c>
      <c r="W131" s="16" t="e">
        <f t="shared" si="24"/>
        <v>#DIV/0!</v>
      </c>
      <c r="X131" s="16" t="e">
        <f t="shared" si="25"/>
        <v>#DIV/0!</v>
      </c>
      <c r="Y131" s="16" t="e">
        <f t="shared" si="26"/>
        <v>#DIV/0!</v>
      </c>
      <c r="Z131" s="16" t="e">
        <f t="shared" si="27"/>
        <v>#DIV/0!</v>
      </c>
      <c r="AA131" s="16" t="e">
        <f>$K131/$H131</f>
        <v>#DIV/0!</v>
      </c>
      <c r="AB131" s="16">
        <f t="shared" si="28"/>
        <v>0</v>
      </c>
    </row>
    <row r="132" spans="1:28" x14ac:dyDescent="0.2">
      <c r="A132" s="15" t="s">
        <v>1410</v>
      </c>
      <c r="B132" s="15" t="s">
        <v>38</v>
      </c>
      <c r="C132" s="15">
        <v>30</v>
      </c>
      <c r="D132" s="15">
        <v>9</v>
      </c>
      <c r="E132" s="15" t="s">
        <v>464</v>
      </c>
      <c r="F132" s="15" t="s">
        <v>1365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f t="shared" si="23"/>
        <v>0</v>
      </c>
      <c r="W132" s="15" t="e">
        <f t="shared" si="24"/>
        <v>#DIV/0!</v>
      </c>
      <c r="X132" s="15" t="e">
        <f t="shared" si="25"/>
        <v>#DIV/0!</v>
      </c>
      <c r="Y132" s="15" t="e">
        <f t="shared" si="26"/>
        <v>#DIV/0!</v>
      </c>
      <c r="Z132" s="15" t="e">
        <f t="shared" si="27"/>
        <v>#DIV/0!</v>
      </c>
      <c r="AA132" s="15" t="e">
        <f>$K132/$H132</f>
        <v>#DIV/0!</v>
      </c>
      <c r="AB132" s="15">
        <f t="shared" si="28"/>
        <v>0</v>
      </c>
    </row>
    <row r="133" spans="1:28" x14ac:dyDescent="0.2">
      <c r="A133" s="16" t="s">
        <v>1449</v>
      </c>
      <c r="B133" s="16" t="s">
        <v>38</v>
      </c>
      <c r="C133" s="16">
        <v>28</v>
      </c>
      <c r="D133" s="16">
        <v>7</v>
      </c>
      <c r="E133" s="16" t="s">
        <v>1450</v>
      </c>
      <c r="F133" s="16" t="s">
        <v>1413</v>
      </c>
      <c r="G133" s="16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f t="shared" si="23"/>
        <v>0</v>
      </c>
      <c r="W133" s="16" t="e">
        <f t="shared" si="24"/>
        <v>#DIV/0!</v>
      </c>
      <c r="X133" s="16" t="e">
        <f t="shared" si="25"/>
        <v>#DIV/0!</v>
      </c>
      <c r="Y133" s="16" t="e">
        <f t="shared" si="26"/>
        <v>#DIV/0!</v>
      </c>
      <c r="Z133" s="16" t="e">
        <f t="shared" si="27"/>
        <v>#DIV/0!</v>
      </c>
      <c r="AA133" s="16" t="e">
        <f>$K133/$H133</f>
        <v>#DIV/0!</v>
      </c>
      <c r="AB133" s="16">
        <f t="shared" si="28"/>
        <v>0</v>
      </c>
    </row>
    <row r="134" spans="1:28" x14ac:dyDescent="0.2">
      <c r="A134" s="15" t="s">
        <v>1451</v>
      </c>
      <c r="B134" s="15" t="s">
        <v>38</v>
      </c>
      <c r="C134" s="15">
        <v>24</v>
      </c>
      <c r="D134" s="15">
        <v>2</v>
      </c>
      <c r="E134" s="15" t="s">
        <v>237</v>
      </c>
      <c r="F134" s="15" t="s">
        <v>1413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  <c r="O134" s="15">
        <v>0</v>
      </c>
      <c r="P134" s="15">
        <v>0</v>
      </c>
      <c r="Q134" s="15">
        <v>0</v>
      </c>
      <c r="R134" s="15">
        <v>0</v>
      </c>
      <c r="S134" s="15">
        <v>0</v>
      </c>
      <c r="T134" s="15">
        <v>0</v>
      </c>
      <c r="U134" s="15">
        <v>0</v>
      </c>
      <c r="V134" s="15">
        <f t="shared" si="23"/>
        <v>0</v>
      </c>
      <c r="W134" s="15" t="e">
        <f t="shared" si="24"/>
        <v>#DIV/0!</v>
      </c>
      <c r="X134" s="15" t="e">
        <f t="shared" si="25"/>
        <v>#DIV/0!</v>
      </c>
      <c r="Y134" s="15" t="e">
        <f t="shared" si="26"/>
        <v>#DIV/0!</v>
      </c>
      <c r="Z134" s="15" t="e">
        <f t="shared" si="27"/>
        <v>#DIV/0!</v>
      </c>
      <c r="AA134" s="15" t="e">
        <f>$K134/$H134</f>
        <v>#DIV/0!</v>
      </c>
      <c r="AB134" s="15">
        <f t="shared" si="28"/>
        <v>0</v>
      </c>
    </row>
    <row r="135" spans="1:28" x14ac:dyDescent="0.2">
      <c r="A135" s="16" t="s">
        <v>1452</v>
      </c>
      <c r="B135" s="16" t="s">
        <v>38</v>
      </c>
      <c r="C135" s="16">
        <v>28</v>
      </c>
      <c r="D135" s="16">
        <v>6</v>
      </c>
      <c r="E135" s="16" t="s">
        <v>753</v>
      </c>
      <c r="F135" s="16" t="s">
        <v>1413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f t="shared" si="23"/>
        <v>0</v>
      </c>
      <c r="W135" s="16" t="e">
        <f t="shared" si="24"/>
        <v>#DIV/0!</v>
      </c>
      <c r="X135" s="16" t="e">
        <f t="shared" si="25"/>
        <v>#DIV/0!</v>
      </c>
      <c r="Y135" s="16" t="e">
        <f t="shared" si="26"/>
        <v>#DIV/0!</v>
      </c>
      <c r="Z135" s="16" t="e">
        <f t="shared" si="27"/>
        <v>#DIV/0!</v>
      </c>
      <c r="AA135" s="16" t="e">
        <f>$K135/$H135</f>
        <v>#DIV/0!</v>
      </c>
      <c r="AB135" s="16">
        <f t="shared" si="28"/>
        <v>0</v>
      </c>
    </row>
    <row r="136" spans="1:28" x14ac:dyDescent="0.2">
      <c r="A136" s="15" t="s">
        <v>1453</v>
      </c>
      <c r="B136" s="15" t="s">
        <v>38</v>
      </c>
      <c r="C136" s="15">
        <v>25</v>
      </c>
      <c r="D136" s="15">
        <v>3</v>
      </c>
      <c r="E136" s="15" t="s">
        <v>806</v>
      </c>
      <c r="F136" s="15" t="s">
        <v>1413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T136" s="15">
        <v>0</v>
      </c>
      <c r="U136" s="15">
        <v>0</v>
      </c>
      <c r="V136" s="15">
        <f t="shared" si="23"/>
        <v>0</v>
      </c>
      <c r="W136" s="15" t="e">
        <f t="shared" si="24"/>
        <v>#DIV/0!</v>
      </c>
      <c r="X136" s="15" t="e">
        <f t="shared" si="25"/>
        <v>#DIV/0!</v>
      </c>
      <c r="Y136" s="15" t="e">
        <f t="shared" si="26"/>
        <v>#DIV/0!</v>
      </c>
      <c r="Z136" s="15" t="e">
        <f t="shared" si="27"/>
        <v>#DIV/0!</v>
      </c>
      <c r="AA136" s="15" t="e">
        <f>$K136/$H136</f>
        <v>#DIV/0!</v>
      </c>
      <c r="AB136" s="15">
        <f t="shared" si="28"/>
        <v>0</v>
      </c>
    </row>
    <row r="137" spans="1:28" x14ac:dyDescent="0.2">
      <c r="A137" s="16" t="s">
        <v>1454</v>
      </c>
      <c r="B137" s="16" t="s">
        <v>38</v>
      </c>
      <c r="C137" s="16">
        <v>24</v>
      </c>
      <c r="D137" s="16">
        <v>0</v>
      </c>
      <c r="E137" s="16" t="s">
        <v>84</v>
      </c>
      <c r="F137" s="16" t="s">
        <v>1413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f t="shared" si="23"/>
        <v>0</v>
      </c>
      <c r="W137" s="16" t="e">
        <f t="shared" si="24"/>
        <v>#DIV/0!</v>
      </c>
      <c r="X137" s="16" t="e">
        <f t="shared" si="25"/>
        <v>#DIV/0!</v>
      </c>
      <c r="Y137" s="16" t="e">
        <f t="shared" si="26"/>
        <v>#DIV/0!</v>
      </c>
      <c r="Z137" s="16" t="e">
        <f t="shared" si="27"/>
        <v>#DIV/0!</v>
      </c>
      <c r="AA137" s="16" t="e">
        <f>$K137/$H137</f>
        <v>#DIV/0!</v>
      </c>
      <c r="AB137" s="16">
        <f t="shared" si="28"/>
        <v>0</v>
      </c>
    </row>
    <row r="138" spans="1:28" x14ac:dyDescent="0.2">
      <c r="A138" s="15" t="s">
        <v>1497</v>
      </c>
      <c r="B138" s="15" t="s">
        <v>38</v>
      </c>
      <c r="C138" s="15">
        <v>24</v>
      </c>
      <c r="D138" s="15">
        <v>3</v>
      </c>
      <c r="E138" s="15" t="s">
        <v>339</v>
      </c>
      <c r="F138" s="15" t="s">
        <v>1457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T138" s="15">
        <v>0</v>
      </c>
      <c r="U138" s="15">
        <v>0</v>
      </c>
      <c r="V138" s="15">
        <f>($J138*0.04)+($K138*4)+($L138*-2)+($N138*0.1)+($O138*6)+($Q138)+($R138*0.1)+($S138*6)+($T138*-2)</f>
        <v>0</v>
      </c>
      <c r="W138" s="15" t="e">
        <f>$P138/$H$33</f>
        <v>#DIV/0!</v>
      </c>
      <c r="X138" s="15" t="e">
        <f>$N138/$M138</f>
        <v>#DIV/0!</v>
      </c>
      <c r="Y138" s="15" t="e">
        <f>$R138/$Q138</f>
        <v>#DIV/0!</v>
      </c>
      <c r="Z138" s="15" t="e">
        <f>$I138/$H138</f>
        <v>#DIV/0!</v>
      </c>
      <c r="AA138" s="15" t="e">
        <f>$K138/$H138</f>
        <v>#DIV/0!</v>
      </c>
      <c r="AB138" s="15">
        <f>($J138*Cp_yd)+($K138*Cp_td)+($L138*Cint)+($M138*Ccar)+($N138*Cr_yd)+($O138*Cr_td)+(Q138*Crec)+($R138*Crec_yd)+($S138*Crec_td)+($T138*Cfmb)+($U138*Ctp_c)</f>
        <v>0</v>
      </c>
    </row>
    <row r="139" spans="1:28" x14ac:dyDescent="0.2">
      <c r="A139" s="16" t="s">
        <v>1498</v>
      </c>
      <c r="B139" s="16" t="s">
        <v>38</v>
      </c>
      <c r="C139" s="16">
        <v>26</v>
      </c>
      <c r="D139" s="16">
        <v>5</v>
      </c>
      <c r="E139" s="16" t="s">
        <v>105</v>
      </c>
      <c r="F139" s="16" t="s">
        <v>1457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f>($J139*0.04)+($K139*4)+($L139*-2)+($N139*0.1)+($O139*6)+($Q139)+($R139*0.1)+($S139*6)+($T139*-2)</f>
        <v>0</v>
      </c>
      <c r="W139" s="16" t="e">
        <f>$P139/$H$33</f>
        <v>#DIV/0!</v>
      </c>
      <c r="X139" s="16" t="e">
        <f>$N139/$M139</f>
        <v>#DIV/0!</v>
      </c>
      <c r="Y139" s="16" t="e">
        <f>$R139/$Q139</f>
        <v>#DIV/0!</v>
      </c>
      <c r="Z139" s="16" t="e">
        <f>$I139/$H139</f>
        <v>#DIV/0!</v>
      </c>
      <c r="AA139" s="16" t="e">
        <f>$K139/$H139</f>
        <v>#DIV/0!</v>
      </c>
      <c r="AB139" s="16">
        <f>($J139*Cp_yd)+($K139*Cp_td)+($L139*Cint)+($M139*Ccar)+($N139*Cr_yd)+($O139*Cr_td)+(Q139*Crec)+($R139*Crec_yd)+($S139*Crec_td)+($T139*Cfmb)+($U139*Ctp_c)</f>
        <v>0</v>
      </c>
    </row>
    <row r="140" spans="1:28" x14ac:dyDescent="0.2">
      <c r="A140" s="15" t="s">
        <v>1499</v>
      </c>
      <c r="B140" s="15" t="s">
        <v>38</v>
      </c>
      <c r="C140" s="15">
        <v>24</v>
      </c>
      <c r="D140" s="15">
        <v>2</v>
      </c>
      <c r="E140" s="15" t="s">
        <v>744</v>
      </c>
      <c r="F140" s="15" t="s">
        <v>1457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  <c r="O140" s="15">
        <v>0</v>
      </c>
      <c r="P140" s="15">
        <v>0</v>
      </c>
      <c r="Q140" s="15">
        <v>0</v>
      </c>
      <c r="R140" s="15">
        <v>0</v>
      </c>
      <c r="S140" s="15">
        <v>0</v>
      </c>
      <c r="T140" s="15">
        <v>0</v>
      </c>
      <c r="U140" s="15">
        <v>0</v>
      </c>
      <c r="V140" s="15">
        <f>($J140*0.04)+($K140*4)+($L140*-2)+($N140*0.1)+($O140*6)+($Q140)+($R140*0.1)+($S140*6)+($T140*-2)</f>
        <v>0</v>
      </c>
      <c r="W140" s="15" t="e">
        <f>$P140/$H$33</f>
        <v>#DIV/0!</v>
      </c>
      <c r="X140" s="15" t="e">
        <f>$N140/$M140</f>
        <v>#DIV/0!</v>
      </c>
      <c r="Y140" s="15" t="e">
        <f>$R140/$Q140</f>
        <v>#DIV/0!</v>
      </c>
      <c r="Z140" s="15" t="e">
        <f>$I140/$H140</f>
        <v>#DIV/0!</v>
      </c>
      <c r="AA140" s="15" t="e">
        <f>$K140/$H140</f>
        <v>#DIV/0!</v>
      </c>
      <c r="AB140" s="15">
        <f>($J140*Cp_yd)+($K140*Cp_td)+($L140*Cint)+($M140*Ccar)+($N140*Cr_yd)+($O140*Cr_td)+(Q140*Crec)+($R140*Crec_yd)+($S140*Crec_td)+($T140*Cfmb)+($U140*Ctp_c)</f>
        <v>0</v>
      </c>
    </row>
    <row r="141" spans="1:28" x14ac:dyDescent="0.2">
      <c r="A141" s="16" t="s">
        <v>1500</v>
      </c>
      <c r="B141" s="16" t="s">
        <v>38</v>
      </c>
      <c r="C141" s="16">
        <v>21</v>
      </c>
      <c r="D141" s="16">
        <v>0</v>
      </c>
      <c r="E141" s="16" t="s">
        <v>173</v>
      </c>
      <c r="F141" s="16" t="s">
        <v>1457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f>($J141*0.04)+($K141*4)+($L141*-2)+($N141*0.1)+($O141*6)+($Q141)+($R141*0.1)+($S141*6)+($T141*-2)</f>
        <v>0</v>
      </c>
      <c r="W141" s="16" t="e">
        <f>$P141/$H$33</f>
        <v>#DIV/0!</v>
      </c>
      <c r="X141" s="16" t="e">
        <f>$N141/$M141</f>
        <v>#DIV/0!</v>
      </c>
      <c r="Y141" s="16" t="e">
        <f>$R141/$Q141</f>
        <v>#DIV/0!</v>
      </c>
      <c r="Z141" s="16" t="e">
        <f>$I141/$H141</f>
        <v>#DIV/0!</v>
      </c>
      <c r="AA141" s="16" t="e">
        <f>$K141/$H141</f>
        <v>#DIV/0!</v>
      </c>
      <c r="AB141" s="16">
        <f>($J141*Cp_yd)+($K141*Cp_td)+($L141*Cint)+($M141*Ccar)+($N141*Cr_yd)+($O141*Cr_td)+(Q141*Crec)+($R141*Crec_yd)+($S141*Crec_td)+($T141*Cfmb)+($U141*Ctp_c)</f>
        <v>0</v>
      </c>
    </row>
    <row r="142" spans="1:28" x14ac:dyDescent="0.2">
      <c r="A142" s="15" t="s">
        <v>1546</v>
      </c>
      <c r="B142" s="15" t="s">
        <v>38</v>
      </c>
      <c r="C142" s="15">
        <v>27</v>
      </c>
      <c r="D142" s="15">
        <v>6</v>
      </c>
      <c r="E142" s="15" t="s">
        <v>86</v>
      </c>
      <c r="F142" s="15" t="s">
        <v>1503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T142" s="15">
        <v>0</v>
      </c>
      <c r="U142" s="15">
        <v>0</v>
      </c>
      <c r="V142" s="15">
        <f>($J142*0.04)+($K142*4)+($L142*-2)+($N142*0.1)+($O142*6)+($Q142)+($R142*0.1)+($S142*6)+($T142*-2)</f>
        <v>0</v>
      </c>
      <c r="W142" s="15" t="e">
        <f>$P142/$H$33</f>
        <v>#DIV/0!</v>
      </c>
      <c r="X142" s="15" t="e">
        <f>$N142/$M142</f>
        <v>#DIV/0!</v>
      </c>
      <c r="Y142" s="15" t="e">
        <f>$R142/$Q142</f>
        <v>#DIV/0!</v>
      </c>
      <c r="Z142" s="15" t="e">
        <f>$I142/$H142</f>
        <v>#DIV/0!</v>
      </c>
      <c r="AA142" s="15" t="e">
        <f>$K142/$H142</f>
        <v>#DIV/0!</v>
      </c>
      <c r="AB142" s="15">
        <f>($J142*Cp_yd)+($K142*Cp_td)+($L142*Cint)+($M142*Ccar)+($N142*Cr_yd)+($O142*Cr_td)+(Q142*Crec)+($R142*Crec_yd)+($S142*Crec_td)+($T142*Cfmb)+($U142*Ctp_c)</f>
        <v>0</v>
      </c>
    </row>
    <row r="143" spans="1:28" x14ac:dyDescent="0.2">
      <c r="A143" s="16" t="s">
        <v>1547</v>
      </c>
      <c r="B143" s="16" t="s">
        <v>38</v>
      </c>
      <c r="C143" s="16">
        <v>25</v>
      </c>
      <c r="D143" s="16">
        <v>5</v>
      </c>
      <c r="E143" s="16" t="s">
        <v>100</v>
      </c>
      <c r="F143" s="16" t="s">
        <v>1503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f>($J143*0.04)+($K143*4)+($L143*-2)+($N143*0.1)+($O143*6)+($Q143)+($R143*0.1)+($S143*6)+($T143*-2)</f>
        <v>0</v>
      </c>
      <c r="W143" s="16" t="e">
        <f>$P143/$H$33</f>
        <v>#DIV/0!</v>
      </c>
      <c r="X143" s="16" t="e">
        <f>$N143/$M143</f>
        <v>#DIV/0!</v>
      </c>
      <c r="Y143" s="16" t="e">
        <f>$R143/$Q143</f>
        <v>#DIV/0!</v>
      </c>
      <c r="Z143" s="16" t="e">
        <f>$I143/$H143</f>
        <v>#DIV/0!</v>
      </c>
      <c r="AA143" s="16" t="e">
        <f>$K143/$H143</f>
        <v>#DIV/0!</v>
      </c>
      <c r="AB143" s="16">
        <f>($J143*Cp_yd)+($K143*Cp_td)+($L143*Cint)+($M143*Ccar)+($N143*Cr_yd)+($O143*Cr_td)+(Q143*Crec)+($R143*Crec_yd)+($S143*Crec_td)+($T143*Cfmb)+($U143*Ctp_c)</f>
        <v>0</v>
      </c>
    </row>
    <row r="144" spans="1:28" x14ac:dyDescent="0.2">
      <c r="A144" s="15" t="s">
        <v>1548</v>
      </c>
      <c r="B144" s="15" t="s">
        <v>38</v>
      </c>
      <c r="C144" s="15">
        <v>24</v>
      </c>
      <c r="D144" s="15">
        <v>0</v>
      </c>
      <c r="E144" s="15" t="s">
        <v>64</v>
      </c>
      <c r="F144" s="15" t="s">
        <v>1503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T144" s="15">
        <v>0</v>
      </c>
      <c r="U144" s="15">
        <v>0</v>
      </c>
      <c r="V144" s="15">
        <f>($J144*0.04)+($K144*4)+($L144*-2)+($N144*0.1)+($O144*6)+($Q144)+($R144*0.1)+($S144*6)+($T144*-2)</f>
        <v>0</v>
      </c>
      <c r="W144" s="15" t="e">
        <f>$P144/$H$33</f>
        <v>#DIV/0!</v>
      </c>
      <c r="X144" s="15" t="e">
        <f>$N144/$M144</f>
        <v>#DIV/0!</v>
      </c>
      <c r="Y144" s="15" t="e">
        <f>$R144/$Q144</f>
        <v>#DIV/0!</v>
      </c>
      <c r="Z144" s="15" t="e">
        <f>$I144/$H144</f>
        <v>#DIV/0!</v>
      </c>
      <c r="AA144" s="15" t="e">
        <f>$K144/$H144</f>
        <v>#DIV/0!</v>
      </c>
      <c r="AB144" s="15">
        <f>($J144*Cp_yd)+($K144*Cp_td)+($L144*Cint)+($M144*Ccar)+($N144*Cr_yd)+($O144*Cr_td)+(Q144*Crec)+($R144*Crec_yd)+($S144*Crec_td)+($T144*Cfmb)+($U144*Ctp_c)</f>
        <v>0</v>
      </c>
    </row>
    <row r="145" spans="1:28" x14ac:dyDescent="0.2">
      <c r="A145" s="16" t="s">
        <v>1549</v>
      </c>
      <c r="B145" s="16" t="s">
        <v>38</v>
      </c>
      <c r="C145" s="16">
        <v>26</v>
      </c>
      <c r="D145" s="16">
        <v>2</v>
      </c>
      <c r="E145" s="16" t="s">
        <v>232</v>
      </c>
      <c r="F145" s="16" t="s">
        <v>1503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f>($J145*0.04)+($K145*4)+($L145*-2)+($N145*0.1)+($O145*6)+($Q145)+($R145*0.1)+($S145*6)+($T145*-2)</f>
        <v>0</v>
      </c>
      <c r="W145" s="16" t="e">
        <f>$P145/$H$33</f>
        <v>#DIV/0!</v>
      </c>
      <c r="X145" s="16" t="e">
        <f>$N145/$M145</f>
        <v>#DIV/0!</v>
      </c>
      <c r="Y145" s="16" t="e">
        <f>$R145/$Q145</f>
        <v>#DIV/0!</v>
      </c>
      <c r="Z145" s="16" t="e">
        <f>$I145/$H145</f>
        <v>#DIV/0!</v>
      </c>
      <c r="AA145" s="16" t="e">
        <f>$K145/$H145</f>
        <v>#DIV/0!</v>
      </c>
      <c r="AB145" s="16">
        <f>($J145*Cp_yd)+($K145*Cp_td)+($L145*Cint)+($M145*Ccar)+($N145*Cr_yd)+($O145*Cr_td)+(Q145*Crec)+($R145*Crec_yd)+($S145*Crec_td)+($T145*Cfmb)+($U145*Ctp_c)</f>
        <v>0</v>
      </c>
    </row>
    <row r="146" spans="1:28" x14ac:dyDescent="0.2">
      <c r="A146" s="15" t="s">
        <v>1592</v>
      </c>
      <c r="B146" s="15" t="s">
        <v>38</v>
      </c>
      <c r="C146" s="15">
        <v>28</v>
      </c>
      <c r="D146" s="15">
        <v>6</v>
      </c>
      <c r="E146" s="15" t="s">
        <v>211</v>
      </c>
      <c r="F146" s="15" t="s">
        <v>1552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  <c r="O146" s="15">
        <v>0</v>
      </c>
      <c r="P146" s="15">
        <v>0</v>
      </c>
      <c r="Q146" s="15">
        <v>0</v>
      </c>
      <c r="R146" s="15">
        <v>0</v>
      </c>
      <c r="S146" s="15">
        <v>0</v>
      </c>
      <c r="T146" s="15">
        <v>0</v>
      </c>
      <c r="U146" s="15">
        <v>0</v>
      </c>
      <c r="V146" s="15">
        <f t="shared" ref="V146:V167" si="29">($J146*0.04)+($K146*4)+($L146*-2)+($N146*0.1)+($O146*6)+($Q146)+($R146*0.1)+($S146*6)+($T146*-2)</f>
        <v>0</v>
      </c>
      <c r="W146" s="15" t="e">
        <f t="shared" ref="W146:W167" si="30">$P146/$H$33</f>
        <v>#DIV/0!</v>
      </c>
      <c r="X146" s="15" t="e">
        <f t="shared" ref="X146:X167" si="31">$N146/$M146</f>
        <v>#DIV/0!</v>
      </c>
      <c r="Y146" s="15" t="e">
        <f t="shared" ref="Y146:Y167" si="32">$R146/$Q146</f>
        <v>#DIV/0!</v>
      </c>
      <c r="Z146" s="15" t="e">
        <f t="shared" ref="Z146:Z167" si="33">$I146/$H146</f>
        <v>#DIV/0!</v>
      </c>
      <c r="AA146" s="15" t="e">
        <f>$K146/$H146</f>
        <v>#DIV/0!</v>
      </c>
      <c r="AB146" s="15">
        <f t="shared" ref="AB146:AB167" si="34">($J146*Cp_yd)+($K146*Cp_td)+($L146*Cint)+($M146*Ccar)+($N146*Cr_yd)+($O146*Cr_td)+(Q146*Crec)+($R146*Crec_yd)+($S146*Crec_td)+($T146*Cfmb)+($U146*Ctp_c)</f>
        <v>0</v>
      </c>
    </row>
    <row r="147" spans="1:28" x14ac:dyDescent="0.2">
      <c r="A147" s="16" t="s">
        <v>1593</v>
      </c>
      <c r="B147" s="16" t="s">
        <v>38</v>
      </c>
      <c r="C147" s="16">
        <v>28</v>
      </c>
      <c r="D147" s="16">
        <v>5</v>
      </c>
      <c r="E147" s="16" t="s">
        <v>72</v>
      </c>
      <c r="F147" s="16" t="s">
        <v>1552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f t="shared" si="29"/>
        <v>0</v>
      </c>
      <c r="W147" s="16" t="e">
        <f t="shared" si="30"/>
        <v>#DIV/0!</v>
      </c>
      <c r="X147" s="16" t="e">
        <f t="shared" si="31"/>
        <v>#DIV/0!</v>
      </c>
      <c r="Y147" s="16" t="e">
        <f t="shared" si="32"/>
        <v>#DIV/0!</v>
      </c>
      <c r="Z147" s="16" t="e">
        <f t="shared" si="33"/>
        <v>#DIV/0!</v>
      </c>
      <c r="AA147" s="16" t="e">
        <f>$K147/$H147</f>
        <v>#DIV/0!</v>
      </c>
      <c r="AB147" s="16">
        <f t="shared" si="34"/>
        <v>0</v>
      </c>
    </row>
    <row r="148" spans="1:28" x14ac:dyDescent="0.2">
      <c r="A148" s="15" t="s">
        <v>1594</v>
      </c>
      <c r="B148" s="15" t="s">
        <v>38</v>
      </c>
      <c r="C148" s="15">
        <v>29</v>
      </c>
      <c r="D148" s="15">
        <v>7</v>
      </c>
      <c r="E148" s="15" t="s">
        <v>100</v>
      </c>
      <c r="F148" s="15" t="s">
        <v>1552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f t="shared" si="29"/>
        <v>0</v>
      </c>
      <c r="W148" s="15" t="e">
        <f t="shared" si="30"/>
        <v>#DIV/0!</v>
      </c>
      <c r="X148" s="15" t="e">
        <f t="shared" si="31"/>
        <v>#DIV/0!</v>
      </c>
      <c r="Y148" s="15" t="e">
        <f t="shared" si="32"/>
        <v>#DIV/0!</v>
      </c>
      <c r="Z148" s="15" t="e">
        <f t="shared" si="33"/>
        <v>#DIV/0!</v>
      </c>
      <c r="AA148" s="15" t="e">
        <f>$K148/$H148</f>
        <v>#DIV/0!</v>
      </c>
      <c r="AB148" s="15">
        <f t="shared" si="34"/>
        <v>0</v>
      </c>
    </row>
    <row r="149" spans="1:28" x14ac:dyDescent="0.2">
      <c r="A149" s="16" t="s">
        <v>1595</v>
      </c>
      <c r="B149" s="16" t="s">
        <v>38</v>
      </c>
      <c r="C149" s="16">
        <v>23</v>
      </c>
      <c r="D149" s="16">
        <v>0</v>
      </c>
      <c r="E149" s="16" t="s">
        <v>153</v>
      </c>
      <c r="F149" s="16" t="s">
        <v>1552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f t="shared" si="29"/>
        <v>0</v>
      </c>
      <c r="W149" s="16" t="e">
        <f t="shared" si="30"/>
        <v>#DIV/0!</v>
      </c>
      <c r="X149" s="16" t="e">
        <f t="shared" si="31"/>
        <v>#DIV/0!</v>
      </c>
      <c r="Y149" s="16" t="e">
        <f t="shared" si="32"/>
        <v>#DIV/0!</v>
      </c>
      <c r="Z149" s="16" t="e">
        <f t="shared" si="33"/>
        <v>#DIV/0!</v>
      </c>
      <c r="AA149" s="16" t="e">
        <f>$K149/$H149</f>
        <v>#DIV/0!</v>
      </c>
      <c r="AB149" s="16">
        <f t="shared" si="34"/>
        <v>0</v>
      </c>
    </row>
    <row r="150" spans="1:28" x14ac:dyDescent="0.2">
      <c r="A150" s="15" t="s">
        <v>1596</v>
      </c>
      <c r="B150" s="15" t="s">
        <v>38</v>
      </c>
      <c r="C150" s="15">
        <v>23</v>
      </c>
      <c r="D150" s="15">
        <v>0</v>
      </c>
      <c r="E150" s="15" t="s">
        <v>68</v>
      </c>
      <c r="F150" s="15" t="s">
        <v>1552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f t="shared" si="29"/>
        <v>0</v>
      </c>
      <c r="W150" s="15" t="e">
        <f t="shared" si="30"/>
        <v>#DIV/0!</v>
      </c>
      <c r="X150" s="15" t="e">
        <f t="shared" si="31"/>
        <v>#DIV/0!</v>
      </c>
      <c r="Y150" s="15" t="e">
        <f t="shared" si="32"/>
        <v>#DIV/0!</v>
      </c>
      <c r="Z150" s="15" t="e">
        <f t="shared" si="33"/>
        <v>#DIV/0!</v>
      </c>
      <c r="AA150" s="15" t="e">
        <f>$K150/$H150</f>
        <v>#DIV/0!</v>
      </c>
      <c r="AB150" s="15">
        <f t="shared" si="34"/>
        <v>0</v>
      </c>
    </row>
    <row r="151" spans="1:28" x14ac:dyDescent="0.2">
      <c r="A151" s="16" t="s">
        <v>1641</v>
      </c>
      <c r="B151" s="16" t="s">
        <v>38</v>
      </c>
      <c r="C151" s="16">
        <v>26</v>
      </c>
      <c r="D151" s="16">
        <v>2</v>
      </c>
      <c r="E151" s="16" t="s">
        <v>423</v>
      </c>
      <c r="F151" s="16" t="s">
        <v>1599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0</v>
      </c>
      <c r="V151" s="16">
        <f t="shared" si="29"/>
        <v>0</v>
      </c>
      <c r="W151" s="16" t="e">
        <f t="shared" si="30"/>
        <v>#DIV/0!</v>
      </c>
      <c r="X151" s="16" t="e">
        <f t="shared" si="31"/>
        <v>#DIV/0!</v>
      </c>
      <c r="Y151" s="16" t="e">
        <f t="shared" si="32"/>
        <v>#DIV/0!</v>
      </c>
      <c r="Z151" s="16" t="e">
        <f t="shared" si="33"/>
        <v>#DIV/0!</v>
      </c>
      <c r="AA151" s="16" t="e">
        <f>$K151/$H151</f>
        <v>#DIV/0!</v>
      </c>
      <c r="AB151" s="16">
        <f t="shared" si="34"/>
        <v>0</v>
      </c>
    </row>
    <row r="152" spans="1:28" x14ac:dyDescent="0.2">
      <c r="A152" s="15" t="s">
        <v>1642</v>
      </c>
      <c r="B152" s="15" t="s">
        <v>38</v>
      </c>
      <c r="C152" s="15">
        <v>23</v>
      </c>
      <c r="D152" s="15">
        <v>0</v>
      </c>
      <c r="E152" s="15" t="s">
        <v>62</v>
      </c>
      <c r="F152" s="15" t="s">
        <v>1599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  <c r="O152" s="15">
        <v>0</v>
      </c>
      <c r="P152" s="15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v>0</v>
      </c>
      <c r="V152" s="15">
        <f t="shared" si="29"/>
        <v>0</v>
      </c>
      <c r="W152" s="15" t="e">
        <f t="shared" si="30"/>
        <v>#DIV/0!</v>
      </c>
      <c r="X152" s="15" t="e">
        <f t="shared" si="31"/>
        <v>#DIV/0!</v>
      </c>
      <c r="Y152" s="15" t="e">
        <f t="shared" si="32"/>
        <v>#DIV/0!</v>
      </c>
      <c r="Z152" s="15" t="e">
        <f t="shared" si="33"/>
        <v>#DIV/0!</v>
      </c>
      <c r="AA152" s="15" t="e">
        <f>$K152/$H152</f>
        <v>#DIV/0!</v>
      </c>
      <c r="AB152" s="15">
        <f t="shared" si="34"/>
        <v>0</v>
      </c>
    </row>
    <row r="153" spans="1:28" x14ac:dyDescent="0.2">
      <c r="A153" s="16" t="s">
        <v>1643</v>
      </c>
      <c r="B153" s="16" t="s">
        <v>38</v>
      </c>
      <c r="C153" s="16">
        <v>25</v>
      </c>
      <c r="D153" s="16">
        <v>2</v>
      </c>
      <c r="E153" s="16" t="s">
        <v>225</v>
      </c>
      <c r="F153" s="16" t="s">
        <v>1599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f t="shared" si="29"/>
        <v>0</v>
      </c>
      <c r="W153" s="16" t="e">
        <f t="shared" si="30"/>
        <v>#DIV/0!</v>
      </c>
      <c r="X153" s="16" t="e">
        <f t="shared" si="31"/>
        <v>#DIV/0!</v>
      </c>
      <c r="Y153" s="16" t="e">
        <f t="shared" si="32"/>
        <v>#DIV/0!</v>
      </c>
      <c r="Z153" s="16" t="e">
        <f t="shared" si="33"/>
        <v>#DIV/0!</v>
      </c>
      <c r="AA153" s="16" t="e">
        <f>$K153/$H153</f>
        <v>#DIV/0!</v>
      </c>
      <c r="AB153" s="16">
        <f t="shared" si="34"/>
        <v>0</v>
      </c>
    </row>
    <row r="154" spans="1:28" x14ac:dyDescent="0.2">
      <c r="A154" s="15" t="s">
        <v>1644</v>
      </c>
      <c r="B154" s="15" t="s">
        <v>38</v>
      </c>
      <c r="C154" s="15">
        <v>24</v>
      </c>
      <c r="D154" s="15">
        <v>2</v>
      </c>
      <c r="E154" s="15" t="s">
        <v>86</v>
      </c>
      <c r="F154" s="15" t="s">
        <v>1599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T154" s="15">
        <v>0</v>
      </c>
      <c r="U154" s="15">
        <v>0</v>
      </c>
      <c r="V154" s="15">
        <f t="shared" si="29"/>
        <v>0</v>
      </c>
      <c r="W154" s="15" t="e">
        <f t="shared" si="30"/>
        <v>#DIV/0!</v>
      </c>
      <c r="X154" s="15" t="e">
        <f t="shared" si="31"/>
        <v>#DIV/0!</v>
      </c>
      <c r="Y154" s="15" t="e">
        <f t="shared" si="32"/>
        <v>#DIV/0!</v>
      </c>
      <c r="Z154" s="15" t="e">
        <f t="shared" si="33"/>
        <v>#DIV/0!</v>
      </c>
      <c r="AA154" s="15" t="e">
        <f>$K154/$H154</f>
        <v>#DIV/0!</v>
      </c>
      <c r="AB154" s="15">
        <f t="shared" si="34"/>
        <v>0</v>
      </c>
    </row>
    <row r="155" spans="1:28" x14ac:dyDescent="0.2">
      <c r="A155" s="16" t="s">
        <v>1645</v>
      </c>
      <c r="B155" s="16" t="s">
        <v>38</v>
      </c>
      <c r="C155" s="16">
        <v>24</v>
      </c>
      <c r="D155" s="16">
        <v>0</v>
      </c>
      <c r="E155" s="16" t="s">
        <v>1345</v>
      </c>
      <c r="F155" s="16" t="s">
        <v>1599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0</v>
      </c>
      <c r="V155" s="16">
        <f t="shared" si="29"/>
        <v>0</v>
      </c>
      <c r="W155" s="16" t="e">
        <f t="shared" si="30"/>
        <v>#DIV/0!</v>
      </c>
      <c r="X155" s="16" t="e">
        <f t="shared" si="31"/>
        <v>#DIV/0!</v>
      </c>
      <c r="Y155" s="16" t="e">
        <f t="shared" si="32"/>
        <v>#DIV/0!</v>
      </c>
      <c r="Z155" s="16" t="e">
        <f t="shared" si="33"/>
        <v>#DIV/0!</v>
      </c>
      <c r="AA155" s="16" t="e">
        <f>$K155/$H155</f>
        <v>#DIV/0!</v>
      </c>
      <c r="AB155" s="16">
        <f t="shared" si="34"/>
        <v>0</v>
      </c>
    </row>
    <row r="156" spans="1:28" x14ac:dyDescent="0.2">
      <c r="A156" s="15" t="s">
        <v>1691</v>
      </c>
      <c r="B156" s="15" t="s">
        <v>38</v>
      </c>
      <c r="C156" s="15">
        <v>26</v>
      </c>
      <c r="D156" s="15">
        <v>1</v>
      </c>
      <c r="E156" s="15" t="s">
        <v>362</v>
      </c>
      <c r="F156" s="15" t="s">
        <v>1648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T156" s="15">
        <v>0</v>
      </c>
      <c r="U156" s="15">
        <v>0</v>
      </c>
      <c r="V156" s="15">
        <f t="shared" si="29"/>
        <v>0</v>
      </c>
      <c r="W156" s="15" t="e">
        <f t="shared" si="30"/>
        <v>#DIV/0!</v>
      </c>
      <c r="X156" s="15" t="e">
        <f t="shared" si="31"/>
        <v>#DIV/0!</v>
      </c>
      <c r="Y156" s="15" t="e">
        <f t="shared" si="32"/>
        <v>#DIV/0!</v>
      </c>
      <c r="Z156" s="15" t="e">
        <f t="shared" si="33"/>
        <v>#DIV/0!</v>
      </c>
      <c r="AA156" s="15" t="e">
        <f>$K156/$H156</f>
        <v>#DIV/0!</v>
      </c>
      <c r="AB156" s="15">
        <f t="shared" si="34"/>
        <v>0</v>
      </c>
    </row>
    <row r="157" spans="1:28" x14ac:dyDescent="0.2">
      <c r="A157" s="16" t="s">
        <v>1692</v>
      </c>
      <c r="B157" s="16" t="s">
        <v>38</v>
      </c>
      <c r="C157" s="16">
        <v>26</v>
      </c>
      <c r="D157" s="16">
        <v>1</v>
      </c>
      <c r="E157" s="16" t="s">
        <v>170</v>
      </c>
      <c r="F157" s="16" t="s">
        <v>1648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0</v>
      </c>
      <c r="V157" s="16">
        <f t="shared" si="29"/>
        <v>0</v>
      </c>
      <c r="W157" s="16" t="e">
        <f t="shared" si="30"/>
        <v>#DIV/0!</v>
      </c>
      <c r="X157" s="16" t="e">
        <f t="shared" si="31"/>
        <v>#DIV/0!</v>
      </c>
      <c r="Y157" s="16" t="e">
        <f t="shared" si="32"/>
        <v>#DIV/0!</v>
      </c>
      <c r="Z157" s="16" t="e">
        <f t="shared" si="33"/>
        <v>#DIV/0!</v>
      </c>
      <c r="AA157" s="16" t="e">
        <f>$K157/$H157</f>
        <v>#DIV/0!</v>
      </c>
      <c r="AB157" s="16">
        <f t="shared" si="34"/>
        <v>0</v>
      </c>
    </row>
    <row r="158" spans="1:28" x14ac:dyDescent="0.2">
      <c r="A158" s="15" t="s">
        <v>1693</v>
      </c>
      <c r="B158" s="15" t="s">
        <v>38</v>
      </c>
      <c r="C158" s="15">
        <v>23</v>
      </c>
      <c r="D158" s="15">
        <v>2</v>
      </c>
      <c r="E158" s="15" t="s">
        <v>232</v>
      </c>
      <c r="F158" s="15" t="s">
        <v>1648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  <c r="O158" s="15">
        <v>0</v>
      </c>
      <c r="P158" s="15">
        <v>0</v>
      </c>
      <c r="Q158" s="15">
        <v>0</v>
      </c>
      <c r="R158" s="15">
        <v>0</v>
      </c>
      <c r="S158" s="15">
        <v>0</v>
      </c>
      <c r="T158" s="15">
        <v>0</v>
      </c>
      <c r="U158" s="15">
        <v>0</v>
      </c>
      <c r="V158" s="15">
        <f t="shared" si="29"/>
        <v>0</v>
      </c>
      <c r="W158" s="15" t="e">
        <f t="shared" si="30"/>
        <v>#DIV/0!</v>
      </c>
      <c r="X158" s="15" t="e">
        <f t="shared" si="31"/>
        <v>#DIV/0!</v>
      </c>
      <c r="Y158" s="15" t="e">
        <f t="shared" si="32"/>
        <v>#DIV/0!</v>
      </c>
      <c r="Z158" s="15" t="e">
        <f t="shared" si="33"/>
        <v>#DIV/0!</v>
      </c>
      <c r="AA158" s="15" t="e">
        <f>$K158/$H158</f>
        <v>#DIV/0!</v>
      </c>
      <c r="AB158" s="15">
        <f t="shared" si="34"/>
        <v>0</v>
      </c>
    </row>
    <row r="159" spans="1:28" x14ac:dyDescent="0.2">
      <c r="A159" s="16" t="s">
        <v>1694</v>
      </c>
      <c r="B159" s="16" t="s">
        <v>38</v>
      </c>
      <c r="C159" s="16">
        <v>28</v>
      </c>
      <c r="D159" s="16">
        <v>3</v>
      </c>
      <c r="E159" s="16" t="s">
        <v>616</v>
      </c>
      <c r="F159" s="16" t="s">
        <v>1648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0</v>
      </c>
      <c r="V159" s="16">
        <f t="shared" si="29"/>
        <v>0</v>
      </c>
      <c r="W159" s="16" t="e">
        <f t="shared" si="30"/>
        <v>#DIV/0!</v>
      </c>
      <c r="X159" s="16" t="e">
        <f t="shared" si="31"/>
        <v>#DIV/0!</v>
      </c>
      <c r="Y159" s="16" t="e">
        <f t="shared" si="32"/>
        <v>#DIV/0!</v>
      </c>
      <c r="Z159" s="16" t="e">
        <f t="shared" si="33"/>
        <v>#DIV/0!</v>
      </c>
      <c r="AA159" s="16" t="e">
        <f>$K159/$H159</f>
        <v>#DIV/0!</v>
      </c>
      <c r="AB159" s="16">
        <f t="shared" si="34"/>
        <v>0</v>
      </c>
    </row>
    <row r="160" spans="1:28" x14ac:dyDescent="0.2">
      <c r="A160" s="15" t="s">
        <v>1695</v>
      </c>
      <c r="B160" s="15" t="s">
        <v>38</v>
      </c>
      <c r="C160" s="15">
        <v>25</v>
      </c>
      <c r="D160" s="15">
        <v>1</v>
      </c>
      <c r="E160" s="15" t="s">
        <v>150</v>
      </c>
      <c r="F160" s="15" t="s">
        <v>1648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T160" s="15">
        <v>0</v>
      </c>
      <c r="U160" s="15">
        <v>0</v>
      </c>
      <c r="V160" s="15">
        <f t="shared" si="29"/>
        <v>0</v>
      </c>
      <c r="W160" s="15" t="e">
        <f t="shared" si="30"/>
        <v>#DIV/0!</v>
      </c>
      <c r="X160" s="15" t="e">
        <f t="shared" si="31"/>
        <v>#DIV/0!</v>
      </c>
      <c r="Y160" s="15" t="e">
        <f t="shared" si="32"/>
        <v>#DIV/0!</v>
      </c>
      <c r="Z160" s="15" t="e">
        <f t="shared" si="33"/>
        <v>#DIV/0!</v>
      </c>
      <c r="AA160" s="15" t="e">
        <f>$K160/$H160</f>
        <v>#DIV/0!</v>
      </c>
      <c r="AB160" s="15">
        <f t="shared" si="34"/>
        <v>0</v>
      </c>
    </row>
    <row r="161" spans="1:28" x14ac:dyDescent="0.2">
      <c r="A161" s="16" t="s">
        <v>1696</v>
      </c>
      <c r="B161" s="16" t="s">
        <v>38</v>
      </c>
      <c r="C161" s="16">
        <v>27</v>
      </c>
      <c r="D161" s="16">
        <v>5</v>
      </c>
      <c r="E161" s="16" t="s">
        <v>344</v>
      </c>
      <c r="F161" s="16" t="s">
        <v>1648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0</v>
      </c>
      <c r="V161" s="16">
        <f t="shared" si="29"/>
        <v>0</v>
      </c>
      <c r="W161" s="16" t="e">
        <f t="shared" si="30"/>
        <v>#DIV/0!</v>
      </c>
      <c r="X161" s="16" t="e">
        <f t="shared" si="31"/>
        <v>#DIV/0!</v>
      </c>
      <c r="Y161" s="16" t="e">
        <f t="shared" si="32"/>
        <v>#DIV/0!</v>
      </c>
      <c r="Z161" s="16" t="e">
        <f t="shared" si="33"/>
        <v>#DIV/0!</v>
      </c>
      <c r="AA161" s="16" t="e">
        <f>$K161/$H161</f>
        <v>#DIV/0!</v>
      </c>
      <c r="AB161" s="16">
        <f t="shared" si="34"/>
        <v>0</v>
      </c>
    </row>
    <row r="162" spans="1:28" x14ac:dyDescent="0.2">
      <c r="A162" s="15" t="s">
        <v>1741</v>
      </c>
      <c r="B162" s="15" t="s">
        <v>38</v>
      </c>
      <c r="C162" s="15">
        <v>25</v>
      </c>
      <c r="D162" s="15">
        <v>3</v>
      </c>
      <c r="E162" s="15" t="s">
        <v>296</v>
      </c>
      <c r="F162" s="15" t="s">
        <v>1699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  <c r="V162" s="15">
        <f t="shared" si="29"/>
        <v>0</v>
      </c>
      <c r="W162" s="15" t="e">
        <f t="shared" si="30"/>
        <v>#DIV/0!</v>
      </c>
      <c r="X162" s="15" t="e">
        <f t="shared" si="31"/>
        <v>#DIV/0!</v>
      </c>
      <c r="Y162" s="15" t="e">
        <f t="shared" si="32"/>
        <v>#DIV/0!</v>
      </c>
      <c r="Z162" s="15" t="e">
        <f t="shared" si="33"/>
        <v>#DIV/0!</v>
      </c>
      <c r="AA162" s="15" t="e">
        <f>$K162/$H162</f>
        <v>#DIV/0!</v>
      </c>
      <c r="AB162" s="15">
        <f t="shared" si="34"/>
        <v>0</v>
      </c>
    </row>
    <row r="163" spans="1:28" x14ac:dyDescent="0.2">
      <c r="A163" s="16" t="s">
        <v>1742</v>
      </c>
      <c r="B163" s="16" t="s">
        <v>38</v>
      </c>
      <c r="C163" s="16">
        <v>26</v>
      </c>
      <c r="D163" s="16">
        <v>1</v>
      </c>
      <c r="E163" s="16" t="s">
        <v>1743</v>
      </c>
      <c r="F163" s="16" t="s">
        <v>1699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0</v>
      </c>
      <c r="V163" s="16">
        <f t="shared" si="29"/>
        <v>0</v>
      </c>
      <c r="W163" s="16" t="e">
        <f t="shared" si="30"/>
        <v>#DIV/0!</v>
      </c>
      <c r="X163" s="16" t="e">
        <f t="shared" si="31"/>
        <v>#DIV/0!</v>
      </c>
      <c r="Y163" s="16" t="e">
        <f t="shared" si="32"/>
        <v>#DIV/0!</v>
      </c>
      <c r="Z163" s="16" t="e">
        <f t="shared" si="33"/>
        <v>#DIV/0!</v>
      </c>
      <c r="AA163" s="16" t="e">
        <f>$K163/$H163</f>
        <v>#DIV/0!</v>
      </c>
      <c r="AB163" s="16">
        <f t="shared" si="34"/>
        <v>0</v>
      </c>
    </row>
    <row r="164" spans="1:28" x14ac:dyDescent="0.2">
      <c r="A164" s="15" t="s">
        <v>1744</v>
      </c>
      <c r="B164" s="15" t="s">
        <v>38</v>
      </c>
      <c r="C164" s="15">
        <v>24</v>
      </c>
      <c r="D164" s="15">
        <v>2</v>
      </c>
      <c r="E164" s="15" t="s">
        <v>155</v>
      </c>
      <c r="F164" s="15" t="s">
        <v>1699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  <c r="O164" s="15">
        <v>0</v>
      </c>
      <c r="P164" s="15">
        <v>0</v>
      </c>
      <c r="Q164" s="15">
        <v>0</v>
      </c>
      <c r="R164" s="15">
        <v>0</v>
      </c>
      <c r="S164" s="15">
        <v>0</v>
      </c>
      <c r="T164" s="15">
        <v>0</v>
      </c>
      <c r="U164" s="15">
        <v>0</v>
      </c>
      <c r="V164" s="15">
        <f t="shared" si="29"/>
        <v>0</v>
      </c>
      <c r="W164" s="15" t="e">
        <f t="shared" si="30"/>
        <v>#DIV/0!</v>
      </c>
      <c r="X164" s="15" t="e">
        <f t="shared" si="31"/>
        <v>#DIV/0!</v>
      </c>
      <c r="Y164" s="15" t="e">
        <f t="shared" si="32"/>
        <v>#DIV/0!</v>
      </c>
      <c r="Z164" s="15" t="e">
        <f t="shared" si="33"/>
        <v>#DIV/0!</v>
      </c>
      <c r="AA164" s="15" t="e">
        <f>$K164/$H164</f>
        <v>#DIV/0!</v>
      </c>
      <c r="AB164" s="15">
        <f t="shared" si="34"/>
        <v>0</v>
      </c>
    </row>
    <row r="165" spans="1:28" x14ac:dyDescent="0.2">
      <c r="A165" s="16" t="s">
        <v>1745</v>
      </c>
      <c r="B165" s="16" t="s">
        <v>38</v>
      </c>
      <c r="C165" s="16">
        <v>26</v>
      </c>
      <c r="D165" s="16">
        <v>4</v>
      </c>
      <c r="E165" s="16" t="s">
        <v>102</v>
      </c>
      <c r="F165" s="16" t="s">
        <v>1699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0</v>
      </c>
      <c r="V165" s="16">
        <f t="shared" si="29"/>
        <v>0</v>
      </c>
      <c r="W165" s="16" t="e">
        <f t="shared" si="30"/>
        <v>#DIV/0!</v>
      </c>
      <c r="X165" s="16" t="e">
        <f t="shared" si="31"/>
        <v>#DIV/0!</v>
      </c>
      <c r="Y165" s="16" t="e">
        <f t="shared" si="32"/>
        <v>#DIV/0!</v>
      </c>
      <c r="Z165" s="16" t="e">
        <f t="shared" si="33"/>
        <v>#DIV/0!</v>
      </c>
      <c r="AA165" s="16" t="e">
        <f>$K165/$H165</f>
        <v>#DIV/0!</v>
      </c>
      <c r="AB165" s="16">
        <f t="shared" si="34"/>
        <v>0</v>
      </c>
    </row>
    <row r="166" spans="1:28" x14ac:dyDescent="0.2">
      <c r="A166" s="15" t="s">
        <v>1746</v>
      </c>
      <c r="B166" s="15" t="s">
        <v>38</v>
      </c>
      <c r="C166" s="15">
        <v>32</v>
      </c>
      <c r="D166" s="15">
        <v>9</v>
      </c>
      <c r="E166" s="15" t="s">
        <v>333</v>
      </c>
      <c r="F166" s="15" t="s">
        <v>1699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T166" s="15">
        <v>0</v>
      </c>
      <c r="U166" s="15">
        <v>0</v>
      </c>
      <c r="V166" s="15">
        <f t="shared" si="29"/>
        <v>0</v>
      </c>
      <c r="W166" s="15" t="e">
        <f t="shared" si="30"/>
        <v>#DIV/0!</v>
      </c>
      <c r="X166" s="15" t="e">
        <f t="shared" si="31"/>
        <v>#DIV/0!</v>
      </c>
      <c r="Y166" s="15" t="e">
        <f t="shared" si="32"/>
        <v>#DIV/0!</v>
      </c>
      <c r="Z166" s="15" t="e">
        <f t="shared" si="33"/>
        <v>#DIV/0!</v>
      </c>
      <c r="AA166" s="15" t="e">
        <f>$K166/$H166</f>
        <v>#DIV/0!</v>
      </c>
      <c r="AB166" s="15">
        <f t="shared" si="34"/>
        <v>0</v>
      </c>
    </row>
    <row r="167" spans="1:28" x14ac:dyDescent="0.2">
      <c r="A167" s="18" t="s">
        <v>1747</v>
      </c>
      <c r="B167" s="18" t="s">
        <v>38</v>
      </c>
      <c r="C167" s="18">
        <v>23</v>
      </c>
      <c r="D167" s="18">
        <v>2</v>
      </c>
      <c r="E167" s="18" t="s">
        <v>736</v>
      </c>
      <c r="F167" s="18" t="s">
        <v>1699</v>
      </c>
      <c r="G167" s="18">
        <v>0</v>
      </c>
      <c r="H167" s="18">
        <v>0</v>
      </c>
      <c r="I167" s="18">
        <v>0</v>
      </c>
      <c r="J167" s="18">
        <v>0</v>
      </c>
      <c r="K167" s="18">
        <v>0</v>
      </c>
      <c r="L167" s="18">
        <v>0</v>
      </c>
      <c r="M167" s="18">
        <v>0</v>
      </c>
      <c r="N167" s="18">
        <v>0</v>
      </c>
      <c r="O167" s="18">
        <v>0</v>
      </c>
      <c r="P167" s="18">
        <v>0</v>
      </c>
      <c r="Q167" s="18">
        <v>0</v>
      </c>
      <c r="R167" s="18">
        <v>0</v>
      </c>
      <c r="S167" s="18">
        <v>0</v>
      </c>
      <c r="T167" s="18">
        <v>0</v>
      </c>
      <c r="U167" s="18">
        <v>0</v>
      </c>
      <c r="V167" s="18">
        <f t="shared" si="29"/>
        <v>0</v>
      </c>
      <c r="W167" s="18" t="e">
        <f t="shared" si="30"/>
        <v>#DIV/0!</v>
      </c>
      <c r="X167" s="18" t="e">
        <f t="shared" si="31"/>
        <v>#DIV/0!</v>
      </c>
      <c r="Y167" s="18" t="e">
        <f t="shared" si="32"/>
        <v>#DIV/0!</v>
      </c>
      <c r="Z167" s="18" t="e">
        <f t="shared" si="33"/>
        <v>#DIV/0!</v>
      </c>
      <c r="AA167" s="18" t="e">
        <f>$K167/$H167</f>
        <v>#DIV/0!</v>
      </c>
      <c r="AB167" s="18">
        <f t="shared" si="34"/>
        <v>0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0946-64DB-40D8-BF67-701AB9BA2E43}">
  <sheetPr codeName="Sheet58"/>
  <dimension ref="A1:AB776"/>
  <sheetViews>
    <sheetView zoomScale="90" zoomScaleNormal="90" workbookViewId="0">
      <selection activeCell="A2" sqref="A2:AB776"/>
    </sheetView>
  </sheetViews>
  <sheetFormatPr baseColWidth="10" defaultColWidth="8.83203125" defaultRowHeight="15" x14ac:dyDescent="0.2"/>
  <cols>
    <col min="1" max="1" width="22.6640625" bestFit="1" customWidth="1"/>
    <col min="2" max="2" width="6.6640625" customWidth="1"/>
    <col min="3" max="3" width="6.5" customWidth="1"/>
    <col min="4" max="4" width="6.33203125" customWidth="1"/>
    <col min="5" max="5" width="23.5" bestFit="1" customWidth="1"/>
    <col min="6" max="6" width="7.33203125" customWidth="1"/>
    <col min="7" max="7" width="4.5" customWidth="1"/>
    <col min="8" max="8" width="7.33203125" customWidth="1"/>
    <col min="9" max="9" width="6.6640625" customWidth="1"/>
    <col min="10" max="10" width="7.1640625" customWidth="1"/>
    <col min="11" max="11" width="6.83203125" customWidth="1"/>
    <col min="12" max="12" width="5.33203125" customWidth="1"/>
    <col min="13" max="13" width="6" customWidth="1"/>
    <col min="14" max="14" width="7" customWidth="1"/>
    <col min="15" max="15" width="6.6640625" customWidth="1"/>
    <col min="16" max="16" width="5.5" customWidth="1"/>
    <col min="17" max="17" width="6" customWidth="1"/>
    <col min="18" max="18" width="8.6640625" customWidth="1"/>
    <col min="19" max="19" width="8.33203125" customWidth="1"/>
    <col min="20" max="20" width="6.5" customWidth="1"/>
    <col min="21" max="21" width="6.6640625" customWidth="1"/>
    <col min="22" max="22" width="7.6640625" customWidth="1"/>
    <col min="23" max="23" width="10.6640625" customWidth="1"/>
    <col min="24" max="25" width="7.1640625" bestFit="1" customWidth="1"/>
    <col min="26" max="26" width="9.83203125" customWidth="1"/>
    <col min="27" max="27" width="9" customWidth="1"/>
    <col min="28" max="28" width="10.33203125" customWidth="1"/>
  </cols>
  <sheetData>
    <row r="1" spans="1:28" x14ac:dyDescent="0.2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">
      <c r="A2" s="15" t="s">
        <v>61</v>
      </c>
      <c r="B2" s="15" t="s">
        <v>26</v>
      </c>
      <c r="C2" s="15">
        <v>28</v>
      </c>
      <c r="D2" s="15">
        <v>4</v>
      </c>
      <c r="E2" s="15" t="s">
        <v>62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>($J2*0.04)+($K2*4)+($L2*-2)+($N2*0.1)+($O2*6)+($Q2)+($R2*0.1)+($S2*6)+($T2*-2)</f>
        <v>0</v>
      </c>
      <c r="W2" s="15" t="e">
        <f>$P2/$H$33</f>
        <v>#DIV/0!</v>
      </c>
      <c r="X2" s="15" t="e">
        <f>$N2/$M2</f>
        <v>#DIV/0!</v>
      </c>
      <c r="Y2" s="15" t="e">
        <f>$R2/$Q2</f>
        <v>#DIV/0!</v>
      </c>
      <c r="Z2" s="15" t="e">
        <f>$I2/$H2</f>
        <v>#DIV/0!</v>
      </c>
      <c r="AA2" s="15" t="e">
        <f>$K2/$H2</f>
        <v>#DIV/0!</v>
      </c>
      <c r="AB2" s="15">
        <f>($J2*Cp_yd)+($K2*Cp_td)+($L2*Cint)+($M2*Ccar)+($N2*Cr_yd)+($O2*Cr_td)+(Q2*Crec)+($R2*Crec_yd)+($S2*Crec_td)+($T2*Cfmb)+($U2*Ctp_c)</f>
        <v>0</v>
      </c>
    </row>
    <row r="3" spans="1:28" x14ac:dyDescent="0.2">
      <c r="A3" s="16" t="s">
        <v>63</v>
      </c>
      <c r="B3" s="16" t="s">
        <v>26</v>
      </c>
      <c r="C3" s="16">
        <v>30</v>
      </c>
      <c r="D3" s="16">
        <v>8</v>
      </c>
      <c r="E3" s="16" t="s">
        <v>64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>($J3*0.04)+($K3*4)+($L3*-2)+($N3*0.1)+($O3*6)+($Q3)+($R3*0.1)+($S3*6)+($T3*-2)</f>
        <v>0</v>
      </c>
      <c r="W3" s="16" t="e">
        <f>$P3/$H$33</f>
        <v>#DIV/0!</v>
      </c>
      <c r="X3" s="16" t="e">
        <f>$N3/$M3</f>
        <v>#DIV/0!</v>
      </c>
      <c r="Y3" s="16" t="e">
        <f>$R3/$Q3</f>
        <v>#DIV/0!</v>
      </c>
      <c r="Z3" s="16" t="e">
        <f>$I3/$H3</f>
        <v>#DIV/0!</v>
      </c>
      <c r="AA3" s="16" t="e">
        <f>$K3/$H3</f>
        <v>#DIV/0!</v>
      </c>
      <c r="AB3" s="16">
        <f>($J3*Cp_yd)+($K3*Cp_td)+($L3*Cint)+($M3*Ccar)+($N3*Cr_yd)+($O3*Cr_td)+(Q3*Crec)+($R3*Crec_yd)+($S3*Crec_td)+($T3*Cfmb)+($U3*Ctp_c)</f>
        <v>0</v>
      </c>
    </row>
    <row r="4" spans="1:28" x14ac:dyDescent="0.2">
      <c r="A4" s="15" t="s">
        <v>65</v>
      </c>
      <c r="B4" s="15" t="s">
        <v>26</v>
      </c>
      <c r="C4" s="15">
        <v>36</v>
      </c>
      <c r="D4" s="15">
        <v>14</v>
      </c>
      <c r="E4" s="15" t="s">
        <v>66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>($J4*0.04)+($K4*4)+($L4*-2)+($N4*0.1)+($O4*6)+($Q4)+($R4*0.1)+($S4*6)+($T4*-2)</f>
        <v>0</v>
      </c>
      <c r="W4" s="15" t="e">
        <f>$P4/$H$33</f>
        <v>#DIV/0!</v>
      </c>
      <c r="X4" s="15" t="e">
        <f>$N4/$M4</f>
        <v>#DIV/0!</v>
      </c>
      <c r="Y4" s="15" t="e">
        <f>$R4/$Q4</f>
        <v>#DIV/0!</v>
      </c>
      <c r="Z4" s="15" t="e">
        <f>$I4/$H4</f>
        <v>#DIV/0!</v>
      </c>
      <c r="AA4" s="15" t="e">
        <f>$K4/$H4</f>
        <v>#DIV/0!</v>
      </c>
      <c r="AB4" s="15">
        <f>($J4*Cp_yd)+($K4*Cp_td)+($L4*Cint)+($M4*Ccar)+($N4*Cr_yd)+($O4*Cr_td)+(Q4*Crec)+($R4*Crec_yd)+($S4*Crec_td)+($T4*Cfmb)+($U4*Ctp_c)</f>
        <v>0</v>
      </c>
    </row>
    <row r="5" spans="1:28" x14ac:dyDescent="0.2">
      <c r="A5" s="16" t="s">
        <v>67</v>
      </c>
      <c r="B5" s="16" t="s">
        <v>26</v>
      </c>
      <c r="C5" s="16">
        <v>26</v>
      </c>
      <c r="D5" s="16">
        <v>5</v>
      </c>
      <c r="E5" s="16" t="s">
        <v>68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>($J5*0.04)+($K5*4)+($L5*-2)+($N5*0.1)+($O5*6)+($Q5)+($R5*0.1)+($S5*6)+($T5*-2)</f>
        <v>0</v>
      </c>
      <c r="W5" s="16" t="e">
        <f>$P5/$H$33</f>
        <v>#DIV/0!</v>
      </c>
      <c r="X5" s="16" t="e">
        <f>$N5/$M5</f>
        <v>#DIV/0!</v>
      </c>
      <c r="Y5" s="16" t="e">
        <f>$R5/$Q5</f>
        <v>#DIV/0!</v>
      </c>
      <c r="Z5" s="16" t="e">
        <f>$I5/$H5</f>
        <v>#DIV/0!</v>
      </c>
      <c r="AA5" s="16" t="e">
        <f>$K5/$H5</f>
        <v>#DIV/0!</v>
      </c>
      <c r="AB5" s="16">
        <f>($J5*Cp_yd)+($K5*Cp_td)+($L5*Cint)+($M5*Ccar)+($N5*Cr_yd)+($O5*Cr_td)+(Q5*Crec)+($R5*Crec_yd)+($S5*Crec_td)+($T5*Cfmb)+($U5*Ctp_c)</f>
        <v>0</v>
      </c>
    </row>
    <row r="6" spans="1:28" x14ac:dyDescent="0.2">
      <c r="A6" s="15" t="s">
        <v>71</v>
      </c>
      <c r="B6" s="15" t="s">
        <v>31</v>
      </c>
      <c r="C6" s="15">
        <v>28</v>
      </c>
      <c r="D6" s="15">
        <v>7</v>
      </c>
      <c r="E6" s="15" t="s">
        <v>72</v>
      </c>
      <c r="F6" s="15" t="s">
        <v>25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>($J6*0.04)+($K6*4)+($L6*-2)+($N6*0.1)+($O6*6)+($Q6)+($R6*0.1)+($S6*6)+($T6*-2)</f>
        <v>0</v>
      </c>
      <c r="W6" s="15" t="e">
        <f>$P6/$H$33</f>
        <v>#DIV/0!</v>
      </c>
      <c r="X6" s="15" t="e">
        <f>$N6/$M6</f>
        <v>#DIV/0!</v>
      </c>
      <c r="Y6" s="15" t="e">
        <f>$R6/$Q6</f>
        <v>#DIV/0!</v>
      </c>
      <c r="Z6" s="15" t="e">
        <f>$R6/$Q6</f>
        <v>#DIV/0!</v>
      </c>
      <c r="AA6" s="15" t="e">
        <f>$K6/$H6</f>
        <v>#DIV/0!</v>
      </c>
      <c r="AB6" s="15">
        <f>($J6*Cp_yd)+($K6*Cp_td)+($L6*Cint)+($M6*Ccar)+($N6*Cr_yd)+($O6*Cr_td)+(Q6*Crec)+($R6*Crec_yd)+($S6*Crec_td)+($T6*Cfmb)+($U6*Ctp_c)</f>
        <v>0</v>
      </c>
    </row>
    <row r="7" spans="1:28" x14ac:dyDescent="0.2">
      <c r="A7" s="16" t="s">
        <v>73</v>
      </c>
      <c r="B7" s="16" t="s">
        <v>31</v>
      </c>
      <c r="C7" s="16">
        <v>28</v>
      </c>
      <c r="D7" s="16">
        <v>7</v>
      </c>
      <c r="E7" s="16" t="s">
        <v>74</v>
      </c>
      <c r="F7" s="16" t="s">
        <v>25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>($J7*0.04)+($K7*4)+($L7*-2)+($N7*0.1)+($O7*6)+($Q7)+($R7*0.1)+($S7*6)+($T7*-2)</f>
        <v>0</v>
      </c>
      <c r="W7" s="16" t="e">
        <f>$P7/$H$33</f>
        <v>#DIV/0!</v>
      </c>
      <c r="X7" s="16" t="e">
        <f>$N7/$M7</f>
        <v>#DIV/0!</v>
      </c>
      <c r="Y7" s="16" t="e">
        <f>$R7/$Q7</f>
        <v>#DIV/0!</v>
      </c>
      <c r="Z7" s="16" t="e">
        <f>$R7/$Q7</f>
        <v>#DIV/0!</v>
      </c>
      <c r="AA7" s="16" t="e">
        <f>$K7/$H7</f>
        <v>#DIV/0!</v>
      </c>
      <c r="AB7" s="16">
        <f>($J7*Cp_yd)+($K7*Cp_td)+($L7*Cint)+($M7*Ccar)+($N7*Cr_yd)+($O7*Cr_td)+(Q7*Crec)+($R7*Crec_yd)+($S7*Crec_td)+($T7*Cfmb)+($U7*Ctp_c)</f>
        <v>0</v>
      </c>
    </row>
    <row r="8" spans="1:28" x14ac:dyDescent="0.2">
      <c r="A8" s="15" t="s">
        <v>75</v>
      </c>
      <c r="B8" s="15" t="s">
        <v>31</v>
      </c>
      <c r="C8" s="15">
        <v>24</v>
      </c>
      <c r="D8" s="15">
        <v>0</v>
      </c>
      <c r="E8" s="15" t="s">
        <v>76</v>
      </c>
      <c r="F8" s="15" t="s">
        <v>25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>($J8*0.04)+($K8*4)+($L8*-2)+($N8*0.1)+($O8*6)+($Q8)+($R8*0.1)+($S8*6)+($T8*-2)</f>
        <v>0</v>
      </c>
      <c r="W8" s="15" t="e">
        <f>$P8/$H$33</f>
        <v>#DIV/0!</v>
      </c>
      <c r="X8" s="15" t="e">
        <f>$N8/$M8</f>
        <v>#DIV/0!</v>
      </c>
      <c r="Y8" s="15" t="e">
        <f>$R8/$Q8</f>
        <v>#DIV/0!</v>
      </c>
      <c r="Z8" s="15" t="e">
        <f>$R8/$Q8</f>
        <v>#DIV/0!</v>
      </c>
      <c r="AA8" s="15" t="e">
        <f>$K8/$H8</f>
        <v>#DIV/0!</v>
      </c>
      <c r="AB8" s="15">
        <f>($J8*Cp_yd)+($K8*Cp_td)+($L8*Cint)+($M8*Ccar)+($N8*Cr_yd)+($O8*Cr_td)+(Q8*Crec)+($R8*Crec_yd)+($S8*Crec_td)+($T8*Cfmb)+($U8*Ctp_c)</f>
        <v>0</v>
      </c>
    </row>
    <row r="9" spans="1:28" x14ac:dyDescent="0.2">
      <c r="A9" s="16" t="s">
        <v>77</v>
      </c>
      <c r="B9" s="16" t="s">
        <v>31</v>
      </c>
      <c r="C9" s="16">
        <v>23</v>
      </c>
      <c r="D9" s="16">
        <v>2</v>
      </c>
      <c r="E9" s="16" t="s">
        <v>78</v>
      </c>
      <c r="F9" s="16" t="s">
        <v>25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>($J9*0.04)+($K9*4)+($L9*-2)+($N9*0.1)+($O9*6)+($Q9)+($R9*0.1)+($S9*6)+($T9*-2)</f>
        <v>0</v>
      </c>
      <c r="W9" s="16" t="e">
        <f>$P9/$H$33</f>
        <v>#DIV/0!</v>
      </c>
      <c r="X9" s="16" t="e">
        <f>$N9/$M9</f>
        <v>#DIV/0!</v>
      </c>
      <c r="Y9" s="16" t="e">
        <f>$R9/$Q9</f>
        <v>#DIV/0!</v>
      </c>
      <c r="Z9" s="16" t="e">
        <f>$R9/$Q9</f>
        <v>#DIV/0!</v>
      </c>
      <c r="AA9" s="16" t="e">
        <f>$K9/$H9</f>
        <v>#DIV/0!</v>
      </c>
      <c r="AB9" s="16">
        <f>($J9*Cp_yd)+($K9*Cp_td)+($L9*Cint)+($M9*Ccar)+($N9*Cr_yd)+($O9*Cr_td)+(Q9*Crec)+($R9*Crec_yd)+($S9*Crec_td)+($T9*Cfmb)+($U9*Ctp_c)</f>
        <v>0</v>
      </c>
    </row>
    <row r="10" spans="1:28" x14ac:dyDescent="0.2">
      <c r="A10" s="15" t="s">
        <v>79</v>
      </c>
      <c r="B10" s="15" t="s">
        <v>31</v>
      </c>
      <c r="C10" s="15">
        <v>27</v>
      </c>
      <c r="D10" s="15">
        <v>7</v>
      </c>
      <c r="E10" s="15" t="s">
        <v>80</v>
      </c>
      <c r="F10" s="15" t="s">
        <v>25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>($J10*0.04)+($K10*4)+($L10*-2)+($N10*0.1)+($O10*6)+($Q10)+($R10*0.1)+($S10*6)+($T10*-2)</f>
        <v>0</v>
      </c>
      <c r="W10" s="15" t="e">
        <f>$P10/$H$33</f>
        <v>#DIV/0!</v>
      </c>
      <c r="X10" s="15" t="e">
        <f>$N10/$M10</f>
        <v>#DIV/0!</v>
      </c>
      <c r="Y10" s="15" t="e">
        <f>$R10/$Q10</f>
        <v>#DIV/0!</v>
      </c>
      <c r="Z10" s="15" t="e">
        <f>$R10/$Q10</f>
        <v>#DIV/0!</v>
      </c>
      <c r="AA10" s="15" t="e">
        <f>$K10/$H10</f>
        <v>#DIV/0!</v>
      </c>
      <c r="AB10" s="15">
        <f>($J10*Cp_yd)+($K10*Cp_td)+($L10*Cint)+($M10*Ccar)+($N10*Cr_yd)+($O10*Cr_td)+(Q10*Crec)+($R10*Crec_yd)+($S10*Crec_td)+($T10*Cfmb)+($U10*Ctp_c)</f>
        <v>0</v>
      </c>
    </row>
    <row r="11" spans="1:28" x14ac:dyDescent="0.2">
      <c r="A11" s="16" t="s">
        <v>83</v>
      </c>
      <c r="B11" s="16" t="s">
        <v>43</v>
      </c>
      <c r="C11" s="16">
        <v>24</v>
      </c>
      <c r="D11" s="16">
        <v>0</v>
      </c>
      <c r="E11" s="16" t="s">
        <v>84</v>
      </c>
      <c r="F11" s="16" t="s">
        <v>25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>($J11*0.04)+($K11*4)+($L11*-2)+($N11*0.1)+($O11*6)+($Q11)+($R11*0.1)+($S11*6)+($T11*-2)</f>
        <v>0</v>
      </c>
      <c r="W11" s="16" t="e">
        <f>$P11/$H$33</f>
        <v>#DIV/0!</v>
      </c>
      <c r="X11" s="16" t="e">
        <f>$N11/$M11</f>
        <v>#DIV/0!</v>
      </c>
      <c r="Y11" s="16" t="e">
        <f>$R11/$Q11</f>
        <v>#DIV/0!</v>
      </c>
      <c r="Z11" s="16" t="e">
        <f>$R11/$Q11</f>
        <v>#DIV/0!</v>
      </c>
      <c r="AA11" s="16" t="e">
        <f>$K11/$H11</f>
        <v>#DIV/0!</v>
      </c>
      <c r="AB11" s="16">
        <f>($J11*Cp_yd)+($K11*Cp_td)+($L11*Cint)+($M11*Ccar)+($N11*Cr_yd)+($O11*Cr_td)+(Q11*Crec)+($R11*Crec_yd)+($S11*Crec_td)+($T11*Cfmb)+($U11*Ctp_c)</f>
        <v>0</v>
      </c>
    </row>
    <row r="12" spans="1:28" x14ac:dyDescent="0.2">
      <c r="A12" s="15" t="s">
        <v>85</v>
      </c>
      <c r="B12" s="15" t="s">
        <v>43</v>
      </c>
      <c r="C12" s="15">
        <v>26</v>
      </c>
      <c r="D12" s="15">
        <v>2</v>
      </c>
      <c r="E12" s="15" t="s">
        <v>86</v>
      </c>
      <c r="F12" s="15" t="s">
        <v>25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>($J12*0.04)+($K12*4)+($L12*-2)+($N12*0.1)+($O12*6)+($Q12)+($R12*0.1)+($S12*6)+($T12*-2)</f>
        <v>0</v>
      </c>
      <c r="W12" s="15" t="e">
        <f>$P12/$H$33</f>
        <v>#DIV/0!</v>
      </c>
      <c r="X12" s="15" t="e">
        <f>$N12/$M12</f>
        <v>#DIV/0!</v>
      </c>
      <c r="Y12" s="15" t="e">
        <f>$R12/$Q12</f>
        <v>#DIV/0!</v>
      </c>
      <c r="Z12" s="15" t="e">
        <f>$R12/$Q12</f>
        <v>#DIV/0!</v>
      </c>
      <c r="AA12" s="15" t="e">
        <f>$K12/$H12</f>
        <v>#DIV/0!</v>
      </c>
      <c r="AB12" s="15">
        <f>($J12*Cp_yd)+($K12*Cp_td)+($L12*Cint)+($M12*Ccar)+($N12*Cr_yd)+($O12*Cr_td)+(Q12*Crec)+($R12*Crec_yd)+($S12*Crec_td)+($T12*Cfmb)+($U12*Ctp_c)</f>
        <v>0</v>
      </c>
    </row>
    <row r="13" spans="1:28" x14ac:dyDescent="0.2">
      <c r="A13" s="16" t="s">
        <v>87</v>
      </c>
      <c r="B13" s="16" t="s">
        <v>43</v>
      </c>
      <c r="C13" s="16">
        <v>26</v>
      </c>
      <c r="D13" s="16">
        <v>5</v>
      </c>
      <c r="E13" s="16" t="s">
        <v>68</v>
      </c>
      <c r="F13" s="16" t="s">
        <v>25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>($J13*0.04)+($K13*4)+($L13*-2)+($N13*0.1)+($O13*6)+($Q13)+($R13*0.1)+($S13*6)+($T13*-2)</f>
        <v>0</v>
      </c>
      <c r="W13" s="16" t="e">
        <f>$P13/$H$33</f>
        <v>#DIV/0!</v>
      </c>
      <c r="X13" s="16" t="e">
        <f>$N13/$M13</f>
        <v>#DIV/0!</v>
      </c>
      <c r="Y13" s="16" t="e">
        <f>$R13/$Q13</f>
        <v>#DIV/0!</v>
      </c>
      <c r="Z13" s="16" t="e">
        <f>$R13/$Q13</f>
        <v>#DIV/0!</v>
      </c>
      <c r="AA13" s="16" t="e">
        <f>$K13/$H13</f>
        <v>#DIV/0!</v>
      </c>
      <c r="AB13" s="16">
        <f>($J13*Cp_yd)+($K13*Cp_td)+($L13*Cint)+($M13*Ccar)+($N13*Cr_yd)+($O13*Cr_td)+(Q13*Crec)+($R13*Crec_yd)+($S13*Crec_td)+($T13*Cfmb)+($U13*Ctp_c)</f>
        <v>0</v>
      </c>
    </row>
    <row r="14" spans="1:28" x14ac:dyDescent="0.2">
      <c r="A14" s="15" t="s">
        <v>88</v>
      </c>
      <c r="B14" s="15" t="s">
        <v>43</v>
      </c>
      <c r="C14" s="15">
        <v>23</v>
      </c>
      <c r="D14" s="15">
        <v>0</v>
      </c>
      <c r="E14" s="15" t="s">
        <v>89</v>
      </c>
      <c r="F14" s="15" t="s">
        <v>25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>($J14*0.04)+($K14*4)+($L14*-2)+($N14*0.1)+($O14*6)+($Q14)+($R14*0.1)+($S14*6)+($T14*-2)</f>
        <v>0</v>
      </c>
      <c r="W14" s="15" t="e">
        <f>$P14/$H$33</f>
        <v>#DIV/0!</v>
      </c>
      <c r="X14" s="15" t="e">
        <f>$N14/$M14</f>
        <v>#DIV/0!</v>
      </c>
      <c r="Y14" s="15" t="e">
        <f>$R14/$Q14</f>
        <v>#DIV/0!</v>
      </c>
      <c r="Z14" s="15" t="e">
        <f>$R14/$Q14</f>
        <v>#DIV/0!</v>
      </c>
      <c r="AA14" s="15" t="e">
        <f>$K14/$H14</f>
        <v>#DIV/0!</v>
      </c>
      <c r="AB14" s="15">
        <f>($J14*Cp_yd)+($K14*Cp_td)+($L14*Cint)+($M14*Ccar)+($N14*Cr_yd)+($O14*Cr_td)+(Q14*Crec)+($R14*Crec_yd)+($S14*Crec_td)+($T14*Cfmb)+($U14*Ctp_c)</f>
        <v>0</v>
      </c>
    </row>
    <row r="15" spans="1:28" x14ac:dyDescent="0.2">
      <c r="A15" s="16" t="s">
        <v>90</v>
      </c>
      <c r="B15" s="16" t="s">
        <v>43</v>
      </c>
      <c r="C15" s="16">
        <v>26</v>
      </c>
      <c r="D15" s="16">
        <v>2</v>
      </c>
      <c r="E15" s="16" t="s">
        <v>91</v>
      </c>
      <c r="F15" s="16" t="s">
        <v>25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>($J15*0.04)+($K15*4)+($L15*-2)+($N15*0.1)+($O15*6)+($Q15)+($R15*0.1)+($S15*6)+($T15*-2)</f>
        <v>0</v>
      </c>
      <c r="W15" s="16" t="e">
        <f>$P15/$H$33</f>
        <v>#DIV/0!</v>
      </c>
      <c r="X15" s="16" t="e">
        <f>$N15/$M15</f>
        <v>#DIV/0!</v>
      </c>
      <c r="Y15" s="16" t="e">
        <f>$R15/$Q15</f>
        <v>#DIV/0!</v>
      </c>
      <c r="Z15" s="16" t="e">
        <f>$R15/$Q15</f>
        <v>#DIV/0!</v>
      </c>
      <c r="AA15" s="16" t="e">
        <f>$K15/$H15</f>
        <v>#DIV/0!</v>
      </c>
      <c r="AB15" s="16">
        <f>($J15*Cp_yd)+($K15*Cp_td)+($L15*Cint)+($M15*Ccar)+($N15*Cr_yd)+($O15*Cr_td)+(Q15*Crec)+($R15*Crec_yd)+($S15*Crec_td)+($T15*Cfmb)+($U15*Ctp_c)</f>
        <v>0</v>
      </c>
    </row>
    <row r="16" spans="1:28" x14ac:dyDescent="0.2">
      <c r="A16" s="15" t="s">
        <v>92</v>
      </c>
      <c r="B16" s="15" t="s">
        <v>43</v>
      </c>
      <c r="C16" s="15">
        <v>24</v>
      </c>
      <c r="D16" s="15">
        <v>1</v>
      </c>
      <c r="E16" s="15" t="s">
        <v>93</v>
      </c>
      <c r="F16" s="15" t="s">
        <v>25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>($J16*0.04)+($K16*4)+($L16*-2)+($N16*0.1)+($O16*6)+($Q16)+($R16*0.1)+($S16*6)+($T16*-2)</f>
        <v>0</v>
      </c>
      <c r="W16" s="15" t="e">
        <f>$P16/$H$33</f>
        <v>#DIV/0!</v>
      </c>
      <c r="X16" s="15" t="e">
        <f>$N16/$M16</f>
        <v>#DIV/0!</v>
      </c>
      <c r="Y16" s="15" t="e">
        <f>$R16/$Q16</f>
        <v>#DIV/0!</v>
      </c>
      <c r="Z16" s="15" t="e">
        <f>$R16/$Q16</f>
        <v>#DIV/0!</v>
      </c>
      <c r="AA16" s="15" t="e">
        <f>$K16/$H16</f>
        <v>#DIV/0!</v>
      </c>
      <c r="AB16" s="15">
        <f>($J16*Cp_yd)+($K16*Cp_td)+($L16*Cint)+($M16*Ccar)+($N16*Cr_yd)+($O16*Cr_td)+(Q16*Crec)+($R16*Crec_yd)+($S16*Crec_td)+($T16*Cfmb)+($U16*Ctp_c)</f>
        <v>0</v>
      </c>
    </row>
    <row r="17" spans="1:28" x14ac:dyDescent="0.2">
      <c r="A17" s="16" t="s">
        <v>94</v>
      </c>
      <c r="B17" s="16" t="s">
        <v>43</v>
      </c>
      <c r="C17" s="16">
        <v>25</v>
      </c>
      <c r="D17" s="16">
        <v>3</v>
      </c>
      <c r="E17" s="16" t="s">
        <v>95</v>
      </c>
      <c r="F17" s="16" t="s">
        <v>25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>($J17*0.04)+($K17*4)+($L17*-2)+($N17*0.1)+($O17*6)+($Q17)+($R17*0.1)+($S17*6)+($T17*-2)</f>
        <v>0</v>
      </c>
      <c r="W17" s="16" t="e">
        <f>$P17/$H$33</f>
        <v>#DIV/0!</v>
      </c>
      <c r="X17" s="16" t="e">
        <f>$N17/$M17</f>
        <v>#DIV/0!</v>
      </c>
      <c r="Y17" s="16" t="e">
        <f>$R17/$Q17</f>
        <v>#DIV/0!</v>
      </c>
      <c r="Z17" s="16" t="e">
        <f>$R17/$Q17</f>
        <v>#DIV/0!</v>
      </c>
      <c r="AA17" s="16" t="e">
        <f>$K17/$H17</f>
        <v>#DIV/0!</v>
      </c>
      <c r="AB17" s="16">
        <f>($J17*Cp_yd)+($K17*Cp_td)+($L17*Cint)+($M17*Ccar)+($N17*Cr_yd)+($O17*Cr_td)+(Q17*Crec)+($R17*Crec_yd)+($S17*Crec_td)+($T17*Cfmb)+($U17*Ctp_c)</f>
        <v>0</v>
      </c>
    </row>
    <row r="18" spans="1:28" x14ac:dyDescent="0.2">
      <c r="A18" s="15" t="s">
        <v>96</v>
      </c>
      <c r="B18" s="15" t="s">
        <v>43</v>
      </c>
      <c r="C18" s="15">
        <v>23</v>
      </c>
      <c r="D18" s="15">
        <v>3</v>
      </c>
      <c r="E18" s="15" t="s">
        <v>62</v>
      </c>
      <c r="F18" s="15" t="s">
        <v>25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>($J18*0.04)+($K18*4)+($L18*-2)+($N18*0.1)+($O18*6)+($Q18)+($R18*0.1)+($S18*6)+($T18*-2)</f>
        <v>0</v>
      </c>
      <c r="W18" s="15" t="e">
        <f>$P18/$H$33</f>
        <v>#DIV/0!</v>
      </c>
      <c r="X18" s="15" t="e">
        <f>$N18/$M18</f>
        <v>#DIV/0!</v>
      </c>
      <c r="Y18" s="15" t="e">
        <f>$R18/$Q18</f>
        <v>#DIV/0!</v>
      </c>
      <c r="Z18" s="15" t="e">
        <f>$R18/$Q18</f>
        <v>#DIV/0!</v>
      </c>
      <c r="AA18" s="15" t="e">
        <f>$K18/$H18</f>
        <v>#DIV/0!</v>
      </c>
      <c r="AB18" s="15">
        <f>($J18*Cp_yd)+($K18*Cp_td)+($L18*Cint)+($M18*Ccar)+($N18*Cr_yd)+($O18*Cr_td)+(Q18*Crec)+($R18*Crec_yd)+($S18*Crec_td)+($T18*Cfmb)+($U18*Ctp_c)</f>
        <v>0</v>
      </c>
    </row>
    <row r="19" spans="1:28" x14ac:dyDescent="0.2">
      <c r="A19" s="16" t="s">
        <v>97</v>
      </c>
      <c r="B19" s="16" t="s">
        <v>43</v>
      </c>
      <c r="C19" s="16">
        <v>28</v>
      </c>
      <c r="D19" s="16">
        <v>6</v>
      </c>
      <c r="E19" s="16" t="s">
        <v>98</v>
      </c>
      <c r="F19" s="16" t="s">
        <v>25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>($J19*0.04)+($K19*4)+($L19*-2)+($N19*0.1)+($O19*6)+($Q19)+($R19*0.1)+($S19*6)+($T19*-2)</f>
        <v>0</v>
      </c>
      <c r="W19" s="16" t="e">
        <f>$P19/$H$33</f>
        <v>#DIV/0!</v>
      </c>
      <c r="X19" s="16" t="e">
        <f>$N19/$M19</f>
        <v>#DIV/0!</v>
      </c>
      <c r="Y19" s="16" t="e">
        <f>$R19/$Q19</f>
        <v>#DIV/0!</v>
      </c>
      <c r="Z19" s="16" t="e">
        <f>$R19/$Q19</f>
        <v>#DIV/0!</v>
      </c>
      <c r="AA19" s="16" t="e">
        <f>$K19/$H19</f>
        <v>#DIV/0!</v>
      </c>
      <c r="AB19" s="16">
        <f>($J19*Cp_yd)+($K19*Cp_td)+($L19*Cint)+($M19*Ccar)+($N19*Cr_yd)+($O19*Cr_td)+(Q19*Crec)+($R19*Crec_yd)+($S19*Crec_td)+($T19*Cfmb)+($U19*Ctp_c)</f>
        <v>0</v>
      </c>
    </row>
    <row r="20" spans="1:28" x14ac:dyDescent="0.2">
      <c r="A20" s="15" t="s">
        <v>99</v>
      </c>
      <c r="B20" s="15" t="s">
        <v>43</v>
      </c>
      <c r="C20" s="15">
        <v>24</v>
      </c>
      <c r="D20" s="15">
        <v>1</v>
      </c>
      <c r="E20" s="15" t="s">
        <v>100</v>
      </c>
      <c r="F20" s="15" t="s">
        <v>25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>($J20*0.04)+($K20*4)+($L20*-2)+($N20*0.1)+($O20*6)+($Q20)+($R20*0.1)+($S20*6)+($T20*-2)</f>
        <v>0</v>
      </c>
      <c r="W20" s="15" t="e">
        <f>$P20/$H$33</f>
        <v>#DIV/0!</v>
      </c>
      <c r="X20" s="15" t="e">
        <f>$N20/$M20</f>
        <v>#DIV/0!</v>
      </c>
      <c r="Y20" s="15" t="e">
        <f>$R20/$Q20</f>
        <v>#DIV/0!</v>
      </c>
      <c r="Z20" s="15" t="e">
        <f>$R20/$Q20</f>
        <v>#DIV/0!</v>
      </c>
      <c r="AA20" s="15" t="e">
        <f>$K20/$H20</f>
        <v>#DIV/0!</v>
      </c>
      <c r="AB20" s="15">
        <f>($J20*Cp_yd)+($K20*Cp_td)+($L20*Cint)+($M20*Ccar)+($N20*Cr_yd)+($O20*Cr_td)+(Q20*Crec)+($R20*Crec_yd)+($S20*Crec_td)+($T20*Cfmb)+($U20*Ctp_c)</f>
        <v>0</v>
      </c>
    </row>
    <row r="21" spans="1:28" x14ac:dyDescent="0.2">
      <c r="A21" s="16" t="s">
        <v>103</v>
      </c>
      <c r="B21" s="16" t="s">
        <v>38</v>
      </c>
      <c r="C21" s="16">
        <v>32</v>
      </c>
      <c r="D21" s="16">
        <v>11</v>
      </c>
      <c r="E21" s="16" t="s">
        <v>102</v>
      </c>
      <c r="F21" s="16" t="s">
        <v>25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>($J21*0.04)+($K21*4)+($L21*-2)+($N21*0.1)+($O21*6)+($Q21)+($R21*0.1)+($S21*6)+($T21*-2)</f>
        <v>0</v>
      </c>
      <c r="W21" s="16" t="e">
        <f>$P21/$H$33</f>
        <v>#DIV/0!</v>
      </c>
      <c r="X21" s="16" t="e">
        <f>$N21/$M21</f>
        <v>#DIV/0!</v>
      </c>
      <c r="Y21" s="16" t="e">
        <f>$R21/$Q21</f>
        <v>#DIV/0!</v>
      </c>
      <c r="Z21" s="16" t="e">
        <f>$R21/$Q21</f>
        <v>#DIV/0!</v>
      </c>
      <c r="AA21" s="16" t="e">
        <f>$K21/$H21</f>
        <v>#DIV/0!</v>
      </c>
      <c r="AB21" s="16">
        <f>($J21*Cp_yd)+($K21*Cp_td)+($L21*Cint)+($M21*Ccar)+($N21*Cr_yd)+($O21*Cr_td)+(Q21*Crec)+($R21*Crec_yd)+($S21*Crec_td)+($T21*Cfmb)+($U21*Ctp_c)</f>
        <v>0</v>
      </c>
    </row>
    <row r="22" spans="1:28" x14ac:dyDescent="0.2">
      <c r="A22" s="15" t="s">
        <v>104</v>
      </c>
      <c r="B22" s="15" t="s">
        <v>38</v>
      </c>
      <c r="C22" s="15">
        <v>25</v>
      </c>
      <c r="D22" s="15">
        <v>0</v>
      </c>
      <c r="E22" s="15" t="s">
        <v>105</v>
      </c>
      <c r="F22" s="15" t="s">
        <v>25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>($J22*0.04)+($K22*4)+($L22*-2)+($N22*0.1)+($O22*6)+($Q22)+($R22*0.1)+($S22*6)+($T22*-2)</f>
        <v>0</v>
      </c>
      <c r="W22" s="15" t="e">
        <f>$P22/$H$33</f>
        <v>#DIV/0!</v>
      </c>
      <c r="X22" s="15" t="e">
        <f>$N22/$M22</f>
        <v>#DIV/0!</v>
      </c>
      <c r="Y22" s="15" t="e">
        <f>$R22/$Q22</f>
        <v>#DIV/0!</v>
      </c>
      <c r="Z22" s="15" t="e">
        <f>$R22/$Q22</f>
        <v>#DIV/0!</v>
      </c>
      <c r="AA22" s="15" t="e">
        <f>$K22/$H22</f>
        <v>#DIV/0!</v>
      </c>
      <c r="AB22" s="15">
        <f>($J22*Cp_yd)+($K22*Cp_td)+($L22*Cint)+($M22*Ccar)+($N22*Cr_yd)+($O22*Cr_td)+(Q22*Crec)+($R22*Crec_yd)+($S22*Crec_td)+($T22*Cfmb)+($U22*Ctp_c)</f>
        <v>0</v>
      </c>
    </row>
    <row r="23" spans="1:28" x14ac:dyDescent="0.2">
      <c r="A23" s="16" t="s">
        <v>106</v>
      </c>
      <c r="B23" s="16" t="s">
        <v>38</v>
      </c>
      <c r="C23" s="16">
        <v>23</v>
      </c>
      <c r="D23" s="16">
        <v>2</v>
      </c>
      <c r="E23" s="16" t="s">
        <v>107</v>
      </c>
      <c r="F23" s="16" t="s">
        <v>25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>($J23*0.04)+($K23*4)+($L23*-2)+($N23*0.1)+($O23*6)+($Q23)+($R23*0.1)+($S23*6)+($T23*-2)</f>
        <v>0</v>
      </c>
      <c r="W23" s="16" t="e">
        <f>$P23/$H$33</f>
        <v>#DIV/0!</v>
      </c>
      <c r="X23" s="16" t="e">
        <f>$N23/$M23</f>
        <v>#DIV/0!</v>
      </c>
      <c r="Y23" s="16" t="e">
        <f>$R23/$Q23</f>
        <v>#DIV/0!</v>
      </c>
      <c r="Z23" s="16" t="e">
        <f>$R23/$Q23</f>
        <v>#DIV/0!</v>
      </c>
      <c r="AA23" s="16" t="e">
        <f>$K23/$H23</f>
        <v>#DIV/0!</v>
      </c>
      <c r="AB23" s="16">
        <f>($J23*Cp_yd)+($K23*Cp_td)+($L23*Cint)+($M23*Ccar)+($N23*Cr_yd)+($O23*Cr_td)+(Q23*Crec)+($R23*Crec_yd)+($S23*Crec_td)+($T23*Cfmb)+($U23*Ctp_c)</f>
        <v>0</v>
      </c>
    </row>
    <row r="24" spans="1:28" x14ac:dyDescent="0.2">
      <c r="A24" s="15" t="s">
        <v>108</v>
      </c>
      <c r="B24" s="15" t="s">
        <v>38</v>
      </c>
      <c r="C24" s="15">
        <v>26</v>
      </c>
      <c r="D24" s="15">
        <v>1</v>
      </c>
      <c r="E24" s="15" t="s">
        <v>93</v>
      </c>
      <c r="F24" s="15" t="s">
        <v>25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>($J24*0.04)+($K24*4)+($L24*-2)+($N24*0.1)+($O24*6)+($Q24)+($R24*0.1)+($S24*6)+($T24*-2)</f>
        <v>0</v>
      </c>
      <c r="W24" s="15" t="e">
        <f>$P24/$H$33</f>
        <v>#DIV/0!</v>
      </c>
      <c r="X24" s="15" t="e">
        <f>$N24/$M24</f>
        <v>#DIV/0!</v>
      </c>
      <c r="Y24" s="15" t="e">
        <f>$R24/$Q24</f>
        <v>#DIV/0!</v>
      </c>
      <c r="Z24" s="15" t="e">
        <f>$R24/$Q24</f>
        <v>#DIV/0!</v>
      </c>
      <c r="AA24" s="15" t="e">
        <f>$K24/$H24</f>
        <v>#DIV/0!</v>
      </c>
      <c r="AB24" s="15">
        <f>($J24*Cp_yd)+($K24*Cp_td)+($L24*Cint)+($M24*Ccar)+($N24*Cr_yd)+($O24*Cr_td)+(Q24*Crec)+($R24*Crec_yd)+($S24*Crec_td)+($T24*Cfmb)+($U24*Ctp_c)</f>
        <v>0</v>
      </c>
    </row>
    <row r="25" spans="1:28" x14ac:dyDescent="0.2">
      <c r="A25" s="16" t="s">
        <v>109</v>
      </c>
      <c r="B25" s="16" t="s">
        <v>38</v>
      </c>
      <c r="C25" s="16">
        <v>29</v>
      </c>
      <c r="D25" s="16">
        <v>9</v>
      </c>
      <c r="E25" s="16" t="s">
        <v>66</v>
      </c>
      <c r="F25" s="16" t="s">
        <v>25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>($J25*0.04)+($K25*4)+($L25*-2)+($N25*0.1)+($O25*6)+($Q25)+($R25*0.1)+($S25*6)+($T25*-2)</f>
        <v>0</v>
      </c>
      <c r="W25" s="16" t="e">
        <f>$P25/$H$33</f>
        <v>#DIV/0!</v>
      </c>
      <c r="X25" s="16" t="e">
        <f>$N25/$M25</f>
        <v>#DIV/0!</v>
      </c>
      <c r="Y25" s="16" t="e">
        <f>$R25/$Q25</f>
        <v>#DIV/0!</v>
      </c>
      <c r="Z25" s="16" t="e">
        <f>$R25/$Q25</f>
        <v>#DIV/0!</v>
      </c>
      <c r="AA25" s="16" t="e">
        <f>$K25/$H25</f>
        <v>#DIV/0!</v>
      </c>
      <c r="AB25" s="16">
        <f>($J25*Cp_yd)+($K25*Cp_td)+($L25*Cint)+($M25*Ccar)+($N25*Cr_yd)+($O25*Cr_td)+(Q25*Crec)+($R25*Crec_yd)+($S25*Crec_td)+($T25*Cfmb)+($U25*Ctp_c)</f>
        <v>0</v>
      </c>
    </row>
    <row r="26" spans="1:28" x14ac:dyDescent="0.2">
      <c r="A26" s="15" t="s">
        <v>110</v>
      </c>
      <c r="B26" s="15" t="s">
        <v>38</v>
      </c>
      <c r="C26" s="15">
        <v>26</v>
      </c>
      <c r="D26" s="15">
        <v>2</v>
      </c>
      <c r="E26" s="15" t="s">
        <v>111</v>
      </c>
      <c r="F26" s="15" t="s">
        <v>25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>($J26*0.04)+($K26*4)+($L26*-2)+($N26*0.1)+($O26*6)+($Q26)+($R26*0.1)+($S26*6)+($T26*-2)</f>
        <v>0</v>
      </c>
      <c r="W26" s="15" t="e">
        <f>$P26/$H$33</f>
        <v>#DIV/0!</v>
      </c>
      <c r="X26" s="15" t="e">
        <f>$N26/$M26</f>
        <v>#DIV/0!</v>
      </c>
      <c r="Y26" s="15" t="e">
        <f>$R26/$Q26</f>
        <v>#DIV/0!</v>
      </c>
      <c r="Z26" s="15" t="e">
        <f>$R26/$Q26</f>
        <v>#DIV/0!</v>
      </c>
      <c r="AA26" s="15" t="e">
        <f>$K26/$H26</f>
        <v>#DIV/0!</v>
      </c>
      <c r="AB26" s="15">
        <f>($J26*Cp_yd)+($K26*Cp_td)+($L26*Cint)+($M26*Ccar)+($N26*Cr_yd)+($O26*Cr_td)+(Q26*Crec)+($R26*Crec_yd)+($S26*Crec_td)+($T26*Cfmb)+($U26*Ctp_c)</f>
        <v>0</v>
      </c>
    </row>
    <row r="27" spans="1:28" x14ac:dyDescent="0.2">
      <c r="A27" s="16" t="s">
        <v>134</v>
      </c>
      <c r="B27" s="16" t="s">
        <v>26</v>
      </c>
      <c r="C27" s="16">
        <v>30</v>
      </c>
      <c r="D27" s="16">
        <v>6</v>
      </c>
      <c r="E27" s="16" t="s">
        <v>98</v>
      </c>
      <c r="F27" s="16" t="s">
        <v>114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>($J27*0.04)+($K27*4)+($L27*-2)+($N27*0.1)+($O27*6)+($Q27)+($R27*0.1)+($S27*6)+($T27*-2)</f>
        <v>0</v>
      </c>
      <c r="W27" s="16" t="e">
        <f>$P27/$H$33</f>
        <v>#DIV/0!</v>
      </c>
      <c r="X27" s="16" t="e">
        <f>$N27/$M27</f>
        <v>#DIV/0!</v>
      </c>
      <c r="Y27" s="16" t="e">
        <f>$R27/$Q27</f>
        <v>#DIV/0!</v>
      </c>
      <c r="Z27" s="16" t="e">
        <f>$I27/$H27</f>
        <v>#DIV/0!</v>
      </c>
      <c r="AA27" s="16" t="e">
        <f>$K27/$H27</f>
        <v>#DIV/0!</v>
      </c>
      <c r="AB27" s="16">
        <f>($J27*Cp_yd)+($K27*Cp_td)+($L27*Cint)+($M27*Ccar)+($N27*Cr_yd)+($O27*Cr_td)+(Q27*Crec)+($R27*Crec_yd)+($S27*Crec_td)+($T27*Cfmb)+($U27*Ctp_c)</f>
        <v>0</v>
      </c>
    </row>
    <row r="28" spans="1:28" x14ac:dyDescent="0.2">
      <c r="A28" s="15" t="s">
        <v>135</v>
      </c>
      <c r="B28" s="15" t="s">
        <v>26</v>
      </c>
      <c r="C28" s="15">
        <v>23</v>
      </c>
      <c r="D28" s="15">
        <v>2</v>
      </c>
      <c r="E28" s="15" t="s">
        <v>136</v>
      </c>
      <c r="F28" s="15" t="s">
        <v>114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>($J28*0.04)+($K28*4)+($L28*-2)+($N28*0.1)+($O28*6)+($Q28)+($R28*0.1)+($S28*6)+($T28*-2)</f>
        <v>0</v>
      </c>
      <c r="W28" s="15" t="e">
        <f>$P28/$H$33</f>
        <v>#DIV/0!</v>
      </c>
      <c r="X28" s="15" t="e">
        <f>$N28/$M28</f>
        <v>#DIV/0!</v>
      </c>
      <c r="Y28" s="15" t="e">
        <f>$R28/$Q28</f>
        <v>#DIV/0!</v>
      </c>
      <c r="Z28" s="15" t="e">
        <f>$I28/$H28</f>
        <v>#DIV/0!</v>
      </c>
      <c r="AA28" s="15" t="e">
        <f>$K28/$H28</f>
        <v>#DIV/0!</v>
      </c>
      <c r="AB28" s="15">
        <f>($J28*Cp_yd)+($K28*Cp_td)+($L28*Cint)+($M28*Ccar)+($N28*Cr_yd)+($O28*Cr_td)+(Q28*Crec)+($R28*Crec_yd)+($S28*Crec_td)+($T28*Cfmb)+($U28*Ctp_c)</f>
        <v>0</v>
      </c>
    </row>
    <row r="29" spans="1:28" x14ac:dyDescent="0.2">
      <c r="A29" s="16" t="s">
        <v>139</v>
      </c>
      <c r="B29" s="16" t="s">
        <v>31</v>
      </c>
      <c r="C29" s="16">
        <v>23</v>
      </c>
      <c r="D29" s="16">
        <v>2</v>
      </c>
      <c r="E29" s="16" t="s">
        <v>82</v>
      </c>
      <c r="F29" s="16" t="s">
        <v>114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>($J29*0.04)+($K29*4)+($L29*-2)+($N29*0.1)+($O29*6)+($Q29)+($R29*0.1)+($S29*6)+($T29*-2)</f>
        <v>0</v>
      </c>
      <c r="W29" s="16" t="e">
        <f>$P29/$H$33</f>
        <v>#DIV/0!</v>
      </c>
      <c r="X29" s="16" t="e">
        <f>$N29/$M29</f>
        <v>#DIV/0!</v>
      </c>
      <c r="Y29" s="16" t="e">
        <f>$R29/$Q29</f>
        <v>#DIV/0!</v>
      </c>
      <c r="Z29" s="16" t="e">
        <f>$I29/$H29</f>
        <v>#DIV/0!</v>
      </c>
      <c r="AA29" s="16" t="e">
        <f>$K29/$H29</f>
        <v>#DIV/0!</v>
      </c>
      <c r="AB29" s="16">
        <f>($J29*Cp_yd)+($K29*Cp_td)+($L29*Cint)+($M29*Ccar)+($N29*Cr_yd)+($O29*Cr_td)+(Q29*Crec)+($R29*Crec_yd)+($S29*Crec_td)+($T29*Cfmb)+($U29*Ctp_c)</f>
        <v>0</v>
      </c>
    </row>
    <row r="30" spans="1:28" x14ac:dyDescent="0.2">
      <c r="A30" s="15" t="s">
        <v>140</v>
      </c>
      <c r="B30" s="15" t="s">
        <v>31</v>
      </c>
      <c r="C30" s="15">
        <v>28</v>
      </c>
      <c r="D30" s="15">
        <v>5</v>
      </c>
      <c r="E30" s="15" t="s">
        <v>141</v>
      </c>
      <c r="F30" s="15" t="s">
        <v>114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>($J30*0.04)+($K30*4)+($L30*-2)+($N30*0.1)+($O30*6)+($Q30)+($R30*0.1)+($S30*6)+($T30*-2)</f>
        <v>0</v>
      </c>
      <c r="W30" s="15" t="e">
        <f>$P30/$H$33</f>
        <v>#DIV/0!</v>
      </c>
      <c r="X30" s="15" t="e">
        <f>$N30/$M30</f>
        <v>#DIV/0!</v>
      </c>
      <c r="Y30" s="15" t="e">
        <f>$R30/$Q30</f>
        <v>#DIV/0!</v>
      </c>
      <c r="Z30" s="15" t="e">
        <f>$I30/$H30</f>
        <v>#DIV/0!</v>
      </c>
      <c r="AA30" s="15" t="e">
        <f>$K30/$H30</f>
        <v>#DIV/0!</v>
      </c>
      <c r="AB30" s="15">
        <f>($J30*Cp_yd)+($K30*Cp_td)+($L30*Cint)+($M30*Ccar)+($N30*Cr_yd)+($O30*Cr_td)+(Q30*Crec)+($R30*Crec_yd)+($S30*Crec_td)+($T30*Cfmb)+($U30*Ctp_c)</f>
        <v>0</v>
      </c>
    </row>
    <row r="31" spans="1:28" x14ac:dyDescent="0.2">
      <c r="A31" s="16" t="s">
        <v>142</v>
      </c>
      <c r="B31" s="16" t="s">
        <v>31</v>
      </c>
      <c r="C31" s="16">
        <v>32</v>
      </c>
      <c r="D31" s="16">
        <v>11</v>
      </c>
      <c r="E31" s="16" t="s">
        <v>143</v>
      </c>
      <c r="F31" s="16" t="s">
        <v>114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>($J31*0.04)+($K31*4)+($L31*-2)+($N31*0.1)+($O31*6)+($Q31)+($R31*0.1)+($S31*6)+($T31*-2)</f>
        <v>0</v>
      </c>
      <c r="W31" s="16" t="e">
        <f>$P31/$H$33</f>
        <v>#DIV/0!</v>
      </c>
      <c r="X31" s="16" t="e">
        <f>$N31/$M31</f>
        <v>#DIV/0!</v>
      </c>
      <c r="Y31" s="16" t="e">
        <f>$R31/$Q31</f>
        <v>#DIV/0!</v>
      </c>
      <c r="Z31" s="16" t="e">
        <f>$I31/$H31</f>
        <v>#DIV/0!</v>
      </c>
      <c r="AA31" s="16" t="e">
        <f>$K31/$H31</f>
        <v>#DIV/0!</v>
      </c>
      <c r="AB31" s="16">
        <f>($J31*Cp_yd)+($K31*Cp_td)+($L31*Cint)+($M31*Ccar)+($N31*Cr_yd)+($O31*Cr_td)+(Q31*Crec)+($R31*Crec_yd)+($S31*Crec_td)+($T31*Cfmb)+($U31*Ctp_c)</f>
        <v>0</v>
      </c>
    </row>
    <row r="32" spans="1:28" x14ac:dyDescent="0.2">
      <c r="A32" s="15" t="s">
        <v>144</v>
      </c>
      <c r="B32" s="15" t="s">
        <v>31</v>
      </c>
      <c r="C32" s="15">
        <v>25</v>
      </c>
      <c r="D32" s="15">
        <v>1</v>
      </c>
      <c r="E32" s="15" t="s">
        <v>145</v>
      </c>
      <c r="F32" s="15" t="s">
        <v>114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>($J32*0.04)+($K32*4)+($L32*-2)+($N32*0.1)+($O32*6)+($Q32)+($R32*0.1)+($S32*6)+($T32*-2)</f>
        <v>0</v>
      </c>
      <c r="W32" s="15" t="e">
        <f>$P32/$H$33</f>
        <v>#DIV/0!</v>
      </c>
      <c r="X32" s="15" t="e">
        <f>$N32/$M32</f>
        <v>#DIV/0!</v>
      </c>
      <c r="Y32" s="15" t="e">
        <f>$R32/$Q32</f>
        <v>#DIV/0!</v>
      </c>
      <c r="Z32" s="15" t="e">
        <f>$I32/$H32</f>
        <v>#DIV/0!</v>
      </c>
      <c r="AA32" s="15" t="e">
        <f>$K32/$H32</f>
        <v>#DIV/0!</v>
      </c>
      <c r="AB32" s="15">
        <f>($J32*Cp_yd)+($K32*Cp_td)+($L32*Cint)+($M32*Ccar)+($N32*Cr_yd)+($O32*Cr_td)+(Q32*Crec)+($R32*Crec_yd)+($S32*Crec_td)+($T32*Cfmb)+($U32*Ctp_c)</f>
        <v>0</v>
      </c>
    </row>
    <row r="33" spans="1:28" x14ac:dyDescent="0.2">
      <c r="A33" s="16" t="s">
        <v>146</v>
      </c>
      <c r="B33" s="16" t="s">
        <v>31</v>
      </c>
      <c r="C33" s="16">
        <v>21</v>
      </c>
      <c r="D33" s="16">
        <v>0</v>
      </c>
      <c r="E33" s="16" t="s">
        <v>66</v>
      </c>
      <c r="F33" s="16" t="s">
        <v>114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>($J33*0.04)+($K33*4)+($L33*-2)+($N33*0.1)+($O33*6)+($Q33)+($R33*0.1)+($S33*6)+($T33*-2)</f>
        <v>0</v>
      </c>
      <c r="W33" s="16" t="e">
        <f>$P33/$H$33</f>
        <v>#DIV/0!</v>
      </c>
      <c r="X33" s="16" t="e">
        <f>$N33/$M33</f>
        <v>#DIV/0!</v>
      </c>
      <c r="Y33" s="16" t="e">
        <f>$R33/$Q33</f>
        <v>#DIV/0!</v>
      </c>
      <c r="Z33" s="16" t="e">
        <f>$I33/$H33</f>
        <v>#DIV/0!</v>
      </c>
      <c r="AA33" s="16" t="e">
        <f>$K33/$H33</f>
        <v>#DIV/0!</v>
      </c>
      <c r="AB33" s="16">
        <f>($J33*Cp_yd)+($K33*Cp_td)+($L33*Cint)+($M33*Ccar)+($N33*Cr_yd)+($O33*Cr_td)+(Q33*Crec)+($R33*Crec_yd)+($S33*Crec_td)+($T33*Cfmb)+($U33*Ctp_c)</f>
        <v>0</v>
      </c>
    </row>
    <row r="34" spans="1:28" x14ac:dyDescent="0.2">
      <c r="A34" s="15" t="s">
        <v>149</v>
      </c>
      <c r="B34" s="15" t="s">
        <v>43</v>
      </c>
      <c r="C34" s="15">
        <v>24</v>
      </c>
      <c r="D34" s="15">
        <v>1</v>
      </c>
      <c r="E34" s="15" t="s">
        <v>150</v>
      </c>
      <c r="F34" s="15" t="s">
        <v>114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>($J34*0.04)+($K34*4)+($L34*-2)+($N34*0.1)+($O34*6)+($Q34)+($R34*0.1)+($S34*6)+($T34*-2)</f>
        <v>0</v>
      </c>
      <c r="W34" s="15" t="e">
        <f>$P34/$H$33</f>
        <v>#DIV/0!</v>
      </c>
      <c r="X34" s="15" t="e">
        <f>$N34/$M34</f>
        <v>#DIV/0!</v>
      </c>
      <c r="Y34" s="15" t="e">
        <f>$R34/$Q34</f>
        <v>#DIV/0!</v>
      </c>
      <c r="Z34" s="15" t="e">
        <f>$I34/$H34</f>
        <v>#DIV/0!</v>
      </c>
      <c r="AA34" s="15" t="e">
        <f>$K34/$H34</f>
        <v>#DIV/0!</v>
      </c>
      <c r="AB34" s="15">
        <f>($J34*Cp_yd)+($K34*Cp_td)+($L34*Cint)+($M34*Ccar)+($N34*Cr_yd)+($O34*Cr_td)+(Q34*Crec)+($R34*Crec_yd)+($S34*Crec_td)+($T34*Cfmb)+($U34*Ctp_c)</f>
        <v>0</v>
      </c>
    </row>
    <row r="35" spans="1:28" x14ac:dyDescent="0.2">
      <c r="A35" s="16" t="s">
        <v>151</v>
      </c>
      <c r="B35" s="16" t="s">
        <v>43</v>
      </c>
      <c r="C35" s="16">
        <v>26</v>
      </c>
      <c r="D35" s="16">
        <v>4</v>
      </c>
      <c r="E35" s="16" t="s">
        <v>102</v>
      </c>
      <c r="F35" s="16" t="s">
        <v>114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>($J35*0.04)+($K35*4)+($L35*-2)+($N35*0.1)+($O35*6)+($Q35)+($R35*0.1)+($S35*6)+($T35*-2)</f>
        <v>0</v>
      </c>
      <c r="W35" s="16" t="e">
        <f>$P35/$H$33</f>
        <v>#DIV/0!</v>
      </c>
      <c r="X35" s="16" t="e">
        <f>$N35/$M35</f>
        <v>#DIV/0!</v>
      </c>
      <c r="Y35" s="16" t="e">
        <f>$R35/$Q35</f>
        <v>#DIV/0!</v>
      </c>
      <c r="Z35" s="16" t="e">
        <f>$I35/$H35</f>
        <v>#DIV/0!</v>
      </c>
      <c r="AA35" s="16" t="e">
        <f>$K35/$H35</f>
        <v>#DIV/0!</v>
      </c>
      <c r="AB35" s="16">
        <f>($J35*Cp_yd)+($K35*Cp_td)+($L35*Cint)+($M35*Ccar)+($N35*Cr_yd)+($O35*Cr_td)+(Q35*Crec)+($R35*Crec_yd)+($S35*Crec_td)+($T35*Cfmb)+($U35*Ctp_c)</f>
        <v>0</v>
      </c>
    </row>
    <row r="36" spans="1:28" x14ac:dyDescent="0.2">
      <c r="A36" s="15" t="s">
        <v>152</v>
      </c>
      <c r="B36" s="15" t="s">
        <v>43</v>
      </c>
      <c r="C36" s="15">
        <v>24</v>
      </c>
      <c r="D36" s="15">
        <v>2</v>
      </c>
      <c r="E36" s="15" t="s">
        <v>153</v>
      </c>
      <c r="F36" s="15" t="s">
        <v>114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>($J36*0.04)+($K36*4)+($L36*-2)+($N36*0.1)+($O36*6)+($Q36)+($R36*0.1)+($S36*6)+($T36*-2)</f>
        <v>0</v>
      </c>
      <c r="W36" s="15" t="e">
        <f>$P36/$H$33</f>
        <v>#DIV/0!</v>
      </c>
      <c r="X36" s="15" t="e">
        <f>$N36/$M36</f>
        <v>#DIV/0!</v>
      </c>
      <c r="Y36" s="15" t="e">
        <f>$R36/$Q36</f>
        <v>#DIV/0!</v>
      </c>
      <c r="Z36" s="15" t="e">
        <f>$I36/$H36</f>
        <v>#DIV/0!</v>
      </c>
      <c r="AA36" s="15" t="e">
        <f>$K36/$H36</f>
        <v>#DIV/0!</v>
      </c>
      <c r="AB36" s="15">
        <f>($J36*Cp_yd)+($K36*Cp_td)+($L36*Cint)+($M36*Ccar)+($N36*Cr_yd)+($O36*Cr_td)+(Q36*Crec)+($R36*Crec_yd)+($S36*Crec_td)+($T36*Cfmb)+($U36*Ctp_c)</f>
        <v>0</v>
      </c>
    </row>
    <row r="37" spans="1:28" x14ac:dyDescent="0.2">
      <c r="A37" s="16" t="s">
        <v>154</v>
      </c>
      <c r="B37" s="16" t="s">
        <v>43</v>
      </c>
      <c r="C37" s="16">
        <v>25</v>
      </c>
      <c r="D37" s="16">
        <v>3</v>
      </c>
      <c r="E37" s="16" t="s">
        <v>155</v>
      </c>
      <c r="F37" s="16" t="s">
        <v>114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>($J37*0.04)+($K37*4)+($L37*-2)+($N37*0.1)+($O37*6)+($Q37)+($R37*0.1)+($S37*6)+($T37*-2)</f>
        <v>0</v>
      </c>
      <c r="W37" s="16" t="e">
        <f>$P37/$H$33</f>
        <v>#DIV/0!</v>
      </c>
      <c r="X37" s="16" t="e">
        <f>$N37/$M37</f>
        <v>#DIV/0!</v>
      </c>
      <c r="Y37" s="16" t="e">
        <f>$R37/$Q37</f>
        <v>#DIV/0!</v>
      </c>
      <c r="Z37" s="16" t="e">
        <f>$I37/$H37</f>
        <v>#DIV/0!</v>
      </c>
      <c r="AA37" s="16" t="e">
        <f>$K37/$H37</f>
        <v>#DIV/0!</v>
      </c>
      <c r="AB37" s="16">
        <f>($J37*Cp_yd)+($K37*Cp_td)+($L37*Cint)+($M37*Ccar)+($N37*Cr_yd)+($O37*Cr_td)+(Q37*Crec)+($R37*Crec_yd)+($S37*Crec_td)+($T37*Cfmb)+($U37*Ctp_c)</f>
        <v>0</v>
      </c>
    </row>
    <row r="38" spans="1:28" x14ac:dyDescent="0.2">
      <c r="A38" s="15" t="s">
        <v>156</v>
      </c>
      <c r="B38" s="15" t="s">
        <v>43</v>
      </c>
      <c r="C38" s="15">
        <v>22</v>
      </c>
      <c r="D38" s="15">
        <v>0</v>
      </c>
      <c r="E38" s="15" t="s">
        <v>157</v>
      </c>
      <c r="F38" s="15" t="s">
        <v>114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>($J38*0.04)+($K38*4)+($L38*-2)+($N38*0.1)+($O38*6)+($Q38)+($R38*0.1)+($S38*6)+($T38*-2)</f>
        <v>0</v>
      </c>
      <c r="W38" s="15" t="e">
        <f>$P38/$H$33</f>
        <v>#DIV/0!</v>
      </c>
      <c r="X38" s="15" t="e">
        <f>$N38/$M38</f>
        <v>#DIV/0!</v>
      </c>
      <c r="Y38" s="15" t="e">
        <f>$R38/$Q38</f>
        <v>#DIV/0!</v>
      </c>
      <c r="Z38" s="15" t="e">
        <f>$I38/$H38</f>
        <v>#DIV/0!</v>
      </c>
      <c r="AA38" s="15" t="e">
        <f>$K38/$H38</f>
        <v>#DIV/0!</v>
      </c>
      <c r="AB38" s="15">
        <f>($J38*Cp_yd)+($K38*Cp_td)+($L38*Cint)+($M38*Ccar)+($N38*Cr_yd)+($O38*Cr_td)+(Q38*Crec)+($R38*Crec_yd)+($S38*Crec_td)+($T38*Cfmb)+($U38*Ctp_c)</f>
        <v>0</v>
      </c>
    </row>
    <row r="39" spans="1:28" x14ac:dyDescent="0.2">
      <c r="A39" s="16" t="s">
        <v>158</v>
      </c>
      <c r="B39" s="16" t="s">
        <v>43</v>
      </c>
      <c r="C39" s="16">
        <v>27</v>
      </c>
      <c r="D39" s="16">
        <v>4</v>
      </c>
      <c r="E39" s="16" t="s">
        <v>159</v>
      </c>
      <c r="F39" s="16" t="s">
        <v>114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>($J39*0.04)+($K39*4)+($L39*-2)+($N39*0.1)+($O39*6)+($Q39)+($R39*0.1)+($S39*6)+($T39*-2)</f>
        <v>0</v>
      </c>
      <c r="W39" s="16" t="e">
        <f>$P39/$H$33</f>
        <v>#DIV/0!</v>
      </c>
      <c r="X39" s="16" t="e">
        <f>$N39/$M39</f>
        <v>#DIV/0!</v>
      </c>
      <c r="Y39" s="16" t="e">
        <f>$R39/$Q39</f>
        <v>#DIV/0!</v>
      </c>
      <c r="Z39" s="16" t="e">
        <f>$I39/$H39</f>
        <v>#DIV/0!</v>
      </c>
      <c r="AA39" s="16" t="e">
        <f>$K39/$H39</f>
        <v>#DIV/0!</v>
      </c>
      <c r="AB39" s="16">
        <f>($J39*Cp_yd)+($K39*Cp_td)+($L39*Cint)+($M39*Ccar)+($N39*Cr_yd)+($O39*Cr_td)+(Q39*Crec)+($R39*Crec_yd)+($S39*Crec_td)+($T39*Cfmb)+($U39*Ctp_c)</f>
        <v>0</v>
      </c>
    </row>
    <row r="40" spans="1:28" x14ac:dyDescent="0.2">
      <c r="A40" s="15" t="s">
        <v>160</v>
      </c>
      <c r="B40" s="15" t="s">
        <v>43</v>
      </c>
      <c r="C40" s="15">
        <v>28</v>
      </c>
      <c r="D40" s="15">
        <v>6</v>
      </c>
      <c r="E40" s="15" t="s">
        <v>161</v>
      </c>
      <c r="F40" s="15" t="s">
        <v>114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>($J40*0.04)+($K40*4)+($L40*-2)+($N40*0.1)+($O40*6)+($Q40)+($R40*0.1)+($S40*6)+($T40*-2)</f>
        <v>0</v>
      </c>
      <c r="W40" s="15" t="e">
        <f>$P40/$H$33</f>
        <v>#DIV/0!</v>
      </c>
      <c r="X40" s="15" t="e">
        <f>$N40/$M40</f>
        <v>#DIV/0!</v>
      </c>
      <c r="Y40" s="15" t="e">
        <f>$R40/$Q40</f>
        <v>#DIV/0!</v>
      </c>
      <c r="Z40" s="15" t="e">
        <f>$I40/$H40</f>
        <v>#DIV/0!</v>
      </c>
      <c r="AA40" s="15" t="e">
        <f>$K40/$H40</f>
        <v>#DIV/0!</v>
      </c>
      <c r="AB40" s="15">
        <f>($J40*Cp_yd)+($K40*Cp_td)+($L40*Cint)+($M40*Ccar)+($N40*Cr_yd)+($O40*Cr_td)+(Q40*Crec)+($R40*Crec_yd)+($S40*Crec_td)+($T40*Cfmb)+($U40*Ctp_c)</f>
        <v>0</v>
      </c>
    </row>
    <row r="41" spans="1:28" x14ac:dyDescent="0.2">
      <c r="A41" s="16" t="s">
        <v>162</v>
      </c>
      <c r="B41" s="16" t="s">
        <v>43</v>
      </c>
      <c r="C41" s="16">
        <v>29</v>
      </c>
      <c r="D41" s="16">
        <v>7</v>
      </c>
      <c r="E41" s="16" t="s">
        <v>163</v>
      </c>
      <c r="F41" s="16" t="s">
        <v>114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>($J41*0.04)+($K41*4)+($L41*-2)+($N41*0.1)+($O41*6)+($Q41)+($R41*0.1)+($S41*6)+($T41*-2)</f>
        <v>0</v>
      </c>
      <c r="W41" s="16" t="e">
        <f>$P41/$H$33</f>
        <v>#DIV/0!</v>
      </c>
      <c r="X41" s="16" t="e">
        <f>$N41/$M41</f>
        <v>#DIV/0!</v>
      </c>
      <c r="Y41" s="16" t="e">
        <f>$R41/$Q41</f>
        <v>#DIV/0!</v>
      </c>
      <c r="Z41" s="16" t="e">
        <f>$I41/$H41</f>
        <v>#DIV/0!</v>
      </c>
      <c r="AA41" s="16" t="e">
        <f>$K41/$H41</f>
        <v>#DIV/0!</v>
      </c>
      <c r="AB41" s="16">
        <f>($J41*Cp_yd)+($K41*Cp_td)+($L41*Cint)+($M41*Ccar)+($N41*Cr_yd)+($O41*Cr_td)+(Q41*Crec)+($R41*Crec_yd)+($S41*Crec_td)+($T41*Cfmb)+($U41*Ctp_c)</f>
        <v>0</v>
      </c>
    </row>
    <row r="42" spans="1:28" x14ac:dyDescent="0.2">
      <c r="A42" s="15" t="s">
        <v>164</v>
      </c>
      <c r="B42" s="15" t="s">
        <v>43</v>
      </c>
      <c r="C42" s="15">
        <v>22</v>
      </c>
      <c r="D42" s="15">
        <v>2</v>
      </c>
      <c r="E42" s="15" t="s">
        <v>78</v>
      </c>
      <c r="F42" s="15" t="s">
        <v>114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>($J42*0.04)+($K42*4)+($L42*-2)+($N42*0.1)+($O42*6)+($Q42)+($R42*0.1)+($S42*6)+($T42*-2)</f>
        <v>0</v>
      </c>
      <c r="W42" s="15" t="e">
        <f>$P42/$H$33</f>
        <v>#DIV/0!</v>
      </c>
      <c r="X42" s="15" t="e">
        <f>$N42/$M42</f>
        <v>#DIV/0!</v>
      </c>
      <c r="Y42" s="15" t="e">
        <f>$R42/$Q42</f>
        <v>#DIV/0!</v>
      </c>
      <c r="Z42" s="15" t="e">
        <f>$I42/$H42</f>
        <v>#DIV/0!</v>
      </c>
      <c r="AA42" s="15" t="e">
        <f>$K42/$H42</f>
        <v>#DIV/0!</v>
      </c>
      <c r="AB42" s="15">
        <f>($J42*Cp_yd)+($K42*Cp_td)+($L42*Cint)+($M42*Ccar)+($N42*Cr_yd)+($O42*Cr_td)+(Q42*Crec)+($R42*Crec_yd)+($S42*Crec_td)+($T42*Cfmb)+($U42*Ctp_c)</f>
        <v>0</v>
      </c>
    </row>
    <row r="43" spans="1:28" x14ac:dyDescent="0.2">
      <c r="A43" s="16" t="s">
        <v>165</v>
      </c>
      <c r="B43" s="16" t="s">
        <v>43</v>
      </c>
      <c r="C43" s="16">
        <v>23</v>
      </c>
      <c r="D43" s="16">
        <v>0</v>
      </c>
      <c r="E43" s="16" t="s">
        <v>166</v>
      </c>
      <c r="F43" s="16" t="s">
        <v>114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>($J43*0.04)+($K43*4)+($L43*-2)+($N43*0.1)+($O43*6)+($Q43)+($R43*0.1)+($S43*6)+($T43*-2)</f>
        <v>0</v>
      </c>
      <c r="W43" s="16" t="e">
        <f>$P43/$H$33</f>
        <v>#DIV/0!</v>
      </c>
      <c r="X43" s="16" t="e">
        <f>$N43/$M43</f>
        <v>#DIV/0!</v>
      </c>
      <c r="Y43" s="16" t="e">
        <f>$R43/$Q43</f>
        <v>#DIV/0!</v>
      </c>
      <c r="Z43" s="16" t="e">
        <f>$I43/$H43</f>
        <v>#DIV/0!</v>
      </c>
      <c r="AA43" s="16" t="e">
        <f>$K43/$H43</f>
        <v>#DIV/0!</v>
      </c>
      <c r="AB43" s="16">
        <f>($J43*Cp_yd)+($K43*Cp_td)+($L43*Cint)+($M43*Ccar)+($N43*Cr_yd)+($O43*Cr_td)+(Q43*Crec)+($R43*Crec_yd)+($S43*Crec_td)+($T43*Cfmb)+($U43*Ctp_c)</f>
        <v>0</v>
      </c>
    </row>
    <row r="44" spans="1:28" x14ac:dyDescent="0.2">
      <c r="A44" s="15" t="s">
        <v>167</v>
      </c>
      <c r="B44" s="15" t="s">
        <v>43</v>
      </c>
      <c r="C44" s="15">
        <v>26</v>
      </c>
      <c r="D44" s="15">
        <v>5</v>
      </c>
      <c r="E44" s="15" t="s">
        <v>168</v>
      </c>
      <c r="F44" s="15" t="s">
        <v>114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>($J44*0.04)+($K44*4)+($L44*-2)+($N44*0.1)+($O44*6)+($Q44)+($R44*0.1)+($S44*6)+($T44*-2)</f>
        <v>0</v>
      </c>
      <c r="W44" s="15" t="e">
        <f>$P44/$H$33</f>
        <v>#DIV/0!</v>
      </c>
      <c r="X44" s="15" t="e">
        <f>$N44/$M44</f>
        <v>#DIV/0!</v>
      </c>
      <c r="Y44" s="15" t="e">
        <f>$R44/$Q44</f>
        <v>#DIV/0!</v>
      </c>
      <c r="Z44" s="15" t="e">
        <f>$I44/$H44</f>
        <v>#DIV/0!</v>
      </c>
      <c r="AA44" s="15" t="e">
        <f>$K44/$H44</f>
        <v>#DIV/0!</v>
      </c>
      <c r="AB44" s="15">
        <f>($J44*Cp_yd)+($K44*Cp_td)+($L44*Cint)+($M44*Ccar)+($N44*Cr_yd)+($O44*Cr_td)+(Q44*Crec)+($R44*Crec_yd)+($S44*Crec_td)+($T44*Cfmb)+($U44*Ctp_c)</f>
        <v>0</v>
      </c>
    </row>
    <row r="45" spans="1:28" x14ac:dyDescent="0.2">
      <c r="A45" s="16" t="s">
        <v>171</v>
      </c>
      <c r="B45" s="16" t="s">
        <v>38</v>
      </c>
      <c r="C45" s="16">
        <v>24</v>
      </c>
      <c r="D45" s="16">
        <v>1</v>
      </c>
      <c r="E45" s="16" t="s">
        <v>102</v>
      </c>
      <c r="F45" s="16" t="s">
        <v>114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>($J45*0.04)+($K45*4)+($L45*-2)+($N45*0.1)+($O45*6)+($Q45)+($R45*0.1)+($S45*6)+($T45*-2)</f>
        <v>0</v>
      </c>
      <c r="W45" s="16" t="e">
        <f>$P45/$H$33</f>
        <v>#DIV/0!</v>
      </c>
      <c r="X45" s="16" t="e">
        <f>$N45/$M45</f>
        <v>#DIV/0!</v>
      </c>
      <c r="Y45" s="16" t="e">
        <f>$R45/$Q45</f>
        <v>#DIV/0!</v>
      </c>
      <c r="Z45" s="16" t="e">
        <f>$I45/$H45</f>
        <v>#DIV/0!</v>
      </c>
      <c r="AA45" s="16" t="e">
        <f>$K45/$H45</f>
        <v>#DIV/0!</v>
      </c>
      <c r="AB45" s="16">
        <f>($J45*Cp_yd)+($K45*Cp_td)+($L45*Cint)+($M45*Ccar)+($N45*Cr_yd)+($O45*Cr_td)+(Q45*Crec)+($R45*Crec_yd)+($S45*Crec_td)+($T45*Cfmb)+($U45*Ctp_c)</f>
        <v>0</v>
      </c>
    </row>
    <row r="46" spans="1:28" x14ac:dyDescent="0.2">
      <c r="A46" s="15" t="s">
        <v>172</v>
      </c>
      <c r="B46" s="15" t="s">
        <v>38</v>
      </c>
      <c r="C46" s="15">
        <v>23</v>
      </c>
      <c r="D46" s="15">
        <v>2</v>
      </c>
      <c r="E46" s="15" t="s">
        <v>173</v>
      </c>
      <c r="F46" s="15" t="s">
        <v>114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>($J46*0.04)+($K46*4)+($L46*-2)+($N46*0.1)+($O46*6)+($Q46)+($R46*0.1)+($S46*6)+($T46*-2)</f>
        <v>0</v>
      </c>
      <c r="W46" s="15" t="e">
        <f>$P46/$H$33</f>
        <v>#DIV/0!</v>
      </c>
      <c r="X46" s="15" t="e">
        <f>$N46/$M46</f>
        <v>#DIV/0!</v>
      </c>
      <c r="Y46" s="15" t="e">
        <f>$R46/$Q46</f>
        <v>#DIV/0!</v>
      </c>
      <c r="Z46" s="15" t="e">
        <f>$I46/$H46</f>
        <v>#DIV/0!</v>
      </c>
      <c r="AA46" s="15" t="e">
        <f>$K46/$H46</f>
        <v>#DIV/0!</v>
      </c>
      <c r="AB46" s="15">
        <f>($J46*Cp_yd)+($K46*Cp_td)+($L46*Cint)+($M46*Ccar)+($N46*Cr_yd)+($O46*Cr_td)+(Q46*Crec)+($R46*Crec_yd)+($S46*Crec_td)+($T46*Cfmb)+($U46*Ctp_c)</f>
        <v>0</v>
      </c>
    </row>
    <row r="47" spans="1:28" x14ac:dyDescent="0.2">
      <c r="A47" s="16" t="s">
        <v>174</v>
      </c>
      <c r="B47" s="16" t="s">
        <v>38</v>
      </c>
      <c r="C47" s="16">
        <v>25</v>
      </c>
      <c r="D47" s="16">
        <v>3</v>
      </c>
      <c r="E47" s="16" t="s">
        <v>175</v>
      </c>
      <c r="F47" s="16" t="s">
        <v>114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>($J47*0.04)+($K47*4)+($L47*-2)+($N47*0.1)+($O47*6)+($Q47)+($R47*0.1)+($S47*6)+($T47*-2)</f>
        <v>0</v>
      </c>
      <c r="W47" s="16" t="e">
        <f>$P47/$H$33</f>
        <v>#DIV/0!</v>
      </c>
      <c r="X47" s="16" t="e">
        <f>$N47/$M47</f>
        <v>#DIV/0!</v>
      </c>
      <c r="Y47" s="16" t="e">
        <f>$R47/$Q47</f>
        <v>#DIV/0!</v>
      </c>
      <c r="Z47" s="16" t="e">
        <f>$I47/$H47</f>
        <v>#DIV/0!</v>
      </c>
      <c r="AA47" s="16" t="e">
        <f>$K47/$H47</f>
        <v>#DIV/0!</v>
      </c>
      <c r="AB47" s="16">
        <f>($J47*Cp_yd)+($K47*Cp_td)+($L47*Cint)+($M47*Ccar)+($N47*Cr_yd)+($O47*Cr_td)+(Q47*Crec)+($R47*Crec_yd)+($S47*Crec_td)+($T47*Cfmb)+($U47*Ctp_c)</f>
        <v>0</v>
      </c>
    </row>
    <row r="48" spans="1:28" x14ac:dyDescent="0.2">
      <c r="A48" s="15" t="s">
        <v>176</v>
      </c>
      <c r="B48" s="15" t="s">
        <v>38</v>
      </c>
      <c r="C48" s="15">
        <v>28</v>
      </c>
      <c r="D48" s="15">
        <v>3</v>
      </c>
      <c r="E48" s="15" t="s">
        <v>100</v>
      </c>
      <c r="F48" s="15" t="s">
        <v>114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>($J48*0.04)+($K48*4)+($L48*-2)+($N48*0.1)+($O48*6)+($Q48)+($R48*0.1)+($S48*6)+($T48*-2)</f>
        <v>0</v>
      </c>
      <c r="W48" s="15" t="e">
        <f>$P48/$H$33</f>
        <v>#DIV/0!</v>
      </c>
      <c r="X48" s="15" t="e">
        <f>$N48/$M48</f>
        <v>#DIV/0!</v>
      </c>
      <c r="Y48" s="15" t="e">
        <f>$R48/$Q48</f>
        <v>#DIV/0!</v>
      </c>
      <c r="Z48" s="15" t="e">
        <f>$I48/$H48</f>
        <v>#DIV/0!</v>
      </c>
      <c r="AA48" s="15" t="e">
        <f>$K48/$H48</f>
        <v>#DIV/0!</v>
      </c>
      <c r="AB48" s="15">
        <f>($J48*Cp_yd)+($K48*Cp_td)+($L48*Cint)+($M48*Ccar)+($N48*Cr_yd)+($O48*Cr_td)+(Q48*Crec)+($R48*Crec_yd)+($S48*Crec_td)+($T48*Cfmb)+($U48*Ctp_c)</f>
        <v>0</v>
      </c>
    </row>
    <row r="49" spans="1:28" x14ac:dyDescent="0.2">
      <c r="A49" s="16" t="s">
        <v>177</v>
      </c>
      <c r="B49" s="16" t="s">
        <v>38</v>
      </c>
      <c r="C49" s="16">
        <v>22</v>
      </c>
      <c r="D49" s="16">
        <v>3</v>
      </c>
      <c r="E49" s="16" t="s">
        <v>178</v>
      </c>
      <c r="F49" s="16" t="s">
        <v>114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>($J49*0.04)+($K49*4)+($L49*-2)+($N49*0.1)+($O49*6)+($Q49)+($R49*0.1)+($S49*6)+($T49*-2)</f>
        <v>0</v>
      </c>
      <c r="W49" s="16" t="e">
        <f>$P49/$H$33</f>
        <v>#DIV/0!</v>
      </c>
      <c r="X49" s="16" t="e">
        <f>$N49/$M49</f>
        <v>#DIV/0!</v>
      </c>
      <c r="Y49" s="16" t="e">
        <f>$R49/$Q49</f>
        <v>#DIV/0!</v>
      </c>
      <c r="Z49" s="16" t="e">
        <f>$I49/$H49</f>
        <v>#DIV/0!</v>
      </c>
      <c r="AA49" s="16" t="e">
        <f>$K49/$H49</f>
        <v>#DIV/0!</v>
      </c>
      <c r="AB49" s="16">
        <f>($J49*Cp_yd)+($K49*Cp_td)+($L49*Cint)+($M49*Ccar)+($N49*Cr_yd)+($O49*Cr_td)+(Q49*Crec)+($R49*Crec_yd)+($S49*Crec_td)+($T49*Cfmb)+($U49*Ctp_c)</f>
        <v>0</v>
      </c>
    </row>
    <row r="50" spans="1:28" x14ac:dyDescent="0.2">
      <c r="A50" s="15" t="s">
        <v>179</v>
      </c>
      <c r="B50" s="15" t="s">
        <v>38</v>
      </c>
      <c r="C50" s="15">
        <v>31</v>
      </c>
      <c r="D50" s="15">
        <v>8</v>
      </c>
      <c r="E50" s="15" t="s">
        <v>180</v>
      </c>
      <c r="F50" s="15" t="s">
        <v>114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>($J50*0.04)+($K50*4)+($L50*-2)+($N50*0.1)+($O50*6)+($Q50)+($R50*0.1)+($S50*6)+($T50*-2)</f>
        <v>0</v>
      </c>
      <c r="W50" s="15" t="e">
        <f>$P50/$H$33</f>
        <v>#DIV/0!</v>
      </c>
      <c r="X50" s="15" t="e">
        <f>$N50/$M50</f>
        <v>#DIV/0!</v>
      </c>
      <c r="Y50" s="15" t="e">
        <f>$R50/$Q50</f>
        <v>#DIV/0!</v>
      </c>
      <c r="Z50" s="15" t="e">
        <f>$I50/$H50</f>
        <v>#DIV/0!</v>
      </c>
      <c r="AA50" s="15" t="e">
        <f>$K50/$H50</f>
        <v>#DIV/0!</v>
      </c>
      <c r="AB50" s="15">
        <f>($J50*Cp_yd)+($K50*Cp_td)+($L50*Cint)+($M50*Ccar)+($N50*Cr_yd)+($O50*Cr_td)+(Q50*Crec)+($R50*Crec_yd)+($S50*Crec_td)+($T50*Cfmb)+($U50*Ctp_c)</f>
        <v>0</v>
      </c>
    </row>
    <row r="51" spans="1:28" x14ac:dyDescent="0.2">
      <c r="A51" s="16" t="s">
        <v>204</v>
      </c>
      <c r="B51" s="16" t="s">
        <v>26</v>
      </c>
      <c r="C51" s="16">
        <v>25</v>
      </c>
      <c r="D51" s="16">
        <v>1</v>
      </c>
      <c r="E51" s="16" t="s">
        <v>205</v>
      </c>
      <c r="F51" s="16" t="s">
        <v>184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>($J51*0.04)+($K51*4)+($L51*-2)+($N51*0.1)+($O51*6)+($Q51)+($R51*0.1)+($S51*6)+($T51*-2)</f>
        <v>0</v>
      </c>
      <c r="W51" s="16" t="e">
        <f>$P51/$H$33</f>
        <v>#DIV/0!</v>
      </c>
      <c r="X51" s="16" t="e">
        <f>$N51/$M51</f>
        <v>#DIV/0!</v>
      </c>
      <c r="Y51" s="16" t="e">
        <f>$R51/$Q51</f>
        <v>#DIV/0!</v>
      </c>
      <c r="Z51" s="16" t="e">
        <f>$I51/$H51</f>
        <v>#DIV/0!</v>
      </c>
      <c r="AA51" s="16" t="e">
        <f>$K51/$H51</f>
        <v>#DIV/0!</v>
      </c>
      <c r="AB51" s="16">
        <f>($J51*Cp_yd)+($K51*Cp_td)+($L51*Cint)+($M51*Ccar)+($N51*Cr_yd)+($O51*Cr_td)+(Q51*Crec)+($R51*Crec_yd)+($S51*Crec_td)+($T51*Cfmb)+($U51*Ctp_c)</f>
        <v>0</v>
      </c>
    </row>
    <row r="52" spans="1:28" x14ac:dyDescent="0.2">
      <c r="A52" s="15" t="s">
        <v>206</v>
      </c>
      <c r="B52" s="15" t="s">
        <v>26</v>
      </c>
      <c r="C52" s="15">
        <v>25</v>
      </c>
      <c r="D52" s="15">
        <v>4</v>
      </c>
      <c r="E52" s="15" t="s">
        <v>207</v>
      </c>
      <c r="F52" s="15" t="s">
        <v>184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>($J52*0.04)+($K52*4)+($L52*-2)+($N52*0.1)+($O52*6)+($Q52)+($R52*0.1)+($S52*6)+($T52*-2)</f>
        <v>0</v>
      </c>
      <c r="W52" s="15" t="e">
        <f>$P52/$H$33</f>
        <v>#DIV/0!</v>
      </c>
      <c r="X52" s="15" t="e">
        <f>$N52/$M52</f>
        <v>#DIV/0!</v>
      </c>
      <c r="Y52" s="15" t="e">
        <f>$R52/$Q52</f>
        <v>#DIV/0!</v>
      </c>
      <c r="Z52" s="15" t="e">
        <f>$I52/$H52</f>
        <v>#DIV/0!</v>
      </c>
      <c r="AA52" s="15" t="e">
        <f>$K52/$H52</f>
        <v>#DIV/0!</v>
      </c>
      <c r="AB52" s="15">
        <f>($J52*Cp_yd)+($K52*Cp_td)+($L52*Cint)+($M52*Ccar)+($N52*Cr_yd)+($O52*Cr_td)+(Q52*Crec)+($R52*Crec_yd)+($S52*Crec_td)+($T52*Cfmb)+($U52*Ctp_c)</f>
        <v>0</v>
      </c>
    </row>
    <row r="53" spans="1:28" x14ac:dyDescent="0.2">
      <c r="A53" s="16" t="s">
        <v>208</v>
      </c>
      <c r="B53" s="16" t="s">
        <v>26</v>
      </c>
      <c r="C53" s="16">
        <v>26</v>
      </c>
      <c r="D53" s="16">
        <v>6</v>
      </c>
      <c r="E53" s="16" t="s">
        <v>209</v>
      </c>
      <c r="F53" s="16" t="s">
        <v>184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>($J53*0.04)+($K53*4)+($L53*-2)+($N53*0.1)+($O53*6)+($Q53)+($R53*0.1)+($S53*6)+($T53*-2)</f>
        <v>0</v>
      </c>
      <c r="W53" s="16" t="e">
        <f>$P53/$H$33</f>
        <v>#DIV/0!</v>
      </c>
      <c r="X53" s="16" t="e">
        <f>$N53/$M53</f>
        <v>#DIV/0!</v>
      </c>
      <c r="Y53" s="16" t="e">
        <f>$R53/$Q53</f>
        <v>#DIV/0!</v>
      </c>
      <c r="Z53" s="16" t="e">
        <f>$I53/$H53</f>
        <v>#DIV/0!</v>
      </c>
      <c r="AA53" s="16" t="e">
        <f>$K53/$H53</f>
        <v>#DIV/0!</v>
      </c>
      <c r="AB53" s="16">
        <f>($J53*Cp_yd)+($K53*Cp_td)+($L53*Cint)+($M53*Ccar)+($N53*Cr_yd)+($O53*Cr_td)+(Q53*Crec)+($R53*Crec_yd)+($S53*Crec_td)+($T53*Cfmb)+($U53*Ctp_c)</f>
        <v>0</v>
      </c>
    </row>
    <row r="54" spans="1:28" x14ac:dyDescent="0.2">
      <c r="A54" s="15" t="s">
        <v>212</v>
      </c>
      <c r="B54" s="15" t="s">
        <v>31</v>
      </c>
      <c r="C54" s="15">
        <v>24</v>
      </c>
      <c r="D54" s="15">
        <v>4</v>
      </c>
      <c r="E54" s="15" t="s">
        <v>213</v>
      </c>
      <c r="F54" s="15" t="s">
        <v>184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>($J54*0.04)+($K54*4)+($L54*-2)+($N54*0.1)+($O54*6)+($Q54)+($R54*0.1)+($S54*6)+($T54*-2)</f>
        <v>0</v>
      </c>
      <c r="W54" s="15" t="e">
        <f>$P54/$H$33</f>
        <v>#DIV/0!</v>
      </c>
      <c r="X54" s="15" t="e">
        <f>$N54/$M54</f>
        <v>#DIV/0!</v>
      </c>
      <c r="Y54" s="15" t="e">
        <f>$R54/$Q54</f>
        <v>#DIV/0!</v>
      </c>
      <c r="Z54" s="15" t="e">
        <f>$I54/$H54</f>
        <v>#DIV/0!</v>
      </c>
      <c r="AA54" s="15" t="e">
        <f>$K54/$H54</f>
        <v>#DIV/0!</v>
      </c>
      <c r="AB54" s="15">
        <f>($J54*Cp_yd)+($K54*Cp_td)+($L54*Cint)+($M54*Ccar)+($N54*Cr_yd)+($O54*Cr_td)+(Q54*Crec)+($R54*Crec_yd)+($S54*Crec_td)+($T54*Cfmb)+($U54*Ctp_c)</f>
        <v>0</v>
      </c>
    </row>
    <row r="55" spans="1:28" x14ac:dyDescent="0.2">
      <c r="A55" s="16" t="s">
        <v>214</v>
      </c>
      <c r="B55" s="16" t="s">
        <v>31</v>
      </c>
      <c r="C55" s="16">
        <v>28</v>
      </c>
      <c r="D55" s="16">
        <v>6</v>
      </c>
      <c r="E55" s="16" t="s">
        <v>215</v>
      </c>
      <c r="F55" s="16" t="s">
        <v>184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>($J55*0.04)+($K55*4)+($L55*-2)+($N55*0.1)+($O55*6)+($Q55)+($R55*0.1)+($S55*6)+($T55*-2)</f>
        <v>0</v>
      </c>
      <c r="W55" s="16" t="e">
        <f>$P55/$H$33</f>
        <v>#DIV/0!</v>
      </c>
      <c r="X55" s="16" t="e">
        <f>$N55/$M55</f>
        <v>#DIV/0!</v>
      </c>
      <c r="Y55" s="16" t="e">
        <f>$R55/$Q55</f>
        <v>#DIV/0!</v>
      </c>
      <c r="Z55" s="16" t="e">
        <f>$I55/$H55</f>
        <v>#DIV/0!</v>
      </c>
      <c r="AA55" s="16" t="e">
        <f>$K55/$H55</f>
        <v>#DIV/0!</v>
      </c>
      <c r="AB55" s="16">
        <f>($J55*Cp_yd)+($K55*Cp_td)+($L55*Cint)+($M55*Ccar)+($N55*Cr_yd)+($O55*Cr_td)+(Q55*Crec)+($R55*Crec_yd)+($S55*Crec_td)+($T55*Cfmb)+($U55*Ctp_c)</f>
        <v>0</v>
      </c>
    </row>
    <row r="56" spans="1:28" x14ac:dyDescent="0.2">
      <c r="A56" s="15" t="s">
        <v>216</v>
      </c>
      <c r="B56" s="15" t="s">
        <v>31</v>
      </c>
      <c r="C56" s="15">
        <v>30</v>
      </c>
      <c r="D56" s="15">
        <v>9</v>
      </c>
      <c r="E56" s="15" t="s">
        <v>72</v>
      </c>
      <c r="F56" s="15" t="s">
        <v>184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>($J56*0.04)+($K56*4)+($L56*-2)+($N56*0.1)+($O56*6)+($Q56)+($R56*0.1)+($S56*6)+($T56*-2)</f>
        <v>0</v>
      </c>
      <c r="W56" s="15" t="e">
        <f>$P56/$H$33</f>
        <v>#DIV/0!</v>
      </c>
      <c r="X56" s="15" t="e">
        <f>$N56/$M56</f>
        <v>#DIV/0!</v>
      </c>
      <c r="Y56" s="15" t="e">
        <f>$R56/$Q56</f>
        <v>#DIV/0!</v>
      </c>
      <c r="Z56" s="15" t="e">
        <f>$I56/$H56</f>
        <v>#DIV/0!</v>
      </c>
      <c r="AA56" s="15" t="e">
        <f>$K56/$H56</f>
        <v>#DIV/0!</v>
      </c>
      <c r="AB56" s="15">
        <f>($J56*Cp_yd)+($K56*Cp_td)+($L56*Cint)+($M56*Ccar)+($N56*Cr_yd)+($O56*Cr_td)+(Q56*Crec)+($R56*Crec_yd)+($S56*Crec_td)+($T56*Cfmb)+($U56*Ctp_c)</f>
        <v>0</v>
      </c>
    </row>
    <row r="57" spans="1:28" x14ac:dyDescent="0.2">
      <c r="A57" s="16" t="s">
        <v>217</v>
      </c>
      <c r="B57" s="16" t="s">
        <v>31</v>
      </c>
      <c r="C57" s="16">
        <v>25</v>
      </c>
      <c r="D57" s="16">
        <v>5</v>
      </c>
      <c r="E57" s="16" t="s">
        <v>218</v>
      </c>
      <c r="F57" s="16" t="s">
        <v>184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>($J57*0.04)+($K57*4)+($L57*-2)+($N57*0.1)+($O57*6)+($Q57)+($R57*0.1)+($S57*6)+($T57*-2)</f>
        <v>0</v>
      </c>
      <c r="W57" s="16" t="e">
        <f>$P57/$H$33</f>
        <v>#DIV/0!</v>
      </c>
      <c r="X57" s="16" t="e">
        <f>$N57/$M57</f>
        <v>#DIV/0!</v>
      </c>
      <c r="Y57" s="16" t="e">
        <f>$R57/$Q57</f>
        <v>#DIV/0!</v>
      </c>
      <c r="Z57" s="16" t="e">
        <f>$I57/$H57</f>
        <v>#DIV/0!</v>
      </c>
      <c r="AA57" s="16" t="e">
        <f>$K57/$H57</f>
        <v>#DIV/0!</v>
      </c>
      <c r="AB57" s="16">
        <f>($J57*Cp_yd)+($K57*Cp_td)+($L57*Cint)+($M57*Ccar)+($N57*Cr_yd)+($O57*Cr_td)+(Q57*Crec)+($R57*Crec_yd)+($S57*Crec_td)+($T57*Cfmb)+($U57*Ctp_c)</f>
        <v>0</v>
      </c>
    </row>
    <row r="58" spans="1:28" x14ac:dyDescent="0.2">
      <c r="A58" s="15" t="s">
        <v>219</v>
      </c>
      <c r="B58" s="15" t="s">
        <v>31</v>
      </c>
      <c r="C58" s="15">
        <v>21</v>
      </c>
      <c r="D58" s="15">
        <v>0</v>
      </c>
      <c r="E58" s="15" t="s">
        <v>220</v>
      </c>
      <c r="F58" s="15" t="s">
        <v>184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>($J58*0.04)+($K58*4)+($L58*-2)+($N58*0.1)+($O58*6)+($Q58)+($R58*0.1)+($S58*6)+($T58*-2)</f>
        <v>0</v>
      </c>
      <c r="W58" s="15" t="e">
        <f>$P58/$H$33</f>
        <v>#DIV/0!</v>
      </c>
      <c r="X58" s="15" t="e">
        <f>$N58/$M58</f>
        <v>#DIV/0!</v>
      </c>
      <c r="Y58" s="15" t="e">
        <f>$R58/$Q58</f>
        <v>#DIV/0!</v>
      </c>
      <c r="Z58" s="15" t="e">
        <f>$I58/$H58</f>
        <v>#DIV/0!</v>
      </c>
      <c r="AA58" s="15" t="e">
        <f>$K58/$H58</f>
        <v>#DIV/0!</v>
      </c>
      <c r="AB58" s="15">
        <f>($J58*Cp_yd)+($K58*Cp_td)+($L58*Cint)+($M58*Ccar)+($N58*Cr_yd)+($O58*Cr_td)+(Q58*Crec)+($R58*Crec_yd)+($S58*Crec_td)+($T58*Cfmb)+($U58*Ctp_c)</f>
        <v>0</v>
      </c>
    </row>
    <row r="59" spans="1:28" x14ac:dyDescent="0.2">
      <c r="A59" s="16" t="s">
        <v>223</v>
      </c>
      <c r="B59" s="16" t="s">
        <v>43</v>
      </c>
      <c r="C59" s="16">
        <v>30</v>
      </c>
      <c r="D59" s="16">
        <v>9</v>
      </c>
      <c r="E59" s="16" t="s">
        <v>78</v>
      </c>
      <c r="F59" s="16" t="s">
        <v>184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>($J59*0.04)+($K59*4)+($L59*-2)+($N59*0.1)+($O59*6)+($Q59)+($R59*0.1)+($S59*6)+($T59*-2)</f>
        <v>0</v>
      </c>
      <c r="W59" s="16" t="e">
        <f>$P59/$H$33</f>
        <v>#DIV/0!</v>
      </c>
      <c r="X59" s="16" t="e">
        <f>$N59/$M59</f>
        <v>#DIV/0!</v>
      </c>
      <c r="Y59" s="16" t="e">
        <f>$R59/$Q59</f>
        <v>#DIV/0!</v>
      </c>
      <c r="Z59" s="16" t="e">
        <f>$I59/$H59</f>
        <v>#DIV/0!</v>
      </c>
      <c r="AA59" s="16" t="e">
        <f>$J59/$H59</f>
        <v>#DIV/0!</v>
      </c>
      <c r="AB59" s="16">
        <f>($J59*Cp_yd)+($K59*Cp_td)+($L59*Cint)+($M59*Ccar)+($N59*Cr_yd)+($O59*Cr_td)+(Q59*Crec)+($R59*Crec_yd)+($S59*Crec_td)+($T59*Cfmb)+($U59*Ctp_c)</f>
        <v>0</v>
      </c>
    </row>
    <row r="60" spans="1:28" x14ac:dyDescent="0.2">
      <c r="A60" s="15" t="s">
        <v>224</v>
      </c>
      <c r="B60" s="15" t="s">
        <v>43</v>
      </c>
      <c r="C60" s="15">
        <v>23</v>
      </c>
      <c r="D60" s="15">
        <v>3</v>
      </c>
      <c r="E60" s="15" t="s">
        <v>225</v>
      </c>
      <c r="F60" s="15" t="s">
        <v>184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>($J60*0.04)+($K60*4)+($L60*-2)+($N60*0.1)+($O60*6)+($Q60)+($R60*0.1)+($S60*6)+($T60*-2)</f>
        <v>0</v>
      </c>
      <c r="W60" s="15" t="e">
        <f>$P60/$H$33</f>
        <v>#DIV/0!</v>
      </c>
      <c r="X60" s="15" t="e">
        <f>$N60/$M60</f>
        <v>#DIV/0!</v>
      </c>
      <c r="Y60" s="15" t="e">
        <f>$R60/$Q60</f>
        <v>#DIV/0!</v>
      </c>
      <c r="Z60" s="15" t="e">
        <f>$I60/$H60</f>
        <v>#DIV/0!</v>
      </c>
      <c r="AA60" s="15" t="e">
        <f>$J60/$H60</f>
        <v>#DIV/0!</v>
      </c>
      <c r="AB60" s="15">
        <f>($J60*Cp_yd)+($K60*Cp_td)+($L60*Cint)+($M60*Ccar)+($N60*Cr_yd)+($O60*Cr_td)+(Q60*Crec)+($R60*Crec_yd)+($S60*Crec_td)+($T60*Cfmb)+($U60*Ctp_c)</f>
        <v>0</v>
      </c>
    </row>
    <row r="61" spans="1:28" x14ac:dyDescent="0.2">
      <c r="A61" s="16" t="s">
        <v>226</v>
      </c>
      <c r="B61" s="16" t="s">
        <v>43</v>
      </c>
      <c r="C61" s="16">
        <v>30</v>
      </c>
      <c r="D61" s="16">
        <v>9</v>
      </c>
      <c r="E61" s="16" t="s">
        <v>227</v>
      </c>
      <c r="F61" s="16" t="s">
        <v>184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>($J61*0.04)+($K61*4)+($L61*-2)+($N61*0.1)+($O61*6)+($Q61)+($R61*0.1)+($S61*6)+($T61*-2)</f>
        <v>0</v>
      </c>
      <c r="W61" s="16" t="e">
        <f>$P61/$H$33</f>
        <v>#DIV/0!</v>
      </c>
      <c r="X61" s="16" t="e">
        <f>$N61/$M61</f>
        <v>#DIV/0!</v>
      </c>
      <c r="Y61" s="16" t="e">
        <f>$R61/$Q61</f>
        <v>#DIV/0!</v>
      </c>
      <c r="Z61" s="16" t="e">
        <f>$I61/$H61</f>
        <v>#DIV/0!</v>
      </c>
      <c r="AA61" s="16" t="e">
        <f>$J61/$H61</f>
        <v>#DIV/0!</v>
      </c>
      <c r="AB61" s="16">
        <f>($J61*Cp_yd)+($K61*Cp_td)+($L61*Cint)+($M61*Ccar)+($N61*Cr_yd)+($O61*Cr_td)+(Q61*Crec)+($R61*Crec_yd)+($S61*Crec_td)+($T61*Cfmb)+($U61*Ctp_c)</f>
        <v>0</v>
      </c>
    </row>
    <row r="62" spans="1:28" x14ac:dyDescent="0.2">
      <c r="A62" s="15" t="s">
        <v>228</v>
      </c>
      <c r="B62" s="15" t="s">
        <v>43</v>
      </c>
      <c r="C62" s="15">
        <v>25</v>
      </c>
      <c r="D62" s="15">
        <v>1</v>
      </c>
      <c r="E62" s="15" t="s">
        <v>66</v>
      </c>
      <c r="F62" s="15" t="s">
        <v>184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>($J62*0.04)+($K62*4)+($L62*-2)+($N62*0.1)+($O62*6)+($Q62)+($R62*0.1)+($S62*6)+($T62*-2)</f>
        <v>0</v>
      </c>
      <c r="W62" s="15" t="e">
        <f>$P62/$H$33</f>
        <v>#DIV/0!</v>
      </c>
      <c r="X62" s="15" t="e">
        <f>$N62/$M62</f>
        <v>#DIV/0!</v>
      </c>
      <c r="Y62" s="15" t="e">
        <f>$R62/$Q62</f>
        <v>#DIV/0!</v>
      </c>
      <c r="Z62" s="15" t="e">
        <f>$I62/$H62</f>
        <v>#DIV/0!</v>
      </c>
      <c r="AA62" s="15" t="e">
        <f>$J62/$H62</f>
        <v>#DIV/0!</v>
      </c>
      <c r="AB62" s="15">
        <f>($J62*Cp_yd)+($K62*Cp_td)+($L62*Cint)+($M62*Ccar)+($N62*Cr_yd)+($O62*Cr_td)+(Q62*Crec)+($R62*Crec_yd)+($S62*Crec_td)+($T62*Cfmb)+($U62*Ctp_c)</f>
        <v>0</v>
      </c>
    </row>
    <row r="63" spans="1:28" x14ac:dyDescent="0.2">
      <c r="A63" s="16" t="s">
        <v>229</v>
      </c>
      <c r="B63" s="16" t="s">
        <v>43</v>
      </c>
      <c r="C63" s="16">
        <v>25</v>
      </c>
      <c r="D63" s="16">
        <v>1</v>
      </c>
      <c r="E63" s="16" t="s">
        <v>230</v>
      </c>
      <c r="F63" s="16" t="s">
        <v>184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>($J63*0.04)+($K63*4)+($L63*-2)+($N63*0.1)+($O63*6)+($Q63)+($R63*0.1)+($S63*6)+($T63*-2)</f>
        <v>0</v>
      </c>
      <c r="W63" s="16" t="e">
        <f>$P63/$H$33</f>
        <v>#DIV/0!</v>
      </c>
      <c r="X63" s="16" t="e">
        <f>$N63/$M63</f>
        <v>#DIV/0!</v>
      </c>
      <c r="Y63" s="16" t="e">
        <f>$R63/$Q63</f>
        <v>#DIV/0!</v>
      </c>
      <c r="Z63" s="16" t="e">
        <f>$I63/$H63</f>
        <v>#DIV/0!</v>
      </c>
      <c r="AA63" s="16" t="e">
        <f>$J63/$H63</f>
        <v>#DIV/0!</v>
      </c>
      <c r="AB63" s="16">
        <f>($J63*Cp_yd)+($K63*Cp_td)+($L63*Cint)+($M63*Ccar)+($N63*Cr_yd)+($O63*Cr_td)+(Q63*Crec)+($R63*Crec_yd)+($S63*Crec_td)+($T63*Cfmb)+($U63*Ctp_c)</f>
        <v>0</v>
      </c>
    </row>
    <row r="64" spans="1:28" x14ac:dyDescent="0.2">
      <c r="A64" s="15" t="s">
        <v>231</v>
      </c>
      <c r="B64" s="15" t="s">
        <v>43</v>
      </c>
      <c r="C64" s="15">
        <v>22</v>
      </c>
      <c r="D64" s="15">
        <v>0</v>
      </c>
      <c r="E64" s="15" t="s">
        <v>232</v>
      </c>
      <c r="F64" s="15" t="s">
        <v>184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>($J64*0.04)+($K64*4)+($L64*-2)+($N64*0.1)+($O64*6)+($Q64)+($R64*0.1)+($S64*6)+($T64*-2)</f>
        <v>0</v>
      </c>
      <c r="W64" s="15" t="e">
        <f>$P64/$H$33</f>
        <v>#DIV/0!</v>
      </c>
      <c r="X64" s="15" t="e">
        <f>$N64/$M64</f>
        <v>#DIV/0!</v>
      </c>
      <c r="Y64" s="15" t="e">
        <f>$R64/$Q64</f>
        <v>#DIV/0!</v>
      </c>
      <c r="Z64" s="15" t="e">
        <f>$I64/$H64</f>
        <v>#DIV/0!</v>
      </c>
      <c r="AA64" s="15" t="e">
        <f>$J64/$H64</f>
        <v>#DIV/0!</v>
      </c>
      <c r="AB64" s="15">
        <f>($J64*Cp_yd)+($K64*Cp_td)+($L64*Cint)+($M64*Ccar)+($N64*Cr_yd)+($O64*Cr_td)+(Q64*Crec)+($R64*Crec_yd)+($S64*Crec_td)+($T64*Cfmb)+($U64*Ctp_c)</f>
        <v>0</v>
      </c>
    </row>
    <row r="65" spans="1:28" x14ac:dyDescent="0.2">
      <c r="A65" s="16" t="s">
        <v>233</v>
      </c>
      <c r="B65" s="16" t="s">
        <v>43</v>
      </c>
      <c r="C65" s="16">
        <v>25</v>
      </c>
      <c r="D65" s="16">
        <v>4</v>
      </c>
      <c r="E65" s="16" t="s">
        <v>66</v>
      </c>
      <c r="F65" s="16" t="s">
        <v>184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>($J65*0.04)+($K65*4)+($L65*-2)+($N65*0.1)+($O65*6)+($Q65)+($R65*0.1)+($S65*6)+($T65*-2)</f>
        <v>0</v>
      </c>
      <c r="W65" s="16" t="e">
        <f>$P65/$H$33</f>
        <v>#DIV/0!</v>
      </c>
      <c r="X65" s="16" t="e">
        <f>$N65/$M65</f>
        <v>#DIV/0!</v>
      </c>
      <c r="Y65" s="16" t="e">
        <f>$R65/$Q65</f>
        <v>#DIV/0!</v>
      </c>
      <c r="Z65" s="16" t="e">
        <f>$I65/$H65</f>
        <v>#DIV/0!</v>
      </c>
      <c r="AA65" s="16" t="e">
        <f>$J65/$H65</f>
        <v>#DIV/0!</v>
      </c>
      <c r="AB65" s="16">
        <f>($J65*Cp_yd)+($K65*Cp_td)+($L65*Cint)+($M65*Ccar)+($N65*Cr_yd)+($O65*Cr_td)+(Q65*Crec)+($R65*Crec_yd)+($S65*Crec_td)+($T65*Cfmb)+($U65*Ctp_c)</f>
        <v>0</v>
      </c>
    </row>
    <row r="66" spans="1:28" x14ac:dyDescent="0.2">
      <c r="A66" s="15" t="s">
        <v>234</v>
      </c>
      <c r="B66" s="15" t="s">
        <v>43</v>
      </c>
      <c r="C66" s="15">
        <v>22</v>
      </c>
      <c r="D66" s="15">
        <v>0</v>
      </c>
      <c r="E66" s="15" t="s">
        <v>235</v>
      </c>
      <c r="F66" s="15" t="s">
        <v>184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>($J66*0.04)+($K66*4)+($L66*-2)+($N66*0.1)+($O66*6)+($Q66)+($R66*0.1)+($S66*6)+($T66*-2)</f>
        <v>0</v>
      </c>
      <c r="W66" s="15" t="e">
        <f>$P66/$H$33</f>
        <v>#DIV/0!</v>
      </c>
      <c r="X66" s="15" t="e">
        <f>$N66/$M66</f>
        <v>#DIV/0!</v>
      </c>
      <c r="Y66" s="15" t="e">
        <f>$R66/$Q66</f>
        <v>#DIV/0!</v>
      </c>
      <c r="Z66" s="15" t="e">
        <f>$I66/$H66</f>
        <v>#DIV/0!</v>
      </c>
      <c r="AA66" s="15" t="e">
        <f>$J66/$H66</f>
        <v>#DIV/0!</v>
      </c>
      <c r="AB66" s="15">
        <f>($J66*Cp_yd)+($K66*Cp_td)+($L66*Cint)+($M66*Ccar)+($N66*Cr_yd)+($O66*Cr_td)+(Q66*Crec)+($R66*Crec_yd)+($S66*Crec_td)+($T66*Cfmb)+($U66*Ctp_c)</f>
        <v>0</v>
      </c>
    </row>
    <row r="67" spans="1:28" x14ac:dyDescent="0.2">
      <c r="A67" s="16" t="s">
        <v>236</v>
      </c>
      <c r="B67" s="16" t="s">
        <v>43</v>
      </c>
      <c r="C67" s="16">
        <v>26</v>
      </c>
      <c r="D67" s="16">
        <v>4</v>
      </c>
      <c r="E67" s="16" t="s">
        <v>237</v>
      </c>
      <c r="F67" s="16" t="s">
        <v>184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>($J67*0.04)+($K67*4)+($L67*-2)+($N67*0.1)+($O67*6)+($Q67)+($R67*0.1)+($S67*6)+($T67*-2)</f>
        <v>0</v>
      </c>
      <c r="W67" s="16" t="e">
        <f>$P67/$H$33</f>
        <v>#DIV/0!</v>
      </c>
      <c r="X67" s="16" t="e">
        <f>$N67/$M67</f>
        <v>#DIV/0!</v>
      </c>
      <c r="Y67" s="16" t="e">
        <f>$R67/$Q67</f>
        <v>#DIV/0!</v>
      </c>
      <c r="Z67" s="16" t="e">
        <f>$I67/$H67</f>
        <v>#DIV/0!</v>
      </c>
      <c r="AA67" s="16" t="e">
        <f>$J67/$H67</f>
        <v>#DIV/0!</v>
      </c>
      <c r="AB67" s="16">
        <f>($J67*Cp_yd)+($K67*Cp_td)+($L67*Cint)+($M67*Ccar)+($N67*Cr_yd)+($O67*Cr_td)+(Q67*Crec)+($R67*Crec_yd)+($S67*Crec_td)+($T67*Cfmb)+($U67*Ctp_c)</f>
        <v>0</v>
      </c>
    </row>
    <row r="68" spans="1:28" x14ac:dyDescent="0.2">
      <c r="A68" s="15" t="s">
        <v>238</v>
      </c>
      <c r="B68" s="15" t="s">
        <v>43</v>
      </c>
      <c r="C68" s="15">
        <v>24</v>
      </c>
      <c r="D68" s="15">
        <v>0</v>
      </c>
      <c r="E68" s="15" t="s">
        <v>215</v>
      </c>
      <c r="F68" s="15" t="s">
        <v>184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>($J68*0.04)+($K68*4)+($L68*-2)+($N68*0.1)+($O68*6)+($Q68)+($R68*0.1)+($S68*6)+($T68*-2)</f>
        <v>0</v>
      </c>
      <c r="W68" s="15" t="e">
        <f>$P68/$H$33</f>
        <v>#DIV/0!</v>
      </c>
      <c r="X68" s="15" t="e">
        <f>$N68/$M68</f>
        <v>#DIV/0!</v>
      </c>
      <c r="Y68" s="15" t="e">
        <f>$R68/$Q68</f>
        <v>#DIV/0!</v>
      </c>
      <c r="Z68" s="15" t="e">
        <f>$I68/$H68</f>
        <v>#DIV/0!</v>
      </c>
      <c r="AA68" s="15" t="e">
        <f>$J68/$H68</f>
        <v>#DIV/0!</v>
      </c>
      <c r="AB68" s="15">
        <f>($J68*Cp_yd)+($K68*Cp_td)+($L68*Cint)+($M68*Ccar)+($N68*Cr_yd)+($O68*Cr_td)+(Q68*Crec)+($R68*Crec_yd)+($S68*Crec_td)+($T68*Cfmb)+($U68*Ctp_c)</f>
        <v>0</v>
      </c>
    </row>
    <row r="69" spans="1:28" x14ac:dyDescent="0.2">
      <c r="A69" s="16" t="s">
        <v>239</v>
      </c>
      <c r="B69" s="16" t="s">
        <v>43</v>
      </c>
      <c r="C69" s="16">
        <v>28</v>
      </c>
      <c r="D69" s="16">
        <v>5</v>
      </c>
      <c r="E69" s="16" t="s">
        <v>240</v>
      </c>
      <c r="F69" s="16" t="s">
        <v>184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>($J69*0.04)+($K69*4)+($L69*-2)+($N69*0.1)+($O69*6)+($Q69)+($R69*0.1)+($S69*6)+($T69*-2)</f>
        <v>0</v>
      </c>
      <c r="W69" s="16" t="e">
        <f>$P69/$H$33</f>
        <v>#DIV/0!</v>
      </c>
      <c r="X69" s="16" t="e">
        <f>$N69/$M69</f>
        <v>#DIV/0!</v>
      </c>
      <c r="Y69" s="16" t="e">
        <f>$R69/$Q69</f>
        <v>#DIV/0!</v>
      </c>
      <c r="Z69" s="16" t="e">
        <f>$I69/$H69</f>
        <v>#DIV/0!</v>
      </c>
      <c r="AA69" s="16" t="e">
        <f>$J69/$H69</f>
        <v>#DIV/0!</v>
      </c>
      <c r="AB69" s="16">
        <f>($J69*Cp_yd)+($K69*Cp_td)+($L69*Cint)+($M69*Ccar)+($N69*Cr_yd)+($O69*Cr_td)+(Q69*Crec)+($R69*Crec_yd)+($S69*Crec_td)+($T69*Cfmb)+($U69*Ctp_c)</f>
        <v>0</v>
      </c>
    </row>
    <row r="70" spans="1:28" x14ac:dyDescent="0.2">
      <c r="A70" s="15" t="s">
        <v>242</v>
      </c>
      <c r="B70" s="15" t="s">
        <v>38</v>
      </c>
      <c r="C70" s="15">
        <v>27</v>
      </c>
      <c r="D70" s="15">
        <v>6</v>
      </c>
      <c r="E70" s="15" t="s">
        <v>68</v>
      </c>
      <c r="F70" s="15" t="s">
        <v>184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>($J70*0.04)+($K70*4)+($L70*-2)+($N70*0.1)+($O70*6)+($Q70)+($R70*0.1)+($S70*6)+($T70*-2)</f>
        <v>0</v>
      </c>
      <c r="W70" s="15" t="e">
        <f>$P70/$H$33</f>
        <v>#DIV/0!</v>
      </c>
      <c r="X70" s="15" t="e">
        <f>$N70/$M70</f>
        <v>#DIV/0!</v>
      </c>
      <c r="Y70" s="15" t="e">
        <f>$R70/$Q70</f>
        <v>#DIV/0!</v>
      </c>
      <c r="Z70" s="15" t="e">
        <f>$I70/$H70</f>
        <v>#DIV/0!</v>
      </c>
      <c r="AA70" s="15" t="e">
        <f>$J70/$H70</f>
        <v>#DIV/0!</v>
      </c>
      <c r="AB70" s="15">
        <f>($J70*Cp_yd)+($K70*Cp_td)+($L70*Cint)+($M70*Ccar)+($N70*Cr_yd)+($O70*Cr_td)+(Q70*Crec)+($R70*Crec_yd)+($S70*Crec_td)+($T70*Cfmb)+($U70*Ctp_c)</f>
        <v>0</v>
      </c>
    </row>
    <row r="71" spans="1:28" x14ac:dyDescent="0.2">
      <c r="A71" s="16" t="s">
        <v>243</v>
      </c>
      <c r="B71" s="16" t="s">
        <v>38</v>
      </c>
      <c r="C71" s="16">
        <v>24</v>
      </c>
      <c r="D71" s="16">
        <v>2</v>
      </c>
      <c r="E71" s="16" t="s">
        <v>244</v>
      </c>
      <c r="F71" s="16" t="s">
        <v>184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>($J71*0.04)+($K71*4)+($L71*-2)+($N71*0.1)+($O71*6)+($Q71)+($R71*0.1)+($S71*6)+($T71*-2)</f>
        <v>0</v>
      </c>
      <c r="W71" s="16" t="e">
        <f>$P71/$H$33</f>
        <v>#DIV/0!</v>
      </c>
      <c r="X71" s="16" t="e">
        <f>$N71/$M71</f>
        <v>#DIV/0!</v>
      </c>
      <c r="Y71" s="16" t="e">
        <f>$R71/$Q71</f>
        <v>#DIV/0!</v>
      </c>
      <c r="Z71" s="16" t="e">
        <f>$I71/$H71</f>
        <v>#DIV/0!</v>
      </c>
      <c r="AA71" s="16" t="e">
        <f>$J71/$H71</f>
        <v>#DIV/0!</v>
      </c>
      <c r="AB71" s="16">
        <f>($J71*Cp_yd)+($K71*Cp_td)+($L71*Cint)+($M71*Ccar)+($N71*Cr_yd)+($O71*Cr_td)+(Q71*Crec)+($R71*Crec_yd)+($S71*Crec_td)+($T71*Cfmb)+($U71*Ctp_c)</f>
        <v>0</v>
      </c>
    </row>
    <row r="72" spans="1:28" x14ac:dyDescent="0.2">
      <c r="A72" s="15" t="s">
        <v>245</v>
      </c>
      <c r="B72" s="15" t="s">
        <v>38</v>
      </c>
      <c r="C72" s="15">
        <v>23</v>
      </c>
      <c r="D72" s="15">
        <v>2</v>
      </c>
      <c r="E72" s="15" t="s">
        <v>246</v>
      </c>
      <c r="F72" s="15" t="s">
        <v>184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>($J72*0.04)+($K72*4)+($L72*-2)+($N72*0.1)+($O72*6)+($Q72)+($R72*0.1)+($S72*6)+($T72*-2)</f>
        <v>0</v>
      </c>
      <c r="W72" s="15" t="e">
        <f>$P72/$H$33</f>
        <v>#DIV/0!</v>
      </c>
      <c r="X72" s="15" t="e">
        <f>$N72/$M72</f>
        <v>#DIV/0!</v>
      </c>
      <c r="Y72" s="15" t="e">
        <f>$R72/$Q72</f>
        <v>#DIV/0!</v>
      </c>
      <c r="Z72" s="15" t="e">
        <f>$I72/$H72</f>
        <v>#DIV/0!</v>
      </c>
      <c r="AA72" s="15" t="e">
        <f>$J72/$H72</f>
        <v>#DIV/0!</v>
      </c>
      <c r="AB72" s="15">
        <f>($J72*Cp_yd)+($K72*Cp_td)+($L72*Cint)+($M72*Ccar)+($N72*Cr_yd)+($O72*Cr_td)+(Q72*Crec)+($R72*Crec_yd)+($S72*Crec_td)+($T72*Cfmb)+($U72*Ctp_c)</f>
        <v>0</v>
      </c>
    </row>
    <row r="73" spans="1:28" x14ac:dyDescent="0.2">
      <c r="A73" s="16" t="s">
        <v>271</v>
      </c>
      <c r="B73" s="16" t="s">
        <v>26</v>
      </c>
      <c r="C73" s="16">
        <v>27</v>
      </c>
      <c r="D73" s="16">
        <v>6</v>
      </c>
      <c r="E73" s="16" t="s">
        <v>272</v>
      </c>
      <c r="F73" s="16" t="s">
        <v>250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>($J73*0.04)+($K73*4)+($L73*-2)+($N73*0.1)+($O73*6)+($Q73)+($R73*0.1)+($S73*6)+($T73*-2)</f>
        <v>0</v>
      </c>
      <c r="W73" s="16" t="e">
        <f>$P73/$H$33</f>
        <v>#DIV/0!</v>
      </c>
      <c r="X73" s="16" t="e">
        <f>$N73/$M73</f>
        <v>#DIV/0!</v>
      </c>
      <c r="Y73" s="16" t="e">
        <f>$R73/$Q73</f>
        <v>#DIV/0!</v>
      </c>
      <c r="Z73" s="16" t="e">
        <f>$I73/$H73</f>
        <v>#DIV/0!</v>
      </c>
      <c r="AA73" s="16" t="e">
        <f>$K73/$H73</f>
        <v>#DIV/0!</v>
      </c>
      <c r="AB73" s="16">
        <f>($J73*Cp_yd)+($K73*Cp_td)+($L73*Cint)+($M73*Ccar)+($N73*Cr_yd)+($O73*Cr_td)+(Q73*Crec)+($R73*Crec_yd)+($S73*Crec_td)+($T73*Cfmb)+($U73*Ctp_c)</f>
        <v>0</v>
      </c>
    </row>
    <row r="74" spans="1:28" x14ac:dyDescent="0.2">
      <c r="A74" s="15" t="s">
        <v>273</v>
      </c>
      <c r="B74" s="15" t="s">
        <v>26</v>
      </c>
      <c r="C74" s="15">
        <v>27</v>
      </c>
      <c r="D74" s="15">
        <v>5</v>
      </c>
      <c r="E74" s="15" t="s">
        <v>70</v>
      </c>
      <c r="F74" s="15" t="s">
        <v>250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>($J74*0.04)+($K74*4)+($L74*-2)+($N74*0.1)+($O74*6)+($Q74)+($R74*0.1)+($S74*6)+($T74*-2)</f>
        <v>0</v>
      </c>
      <c r="W74" s="15" t="e">
        <f>$P74/$H$33</f>
        <v>#DIV/0!</v>
      </c>
      <c r="X74" s="15" t="e">
        <f>$N74/$M74</f>
        <v>#DIV/0!</v>
      </c>
      <c r="Y74" s="15" t="e">
        <f>$R74/$Q74</f>
        <v>#DIV/0!</v>
      </c>
      <c r="Z74" s="15" t="e">
        <f>$I74/$H74</f>
        <v>#DIV/0!</v>
      </c>
      <c r="AA74" s="15" t="e">
        <f>$K74/$H74</f>
        <v>#DIV/0!</v>
      </c>
      <c r="AB74" s="15">
        <f>($J74*Cp_yd)+($K74*Cp_td)+($L74*Cint)+($M74*Ccar)+($N74*Cr_yd)+($O74*Cr_td)+(Q74*Crec)+($R74*Crec_yd)+($S74*Crec_td)+($T74*Cfmb)+($U74*Ctp_c)</f>
        <v>0</v>
      </c>
    </row>
    <row r="75" spans="1:28" x14ac:dyDescent="0.2">
      <c r="A75" s="16" t="s">
        <v>275</v>
      </c>
      <c r="B75" s="16" t="s">
        <v>31</v>
      </c>
      <c r="C75" s="16">
        <v>23</v>
      </c>
      <c r="D75" s="16">
        <v>2</v>
      </c>
      <c r="E75" s="16" t="s">
        <v>173</v>
      </c>
      <c r="F75" s="16" t="s">
        <v>250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>($J75*0.04)+($K75*4)+($L75*-2)+($N75*0.1)+($O75*6)+($Q75)+($R75*0.1)+($S75*6)+($T75*-2)</f>
        <v>0</v>
      </c>
      <c r="W75" s="16" t="e">
        <f>$P75/$H$33</f>
        <v>#DIV/0!</v>
      </c>
      <c r="X75" s="16" t="e">
        <f>$N75/$M75</f>
        <v>#DIV/0!</v>
      </c>
      <c r="Y75" s="16" t="e">
        <f>$R75/$Q75</f>
        <v>#DIV/0!</v>
      </c>
      <c r="Z75" s="16" t="e">
        <f>$I75/$H75</f>
        <v>#DIV/0!</v>
      </c>
      <c r="AA75" s="16" t="e">
        <f>$K75/$H75</f>
        <v>#DIV/0!</v>
      </c>
      <c r="AB75" s="16">
        <f>($J75*Cp_yd)+($K75*Cp_td)+($L75*Cint)+($M75*Ccar)+($N75*Cr_yd)+($O75*Cr_td)+(Q75*Crec)+($R75*Crec_yd)+($S75*Crec_td)+($T75*Cfmb)+($U75*Ctp_c)</f>
        <v>0</v>
      </c>
    </row>
    <row r="76" spans="1:28" x14ac:dyDescent="0.2">
      <c r="A76" s="15" t="s">
        <v>276</v>
      </c>
      <c r="B76" s="15" t="s">
        <v>31</v>
      </c>
      <c r="C76" s="15">
        <v>25</v>
      </c>
      <c r="D76" s="15">
        <v>4</v>
      </c>
      <c r="E76" s="15" t="s">
        <v>277</v>
      </c>
      <c r="F76" s="15" t="s">
        <v>250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>($J76*0.04)+($K76*4)+($L76*-2)+($N76*0.1)+($O76*6)+($Q76)+($R76*0.1)+($S76*6)+($T76*-2)</f>
        <v>0</v>
      </c>
      <c r="W76" s="15" t="e">
        <f>$P76/$H$33</f>
        <v>#DIV/0!</v>
      </c>
      <c r="X76" s="15" t="e">
        <f>$N76/$M76</f>
        <v>#DIV/0!</v>
      </c>
      <c r="Y76" s="15" t="e">
        <f>$R76/$Q76</f>
        <v>#DIV/0!</v>
      </c>
      <c r="Z76" s="15" t="e">
        <f>$I76/$H76</f>
        <v>#DIV/0!</v>
      </c>
      <c r="AA76" s="15" t="e">
        <f>$K76/$H76</f>
        <v>#DIV/0!</v>
      </c>
      <c r="AB76" s="15">
        <f>($J76*Cp_yd)+($K76*Cp_td)+($L76*Cint)+($M76*Ccar)+($N76*Cr_yd)+($O76*Cr_td)+(Q76*Crec)+($R76*Crec_yd)+($S76*Crec_td)+($T76*Cfmb)+($U76*Ctp_c)</f>
        <v>0</v>
      </c>
    </row>
    <row r="77" spans="1:28" x14ac:dyDescent="0.2">
      <c r="A77" s="16" t="s">
        <v>278</v>
      </c>
      <c r="B77" s="16" t="s">
        <v>31</v>
      </c>
      <c r="C77" s="16">
        <v>26</v>
      </c>
      <c r="D77" s="16">
        <v>5</v>
      </c>
      <c r="E77" s="16" t="s">
        <v>153</v>
      </c>
      <c r="F77" s="16" t="s">
        <v>250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>($J77*0.04)+($K77*4)+($L77*-2)+($N77*0.1)+($O77*6)+($Q77)+($R77*0.1)+($S77*6)+($T77*-2)</f>
        <v>0</v>
      </c>
      <c r="W77" s="16" t="e">
        <f>$P77/$H$33</f>
        <v>#DIV/0!</v>
      </c>
      <c r="X77" s="16" t="e">
        <f>$N77/$M77</f>
        <v>#DIV/0!</v>
      </c>
      <c r="Y77" s="16" t="e">
        <f>$R77/$Q77</f>
        <v>#DIV/0!</v>
      </c>
      <c r="Z77" s="16" t="e">
        <f>$I77/$H77</f>
        <v>#DIV/0!</v>
      </c>
      <c r="AA77" s="16" t="e">
        <f>$K77/$H77</f>
        <v>#DIV/0!</v>
      </c>
      <c r="AB77" s="16">
        <f>($J77*Cp_yd)+($K77*Cp_td)+($L77*Cint)+($M77*Ccar)+($N77*Cr_yd)+($O77*Cr_td)+(Q77*Crec)+($R77*Crec_yd)+($S77*Crec_td)+($T77*Cfmb)+($U77*Ctp_c)</f>
        <v>0</v>
      </c>
    </row>
    <row r="78" spans="1:28" x14ac:dyDescent="0.2">
      <c r="A78" s="15" t="s">
        <v>279</v>
      </c>
      <c r="B78" s="15" t="s">
        <v>31</v>
      </c>
      <c r="C78" s="15">
        <v>24</v>
      </c>
      <c r="D78" s="15">
        <v>0</v>
      </c>
      <c r="E78" s="15" t="s">
        <v>280</v>
      </c>
      <c r="F78" s="15" t="s">
        <v>250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>($J78*0.04)+($K78*4)+($L78*-2)+($N78*0.1)+($O78*6)+($Q78)+($R78*0.1)+($S78*6)+($T78*-2)</f>
        <v>0</v>
      </c>
      <c r="W78" s="15" t="e">
        <f>$P78/$H$33</f>
        <v>#DIV/0!</v>
      </c>
      <c r="X78" s="15" t="e">
        <f>$N78/$M78</f>
        <v>#DIV/0!</v>
      </c>
      <c r="Y78" s="15" t="e">
        <f>$R78/$Q78</f>
        <v>#DIV/0!</v>
      </c>
      <c r="Z78" s="15" t="e">
        <f>$I78/$H78</f>
        <v>#DIV/0!</v>
      </c>
      <c r="AA78" s="15" t="e">
        <f>$K78/$H78</f>
        <v>#DIV/0!</v>
      </c>
      <c r="AB78" s="15">
        <f>($J78*Cp_yd)+($K78*Cp_td)+($L78*Cint)+($M78*Ccar)+($N78*Cr_yd)+($O78*Cr_td)+(Q78*Crec)+($R78*Crec_yd)+($S78*Crec_td)+($T78*Cfmb)+($U78*Ctp_c)</f>
        <v>0</v>
      </c>
    </row>
    <row r="79" spans="1:28" x14ac:dyDescent="0.2">
      <c r="A79" s="16" t="s">
        <v>283</v>
      </c>
      <c r="B79" s="16" t="s">
        <v>43</v>
      </c>
      <c r="C79" s="16">
        <v>28</v>
      </c>
      <c r="D79" s="16">
        <v>3</v>
      </c>
      <c r="E79" s="16" t="s">
        <v>218</v>
      </c>
      <c r="F79" s="16" t="s">
        <v>250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>($J79*0.04)+($K79*4)+($L79*-2)+($N79*0.1)+($O79*6)+($Q79)+($R79*0.1)+($S79*6)+($T79*-2)</f>
        <v>0</v>
      </c>
      <c r="W79" s="16" t="e">
        <f>$P79/$H$33</f>
        <v>#DIV/0!</v>
      </c>
      <c r="X79" s="16" t="e">
        <f>$N79/$M79</f>
        <v>#DIV/0!</v>
      </c>
      <c r="Y79" s="16" t="e">
        <f>$R79/$Q79</f>
        <v>#DIV/0!</v>
      </c>
      <c r="Z79" s="16" t="e">
        <f>$I79/$H79</f>
        <v>#DIV/0!</v>
      </c>
      <c r="AA79" s="16" t="e">
        <f>$K79/$H79</f>
        <v>#DIV/0!</v>
      </c>
      <c r="AB79" s="16">
        <f>($J79*Cp_yd)+($K79*Cp_td)+($L79*Cint)+($M79*Ccar)+($N79*Cr_yd)+($O79*Cr_td)+(Q79*Crec)+($R79*Crec_yd)+($S79*Crec_td)+($T79*Cfmb)+($U79*Ctp_c)</f>
        <v>0</v>
      </c>
    </row>
    <row r="80" spans="1:28" x14ac:dyDescent="0.2">
      <c r="A80" s="15" t="s">
        <v>284</v>
      </c>
      <c r="B80" s="15" t="s">
        <v>43</v>
      </c>
      <c r="C80" s="15">
        <v>24</v>
      </c>
      <c r="D80" s="15">
        <v>2</v>
      </c>
      <c r="E80" s="15" t="s">
        <v>285</v>
      </c>
      <c r="F80" s="15" t="s">
        <v>250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>($J80*0.04)+($K80*4)+($L80*-2)+($N80*0.1)+($O80*6)+($Q80)+($R80*0.1)+($S80*6)+($T80*-2)</f>
        <v>0</v>
      </c>
      <c r="W80" s="15" t="e">
        <f>$P80/$H$33</f>
        <v>#DIV/0!</v>
      </c>
      <c r="X80" s="15" t="e">
        <f>$N80/$M80</f>
        <v>#DIV/0!</v>
      </c>
      <c r="Y80" s="15" t="e">
        <f>$R80/$Q80</f>
        <v>#DIV/0!</v>
      </c>
      <c r="Z80" s="15" t="e">
        <f>$I80/$H80</f>
        <v>#DIV/0!</v>
      </c>
      <c r="AA80" s="15" t="e">
        <f>$K80/$H80</f>
        <v>#DIV/0!</v>
      </c>
      <c r="AB80" s="15">
        <f>($J80*Cp_yd)+($K80*Cp_td)+($L80*Cint)+($M80*Ccar)+($N80*Cr_yd)+($O80*Cr_td)+(Q80*Crec)+($R80*Crec_yd)+($S80*Crec_td)+($T80*Cfmb)+($U80*Ctp_c)</f>
        <v>0</v>
      </c>
    </row>
    <row r="81" spans="1:28" x14ac:dyDescent="0.2">
      <c r="A81" s="16" t="s">
        <v>286</v>
      </c>
      <c r="B81" s="16" t="s">
        <v>43</v>
      </c>
      <c r="C81" s="16">
        <v>24</v>
      </c>
      <c r="D81" s="16">
        <v>4</v>
      </c>
      <c r="E81" s="16" t="s">
        <v>282</v>
      </c>
      <c r="F81" s="16" t="s">
        <v>250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>($J81*0.04)+($K81*4)+($L81*-2)+($N81*0.1)+($O81*6)+($Q81)+($R81*0.1)+($S81*6)+($T81*-2)</f>
        <v>0</v>
      </c>
      <c r="W81" s="16" t="e">
        <f>$P81/$H$33</f>
        <v>#DIV/0!</v>
      </c>
      <c r="X81" s="16" t="e">
        <f>$N81/$M81</f>
        <v>#DIV/0!</v>
      </c>
      <c r="Y81" s="16" t="e">
        <f>$R81/$Q81</f>
        <v>#DIV/0!</v>
      </c>
      <c r="Z81" s="16" t="e">
        <f>$I81/$H81</f>
        <v>#DIV/0!</v>
      </c>
      <c r="AA81" s="16" t="e">
        <f>$K81/$H81</f>
        <v>#DIV/0!</v>
      </c>
      <c r="AB81" s="16">
        <f>($J81*Cp_yd)+($K81*Cp_td)+($L81*Cint)+($M81*Ccar)+($N81*Cr_yd)+($O81*Cr_td)+(Q81*Crec)+($R81*Crec_yd)+($S81*Crec_td)+($T81*Cfmb)+($U81*Ctp_c)</f>
        <v>0</v>
      </c>
    </row>
    <row r="82" spans="1:28" x14ac:dyDescent="0.2">
      <c r="A82" s="15" t="s">
        <v>287</v>
      </c>
      <c r="B82" s="15" t="s">
        <v>43</v>
      </c>
      <c r="C82" s="15">
        <v>29</v>
      </c>
      <c r="D82" s="15">
        <v>9</v>
      </c>
      <c r="E82" s="15" t="s">
        <v>232</v>
      </c>
      <c r="F82" s="15" t="s">
        <v>250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>($J82*0.04)+($K82*4)+($L82*-2)+($N82*0.1)+($O82*6)+($Q82)+($R82*0.1)+($S82*6)+($T82*-2)</f>
        <v>0</v>
      </c>
      <c r="W82" s="15" t="e">
        <f>$P82/$H$33</f>
        <v>#DIV/0!</v>
      </c>
      <c r="X82" s="15" t="e">
        <f>$N82/$M82</f>
        <v>#DIV/0!</v>
      </c>
      <c r="Y82" s="15" t="e">
        <f>$R82/$Q82</f>
        <v>#DIV/0!</v>
      </c>
      <c r="Z82" s="15" t="e">
        <f>$I82/$H82</f>
        <v>#DIV/0!</v>
      </c>
      <c r="AA82" s="15" t="e">
        <f>$K82/$H82</f>
        <v>#DIV/0!</v>
      </c>
      <c r="AB82" s="15">
        <f>($J82*Cp_yd)+($K82*Cp_td)+($L82*Cint)+($M82*Ccar)+($N82*Cr_yd)+($O82*Cr_td)+(Q82*Crec)+($R82*Crec_yd)+($S82*Crec_td)+($T82*Cfmb)+($U82*Ctp_c)</f>
        <v>0</v>
      </c>
    </row>
    <row r="83" spans="1:28" x14ac:dyDescent="0.2">
      <c r="A83" s="16" t="s">
        <v>288</v>
      </c>
      <c r="B83" s="16" t="s">
        <v>43</v>
      </c>
      <c r="C83" s="16">
        <v>25</v>
      </c>
      <c r="D83" s="16">
        <v>5</v>
      </c>
      <c r="E83" s="16" t="s">
        <v>289</v>
      </c>
      <c r="F83" s="16" t="s">
        <v>250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>
        <v>0</v>
      </c>
      <c r="V83" s="16">
        <f>($J83*0.04)+($K83*4)+($L83*-2)+($N83*0.1)+($O83*6)+($Q83)+($R83*0.1)+($S83*6)+($T83*-2)</f>
        <v>0</v>
      </c>
      <c r="W83" s="16" t="e">
        <f>$P83/$H$33</f>
        <v>#DIV/0!</v>
      </c>
      <c r="X83" s="16" t="e">
        <f>$N83/$M83</f>
        <v>#DIV/0!</v>
      </c>
      <c r="Y83" s="16" t="e">
        <f>$R83/$Q83</f>
        <v>#DIV/0!</v>
      </c>
      <c r="Z83" s="16" t="e">
        <f>$I83/$H83</f>
        <v>#DIV/0!</v>
      </c>
      <c r="AA83" s="16" t="e">
        <f>$K83/$H83</f>
        <v>#DIV/0!</v>
      </c>
      <c r="AB83" s="16">
        <f>($J83*Cp_yd)+($K83*Cp_td)+($L83*Cint)+($M83*Ccar)+($N83*Cr_yd)+($O83*Cr_td)+(Q83*Crec)+($R83*Crec_yd)+($S83*Crec_td)+($T83*Cfmb)+($U83*Ctp_c)</f>
        <v>0</v>
      </c>
    </row>
    <row r="84" spans="1:28" x14ac:dyDescent="0.2">
      <c r="A84" s="15" t="s">
        <v>290</v>
      </c>
      <c r="B84" s="15" t="s">
        <v>43</v>
      </c>
      <c r="C84" s="15">
        <v>26</v>
      </c>
      <c r="D84" s="15">
        <v>5</v>
      </c>
      <c r="E84" s="15" t="s">
        <v>291</v>
      </c>
      <c r="F84" s="15" t="s">
        <v>250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f>($J84*0.04)+($K84*4)+($L84*-2)+($N84*0.1)+($O84*6)+($Q84)+($R84*0.1)+($S84*6)+($T84*-2)</f>
        <v>0</v>
      </c>
      <c r="W84" s="15" t="e">
        <f>$P84/$H$33</f>
        <v>#DIV/0!</v>
      </c>
      <c r="X84" s="15" t="e">
        <f>$N84/$M84</f>
        <v>#DIV/0!</v>
      </c>
      <c r="Y84" s="15" t="e">
        <f>$R84/$Q84</f>
        <v>#DIV/0!</v>
      </c>
      <c r="Z84" s="15" t="e">
        <f>$I84/$H84</f>
        <v>#DIV/0!</v>
      </c>
      <c r="AA84" s="15" t="e">
        <f>$K84/$H84</f>
        <v>#DIV/0!</v>
      </c>
      <c r="AB84" s="15">
        <f>($J84*Cp_yd)+($K84*Cp_td)+($L84*Cint)+($M84*Ccar)+($N84*Cr_yd)+($O84*Cr_td)+(Q84*Crec)+($R84*Crec_yd)+($S84*Crec_td)+($T84*Cfmb)+($U84*Ctp_c)</f>
        <v>0</v>
      </c>
    </row>
    <row r="85" spans="1:28" x14ac:dyDescent="0.2">
      <c r="A85" s="16" t="s">
        <v>292</v>
      </c>
      <c r="B85" s="16" t="s">
        <v>43</v>
      </c>
      <c r="C85" s="16">
        <v>26</v>
      </c>
      <c r="D85" s="16">
        <v>3</v>
      </c>
      <c r="E85" s="16" t="s">
        <v>280</v>
      </c>
      <c r="F85" s="16" t="s">
        <v>250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 s="16">
        <v>0</v>
      </c>
      <c r="V85" s="16">
        <f>($J85*0.04)+($K85*4)+($L85*-2)+($N85*0.1)+($O85*6)+($Q85)+($R85*0.1)+($S85*6)+($T85*-2)</f>
        <v>0</v>
      </c>
      <c r="W85" s="16" t="e">
        <f>$P85/$H$33</f>
        <v>#DIV/0!</v>
      </c>
      <c r="X85" s="16" t="e">
        <f>$N85/$M85</f>
        <v>#DIV/0!</v>
      </c>
      <c r="Y85" s="16" t="e">
        <f>$R85/$Q85</f>
        <v>#DIV/0!</v>
      </c>
      <c r="Z85" s="16" t="e">
        <f>$I85/$H85</f>
        <v>#DIV/0!</v>
      </c>
      <c r="AA85" s="16" t="e">
        <f>$K85/$H85</f>
        <v>#DIV/0!</v>
      </c>
      <c r="AB85" s="16">
        <f>($J85*Cp_yd)+($K85*Cp_td)+($L85*Cint)+($M85*Ccar)+($N85*Cr_yd)+($O85*Cr_td)+(Q85*Crec)+($R85*Crec_yd)+($S85*Crec_td)+($T85*Cfmb)+($U85*Ctp_c)</f>
        <v>0</v>
      </c>
    </row>
    <row r="86" spans="1:28" x14ac:dyDescent="0.2">
      <c r="A86" s="15" t="s">
        <v>293</v>
      </c>
      <c r="B86" s="15" t="s">
        <v>43</v>
      </c>
      <c r="C86" s="15">
        <v>25</v>
      </c>
      <c r="D86" s="15">
        <v>3</v>
      </c>
      <c r="E86" s="15" t="s">
        <v>294</v>
      </c>
      <c r="F86" s="15" t="s">
        <v>250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f>($J86*0.04)+($K86*4)+($L86*-2)+($N86*0.1)+($O86*6)+($Q86)+($R86*0.1)+($S86*6)+($T86*-2)</f>
        <v>0</v>
      </c>
      <c r="W86" s="15" t="e">
        <f>$P86/$H$33</f>
        <v>#DIV/0!</v>
      </c>
      <c r="X86" s="15" t="e">
        <f>$N86/$M86</f>
        <v>#DIV/0!</v>
      </c>
      <c r="Y86" s="15" t="e">
        <f>$R86/$Q86</f>
        <v>#DIV/0!</v>
      </c>
      <c r="Z86" s="15" t="e">
        <f>$I86/$H86</f>
        <v>#DIV/0!</v>
      </c>
      <c r="AA86" s="15" t="e">
        <f>$K86/$H86</f>
        <v>#DIV/0!</v>
      </c>
      <c r="AB86" s="15">
        <f>($J86*Cp_yd)+($K86*Cp_td)+($L86*Cint)+($M86*Ccar)+($N86*Cr_yd)+($O86*Cr_td)+(Q86*Crec)+($R86*Crec_yd)+($S86*Crec_td)+($T86*Cfmb)+($U86*Ctp_c)</f>
        <v>0</v>
      </c>
    </row>
    <row r="87" spans="1:28" x14ac:dyDescent="0.2">
      <c r="A87" s="16" t="s">
        <v>295</v>
      </c>
      <c r="B87" s="16" t="s">
        <v>43</v>
      </c>
      <c r="C87" s="16">
        <v>23</v>
      </c>
      <c r="D87" s="16">
        <v>2</v>
      </c>
      <c r="E87" s="16" t="s">
        <v>296</v>
      </c>
      <c r="F87" s="16" t="s">
        <v>250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T87" s="16">
        <v>0</v>
      </c>
      <c r="U87" s="16">
        <v>0</v>
      </c>
      <c r="V87" s="16">
        <f>($J87*0.04)+($K87*4)+($L87*-2)+($N87*0.1)+($O87*6)+($Q87)+($R87*0.1)+($S87*6)+($T87*-2)</f>
        <v>0</v>
      </c>
      <c r="W87" s="16" t="e">
        <f>$P87/$H$33</f>
        <v>#DIV/0!</v>
      </c>
      <c r="X87" s="16" t="e">
        <f>$N87/$M87</f>
        <v>#DIV/0!</v>
      </c>
      <c r="Y87" s="16" t="e">
        <f>$R87/$Q87</f>
        <v>#DIV/0!</v>
      </c>
      <c r="Z87" s="16" t="e">
        <f>$I87/$H87</f>
        <v>#DIV/0!</v>
      </c>
      <c r="AA87" s="16" t="e">
        <f>$K87/$H87</f>
        <v>#DIV/0!</v>
      </c>
      <c r="AB87" s="16">
        <f>($J87*Cp_yd)+($K87*Cp_td)+($L87*Cint)+($M87*Ccar)+($N87*Cr_yd)+($O87*Cr_td)+(Q87*Crec)+($R87*Crec_yd)+($S87*Crec_td)+($T87*Cfmb)+($U87*Ctp_c)</f>
        <v>0</v>
      </c>
    </row>
    <row r="88" spans="1:28" x14ac:dyDescent="0.2">
      <c r="A88" s="15" t="s">
        <v>297</v>
      </c>
      <c r="B88" s="15" t="s">
        <v>43</v>
      </c>
      <c r="C88" s="15">
        <v>23</v>
      </c>
      <c r="D88" s="15">
        <v>0</v>
      </c>
      <c r="E88" s="15" t="s">
        <v>298</v>
      </c>
      <c r="F88" s="15" t="s">
        <v>250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f>($J88*0.04)+($K88*4)+($L88*-2)+($N88*0.1)+($O88*6)+($Q88)+($R88*0.1)+($S88*6)+($T88*-2)</f>
        <v>0</v>
      </c>
      <c r="W88" s="15" t="e">
        <f>$P88/$H$33</f>
        <v>#DIV/0!</v>
      </c>
      <c r="X88" s="15" t="e">
        <f>$N88/$M88</f>
        <v>#DIV/0!</v>
      </c>
      <c r="Y88" s="15" t="e">
        <f>$R88/$Q88</f>
        <v>#DIV/0!</v>
      </c>
      <c r="Z88" s="15" t="e">
        <f>$I88/$H88</f>
        <v>#DIV/0!</v>
      </c>
      <c r="AA88" s="15" t="e">
        <f>$K88/$H88</f>
        <v>#DIV/0!</v>
      </c>
      <c r="AB88" s="15">
        <f>($J88*Cp_yd)+($K88*Cp_td)+($L88*Cint)+($M88*Ccar)+($N88*Cr_yd)+($O88*Cr_td)+(Q88*Crec)+($R88*Crec_yd)+($S88*Crec_td)+($T88*Cfmb)+($U88*Ctp_c)</f>
        <v>0</v>
      </c>
    </row>
    <row r="89" spans="1:28" x14ac:dyDescent="0.2">
      <c r="A89" s="16" t="s">
        <v>299</v>
      </c>
      <c r="B89" s="16" t="s">
        <v>43</v>
      </c>
      <c r="C89" s="16">
        <v>27</v>
      </c>
      <c r="D89" s="16">
        <v>6</v>
      </c>
      <c r="E89" s="16" t="s">
        <v>300</v>
      </c>
      <c r="F89" s="16" t="s">
        <v>250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T89" s="16">
        <v>0</v>
      </c>
      <c r="U89" s="16">
        <v>0</v>
      </c>
      <c r="V89" s="16">
        <f>($J89*0.04)+($K89*4)+($L89*-2)+($N89*0.1)+($O89*6)+($Q89)+($R89*0.1)+($S89*6)+($T89*-2)</f>
        <v>0</v>
      </c>
      <c r="W89" s="16" t="e">
        <f>$P89/$H$33</f>
        <v>#DIV/0!</v>
      </c>
      <c r="X89" s="16" t="e">
        <f>$N89/$M89</f>
        <v>#DIV/0!</v>
      </c>
      <c r="Y89" s="16" t="e">
        <f>$R89/$Q89</f>
        <v>#DIV/0!</v>
      </c>
      <c r="Z89" s="16" t="e">
        <f>$I89/$H89</f>
        <v>#DIV/0!</v>
      </c>
      <c r="AA89" s="16" t="e">
        <f>$K89/$H89</f>
        <v>#DIV/0!</v>
      </c>
      <c r="AB89" s="16">
        <f>($J89*Cp_yd)+($K89*Cp_td)+($L89*Cint)+($M89*Ccar)+($N89*Cr_yd)+($O89*Cr_td)+(Q89*Crec)+($R89*Crec_yd)+($S89*Crec_td)+($T89*Cfmb)+($U89*Ctp_c)</f>
        <v>0</v>
      </c>
    </row>
    <row r="90" spans="1:28" x14ac:dyDescent="0.2">
      <c r="A90" s="15" t="s">
        <v>301</v>
      </c>
      <c r="B90" s="15" t="s">
        <v>43</v>
      </c>
      <c r="C90" s="15">
        <v>23</v>
      </c>
      <c r="D90" s="15">
        <v>0</v>
      </c>
      <c r="E90" s="15" t="s">
        <v>178</v>
      </c>
      <c r="F90" s="15" t="s">
        <v>250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T90" s="15">
        <v>0</v>
      </c>
      <c r="U90" s="15">
        <v>0</v>
      </c>
      <c r="V90" s="15">
        <f>($J90*0.04)+($K90*4)+($L90*-2)+($N90*0.1)+($O90*6)+($Q90)+($R90*0.1)+($S90*6)+($T90*-2)</f>
        <v>0</v>
      </c>
      <c r="W90" s="15" t="e">
        <f>$P90/$H$33</f>
        <v>#DIV/0!</v>
      </c>
      <c r="X90" s="15" t="e">
        <f>$N90/$M90</f>
        <v>#DIV/0!</v>
      </c>
      <c r="Y90" s="15" t="e">
        <f>$R90/$Q90</f>
        <v>#DIV/0!</v>
      </c>
      <c r="Z90" s="15" t="e">
        <f>$I90/$H90</f>
        <v>#DIV/0!</v>
      </c>
      <c r="AA90" s="15" t="e">
        <f>$K90/$H90</f>
        <v>#DIV/0!</v>
      </c>
      <c r="AB90" s="15">
        <f>($J90*Cp_yd)+($K90*Cp_td)+($L90*Cint)+($M90*Ccar)+($N90*Cr_yd)+($O90*Cr_td)+(Q90*Crec)+($R90*Crec_yd)+($S90*Crec_td)+($T90*Cfmb)+($U90*Ctp_c)</f>
        <v>0</v>
      </c>
    </row>
    <row r="91" spans="1:28" x14ac:dyDescent="0.2">
      <c r="A91" s="16" t="s">
        <v>303</v>
      </c>
      <c r="B91" s="16" t="s">
        <v>38</v>
      </c>
      <c r="C91" s="16">
        <v>23</v>
      </c>
      <c r="D91" s="16">
        <v>0</v>
      </c>
      <c r="E91" s="16" t="s">
        <v>207</v>
      </c>
      <c r="F91" s="16" t="s">
        <v>250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T91" s="16">
        <v>0</v>
      </c>
      <c r="U91" s="16">
        <v>0</v>
      </c>
      <c r="V91" s="16">
        <f>($J91*0.04)+($K91*4)+($L91*-2)+($N91*0.1)+($O91*6)+($Q91)+($R91*0.1)+($S91*6)+($T91*-2)</f>
        <v>0</v>
      </c>
      <c r="W91" s="16" t="e">
        <f>$P91/$H$33</f>
        <v>#DIV/0!</v>
      </c>
      <c r="X91" s="16" t="e">
        <f>$N91/$M91</f>
        <v>#DIV/0!</v>
      </c>
      <c r="Y91" s="16" t="e">
        <f>$R91/$Q91</f>
        <v>#DIV/0!</v>
      </c>
      <c r="Z91" s="16" t="e">
        <f>$I91/$H91</f>
        <v>#DIV/0!</v>
      </c>
      <c r="AA91" s="16" t="e">
        <f>$K91/$H91</f>
        <v>#DIV/0!</v>
      </c>
      <c r="AB91" s="16">
        <f>($J91*Cp_yd)+($K91*Cp_td)+($L91*Cint)+($M91*Ccar)+($N91*Cr_yd)+($O91*Cr_td)+(Q91*Crec)+($R91*Crec_yd)+($S91*Crec_td)+($T91*Cfmb)+($U91*Ctp_c)</f>
        <v>0</v>
      </c>
    </row>
    <row r="92" spans="1:28" x14ac:dyDescent="0.2">
      <c r="A92" s="15" t="s">
        <v>304</v>
      </c>
      <c r="B92" s="15" t="s">
        <v>38</v>
      </c>
      <c r="C92" s="15">
        <v>26</v>
      </c>
      <c r="D92" s="15">
        <v>5</v>
      </c>
      <c r="E92" s="15" t="s">
        <v>240</v>
      </c>
      <c r="F92" s="15" t="s">
        <v>250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f>($J92*0.04)+($K92*4)+($L92*-2)+($N92*0.1)+($O92*6)+($Q92)+($R92*0.1)+($S92*6)+($T92*-2)</f>
        <v>0</v>
      </c>
      <c r="W92" s="15" t="e">
        <f>$P92/$H$33</f>
        <v>#DIV/0!</v>
      </c>
      <c r="X92" s="15" t="e">
        <f>$N92/$M92</f>
        <v>#DIV/0!</v>
      </c>
      <c r="Y92" s="15" t="e">
        <f>$R92/$Q92</f>
        <v>#DIV/0!</v>
      </c>
      <c r="Z92" s="15" t="e">
        <f>$I92/$H92</f>
        <v>#DIV/0!</v>
      </c>
      <c r="AA92" s="15" t="e">
        <f>$K92/$H92</f>
        <v>#DIV/0!</v>
      </c>
      <c r="AB92" s="15">
        <f>($J92*Cp_yd)+($K92*Cp_td)+($L92*Cint)+($M92*Ccar)+($N92*Cr_yd)+($O92*Cr_td)+(Q92*Crec)+($R92*Crec_yd)+($S92*Crec_td)+($T92*Cfmb)+($U92*Ctp_c)</f>
        <v>0</v>
      </c>
    </row>
    <row r="93" spans="1:28" x14ac:dyDescent="0.2">
      <c r="A93" s="16" t="s">
        <v>305</v>
      </c>
      <c r="B93" s="16" t="s">
        <v>38</v>
      </c>
      <c r="C93" s="16">
        <v>24</v>
      </c>
      <c r="D93" s="16">
        <v>2</v>
      </c>
      <c r="E93" s="16" t="s">
        <v>168</v>
      </c>
      <c r="F93" s="16" t="s">
        <v>250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T93" s="16">
        <v>0</v>
      </c>
      <c r="U93" s="16">
        <v>0</v>
      </c>
      <c r="V93" s="16">
        <f>($J93*0.04)+($K93*4)+($L93*-2)+($N93*0.1)+($O93*6)+($Q93)+($R93*0.1)+($S93*6)+($T93*-2)</f>
        <v>0</v>
      </c>
      <c r="W93" s="16" t="e">
        <f>$P93/$H$33</f>
        <v>#DIV/0!</v>
      </c>
      <c r="X93" s="16" t="e">
        <f>$N93/$M93</f>
        <v>#DIV/0!</v>
      </c>
      <c r="Y93" s="16" t="e">
        <f>$R93/$Q93</f>
        <v>#DIV/0!</v>
      </c>
      <c r="Z93" s="16" t="e">
        <f>$I93/$H93</f>
        <v>#DIV/0!</v>
      </c>
      <c r="AA93" s="16" t="e">
        <f>$K93/$H93</f>
        <v>#DIV/0!</v>
      </c>
      <c r="AB93" s="16">
        <f>($J93*Cp_yd)+($K93*Cp_td)+($L93*Cint)+($M93*Ccar)+($N93*Cr_yd)+($O93*Cr_td)+(Q93*Crec)+($R93*Crec_yd)+($S93*Crec_td)+($T93*Cfmb)+($U93*Ctp_c)</f>
        <v>0</v>
      </c>
    </row>
    <row r="94" spans="1:28" x14ac:dyDescent="0.2">
      <c r="A94" s="15" t="s">
        <v>306</v>
      </c>
      <c r="B94" s="15" t="s">
        <v>38</v>
      </c>
      <c r="C94" s="15">
        <v>27</v>
      </c>
      <c r="D94" s="15">
        <v>4</v>
      </c>
      <c r="E94" s="15" t="s">
        <v>307</v>
      </c>
      <c r="F94" s="15" t="s">
        <v>250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f>($J94*0.04)+($K94*4)+($L94*-2)+($N94*0.1)+($O94*6)+($Q94)+($R94*0.1)+($S94*6)+($T94*-2)</f>
        <v>0</v>
      </c>
      <c r="W94" s="15" t="e">
        <f>$P94/$H$33</f>
        <v>#DIV/0!</v>
      </c>
      <c r="X94" s="15" t="e">
        <f>$N94/$M94</f>
        <v>#DIV/0!</v>
      </c>
      <c r="Y94" s="15" t="e">
        <f>$R94/$Q94</f>
        <v>#DIV/0!</v>
      </c>
      <c r="Z94" s="15" t="e">
        <f>$I94/$H94</f>
        <v>#DIV/0!</v>
      </c>
      <c r="AA94" s="15" t="e">
        <f>$K94/$H94</f>
        <v>#DIV/0!</v>
      </c>
      <c r="AB94" s="15">
        <f>($J94*Cp_yd)+($K94*Cp_td)+($L94*Cint)+($M94*Ccar)+($N94*Cr_yd)+($O94*Cr_td)+(Q94*Crec)+($R94*Crec_yd)+($S94*Crec_td)+($T94*Cfmb)+($U94*Ctp_c)</f>
        <v>0</v>
      </c>
    </row>
    <row r="95" spans="1:28" x14ac:dyDescent="0.2">
      <c r="A95" s="16" t="s">
        <v>328</v>
      </c>
      <c r="B95" s="16" t="s">
        <v>26</v>
      </c>
      <c r="C95" s="16">
        <v>24</v>
      </c>
      <c r="D95" s="16">
        <v>0</v>
      </c>
      <c r="E95" s="16" t="s">
        <v>240</v>
      </c>
      <c r="F95" s="16" t="s">
        <v>311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0</v>
      </c>
      <c r="U95" s="16">
        <v>0</v>
      </c>
      <c r="V95" s="16">
        <f>($J95*0.04)+($K95*4)+($L95*-2)+($N95*0.1)+($O95*6)+($Q95)+($R95*0.1)+($S95*6)+($T95*-2)</f>
        <v>0</v>
      </c>
      <c r="W95" s="16" t="e">
        <f>$P95/$H$33</f>
        <v>#DIV/0!</v>
      </c>
      <c r="X95" s="16" t="e">
        <f>$N95/$M95</f>
        <v>#DIV/0!</v>
      </c>
      <c r="Y95" s="16" t="e">
        <f>$R95/$Q95</f>
        <v>#DIV/0!</v>
      </c>
      <c r="Z95" s="16" t="e">
        <f>$I95/$H95</f>
        <v>#DIV/0!</v>
      </c>
      <c r="AA95" s="16" t="e">
        <f>$K95/$H95</f>
        <v>#DIV/0!</v>
      </c>
      <c r="AB95" s="16">
        <f>($J95*Cp_yd)+($K95*Cp_td)+($L95*Cint)+($M95*Ccar)+($N95*Cr_yd)+($O95*Cr_td)+(Q95*Crec)+($R95*Crec_yd)+($S95*Crec_td)+($T95*Cfmb)+($U95*Ctp_c)</f>
        <v>0</v>
      </c>
    </row>
    <row r="96" spans="1:28" x14ac:dyDescent="0.2">
      <c r="A96" s="15" t="s">
        <v>329</v>
      </c>
      <c r="B96" s="15" t="s">
        <v>26</v>
      </c>
      <c r="C96" s="15">
        <v>35</v>
      </c>
      <c r="D96" s="15">
        <v>12</v>
      </c>
      <c r="E96" s="15" t="s">
        <v>76</v>
      </c>
      <c r="F96" s="15" t="s">
        <v>311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f>($J96*0.04)+($K96*4)+($L96*-2)+($N96*0.1)+($O96*6)+($Q96)+($R96*0.1)+($S96*6)+($T96*-2)</f>
        <v>0</v>
      </c>
      <c r="W96" s="15" t="e">
        <f>$P96/$H$33</f>
        <v>#DIV/0!</v>
      </c>
      <c r="X96" s="15" t="e">
        <f>$N96/$M96</f>
        <v>#DIV/0!</v>
      </c>
      <c r="Y96" s="15" t="e">
        <f>$R96/$Q96</f>
        <v>#DIV/0!</v>
      </c>
      <c r="Z96" s="15" t="e">
        <f>$I96/$H96</f>
        <v>#DIV/0!</v>
      </c>
      <c r="AA96" s="15" t="e">
        <f>$K96/$H96</f>
        <v>#DIV/0!</v>
      </c>
      <c r="AB96" s="15">
        <f>($J96*Cp_yd)+($K96*Cp_td)+($L96*Cint)+($M96*Ccar)+($N96*Cr_yd)+($O96*Cr_td)+(Q96*Crec)+($R96*Crec_yd)+($S96*Crec_td)+($T96*Cfmb)+($U96*Ctp_c)</f>
        <v>0</v>
      </c>
    </row>
    <row r="97" spans="1:28" x14ac:dyDescent="0.2">
      <c r="A97" s="16" t="s">
        <v>330</v>
      </c>
      <c r="B97" s="16" t="s">
        <v>26</v>
      </c>
      <c r="C97" s="16">
        <v>27</v>
      </c>
      <c r="D97" s="16">
        <v>3</v>
      </c>
      <c r="E97" s="16" t="s">
        <v>111</v>
      </c>
      <c r="F97" s="16" t="s">
        <v>311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T97" s="16">
        <v>0</v>
      </c>
      <c r="U97" s="16">
        <v>0</v>
      </c>
      <c r="V97" s="16">
        <f>($J97*0.04)+($K97*4)+($L97*-2)+($N97*0.1)+($O97*6)+($Q97)+($R97*0.1)+($S97*6)+($T97*-2)</f>
        <v>0</v>
      </c>
      <c r="W97" s="16" t="e">
        <f>$P97/$H$33</f>
        <v>#DIV/0!</v>
      </c>
      <c r="X97" s="16" t="e">
        <f>$N97/$M97</f>
        <v>#DIV/0!</v>
      </c>
      <c r="Y97" s="16" t="e">
        <f>$R97/$Q97</f>
        <v>#DIV/0!</v>
      </c>
      <c r="Z97" s="16" t="e">
        <f>$I97/$H97</f>
        <v>#DIV/0!</v>
      </c>
      <c r="AA97" s="16" t="e">
        <f>$K97/$H97</f>
        <v>#DIV/0!</v>
      </c>
      <c r="AB97" s="16">
        <f>($J97*Cp_yd)+($K97*Cp_td)+($L97*Cint)+($M97*Ccar)+($N97*Cr_yd)+($O97*Cr_td)+(Q97*Crec)+($R97*Crec_yd)+($S97*Crec_td)+($T97*Cfmb)+($U97*Ctp_c)</f>
        <v>0</v>
      </c>
    </row>
    <row r="98" spans="1:28" x14ac:dyDescent="0.2">
      <c r="A98" s="15" t="s">
        <v>332</v>
      </c>
      <c r="B98" s="15" t="s">
        <v>31</v>
      </c>
      <c r="C98" s="15">
        <v>25</v>
      </c>
      <c r="D98" s="15">
        <v>2</v>
      </c>
      <c r="E98" s="15" t="s">
        <v>333</v>
      </c>
      <c r="F98" s="15" t="s">
        <v>311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f>($J98*0.04)+($K98*4)+($L98*-2)+($N98*0.1)+($O98*6)+($Q98)+($R98*0.1)+($S98*6)+($T98*-2)</f>
        <v>0</v>
      </c>
      <c r="W98" s="15" t="e">
        <f>$P98/$H$33</f>
        <v>#DIV/0!</v>
      </c>
      <c r="X98" s="15" t="e">
        <f>$N98/$M98</f>
        <v>#DIV/0!</v>
      </c>
      <c r="Y98" s="15" t="e">
        <f>$R98/$Q98</f>
        <v>#DIV/0!</v>
      </c>
      <c r="Z98" s="15" t="e">
        <f>$I98/$H98</f>
        <v>#DIV/0!</v>
      </c>
      <c r="AA98" s="15" t="e">
        <f>$K98/$H98</f>
        <v>#DIV/0!</v>
      </c>
      <c r="AB98" s="15">
        <f>($J98*Cp_yd)+($K98*Cp_td)+($L98*Cint)+($M98*Ccar)+($N98*Cr_yd)+($O98*Cr_td)+(Q98*Crec)+($R98*Crec_yd)+($S98*Crec_td)+($T98*Cfmb)+($U98*Ctp_c)</f>
        <v>0</v>
      </c>
    </row>
    <row r="99" spans="1:28" x14ac:dyDescent="0.2">
      <c r="A99" s="16" t="s">
        <v>334</v>
      </c>
      <c r="B99" s="16" t="s">
        <v>31</v>
      </c>
      <c r="C99" s="16">
        <v>24</v>
      </c>
      <c r="D99" s="16">
        <v>1</v>
      </c>
      <c r="E99" s="16" t="s">
        <v>335</v>
      </c>
      <c r="F99" s="16" t="s">
        <v>311</v>
      </c>
      <c r="G99" s="16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0</v>
      </c>
      <c r="Q99" s="16">
        <v>0</v>
      </c>
      <c r="R99" s="16">
        <v>0</v>
      </c>
      <c r="S99" s="16">
        <v>0</v>
      </c>
      <c r="T99" s="16">
        <v>0</v>
      </c>
      <c r="U99" s="16">
        <v>0</v>
      </c>
      <c r="V99" s="16">
        <f>($J99*0.04)+($K99*4)+($L99*-2)+($N99*0.1)+($O99*6)+($Q99)+($R99*0.1)+($S99*6)+($T99*-2)</f>
        <v>0</v>
      </c>
      <c r="W99" s="16" t="e">
        <f>$P99/$H$33</f>
        <v>#DIV/0!</v>
      </c>
      <c r="X99" s="16" t="e">
        <f>$N99/$M99</f>
        <v>#DIV/0!</v>
      </c>
      <c r="Y99" s="16" t="e">
        <f>$R99/$Q99</f>
        <v>#DIV/0!</v>
      </c>
      <c r="Z99" s="16" t="e">
        <f>$I99/$H99</f>
        <v>#DIV/0!</v>
      </c>
      <c r="AA99" s="16" t="e">
        <f>$K99/$H99</f>
        <v>#DIV/0!</v>
      </c>
      <c r="AB99" s="16">
        <f>($J99*Cp_yd)+($K99*Cp_td)+($L99*Cint)+($M99*Ccar)+($N99*Cr_yd)+($O99*Cr_td)+(Q99*Crec)+($R99*Crec_yd)+($S99*Crec_td)+($T99*Cfmb)+($U99*Ctp_c)</f>
        <v>0</v>
      </c>
    </row>
    <row r="100" spans="1:28" x14ac:dyDescent="0.2">
      <c r="A100" s="15" t="s">
        <v>336</v>
      </c>
      <c r="B100" s="15" t="s">
        <v>31</v>
      </c>
      <c r="C100" s="15">
        <v>24</v>
      </c>
      <c r="D100" s="15">
        <v>3</v>
      </c>
      <c r="E100" s="15" t="s">
        <v>218</v>
      </c>
      <c r="F100" s="15" t="s">
        <v>311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f>($J100*0.04)+($K100*4)+($L100*-2)+($N100*0.1)+($O100*6)+($Q100)+($R100*0.1)+($S100*6)+($T100*-2)</f>
        <v>0</v>
      </c>
      <c r="W100" s="15" t="e">
        <f>$P100/$H$33</f>
        <v>#DIV/0!</v>
      </c>
      <c r="X100" s="15" t="e">
        <f>$N100/$M100</f>
        <v>#DIV/0!</v>
      </c>
      <c r="Y100" s="15" t="e">
        <f>$R100/$Q100</f>
        <v>#DIV/0!</v>
      </c>
      <c r="Z100" s="15" t="e">
        <f>$I100/$H100</f>
        <v>#DIV/0!</v>
      </c>
      <c r="AA100" s="15" t="e">
        <f>$K100/$H100</f>
        <v>#DIV/0!</v>
      </c>
      <c r="AB100" s="15">
        <f>($J100*Cp_yd)+($K100*Cp_td)+($L100*Cint)+($M100*Ccar)+($N100*Cr_yd)+($O100*Cr_td)+(Q100*Crec)+($R100*Crec_yd)+($S100*Crec_td)+($T100*Cfmb)+($U100*Ctp_c)</f>
        <v>0</v>
      </c>
    </row>
    <row r="101" spans="1:28" x14ac:dyDescent="0.2">
      <c r="A101" s="16" t="s">
        <v>337</v>
      </c>
      <c r="B101" s="16" t="s">
        <v>31</v>
      </c>
      <c r="C101" s="16">
        <v>23</v>
      </c>
      <c r="D101" s="16">
        <v>0</v>
      </c>
      <c r="E101" s="16" t="s">
        <v>277</v>
      </c>
      <c r="F101" s="16" t="s">
        <v>311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f>($J101*0.04)+($K101*4)+($L101*-2)+($N101*0.1)+($O101*6)+($Q101)+($R101*0.1)+($S101*6)+($T101*-2)</f>
        <v>0</v>
      </c>
      <c r="W101" s="16" t="e">
        <f>$P101/$H$33</f>
        <v>#DIV/0!</v>
      </c>
      <c r="X101" s="16" t="e">
        <f>$N101/$M101</f>
        <v>#DIV/0!</v>
      </c>
      <c r="Y101" s="16" t="e">
        <f>$R101/$Q101</f>
        <v>#DIV/0!</v>
      </c>
      <c r="Z101" s="16" t="e">
        <f>$I101/$H101</f>
        <v>#DIV/0!</v>
      </c>
      <c r="AA101" s="16" t="e">
        <f>$K101/$H101</f>
        <v>#DIV/0!</v>
      </c>
      <c r="AB101" s="16">
        <f>($J101*Cp_yd)+($K101*Cp_td)+($L101*Cint)+($M101*Ccar)+($N101*Cr_yd)+($O101*Cr_td)+(Q101*Crec)+($R101*Crec_yd)+($S101*Crec_td)+($T101*Cfmb)+($U101*Ctp_c)</f>
        <v>0</v>
      </c>
    </row>
    <row r="102" spans="1:28" x14ac:dyDescent="0.2">
      <c r="A102" s="15" t="s">
        <v>340</v>
      </c>
      <c r="B102" s="15" t="s">
        <v>43</v>
      </c>
      <c r="C102" s="15">
        <v>30</v>
      </c>
      <c r="D102" s="15">
        <v>7</v>
      </c>
      <c r="E102" s="15" t="s">
        <v>341</v>
      </c>
      <c r="F102" s="15" t="s">
        <v>311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f>($J102*0.04)+($K102*4)+($L102*-2)+($N102*0.1)+($O102*6)+($Q102)+($R102*0.1)+($S102*6)+($T102*-2)</f>
        <v>0</v>
      </c>
      <c r="W102" s="15" t="e">
        <f>$P102/$H$33</f>
        <v>#DIV/0!</v>
      </c>
      <c r="X102" s="15" t="e">
        <f>$N102/$M102</f>
        <v>#DIV/0!</v>
      </c>
      <c r="Y102" s="15" t="e">
        <f>$R102/$Q102</f>
        <v>#DIV/0!</v>
      </c>
      <c r="Z102" s="15" t="e">
        <f>$I102/$H102</f>
        <v>#DIV/0!</v>
      </c>
      <c r="AA102" s="15" t="e">
        <f>$K102/$H102</f>
        <v>#DIV/0!</v>
      </c>
      <c r="AB102" s="15">
        <f>($J102*Cp_yd)+($K102*Cp_td)+($L102*Cint)+($M102*Ccar)+($N102*Cr_yd)+($O102*Cr_td)+(Q102*Crec)+($R102*Crec_yd)+($S102*Crec_td)+($T102*Cfmb)+($U102*Ctp_c)</f>
        <v>0</v>
      </c>
    </row>
    <row r="103" spans="1:28" x14ac:dyDescent="0.2">
      <c r="A103" s="16" t="s">
        <v>342</v>
      </c>
      <c r="B103" s="16" t="s">
        <v>43</v>
      </c>
      <c r="C103" s="16">
        <v>26</v>
      </c>
      <c r="D103" s="16">
        <v>6</v>
      </c>
      <c r="E103" s="16" t="s">
        <v>227</v>
      </c>
      <c r="F103" s="16" t="s">
        <v>311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f>($J103*0.04)+($K103*4)+($L103*-2)+($N103*0.1)+($O103*6)+($Q103)+($R103*0.1)+($S103*6)+($T103*-2)</f>
        <v>0</v>
      </c>
      <c r="W103" s="16" t="e">
        <f>$P103/$H$33</f>
        <v>#DIV/0!</v>
      </c>
      <c r="X103" s="16" t="e">
        <f>$N103/$M103</f>
        <v>#DIV/0!</v>
      </c>
      <c r="Y103" s="16" t="e">
        <f>$R103/$Q103</f>
        <v>#DIV/0!</v>
      </c>
      <c r="Z103" s="16" t="e">
        <f>$I103/$H103</f>
        <v>#DIV/0!</v>
      </c>
      <c r="AA103" s="16" t="e">
        <f>$K103/$H103</f>
        <v>#DIV/0!</v>
      </c>
      <c r="AB103" s="16">
        <f>($J103*Cp_yd)+($K103*Cp_td)+($L103*Cint)+($M103*Ccar)+($N103*Cr_yd)+($O103*Cr_td)+(Q103*Crec)+($R103*Crec_yd)+($S103*Crec_td)+($T103*Cfmb)+($U103*Ctp_c)</f>
        <v>0</v>
      </c>
    </row>
    <row r="104" spans="1:28" x14ac:dyDescent="0.2">
      <c r="A104" s="15" t="s">
        <v>343</v>
      </c>
      <c r="B104" s="15" t="s">
        <v>43</v>
      </c>
      <c r="C104" s="15">
        <v>26</v>
      </c>
      <c r="D104" s="15">
        <v>2</v>
      </c>
      <c r="E104" s="15" t="s">
        <v>344</v>
      </c>
      <c r="F104" s="15" t="s">
        <v>311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f>($J104*0.04)+($K104*4)+($L104*-2)+($N104*0.1)+($O104*6)+($Q104)+($R104*0.1)+($S104*6)+($T104*-2)</f>
        <v>0</v>
      </c>
      <c r="W104" s="15" t="e">
        <f>$P104/$H$33</f>
        <v>#DIV/0!</v>
      </c>
      <c r="X104" s="15" t="e">
        <f>$N104/$M104</f>
        <v>#DIV/0!</v>
      </c>
      <c r="Y104" s="15" t="e">
        <f>$R104/$Q104</f>
        <v>#DIV/0!</v>
      </c>
      <c r="Z104" s="15" t="e">
        <f>$I104/$H104</f>
        <v>#DIV/0!</v>
      </c>
      <c r="AA104" s="15" t="e">
        <f>$K104/$H104</f>
        <v>#DIV/0!</v>
      </c>
      <c r="AB104" s="15">
        <f>($J104*Cp_yd)+($K104*Cp_td)+($L104*Cint)+($M104*Ccar)+($N104*Cr_yd)+($O104*Cr_td)+(Q104*Crec)+($R104*Crec_yd)+($S104*Crec_td)+($T104*Cfmb)+($U104*Ctp_c)</f>
        <v>0</v>
      </c>
    </row>
    <row r="105" spans="1:28" x14ac:dyDescent="0.2">
      <c r="A105" s="16" t="s">
        <v>345</v>
      </c>
      <c r="B105" s="16" t="s">
        <v>43</v>
      </c>
      <c r="C105" s="16">
        <v>23</v>
      </c>
      <c r="D105" s="16">
        <v>3</v>
      </c>
      <c r="E105" s="16" t="s">
        <v>227</v>
      </c>
      <c r="F105" s="16" t="s">
        <v>311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f>($J105*0.04)+($K105*4)+($L105*-2)+($N105*0.1)+($O105*6)+($Q105)+($R105*0.1)+($S105*6)+($T105*-2)</f>
        <v>0</v>
      </c>
      <c r="W105" s="16" t="e">
        <f>$P105/$H$33</f>
        <v>#DIV/0!</v>
      </c>
      <c r="X105" s="16" t="e">
        <f>$N105/$M105</f>
        <v>#DIV/0!</v>
      </c>
      <c r="Y105" s="16" t="e">
        <f>$R105/$Q105</f>
        <v>#DIV/0!</v>
      </c>
      <c r="Z105" s="16" t="e">
        <f>$I105/$H105</f>
        <v>#DIV/0!</v>
      </c>
      <c r="AA105" s="16" t="e">
        <f>$K105/$H105</f>
        <v>#DIV/0!</v>
      </c>
      <c r="AB105" s="16">
        <f>($J105*Cp_yd)+($K105*Cp_td)+($L105*Cint)+($M105*Ccar)+($N105*Cr_yd)+($O105*Cr_td)+(Q105*Crec)+($R105*Crec_yd)+($S105*Crec_td)+($T105*Cfmb)+($U105*Ctp_c)</f>
        <v>0</v>
      </c>
    </row>
    <row r="106" spans="1:28" x14ac:dyDescent="0.2">
      <c r="A106" s="15" t="s">
        <v>346</v>
      </c>
      <c r="B106" s="15" t="s">
        <v>43</v>
      </c>
      <c r="C106" s="15">
        <v>22</v>
      </c>
      <c r="D106" s="15">
        <v>0</v>
      </c>
      <c r="E106" s="15" t="s">
        <v>240</v>
      </c>
      <c r="F106" s="15" t="s">
        <v>311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f>($J106*0.04)+($K106*4)+($L106*-2)+($N106*0.1)+($O106*6)+($Q106)+($R106*0.1)+($S106*6)+($T106*-2)</f>
        <v>0</v>
      </c>
      <c r="W106" s="15" t="e">
        <f>$P106/$H$33</f>
        <v>#DIV/0!</v>
      </c>
      <c r="X106" s="15" t="e">
        <f>$N106/$M106</f>
        <v>#DIV/0!</v>
      </c>
      <c r="Y106" s="15" t="e">
        <f>$R106/$Q106</f>
        <v>#DIV/0!</v>
      </c>
      <c r="Z106" s="15" t="e">
        <f>$I106/$H106</f>
        <v>#DIV/0!</v>
      </c>
      <c r="AA106" s="15" t="e">
        <f>$K106/$H106</f>
        <v>#DIV/0!</v>
      </c>
      <c r="AB106" s="15">
        <f>($J106*Cp_yd)+($K106*Cp_td)+($L106*Cint)+($M106*Ccar)+($N106*Cr_yd)+($O106*Cr_td)+(Q106*Crec)+($R106*Crec_yd)+($S106*Crec_td)+($T106*Cfmb)+($U106*Ctp_c)</f>
        <v>0</v>
      </c>
    </row>
    <row r="107" spans="1:28" x14ac:dyDescent="0.2">
      <c r="A107" s="16" t="s">
        <v>347</v>
      </c>
      <c r="B107" s="16" t="s">
        <v>43</v>
      </c>
      <c r="C107" s="16">
        <v>26</v>
      </c>
      <c r="D107" s="16">
        <v>1</v>
      </c>
      <c r="E107" s="16" t="s">
        <v>213</v>
      </c>
      <c r="F107" s="16" t="s">
        <v>311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f>($J107*0.04)+($K107*4)+($L107*-2)+($N107*0.1)+($O107*6)+($Q107)+($R107*0.1)+($S107*6)+($T107*-2)</f>
        <v>0</v>
      </c>
      <c r="W107" s="16" t="e">
        <f>$P107/$H$33</f>
        <v>#DIV/0!</v>
      </c>
      <c r="X107" s="16" t="e">
        <f>$N107/$M107</f>
        <v>#DIV/0!</v>
      </c>
      <c r="Y107" s="16" t="e">
        <f>$R107/$Q107</f>
        <v>#DIV/0!</v>
      </c>
      <c r="Z107" s="16" t="e">
        <f>$I107/$H107</f>
        <v>#DIV/0!</v>
      </c>
      <c r="AA107" s="16" t="e">
        <f>$K107/$H107</f>
        <v>#DIV/0!</v>
      </c>
      <c r="AB107" s="16">
        <f>($J107*Cp_yd)+($K107*Cp_td)+($L107*Cint)+($M107*Ccar)+($N107*Cr_yd)+($O107*Cr_td)+(Q107*Crec)+($R107*Crec_yd)+($S107*Crec_td)+($T107*Cfmb)+($U107*Ctp_c)</f>
        <v>0</v>
      </c>
    </row>
    <row r="108" spans="1:28" x14ac:dyDescent="0.2">
      <c r="A108" s="15" t="s">
        <v>348</v>
      </c>
      <c r="B108" s="15" t="s">
        <v>43</v>
      </c>
      <c r="C108" s="15">
        <v>24</v>
      </c>
      <c r="D108" s="15">
        <v>4</v>
      </c>
      <c r="E108" s="15" t="s">
        <v>84</v>
      </c>
      <c r="F108" s="15" t="s">
        <v>311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f>($J108*0.04)+($K108*4)+($L108*-2)+($N108*0.1)+($O108*6)+($Q108)+($R108*0.1)+($S108*6)+($T108*-2)</f>
        <v>0</v>
      </c>
      <c r="W108" s="15" t="e">
        <f>$P108/$H$33</f>
        <v>#DIV/0!</v>
      </c>
      <c r="X108" s="15" t="e">
        <f>$N108/$M108</f>
        <v>#DIV/0!</v>
      </c>
      <c r="Y108" s="15" t="e">
        <f>$R108/$Q108</f>
        <v>#DIV/0!</v>
      </c>
      <c r="Z108" s="15" t="e">
        <f>$I108/$H108</f>
        <v>#DIV/0!</v>
      </c>
      <c r="AA108" s="15" t="e">
        <f>$K108/$H108</f>
        <v>#DIV/0!</v>
      </c>
      <c r="AB108" s="15">
        <f>($J108*Cp_yd)+($K108*Cp_td)+($L108*Cint)+($M108*Ccar)+($N108*Cr_yd)+($O108*Cr_td)+(Q108*Crec)+($R108*Crec_yd)+($S108*Crec_td)+($T108*Cfmb)+($U108*Ctp_c)</f>
        <v>0</v>
      </c>
    </row>
    <row r="109" spans="1:28" x14ac:dyDescent="0.2">
      <c r="A109" s="16" t="s">
        <v>349</v>
      </c>
      <c r="B109" s="16" t="s">
        <v>43</v>
      </c>
      <c r="C109" s="16">
        <v>24</v>
      </c>
      <c r="D109" s="16">
        <v>3</v>
      </c>
      <c r="E109" s="16" t="s">
        <v>341</v>
      </c>
      <c r="F109" s="16" t="s">
        <v>311</v>
      </c>
      <c r="G109" s="16">
        <v>0</v>
      </c>
      <c r="H109" s="16">
        <v>0</v>
      </c>
      <c r="I109" s="16">
        <v>0</v>
      </c>
      <c r="J109" s="16">
        <v>0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f>($J109*0.04)+($K109*4)+($L109*-2)+($N109*0.1)+($O109*6)+($Q109)+($R109*0.1)+($S109*6)+($T109*-2)</f>
        <v>0</v>
      </c>
      <c r="W109" s="16" t="e">
        <f>$P109/$H$33</f>
        <v>#DIV/0!</v>
      </c>
      <c r="X109" s="16" t="e">
        <f>$N109/$M109</f>
        <v>#DIV/0!</v>
      </c>
      <c r="Y109" s="16" t="e">
        <f>$R109/$Q109</f>
        <v>#DIV/0!</v>
      </c>
      <c r="Z109" s="16" t="e">
        <f>$I109/$H109</f>
        <v>#DIV/0!</v>
      </c>
      <c r="AA109" s="16" t="e">
        <f>$K109/$H109</f>
        <v>#DIV/0!</v>
      </c>
      <c r="AB109" s="16">
        <f>($J109*Cp_yd)+($K109*Cp_td)+($L109*Cint)+($M109*Ccar)+($N109*Cr_yd)+($O109*Cr_td)+(Q109*Crec)+($R109*Crec_yd)+($S109*Crec_td)+($T109*Cfmb)+($U109*Ctp_c)</f>
        <v>0</v>
      </c>
    </row>
    <row r="110" spans="1:28" x14ac:dyDescent="0.2">
      <c r="A110" s="15" t="s">
        <v>350</v>
      </c>
      <c r="B110" s="15" t="s">
        <v>43</v>
      </c>
      <c r="C110" s="15">
        <v>32</v>
      </c>
      <c r="D110" s="15">
        <v>10</v>
      </c>
      <c r="E110" s="15" t="s">
        <v>351</v>
      </c>
      <c r="F110" s="15" t="s">
        <v>311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f>($J110*0.04)+($K110*4)+($L110*-2)+($N110*0.1)+($O110*6)+($Q110)+($R110*0.1)+($S110*6)+($T110*-2)</f>
        <v>0</v>
      </c>
      <c r="W110" s="15" t="e">
        <f>$P110/$H$33</f>
        <v>#DIV/0!</v>
      </c>
      <c r="X110" s="15" t="e">
        <f>$N110/$M110</f>
        <v>#DIV/0!</v>
      </c>
      <c r="Y110" s="15" t="e">
        <f>$R110/$Q110</f>
        <v>#DIV/0!</v>
      </c>
      <c r="Z110" s="15" t="e">
        <f>$I110/$H110</f>
        <v>#DIV/0!</v>
      </c>
      <c r="AA110" s="15" t="e">
        <f>$K110/$H110</f>
        <v>#DIV/0!</v>
      </c>
      <c r="AB110" s="15">
        <f>($J110*Cp_yd)+($K110*Cp_td)+($L110*Cint)+($M110*Ccar)+($N110*Cr_yd)+($O110*Cr_td)+(Q110*Crec)+($R110*Crec_yd)+($S110*Crec_td)+($T110*Cfmb)+($U110*Ctp_c)</f>
        <v>0</v>
      </c>
    </row>
    <row r="111" spans="1:28" x14ac:dyDescent="0.2">
      <c r="A111" s="16" t="s">
        <v>352</v>
      </c>
      <c r="B111" s="16" t="s">
        <v>43</v>
      </c>
      <c r="C111" s="16">
        <v>23</v>
      </c>
      <c r="D111" s="16">
        <v>0</v>
      </c>
      <c r="E111" s="16" t="s">
        <v>341</v>
      </c>
      <c r="F111" s="16" t="s">
        <v>311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T111" s="16">
        <v>0</v>
      </c>
      <c r="U111" s="16">
        <v>0</v>
      </c>
      <c r="V111" s="16">
        <f>($J111*0.04)+($K111*4)+($L111*-2)+($N111*0.1)+($O111*6)+($Q111)+($R111*0.1)+($S111*6)+($T111*-2)</f>
        <v>0</v>
      </c>
      <c r="W111" s="16" t="e">
        <f>$P111/$H$33</f>
        <v>#DIV/0!</v>
      </c>
      <c r="X111" s="16" t="e">
        <f>$N111/$M111</f>
        <v>#DIV/0!</v>
      </c>
      <c r="Y111" s="16" t="e">
        <f>$R111/$Q111</f>
        <v>#DIV/0!</v>
      </c>
      <c r="Z111" s="16" t="e">
        <f>$I111/$H111</f>
        <v>#DIV/0!</v>
      </c>
      <c r="AA111" s="16" t="e">
        <f>$K111/$H111</f>
        <v>#DIV/0!</v>
      </c>
      <c r="AB111" s="16">
        <f>($J111*Cp_yd)+($K111*Cp_td)+($L111*Cint)+($M111*Ccar)+($N111*Cr_yd)+($O111*Cr_td)+(Q111*Crec)+($R111*Crec_yd)+($S111*Crec_td)+($T111*Cfmb)+($U111*Ctp_c)</f>
        <v>0</v>
      </c>
    </row>
    <row r="112" spans="1:28" x14ac:dyDescent="0.2">
      <c r="A112" s="15" t="s">
        <v>353</v>
      </c>
      <c r="B112" s="15" t="s">
        <v>43</v>
      </c>
      <c r="C112" s="15">
        <v>28</v>
      </c>
      <c r="D112" s="15">
        <v>4</v>
      </c>
      <c r="E112" s="15" t="s">
        <v>173</v>
      </c>
      <c r="F112" s="15" t="s">
        <v>311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v>0</v>
      </c>
      <c r="V112" s="15">
        <f>($J112*0.04)+($K112*4)+($L112*-2)+($N112*0.1)+($O112*6)+($Q112)+($R112*0.1)+($S112*6)+($T112*-2)</f>
        <v>0</v>
      </c>
      <c r="W112" s="15" t="e">
        <f>$P112/$H$33</f>
        <v>#DIV/0!</v>
      </c>
      <c r="X112" s="15" t="e">
        <f>$N112/$M112</f>
        <v>#DIV/0!</v>
      </c>
      <c r="Y112" s="15" t="e">
        <f>$R112/$Q112</f>
        <v>#DIV/0!</v>
      </c>
      <c r="Z112" s="15" t="e">
        <f>$I112/$H112</f>
        <v>#DIV/0!</v>
      </c>
      <c r="AA112" s="15" t="e">
        <f>$K112/$H112</f>
        <v>#DIV/0!</v>
      </c>
      <c r="AB112" s="15">
        <f>($J112*Cp_yd)+($K112*Cp_td)+($L112*Cint)+($M112*Ccar)+($N112*Cr_yd)+($O112*Cr_td)+(Q112*Crec)+($R112*Crec_yd)+($S112*Crec_td)+($T112*Cfmb)+($U112*Ctp_c)</f>
        <v>0</v>
      </c>
    </row>
    <row r="113" spans="1:28" x14ac:dyDescent="0.2">
      <c r="A113" s="16" t="s">
        <v>355</v>
      </c>
      <c r="B113" s="16" t="s">
        <v>38</v>
      </c>
      <c r="C113" s="16">
        <v>29</v>
      </c>
      <c r="D113" s="16">
        <v>6</v>
      </c>
      <c r="E113" s="16" t="s">
        <v>341</v>
      </c>
      <c r="F113" s="16" t="s">
        <v>311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f>($J113*0.04)+($K113*4)+($L113*-2)+($N113*0.1)+($O113*6)+($Q113)+($R113*0.1)+($S113*6)+($T113*-2)</f>
        <v>0</v>
      </c>
      <c r="W113" s="16" t="e">
        <f>$P113/$H$33</f>
        <v>#DIV/0!</v>
      </c>
      <c r="X113" s="16" t="e">
        <f>$N113/$M113</f>
        <v>#DIV/0!</v>
      </c>
      <c r="Y113" s="16" t="e">
        <f>$R113/$Q113</f>
        <v>#DIV/0!</v>
      </c>
      <c r="Z113" s="16" t="e">
        <f>$I113/$H113</f>
        <v>#DIV/0!</v>
      </c>
      <c r="AA113" s="16" t="e">
        <f>$K113/$H113</f>
        <v>#DIV/0!</v>
      </c>
      <c r="AB113" s="16">
        <f>($J113*Cp_yd)+($K113*Cp_td)+($L113*Cint)+($M113*Ccar)+($N113*Cr_yd)+($O113*Cr_td)+(Q113*Crec)+($R113*Crec_yd)+($S113*Crec_td)+($T113*Cfmb)+($U113*Ctp_c)</f>
        <v>0</v>
      </c>
    </row>
    <row r="114" spans="1:28" x14ac:dyDescent="0.2">
      <c r="A114" s="15" t="s">
        <v>356</v>
      </c>
      <c r="B114" s="15" t="s">
        <v>38</v>
      </c>
      <c r="C114" s="15">
        <v>26</v>
      </c>
      <c r="D114" s="15">
        <v>3</v>
      </c>
      <c r="E114" s="15" t="s">
        <v>357</v>
      </c>
      <c r="F114" s="15" t="s">
        <v>311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f>($J114*0.04)+($K114*4)+($L114*-2)+($N114*0.1)+($O114*6)+($Q114)+($R114*0.1)+($S114*6)+($T114*-2)</f>
        <v>0</v>
      </c>
      <c r="W114" s="15" t="e">
        <f>$P114/$H$33</f>
        <v>#DIV/0!</v>
      </c>
      <c r="X114" s="15" t="e">
        <f>$N114/$M114</f>
        <v>#DIV/0!</v>
      </c>
      <c r="Y114" s="15" t="e">
        <f>$R114/$Q114</f>
        <v>#DIV/0!</v>
      </c>
      <c r="Z114" s="15" t="e">
        <f>$I114/$H114</f>
        <v>#DIV/0!</v>
      </c>
      <c r="AA114" s="15" t="e">
        <f>$K114/$H114</f>
        <v>#DIV/0!</v>
      </c>
      <c r="AB114" s="15">
        <f>($J114*Cp_yd)+($K114*Cp_td)+($L114*Cint)+($M114*Ccar)+($N114*Cr_yd)+($O114*Cr_td)+(Q114*Crec)+($R114*Crec_yd)+($S114*Crec_td)+($T114*Cfmb)+($U114*Ctp_c)</f>
        <v>0</v>
      </c>
    </row>
    <row r="115" spans="1:28" x14ac:dyDescent="0.2">
      <c r="A115" s="16" t="s">
        <v>358</v>
      </c>
      <c r="B115" s="16" t="s">
        <v>38</v>
      </c>
      <c r="C115" s="16">
        <v>26</v>
      </c>
      <c r="D115" s="16">
        <v>2</v>
      </c>
      <c r="E115" s="16" t="s">
        <v>227</v>
      </c>
      <c r="F115" s="16" t="s">
        <v>311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f>($J115*0.04)+($K115*4)+($L115*-2)+($N115*0.1)+($O115*6)+($Q115)+($R115*0.1)+($S115*6)+($T115*-2)</f>
        <v>0</v>
      </c>
      <c r="W115" s="16" t="e">
        <f>$P115/$H$33</f>
        <v>#DIV/0!</v>
      </c>
      <c r="X115" s="16" t="e">
        <f>$N115/$M115</f>
        <v>#DIV/0!</v>
      </c>
      <c r="Y115" s="16" t="e">
        <f>$R115/$Q115</f>
        <v>#DIV/0!</v>
      </c>
      <c r="Z115" s="16" t="e">
        <f>$I115/$H115</f>
        <v>#DIV/0!</v>
      </c>
      <c r="AA115" s="16" t="e">
        <f>$K115/$H115</f>
        <v>#DIV/0!</v>
      </c>
      <c r="AB115" s="16">
        <f>($J115*Cp_yd)+($K115*Cp_td)+($L115*Cint)+($M115*Ccar)+($N115*Cr_yd)+($O115*Cr_td)+(Q115*Crec)+($R115*Crec_yd)+($S115*Crec_td)+($T115*Cfmb)+($U115*Ctp_c)</f>
        <v>0</v>
      </c>
    </row>
    <row r="116" spans="1:28" x14ac:dyDescent="0.2">
      <c r="A116" s="15" t="s">
        <v>359</v>
      </c>
      <c r="B116" s="15" t="s">
        <v>38</v>
      </c>
      <c r="C116" s="15">
        <v>27</v>
      </c>
      <c r="D116" s="15">
        <v>6</v>
      </c>
      <c r="E116" s="15" t="s">
        <v>360</v>
      </c>
      <c r="F116" s="15" t="s">
        <v>311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f>($J116*0.04)+($K116*4)+($L116*-2)+($N116*0.1)+($O116*6)+($Q116)+($R116*0.1)+($S116*6)+($T116*-2)</f>
        <v>0</v>
      </c>
      <c r="W116" s="15" t="e">
        <f>$P116/$H$33</f>
        <v>#DIV/0!</v>
      </c>
      <c r="X116" s="15" t="e">
        <f>$N116/$M116</f>
        <v>#DIV/0!</v>
      </c>
      <c r="Y116" s="15" t="e">
        <f>$R116/$Q116</f>
        <v>#DIV/0!</v>
      </c>
      <c r="Z116" s="15" t="e">
        <f>$I116/$H116</f>
        <v>#DIV/0!</v>
      </c>
      <c r="AA116" s="15" t="e">
        <f>$K116/$H116</f>
        <v>#DIV/0!</v>
      </c>
      <c r="AB116" s="15">
        <f>($J116*Cp_yd)+($K116*Cp_td)+($L116*Cint)+($M116*Ccar)+($N116*Cr_yd)+($O116*Cr_td)+(Q116*Crec)+($R116*Crec_yd)+($S116*Crec_td)+($T116*Cfmb)+($U116*Ctp_c)</f>
        <v>0</v>
      </c>
    </row>
    <row r="117" spans="1:28" x14ac:dyDescent="0.2">
      <c r="A117" s="16" t="s">
        <v>386</v>
      </c>
      <c r="B117" s="16" t="s">
        <v>26</v>
      </c>
      <c r="C117" s="16">
        <v>23</v>
      </c>
      <c r="D117" s="16">
        <v>0</v>
      </c>
      <c r="E117" s="16" t="s">
        <v>387</v>
      </c>
      <c r="F117" s="16" t="s">
        <v>364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T117" s="16">
        <v>0</v>
      </c>
      <c r="U117" s="16">
        <v>0</v>
      </c>
      <c r="V117" s="16">
        <f>($J117*0.04)+($K117*4)+($L117*-2)+($N117*0.1)+($O117*6)+($Q117)+($R117*0.1)+($S117*6)+($T117*-2)</f>
        <v>0</v>
      </c>
      <c r="W117" s="16" t="e">
        <f>$P117/$H$33</f>
        <v>#DIV/0!</v>
      </c>
      <c r="X117" s="16" t="e">
        <f>$N117/$M117</f>
        <v>#DIV/0!</v>
      </c>
      <c r="Y117" s="16" t="e">
        <f>$R117/$Q117</f>
        <v>#DIV/0!</v>
      </c>
      <c r="Z117" s="16" t="e">
        <f>$I117/$H117</f>
        <v>#DIV/0!</v>
      </c>
      <c r="AA117" s="16" t="e">
        <f>$K117/$H117</f>
        <v>#DIV/0!</v>
      </c>
      <c r="AB117" s="16">
        <f>($J117*Cp_yd)+($K117*Cp_td)+($L117*Cint)+($M117*Ccar)+($N117*Cr_yd)+($O117*Cr_td)+(Q117*Crec)+($R117*Crec_yd)+($S117*Crec_td)+($T117*Cfmb)+($U117*Ctp_c)</f>
        <v>0</v>
      </c>
    </row>
    <row r="118" spans="1:28" x14ac:dyDescent="0.2">
      <c r="A118" s="15" t="s">
        <v>388</v>
      </c>
      <c r="B118" s="15" t="s">
        <v>26</v>
      </c>
      <c r="C118" s="15">
        <v>24</v>
      </c>
      <c r="D118" s="15">
        <v>3</v>
      </c>
      <c r="E118" s="15" t="s">
        <v>213</v>
      </c>
      <c r="F118" s="15" t="s">
        <v>364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v>0</v>
      </c>
      <c r="V118" s="15">
        <f>($J118*0.04)+($K118*4)+($L118*-2)+($N118*0.1)+($O118*6)+($Q118)+($R118*0.1)+($S118*6)+($T118*-2)</f>
        <v>0</v>
      </c>
      <c r="W118" s="15" t="e">
        <f>$P118/$H$33</f>
        <v>#DIV/0!</v>
      </c>
      <c r="X118" s="15" t="e">
        <f>$N118/$M118</f>
        <v>#DIV/0!</v>
      </c>
      <c r="Y118" s="15" t="e">
        <f>$R118/$Q118</f>
        <v>#DIV/0!</v>
      </c>
      <c r="Z118" s="15" t="e">
        <f>$I118/$H118</f>
        <v>#DIV/0!</v>
      </c>
      <c r="AA118" s="15" t="e">
        <f>$K118/$H118</f>
        <v>#DIV/0!</v>
      </c>
      <c r="AB118" s="15">
        <f>($J118*Cp_yd)+($K118*Cp_td)+($L118*Cint)+($M118*Ccar)+($N118*Cr_yd)+($O118*Cr_td)+(Q118*Crec)+($R118*Crec_yd)+($S118*Crec_td)+($T118*Cfmb)+($U118*Ctp_c)</f>
        <v>0</v>
      </c>
    </row>
    <row r="119" spans="1:28" x14ac:dyDescent="0.2">
      <c r="A119" s="16" t="s">
        <v>389</v>
      </c>
      <c r="B119" s="16" t="s">
        <v>26</v>
      </c>
      <c r="C119" s="16">
        <v>29</v>
      </c>
      <c r="D119" s="16">
        <v>7</v>
      </c>
      <c r="E119" s="16" t="s">
        <v>74</v>
      </c>
      <c r="F119" s="16" t="s">
        <v>364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T119" s="16">
        <v>0</v>
      </c>
      <c r="U119" s="16">
        <v>0</v>
      </c>
      <c r="V119" s="16">
        <f>($J119*0.04)+($K119*4)+($L119*-2)+($N119*0.1)+($O119*6)+($Q119)+($R119*0.1)+($S119*6)+($T119*-2)</f>
        <v>0</v>
      </c>
      <c r="W119" s="16" t="e">
        <f>$P119/$H$33</f>
        <v>#DIV/0!</v>
      </c>
      <c r="X119" s="16" t="e">
        <f>$N119/$M119</f>
        <v>#DIV/0!</v>
      </c>
      <c r="Y119" s="16" t="e">
        <f>$R119/$Q119</f>
        <v>#DIV/0!</v>
      </c>
      <c r="Z119" s="16" t="e">
        <f>$I119/$H119</f>
        <v>#DIV/0!</v>
      </c>
      <c r="AA119" s="16" t="e">
        <f>$K119/$H119</f>
        <v>#DIV/0!</v>
      </c>
      <c r="AB119" s="16">
        <f>($J119*Cp_yd)+($K119*Cp_td)+($L119*Cint)+($M119*Ccar)+($N119*Cr_yd)+($O119*Cr_td)+(Q119*Crec)+($R119*Crec_yd)+($S119*Crec_td)+($T119*Cfmb)+($U119*Ctp_c)</f>
        <v>0</v>
      </c>
    </row>
    <row r="120" spans="1:28" x14ac:dyDescent="0.2">
      <c r="A120" s="15" t="s">
        <v>392</v>
      </c>
      <c r="B120" s="15" t="s">
        <v>31</v>
      </c>
      <c r="C120" s="15">
        <v>24</v>
      </c>
      <c r="D120" s="15">
        <v>2</v>
      </c>
      <c r="E120" s="15" t="s">
        <v>393</v>
      </c>
      <c r="F120" s="15" t="s">
        <v>364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f>($J120*0.04)+($K120*4)+($L120*-2)+($N120*0.1)+($O120*6)+($Q120)+($R120*0.1)+($S120*6)+($T120*-2)</f>
        <v>0</v>
      </c>
      <c r="W120" s="15" t="e">
        <f>$P120/$H$33</f>
        <v>#DIV/0!</v>
      </c>
      <c r="X120" s="15" t="e">
        <f>$N120/$M120</f>
        <v>#DIV/0!</v>
      </c>
      <c r="Y120" s="15" t="e">
        <f>$R120/$Q120</f>
        <v>#DIV/0!</v>
      </c>
      <c r="Z120" s="15" t="e">
        <f>$I120/$H120</f>
        <v>#DIV/0!</v>
      </c>
      <c r="AA120" s="15" t="e">
        <f>$K120/$H120</f>
        <v>#DIV/0!</v>
      </c>
      <c r="AB120" s="15">
        <f>($J120*Cp_yd)+($K120*Cp_td)+($L120*Cint)+($M120*Ccar)+($N120*Cr_yd)+($O120*Cr_td)+(Q120*Crec)+($R120*Crec_yd)+($S120*Crec_td)+($T120*Cfmb)+($U120*Ctp_c)</f>
        <v>0</v>
      </c>
    </row>
    <row r="121" spans="1:28" x14ac:dyDescent="0.2">
      <c r="A121" s="16" t="s">
        <v>394</v>
      </c>
      <c r="B121" s="16" t="s">
        <v>31</v>
      </c>
      <c r="C121" s="16">
        <v>27</v>
      </c>
      <c r="D121" s="16">
        <v>6</v>
      </c>
      <c r="E121" s="16" t="s">
        <v>66</v>
      </c>
      <c r="F121" s="16" t="s">
        <v>364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f>($J121*0.04)+($K121*4)+($L121*-2)+($N121*0.1)+($O121*6)+($Q121)+($R121*0.1)+($S121*6)+($T121*-2)</f>
        <v>0</v>
      </c>
      <c r="W121" s="16" t="e">
        <f>$P121/$H$33</f>
        <v>#DIV/0!</v>
      </c>
      <c r="X121" s="16" t="e">
        <f>$N121/$M121</f>
        <v>#DIV/0!</v>
      </c>
      <c r="Y121" s="16" t="e">
        <f>$R121/$Q121</f>
        <v>#DIV/0!</v>
      </c>
      <c r="Z121" s="16" t="e">
        <f>$I121/$H121</f>
        <v>#DIV/0!</v>
      </c>
      <c r="AA121" s="16" t="e">
        <f>$K121/$H121</f>
        <v>#DIV/0!</v>
      </c>
      <c r="AB121" s="16">
        <f>($J121*Cp_yd)+($K121*Cp_td)+($L121*Cint)+($M121*Ccar)+($N121*Cr_yd)+($O121*Cr_td)+(Q121*Crec)+($R121*Crec_yd)+($S121*Crec_td)+($T121*Cfmb)+($U121*Ctp_c)</f>
        <v>0</v>
      </c>
    </row>
    <row r="122" spans="1:28" x14ac:dyDescent="0.2">
      <c r="A122" s="15" t="s">
        <v>395</v>
      </c>
      <c r="B122" s="15" t="s">
        <v>31</v>
      </c>
      <c r="C122" s="15">
        <v>25</v>
      </c>
      <c r="D122" s="15">
        <v>3</v>
      </c>
      <c r="E122" s="15" t="s">
        <v>333</v>
      </c>
      <c r="F122" s="15" t="s">
        <v>364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f>($J122*0.04)+($K122*4)+($L122*-2)+($N122*0.1)+($O122*6)+($Q122)+($R122*0.1)+($S122*6)+($T122*-2)</f>
        <v>0</v>
      </c>
      <c r="W122" s="15" t="e">
        <f>$P122/$H$33</f>
        <v>#DIV/0!</v>
      </c>
      <c r="X122" s="15" t="e">
        <f>$N122/$M122</f>
        <v>#DIV/0!</v>
      </c>
      <c r="Y122" s="15" t="e">
        <f>$R122/$Q122</f>
        <v>#DIV/0!</v>
      </c>
      <c r="Z122" s="15" t="e">
        <f>$I122/$H122</f>
        <v>#DIV/0!</v>
      </c>
      <c r="AA122" s="15" t="e">
        <f>$K122/$H122</f>
        <v>#DIV/0!</v>
      </c>
      <c r="AB122" s="15">
        <f>($J122*Cp_yd)+($K122*Cp_td)+($L122*Cint)+($M122*Ccar)+($N122*Cr_yd)+($O122*Cr_td)+(Q122*Crec)+($R122*Crec_yd)+($S122*Crec_td)+($T122*Cfmb)+($U122*Ctp_c)</f>
        <v>0</v>
      </c>
    </row>
    <row r="123" spans="1:28" x14ac:dyDescent="0.2">
      <c r="A123" s="16" t="s">
        <v>396</v>
      </c>
      <c r="B123" s="16" t="s">
        <v>31</v>
      </c>
      <c r="C123" s="16">
        <v>25</v>
      </c>
      <c r="D123" s="16">
        <v>5</v>
      </c>
      <c r="E123" s="16" t="s">
        <v>397</v>
      </c>
      <c r="F123" s="16" t="s">
        <v>364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f>($J123*0.04)+($K123*4)+($L123*-2)+($N123*0.1)+($O123*6)+($Q123)+($R123*0.1)+($S123*6)+($T123*-2)</f>
        <v>0</v>
      </c>
      <c r="W123" s="16" t="e">
        <f>$P123/$H$33</f>
        <v>#DIV/0!</v>
      </c>
      <c r="X123" s="16" t="e">
        <f>$N123/$M123</f>
        <v>#DIV/0!</v>
      </c>
      <c r="Y123" s="16" t="e">
        <f>$R123/$Q123</f>
        <v>#DIV/0!</v>
      </c>
      <c r="Z123" s="16" t="e">
        <f>$I123/$H123</f>
        <v>#DIV/0!</v>
      </c>
      <c r="AA123" s="16" t="e">
        <f>$K123/$H123</f>
        <v>#DIV/0!</v>
      </c>
      <c r="AB123" s="16">
        <f>($J123*Cp_yd)+($K123*Cp_td)+($L123*Cint)+($M123*Ccar)+($N123*Cr_yd)+($O123*Cr_td)+(Q123*Crec)+($R123*Crec_yd)+($S123*Crec_td)+($T123*Cfmb)+($U123*Ctp_c)</f>
        <v>0</v>
      </c>
    </row>
    <row r="124" spans="1:28" x14ac:dyDescent="0.2">
      <c r="A124" s="15" t="s">
        <v>399</v>
      </c>
      <c r="B124" s="15" t="s">
        <v>43</v>
      </c>
      <c r="C124" s="15">
        <v>25</v>
      </c>
      <c r="D124" s="15">
        <v>4</v>
      </c>
      <c r="E124" s="15" t="s">
        <v>362</v>
      </c>
      <c r="F124" s="15" t="s">
        <v>364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0</v>
      </c>
      <c r="U124" s="15">
        <v>0</v>
      </c>
      <c r="V124" s="15">
        <f>($J124*0.04)+($K124*4)+($L124*-2)+($N124*0.1)+($O124*6)+($Q124)+($R124*0.1)+($S124*6)+($T124*-2)</f>
        <v>0</v>
      </c>
      <c r="W124" s="15" t="e">
        <f>$P124/$H$33</f>
        <v>#DIV/0!</v>
      </c>
      <c r="X124" s="15" t="e">
        <f>$N124/$M124</f>
        <v>#DIV/0!</v>
      </c>
      <c r="Y124" s="15" t="e">
        <f>$R124/$Q124</f>
        <v>#DIV/0!</v>
      </c>
      <c r="Z124" s="15" t="e">
        <f>$I124/$H124</f>
        <v>#DIV/0!</v>
      </c>
      <c r="AA124" s="15" t="e">
        <f>$K124/$H124</f>
        <v>#DIV/0!</v>
      </c>
      <c r="AB124" s="15">
        <f>($J124*Cp_yd)+($K124*Cp_td)+($L124*Cint)+($M124*Ccar)+($N124*Cr_yd)+($O124*Cr_td)+(Q124*Crec)+($R124*Crec_yd)+($S124*Crec_td)+($T124*Cfmb)+($U124*Ctp_c)</f>
        <v>0</v>
      </c>
    </row>
    <row r="125" spans="1:28" x14ac:dyDescent="0.2">
      <c r="A125" s="16" t="s">
        <v>400</v>
      </c>
      <c r="B125" s="16" t="s">
        <v>43</v>
      </c>
      <c r="C125" s="16">
        <v>27</v>
      </c>
      <c r="D125" s="16">
        <v>5</v>
      </c>
      <c r="E125" s="16" t="s">
        <v>333</v>
      </c>
      <c r="F125" s="16" t="s">
        <v>364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f>($J125*0.04)+($K125*4)+($L125*-2)+($N125*0.1)+($O125*6)+($Q125)+($R125*0.1)+($S125*6)+($T125*-2)</f>
        <v>0</v>
      </c>
      <c r="W125" s="16" t="e">
        <f>$P125/$H$33</f>
        <v>#DIV/0!</v>
      </c>
      <c r="X125" s="16" t="e">
        <f>$N125/$M125</f>
        <v>#DIV/0!</v>
      </c>
      <c r="Y125" s="16" t="e">
        <f>$R125/$Q125</f>
        <v>#DIV/0!</v>
      </c>
      <c r="Z125" s="16" t="e">
        <f>$I125/$H125</f>
        <v>#DIV/0!</v>
      </c>
      <c r="AA125" s="16" t="e">
        <f>$K125/$H125</f>
        <v>#DIV/0!</v>
      </c>
      <c r="AB125" s="16">
        <f>($J125*Cp_yd)+($K125*Cp_td)+($L125*Cint)+($M125*Ccar)+($N125*Cr_yd)+($O125*Cr_td)+(Q125*Crec)+($R125*Crec_yd)+($S125*Crec_td)+($T125*Cfmb)+($U125*Ctp_c)</f>
        <v>0</v>
      </c>
    </row>
    <row r="126" spans="1:28" x14ac:dyDescent="0.2">
      <c r="A126" s="15" t="s">
        <v>401</v>
      </c>
      <c r="B126" s="15" t="s">
        <v>43</v>
      </c>
      <c r="C126" s="15">
        <v>27</v>
      </c>
      <c r="D126" s="15">
        <v>4</v>
      </c>
      <c r="E126" s="15" t="s">
        <v>402</v>
      </c>
      <c r="F126" s="15" t="s">
        <v>364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f>($J126*0.04)+($K126*4)+($L126*-2)+($N126*0.1)+($O126*6)+($Q126)+($R126*0.1)+($S126*6)+($T126*-2)</f>
        <v>0</v>
      </c>
      <c r="W126" s="15" t="e">
        <f>$P126/$H$33</f>
        <v>#DIV/0!</v>
      </c>
      <c r="X126" s="15" t="e">
        <f>$N126/$M126</f>
        <v>#DIV/0!</v>
      </c>
      <c r="Y126" s="15" t="e">
        <f>$R126/$Q126</f>
        <v>#DIV/0!</v>
      </c>
      <c r="Z126" s="15" t="e">
        <f>$I126/$H126</f>
        <v>#DIV/0!</v>
      </c>
      <c r="AA126" s="15" t="e">
        <f>$K126/$H126</f>
        <v>#DIV/0!</v>
      </c>
      <c r="AB126" s="15">
        <f>($J126*Cp_yd)+($K126*Cp_td)+($L126*Cint)+($M126*Ccar)+($N126*Cr_yd)+($O126*Cr_td)+(Q126*Crec)+($R126*Crec_yd)+($S126*Crec_td)+($T126*Cfmb)+($U126*Ctp_c)</f>
        <v>0</v>
      </c>
    </row>
    <row r="127" spans="1:28" x14ac:dyDescent="0.2">
      <c r="A127" s="16" t="s">
        <v>403</v>
      </c>
      <c r="B127" s="16" t="s">
        <v>43</v>
      </c>
      <c r="C127" s="16">
        <v>26</v>
      </c>
      <c r="D127" s="16">
        <v>2</v>
      </c>
      <c r="E127" s="16" t="s">
        <v>143</v>
      </c>
      <c r="F127" s="16" t="s">
        <v>364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f>($J127*0.04)+($K127*4)+($L127*-2)+($N127*0.1)+($O127*6)+($Q127)+($R127*0.1)+($S127*6)+($T127*-2)</f>
        <v>0</v>
      </c>
      <c r="W127" s="16" t="e">
        <f>$P127/$H$33</f>
        <v>#DIV/0!</v>
      </c>
      <c r="X127" s="16" t="e">
        <f>$N127/$M127</f>
        <v>#DIV/0!</v>
      </c>
      <c r="Y127" s="16" t="e">
        <f>$R127/$Q127</f>
        <v>#DIV/0!</v>
      </c>
      <c r="Z127" s="16" t="e">
        <f>$I127/$H127</f>
        <v>#DIV/0!</v>
      </c>
      <c r="AA127" s="16" t="e">
        <f>$K127/$H127</f>
        <v>#DIV/0!</v>
      </c>
      <c r="AB127" s="16">
        <f>($J127*Cp_yd)+($K127*Cp_td)+($L127*Cint)+($M127*Ccar)+($N127*Cr_yd)+($O127*Cr_td)+(Q127*Crec)+($R127*Crec_yd)+($S127*Crec_td)+($T127*Cfmb)+($U127*Ctp_c)</f>
        <v>0</v>
      </c>
    </row>
    <row r="128" spans="1:28" x14ac:dyDescent="0.2">
      <c r="A128" s="15" t="s">
        <v>404</v>
      </c>
      <c r="B128" s="15" t="s">
        <v>43</v>
      </c>
      <c r="C128" s="15">
        <v>25</v>
      </c>
      <c r="D128" s="15">
        <v>4</v>
      </c>
      <c r="E128" s="15" t="s">
        <v>405</v>
      </c>
      <c r="F128" s="15" t="s">
        <v>364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f>($J128*0.04)+($K128*4)+($L128*-2)+($N128*0.1)+($O128*6)+($Q128)+($R128*0.1)+($S128*6)+($T128*-2)</f>
        <v>0</v>
      </c>
      <c r="W128" s="15" t="e">
        <f>$P128/$H$33</f>
        <v>#DIV/0!</v>
      </c>
      <c r="X128" s="15" t="e">
        <f>$N128/$M128</f>
        <v>#DIV/0!</v>
      </c>
      <c r="Y128" s="15" t="e">
        <f>$R128/$Q128</f>
        <v>#DIV/0!</v>
      </c>
      <c r="Z128" s="15" t="e">
        <f>$I128/$H128</f>
        <v>#DIV/0!</v>
      </c>
      <c r="AA128" s="15" t="e">
        <f>$K128/$H128</f>
        <v>#DIV/0!</v>
      </c>
      <c r="AB128" s="15">
        <f>($J128*Cp_yd)+($K128*Cp_td)+($L128*Cint)+($M128*Ccar)+($N128*Cr_yd)+($O128*Cr_td)+(Q128*Crec)+($R128*Crec_yd)+($S128*Crec_td)+($T128*Cfmb)+($U128*Ctp_c)</f>
        <v>0</v>
      </c>
    </row>
    <row r="129" spans="1:28" x14ac:dyDescent="0.2">
      <c r="A129" s="16" t="s">
        <v>406</v>
      </c>
      <c r="B129" s="16" t="s">
        <v>43</v>
      </c>
      <c r="C129" s="16">
        <v>26</v>
      </c>
      <c r="D129" s="16">
        <v>6</v>
      </c>
      <c r="E129" s="16" t="s">
        <v>232</v>
      </c>
      <c r="F129" s="16" t="s">
        <v>364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f>($J129*0.04)+($K129*4)+($L129*-2)+($N129*0.1)+($O129*6)+($Q129)+($R129*0.1)+($S129*6)+($T129*-2)</f>
        <v>0</v>
      </c>
      <c r="W129" s="16" t="e">
        <f>$P129/$H$33</f>
        <v>#DIV/0!</v>
      </c>
      <c r="X129" s="16" t="e">
        <f>$N129/$M129</f>
        <v>#DIV/0!</v>
      </c>
      <c r="Y129" s="16" t="e">
        <f>$R129/$Q129</f>
        <v>#DIV/0!</v>
      </c>
      <c r="Z129" s="16" t="e">
        <f>$I129/$H129</f>
        <v>#DIV/0!</v>
      </c>
      <c r="AA129" s="16" t="e">
        <f>$K129/$H129</f>
        <v>#DIV/0!</v>
      </c>
      <c r="AB129" s="16">
        <f>($J129*Cp_yd)+($K129*Cp_td)+($L129*Cint)+($M129*Ccar)+($N129*Cr_yd)+($O129*Cr_td)+(Q129*Crec)+($R129*Crec_yd)+($S129*Crec_td)+($T129*Cfmb)+($U129*Ctp_c)</f>
        <v>0</v>
      </c>
    </row>
    <row r="130" spans="1:28" x14ac:dyDescent="0.2">
      <c r="A130" s="15" t="s">
        <v>407</v>
      </c>
      <c r="B130" s="15" t="s">
        <v>43</v>
      </c>
      <c r="C130" s="15">
        <v>27</v>
      </c>
      <c r="D130" s="15">
        <v>6</v>
      </c>
      <c r="E130" s="15" t="s">
        <v>86</v>
      </c>
      <c r="F130" s="15" t="s">
        <v>364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T130" s="15">
        <v>0</v>
      </c>
      <c r="U130" s="15">
        <v>0</v>
      </c>
      <c r="V130" s="15">
        <f>($J130*0.04)+($K130*4)+($L130*-2)+($N130*0.1)+($O130*6)+($Q130)+($R130*0.1)+($S130*6)+($T130*-2)</f>
        <v>0</v>
      </c>
      <c r="W130" s="15" t="e">
        <f>$P130/$H$33</f>
        <v>#DIV/0!</v>
      </c>
      <c r="X130" s="15" t="e">
        <f>$N130/$M130</f>
        <v>#DIV/0!</v>
      </c>
      <c r="Y130" s="15" t="e">
        <f>$R130/$Q130</f>
        <v>#DIV/0!</v>
      </c>
      <c r="Z130" s="15" t="e">
        <f>$I130/$H130</f>
        <v>#DIV/0!</v>
      </c>
      <c r="AA130" s="15" t="e">
        <f>$K130/$H130</f>
        <v>#DIV/0!</v>
      </c>
      <c r="AB130" s="15">
        <f>($J130*Cp_yd)+($K130*Cp_td)+($L130*Cint)+($M130*Ccar)+($N130*Cr_yd)+($O130*Cr_td)+(Q130*Crec)+($R130*Crec_yd)+($S130*Crec_td)+($T130*Cfmb)+($U130*Ctp_c)</f>
        <v>0</v>
      </c>
    </row>
    <row r="131" spans="1:28" x14ac:dyDescent="0.2">
      <c r="A131" s="16" t="s">
        <v>408</v>
      </c>
      <c r="B131" s="16" t="s">
        <v>43</v>
      </c>
      <c r="C131" s="16">
        <v>25</v>
      </c>
      <c r="D131" s="16">
        <v>2</v>
      </c>
      <c r="E131" s="16" t="s">
        <v>409</v>
      </c>
      <c r="F131" s="16" t="s">
        <v>364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f>($J131*0.04)+($K131*4)+($L131*-2)+($N131*0.1)+($O131*6)+($Q131)+($R131*0.1)+($S131*6)+($T131*-2)</f>
        <v>0</v>
      </c>
      <c r="W131" s="16" t="e">
        <f>$P131/$H$33</f>
        <v>#DIV/0!</v>
      </c>
      <c r="X131" s="16" t="e">
        <f>$N131/$M131</f>
        <v>#DIV/0!</v>
      </c>
      <c r="Y131" s="16" t="e">
        <f>$R131/$Q131</f>
        <v>#DIV/0!</v>
      </c>
      <c r="Z131" s="16" t="e">
        <f>$I131/$H131</f>
        <v>#DIV/0!</v>
      </c>
      <c r="AA131" s="16" t="e">
        <f>$K131/$H131</f>
        <v>#DIV/0!</v>
      </c>
      <c r="AB131" s="16">
        <f>($J131*Cp_yd)+($K131*Cp_td)+($L131*Cint)+($M131*Ccar)+($N131*Cr_yd)+($O131*Cr_td)+(Q131*Crec)+($R131*Crec_yd)+($S131*Crec_td)+($T131*Cfmb)+($U131*Ctp_c)</f>
        <v>0</v>
      </c>
    </row>
    <row r="132" spans="1:28" x14ac:dyDescent="0.2">
      <c r="A132" s="15" t="s">
        <v>410</v>
      </c>
      <c r="B132" s="15" t="s">
        <v>43</v>
      </c>
      <c r="C132" s="15">
        <v>21</v>
      </c>
      <c r="D132" s="15">
        <v>0</v>
      </c>
      <c r="E132" s="15" t="s">
        <v>136</v>
      </c>
      <c r="F132" s="15" t="s">
        <v>364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f>($J132*0.04)+($K132*4)+($L132*-2)+($N132*0.1)+($O132*6)+($Q132)+($R132*0.1)+($S132*6)+($T132*-2)</f>
        <v>0</v>
      </c>
      <c r="W132" s="15" t="e">
        <f>$P132/$H$33</f>
        <v>#DIV/0!</v>
      </c>
      <c r="X132" s="15" t="e">
        <f>$N132/$M132</f>
        <v>#DIV/0!</v>
      </c>
      <c r="Y132" s="15" t="e">
        <f>$R132/$Q132</f>
        <v>#DIV/0!</v>
      </c>
      <c r="Z132" s="15" t="e">
        <f>$I132/$H132</f>
        <v>#DIV/0!</v>
      </c>
      <c r="AA132" s="15" t="e">
        <f>$K132/$H132</f>
        <v>#DIV/0!</v>
      </c>
      <c r="AB132" s="15">
        <f>($J132*Cp_yd)+($K132*Cp_td)+($L132*Cint)+($M132*Ccar)+($N132*Cr_yd)+($O132*Cr_td)+(Q132*Crec)+($R132*Crec_yd)+($S132*Crec_td)+($T132*Cfmb)+($U132*Ctp_c)</f>
        <v>0</v>
      </c>
    </row>
    <row r="133" spans="1:28" x14ac:dyDescent="0.2">
      <c r="A133" s="16" t="s">
        <v>411</v>
      </c>
      <c r="B133" s="16" t="s">
        <v>43</v>
      </c>
      <c r="C133" s="16">
        <v>26</v>
      </c>
      <c r="D133" s="16">
        <v>6</v>
      </c>
      <c r="E133" s="16" t="s">
        <v>362</v>
      </c>
      <c r="F133" s="16" t="s">
        <v>364</v>
      </c>
      <c r="G133" s="16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f>($J133*0.04)+($K133*4)+($L133*-2)+($N133*0.1)+($O133*6)+($Q133)+($R133*0.1)+($S133*6)+($T133*-2)</f>
        <v>0</v>
      </c>
      <c r="W133" s="16" t="e">
        <f>$P133/$H$33</f>
        <v>#DIV/0!</v>
      </c>
      <c r="X133" s="16" t="e">
        <f>$N133/$M133</f>
        <v>#DIV/0!</v>
      </c>
      <c r="Y133" s="16" t="e">
        <f>$R133/$Q133</f>
        <v>#DIV/0!</v>
      </c>
      <c r="Z133" s="16" t="e">
        <f>$I133/$H133</f>
        <v>#DIV/0!</v>
      </c>
      <c r="AA133" s="16" t="e">
        <f>$K133/$H133</f>
        <v>#DIV/0!</v>
      </c>
      <c r="AB133" s="16">
        <f>($J133*Cp_yd)+($K133*Cp_td)+($L133*Cint)+($M133*Ccar)+($N133*Cr_yd)+($O133*Cr_td)+(Q133*Crec)+($R133*Crec_yd)+($S133*Crec_td)+($T133*Cfmb)+($U133*Ctp_c)</f>
        <v>0</v>
      </c>
    </row>
    <row r="134" spans="1:28" x14ac:dyDescent="0.2">
      <c r="A134" s="15" t="s">
        <v>414</v>
      </c>
      <c r="B134" s="15" t="s">
        <v>38</v>
      </c>
      <c r="C134" s="15">
        <v>26</v>
      </c>
      <c r="D134" s="15">
        <v>4</v>
      </c>
      <c r="E134" s="15" t="s">
        <v>415</v>
      </c>
      <c r="F134" s="15" t="s">
        <v>364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  <c r="O134" s="15">
        <v>0</v>
      </c>
      <c r="P134" s="15">
        <v>0</v>
      </c>
      <c r="Q134" s="15">
        <v>0</v>
      </c>
      <c r="R134" s="15">
        <v>0</v>
      </c>
      <c r="S134" s="15">
        <v>0</v>
      </c>
      <c r="T134" s="15">
        <v>0</v>
      </c>
      <c r="U134" s="15">
        <v>0</v>
      </c>
      <c r="V134" s="15">
        <f>($J134*0.04)+($K134*4)+($L134*-2)+($N134*0.1)+($O134*6)+($Q134)+($R134*0.1)+($S134*6)+($T134*-2)</f>
        <v>0</v>
      </c>
      <c r="W134" s="15" t="e">
        <f>$P134/$H$33</f>
        <v>#DIV/0!</v>
      </c>
      <c r="X134" s="15" t="e">
        <f>$N134/$M134</f>
        <v>#DIV/0!</v>
      </c>
      <c r="Y134" s="15" t="e">
        <f>$R134/$Q134</f>
        <v>#DIV/0!</v>
      </c>
      <c r="Z134" s="15" t="e">
        <f>$I134/$H134</f>
        <v>#DIV/0!</v>
      </c>
      <c r="AA134" s="15" t="e">
        <f>$K134/$H134</f>
        <v>#DIV/0!</v>
      </c>
      <c r="AB134" s="15">
        <f>($J134*Cp_yd)+($K134*Cp_td)+($L134*Cint)+($M134*Ccar)+($N134*Cr_yd)+($O134*Cr_td)+(Q134*Crec)+($R134*Crec_yd)+($S134*Crec_td)+($T134*Cfmb)+($U134*Ctp_c)</f>
        <v>0</v>
      </c>
    </row>
    <row r="135" spans="1:28" x14ac:dyDescent="0.2">
      <c r="A135" s="16" t="s">
        <v>416</v>
      </c>
      <c r="B135" s="16" t="s">
        <v>38</v>
      </c>
      <c r="C135" s="16">
        <v>24</v>
      </c>
      <c r="D135" s="16">
        <v>4</v>
      </c>
      <c r="E135" s="16" t="s">
        <v>362</v>
      </c>
      <c r="F135" s="16" t="s">
        <v>364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f>($J135*0.04)+($K135*4)+($L135*-2)+($N135*0.1)+($O135*6)+($Q135)+($R135*0.1)+($S135*6)+($T135*-2)</f>
        <v>0</v>
      </c>
      <c r="W135" s="16" t="e">
        <f>$P135/$H$33</f>
        <v>#DIV/0!</v>
      </c>
      <c r="X135" s="16" t="e">
        <f>$N135/$M135</f>
        <v>#DIV/0!</v>
      </c>
      <c r="Y135" s="16" t="e">
        <f>$R135/$Q135</f>
        <v>#DIV/0!</v>
      </c>
      <c r="Z135" s="16" t="e">
        <f>$I135/$H135</f>
        <v>#DIV/0!</v>
      </c>
      <c r="AA135" s="16" t="e">
        <f>$K135/$H135</f>
        <v>#DIV/0!</v>
      </c>
      <c r="AB135" s="16">
        <f>($J135*Cp_yd)+($K135*Cp_td)+($L135*Cint)+($M135*Ccar)+($N135*Cr_yd)+($O135*Cr_td)+(Q135*Crec)+($R135*Crec_yd)+($S135*Crec_td)+($T135*Cfmb)+($U135*Ctp_c)</f>
        <v>0</v>
      </c>
    </row>
    <row r="136" spans="1:28" x14ac:dyDescent="0.2">
      <c r="A136" s="15" t="s">
        <v>417</v>
      </c>
      <c r="B136" s="15" t="s">
        <v>38</v>
      </c>
      <c r="C136" s="15">
        <v>39</v>
      </c>
      <c r="D136" s="15">
        <v>18</v>
      </c>
      <c r="E136" s="15" t="s">
        <v>418</v>
      </c>
      <c r="F136" s="15" t="s">
        <v>364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T136" s="15">
        <v>0</v>
      </c>
      <c r="U136" s="15">
        <v>0</v>
      </c>
      <c r="V136" s="15">
        <f>($J136*0.04)+($K136*4)+($L136*-2)+($N136*0.1)+($O136*6)+($Q136)+($R136*0.1)+($S136*6)+($T136*-2)</f>
        <v>0</v>
      </c>
      <c r="W136" s="15" t="e">
        <f>$P136/$H$33</f>
        <v>#DIV/0!</v>
      </c>
      <c r="X136" s="15" t="e">
        <f>$N136/$M136</f>
        <v>#DIV/0!</v>
      </c>
      <c r="Y136" s="15" t="e">
        <f>$R136/$Q136</f>
        <v>#DIV/0!</v>
      </c>
      <c r="Z136" s="15" t="e">
        <f>$I136/$H136</f>
        <v>#DIV/0!</v>
      </c>
      <c r="AA136" s="15" t="e">
        <f>$K136/$H136</f>
        <v>#DIV/0!</v>
      </c>
      <c r="AB136" s="15">
        <f>($J136*Cp_yd)+($K136*Cp_td)+($L136*Cint)+($M136*Ccar)+($N136*Cr_yd)+($O136*Cr_td)+(Q136*Crec)+($R136*Crec_yd)+($S136*Crec_td)+($T136*Cfmb)+($U136*Ctp_c)</f>
        <v>0</v>
      </c>
    </row>
    <row r="137" spans="1:28" x14ac:dyDescent="0.2">
      <c r="A137" s="16" t="s">
        <v>419</v>
      </c>
      <c r="B137" s="16" t="s">
        <v>38</v>
      </c>
      <c r="C137" s="16">
        <v>25</v>
      </c>
      <c r="D137" s="16">
        <v>4</v>
      </c>
      <c r="E137" s="16" t="s">
        <v>300</v>
      </c>
      <c r="F137" s="16" t="s">
        <v>364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f>($J137*0.04)+($K137*4)+($L137*-2)+($N137*0.1)+($O137*6)+($Q137)+($R137*0.1)+($S137*6)+($T137*-2)</f>
        <v>0</v>
      </c>
      <c r="W137" s="16" t="e">
        <f>$P137/$H$33</f>
        <v>#DIV/0!</v>
      </c>
      <c r="X137" s="16" t="e">
        <f>$N137/$M137</f>
        <v>#DIV/0!</v>
      </c>
      <c r="Y137" s="16" t="e">
        <f>$R137/$Q137</f>
        <v>#DIV/0!</v>
      </c>
      <c r="Z137" s="16" t="e">
        <f>$I137/$H137</f>
        <v>#DIV/0!</v>
      </c>
      <c r="AA137" s="16" t="e">
        <f>$K137/$H137</f>
        <v>#DIV/0!</v>
      </c>
      <c r="AB137" s="16">
        <f>($J137*Cp_yd)+($K137*Cp_td)+($L137*Cint)+($M137*Ccar)+($N137*Cr_yd)+($O137*Cr_td)+(Q137*Crec)+($R137*Crec_yd)+($S137*Crec_td)+($T137*Cfmb)+($U137*Ctp_c)</f>
        <v>0</v>
      </c>
    </row>
    <row r="138" spans="1:28" x14ac:dyDescent="0.2">
      <c r="A138" s="15" t="s">
        <v>420</v>
      </c>
      <c r="B138" s="15" t="s">
        <v>38</v>
      </c>
      <c r="C138" s="15"/>
      <c r="D138" s="15">
        <v>0</v>
      </c>
      <c r="E138" s="15" t="s">
        <v>421</v>
      </c>
      <c r="F138" s="15" t="s">
        <v>364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T138" s="15">
        <v>0</v>
      </c>
      <c r="U138" s="15">
        <v>0</v>
      </c>
      <c r="V138" s="15">
        <f>($J138*0.04)+($K138*4)+($L138*-2)+($N138*0.1)+($O138*6)+($Q138)+($R138*0.1)+($S138*6)+($T138*-2)</f>
        <v>0</v>
      </c>
      <c r="W138" s="15" t="e">
        <f>$P138/$H$33</f>
        <v>#DIV/0!</v>
      </c>
      <c r="X138" s="15" t="e">
        <f>$N138/$M138</f>
        <v>#DIV/0!</v>
      </c>
      <c r="Y138" s="15" t="e">
        <f>$R138/$Q138</f>
        <v>#DIV/0!</v>
      </c>
      <c r="Z138" s="15" t="e">
        <f>$I138/$H138</f>
        <v>#DIV/0!</v>
      </c>
      <c r="AA138" s="15" t="e">
        <f>$K138/$H138</f>
        <v>#DIV/0!</v>
      </c>
      <c r="AB138" s="15">
        <f>($J138*Cp_yd)+($K138*Cp_td)+($L138*Cint)+($M138*Ccar)+($N138*Cr_yd)+($O138*Cr_td)+(Q138*Crec)+($R138*Crec_yd)+($S138*Crec_td)+($T138*Cfmb)+($U138*Ctp_c)</f>
        <v>0</v>
      </c>
    </row>
    <row r="139" spans="1:28" x14ac:dyDescent="0.2">
      <c r="A139" s="16" t="s">
        <v>441</v>
      </c>
      <c r="B139" s="16" t="s">
        <v>26</v>
      </c>
      <c r="C139" s="16">
        <v>27</v>
      </c>
      <c r="D139" s="16">
        <v>1</v>
      </c>
      <c r="E139" s="16" t="s">
        <v>86</v>
      </c>
      <c r="F139" s="16" t="s">
        <v>425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f>($J139*0.04)+($K139*4)+($L139*-2)+($N139*0.1)+($O139*6)+($Q139)+($R139*0.1)+($S139*6)+($T139*-2)</f>
        <v>0</v>
      </c>
      <c r="W139" s="16" t="e">
        <f>$P139/$H$33</f>
        <v>#DIV/0!</v>
      </c>
      <c r="X139" s="16" t="e">
        <f>$N139/$M139</f>
        <v>#DIV/0!</v>
      </c>
      <c r="Y139" s="16" t="e">
        <f>$R139/$Q139</f>
        <v>#DIV/0!</v>
      </c>
      <c r="Z139" s="16" t="e">
        <f>$I139/$H139</f>
        <v>#DIV/0!</v>
      </c>
      <c r="AA139" s="16" t="e">
        <f>$K139/$H139</f>
        <v>#DIV/0!</v>
      </c>
      <c r="AB139" s="16">
        <f>($J139*Cp_yd)+($K139*Cp_td)+($L139*Cint)+($M139*Ccar)+($N139*Cr_yd)+($O139*Cr_td)+(Q139*Crec)+($R139*Crec_yd)+($S139*Crec_td)+($T139*Cfmb)+($U139*Ctp_c)</f>
        <v>0</v>
      </c>
    </row>
    <row r="140" spans="1:28" x14ac:dyDescent="0.2">
      <c r="A140" s="15" t="s">
        <v>442</v>
      </c>
      <c r="B140" s="15" t="s">
        <v>26</v>
      </c>
      <c r="C140" s="15">
        <v>26</v>
      </c>
      <c r="D140" s="15">
        <v>4</v>
      </c>
      <c r="E140" s="15" t="s">
        <v>227</v>
      </c>
      <c r="F140" s="15" t="s">
        <v>425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  <c r="O140" s="15">
        <v>0</v>
      </c>
      <c r="P140" s="15">
        <v>0</v>
      </c>
      <c r="Q140" s="15">
        <v>0</v>
      </c>
      <c r="R140" s="15">
        <v>0</v>
      </c>
      <c r="S140" s="15">
        <v>0</v>
      </c>
      <c r="T140" s="15">
        <v>0</v>
      </c>
      <c r="U140" s="15">
        <v>0</v>
      </c>
      <c r="V140" s="15">
        <f>($J140*0.04)+($K140*4)+($L140*-2)+($N140*0.1)+($O140*6)+($Q140)+($R140*0.1)+($S140*6)+($T140*-2)</f>
        <v>0</v>
      </c>
      <c r="W140" s="15" t="e">
        <f>$P140/$H$33</f>
        <v>#DIV/0!</v>
      </c>
      <c r="X140" s="15" t="e">
        <f>$N140/$M140</f>
        <v>#DIV/0!</v>
      </c>
      <c r="Y140" s="15" t="e">
        <f>$R140/$Q140</f>
        <v>#DIV/0!</v>
      </c>
      <c r="Z140" s="15" t="e">
        <f>$I140/$H140</f>
        <v>#DIV/0!</v>
      </c>
      <c r="AA140" s="15" t="e">
        <f>$K140/$H140</f>
        <v>#DIV/0!</v>
      </c>
      <c r="AB140" s="15">
        <f>($J140*Cp_yd)+($K140*Cp_td)+($L140*Cint)+($M140*Ccar)+($N140*Cr_yd)+($O140*Cr_td)+(Q140*Crec)+($R140*Crec_yd)+($S140*Crec_td)+($T140*Cfmb)+($U140*Ctp_c)</f>
        <v>0</v>
      </c>
    </row>
    <row r="141" spans="1:28" x14ac:dyDescent="0.2">
      <c r="A141" s="16" t="s">
        <v>443</v>
      </c>
      <c r="B141" s="16" t="s">
        <v>26</v>
      </c>
      <c r="C141" s="16">
        <v>31</v>
      </c>
      <c r="D141" s="16">
        <v>8</v>
      </c>
      <c r="E141" s="16" t="s">
        <v>141</v>
      </c>
      <c r="F141" s="16" t="s">
        <v>425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f>($J141*0.04)+($K141*4)+($L141*-2)+($N141*0.1)+($O141*6)+($Q141)+($R141*0.1)+($S141*6)+($T141*-2)</f>
        <v>0</v>
      </c>
      <c r="W141" s="16" t="e">
        <f>$P141/$H$33</f>
        <v>#DIV/0!</v>
      </c>
      <c r="X141" s="16" t="e">
        <f>$N141/$M141</f>
        <v>#DIV/0!</v>
      </c>
      <c r="Y141" s="16" t="e">
        <f>$R141/$Q141</f>
        <v>#DIV/0!</v>
      </c>
      <c r="Z141" s="16" t="e">
        <f>$I141/$H141</f>
        <v>#DIV/0!</v>
      </c>
      <c r="AA141" s="16" t="e">
        <f>$K141/$H141</f>
        <v>#DIV/0!</v>
      </c>
      <c r="AB141" s="16">
        <f>($J141*Cp_yd)+($K141*Cp_td)+($L141*Cint)+($M141*Ccar)+($N141*Cr_yd)+($O141*Cr_td)+(Q141*Crec)+($R141*Crec_yd)+($S141*Crec_td)+($T141*Cfmb)+($U141*Ctp_c)</f>
        <v>0</v>
      </c>
    </row>
    <row r="142" spans="1:28" x14ac:dyDescent="0.2">
      <c r="A142" s="15" t="s">
        <v>445</v>
      </c>
      <c r="B142" s="15" t="s">
        <v>31</v>
      </c>
      <c r="C142" s="15">
        <v>23</v>
      </c>
      <c r="D142" s="15">
        <v>0</v>
      </c>
      <c r="E142" s="15" t="s">
        <v>446</v>
      </c>
      <c r="F142" s="15" t="s">
        <v>425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T142" s="15">
        <v>0</v>
      </c>
      <c r="U142" s="15">
        <v>0</v>
      </c>
      <c r="V142" s="15">
        <f>($J142*0.04)+($K142*4)+($L142*-2)+($N142*0.1)+($O142*6)+($Q142)+($R142*0.1)+($S142*6)+($T142*-2)</f>
        <v>0</v>
      </c>
      <c r="W142" s="15" t="e">
        <f>$P142/$H$33</f>
        <v>#DIV/0!</v>
      </c>
      <c r="X142" s="15" t="e">
        <f>$N142/$M142</f>
        <v>#DIV/0!</v>
      </c>
      <c r="Y142" s="15" t="e">
        <f>$R142/$Q142</f>
        <v>#DIV/0!</v>
      </c>
      <c r="Z142" s="15" t="e">
        <f>$I142/$H142</f>
        <v>#DIV/0!</v>
      </c>
      <c r="AA142" s="15" t="e">
        <f>$K142/$H142</f>
        <v>#DIV/0!</v>
      </c>
      <c r="AB142" s="15">
        <f>($J142*Cp_yd)+($K142*Cp_td)+($L142*Cint)+($M142*Ccar)+($N142*Cr_yd)+($O142*Cr_td)+(Q142*Crec)+($R142*Crec_yd)+($S142*Crec_td)+($T142*Cfmb)+($U142*Ctp_c)</f>
        <v>0</v>
      </c>
    </row>
    <row r="143" spans="1:28" x14ac:dyDescent="0.2">
      <c r="A143" s="16" t="s">
        <v>447</v>
      </c>
      <c r="B143" s="16" t="s">
        <v>31</v>
      </c>
      <c r="C143" s="16">
        <v>25</v>
      </c>
      <c r="D143" s="16">
        <v>3</v>
      </c>
      <c r="E143" s="16" t="s">
        <v>105</v>
      </c>
      <c r="F143" s="16" t="s">
        <v>425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f>($J143*0.04)+($K143*4)+($L143*-2)+($N143*0.1)+($O143*6)+($Q143)+($R143*0.1)+($S143*6)+($T143*-2)</f>
        <v>0</v>
      </c>
      <c r="W143" s="16" t="e">
        <f>$P143/$H$33</f>
        <v>#DIV/0!</v>
      </c>
      <c r="X143" s="16" t="e">
        <f>$N143/$M143</f>
        <v>#DIV/0!</v>
      </c>
      <c r="Y143" s="16" t="e">
        <f>$R143/$Q143</f>
        <v>#DIV/0!</v>
      </c>
      <c r="Z143" s="16" t="e">
        <f>$I143/$H143</f>
        <v>#DIV/0!</v>
      </c>
      <c r="AA143" s="16" t="e">
        <f>$K143/$H143</f>
        <v>#DIV/0!</v>
      </c>
      <c r="AB143" s="16">
        <f>($J143*Cp_yd)+($K143*Cp_td)+($L143*Cint)+($M143*Ccar)+($N143*Cr_yd)+($O143*Cr_td)+(Q143*Crec)+($R143*Crec_yd)+($S143*Crec_td)+($T143*Cfmb)+($U143*Ctp_c)</f>
        <v>0</v>
      </c>
    </row>
    <row r="144" spans="1:28" x14ac:dyDescent="0.2">
      <c r="A144" s="15" t="s">
        <v>448</v>
      </c>
      <c r="B144" s="15" t="s">
        <v>31</v>
      </c>
      <c r="C144" s="15">
        <v>27</v>
      </c>
      <c r="D144" s="15">
        <v>7</v>
      </c>
      <c r="E144" s="15" t="s">
        <v>68</v>
      </c>
      <c r="F144" s="15" t="s">
        <v>425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T144" s="15">
        <v>0</v>
      </c>
      <c r="U144" s="15">
        <v>0</v>
      </c>
      <c r="V144" s="15">
        <f>($J144*0.04)+($K144*4)+($L144*-2)+($N144*0.1)+($O144*6)+($Q144)+($R144*0.1)+($S144*6)+($T144*-2)</f>
        <v>0</v>
      </c>
      <c r="W144" s="15" t="e">
        <f>$P144/$H$33</f>
        <v>#DIV/0!</v>
      </c>
      <c r="X144" s="15" t="e">
        <f>$N144/$M144</f>
        <v>#DIV/0!</v>
      </c>
      <c r="Y144" s="15" t="e">
        <f>$R144/$Q144</f>
        <v>#DIV/0!</v>
      </c>
      <c r="Z144" s="15" t="e">
        <f>$I144/$H144</f>
        <v>#DIV/0!</v>
      </c>
      <c r="AA144" s="15" t="e">
        <f>$K144/$H144</f>
        <v>#DIV/0!</v>
      </c>
      <c r="AB144" s="15">
        <f>($J144*Cp_yd)+($K144*Cp_td)+($L144*Cint)+($M144*Ccar)+($N144*Cr_yd)+($O144*Cr_td)+(Q144*Crec)+($R144*Crec_yd)+($S144*Crec_td)+($T144*Cfmb)+($U144*Ctp_c)</f>
        <v>0</v>
      </c>
    </row>
    <row r="145" spans="1:28" x14ac:dyDescent="0.2">
      <c r="A145" s="16" t="s">
        <v>449</v>
      </c>
      <c r="B145" s="16" t="s">
        <v>31</v>
      </c>
      <c r="C145" s="16">
        <v>23</v>
      </c>
      <c r="D145" s="16">
        <v>0</v>
      </c>
      <c r="E145" s="16" t="s">
        <v>450</v>
      </c>
      <c r="F145" s="16" t="s">
        <v>425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f>($J145*0.04)+($K145*4)+($L145*-2)+($N145*0.1)+($O145*6)+($Q145)+($R145*0.1)+($S145*6)+($T145*-2)</f>
        <v>0</v>
      </c>
      <c r="W145" s="16" t="e">
        <f>$P145/$H$33</f>
        <v>#DIV/0!</v>
      </c>
      <c r="X145" s="16" t="e">
        <f>$N145/$M145</f>
        <v>#DIV/0!</v>
      </c>
      <c r="Y145" s="16" t="e">
        <f>$R145/$Q145</f>
        <v>#DIV/0!</v>
      </c>
      <c r="Z145" s="16" t="e">
        <f>$I145/$H145</f>
        <v>#DIV/0!</v>
      </c>
      <c r="AA145" s="16" t="e">
        <f>$K145/$H145</f>
        <v>#DIV/0!</v>
      </c>
      <c r="AB145" s="16">
        <f>($J145*Cp_yd)+($K145*Cp_td)+($L145*Cint)+($M145*Ccar)+($N145*Cr_yd)+($O145*Cr_td)+(Q145*Crec)+($R145*Crec_yd)+($S145*Crec_td)+($T145*Cfmb)+($U145*Ctp_c)</f>
        <v>0</v>
      </c>
    </row>
    <row r="146" spans="1:28" x14ac:dyDescent="0.2">
      <c r="A146" s="15" t="s">
        <v>451</v>
      </c>
      <c r="B146" s="15" t="s">
        <v>31</v>
      </c>
      <c r="C146" s="15">
        <v>24</v>
      </c>
      <c r="D146" s="15">
        <v>0</v>
      </c>
      <c r="E146" s="15" t="s">
        <v>89</v>
      </c>
      <c r="F146" s="15" t="s">
        <v>425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  <c r="O146" s="15">
        <v>0</v>
      </c>
      <c r="P146" s="15">
        <v>0</v>
      </c>
      <c r="Q146" s="15">
        <v>0</v>
      </c>
      <c r="R146" s="15">
        <v>0</v>
      </c>
      <c r="S146" s="15">
        <v>0</v>
      </c>
      <c r="T146" s="15">
        <v>0</v>
      </c>
      <c r="U146" s="15">
        <v>0</v>
      </c>
      <c r="V146" s="15">
        <f>($J146*0.04)+($K146*4)+($L146*-2)+($N146*0.1)+($O146*6)+($Q146)+($R146*0.1)+($S146*6)+($T146*-2)</f>
        <v>0</v>
      </c>
      <c r="W146" s="15" t="e">
        <f>$P146/$H$33</f>
        <v>#DIV/0!</v>
      </c>
      <c r="X146" s="15" t="e">
        <f>$N146/$M146</f>
        <v>#DIV/0!</v>
      </c>
      <c r="Y146" s="15" t="e">
        <f>$R146/$Q146</f>
        <v>#DIV/0!</v>
      </c>
      <c r="Z146" s="15" t="e">
        <f>$I146/$H146</f>
        <v>#DIV/0!</v>
      </c>
      <c r="AA146" s="15" t="e">
        <f>$K146/$H146</f>
        <v>#DIV/0!</v>
      </c>
      <c r="AB146" s="15">
        <f>($J146*Cp_yd)+($K146*Cp_td)+($L146*Cint)+($M146*Ccar)+($N146*Cr_yd)+($O146*Cr_td)+(Q146*Crec)+($R146*Crec_yd)+($S146*Crec_td)+($T146*Cfmb)+($U146*Ctp_c)</f>
        <v>0</v>
      </c>
    </row>
    <row r="147" spans="1:28" x14ac:dyDescent="0.2">
      <c r="A147" s="16" t="s">
        <v>453</v>
      </c>
      <c r="B147" s="16" t="s">
        <v>43</v>
      </c>
      <c r="C147" s="16">
        <v>29</v>
      </c>
      <c r="D147" s="16">
        <v>8</v>
      </c>
      <c r="E147" s="16" t="s">
        <v>74</v>
      </c>
      <c r="F147" s="16" t="s">
        <v>425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f>($J147*0.04)+($K147*4)+($L147*-2)+($N147*0.1)+($O147*6)+($Q147)+($R147*0.1)+($S147*6)+($T147*-2)</f>
        <v>0</v>
      </c>
      <c r="W147" s="16" t="e">
        <f>$P147/$H$33</f>
        <v>#DIV/0!</v>
      </c>
      <c r="X147" s="16" t="e">
        <f>$N147/$M147</f>
        <v>#DIV/0!</v>
      </c>
      <c r="Y147" s="16" t="e">
        <f>$R147/$Q147</f>
        <v>#DIV/0!</v>
      </c>
      <c r="Z147" s="16" t="e">
        <f>$I147/$H147</f>
        <v>#DIV/0!</v>
      </c>
      <c r="AA147" s="16" t="e">
        <f>$K147/$H147</f>
        <v>#DIV/0!</v>
      </c>
      <c r="AB147" s="16">
        <f>($J147*Cp_yd)+($K147*Cp_td)+($L147*Cint)+($M147*Ccar)+($N147*Cr_yd)+($O147*Cr_td)+(Q147*Crec)+($R147*Crec_yd)+($S147*Crec_td)+($T147*Cfmb)+($U147*Ctp_c)</f>
        <v>0</v>
      </c>
    </row>
    <row r="148" spans="1:28" x14ac:dyDescent="0.2">
      <c r="A148" s="15" t="s">
        <v>454</v>
      </c>
      <c r="B148" s="15" t="s">
        <v>43</v>
      </c>
      <c r="C148" s="15">
        <v>23</v>
      </c>
      <c r="D148" s="15">
        <v>0</v>
      </c>
      <c r="E148" s="15" t="s">
        <v>455</v>
      </c>
      <c r="F148" s="15" t="s">
        <v>425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f>($J148*0.04)+($K148*4)+($L148*-2)+($N148*0.1)+($O148*6)+($Q148)+($R148*0.1)+($S148*6)+($T148*-2)</f>
        <v>0</v>
      </c>
      <c r="W148" s="15" t="e">
        <f>$P148/$H$33</f>
        <v>#DIV/0!</v>
      </c>
      <c r="X148" s="15" t="e">
        <f>$N148/$M148</f>
        <v>#DIV/0!</v>
      </c>
      <c r="Y148" s="15" t="e">
        <f>$R148/$Q148</f>
        <v>#DIV/0!</v>
      </c>
      <c r="Z148" s="15" t="e">
        <f>$I148/$H148</f>
        <v>#DIV/0!</v>
      </c>
      <c r="AA148" s="15" t="e">
        <f>$K148/$H148</f>
        <v>#DIV/0!</v>
      </c>
      <c r="AB148" s="15">
        <f>($J148*Cp_yd)+($K148*Cp_td)+($L148*Cint)+($M148*Ccar)+($N148*Cr_yd)+($O148*Cr_td)+(Q148*Crec)+($R148*Crec_yd)+($S148*Crec_td)+($T148*Cfmb)+($U148*Ctp_c)</f>
        <v>0</v>
      </c>
    </row>
    <row r="149" spans="1:28" x14ac:dyDescent="0.2">
      <c r="A149" s="16" t="s">
        <v>456</v>
      </c>
      <c r="B149" s="16" t="s">
        <v>43</v>
      </c>
      <c r="C149" s="16">
        <v>23</v>
      </c>
      <c r="D149" s="16">
        <v>3</v>
      </c>
      <c r="E149" s="16" t="s">
        <v>227</v>
      </c>
      <c r="F149" s="16" t="s">
        <v>425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f>($J149*0.04)+($K149*4)+($L149*-2)+($N149*0.1)+($O149*6)+($Q149)+($R149*0.1)+($S149*6)+($T149*-2)</f>
        <v>0</v>
      </c>
      <c r="W149" s="16" t="e">
        <f>$P149/$H$33</f>
        <v>#DIV/0!</v>
      </c>
      <c r="X149" s="16" t="e">
        <f>$N149/$M149</f>
        <v>#DIV/0!</v>
      </c>
      <c r="Y149" s="16" t="e">
        <f>$R149/$Q149</f>
        <v>#DIV/0!</v>
      </c>
      <c r="Z149" s="16" t="e">
        <f>$I149/$H149</f>
        <v>#DIV/0!</v>
      </c>
      <c r="AA149" s="16" t="e">
        <f>$K149/$H149</f>
        <v>#DIV/0!</v>
      </c>
      <c r="AB149" s="16">
        <f>($J149*Cp_yd)+($K149*Cp_td)+($L149*Cint)+($M149*Ccar)+($N149*Cr_yd)+($O149*Cr_td)+(Q149*Crec)+($R149*Crec_yd)+($S149*Crec_td)+($T149*Cfmb)+($U149*Ctp_c)</f>
        <v>0</v>
      </c>
    </row>
    <row r="150" spans="1:28" x14ac:dyDescent="0.2">
      <c r="A150" s="15" t="s">
        <v>457</v>
      </c>
      <c r="B150" s="15" t="s">
        <v>43</v>
      </c>
      <c r="C150" s="15">
        <v>24</v>
      </c>
      <c r="D150" s="15">
        <v>4</v>
      </c>
      <c r="E150" s="15" t="s">
        <v>458</v>
      </c>
      <c r="F150" s="15" t="s">
        <v>425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f>($J150*0.04)+($K150*4)+($L150*-2)+($N150*0.1)+($O150*6)+($Q150)+($R150*0.1)+($S150*6)+($T150*-2)</f>
        <v>0</v>
      </c>
      <c r="W150" s="15" t="e">
        <f>$P150/$H$33</f>
        <v>#DIV/0!</v>
      </c>
      <c r="X150" s="15" t="e">
        <f>$N150/$M150</f>
        <v>#DIV/0!</v>
      </c>
      <c r="Y150" s="15" t="e">
        <f>$R150/$Q150</f>
        <v>#DIV/0!</v>
      </c>
      <c r="Z150" s="15" t="e">
        <f>$I150/$H150</f>
        <v>#DIV/0!</v>
      </c>
      <c r="AA150" s="15" t="e">
        <f>$K150/$H150</f>
        <v>#DIV/0!</v>
      </c>
      <c r="AB150" s="15">
        <f>($J150*Cp_yd)+($K150*Cp_td)+($L150*Cint)+($M150*Ccar)+($N150*Cr_yd)+($O150*Cr_td)+(Q150*Crec)+($R150*Crec_yd)+($S150*Crec_td)+($T150*Cfmb)+($U150*Ctp_c)</f>
        <v>0</v>
      </c>
    </row>
    <row r="151" spans="1:28" x14ac:dyDescent="0.2">
      <c r="A151" s="16" t="s">
        <v>459</v>
      </c>
      <c r="B151" s="16" t="s">
        <v>43</v>
      </c>
      <c r="C151" s="16">
        <v>24</v>
      </c>
      <c r="D151" s="16">
        <v>0</v>
      </c>
      <c r="E151" s="16" t="s">
        <v>460</v>
      </c>
      <c r="F151" s="16" t="s">
        <v>425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0</v>
      </c>
      <c r="V151" s="16">
        <f>($J151*0.04)+($K151*4)+($L151*-2)+($N151*0.1)+($O151*6)+($Q151)+($R151*0.1)+($S151*6)+($T151*-2)</f>
        <v>0</v>
      </c>
      <c r="W151" s="16" t="e">
        <f>$P151/$H$33</f>
        <v>#DIV/0!</v>
      </c>
      <c r="X151" s="16" t="e">
        <f>$N151/$M151</f>
        <v>#DIV/0!</v>
      </c>
      <c r="Y151" s="16" t="e">
        <f>$R151/$Q151</f>
        <v>#DIV/0!</v>
      </c>
      <c r="Z151" s="16" t="e">
        <f>$I151/$H151</f>
        <v>#DIV/0!</v>
      </c>
      <c r="AA151" s="16" t="e">
        <f>$K151/$H151</f>
        <v>#DIV/0!</v>
      </c>
      <c r="AB151" s="16">
        <f>($J151*Cp_yd)+($K151*Cp_td)+($L151*Cint)+($M151*Ccar)+($N151*Cr_yd)+($O151*Cr_td)+(Q151*Crec)+($R151*Crec_yd)+($S151*Crec_td)+($T151*Cfmb)+($U151*Ctp_c)</f>
        <v>0</v>
      </c>
    </row>
    <row r="152" spans="1:28" x14ac:dyDescent="0.2">
      <c r="A152" s="15" t="s">
        <v>461</v>
      </c>
      <c r="B152" s="15" t="s">
        <v>43</v>
      </c>
      <c r="C152" s="15">
        <v>23</v>
      </c>
      <c r="D152" s="15">
        <v>0</v>
      </c>
      <c r="E152" s="15" t="s">
        <v>415</v>
      </c>
      <c r="F152" s="15" t="s">
        <v>425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  <c r="O152" s="15">
        <v>0</v>
      </c>
      <c r="P152" s="15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v>0</v>
      </c>
      <c r="V152" s="15">
        <f>($J152*0.04)+($K152*4)+($L152*-2)+($N152*0.1)+($O152*6)+($Q152)+($R152*0.1)+($S152*6)+($T152*-2)</f>
        <v>0</v>
      </c>
      <c r="W152" s="15" t="e">
        <f>$P152/$H$33</f>
        <v>#DIV/0!</v>
      </c>
      <c r="X152" s="15" t="e">
        <f>$N152/$M152</f>
        <v>#DIV/0!</v>
      </c>
      <c r="Y152" s="15" t="e">
        <f>$R152/$Q152</f>
        <v>#DIV/0!</v>
      </c>
      <c r="Z152" s="15" t="e">
        <f>$I152/$H152</f>
        <v>#DIV/0!</v>
      </c>
      <c r="AA152" s="15" t="e">
        <f>$K152/$H152</f>
        <v>#DIV/0!</v>
      </c>
      <c r="AB152" s="15">
        <f>($J152*Cp_yd)+($K152*Cp_td)+($L152*Cint)+($M152*Ccar)+($N152*Cr_yd)+($O152*Cr_td)+(Q152*Crec)+($R152*Crec_yd)+($S152*Crec_td)+($T152*Cfmb)+($U152*Ctp_c)</f>
        <v>0</v>
      </c>
    </row>
    <row r="153" spans="1:28" x14ac:dyDescent="0.2">
      <c r="A153" s="16" t="s">
        <v>462</v>
      </c>
      <c r="B153" s="16" t="s">
        <v>43</v>
      </c>
      <c r="C153" s="16">
        <v>27</v>
      </c>
      <c r="D153" s="16">
        <v>3</v>
      </c>
      <c r="E153" s="16" t="s">
        <v>102</v>
      </c>
      <c r="F153" s="16" t="s">
        <v>425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f>($J153*0.04)+($K153*4)+($L153*-2)+($N153*0.1)+($O153*6)+($Q153)+($R153*0.1)+($S153*6)+($T153*-2)</f>
        <v>0</v>
      </c>
      <c r="W153" s="16" t="e">
        <f>$P153/$H$33</f>
        <v>#DIV/0!</v>
      </c>
      <c r="X153" s="16" t="e">
        <f>$N153/$M153</f>
        <v>#DIV/0!</v>
      </c>
      <c r="Y153" s="16" t="e">
        <f>$R153/$Q153</f>
        <v>#DIV/0!</v>
      </c>
      <c r="Z153" s="16" t="e">
        <f>$I153/$H153</f>
        <v>#DIV/0!</v>
      </c>
      <c r="AA153" s="16" t="e">
        <f>$K153/$H153</f>
        <v>#DIV/0!</v>
      </c>
      <c r="AB153" s="16">
        <f>($J153*Cp_yd)+($K153*Cp_td)+($L153*Cint)+($M153*Ccar)+($N153*Cr_yd)+($O153*Cr_td)+(Q153*Crec)+($R153*Crec_yd)+($S153*Crec_td)+($T153*Cfmb)+($U153*Ctp_c)</f>
        <v>0</v>
      </c>
    </row>
    <row r="154" spans="1:28" x14ac:dyDescent="0.2">
      <c r="A154" s="15" t="s">
        <v>463</v>
      </c>
      <c r="B154" s="15" t="s">
        <v>43</v>
      </c>
      <c r="C154" s="15">
        <v>23</v>
      </c>
      <c r="D154" s="15">
        <v>0</v>
      </c>
      <c r="E154" s="15" t="s">
        <v>464</v>
      </c>
      <c r="F154" s="15" t="s">
        <v>425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T154" s="15">
        <v>0</v>
      </c>
      <c r="U154" s="15">
        <v>0</v>
      </c>
      <c r="V154" s="15">
        <f>($J154*0.04)+($K154*4)+($L154*-2)+($N154*0.1)+($O154*6)+($Q154)+($R154*0.1)+($S154*6)+($T154*-2)</f>
        <v>0</v>
      </c>
      <c r="W154" s="15" t="e">
        <f>$P154/$H$33</f>
        <v>#DIV/0!</v>
      </c>
      <c r="X154" s="15" t="e">
        <f>$N154/$M154</f>
        <v>#DIV/0!</v>
      </c>
      <c r="Y154" s="15" t="e">
        <f>$R154/$Q154</f>
        <v>#DIV/0!</v>
      </c>
      <c r="Z154" s="15" t="e">
        <f>$I154/$H154</f>
        <v>#DIV/0!</v>
      </c>
      <c r="AA154" s="15" t="e">
        <f>$K154/$H154</f>
        <v>#DIV/0!</v>
      </c>
      <c r="AB154" s="15">
        <f>($J154*Cp_yd)+($K154*Cp_td)+($L154*Cint)+($M154*Ccar)+($N154*Cr_yd)+($O154*Cr_td)+(Q154*Crec)+($R154*Crec_yd)+($S154*Crec_td)+($T154*Cfmb)+($U154*Ctp_c)</f>
        <v>0</v>
      </c>
    </row>
    <row r="155" spans="1:28" x14ac:dyDescent="0.2">
      <c r="A155" s="16" t="s">
        <v>465</v>
      </c>
      <c r="B155" s="16" t="s">
        <v>43</v>
      </c>
      <c r="C155" s="16">
        <v>24</v>
      </c>
      <c r="D155" s="16">
        <v>0</v>
      </c>
      <c r="E155" s="16" t="s">
        <v>62</v>
      </c>
      <c r="F155" s="16" t="s">
        <v>425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0</v>
      </c>
      <c r="V155" s="16">
        <f>($J155*0.04)+($K155*4)+($L155*-2)+($N155*0.1)+($O155*6)+($Q155)+($R155*0.1)+($S155*6)+($T155*-2)</f>
        <v>0</v>
      </c>
      <c r="W155" s="16" t="e">
        <f>$P155/$H$33</f>
        <v>#DIV/0!</v>
      </c>
      <c r="X155" s="16" t="e">
        <f>$N155/$M155</f>
        <v>#DIV/0!</v>
      </c>
      <c r="Y155" s="16" t="e">
        <f>$R155/$Q155</f>
        <v>#DIV/0!</v>
      </c>
      <c r="Z155" s="16" t="e">
        <f>$I155/$H155</f>
        <v>#DIV/0!</v>
      </c>
      <c r="AA155" s="16" t="e">
        <f>$K155/$H155</f>
        <v>#DIV/0!</v>
      </c>
      <c r="AB155" s="16">
        <f>($J155*Cp_yd)+($K155*Cp_td)+($L155*Cint)+($M155*Ccar)+($N155*Cr_yd)+($O155*Cr_td)+(Q155*Crec)+($R155*Crec_yd)+($S155*Crec_td)+($T155*Cfmb)+($U155*Ctp_c)</f>
        <v>0</v>
      </c>
    </row>
    <row r="156" spans="1:28" x14ac:dyDescent="0.2">
      <c r="A156" s="15" t="s">
        <v>466</v>
      </c>
      <c r="B156" s="15" t="s">
        <v>43</v>
      </c>
      <c r="C156" s="15">
        <v>25</v>
      </c>
      <c r="D156" s="15">
        <v>1</v>
      </c>
      <c r="E156" s="15" t="s">
        <v>467</v>
      </c>
      <c r="F156" s="15" t="s">
        <v>425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T156" s="15">
        <v>0</v>
      </c>
      <c r="U156" s="15">
        <v>0</v>
      </c>
      <c r="V156" s="15">
        <f>($J156*0.04)+($K156*4)+($L156*-2)+($N156*0.1)+($O156*6)+($Q156)+($R156*0.1)+($S156*6)+($T156*-2)</f>
        <v>0</v>
      </c>
      <c r="W156" s="15" t="e">
        <f>$P156/$H$33</f>
        <v>#DIV/0!</v>
      </c>
      <c r="X156" s="15" t="e">
        <f>$N156/$M156</f>
        <v>#DIV/0!</v>
      </c>
      <c r="Y156" s="15" t="e">
        <f>$R156/$Q156</f>
        <v>#DIV/0!</v>
      </c>
      <c r="Z156" s="15" t="e">
        <f>$I156/$H156</f>
        <v>#DIV/0!</v>
      </c>
      <c r="AA156" s="15" t="e">
        <f>$K156/$H156</f>
        <v>#DIV/0!</v>
      </c>
      <c r="AB156" s="15">
        <f>($J156*Cp_yd)+($K156*Cp_td)+($L156*Cint)+($M156*Ccar)+($N156*Cr_yd)+($O156*Cr_td)+(Q156*Crec)+($R156*Crec_yd)+($S156*Crec_td)+($T156*Cfmb)+($U156*Ctp_c)</f>
        <v>0</v>
      </c>
    </row>
    <row r="157" spans="1:28" x14ac:dyDescent="0.2">
      <c r="A157" s="16" t="s">
        <v>468</v>
      </c>
      <c r="B157" s="16" t="s">
        <v>43</v>
      </c>
      <c r="C157" s="16">
        <v>26</v>
      </c>
      <c r="D157" s="16">
        <v>5</v>
      </c>
      <c r="E157" s="16" t="s">
        <v>248</v>
      </c>
      <c r="F157" s="16" t="s">
        <v>425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0</v>
      </c>
      <c r="V157" s="16">
        <f>($J157*0.04)+($K157*4)+($L157*-2)+($N157*0.1)+($O157*6)+($Q157)+($R157*0.1)+($S157*6)+($T157*-2)</f>
        <v>0</v>
      </c>
      <c r="W157" s="16" t="e">
        <f>$P157/$H$33</f>
        <v>#DIV/0!</v>
      </c>
      <c r="X157" s="16" t="e">
        <f>$N157/$M157</f>
        <v>#DIV/0!</v>
      </c>
      <c r="Y157" s="16" t="e">
        <f>$R157/$Q157</f>
        <v>#DIV/0!</v>
      </c>
      <c r="Z157" s="16" t="e">
        <f>$I157/$H157</f>
        <v>#DIV/0!</v>
      </c>
      <c r="AA157" s="16" t="e">
        <f>$K157/$H157</f>
        <v>#DIV/0!</v>
      </c>
      <c r="AB157" s="16">
        <f>($J157*Cp_yd)+($K157*Cp_td)+($L157*Cint)+($M157*Ccar)+($N157*Cr_yd)+($O157*Cr_td)+(Q157*Crec)+($R157*Crec_yd)+($S157*Crec_td)+($T157*Cfmb)+($U157*Ctp_c)</f>
        <v>0</v>
      </c>
    </row>
    <row r="158" spans="1:28" x14ac:dyDescent="0.2">
      <c r="A158" s="15" t="s">
        <v>470</v>
      </c>
      <c r="B158" s="15" t="s">
        <v>38</v>
      </c>
      <c r="C158" s="15">
        <v>26</v>
      </c>
      <c r="D158" s="15">
        <v>4</v>
      </c>
      <c r="E158" s="15" t="s">
        <v>418</v>
      </c>
      <c r="F158" s="15" t="s">
        <v>425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  <c r="O158" s="15">
        <v>0</v>
      </c>
      <c r="P158" s="15">
        <v>0</v>
      </c>
      <c r="Q158" s="15">
        <v>0</v>
      </c>
      <c r="R158" s="15">
        <v>0</v>
      </c>
      <c r="S158" s="15">
        <v>0</v>
      </c>
      <c r="T158" s="15">
        <v>0</v>
      </c>
      <c r="U158" s="15">
        <v>0</v>
      </c>
      <c r="V158" s="15">
        <f>($J158*0.04)+($K158*4)+($L158*-2)+($N158*0.1)+($O158*6)+($Q158)+($R158*0.1)+($S158*6)+($T158*-2)</f>
        <v>0</v>
      </c>
      <c r="W158" s="15" t="e">
        <f>$P158/$H$33</f>
        <v>#DIV/0!</v>
      </c>
      <c r="X158" s="15" t="e">
        <f>$N158/$M158</f>
        <v>#DIV/0!</v>
      </c>
      <c r="Y158" s="15" t="e">
        <f>$R158/$Q158</f>
        <v>#DIV/0!</v>
      </c>
      <c r="Z158" s="15" t="e">
        <f>$I158/$H158</f>
        <v>#DIV/0!</v>
      </c>
      <c r="AA158" s="15" t="e">
        <f>$K158/$H158</f>
        <v>#DIV/0!</v>
      </c>
      <c r="AB158" s="15">
        <f>($J158*Cp_yd)+($K158*Cp_td)+($L158*Cint)+($M158*Ccar)+($N158*Cr_yd)+($O158*Cr_td)+(Q158*Crec)+($R158*Crec_yd)+($S158*Crec_td)+($T158*Cfmb)+($U158*Ctp_c)</f>
        <v>0</v>
      </c>
    </row>
    <row r="159" spans="1:28" x14ac:dyDescent="0.2">
      <c r="A159" s="16" t="s">
        <v>471</v>
      </c>
      <c r="B159" s="16" t="s">
        <v>38</v>
      </c>
      <c r="C159" s="16">
        <v>27</v>
      </c>
      <c r="D159" s="16">
        <v>2</v>
      </c>
      <c r="E159" s="16" t="s">
        <v>339</v>
      </c>
      <c r="F159" s="16" t="s">
        <v>425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0</v>
      </c>
      <c r="V159" s="16">
        <f>($J159*0.04)+($K159*4)+($L159*-2)+($N159*0.1)+($O159*6)+($Q159)+($R159*0.1)+($S159*6)+($T159*-2)</f>
        <v>0</v>
      </c>
      <c r="W159" s="16" t="e">
        <f>$P159/$H$33</f>
        <v>#DIV/0!</v>
      </c>
      <c r="X159" s="16" t="e">
        <f>$N159/$M159</f>
        <v>#DIV/0!</v>
      </c>
      <c r="Y159" s="16" t="e">
        <f>$R159/$Q159</f>
        <v>#DIV/0!</v>
      </c>
      <c r="Z159" s="16" t="e">
        <f>$I159/$H159</f>
        <v>#DIV/0!</v>
      </c>
      <c r="AA159" s="16" t="e">
        <f>$K159/$H159</f>
        <v>#DIV/0!</v>
      </c>
      <c r="AB159" s="16">
        <f>($J159*Cp_yd)+($K159*Cp_td)+($L159*Cint)+($M159*Ccar)+($N159*Cr_yd)+($O159*Cr_td)+(Q159*Crec)+($R159*Crec_yd)+($S159*Crec_td)+($T159*Cfmb)+($U159*Ctp_c)</f>
        <v>0</v>
      </c>
    </row>
    <row r="160" spans="1:28" x14ac:dyDescent="0.2">
      <c r="A160" s="15" t="s">
        <v>472</v>
      </c>
      <c r="B160" s="15" t="s">
        <v>38</v>
      </c>
      <c r="C160" s="15">
        <v>28</v>
      </c>
      <c r="D160" s="15">
        <v>4</v>
      </c>
      <c r="E160" s="15" t="s">
        <v>473</v>
      </c>
      <c r="F160" s="15" t="s">
        <v>425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T160" s="15">
        <v>0</v>
      </c>
      <c r="U160" s="15">
        <v>0</v>
      </c>
      <c r="V160" s="15">
        <f>($J160*0.04)+($K160*4)+($L160*-2)+($N160*0.1)+($O160*6)+($Q160)+($R160*0.1)+($S160*6)+($T160*-2)</f>
        <v>0</v>
      </c>
      <c r="W160" s="15" t="e">
        <f>$P160/$H$33</f>
        <v>#DIV/0!</v>
      </c>
      <c r="X160" s="15" t="e">
        <f>$N160/$M160</f>
        <v>#DIV/0!</v>
      </c>
      <c r="Y160" s="15" t="e">
        <f>$R160/$Q160</f>
        <v>#DIV/0!</v>
      </c>
      <c r="Z160" s="15" t="e">
        <f>$I160/$H160</f>
        <v>#DIV/0!</v>
      </c>
      <c r="AA160" s="15" t="e">
        <f>$K160/$H160</f>
        <v>#DIV/0!</v>
      </c>
      <c r="AB160" s="15">
        <f>($J160*Cp_yd)+($K160*Cp_td)+($L160*Cint)+($M160*Ccar)+($N160*Cr_yd)+($O160*Cr_td)+(Q160*Crec)+($R160*Crec_yd)+($S160*Crec_td)+($T160*Cfmb)+($U160*Ctp_c)</f>
        <v>0</v>
      </c>
    </row>
    <row r="161" spans="1:28" x14ac:dyDescent="0.2">
      <c r="A161" s="16" t="s">
        <v>474</v>
      </c>
      <c r="B161" s="16" t="s">
        <v>38</v>
      </c>
      <c r="C161" s="16">
        <v>27</v>
      </c>
      <c r="D161" s="16">
        <v>5</v>
      </c>
      <c r="E161" s="16" t="s">
        <v>86</v>
      </c>
      <c r="F161" s="16" t="s">
        <v>425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0</v>
      </c>
      <c r="V161" s="16">
        <f>($J161*0.04)+($K161*4)+($L161*-2)+($N161*0.1)+($O161*6)+($Q161)+($R161*0.1)+($S161*6)+($T161*-2)</f>
        <v>0</v>
      </c>
      <c r="W161" s="16" t="e">
        <f>$P161/$H$33</f>
        <v>#DIV/0!</v>
      </c>
      <c r="X161" s="16" t="e">
        <f>$N161/$M161</f>
        <v>#DIV/0!</v>
      </c>
      <c r="Y161" s="16" t="e">
        <f>$R161/$Q161</f>
        <v>#DIV/0!</v>
      </c>
      <c r="Z161" s="16" t="e">
        <f>$I161/$H161</f>
        <v>#DIV/0!</v>
      </c>
      <c r="AA161" s="16" t="e">
        <f>$K161/$H161</f>
        <v>#DIV/0!</v>
      </c>
      <c r="AB161" s="16">
        <f>($J161*Cp_yd)+($K161*Cp_td)+($L161*Cint)+($M161*Ccar)+($N161*Cr_yd)+($O161*Cr_td)+(Q161*Crec)+($R161*Crec_yd)+($S161*Crec_td)+($T161*Cfmb)+($U161*Ctp_c)</f>
        <v>0</v>
      </c>
    </row>
    <row r="162" spans="1:28" x14ac:dyDescent="0.2">
      <c r="A162" s="15" t="s">
        <v>475</v>
      </c>
      <c r="B162" s="15" t="s">
        <v>38</v>
      </c>
      <c r="C162" s="15">
        <v>25</v>
      </c>
      <c r="D162" s="15">
        <v>5</v>
      </c>
      <c r="E162" s="15" t="s">
        <v>153</v>
      </c>
      <c r="F162" s="15" t="s">
        <v>425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  <c r="V162" s="15">
        <f>($J162*0.04)+($K162*4)+($L162*-2)+($N162*0.1)+($O162*6)+($Q162)+($R162*0.1)+($S162*6)+($T162*-2)</f>
        <v>0</v>
      </c>
      <c r="W162" s="15" t="e">
        <f>$P162/$H$33</f>
        <v>#DIV/0!</v>
      </c>
      <c r="X162" s="15" t="e">
        <f>$N162/$M162</f>
        <v>#DIV/0!</v>
      </c>
      <c r="Y162" s="15" t="e">
        <f>$R162/$Q162</f>
        <v>#DIV/0!</v>
      </c>
      <c r="Z162" s="15" t="e">
        <f>$I162/$H162</f>
        <v>#DIV/0!</v>
      </c>
      <c r="AA162" s="15" t="e">
        <f>$K162/$H162</f>
        <v>#DIV/0!</v>
      </c>
      <c r="AB162" s="15">
        <f>($J162*Cp_yd)+($K162*Cp_td)+($L162*Cint)+($M162*Ccar)+($N162*Cr_yd)+($O162*Cr_td)+(Q162*Crec)+($R162*Crec_yd)+($S162*Crec_td)+($T162*Cfmb)+($U162*Ctp_c)</f>
        <v>0</v>
      </c>
    </row>
    <row r="163" spans="1:28" x14ac:dyDescent="0.2">
      <c r="A163" s="16" t="s">
        <v>476</v>
      </c>
      <c r="B163" s="16" t="s">
        <v>38</v>
      </c>
      <c r="C163" s="16">
        <v>24</v>
      </c>
      <c r="D163" s="16">
        <v>0</v>
      </c>
      <c r="E163" s="16" t="s">
        <v>70</v>
      </c>
      <c r="F163" s="16" t="s">
        <v>425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0</v>
      </c>
      <c r="V163" s="16">
        <f>($J163*0.04)+($K163*4)+($L163*-2)+($N163*0.1)+($O163*6)+($Q163)+($R163*0.1)+($S163*6)+($T163*-2)</f>
        <v>0</v>
      </c>
      <c r="W163" s="16" t="e">
        <f>$P163/$H$33</f>
        <v>#DIV/0!</v>
      </c>
      <c r="X163" s="16" t="e">
        <f>$N163/$M163</f>
        <v>#DIV/0!</v>
      </c>
      <c r="Y163" s="16" t="e">
        <f>$R163/$Q163</f>
        <v>#DIV/0!</v>
      </c>
      <c r="Z163" s="16" t="e">
        <f>$I163/$H163</f>
        <v>#DIV/0!</v>
      </c>
      <c r="AA163" s="16" t="e">
        <f>$K163/$H163</f>
        <v>#DIV/0!</v>
      </c>
      <c r="AB163" s="16">
        <f>($J163*Cp_yd)+($K163*Cp_td)+($L163*Cint)+($M163*Ccar)+($N163*Cr_yd)+($O163*Cr_td)+(Q163*Crec)+($R163*Crec_yd)+($S163*Crec_td)+($T163*Cfmb)+($U163*Ctp_c)</f>
        <v>0</v>
      </c>
    </row>
    <row r="164" spans="1:28" x14ac:dyDescent="0.2">
      <c r="A164" s="15" t="s">
        <v>495</v>
      </c>
      <c r="B164" s="15" t="s">
        <v>26</v>
      </c>
      <c r="C164" s="15">
        <v>28</v>
      </c>
      <c r="D164" s="15">
        <v>7</v>
      </c>
      <c r="E164" s="15" t="s">
        <v>143</v>
      </c>
      <c r="F164" s="15" t="s">
        <v>479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  <c r="O164" s="15">
        <v>0</v>
      </c>
      <c r="P164" s="15">
        <v>0</v>
      </c>
      <c r="Q164" s="15">
        <v>0</v>
      </c>
      <c r="R164" s="15">
        <v>0</v>
      </c>
      <c r="S164" s="15">
        <v>0</v>
      </c>
      <c r="T164" s="15">
        <v>0</v>
      </c>
      <c r="U164" s="15">
        <v>0</v>
      </c>
      <c r="V164" s="15">
        <f>($J164*0.04)+($K164*4)+($L164*-2)+($N164*0.1)+($O164*6)+($Q164)+($R164*0.1)+($S164*6)+($T164*-2)</f>
        <v>0</v>
      </c>
      <c r="W164" s="15" t="e">
        <f>$P164/$H$33</f>
        <v>#DIV/0!</v>
      </c>
      <c r="X164" s="15" t="e">
        <f>$N164/$M164</f>
        <v>#DIV/0!</v>
      </c>
      <c r="Y164" s="15" t="e">
        <f>$R164/$Q164</f>
        <v>#DIV/0!</v>
      </c>
      <c r="Z164" s="15" t="e">
        <f>$I164/$H164</f>
        <v>#DIV/0!</v>
      </c>
      <c r="AA164" s="15" t="e">
        <f>$K164/$H164</f>
        <v>#DIV/0!</v>
      </c>
      <c r="AB164" s="15">
        <f>($J164*Cp_yd)+($K164*Cp_td)+($L164*Cint)+($M164*Ccar)+($N164*Cr_yd)+($O164*Cr_td)+(Q164*Crec)+($R164*Crec_yd)+($S164*Crec_td)+($T164*Cfmb)+($U164*Ctp_c)</f>
        <v>0</v>
      </c>
    </row>
    <row r="165" spans="1:28" x14ac:dyDescent="0.2">
      <c r="A165" s="16" t="s">
        <v>496</v>
      </c>
      <c r="B165" s="16" t="s">
        <v>26</v>
      </c>
      <c r="C165" s="16">
        <v>24</v>
      </c>
      <c r="D165" s="16">
        <v>3</v>
      </c>
      <c r="E165" s="16" t="s">
        <v>307</v>
      </c>
      <c r="F165" s="16" t="s">
        <v>479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0</v>
      </c>
      <c r="V165" s="16">
        <f>($J165*0.04)+($K165*4)+($L165*-2)+($N165*0.1)+($O165*6)+($Q165)+($R165*0.1)+($S165*6)+($T165*-2)</f>
        <v>0</v>
      </c>
      <c r="W165" s="16" t="e">
        <f>$P165/$H$33</f>
        <v>#DIV/0!</v>
      </c>
      <c r="X165" s="16" t="e">
        <f>$N165/$M165</f>
        <v>#DIV/0!</v>
      </c>
      <c r="Y165" s="16" t="e">
        <f>$R165/$Q165</f>
        <v>#DIV/0!</v>
      </c>
      <c r="Z165" s="16" t="e">
        <f>$I165/$H165</f>
        <v>#DIV/0!</v>
      </c>
      <c r="AA165" s="16" t="e">
        <f>$K165/$H165</f>
        <v>#DIV/0!</v>
      </c>
      <c r="AB165" s="16">
        <f>($J165*Cp_yd)+($K165*Cp_td)+($L165*Cint)+($M165*Ccar)+($N165*Cr_yd)+($O165*Cr_td)+(Q165*Crec)+($R165*Crec_yd)+($S165*Crec_td)+($T165*Cfmb)+($U165*Ctp_c)</f>
        <v>0</v>
      </c>
    </row>
    <row r="166" spans="1:28" x14ac:dyDescent="0.2">
      <c r="A166" s="15" t="s">
        <v>497</v>
      </c>
      <c r="B166" s="15" t="s">
        <v>26</v>
      </c>
      <c r="C166" s="15">
        <v>23</v>
      </c>
      <c r="D166" s="15">
        <v>0</v>
      </c>
      <c r="E166" s="15" t="s">
        <v>418</v>
      </c>
      <c r="F166" s="15" t="s">
        <v>479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T166" s="15">
        <v>0</v>
      </c>
      <c r="U166" s="15">
        <v>0</v>
      </c>
      <c r="V166" s="15">
        <f>($J166*0.04)+($K166*4)+($L166*-2)+($N166*0.1)+($O166*6)+($Q166)+($R166*0.1)+($S166*6)+($T166*-2)</f>
        <v>0</v>
      </c>
      <c r="W166" s="15" t="e">
        <f>$P166/$H$33</f>
        <v>#DIV/0!</v>
      </c>
      <c r="X166" s="15" t="e">
        <f>$N166/$M166</f>
        <v>#DIV/0!</v>
      </c>
      <c r="Y166" s="15" t="e">
        <f>$R166/$Q166</f>
        <v>#DIV/0!</v>
      </c>
      <c r="Z166" s="15" t="e">
        <f>$I166/$H166</f>
        <v>#DIV/0!</v>
      </c>
      <c r="AA166" s="15" t="e">
        <f>$K166/$H166</f>
        <v>#DIV/0!</v>
      </c>
      <c r="AB166" s="15">
        <f>($J166*Cp_yd)+($K166*Cp_td)+($L166*Cint)+($M166*Ccar)+($N166*Cr_yd)+($O166*Cr_td)+(Q166*Crec)+($R166*Crec_yd)+($S166*Crec_td)+($T166*Cfmb)+($U166*Ctp_c)</f>
        <v>0</v>
      </c>
    </row>
    <row r="167" spans="1:28" x14ac:dyDescent="0.2">
      <c r="A167" s="16" t="s">
        <v>499</v>
      </c>
      <c r="B167" s="16" t="s">
        <v>31</v>
      </c>
      <c r="C167" s="16">
        <v>27</v>
      </c>
      <c r="D167" s="16">
        <v>6</v>
      </c>
      <c r="E167" s="16" t="s">
        <v>173</v>
      </c>
      <c r="F167" s="16" t="s">
        <v>479</v>
      </c>
      <c r="G167" s="16">
        <v>0</v>
      </c>
      <c r="H167" s="16">
        <v>0</v>
      </c>
      <c r="I167" s="16">
        <v>0</v>
      </c>
      <c r="J167" s="16">
        <v>0</v>
      </c>
      <c r="K167" s="16">
        <v>0</v>
      </c>
      <c r="L167" s="16">
        <v>0</v>
      </c>
      <c r="M167" s="16">
        <v>0</v>
      </c>
      <c r="N167" s="16">
        <v>0</v>
      </c>
      <c r="O167" s="16">
        <v>0</v>
      </c>
      <c r="P167" s="16">
        <v>0</v>
      </c>
      <c r="Q167" s="16">
        <v>0</v>
      </c>
      <c r="R167" s="16">
        <v>0</v>
      </c>
      <c r="S167" s="16">
        <v>0</v>
      </c>
      <c r="T167" s="16">
        <v>0</v>
      </c>
      <c r="U167" s="16">
        <v>0</v>
      </c>
      <c r="V167" s="16">
        <f>($J167*0.04)+($K167*4)+($L167*-2)+($N167*0.1)+($O167*6)+($Q167)+($R167*0.1)+($S167*6)+($T167*-2)</f>
        <v>0</v>
      </c>
      <c r="W167" s="16" t="e">
        <f>$P167/$H$33</f>
        <v>#DIV/0!</v>
      </c>
      <c r="X167" s="16" t="e">
        <f>$N167/$M167</f>
        <v>#DIV/0!</v>
      </c>
      <c r="Y167" s="16" t="e">
        <f>$R167/$Q167</f>
        <v>#DIV/0!</v>
      </c>
      <c r="Z167" s="16" t="e">
        <f>$I167/$H167</f>
        <v>#DIV/0!</v>
      </c>
      <c r="AA167" s="16" t="e">
        <f>$K167/$H167</f>
        <v>#DIV/0!</v>
      </c>
      <c r="AB167" s="16">
        <f>($J167*Cp_yd)+($K167*Cp_td)+($L167*Cint)+($M167*Ccar)+($N167*Cr_yd)+($O167*Cr_td)+(Q167*Crec)+($R167*Crec_yd)+($S167*Crec_td)+($T167*Cfmb)+($U167*Ctp_c)</f>
        <v>0</v>
      </c>
    </row>
    <row r="168" spans="1:28" x14ac:dyDescent="0.2">
      <c r="A168" s="15" t="s">
        <v>500</v>
      </c>
      <c r="B168" s="15" t="s">
        <v>31</v>
      </c>
      <c r="C168" s="15">
        <v>25</v>
      </c>
      <c r="D168" s="15">
        <v>3</v>
      </c>
      <c r="E168" s="15" t="s">
        <v>418</v>
      </c>
      <c r="F168" s="15" t="s">
        <v>479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  <c r="O168" s="15">
        <v>0</v>
      </c>
      <c r="P168" s="15">
        <v>0</v>
      </c>
      <c r="Q168" s="15">
        <v>0</v>
      </c>
      <c r="R168" s="15">
        <v>0</v>
      </c>
      <c r="S168" s="15">
        <v>0</v>
      </c>
      <c r="T168" s="15">
        <v>0</v>
      </c>
      <c r="U168" s="15">
        <v>0</v>
      </c>
      <c r="V168" s="15">
        <f>($J168*0.04)+($K168*4)+($L168*-2)+($N168*0.1)+($O168*6)+($Q168)+($R168*0.1)+($S168*6)+($T168*-2)</f>
        <v>0</v>
      </c>
      <c r="W168" s="15" t="e">
        <f>$P168/$H$33</f>
        <v>#DIV/0!</v>
      </c>
      <c r="X168" s="15" t="e">
        <f>$N168/$M168</f>
        <v>#DIV/0!</v>
      </c>
      <c r="Y168" s="15" t="e">
        <f>$R168/$Q168</f>
        <v>#DIV/0!</v>
      </c>
      <c r="Z168" s="15" t="e">
        <f>$I168/$H168</f>
        <v>#DIV/0!</v>
      </c>
      <c r="AA168" s="15" t="e">
        <f>$K168/$H168</f>
        <v>#DIV/0!</v>
      </c>
      <c r="AB168" s="15">
        <f>($J168*Cp_yd)+($K168*Cp_td)+($L168*Cint)+($M168*Ccar)+($N168*Cr_yd)+($O168*Cr_td)+(Q168*Crec)+($R168*Crec_yd)+($S168*Crec_td)+($T168*Cfmb)+($U168*Ctp_c)</f>
        <v>0</v>
      </c>
    </row>
    <row r="169" spans="1:28" x14ac:dyDescent="0.2">
      <c r="A169" s="16" t="s">
        <v>501</v>
      </c>
      <c r="B169" s="16" t="s">
        <v>31</v>
      </c>
      <c r="C169" s="16">
        <v>23</v>
      </c>
      <c r="D169" s="16">
        <v>2</v>
      </c>
      <c r="E169" s="16" t="s">
        <v>136</v>
      </c>
      <c r="F169" s="16" t="s">
        <v>479</v>
      </c>
      <c r="G169" s="16">
        <v>0</v>
      </c>
      <c r="H169" s="16">
        <v>0</v>
      </c>
      <c r="I169" s="16">
        <v>0</v>
      </c>
      <c r="J169" s="16">
        <v>0</v>
      </c>
      <c r="K169" s="16">
        <v>0</v>
      </c>
      <c r="L169" s="16">
        <v>0</v>
      </c>
      <c r="M169" s="16">
        <v>0</v>
      </c>
      <c r="N169" s="16">
        <v>0</v>
      </c>
      <c r="O169" s="16">
        <v>0</v>
      </c>
      <c r="P169" s="16">
        <v>0</v>
      </c>
      <c r="Q169" s="16">
        <v>0</v>
      </c>
      <c r="R169" s="16">
        <v>0</v>
      </c>
      <c r="S169" s="16">
        <v>0</v>
      </c>
      <c r="T169" s="16">
        <v>0</v>
      </c>
      <c r="U169" s="16">
        <v>0</v>
      </c>
      <c r="V169" s="16">
        <f>($J169*0.04)+($K169*4)+($L169*-2)+($N169*0.1)+($O169*6)+($Q169)+($R169*0.1)+($S169*6)+($T169*-2)</f>
        <v>0</v>
      </c>
      <c r="W169" s="16" t="e">
        <f>$P169/$H$33</f>
        <v>#DIV/0!</v>
      </c>
      <c r="X169" s="16" t="e">
        <f>$N169/$M169</f>
        <v>#DIV/0!</v>
      </c>
      <c r="Y169" s="16" t="e">
        <f>$R169/$Q169</f>
        <v>#DIV/0!</v>
      </c>
      <c r="Z169" s="16" t="e">
        <f>$I169/$H169</f>
        <v>#DIV/0!</v>
      </c>
      <c r="AA169" s="16" t="e">
        <f>$K169/$H169</f>
        <v>#DIV/0!</v>
      </c>
      <c r="AB169" s="16">
        <f>($J169*Cp_yd)+($K169*Cp_td)+($L169*Cint)+($M169*Ccar)+($N169*Cr_yd)+($O169*Cr_td)+(Q169*Crec)+($R169*Crec_yd)+($S169*Crec_td)+($T169*Cfmb)+($U169*Ctp_c)</f>
        <v>0</v>
      </c>
    </row>
    <row r="170" spans="1:28" x14ac:dyDescent="0.2">
      <c r="A170" s="15" t="s">
        <v>502</v>
      </c>
      <c r="B170" s="15" t="s">
        <v>31</v>
      </c>
      <c r="C170" s="15">
        <v>22</v>
      </c>
      <c r="D170" s="15">
        <v>0</v>
      </c>
      <c r="E170" s="15" t="s">
        <v>455</v>
      </c>
      <c r="F170" s="15" t="s">
        <v>479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  <c r="O170" s="15">
        <v>0</v>
      </c>
      <c r="P170" s="15">
        <v>0</v>
      </c>
      <c r="Q170" s="15">
        <v>0</v>
      </c>
      <c r="R170" s="15">
        <v>0</v>
      </c>
      <c r="S170" s="15">
        <v>0</v>
      </c>
      <c r="T170" s="15">
        <v>0</v>
      </c>
      <c r="U170" s="15">
        <v>0</v>
      </c>
      <c r="V170" s="15">
        <f>($J170*0.04)+($K170*4)+($L170*-2)+($N170*0.1)+($O170*6)+($Q170)+($R170*0.1)+($S170*6)+($T170*-2)</f>
        <v>0</v>
      </c>
      <c r="W170" s="15" t="e">
        <f>$P170/$H$33</f>
        <v>#DIV/0!</v>
      </c>
      <c r="X170" s="15" t="e">
        <f>$N170/$M170</f>
        <v>#DIV/0!</v>
      </c>
      <c r="Y170" s="15" t="e">
        <f>$R170/$Q170</f>
        <v>#DIV/0!</v>
      </c>
      <c r="Z170" s="15" t="e">
        <f>$I170/$H170</f>
        <v>#DIV/0!</v>
      </c>
      <c r="AA170" s="15" t="e">
        <f>$K170/$H170</f>
        <v>#DIV/0!</v>
      </c>
      <c r="AB170" s="15">
        <f>($J170*Cp_yd)+($K170*Cp_td)+($L170*Cint)+($M170*Ccar)+($N170*Cr_yd)+($O170*Cr_td)+(Q170*Crec)+($R170*Crec_yd)+($S170*Crec_td)+($T170*Cfmb)+($U170*Ctp_c)</f>
        <v>0</v>
      </c>
    </row>
    <row r="171" spans="1:28" x14ac:dyDescent="0.2">
      <c r="A171" s="16" t="s">
        <v>503</v>
      </c>
      <c r="B171" s="16" t="s">
        <v>31</v>
      </c>
      <c r="C171" s="16">
        <v>26</v>
      </c>
      <c r="D171" s="16">
        <v>2</v>
      </c>
      <c r="E171" s="16" t="s">
        <v>143</v>
      </c>
      <c r="F171" s="16" t="s">
        <v>479</v>
      </c>
      <c r="G171" s="16">
        <v>0</v>
      </c>
      <c r="H171" s="16">
        <v>0</v>
      </c>
      <c r="I171" s="16">
        <v>0</v>
      </c>
      <c r="J171" s="16">
        <v>0</v>
      </c>
      <c r="K171" s="16">
        <v>0</v>
      </c>
      <c r="L171" s="16">
        <v>0</v>
      </c>
      <c r="M171" s="16">
        <v>0</v>
      </c>
      <c r="N171" s="16">
        <v>0</v>
      </c>
      <c r="O171" s="16">
        <v>0</v>
      </c>
      <c r="P171" s="16">
        <v>0</v>
      </c>
      <c r="Q171" s="16">
        <v>0</v>
      </c>
      <c r="R171" s="16">
        <v>0</v>
      </c>
      <c r="S171" s="16">
        <v>0</v>
      </c>
      <c r="T171" s="16">
        <v>0</v>
      </c>
      <c r="U171" s="16">
        <v>0</v>
      </c>
      <c r="V171" s="16">
        <f>($J171*0.04)+($K171*4)+($L171*-2)+($N171*0.1)+($O171*6)+($Q171)+($R171*0.1)+($S171*6)+($T171*-2)</f>
        <v>0</v>
      </c>
      <c r="W171" s="16" t="e">
        <f>$P171/$H$33</f>
        <v>#DIV/0!</v>
      </c>
      <c r="X171" s="16" t="e">
        <f>$N171/$M171</f>
        <v>#DIV/0!</v>
      </c>
      <c r="Y171" s="16" t="e">
        <f>$R171/$Q171</f>
        <v>#DIV/0!</v>
      </c>
      <c r="Z171" s="16" t="e">
        <f>$I171/$H171</f>
        <v>#DIV/0!</v>
      </c>
      <c r="AA171" s="16" t="e">
        <f>$K171/$H171</f>
        <v>#DIV/0!</v>
      </c>
      <c r="AB171" s="16">
        <f>($J171*Cp_yd)+($K171*Cp_td)+($L171*Cint)+($M171*Ccar)+($N171*Cr_yd)+($O171*Cr_td)+(Q171*Crec)+($R171*Crec_yd)+($S171*Crec_td)+($T171*Cfmb)+($U171*Ctp_c)</f>
        <v>0</v>
      </c>
    </row>
    <row r="172" spans="1:28" x14ac:dyDescent="0.2">
      <c r="A172" s="15" t="s">
        <v>505</v>
      </c>
      <c r="B172" s="15" t="s">
        <v>43</v>
      </c>
      <c r="C172" s="15">
        <v>22</v>
      </c>
      <c r="D172" s="15">
        <v>2</v>
      </c>
      <c r="E172" s="15" t="s">
        <v>62</v>
      </c>
      <c r="F172" s="15" t="s">
        <v>479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  <c r="O172" s="15">
        <v>0</v>
      </c>
      <c r="P172" s="15">
        <v>0</v>
      </c>
      <c r="Q172" s="15">
        <v>0</v>
      </c>
      <c r="R172" s="15">
        <v>0</v>
      </c>
      <c r="S172" s="15">
        <v>0</v>
      </c>
      <c r="T172" s="15">
        <v>0</v>
      </c>
      <c r="U172" s="15">
        <v>0</v>
      </c>
      <c r="V172" s="15">
        <f>($J172*0.04)+($K172*4)+($L172*-2)+($N172*0.1)+($O172*6)+($Q172)+($R172*0.1)+($S172*6)+($T172*-2)</f>
        <v>0</v>
      </c>
      <c r="W172" s="15" t="e">
        <f>$P172/$H$33</f>
        <v>#DIV/0!</v>
      </c>
      <c r="X172" s="15" t="e">
        <f>$N172/$M172</f>
        <v>#DIV/0!</v>
      </c>
      <c r="Y172" s="15" t="e">
        <f>$R172/$Q172</f>
        <v>#DIV/0!</v>
      </c>
      <c r="Z172" s="15" t="e">
        <f>$I172/$H172</f>
        <v>#DIV/0!</v>
      </c>
      <c r="AA172" s="15" t="e">
        <f>$K172/$H172</f>
        <v>#DIV/0!</v>
      </c>
      <c r="AB172" s="15">
        <f>($J172*Cp_yd)+($K172*Cp_td)+($L172*Cint)+($M172*Ccar)+($N172*Cr_yd)+($O172*Cr_td)+(Q172*Crec)+($R172*Crec_yd)+($S172*Crec_td)+($T172*Cfmb)+($U172*Ctp_c)</f>
        <v>0</v>
      </c>
    </row>
    <row r="173" spans="1:28" x14ac:dyDescent="0.2">
      <c r="A173" s="16" t="s">
        <v>506</v>
      </c>
      <c r="B173" s="16" t="s">
        <v>43</v>
      </c>
      <c r="C173" s="16">
        <v>29</v>
      </c>
      <c r="D173" s="16">
        <v>9</v>
      </c>
      <c r="E173" s="16" t="s">
        <v>153</v>
      </c>
      <c r="F173" s="16" t="s">
        <v>479</v>
      </c>
      <c r="G173" s="16">
        <v>0</v>
      </c>
      <c r="H173" s="16">
        <v>0</v>
      </c>
      <c r="I173" s="16">
        <v>0</v>
      </c>
      <c r="J173" s="16">
        <v>0</v>
      </c>
      <c r="K173" s="16">
        <v>0</v>
      </c>
      <c r="L173" s="16">
        <v>0</v>
      </c>
      <c r="M173" s="16">
        <v>0</v>
      </c>
      <c r="N173" s="16">
        <v>0</v>
      </c>
      <c r="O173" s="16">
        <v>0</v>
      </c>
      <c r="P173" s="16">
        <v>0</v>
      </c>
      <c r="Q173" s="16">
        <v>0</v>
      </c>
      <c r="R173" s="16">
        <v>0</v>
      </c>
      <c r="S173" s="16">
        <v>0</v>
      </c>
      <c r="T173" s="16">
        <v>0</v>
      </c>
      <c r="U173" s="16">
        <v>0</v>
      </c>
      <c r="V173" s="16">
        <f>($J173*0.04)+($K173*4)+($L173*-2)+($N173*0.1)+($O173*6)+($Q173)+($R173*0.1)+($S173*6)+($T173*-2)</f>
        <v>0</v>
      </c>
      <c r="W173" s="16" t="e">
        <f>$P173/$H$33</f>
        <v>#DIV/0!</v>
      </c>
      <c r="X173" s="16" t="e">
        <f>$N173/$M173</f>
        <v>#DIV/0!</v>
      </c>
      <c r="Y173" s="16" t="e">
        <f>$R173/$Q173</f>
        <v>#DIV/0!</v>
      </c>
      <c r="Z173" s="16" t="e">
        <f>$I173/$H173</f>
        <v>#DIV/0!</v>
      </c>
      <c r="AA173" s="16" t="e">
        <f>$K173/$H173</f>
        <v>#DIV/0!</v>
      </c>
      <c r="AB173" s="16">
        <f>($J173*Cp_yd)+($K173*Cp_td)+($L173*Cint)+($M173*Ccar)+($N173*Cr_yd)+($O173*Cr_td)+(Q173*Crec)+($R173*Crec_yd)+($S173*Crec_td)+($T173*Cfmb)+($U173*Ctp_c)</f>
        <v>0</v>
      </c>
    </row>
    <row r="174" spans="1:28" x14ac:dyDescent="0.2">
      <c r="A174" s="15" t="s">
        <v>507</v>
      </c>
      <c r="B174" s="15" t="s">
        <v>43</v>
      </c>
      <c r="C174" s="15">
        <v>24</v>
      </c>
      <c r="D174" s="15">
        <v>3</v>
      </c>
      <c r="E174" s="15" t="s">
        <v>508</v>
      </c>
      <c r="F174" s="15" t="s">
        <v>479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  <c r="O174" s="15">
        <v>0</v>
      </c>
      <c r="P174" s="15">
        <v>0</v>
      </c>
      <c r="Q174" s="15">
        <v>0</v>
      </c>
      <c r="R174" s="15">
        <v>0</v>
      </c>
      <c r="S174" s="15">
        <v>0</v>
      </c>
      <c r="T174" s="15">
        <v>0</v>
      </c>
      <c r="U174" s="15">
        <v>0</v>
      </c>
      <c r="V174" s="15">
        <f>($J174*0.04)+($K174*4)+($L174*-2)+($N174*0.1)+($O174*6)+($Q174)+($R174*0.1)+($S174*6)+($T174*-2)</f>
        <v>0</v>
      </c>
      <c r="W174" s="15" t="e">
        <f>$P174/$H$33</f>
        <v>#DIV/0!</v>
      </c>
      <c r="X174" s="15" t="e">
        <f>$N174/$M174</f>
        <v>#DIV/0!</v>
      </c>
      <c r="Y174" s="15" t="e">
        <f>$R174/$Q174</f>
        <v>#DIV/0!</v>
      </c>
      <c r="Z174" s="15" t="e">
        <f>$I174/$H174</f>
        <v>#DIV/0!</v>
      </c>
      <c r="AA174" s="15" t="e">
        <f>$K174/$H174</f>
        <v>#DIV/0!</v>
      </c>
      <c r="AB174" s="15">
        <f>($J174*Cp_yd)+($K174*Cp_td)+($L174*Cint)+($M174*Ccar)+($N174*Cr_yd)+($O174*Cr_td)+(Q174*Crec)+($R174*Crec_yd)+($S174*Crec_td)+($T174*Cfmb)+($U174*Ctp_c)</f>
        <v>0</v>
      </c>
    </row>
    <row r="175" spans="1:28" x14ac:dyDescent="0.2">
      <c r="A175" s="16" t="s">
        <v>509</v>
      </c>
      <c r="B175" s="16" t="s">
        <v>43</v>
      </c>
      <c r="C175" s="16">
        <v>32</v>
      </c>
      <c r="D175" s="16">
        <v>10</v>
      </c>
      <c r="E175" s="16" t="s">
        <v>66</v>
      </c>
      <c r="F175" s="16" t="s">
        <v>479</v>
      </c>
      <c r="G175" s="16">
        <v>0</v>
      </c>
      <c r="H175" s="16">
        <v>0</v>
      </c>
      <c r="I175" s="16">
        <v>0</v>
      </c>
      <c r="J175" s="16">
        <v>0</v>
      </c>
      <c r="K175" s="16">
        <v>0</v>
      </c>
      <c r="L175" s="16">
        <v>0</v>
      </c>
      <c r="M175" s="16">
        <v>0</v>
      </c>
      <c r="N175" s="16">
        <v>0</v>
      </c>
      <c r="O175" s="16">
        <v>0</v>
      </c>
      <c r="P175" s="16">
        <v>0</v>
      </c>
      <c r="Q175" s="16">
        <v>0</v>
      </c>
      <c r="R175" s="16">
        <v>0</v>
      </c>
      <c r="S175" s="16">
        <v>0</v>
      </c>
      <c r="T175" s="16">
        <v>0</v>
      </c>
      <c r="U175" s="16">
        <v>0</v>
      </c>
      <c r="V175" s="16">
        <f>($J175*0.04)+($K175*4)+($L175*-2)+($N175*0.1)+($O175*6)+($Q175)+($R175*0.1)+($S175*6)+($T175*-2)</f>
        <v>0</v>
      </c>
      <c r="W175" s="16" t="e">
        <f>$P175/$H$33</f>
        <v>#DIV/0!</v>
      </c>
      <c r="X175" s="16" t="e">
        <f>$N175/$M175</f>
        <v>#DIV/0!</v>
      </c>
      <c r="Y175" s="16" t="e">
        <f>$R175/$Q175</f>
        <v>#DIV/0!</v>
      </c>
      <c r="Z175" s="16" t="e">
        <f>$I175/$H175</f>
        <v>#DIV/0!</v>
      </c>
      <c r="AA175" s="16" t="e">
        <f>$K175/$H175</f>
        <v>#DIV/0!</v>
      </c>
      <c r="AB175" s="16">
        <f>($J175*Cp_yd)+($K175*Cp_td)+($L175*Cint)+($M175*Ccar)+($N175*Cr_yd)+($O175*Cr_td)+(Q175*Crec)+($R175*Crec_yd)+($S175*Crec_td)+($T175*Cfmb)+($U175*Ctp_c)</f>
        <v>0</v>
      </c>
    </row>
    <row r="176" spans="1:28" x14ac:dyDescent="0.2">
      <c r="A176" s="15" t="s">
        <v>510</v>
      </c>
      <c r="B176" s="15" t="s">
        <v>43</v>
      </c>
      <c r="C176" s="15">
        <v>30</v>
      </c>
      <c r="D176" s="15">
        <v>8</v>
      </c>
      <c r="E176" s="15" t="s">
        <v>511</v>
      </c>
      <c r="F176" s="15" t="s">
        <v>479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  <c r="O176" s="15">
        <v>0</v>
      </c>
      <c r="P176" s="15">
        <v>0</v>
      </c>
      <c r="Q176" s="15">
        <v>0</v>
      </c>
      <c r="R176" s="15">
        <v>0</v>
      </c>
      <c r="S176" s="15">
        <v>0</v>
      </c>
      <c r="T176" s="15">
        <v>0</v>
      </c>
      <c r="U176" s="15">
        <v>0</v>
      </c>
      <c r="V176" s="15">
        <f>($J176*0.04)+($K176*4)+($L176*-2)+($N176*0.1)+($O176*6)+($Q176)+($R176*0.1)+($S176*6)+($T176*-2)</f>
        <v>0</v>
      </c>
      <c r="W176" s="15" t="e">
        <f>$P176/$H$33</f>
        <v>#DIV/0!</v>
      </c>
      <c r="X176" s="15" t="e">
        <f>$N176/$M176</f>
        <v>#DIV/0!</v>
      </c>
      <c r="Y176" s="15" t="e">
        <f>$R176/$Q176</f>
        <v>#DIV/0!</v>
      </c>
      <c r="Z176" s="15" t="e">
        <f>$I176/$H176</f>
        <v>#DIV/0!</v>
      </c>
      <c r="AA176" s="15" t="e">
        <f>$K176/$H176</f>
        <v>#DIV/0!</v>
      </c>
      <c r="AB176" s="15">
        <f>($J176*Cp_yd)+($K176*Cp_td)+($L176*Cint)+($M176*Ccar)+($N176*Cr_yd)+($O176*Cr_td)+(Q176*Crec)+($R176*Crec_yd)+($S176*Crec_td)+($T176*Cfmb)+($U176*Ctp_c)</f>
        <v>0</v>
      </c>
    </row>
    <row r="177" spans="1:28" x14ac:dyDescent="0.2">
      <c r="A177" s="16" t="s">
        <v>512</v>
      </c>
      <c r="B177" s="16" t="s">
        <v>43</v>
      </c>
      <c r="C177" s="16">
        <v>25</v>
      </c>
      <c r="D177" s="16">
        <v>1</v>
      </c>
      <c r="E177" s="16" t="s">
        <v>397</v>
      </c>
      <c r="F177" s="16" t="s">
        <v>479</v>
      </c>
      <c r="G177" s="16">
        <v>0</v>
      </c>
      <c r="H177" s="16">
        <v>0</v>
      </c>
      <c r="I177" s="16">
        <v>0</v>
      </c>
      <c r="J177" s="16">
        <v>0</v>
      </c>
      <c r="K177" s="16">
        <v>0</v>
      </c>
      <c r="L177" s="16">
        <v>0</v>
      </c>
      <c r="M177" s="16">
        <v>0</v>
      </c>
      <c r="N177" s="16">
        <v>0</v>
      </c>
      <c r="O177" s="16">
        <v>0</v>
      </c>
      <c r="P177" s="16">
        <v>0</v>
      </c>
      <c r="Q177" s="16">
        <v>0</v>
      </c>
      <c r="R177" s="16">
        <v>0</v>
      </c>
      <c r="S177" s="16">
        <v>0</v>
      </c>
      <c r="T177" s="16">
        <v>0</v>
      </c>
      <c r="U177" s="16">
        <v>0</v>
      </c>
      <c r="V177" s="16">
        <f>($J177*0.04)+($K177*4)+($L177*-2)+($N177*0.1)+($O177*6)+($Q177)+($R177*0.1)+($S177*6)+($T177*-2)</f>
        <v>0</v>
      </c>
      <c r="W177" s="16" t="e">
        <f>$P177/$H$33</f>
        <v>#DIV/0!</v>
      </c>
      <c r="X177" s="16" t="e">
        <f>$N177/$M177</f>
        <v>#DIV/0!</v>
      </c>
      <c r="Y177" s="16" t="e">
        <f>$R177/$Q177</f>
        <v>#DIV/0!</v>
      </c>
      <c r="Z177" s="16" t="e">
        <f>$I177/$H177</f>
        <v>#DIV/0!</v>
      </c>
      <c r="AA177" s="16" t="e">
        <f>$K177/$H177</f>
        <v>#DIV/0!</v>
      </c>
      <c r="AB177" s="16">
        <f>($J177*Cp_yd)+($K177*Cp_td)+($L177*Cint)+($M177*Ccar)+($N177*Cr_yd)+($O177*Cr_td)+(Q177*Crec)+($R177*Crec_yd)+($S177*Crec_td)+($T177*Cfmb)+($U177*Ctp_c)</f>
        <v>0</v>
      </c>
    </row>
    <row r="178" spans="1:28" x14ac:dyDescent="0.2">
      <c r="A178" s="15" t="s">
        <v>513</v>
      </c>
      <c r="B178" s="15" t="s">
        <v>43</v>
      </c>
      <c r="C178" s="15">
        <v>23</v>
      </c>
      <c r="D178" s="15">
        <v>3</v>
      </c>
      <c r="E178" s="15" t="s">
        <v>240</v>
      </c>
      <c r="F178" s="15" t="s">
        <v>479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  <c r="O178" s="15">
        <v>0</v>
      </c>
      <c r="P178" s="15">
        <v>0</v>
      </c>
      <c r="Q178" s="15">
        <v>0</v>
      </c>
      <c r="R178" s="15">
        <v>0</v>
      </c>
      <c r="S178" s="15">
        <v>0</v>
      </c>
      <c r="T178" s="15">
        <v>0</v>
      </c>
      <c r="U178" s="15">
        <v>0</v>
      </c>
      <c r="V178" s="15">
        <f>($J178*0.04)+($K178*4)+($L178*-2)+($N178*0.1)+($O178*6)+($Q178)+($R178*0.1)+($S178*6)+($T178*-2)</f>
        <v>0</v>
      </c>
      <c r="W178" s="15" t="e">
        <f>$P178/$H$33</f>
        <v>#DIV/0!</v>
      </c>
      <c r="X178" s="15" t="e">
        <f>$N178/$M178</f>
        <v>#DIV/0!</v>
      </c>
      <c r="Y178" s="15" t="e">
        <f>$R178/$Q178</f>
        <v>#DIV/0!</v>
      </c>
      <c r="Z178" s="15" t="e">
        <f>$I178/$H178</f>
        <v>#DIV/0!</v>
      </c>
      <c r="AA178" s="15" t="e">
        <f>$K178/$H178</f>
        <v>#DIV/0!</v>
      </c>
      <c r="AB178" s="15">
        <f>($J178*Cp_yd)+($K178*Cp_td)+($L178*Cint)+($M178*Ccar)+($N178*Cr_yd)+($O178*Cr_td)+(Q178*Crec)+($R178*Crec_yd)+($S178*Crec_td)+($T178*Cfmb)+($U178*Ctp_c)</f>
        <v>0</v>
      </c>
    </row>
    <row r="179" spans="1:28" x14ac:dyDescent="0.2">
      <c r="A179" s="16" t="s">
        <v>514</v>
      </c>
      <c r="B179" s="16" t="s">
        <v>43</v>
      </c>
      <c r="C179" s="16">
        <v>24</v>
      </c>
      <c r="D179" s="16">
        <v>4</v>
      </c>
      <c r="E179" s="16" t="s">
        <v>105</v>
      </c>
      <c r="F179" s="16" t="s">
        <v>479</v>
      </c>
      <c r="G179" s="16">
        <v>0</v>
      </c>
      <c r="H179" s="16">
        <v>0</v>
      </c>
      <c r="I179" s="16">
        <v>0</v>
      </c>
      <c r="J179" s="16">
        <v>0</v>
      </c>
      <c r="K179" s="16">
        <v>0</v>
      </c>
      <c r="L179" s="16">
        <v>0</v>
      </c>
      <c r="M179" s="16">
        <v>0</v>
      </c>
      <c r="N179" s="16">
        <v>0</v>
      </c>
      <c r="O179" s="16">
        <v>0</v>
      </c>
      <c r="P179" s="16">
        <v>0</v>
      </c>
      <c r="Q179" s="16">
        <v>0</v>
      </c>
      <c r="R179" s="16">
        <v>0</v>
      </c>
      <c r="S179" s="16">
        <v>0</v>
      </c>
      <c r="T179" s="16">
        <v>0</v>
      </c>
      <c r="U179" s="16">
        <v>0</v>
      </c>
      <c r="V179" s="16">
        <f>($J179*0.04)+($K179*4)+($L179*-2)+($N179*0.1)+($O179*6)+($Q179)+($R179*0.1)+($S179*6)+($T179*-2)</f>
        <v>0</v>
      </c>
      <c r="W179" s="16" t="e">
        <f>$P179/$H$33</f>
        <v>#DIV/0!</v>
      </c>
      <c r="X179" s="16" t="e">
        <f>$N179/$M179</f>
        <v>#DIV/0!</v>
      </c>
      <c r="Y179" s="16" t="e">
        <f>$R179/$Q179</f>
        <v>#DIV/0!</v>
      </c>
      <c r="Z179" s="16" t="e">
        <f>$I179/$H179</f>
        <v>#DIV/0!</v>
      </c>
      <c r="AA179" s="16" t="e">
        <f>$K179/$H179</f>
        <v>#DIV/0!</v>
      </c>
      <c r="AB179" s="16">
        <f>($J179*Cp_yd)+($K179*Cp_td)+($L179*Cint)+($M179*Ccar)+($N179*Cr_yd)+($O179*Cr_td)+(Q179*Crec)+($R179*Crec_yd)+($S179*Crec_td)+($T179*Cfmb)+($U179*Ctp_c)</f>
        <v>0</v>
      </c>
    </row>
    <row r="180" spans="1:28" x14ac:dyDescent="0.2">
      <c r="A180" s="15" t="s">
        <v>515</v>
      </c>
      <c r="B180" s="15" t="s">
        <v>43</v>
      </c>
      <c r="C180" s="15">
        <v>22</v>
      </c>
      <c r="D180" s="15">
        <v>3</v>
      </c>
      <c r="E180" s="15" t="s">
        <v>464</v>
      </c>
      <c r="F180" s="15" t="s">
        <v>479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  <c r="O180" s="15">
        <v>0</v>
      </c>
      <c r="P180" s="15">
        <v>0</v>
      </c>
      <c r="Q180" s="15">
        <v>0</v>
      </c>
      <c r="R180" s="15">
        <v>0</v>
      </c>
      <c r="S180" s="15">
        <v>0</v>
      </c>
      <c r="T180" s="15">
        <v>0</v>
      </c>
      <c r="U180" s="15">
        <v>0</v>
      </c>
      <c r="V180" s="15">
        <f>($J180*0.04)+($K180*4)+($L180*-2)+($N180*0.1)+($O180*6)+($Q180)+($R180*0.1)+($S180*6)+($T180*-2)</f>
        <v>0</v>
      </c>
      <c r="W180" s="15" t="e">
        <f>$P180/$H$33</f>
        <v>#DIV/0!</v>
      </c>
      <c r="X180" s="15" t="e">
        <f>$N180/$M180</f>
        <v>#DIV/0!</v>
      </c>
      <c r="Y180" s="15" t="e">
        <f>$R180/$Q180</f>
        <v>#DIV/0!</v>
      </c>
      <c r="Z180" s="15" t="e">
        <f>$I180/$H180</f>
        <v>#DIV/0!</v>
      </c>
      <c r="AA180" s="15" t="e">
        <f>$K180/$H180</f>
        <v>#DIV/0!</v>
      </c>
      <c r="AB180" s="15">
        <f>($J180*Cp_yd)+($K180*Cp_td)+($L180*Cint)+($M180*Ccar)+($N180*Cr_yd)+($O180*Cr_td)+(Q180*Crec)+($R180*Crec_yd)+($S180*Crec_td)+($T180*Cfmb)+($U180*Ctp_c)</f>
        <v>0</v>
      </c>
    </row>
    <row r="181" spans="1:28" x14ac:dyDescent="0.2">
      <c r="A181" s="16" t="s">
        <v>516</v>
      </c>
      <c r="B181" s="16" t="s">
        <v>43</v>
      </c>
      <c r="C181" s="16">
        <v>23</v>
      </c>
      <c r="D181" s="16">
        <v>0</v>
      </c>
      <c r="E181" s="16" t="s">
        <v>143</v>
      </c>
      <c r="F181" s="16" t="s">
        <v>479</v>
      </c>
      <c r="G181" s="16">
        <v>0</v>
      </c>
      <c r="H181" s="16">
        <v>0</v>
      </c>
      <c r="I181" s="16">
        <v>0</v>
      </c>
      <c r="J181" s="16">
        <v>0</v>
      </c>
      <c r="K181" s="16">
        <v>0</v>
      </c>
      <c r="L181" s="16">
        <v>0</v>
      </c>
      <c r="M181" s="16">
        <v>0</v>
      </c>
      <c r="N181" s="16">
        <v>0</v>
      </c>
      <c r="O181" s="16">
        <v>0</v>
      </c>
      <c r="P181" s="16">
        <v>0</v>
      </c>
      <c r="Q181" s="16">
        <v>0</v>
      </c>
      <c r="R181" s="16">
        <v>0</v>
      </c>
      <c r="S181" s="16">
        <v>0</v>
      </c>
      <c r="T181" s="16">
        <v>0</v>
      </c>
      <c r="U181" s="16">
        <v>0</v>
      </c>
      <c r="V181" s="16">
        <f>($J181*0.04)+($K181*4)+($L181*-2)+($N181*0.1)+($O181*6)+($Q181)+($R181*0.1)+($S181*6)+($T181*-2)</f>
        <v>0</v>
      </c>
      <c r="W181" s="16" t="e">
        <f>$P181/$H$33</f>
        <v>#DIV/0!</v>
      </c>
      <c r="X181" s="16" t="e">
        <f>$N181/$M181</f>
        <v>#DIV/0!</v>
      </c>
      <c r="Y181" s="16" t="e">
        <f>$R181/$Q181</f>
        <v>#DIV/0!</v>
      </c>
      <c r="Z181" s="16" t="e">
        <f>$I181/$H181</f>
        <v>#DIV/0!</v>
      </c>
      <c r="AA181" s="16" t="e">
        <f>$K181/$H181</f>
        <v>#DIV/0!</v>
      </c>
      <c r="AB181" s="16">
        <f>($J181*Cp_yd)+($K181*Cp_td)+($L181*Cint)+($M181*Ccar)+($N181*Cr_yd)+($O181*Cr_td)+(Q181*Crec)+($R181*Crec_yd)+($S181*Crec_td)+($T181*Cfmb)+($U181*Ctp_c)</f>
        <v>0</v>
      </c>
    </row>
    <row r="182" spans="1:28" x14ac:dyDescent="0.2">
      <c r="A182" s="15" t="s">
        <v>517</v>
      </c>
      <c r="B182" s="15" t="s">
        <v>43</v>
      </c>
      <c r="C182" s="15">
        <v>25</v>
      </c>
      <c r="D182" s="15">
        <v>1</v>
      </c>
      <c r="E182" s="15" t="s">
        <v>335</v>
      </c>
      <c r="F182" s="15" t="s">
        <v>479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  <c r="O182" s="15">
        <v>0</v>
      </c>
      <c r="P182" s="15">
        <v>0</v>
      </c>
      <c r="Q182" s="15">
        <v>0</v>
      </c>
      <c r="R182" s="15">
        <v>0</v>
      </c>
      <c r="S182" s="15">
        <v>0</v>
      </c>
      <c r="T182" s="15">
        <v>0</v>
      </c>
      <c r="U182" s="15">
        <v>0</v>
      </c>
      <c r="V182" s="15">
        <f>($J182*0.04)+($K182*4)+($L182*-2)+($N182*0.1)+($O182*6)+($Q182)+($R182*0.1)+($S182*6)+($T182*-2)</f>
        <v>0</v>
      </c>
      <c r="W182" s="15" t="e">
        <f>$P182/$H$33</f>
        <v>#DIV/0!</v>
      </c>
      <c r="X182" s="15" t="e">
        <f>$N182/$M182</f>
        <v>#DIV/0!</v>
      </c>
      <c r="Y182" s="15" t="e">
        <f>$R182/$Q182</f>
        <v>#DIV/0!</v>
      </c>
      <c r="Z182" s="15" t="e">
        <f>$I182/$H182</f>
        <v>#DIV/0!</v>
      </c>
      <c r="AA182" s="15" t="e">
        <f>$K182/$H182</f>
        <v>#DIV/0!</v>
      </c>
      <c r="AB182" s="15">
        <f>($J182*Cp_yd)+($K182*Cp_td)+($L182*Cint)+($M182*Ccar)+($N182*Cr_yd)+($O182*Cr_td)+(Q182*Crec)+($R182*Crec_yd)+($S182*Crec_td)+($T182*Cfmb)+($U182*Ctp_c)</f>
        <v>0</v>
      </c>
    </row>
    <row r="183" spans="1:28" x14ac:dyDescent="0.2">
      <c r="A183" s="16" t="s">
        <v>518</v>
      </c>
      <c r="B183" s="16" t="s">
        <v>43</v>
      </c>
      <c r="C183" s="16">
        <v>24</v>
      </c>
      <c r="D183" s="16">
        <v>1</v>
      </c>
      <c r="E183" s="16" t="s">
        <v>519</v>
      </c>
      <c r="F183" s="16" t="s">
        <v>479</v>
      </c>
      <c r="G183" s="16">
        <v>0</v>
      </c>
      <c r="H183" s="16">
        <v>0</v>
      </c>
      <c r="I183" s="16">
        <v>0</v>
      </c>
      <c r="J183" s="16">
        <v>0</v>
      </c>
      <c r="K183" s="16">
        <v>0</v>
      </c>
      <c r="L183" s="16">
        <v>0</v>
      </c>
      <c r="M183" s="16">
        <v>0</v>
      </c>
      <c r="N183" s="16">
        <v>0</v>
      </c>
      <c r="O183" s="16">
        <v>0</v>
      </c>
      <c r="P183" s="16">
        <v>0</v>
      </c>
      <c r="Q183" s="16">
        <v>0</v>
      </c>
      <c r="R183" s="16">
        <v>0</v>
      </c>
      <c r="S183" s="16">
        <v>0</v>
      </c>
      <c r="T183" s="16">
        <v>0</v>
      </c>
      <c r="U183" s="16">
        <v>0</v>
      </c>
      <c r="V183" s="16">
        <f>($J183*0.04)+($K183*4)+($L183*-2)+($N183*0.1)+($O183*6)+($Q183)+($R183*0.1)+($S183*6)+($T183*-2)</f>
        <v>0</v>
      </c>
      <c r="W183" s="16" t="e">
        <f>$P183/$H$33</f>
        <v>#DIV/0!</v>
      </c>
      <c r="X183" s="16" t="e">
        <f>$N183/$M183</f>
        <v>#DIV/0!</v>
      </c>
      <c r="Y183" s="16" t="e">
        <f>$R183/$Q183</f>
        <v>#DIV/0!</v>
      </c>
      <c r="Z183" s="16" t="e">
        <f>$I183/$H183</f>
        <v>#DIV/0!</v>
      </c>
      <c r="AA183" s="16" t="e">
        <f>$K183/$H183</f>
        <v>#DIV/0!</v>
      </c>
      <c r="AB183" s="16">
        <f>($J183*Cp_yd)+($K183*Cp_td)+($L183*Cint)+($M183*Ccar)+($N183*Cr_yd)+($O183*Cr_td)+(Q183*Crec)+($R183*Crec_yd)+($S183*Crec_td)+($T183*Cfmb)+($U183*Ctp_c)</f>
        <v>0</v>
      </c>
    </row>
    <row r="184" spans="1:28" x14ac:dyDescent="0.2">
      <c r="A184" s="15" t="s">
        <v>521</v>
      </c>
      <c r="B184" s="15" t="s">
        <v>38</v>
      </c>
      <c r="C184" s="15">
        <v>31</v>
      </c>
      <c r="D184" s="15">
        <v>6</v>
      </c>
      <c r="E184" s="15" t="s">
        <v>282</v>
      </c>
      <c r="F184" s="15" t="s">
        <v>479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  <c r="O184" s="15">
        <v>0</v>
      </c>
      <c r="P184" s="15">
        <v>0</v>
      </c>
      <c r="Q184" s="15">
        <v>0</v>
      </c>
      <c r="R184" s="15">
        <v>0</v>
      </c>
      <c r="S184" s="15">
        <v>0</v>
      </c>
      <c r="T184" s="15">
        <v>0</v>
      </c>
      <c r="U184" s="15">
        <v>0</v>
      </c>
      <c r="V184" s="15">
        <f>($J184*0.04)+($K184*4)+($L184*-2)+($N184*0.1)+($O184*6)+($Q184)+($R184*0.1)+($S184*6)+($T184*-2)</f>
        <v>0</v>
      </c>
      <c r="W184" s="15" t="e">
        <f>$P184/$H$33</f>
        <v>#DIV/0!</v>
      </c>
      <c r="X184" s="15" t="e">
        <f>$N184/$M184</f>
        <v>#DIV/0!</v>
      </c>
      <c r="Y184" s="15" t="e">
        <f>$R184/$Q184</f>
        <v>#DIV/0!</v>
      </c>
      <c r="Z184" s="15" t="e">
        <f>$I184/$H184</f>
        <v>#DIV/0!</v>
      </c>
      <c r="AA184" s="15" t="e">
        <f>$K184/$H184</f>
        <v>#DIV/0!</v>
      </c>
      <c r="AB184" s="15">
        <f>($J184*Cp_yd)+($K184*Cp_td)+($L184*Cint)+($M184*Ccar)+($N184*Cr_yd)+($O184*Cr_td)+(Q184*Crec)+($R184*Crec_yd)+($S184*Crec_td)+($T184*Cfmb)+($U184*Ctp_c)</f>
        <v>0</v>
      </c>
    </row>
    <row r="185" spans="1:28" x14ac:dyDescent="0.2">
      <c r="A185" s="16" t="s">
        <v>522</v>
      </c>
      <c r="B185" s="16" t="s">
        <v>38</v>
      </c>
      <c r="C185" s="16">
        <v>25</v>
      </c>
      <c r="D185" s="16">
        <v>4</v>
      </c>
      <c r="E185" s="16" t="s">
        <v>523</v>
      </c>
      <c r="F185" s="16" t="s">
        <v>479</v>
      </c>
      <c r="G185" s="16">
        <v>0</v>
      </c>
      <c r="H185" s="16">
        <v>0</v>
      </c>
      <c r="I185" s="16">
        <v>0</v>
      </c>
      <c r="J185" s="16">
        <v>0</v>
      </c>
      <c r="K185" s="16">
        <v>0</v>
      </c>
      <c r="L185" s="16">
        <v>0</v>
      </c>
      <c r="M185" s="16">
        <v>0</v>
      </c>
      <c r="N185" s="16">
        <v>0</v>
      </c>
      <c r="O185" s="16">
        <v>0</v>
      </c>
      <c r="P185" s="16">
        <v>0</v>
      </c>
      <c r="Q185" s="16">
        <v>0</v>
      </c>
      <c r="R185" s="16">
        <v>0</v>
      </c>
      <c r="S185" s="16">
        <v>0</v>
      </c>
      <c r="T185" s="16">
        <v>0</v>
      </c>
      <c r="U185" s="16">
        <v>0</v>
      </c>
      <c r="V185" s="16">
        <f>($J185*0.04)+($K185*4)+($L185*-2)+($N185*0.1)+($O185*6)+($Q185)+($R185*0.1)+($S185*6)+($T185*-2)</f>
        <v>0</v>
      </c>
      <c r="W185" s="16" t="e">
        <f>$P185/$H$33</f>
        <v>#DIV/0!</v>
      </c>
      <c r="X185" s="16" t="e">
        <f>$N185/$M185</f>
        <v>#DIV/0!</v>
      </c>
      <c r="Y185" s="16" t="e">
        <f>$R185/$Q185</f>
        <v>#DIV/0!</v>
      </c>
      <c r="Z185" s="16" t="e">
        <f>$I185/$H185</f>
        <v>#DIV/0!</v>
      </c>
      <c r="AA185" s="16" t="e">
        <f>$K185/$H185</f>
        <v>#DIV/0!</v>
      </c>
      <c r="AB185" s="16">
        <f>($J185*Cp_yd)+($K185*Cp_td)+($L185*Cint)+($M185*Ccar)+($N185*Cr_yd)+($O185*Cr_td)+(Q185*Crec)+($R185*Crec_yd)+($S185*Crec_td)+($T185*Cfmb)+($U185*Ctp_c)</f>
        <v>0</v>
      </c>
    </row>
    <row r="186" spans="1:28" x14ac:dyDescent="0.2">
      <c r="A186" s="15" t="s">
        <v>524</v>
      </c>
      <c r="B186" s="15" t="s">
        <v>38</v>
      </c>
      <c r="C186" s="15">
        <v>25</v>
      </c>
      <c r="D186" s="15">
        <v>3</v>
      </c>
      <c r="E186" s="15" t="s">
        <v>153</v>
      </c>
      <c r="F186" s="15" t="s">
        <v>479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  <c r="O186" s="15">
        <v>0</v>
      </c>
      <c r="P186" s="15">
        <v>0</v>
      </c>
      <c r="Q186" s="15">
        <v>0</v>
      </c>
      <c r="R186" s="15">
        <v>0</v>
      </c>
      <c r="S186" s="15">
        <v>0</v>
      </c>
      <c r="T186" s="15">
        <v>0</v>
      </c>
      <c r="U186" s="15">
        <v>0</v>
      </c>
      <c r="V186" s="15">
        <f>($J186*0.04)+($K186*4)+($L186*-2)+($N186*0.1)+($O186*6)+($Q186)+($R186*0.1)+($S186*6)+($T186*-2)</f>
        <v>0</v>
      </c>
      <c r="W186" s="15" t="e">
        <f>$P186/$H$33</f>
        <v>#DIV/0!</v>
      </c>
      <c r="X186" s="15" t="e">
        <f>$N186/$M186</f>
        <v>#DIV/0!</v>
      </c>
      <c r="Y186" s="15" t="e">
        <f>$R186/$Q186</f>
        <v>#DIV/0!</v>
      </c>
      <c r="Z186" s="15" t="e">
        <f>$I186/$H186</f>
        <v>#DIV/0!</v>
      </c>
      <c r="AA186" s="15" t="e">
        <f>$K186/$H186</f>
        <v>#DIV/0!</v>
      </c>
      <c r="AB186" s="15">
        <f>($J186*Cp_yd)+($K186*Cp_td)+($L186*Cint)+($M186*Ccar)+($N186*Cr_yd)+($O186*Cr_td)+(Q186*Crec)+($R186*Crec_yd)+($S186*Crec_td)+($T186*Cfmb)+($U186*Ctp_c)</f>
        <v>0</v>
      </c>
    </row>
    <row r="187" spans="1:28" x14ac:dyDescent="0.2">
      <c r="A187" s="16" t="s">
        <v>525</v>
      </c>
      <c r="B187" s="16" t="s">
        <v>38</v>
      </c>
      <c r="C187" s="16">
        <v>25</v>
      </c>
      <c r="D187" s="16">
        <v>0</v>
      </c>
      <c r="E187" s="16" t="s">
        <v>526</v>
      </c>
      <c r="F187" s="16" t="s">
        <v>479</v>
      </c>
      <c r="G187" s="16">
        <v>0</v>
      </c>
      <c r="H187" s="16">
        <v>0</v>
      </c>
      <c r="I187" s="16">
        <v>0</v>
      </c>
      <c r="J187" s="16">
        <v>0</v>
      </c>
      <c r="K187" s="16">
        <v>0</v>
      </c>
      <c r="L187" s="16">
        <v>0</v>
      </c>
      <c r="M187" s="16">
        <v>0</v>
      </c>
      <c r="N187" s="16">
        <v>0</v>
      </c>
      <c r="O187" s="16">
        <v>0</v>
      </c>
      <c r="P187" s="16">
        <v>0</v>
      </c>
      <c r="Q187" s="16">
        <v>0</v>
      </c>
      <c r="R187" s="16">
        <v>0</v>
      </c>
      <c r="S187" s="16">
        <v>0</v>
      </c>
      <c r="T187" s="16">
        <v>0</v>
      </c>
      <c r="U187" s="16">
        <v>0</v>
      </c>
      <c r="V187" s="16">
        <f>($J187*0.04)+($K187*4)+($L187*-2)+($N187*0.1)+($O187*6)+($Q187)+($R187*0.1)+($S187*6)+($T187*-2)</f>
        <v>0</v>
      </c>
      <c r="W187" s="16" t="e">
        <f>$P187/$H$33</f>
        <v>#DIV/0!</v>
      </c>
      <c r="X187" s="16" t="e">
        <f>$N187/$M187</f>
        <v>#DIV/0!</v>
      </c>
      <c r="Y187" s="16" t="e">
        <f>$R187/$Q187</f>
        <v>#DIV/0!</v>
      </c>
      <c r="Z187" s="16" t="e">
        <f>$I187/$H187</f>
        <v>#DIV/0!</v>
      </c>
      <c r="AA187" s="16" t="e">
        <f>$K187/$H187</f>
        <v>#DIV/0!</v>
      </c>
      <c r="AB187" s="16">
        <f>($J187*Cp_yd)+($K187*Cp_td)+($L187*Cint)+($M187*Ccar)+($N187*Cr_yd)+($O187*Cr_td)+(Q187*Crec)+($R187*Crec_yd)+($S187*Crec_td)+($T187*Cfmb)+($U187*Ctp_c)</f>
        <v>0</v>
      </c>
    </row>
    <row r="188" spans="1:28" x14ac:dyDescent="0.2">
      <c r="A188" s="15" t="s">
        <v>527</v>
      </c>
      <c r="B188" s="15" t="s">
        <v>38</v>
      </c>
      <c r="C188" s="15">
        <v>23</v>
      </c>
      <c r="D188" s="15">
        <v>1</v>
      </c>
      <c r="E188" s="15" t="s">
        <v>523</v>
      </c>
      <c r="F188" s="15" t="s">
        <v>479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  <c r="O188" s="15">
        <v>0</v>
      </c>
      <c r="P188" s="15">
        <v>0</v>
      </c>
      <c r="Q188" s="15">
        <v>0</v>
      </c>
      <c r="R188" s="15">
        <v>0</v>
      </c>
      <c r="S188" s="15">
        <v>0</v>
      </c>
      <c r="T188" s="15">
        <v>0</v>
      </c>
      <c r="U188" s="15">
        <v>0</v>
      </c>
      <c r="V188" s="15">
        <f>($J188*0.04)+($K188*4)+($L188*-2)+($N188*0.1)+($O188*6)+($Q188)+($R188*0.1)+($S188*6)+($T188*-2)</f>
        <v>0</v>
      </c>
      <c r="W188" s="15" t="e">
        <f>$P188/$H$33</f>
        <v>#DIV/0!</v>
      </c>
      <c r="X188" s="15" t="e">
        <f>$N188/$M188</f>
        <v>#DIV/0!</v>
      </c>
      <c r="Y188" s="15" t="e">
        <f>$R188/$Q188</f>
        <v>#DIV/0!</v>
      </c>
      <c r="Z188" s="15" t="e">
        <f>$I188/$H188</f>
        <v>#DIV/0!</v>
      </c>
      <c r="AA188" s="15" t="e">
        <f>$K188/$H188</f>
        <v>#DIV/0!</v>
      </c>
      <c r="AB188" s="15">
        <f>($J188*Cp_yd)+($K188*Cp_td)+($L188*Cint)+($M188*Ccar)+($N188*Cr_yd)+($O188*Cr_td)+(Q188*Crec)+($R188*Crec_yd)+($S188*Crec_td)+($T188*Cfmb)+($U188*Ctp_c)</f>
        <v>0</v>
      </c>
    </row>
    <row r="189" spans="1:28" x14ac:dyDescent="0.2">
      <c r="A189" s="16" t="s">
        <v>547</v>
      </c>
      <c r="B189" s="16" t="s">
        <v>26</v>
      </c>
      <c r="C189" s="16">
        <v>28</v>
      </c>
      <c r="D189" s="16">
        <v>5</v>
      </c>
      <c r="E189" s="16" t="s">
        <v>344</v>
      </c>
      <c r="F189" s="16" t="s">
        <v>530</v>
      </c>
      <c r="G189" s="16">
        <v>0</v>
      </c>
      <c r="H189" s="16">
        <v>0</v>
      </c>
      <c r="I189" s="16">
        <v>0</v>
      </c>
      <c r="J189" s="16">
        <v>0</v>
      </c>
      <c r="K189" s="16">
        <v>0</v>
      </c>
      <c r="L189" s="16">
        <v>0</v>
      </c>
      <c r="M189" s="16">
        <v>0</v>
      </c>
      <c r="N189" s="16">
        <v>0</v>
      </c>
      <c r="O189" s="16">
        <v>0</v>
      </c>
      <c r="P189" s="16">
        <v>0</v>
      </c>
      <c r="Q189" s="16">
        <v>0</v>
      </c>
      <c r="R189" s="16">
        <v>0</v>
      </c>
      <c r="S189" s="16">
        <v>0</v>
      </c>
      <c r="T189" s="16">
        <v>0</v>
      </c>
      <c r="U189" s="16">
        <v>0</v>
      </c>
      <c r="V189" s="16">
        <f>($J189*0.04)+($K189*4)+($L189*-2)+($N189*0.1)+($O189*6)+($Q189)+($R189*0.1)+($S189*6)+($T189*-2)</f>
        <v>0</v>
      </c>
      <c r="W189" s="16" t="e">
        <f>$P189/$H$33</f>
        <v>#DIV/0!</v>
      </c>
      <c r="X189" s="16" t="e">
        <f>$N189/$M189</f>
        <v>#DIV/0!</v>
      </c>
      <c r="Y189" s="16" t="e">
        <f>$R189/$Q189</f>
        <v>#DIV/0!</v>
      </c>
      <c r="Z189" s="16" t="e">
        <f>$I189/$H189</f>
        <v>#DIV/0!</v>
      </c>
      <c r="AA189" s="16" t="e">
        <f>$K189/$H189</f>
        <v>#DIV/0!</v>
      </c>
      <c r="AB189" s="16">
        <f>($J189*Cp_yd)+($K189*Cp_td)+($L189*Cint)+($M189*Ccar)+($N189*Cr_yd)+($O189*Cr_td)+(Q189*Crec)+($R189*Crec_yd)+($S189*Crec_td)+($T189*Cfmb)+($U189*Ctp_c)</f>
        <v>0</v>
      </c>
    </row>
    <row r="190" spans="1:28" x14ac:dyDescent="0.2">
      <c r="A190" s="15" t="s">
        <v>548</v>
      </c>
      <c r="B190" s="15" t="s">
        <v>26</v>
      </c>
      <c r="C190" s="15">
        <v>30</v>
      </c>
      <c r="D190" s="15">
        <v>8</v>
      </c>
      <c r="E190" s="15" t="s">
        <v>549</v>
      </c>
      <c r="F190" s="15" t="s">
        <v>530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  <c r="O190" s="15">
        <v>0</v>
      </c>
      <c r="P190" s="15">
        <v>0</v>
      </c>
      <c r="Q190" s="15">
        <v>0</v>
      </c>
      <c r="R190" s="15">
        <v>0</v>
      </c>
      <c r="S190" s="15">
        <v>0</v>
      </c>
      <c r="T190" s="15">
        <v>0</v>
      </c>
      <c r="U190" s="15">
        <v>0</v>
      </c>
      <c r="V190" s="15">
        <f>($J190*0.04)+($K190*4)+($L190*-2)+($N190*0.1)+($O190*6)+($Q190)+($R190*0.1)+($S190*6)+($T190*-2)</f>
        <v>0</v>
      </c>
      <c r="W190" s="15" t="e">
        <f>$P190/$H$33</f>
        <v>#DIV/0!</v>
      </c>
      <c r="X190" s="15" t="e">
        <f>$N190/$M190</f>
        <v>#DIV/0!</v>
      </c>
      <c r="Y190" s="15" t="e">
        <f>$R190/$Q190</f>
        <v>#DIV/0!</v>
      </c>
      <c r="Z190" s="15" t="e">
        <f>$I190/$H190</f>
        <v>#DIV/0!</v>
      </c>
      <c r="AA190" s="15" t="e">
        <f>$K190/$H190</f>
        <v>#DIV/0!</v>
      </c>
      <c r="AB190" s="15">
        <f>($J190*Cp_yd)+($K190*Cp_td)+($L190*Cint)+($M190*Ccar)+($N190*Cr_yd)+($O190*Cr_td)+(Q190*Crec)+($R190*Crec_yd)+($S190*Crec_td)+($T190*Cfmb)+($U190*Ctp_c)</f>
        <v>0</v>
      </c>
    </row>
    <row r="191" spans="1:28" x14ac:dyDescent="0.2">
      <c r="A191" s="16" t="s">
        <v>551</v>
      </c>
      <c r="B191" s="16" t="s">
        <v>31</v>
      </c>
      <c r="C191" s="16">
        <v>24</v>
      </c>
      <c r="D191" s="16">
        <v>2</v>
      </c>
      <c r="E191" s="16" t="s">
        <v>178</v>
      </c>
      <c r="F191" s="16" t="s">
        <v>530</v>
      </c>
      <c r="G191" s="16">
        <v>0</v>
      </c>
      <c r="H191" s="16">
        <v>0</v>
      </c>
      <c r="I191" s="16">
        <v>0</v>
      </c>
      <c r="J191" s="16">
        <v>0</v>
      </c>
      <c r="K191" s="16">
        <v>0</v>
      </c>
      <c r="L191" s="16">
        <v>0</v>
      </c>
      <c r="M191" s="16">
        <v>0</v>
      </c>
      <c r="N191" s="16">
        <v>0</v>
      </c>
      <c r="O191" s="16">
        <v>0</v>
      </c>
      <c r="P191" s="16">
        <v>0</v>
      </c>
      <c r="Q191" s="16">
        <v>0</v>
      </c>
      <c r="R191" s="16">
        <v>0</v>
      </c>
      <c r="S191" s="16">
        <v>0</v>
      </c>
      <c r="T191" s="16">
        <v>0</v>
      </c>
      <c r="U191" s="16">
        <v>0</v>
      </c>
      <c r="V191" s="16">
        <f>($J191*0.04)+($K191*4)+($L191*-2)+($N191*0.1)+($O191*6)+($Q191)+($R191*0.1)+($S191*6)+($T191*-2)</f>
        <v>0</v>
      </c>
      <c r="W191" s="16" t="e">
        <f>$P191/$H$33</f>
        <v>#DIV/0!</v>
      </c>
      <c r="X191" s="16" t="e">
        <f>$N191/$M191</f>
        <v>#DIV/0!</v>
      </c>
      <c r="Y191" s="16" t="e">
        <f>$R191/$Q191</f>
        <v>#DIV/0!</v>
      </c>
      <c r="Z191" s="16" t="e">
        <f>$I191/$H191</f>
        <v>#DIV/0!</v>
      </c>
      <c r="AA191" s="16" t="e">
        <f>$K191/$H191</f>
        <v>#DIV/0!</v>
      </c>
      <c r="AB191" s="16">
        <f>($J191*Cp_yd)+($K191*Cp_td)+($L191*Cint)+($M191*Ccar)+($N191*Cr_yd)+($O191*Cr_td)+(Q191*Crec)+($R191*Crec_yd)+($S191*Crec_td)+($T191*Cfmb)+($U191*Ctp_c)</f>
        <v>0</v>
      </c>
    </row>
    <row r="192" spans="1:28" x14ac:dyDescent="0.2">
      <c r="A192" s="15" t="s">
        <v>552</v>
      </c>
      <c r="B192" s="15" t="s">
        <v>31</v>
      </c>
      <c r="C192" s="15">
        <v>25</v>
      </c>
      <c r="D192" s="15">
        <v>4</v>
      </c>
      <c r="E192" s="15" t="s">
        <v>341</v>
      </c>
      <c r="F192" s="15" t="s">
        <v>530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  <c r="O192" s="15">
        <v>0</v>
      </c>
      <c r="P192" s="15">
        <v>0</v>
      </c>
      <c r="Q192" s="15">
        <v>0</v>
      </c>
      <c r="R192" s="15">
        <v>0</v>
      </c>
      <c r="S192" s="15">
        <v>0</v>
      </c>
      <c r="T192" s="15">
        <v>0</v>
      </c>
      <c r="U192" s="15">
        <v>0</v>
      </c>
      <c r="V192" s="15">
        <f>($J192*0.04)+($K192*4)+($L192*-2)+($N192*0.1)+($O192*6)+($Q192)+($R192*0.1)+($S192*6)+($T192*-2)</f>
        <v>0</v>
      </c>
      <c r="W192" s="15" t="e">
        <f>$P192/$H$33</f>
        <v>#DIV/0!</v>
      </c>
      <c r="X192" s="15" t="e">
        <f>$N192/$M192</f>
        <v>#DIV/0!</v>
      </c>
      <c r="Y192" s="15" t="e">
        <f>$R192/$Q192</f>
        <v>#DIV/0!</v>
      </c>
      <c r="Z192" s="15" t="e">
        <f>$I192/$H192</f>
        <v>#DIV/0!</v>
      </c>
      <c r="AA192" s="15" t="e">
        <f>$K192/$H192</f>
        <v>#DIV/0!</v>
      </c>
      <c r="AB192" s="15">
        <f>($J192*Cp_yd)+($K192*Cp_td)+($L192*Cint)+($M192*Ccar)+($N192*Cr_yd)+($O192*Cr_td)+(Q192*Crec)+($R192*Crec_yd)+($S192*Crec_td)+($T192*Cfmb)+($U192*Ctp_c)</f>
        <v>0</v>
      </c>
    </row>
    <row r="193" spans="1:28" x14ac:dyDescent="0.2">
      <c r="A193" s="16" t="s">
        <v>553</v>
      </c>
      <c r="B193" s="16" t="s">
        <v>31</v>
      </c>
      <c r="C193" s="16">
        <v>26</v>
      </c>
      <c r="D193" s="16">
        <v>6</v>
      </c>
      <c r="E193" s="16" t="s">
        <v>78</v>
      </c>
      <c r="F193" s="16" t="s">
        <v>530</v>
      </c>
      <c r="G193" s="16">
        <v>0</v>
      </c>
      <c r="H193" s="16">
        <v>0</v>
      </c>
      <c r="I193" s="16">
        <v>0</v>
      </c>
      <c r="J193" s="16">
        <v>0</v>
      </c>
      <c r="K193" s="16">
        <v>0</v>
      </c>
      <c r="L193" s="16">
        <v>0</v>
      </c>
      <c r="M193" s="16">
        <v>0</v>
      </c>
      <c r="N193" s="16">
        <v>0</v>
      </c>
      <c r="O193" s="16">
        <v>0</v>
      </c>
      <c r="P193" s="16">
        <v>0</v>
      </c>
      <c r="Q193" s="16">
        <v>0</v>
      </c>
      <c r="R193" s="16">
        <v>0</v>
      </c>
      <c r="S193" s="16">
        <v>0</v>
      </c>
      <c r="T193" s="16">
        <v>0</v>
      </c>
      <c r="U193" s="16">
        <v>0</v>
      </c>
      <c r="V193" s="16">
        <f>($J193*0.04)+($K193*4)+($L193*-2)+($N193*0.1)+($O193*6)+($Q193)+($R193*0.1)+($S193*6)+($T193*-2)</f>
        <v>0</v>
      </c>
      <c r="W193" s="16" t="e">
        <f>$P193/$H$33</f>
        <v>#DIV/0!</v>
      </c>
      <c r="X193" s="16" t="e">
        <f>$N193/$M193</f>
        <v>#DIV/0!</v>
      </c>
      <c r="Y193" s="16" t="e">
        <f>$R193/$Q193</f>
        <v>#DIV/0!</v>
      </c>
      <c r="Z193" s="16" t="e">
        <f>$I193/$H193</f>
        <v>#DIV/0!</v>
      </c>
      <c r="AA193" s="16" t="e">
        <f>$K193/$H193</f>
        <v>#DIV/0!</v>
      </c>
      <c r="AB193" s="16">
        <f>($J193*Cp_yd)+($K193*Cp_td)+($L193*Cint)+($M193*Ccar)+($N193*Cr_yd)+($O193*Cr_td)+(Q193*Crec)+($R193*Crec_yd)+($S193*Crec_td)+($T193*Cfmb)+($U193*Ctp_c)</f>
        <v>0</v>
      </c>
    </row>
    <row r="194" spans="1:28" x14ac:dyDescent="0.2">
      <c r="A194" s="15" t="s">
        <v>554</v>
      </c>
      <c r="B194" s="15" t="s">
        <v>31</v>
      </c>
      <c r="C194" s="15">
        <v>23</v>
      </c>
      <c r="D194" s="15">
        <v>0</v>
      </c>
      <c r="E194" s="15" t="s">
        <v>555</v>
      </c>
      <c r="F194" s="15" t="s">
        <v>530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  <c r="O194" s="15">
        <v>0</v>
      </c>
      <c r="P194" s="15">
        <v>0</v>
      </c>
      <c r="Q194" s="15">
        <v>0</v>
      </c>
      <c r="R194" s="15">
        <v>0</v>
      </c>
      <c r="S194" s="15">
        <v>0</v>
      </c>
      <c r="T194" s="15">
        <v>0</v>
      </c>
      <c r="U194" s="15">
        <v>0</v>
      </c>
      <c r="V194" s="15">
        <f>($J194*0.04)+($K194*4)+($L194*-2)+($N194*0.1)+($O194*6)+($Q194)+($R194*0.1)+($S194*6)+($T194*-2)</f>
        <v>0</v>
      </c>
      <c r="W194" s="15" t="e">
        <f>$P194/$H$33</f>
        <v>#DIV/0!</v>
      </c>
      <c r="X194" s="15" t="e">
        <f>$N194/$M194</f>
        <v>#DIV/0!</v>
      </c>
      <c r="Y194" s="15" t="e">
        <f>$R194/$Q194</f>
        <v>#DIV/0!</v>
      </c>
      <c r="Z194" s="15" t="e">
        <f>$I194/$H194</f>
        <v>#DIV/0!</v>
      </c>
      <c r="AA194" s="15" t="e">
        <f>$K194/$H194</f>
        <v>#DIV/0!</v>
      </c>
      <c r="AB194" s="15">
        <f>($J194*Cp_yd)+($K194*Cp_td)+($L194*Cint)+($M194*Ccar)+($N194*Cr_yd)+($O194*Cr_td)+(Q194*Crec)+($R194*Crec_yd)+($S194*Crec_td)+($T194*Cfmb)+($U194*Ctp_c)</f>
        <v>0</v>
      </c>
    </row>
    <row r="195" spans="1:28" x14ac:dyDescent="0.2">
      <c r="A195" s="16" t="s">
        <v>556</v>
      </c>
      <c r="B195" s="16" t="s">
        <v>31</v>
      </c>
      <c r="C195" s="16">
        <v>26</v>
      </c>
      <c r="D195" s="16">
        <v>5</v>
      </c>
      <c r="E195" s="16" t="s">
        <v>557</v>
      </c>
      <c r="F195" s="16" t="s">
        <v>530</v>
      </c>
      <c r="G195" s="16">
        <v>0</v>
      </c>
      <c r="H195" s="16">
        <v>0</v>
      </c>
      <c r="I195" s="16">
        <v>0</v>
      </c>
      <c r="J195" s="16">
        <v>0</v>
      </c>
      <c r="K195" s="16">
        <v>0</v>
      </c>
      <c r="L195" s="16">
        <v>0</v>
      </c>
      <c r="M195" s="16">
        <v>0</v>
      </c>
      <c r="N195" s="16">
        <v>0</v>
      </c>
      <c r="O195" s="16">
        <v>0</v>
      </c>
      <c r="P195" s="16">
        <v>0</v>
      </c>
      <c r="Q195" s="16">
        <v>0</v>
      </c>
      <c r="R195" s="16">
        <v>0</v>
      </c>
      <c r="S195" s="16">
        <v>0</v>
      </c>
      <c r="T195" s="16">
        <v>0</v>
      </c>
      <c r="U195" s="16">
        <v>0</v>
      </c>
      <c r="V195" s="16">
        <f>($J195*0.04)+($K195*4)+($L195*-2)+($N195*0.1)+($O195*6)+($Q195)+($R195*0.1)+($S195*6)+($T195*-2)</f>
        <v>0</v>
      </c>
      <c r="W195" s="16" t="e">
        <f>$P195/$H$33</f>
        <v>#DIV/0!</v>
      </c>
      <c r="X195" s="16" t="e">
        <f>$N195/$M195</f>
        <v>#DIV/0!</v>
      </c>
      <c r="Y195" s="16" t="e">
        <f>$R195/$Q195</f>
        <v>#DIV/0!</v>
      </c>
      <c r="Z195" s="16" t="e">
        <f>$I195/$H195</f>
        <v>#DIV/0!</v>
      </c>
      <c r="AA195" s="16" t="e">
        <f>$K195/$H195</f>
        <v>#DIV/0!</v>
      </c>
      <c r="AB195" s="16">
        <f>($J195*Cp_yd)+($K195*Cp_td)+($L195*Cint)+($M195*Ccar)+($N195*Cr_yd)+($O195*Cr_td)+(Q195*Crec)+($R195*Crec_yd)+($S195*Crec_td)+($T195*Cfmb)+($U195*Ctp_c)</f>
        <v>0</v>
      </c>
    </row>
    <row r="196" spans="1:28" x14ac:dyDescent="0.2">
      <c r="A196" s="15" t="s">
        <v>560</v>
      </c>
      <c r="B196" s="15" t="s">
        <v>43</v>
      </c>
      <c r="C196" s="15">
        <v>23</v>
      </c>
      <c r="D196" s="15">
        <v>0</v>
      </c>
      <c r="E196" s="15" t="s">
        <v>391</v>
      </c>
      <c r="F196" s="15" t="s">
        <v>530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  <c r="O196" s="15">
        <v>0</v>
      </c>
      <c r="P196" s="15">
        <v>0</v>
      </c>
      <c r="Q196" s="15">
        <v>0</v>
      </c>
      <c r="R196" s="15">
        <v>0</v>
      </c>
      <c r="S196" s="15">
        <v>0</v>
      </c>
      <c r="T196" s="15">
        <v>0</v>
      </c>
      <c r="U196" s="15">
        <v>0</v>
      </c>
      <c r="V196" s="15">
        <f>($J196*0.04)+($K196*4)+($L196*-2)+($N196*0.1)+($O196*6)+($Q196)+($R196*0.1)+($S196*6)+($T196*-2)</f>
        <v>0</v>
      </c>
      <c r="W196" s="15" t="e">
        <f>$P196/$H$33</f>
        <v>#DIV/0!</v>
      </c>
      <c r="X196" s="15" t="e">
        <f>$N196/$M196</f>
        <v>#DIV/0!</v>
      </c>
      <c r="Y196" s="15" t="e">
        <f>$R196/$Q196</f>
        <v>#DIV/0!</v>
      </c>
      <c r="Z196" s="15" t="e">
        <f>$I196/$H196</f>
        <v>#DIV/0!</v>
      </c>
      <c r="AA196" s="15" t="e">
        <f>$K196/$H196</f>
        <v>#DIV/0!</v>
      </c>
      <c r="AB196" s="15">
        <f>($J196*Cp_yd)+($K196*Cp_td)+($L196*Cint)+($M196*Ccar)+($N196*Cr_yd)+($O196*Cr_td)+(Q196*Crec)+($R196*Crec_yd)+($S196*Crec_td)+($T196*Cfmb)+($U196*Ctp_c)</f>
        <v>0</v>
      </c>
    </row>
    <row r="197" spans="1:28" x14ac:dyDescent="0.2">
      <c r="A197" s="16" t="s">
        <v>561</v>
      </c>
      <c r="B197" s="16" t="s">
        <v>43</v>
      </c>
      <c r="C197" s="16">
        <v>23</v>
      </c>
      <c r="D197" s="16">
        <v>0</v>
      </c>
      <c r="E197" s="16" t="s">
        <v>341</v>
      </c>
      <c r="F197" s="16" t="s">
        <v>530</v>
      </c>
      <c r="G197" s="16">
        <v>0</v>
      </c>
      <c r="H197" s="16">
        <v>0</v>
      </c>
      <c r="I197" s="16">
        <v>0</v>
      </c>
      <c r="J197" s="16">
        <v>0</v>
      </c>
      <c r="K197" s="16">
        <v>0</v>
      </c>
      <c r="L197" s="16">
        <v>0</v>
      </c>
      <c r="M197" s="16">
        <v>0</v>
      </c>
      <c r="N197" s="16">
        <v>0</v>
      </c>
      <c r="O197" s="16">
        <v>0</v>
      </c>
      <c r="P197" s="16">
        <v>0</v>
      </c>
      <c r="Q197" s="16">
        <v>0</v>
      </c>
      <c r="R197" s="16">
        <v>0</v>
      </c>
      <c r="S197" s="16">
        <v>0</v>
      </c>
      <c r="T197" s="16">
        <v>0</v>
      </c>
      <c r="U197" s="16">
        <v>0</v>
      </c>
      <c r="V197" s="16">
        <f>($J197*0.04)+($K197*4)+($L197*-2)+($N197*0.1)+($O197*6)+($Q197)+($R197*0.1)+($S197*6)+($T197*-2)</f>
        <v>0</v>
      </c>
      <c r="W197" s="16" t="e">
        <f>$P197/$H$33</f>
        <v>#DIV/0!</v>
      </c>
      <c r="X197" s="16" t="e">
        <f>$N197/$M197</f>
        <v>#DIV/0!</v>
      </c>
      <c r="Y197" s="16" t="e">
        <f>$R197/$Q197</f>
        <v>#DIV/0!</v>
      </c>
      <c r="Z197" s="16" t="e">
        <f>$I197/$H197</f>
        <v>#DIV/0!</v>
      </c>
      <c r="AA197" s="16" t="e">
        <f>$K197/$H197</f>
        <v>#DIV/0!</v>
      </c>
      <c r="AB197" s="16">
        <f>($J197*Cp_yd)+($K197*Cp_td)+($L197*Cint)+($M197*Ccar)+($N197*Cr_yd)+($O197*Cr_td)+(Q197*Crec)+($R197*Crec_yd)+($S197*Crec_td)+($T197*Cfmb)+($U197*Ctp_c)</f>
        <v>0</v>
      </c>
    </row>
    <row r="198" spans="1:28" x14ac:dyDescent="0.2">
      <c r="A198" s="15" t="s">
        <v>562</v>
      </c>
      <c r="B198" s="15" t="s">
        <v>43</v>
      </c>
      <c r="C198" s="15">
        <v>29</v>
      </c>
      <c r="D198" s="15">
        <v>10</v>
      </c>
      <c r="E198" s="15" t="s">
        <v>111</v>
      </c>
      <c r="F198" s="15" t="s">
        <v>530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  <c r="O198" s="15">
        <v>0</v>
      </c>
      <c r="P198" s="15">
        <v>0</v>
      </c>
      <c r="Q198" s="15">
        <v>0</v>
      </c>
      <c r="R198" s="15">
        <v>0</v>
      </c>
      <c r="S198" s="15">
        <v>0</v>
      </c>
      <c r="T198" s="15">
        <v>0</v>
      </c>
      <c r="U198" s="15">
        <v>0</v>
      </c>
      <c r="V198" s="15">
        <f>($J198*0.04)+($K198*4)+($L198*-2)+($N198*0.1)+($O198*6)+($Q198)+($R198*0.1)+($S198*6)+($T198*-2)</f>
        <v>0</v>
      </c>
      <c r="W198" s="15" t="e">
        <f>$P198/$H$33</f>
        <v>#DIV/0!</v>
      </c>
      <c r="X198" s="15" t="e">
        <f>$N198/$M198</f>
        <v>#DIV/0!</v>
      </c>
      <c r="Y198" s="15" t="e">
        <f>$R198/$Q198</f>
        <v>#DIV/0!</v>
      </c>
      <c r="Z198" s="15" t="e">
        <f>$I198/$H198</f>
        <v>#DIV/0!</v>
      </c>
      <c r="AA198" s="15" t="e">
        <f>$K198/$H198</f>
        <v>#DIV/0!</v>
      </c>
      <c r="AB198" s="15">
        <f>($J198*Cp_yd)+($K198*Cp_td)+($L198*Cint)+($M198*Ccar)+($N198*Cr_yd)+($O198*Cr_td)+(Q198*Crec)+($R198*Crec_yd)+($S198*Crec_td)+($T198*Cfmb)+($U198*Ctp_c)</f>
        <v>0</v>
      </c>
    </row>
    <row r="199" spans="1:28" x14ac:dyDescent="0.2">
      <c r="A199" s="16" t="s">
        <v>563</v>
      </c>
      <c r="B199" s="16" t="s">
        <v>43</v>
      </c>
      <c r="C199" s="16">
        <v>25</v>
      </c>
      <c r="D199" s="16">
        <v>1</v>
      </c>
      <c r="E199" s="16" t="s">
        <v>240</v>
      </c>
      <c r="F199" s="16" t="s">
        <v>530</v>
      </c>
      <c r="G199" s="16">
        <v>0</v>
      </c>
      <c r="H199" s="16">
        <v>0</v>
      </c>
      <c r="I199" s="16">
        <v>0</v>
      </c>
      <c r="J199" s="16">
        <v>0</v>
      </c>
      <c r="K199" s="16">
        <v>0</v>
      </c>
      <c r="L199" s="16">
        <v>0</v>
      </c>
      <c r="M199" s="16">
        <v>0</v>
      </c>
      <c r="N199" s="16">
        <v>0</v>
      </c>
      <c r="O199" s="16">
        <v>0</v>
      </c>
      <c r="P199" s="16">
        <v>0</v>
      </c>
      <c r="Q199" s="16">
        <v>0</v>
      </c>
      <c r="R199" s="16">
        <v>0</v>
      </c>
      <c r="S199" s="16">
        <v>0</v>
      </c>
      <c r="T199" s="16">
        <v>0</v>
      </c>
      <c r="U199" s="16">
        <v>0</v>
      </c>
      <c r="V199" s="16">
        <f>($J199*0.04)+($K199*4)+($L199*-2)+($N199*0.1)+($O199*6)+($Q199)+($R199*0.1)+($S199*6)+($T199*-2)</f>
        <v>0</v>
      </c>
      <c r="W199" s="16" t="e">
        <f>$P199/$H$33</f>
        <v>#DIV/0!</v>
      </c>
      <c r="X199" s="16" t="e">
        <f>$N199/$M199</f>
        <v>#DIV/0!</v>
      </c>
      <c r="Y199" s="16" t="e">
        <f>$R199/$Q199</f>
        <v>#DIV/0!</v>
      </c>
      <c r="Z199" s="16" t="e">
        <f>$I199/$H199</f>
        <v>#DIV/0!</v>
      </c>
      <c r="AA199" s="16" t="e">
        <f>$K199/$H199</f>
        <v>#DIV/0!</v>
      </c>
      <c r="AB199" s="16">
        <f>($J199*Cp_yd)+($K199*Cp_td)+($L199*Cint)+($M199*Ccar)+($N199*Cr_yd)+($O199*Cr_td)+(Q199*Crec)+($R199*Crec_yd)+($S199*Crec_td)+($T199*Cfmb)+($U199*Ctp_c)</f>
        <v>0</v>
      </c>
    </row>
    <row r="200" spans="1:28" x14ac:dyDescent="0.2">
      <c r="A200" s="15" t="s">
        <v>564</v>
      </c>
      <c r="B200" s="15" t="s">
        <v>43</v>
      </c>
      <c r="C200" s="15">
        <v>24</v>
      </c>
      <c r="D200" s="15">
        <v>0</v>
      </c>
      <c r="E200" s="15" t="s">
        <v>565</v>
      </c>
      <c r="F200" s="15" t="s">
        <v>530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  <c r="O200" s="15">
        <v>0</v>
      </c>
      <c r="P200" s="15">
        <v>0</v>
      </c>
      <c r="Q200" s="15">
        <v>0</v>
      </c>
      <c r="R200" s="15">
        <v>0</v>
      </c>
      <c r="S200" s="15">
        <v>0</v>
      </c>
      <c r="T200" s="15">
        <v>0</v>
      </c>
      <c r="U200" s="15">
        <v>0</v>
      </c>
      <c r="V200" s="15">
        <f>($J200*0.04)+($K200*4)+($L200*-2)+($N200*0.1)+($O200*6)+($Q200)+($R200*0.1)+($S200*6)+($T200*-2)</f>
        <v>0</v>
      </c>
      <c r="W200" s="15" t="e">
        <f>$P200/$H$33</f>
        <v>#DIV/0!</v>
      </c>
      <c r="X200" s="15" t="e">
        <f>$N200/$M200</f>
        <v>#DIV/0!</v>
      </c>
      <c r="Y200" s="15" t="e">
        <f>$R200/$Q200</f>
        <v>#DIV/0!</v>
      </c>
      <c r="Z200" s="15" t="e">
        <f>$I200/$H200</f>
        <v>#DIV/0!</v>
      </c>
      <c r="AA200" s="15" t="e">
        <f>$K200/$H200</f>
        <v>#DIV/0!</v>
      </c>
      <c r="AB200" s="15">
        <f>($J200*Cp_yd)+($K200*Cp_td)+($L200*Cint)+($M200*Ccar)+($N200*Cr_yd)+($O200*Cr_td)+(Q200*Crec)+($R200*Crec_yd)+($S200*Crec_td)+($T200*Cfmb)+($U200*Ctp_c)</f>
        <v>0</v>
      </c>
    </row>
    <row r="201" spans="1:28" x14ac:dyDescent="0.2">
      <c r="A201" s="16" t="s">
        <v>566</v>
      </c>
      <c r="B201" s="16" t="s">
        <v>43</v>
      </c>
      <c r="C201" s="16">
        <v>25</v>
      </c>
      <c r="D201" s="16">
        <v>3</v>
      </c>
      <c r="E201" s="16" t="s">
        <v>102</v>
      </c>
      <c r="F201" s="16" t="s">
        <v>530</v>
      </c>
      <c r="G201" s="16">
        <v>0</v>
      </c>
      <c r="H201" s="16">
        <v>0</v>
      </c>
      <c r="I201" s="16">
        <v>0</v>
      </c>
      <c r="J201" s="16">
        <v>0</v>
      </c>
      <c r="K201" s="16">
        <v>0</v>
      </c>
      <c r="L201" s="16">
        <v>0</v>
      </c>
      <c r="M201" s="16">
        <v>0</v>
      </c>
      <c r="N201" s="16">
        <v>0</v>
      </c>
      <c r="O201" s="16">
        <v>0</v>
      </c>
      <c r="P201" s="16">
        <v>0</v>
      </c>
      <c r="Q201" s="16">
        <v>0</v>
      </c>
      <c r="R201" s="16">
        <v>0</v>
      </c>
      <c r="S201" s="16">
        <v>0</v>
      </c>
      <c r="T201" s="16">
        <v>0</v>
      </c>
      <c r="U201" s="16">
        <v>0</v>
      </c>
      <c r="V201" s="16">
        <f>($J201*0.04)+($K201*4)+($L201*-2)+($N201*0.1)+($O201*6)+($Q201)+($R201*0.1)+($S201*6)+($T201*-2)</f>
        <v>0</v>
      </c>
      <c r="W201" s="16" t="e">
        <f>$P201/$H$33</f>
        <v>#DIV/0!</v>
      </c>
      <c r="X201" s="16" t="e">
        <f>$N201/$M201</f>
        <v>#DIV/0!</v>
      </c>
      <c r="Y201" s="16" t="e">
        <f>$R201/$Q201</f>
        <v>#DIV/0!</v>
      </c>
      <c r="Z201" s="16" t="e">
        <f>$I201/$H201</f>
        <v>#DIV/0!</v>
      </c>
      <c r="AA201" s="16" t="e">
        <f>$K201/$H201</f>
        <v>#DIV/0!</v>
      </c>
      <c r="AB201" s="16">
        <f>($J201*Cp_yd)+($K201*Cp_td)+($L201*Cint)+($M201*Ccar)+($N201*Cr_yd)+($O201*Cr_td)+(Q201*Crec)+($R201*Crec_yd)+($S201*Crec_td)+($T201*Cfmb)+($U201*Ctp_c)</f>
        <v>0</v>
      </c>
    </row>
    <row r="202" spans="1:28" x14ac:dyDescent="0.2">
      <c r="A202" s="15" t="s">
        <v>567</v>
      </c>
      <c r="B202" s="15" t="s">
        <v>43</v>
      </c>
      <c r="C202" s="15">
        <v>27</v>
      </c>
      <c r="D202" s="15">
        <v>6</v>
      </c>
      <c r="E202" s="15" t="s">
        <v>107</v>
      </c>
      <c r="F202" s="15" t="s">
        <v>530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  <c r="O202" s="15">
        <v>0</v>
      </c>
      <c r="P202" s="15">
        <v>0</v>
      </c>
      <c r="Q202" s="15">
        <v>0</v>
      </c>
      <c r="R202" s="15">
        <v>0</v>
      </c>
      <c r="S202" s="15">
        <v>0</v>
      </c>
      <c r="T202" s="15">
        <v>0</v>
      </c>
      <c r="U202" s="15">
        <v>0</v>
      </c>
      <c r="V202" s="15">
        <f>($J202*0.04)+($K202*4)+($L202*-2)+($N202*0.1)+($O202*6)+($Q202)+($R202*0.1)+($S202*6)+($T202*-2)</f>
        <v>0</v>
      </c>
      <c r="W202" s="15" t="e">
        <f>$P202/$H$33</f>
        <v>#DIV/0!</v>
      </c>
      <c r="X202" s="15" t="e">
        <f>$N202/$M202</f>
        <v>#DIV/0!</v>
      </c>
      <c r="Y202" s="15" t="e">
        <f>$R202/$Q202</f>
        <v>#DIV/0!</v>
      </c>
      <c r="Z202" s="15" t="e">
        <f>$I202/$H202</f>
        <v>#DIV/0!</v>
      </c>
      <c r="AA202" s="15" t="e">
        <f>$K202/$H202</f>
        <v>#DIV/0!</v>
      </c>
      <c r="AB202" s="15">
        <f>($J202*Cp_yd)+($K202*Cp_td)+($L202*Cint)+($M202*Ccar)+($N202*Cr_yd)+($O202*Cr_td)+(Q202*Crec)+($R202*Crec_yd)+($S202*Crec_td)+($T202*Cfmb)+($U202*Ctp_c)</f>
        <v>0</v>
      </c>
    </row>
    <row r="203" spans="1:28" x14ac:dyDescent="0.2">
      <c r="A203" s="16" t="s">
        <v>568</v>
      </c>
      <c r="B203" s="16" t="s">
        <v>43</v>
      </c>
      <c r="C203" s="16">
        <v>24</v>
      </c>
      <c r="D203" s="16">
        <v>1</v>
      </c>
      <c r="E203" s="16" t="s">
        <v>569</v>
      </c>
      <c r="F203" s="16" t="s">
        <v>530</v>
      </c>
      <c r="G203" s="16">
        <v>0</v>
      </c>
      <c r="H203" s="16">
        <v>0</v>
      </c>
      <c r="I203" s="16">
        <v>0</v>
      </c>
      <c r="J203" s="16">
        <v>0</v>
      </c>
      <c r="K203" s="16">
        <v>0</v>
      </c>
      <c r="L203" s="16">
        <v>0</v>
      </c>
      <c r="M203" s="16">
        <v>0</v>
      </c>
      <c r="N203" s="16">
        <v>0</v>
      </c>
      <c r="O203" s="16">
        <v>0</v>
      </c>
      <c r="P203" s="16">
        <v>0</v>
      </c>
      <c r="Q203" s="16">
        <v>0</v>
      </c>
      <c r="R203" s="16">
        <v>0</v>
      </c>
      <c r="S203" s="16">
        <v>0</v>
      </c>
      <c r="T203" s="16">
        <v>0</v>
      </c>
      <c r="U203" s="16">
        <v>0</v>
      </c>
      <c r="V203" s="16">
        <f>($J203*0.04)+($K203*4)+($L203*-2)+($N203*0.1)+($O203*6)+($Q203)+($R203*0.1)+($S203*6)+($T203*-2)</f>
        <v>0</v>
      </c>
      <c r="W203" s="16" t="e">
        <f>$P203/$H$33</f>
        <v>#DIV/0!</v>
      </c>
      <c r="X203" s="16" t="e">
        <f>$N203/$M203</f>
        <v>#DIV/0!</v>
      </c>
      <c r="Y203" s="16" t="e">
        <f>$R203/$Q203</f>
        <v>#DIV/0!</v>
      </c>
      <c r="Z203" s="16" t="e">
        <f>$I203/$H203</f>
        <v>#DIV/0!</v>
      </c>
      <c r="AA203" s="16" t="e">
        <f>$K203/$H203</f>
        <v>#DIV/0!</v>
      </c>
      <c r="AB203" s="16">
        <f>($J203*Cp_yd)+($K203*Cp_td)+($L203*Cint)+($M203*Ccar)+($N203*Cr_yd)+($O203*Cr_td)+(Q203*Crec)+($R203*Crec_yd)+($S203*Crec_td)+($T203*Cfmb)+($U203*Ctp_c)</f>
        <v>0</v>
      </c>
    </row>
    <row r="204" spans="1:28" x14ac:dyDescent="0.2">
      <c r="A204" s="15" t="s">
        <v>570</v>
      </c>
      <c r="B204" s="15" t="s">
        <v>43</v>
      </c>
      <c r="C204" s="15">
        <v>27</v>
      </c>
      <c r="D204" s="15">
        <v>4</v>
      </c>
      <c r="E204" s="15" t="s">
        <v>218</v>
      </c>
      <c r="F204" s="15" t="s">
        <v>530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  <c r="O204" s="15">
        <v>0</v>
      </c>
      <c r="P204" s="15">
        <v>0</v>
      </c>
      <c r="Q204" s="15">
        <v>0</v>
      </c>
      <c r="R204" s="15">
        <v>0</v>
      </c>
      <c r="S204" s="15">
        <v>0</v>
      </c>
      <c r="T204" s="15">
        <v>0</v>
      </c>
      <c r="U204" s="15">
        <v>0</v>
      </c>
      <c r="V204" s="15">
        <f>($J204*0.04)+($K204*4)+($L204*-2)+($N204*0.1)+($O204*6)+($Q204)+($R204*0.1)+($S204*6)+($T204*-2)</f>
        <v>0</v>
      </c>
      <c r="W204" s="15" t="e">
        <f>$P204/$H$33</f>
        <v>#DIV/0!</v>
      </c>
      <c r="X204" s="15" t="e">
        <f>$N204/$M204</f>
        <v>#DIV/0!</v>
      </c>
      <c r="Y204" s="15" t="e">
        <f>$R204/$Q204</f>
        <v>#DIV/0!</v>
      </c>
      <c r="Z204" s="15" t="e">
        <f>$I204/$H204</f>
        <v>#DIV/0!</v>
      </c>
      <c r="AA204" s="15" t="e">
        <f>$K204/$H204</f>
        <v>#DIV/0!</v>
      </c>
      <c r="AB204" s="15">
        <f>($J204*Cp_yd)+($K204*Cp_td)+($L204*Cint)+($M204*Ccar)+($N204*Cr_yd)+($O204*Cr_td)+(Q204*Crec)+($R204*Crec_yd)+($S204*Crec_td)+($T204*Cfmb)+($U204*Ctp_c)</f>
        <v>0</v>
      </c>
    </row>
    <row r="205" spans="1:28" x14ac:dyDescent="0.2">
      <c r="A205" s="16" t="s">
        <v>571</v>
      </c>
      <c r="B205" s="16" t="s">
        <v>43</v>
      </c>
      <c r="C205" s="16">
        <v>24</v>
      </c>
      <c r="D205" s="16">
        <v>4</v>
      </c>
      <c r="E205" s="16" t="s">
        <v>68</v>
      </c>
      <c r="F205" s="16" t="s">
        <v>530</v>
      </c>
      <c r="G205" s="16">
        <v>0</v>
      </c>
      <c r="H205" s="16">
        <v>0</v>
      </c>
      <c r="I205" s="16">
        <v>0</v>
      </c>
      <c r="J205" s="16">
        <v>0</v>
      </c>
      <c r="K205" s="16">
        <v>0</v>
      </c>
      <c r="L205" s="16">
        <v>0</v>
      </c>
      <c r="M205" s="16">
        <v>0</v>
      </c>
      <c r="N205" s="16">
        <v>0</v>
      </c>
      <c r="O205" s="16">
        <v>0</v>
      </c>
      <c r="P205" s="16">
        <v>0</v>
      </c>
      <c r="Q205" s="16">
        <v>0</v>
      </c>
      <c r="R205" s="16">
        <v>0</v>
      </c>
      <c r="S205" s="16">
        <v>0</v>
      </c>
      <c r="T205" s="16">
        <v>0</v>
      </c>
      <c r="U205" s="16">
        <v>0</v>
      </c>
      <c r="V205" s="16">
        <f>($J205*0.04)+($K205*4)+($L205*-2)+($N205*0.1)+($O205*6)+($Q205)+($R205*0.1)+($S205*6)+($T205*-2)</f>
        <v>0</v>
      </c>
      <c r="W205" s="16" t="e">
        <f>$P205/$H$33</f>
        <v>#DIV/0!</v>
      </c>
      <c r="X205" s="16" t="e">
        <f>$N205/$M205</f>
        <v>#DIV/0!</v>
      </c>
      <c r="Y205" s="16" t="e">
        <f>$R205/$Q205</f>
        <v>#DIV/0!</v>
      </c>
      <c r="Z205" s="16" t="e">
        <f>$I205/$H205</f>
        <v>#DIV/0!</v>
      </c>
      <c r="AA205" s="16" t="e">
        <f>$K205/$H205</f>
        <v>#DIV/0!</v>
      </c>
      <c r="AB205" s="16">
        <f>($J205*Cp_yd)+($K205*Cp_td)+($L205*Cint)+($M205*Ccar)+($N205*Cr_yd)+($O205*Cr_td)+(Q205*Crec)+($R205*Crec_yd)+($S205*Crec_td)+($T205*Cfmb)+($U205*Ctp_c)</f>
        <v>0</v>
      </c>
    </row>
    <row r="206" spans="1:28" x14ac:dyDescent="0.2">
      <c r="A206" s="15" t="s">
        <v>572</v>
      </c>
      <c r="B206" s="15" t="s">
        <v>43</v>
      </c>
      <c r="C206" s="15">
        <v>22</v>
      </c>
      <c r="D206" s="15">
        <v>0</v>
      </c>
      <c r="E206" s="15" t="s">
        <v>280</v>
      </c>
      <c r="F206" s="15" t="s">
        <v>530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  <c r="O206" s="15">
        <v>0</v>
      </c>
      <c r="P206" s="15">
        <v>0</v>
      </c>
      <c r="Q206" s="15">
        <v>0</v>
      </c>
      <c r="R206" s="15">
        <v>0</v>
      </c>
      <c r="S206" s="15">
        <v>0</v>
      </c>
      <c r="T206" s="15">
        <v>0</v>
      </c>
      <c r="U206" s="15">
        <v>0</v>
      </c>
      <c r="V206" s="15">
        <f>($J206*0.04)+($K206*4)+($L206*-2)+($N206*0.1)+($O206*6)+($Q206)+($R206*0.1)+($S206*6)+($T206*-2)</f>
        <v>0</v>
      </c>
      <c r="W206" s="15" t="e">
        <f>$P206/$H$33</f>
        <v>#DIV/0!</v>
      </c>
      <c r="X206" s="15" t="e">
        <f>$N206/$M206</f>
        <v>#DIV/0!</v>
      </c>
      <c r="Y206" s="15" t="e">
        <f>$R206/$Q206</f>
        <v>#DIV/0!</v>
      </c>
      <c r="Z206" s="15" t="e">
        <f>$I206/$H206</f>
        <v>#DIV/0!</v>
      </c>
      <c r="AA206" s="15" t="e">
        <f>$K206/$H206</f>
        <v>#DIV/0!</v>
      </c>
      <c r="AB206" s="15">
        <f>($J206*Cp_yd)+($K206*Cp_td)+($L206*Cint)+($M206*Ccar)+($N206*Cr_yd)+($O206*Cr_td)+(Q206*Crec)+($R206*Crec_yd)+($S206*Crec_td)+($T206*Cfmb)+($U206*Ctp_c)</f>
        <v>0</v>
      </c>
    </row>
    <row r="207" spans="1:28" x14ac:dyDescent="0.2">
      <c r="A207" s="16" t="s">
        <v>573</v>
      </c>
      <c r="B207" s="16" t="s">
        <v>43</v>
      </c>
      <c r="C207" s="16">
        <v>23</v>
      </c>
      <c r="D207" s="16">
        <v>0</v>
      </c>
      <c r="E207" s="16" t="s">
        <v>574</v>
      </c>
      <c r="F207" s="16" t="s">
        <v>530</v>
      </c>
      <c r="G207" s="16">
        <v>0</v>
      </c>
      <c r="H207" s="16">
        <v>0</v>
      </c>
      <c r="I207" s="16">
        <v>0</v>
      </c>
      <c r="J207" s="16">
        <v>0</v>
      </c>
      <c r="K207" s="16">
        <v>0</v>
      </c>
      <c r="L207" s="16">
        <v>0</v>
      </c>
      <c r="M207" s="16">
        <v>0</v>
      </c>
      <c r="N207" s="16">
        <v>0</v>
      </c>
      <c r="O207" s="16">
        <v>0</v>
      </c>
      <c r="P207" s="16">
        <v>0</v>
      </c>
      <c r="Q207" s="16">
        <v>0</v>
      </c>
      <c r="R207" s="16">
        <v>0</v>
      </c>
      <c r="S207" s="16">
        <v>0</v>
      </c>
      <c r="T207" s="16">
        <v>0</v>
      </c>
      <c r="U207" s="16">
        <v>0</v>
      </c>
      <c r="V207" s="16">
        <f>($J207*0.04)+($K207*4)+($L207*-2)+($N207*0.1)+($O207*6)+($Q207)+($R207*0.1)+($S207*6)+($T207*-2)</f>
        <v>0</v>
      </c>
      <c r="W207" s="16" t="e">
        <f>$P207/$H$33</f>
        <v>#DIV/0!</v>
      </c>
      <c r="X207" s="16" t="e">
        <f>$N207/$M207</f>
        <v>#DIV/0!</v>
      </c>
      <c r="Y207" s="16" t="e">
        <f>$R207/$Q207</f>
        <v>#DIV/0!</v>
      </c>
      <c r="Z207" s="16" t="e">
        <f>$I207/$H207</f>
        <v>#DIV/0!</v>
      </c>
      <c r="AA207" s="16" t="e">
        <f>$K207/$H207</f>
        <v>#DIV/0!</v>
      </c>
      <c r="AB207" s="16">
        <f>($J207*Cp_yd)+($K207*Cp_td)+($L207*Cint)+($M207*Ccar)+($N207*Cr_yd)+($O207*Cr_td)+(Q207*Crec)+($R207*Crec_yd)+($S207*Crec_td)+($T207*Cfmb)+($U207*Ctp_c)</f>
        <v>0</v>
      </c>
    </row>
    <row r="208" spans="1:28" x14ac:dyDescent="0.2">
      <c r="A208" s="15" t="s">
        <v>575</v>
      </c>
      <c r="B208" s="15" t="s">
        <v>43</v>
      </c>
      <c r="C208" s="15">
        <v>24</v>
      </c>
      <c r="D208" s="15">
        <v>2</v>
      </c>
      <c r="E208" s="15" t="s">
        <v>519</v>
      </c>
      <c r="F208" s="15" t="s">
        <v>530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  <c r="O208" s="15">
        <v>0</v>
      </c>
      <c r="P208" s="15">
        <v>0</v>
      </c>
      <c r="Q208" s="15">
        <v>0</v>
      </c>
      <c r="R208" s="15">
        <v>0</v>
      </c>
      <c r="S208" s="15">
        <v>0</v>
      </c>
      <c r="T208" s="15">
        <v>0</v>
      </c>
      <c r="U208" s="15">
        <v>0</v>
      </c>
      <c r="V208" s="15">
        <f>($J208*0.04)+($K208*4)+($L208*-2)+($N208*0.1)+($O208*6)+($Q208)+($R208*0.1)+($S208*6)+($T208*-2)</f>
        <v>0</v>
      </c>
      <c r="W208" s="15" t="e">
        <f>$P208/$H$33</f>
        <v>#DIV/0!</v>
      </c>
      <c r="X208" s="15" t="e">
        <f>$N208/$M208</f>
        <v>#DIV/0!</v>
      </c>
      <c r="Y208" s="15" t="e">
        <f>$R208/$Q208</f>
        <v>#DIV/0!</v>
      </c>
      <c r="Z208" s="15" t="e">
        <f>$I208/$H208</f>
        <v>#DIV/0!</v>
      </c>
      <c r="AA208" s="15" t="e">
        <f>$K208/$H208</f>
        <v>#DIV/0!</v>
      </c>
      <c r="AB208" s="15">
        <f>($J208*Cp_yd)+($K208*Cp_td)+($L208*Cint)+($M208*Ccar)+($N208*Cr_yd)+($O208*Cr_td)+(Q208*Crec)+($R208*Crec_yd)+($S208*Crec_td)+($T208*Cfmb)+($U208*Ctp_c)</f>
        <v>0</v>
      </c>
    </row>
    <row r="209" spans="1:28" x14ac:dyDescent="0.2">
      <c r="A209" s="16" t="s">
        <v>577</v>
      </c>
      <c r="B209" s="16" t="s">
        <v>38</v>
      </c>
      <c r="C209" s="16">
        <v>24</v>
      </c>
      <c r="D209" s="16">
        <v>0</v>
      </c>
      <c r="E209" s="16" t="s">
        <v>143</v>
      </c>
      <c r="F209" s="16" t="s">
        <v>530</v>
      </c>
      <c r="G209" s="16">
        <v>0</v>
      </c>
      <c r="H209" s="16">
        <v>0</v>
      </c>
      <c r="I209" s="16">
        <v>0</v>
      </c>
      <c r="J209" s="16">
        <v>0</v>
      </c>
      <c r="K209" s="16">
        <v>0</v>
      </c>
      <c r="L209" s="16">
        <v>0</v>
      </c>
      <c r="M209" s="16">
        <v>0</v>
      </c>
      <c r="N209" s="16">
        <v>0</v>
      </c>
      <c r="O209" s="16">
        <v>0</v>
      </c>
      <c r="P209" s="16">
        <v>0</v>
      </c>
      <c r="Q209" s="16">
        <v>0</v>
      </c>
      <c r="R209" s="16">
        <v>0</v>
      </c>
      <c r="S209" s="16">
        <v>0</v>
      </c>
      <c r="T209" s="16">
        <v>0</v>
      </c>
      <c r="U209" s="16">
        <v>0</v>
      </c>
      <c r="V209" s="16">
        <f>($J209*0.04)+($K209*4)+($L209*-2)+($N209*0.1)+($O209*6)+($Q209)+($R209*0.1)+($S209*6)+($T209*-2)</f>
        <v>0</v>
      </c>
      <c r="W209" s="16" t="e">
        <f>$P209/$H$33</f>
        <v>#DIV/0!</v>
      </c>
      <c r="X209" s="16" t="e">
        <f>$N209/$M209</f>
        <v>#DIV/0!</v>
      </c>
      <c r="Y209" s="16" t="e">
        <f>$R209/$Q209</f>
        <v>#DIV/0!</v>
      </c>
      <c r="Z209" s="16" t="e">
        <f>$I209/$H209</f>
        <v>#DIV/0!</v>
      </c>
      <c r="AA209" s="16" t="e">
        <f>$K209/$H209</f>
        <v>#DIV/0!</v>
      </c>
      <c r="AB209" s="16">
        <f>($J209*Cp_yd)+($K209*Cp_td)+($L209*Cint)+($M209*Ccar)+($N209*Cr_yd)+($O209*Cr_td)+(Q209*Crec)+($R209*Crec_yd)+($S209*Crec_td)+($T209*Cfmb)+($U209*Ctp_c)</f>
        <v>0</v>
      </c>
    </row>
    <row r="210" spans="1:28" x14ac:dyDescent="0.2">
      <c r="A210" s="15" t="s">
        <v>578</v>
      </c>
      <c r="B210" s="15" t="s">
        <v>38</v>
      </c>
      <c r="C210" s="15">
        <v>24</v>
      </c>
      <c r="D210" s="15">
        <v>2</v>
      </c>
      <c r="E210" s="15" t="s">
        <v>72</v>
      </c>
      <c r="F210" s="15" t="s">
        <v>530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  <c r="O210" s="15">
        <v>0</v>
      </c>
      <c r="P210" s="15">
        <v>0</v>
      </c>
      <c r="Q210" s="15">
        <v>0</v>
      </c>
      <c r="R210" s="15">
        <v>0</v>
      </c>
      <c r="S210" s="15">
        <v>0</v>
      </c>
      <c r="T210" s="15">
        <v>0</v>
      </c>
      <c r="U210" s="15">
        <v>0</v>
      </c>
      <c r="V210" s="15">
        <f>($J210*0.04)+($K210*4)+($L210*-2)+($N210*0.1)+($O210*6)+($Q210)+($R210*0.1)+($S210*6)+($T210*-2)</f>
        <v>0</v>
      </c>
      <c r="W210" s="15" t="e">
        <f>$P210/$H$33</f>
        <v>#DIV/0!</v>
      </c>
      <c r="X210" s="15" t="e">
        <f>$N210/$M210</f>
        <v>#DIV/0!</v>
      </c>
      <c r="Y210" s="15" t="e">
        <f>$R210/$Q210</f>
        <v>#DIV/0!</v>
      </c>
      <c r="Z210" s="15" t="e">
        <f>$I210/$H210</f>
        <v>#DIV/0!</v>
      </c>
      <c r="AA210" s="15" t="e">
        <f>$K210/$H210</f>
        <v>#DIV/0!</v>
      </c>
      <c r="AB210" s="15">
        <f>($J210*Cp_yd)+($K210*Cp_td)+($L210*Cint)+($M210*Ccar)+($N210*Cr_yd)+($O210*Cr_td)+(Q210*Crec)+($R210*Crec_yd)+($S210*Crec_td)+($T210*Cfmb)+($U210*Ctp_c)</f>
        <v>0</v>
      </c>
    </row>
    <row r="211" spans="1:28" x14ac:dyDescent="0.2">
      <c r="A211" s="16" t="s">
        <v>579</v>
      </c>
      <c r="B211" s="16" t="s">
        <v>38</v>
      </c>
      <c r="C211" s="16">
        <v>25</v>
      </c>
      <c r="D211" s="16">
        <v>1</v>
      </c>
      <c r="E211" s="16" t="s">
        <v>70</v>
      </c>
      <c r="F211" s="16" t="s">
        <v>530</v>
      </c>
      <c r="G211" s="16">
        <v>0</v>
      </c>
      <c r="H211" s="16">
        <v>0</v>
      </c>
      <c r="I211" s="16">
        <v>0</v>
      </c>
      <c r="J211" s="16">
        <v>0</v>
      </c>
      <c r="K211" s="16">
        <v>0</v>
      </c>
      <c r="L211" s="16">
        <v>0</v>
      </c>
      <c r="M211" s="16">
        <v>0</v>
      </c>
      <c r="N211" s="16">
        <v>0</v>
      </c>
      <c r="O211" s="16">
        <v>0</v>
      </c>
      <c r="P211" s="16">
        <v>0</v>
      </c>
      <c r="Q211" s="16">
        <v>0</v>
      </c>
      <c r="R211" s="16">
        <v>0</v>
      </c>
      <c r="S211" s="16">
        <v>0</v>
      </c>
      <c r="T211" s="16">
        <v>0</v>
      </c>
      <c r="U211" s="16">
        <v>0</v>
      </c>
      <c r="V211" s="16">
        <f>($J211*0.04)+($K211*4)+($L211*-2)+($N211*0.1)+($O211*6)+($Q211)+($R211*0.1)+($S211*6)+($T211*-2)</f>
        <v>0</v>
      </c>
      <c r="W211" s="16" t="e">
        <f>$P211/$H$33</f>
        <v>#DIV/0!</v>
      </c>
      <c r="X211" s="16" t="e">
        <f>$N211/$M211</f>
        <v>#DIV/0!</v>
      </c>
      <c r="Y211" s="16" t="e">
        <f>$R211/$Q211</f>
        <v>#DIV/0!</v>
      </c>
      <c r="Z211" s="16" t="e">
        <f>$I211/$H211</f>
        <v>#DIV/0!</v>
      </c>
      <c r="AA211" s="16" t="e">
        <f>$K211/$H211</f>
        <v>#DIV/0!</v>
      </c>
      <c r="AB211" s="16">
        <f>($J211*Cp_yd)+($K211*Cp_td)+($L211*Cint)+($M211*Ccar)+($N211*Cr_yd)+($O211*Cr_td)+(Q211*Crec)+($R211*Crec_yd)+($S211*Crec_td)+($T211*Cfmb)+($U211*Ctp_c)</f>
        <v>0</v>
      </c>
    </row>
    <row r="212" spans="1:28" x14ac:dyDescent="0.2">
      <c r="A212" s="15" t="s">
        <v>580</v>
      </c>
      <c r="B212" s="15" t="s">
        <v>38</v>
      </c>
      <c r="C212" s="15">
        <v>24</v>
      </c>
      <c r="D212" s="15">
        <v>2</v>
      </c>
      <c r="E212" s="15" t="s">
        <v>360</v>
      </c>
      <c r="F212" s="15" t="s">
        <v>530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  <c r="O212" s="15">
        <v>0</v>
      </c>
      <c r="P212" s="15">
        <v>0</v>
      </c>
      <c r="Q212" s="15">
        <v>0</v>
      </c>
      <c r="R212" s="15">
        <v>0</v>
      </c>
      <c r="S212" s="15">
        <v>0</v>
      </c>
      <c r="T212" s="15">
        <v>0</v>
      </c>
      <c r="U212" s="15">
        <v>0</v>
      </c>
      <c r="V212" s="15">
        <f>($J212*0.04)+($K212*4)+($L212*-2)+($N212*0.1)+($O212*6)+($Q212)+($R212*0.1)+($S212*6)+($T212*-2)</f>
        <v>0</v>
      </c>
      <c r="W212" s="15" t="e">
        <f>$P212/$H$33</f>
        <v>#DIV/0!</v>
      </c>
      <c r="X212" s="15" t="e">
        <f>$N212/$M212</f>
        <v>#DIV/0!</v>
      </c>
      <c r="Y212" s="15" t="e">
        <f>$R212/$Q212</f>
        <v>#DIV/0!</v>
      </c>
      <c r="Z212" s="15" t="e">
        <f>$I212/$H212</f>
        <v>#DIV/0!</v>
      </c>
      <c r="AA212" s="15" t="e">
        <f>$K212/$H212</f>
        <v>#DIV/0!</v>
      </c>
      <c r="AB212" s="15">
        <f>($J212*Cp_yd)+($K212*Cp_td)+($L212*Cint)+($M212*Ccar)+($N212*Cr_yd)+($O212*Cr_td)+(Q212*Crec)+($R212*Crec_yd)+($S212*Crec_td)+($T212*Cfmb)+($U212*Ctp_c)</f>
        <v>0</v>
      </c>
    </row>
    <row r="213" spans="1:28" x14ac:dyDescent="0.2">
      <c r="A213" s="16" t="s">
        <v>581</v>
      </c>
      <c r="B213" s="16" t="s">
        <v>38</v>
      </c>
      <c r="C213" s="16">
        <v>25</v>
      </c>
      <c r="D213" s="16">
        <v>4</v>
      </c>
      <c r="E213" s="16" t="s">
        <v>105</v>
      </c>
      <c r="F213" s="16" t="s">
        <v>530</v>
      </c>
      <c r="G213" s="16">
        <v>0</v>
      </c>
      <c r="H213" s="16">
        <v>0</v>
      </c>
      <c r="I213" s="16">
        <v>0</v>
      </c>
      <c r="J213" s="16">
        <v>0</v>
      </c>
      <c r="K213" s="16">
        <v>0</v>
      </c>
      <c r="L213" s="16">
        <v>0</v>
      </c>
      <c r="M213" s="16">
        <v>0</v>
      </c>
      <c r="N213" s="16">
        <v>0</v>
      </c>
      <c r="O213" s="16">
        <v>0</v>
      </c>
      <c r="P213" s="16">
        <v>0</v>
      </c>
      <c r="Q213" s="16">
        <v>0</v>
      </c>
      <c r="R213" s="16">
        <v>0</v>
      </c>
      <c r="S213" s="16">
        <v>0</v>
      </c>
      <c r="T213" s="16">
        <v>0</v>
      </c>
      <c r="U213" s="16">
        <v>0</v>
      </c>
      <c r="V213" s="16">
        <f>($J213*0.04)+($K213*4)+($L213*-2)+($N213*0.1)+($O213*6)+($Q213)+($R213*0.1)+($S213*6)+($T213*-2)</f>
        <v>0</v>
      </c>
      <c r="W213" s="16" t="e">
        <f>$P213/$H$33</f>
        <v>#DIV/0!</v>
      </c>
      <c r="X213" s="16" t="e">
        <f>$N213/$M213</f>
        <v>#DIV/0!</v>
      </c>
      <c r="Y213" s="16" t="e">
        <f>$R213/$Q213</f>
        <v>#DIV/0!</v>
      </c>
      <c r="Z213" s="16" t="e">
        <f>$I213/$H213</f>
        <v>#DIV/0!</v>
      </c>
      <c r="AA213" s="16" t="e">
        <f>$K213/$H213</f>
        <v>#DIV/0!</v>
      </c>
      <c r="AB213" s="16">
        <f>($J213*Cp_yd)+($K213*Cp_td)+($L213*Cint)+($M213*Ccar)+($N213*Cr_yd)+($O213*Cr_td)+(Q213*Crec)+($R213*Crec_yd)+($S213*Crec_td)+($T213*Cfmb)+($U213*Ctp_c)</f>
        <v>0</v>
      </c>
    </row>
    <row r="214" spans="1:28" x14ac:dyDescent="0.2">
      <c r="A214" s="15" t="s">
        <v>608</v>
      </c>
      <c r="B214" s="15" t="s">
        <v>26</v>
      </c>
      <c r="C214" s="15">
        <v>26</v>
      </c>
      <c r="D214" s="15">
        <v>2</v>
      </c>
      <c r="E214" s="15" t="s">
        <v>609</v>
      </c>
      <c r="F214" s="15" t="s">
        <v>584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  <c r="O214" s="15">
        <v>0</v>
      </c>
      <c r="P214" s="15">
        <v>0</v>
      </c>
      <c r="Q214" s="15">
        <v>0</v>
      </c>
      <c r="R214" s="15">
        <v>0</v>
      </c>
      <c r="S214" s="15">
        <v>0</v>
      </c>
      <c r="T214" s="15">
        <v>0</v>
      </c>
      <c r="U214" s="15">
        <v>0</v>
      </c>
      <c r="V214" s="15">
        <f>($J214*0.04)+($K214*4)+($L214*-2)+($N214*0.1)+($O214*6)+($Q214)+($R214*0.1)+($S214*6)+($T214*-2)</f>
        <v>0</v>
      </c>
      <c r="W214" s="15" t="e">
        <f>$P214/$H$33</f>
        <v>#DIV/0!</v>
      </c>
      <c r="X214" s="15" t="e">
        <f>$N214/$M214</f>
        <v>#DIV/0!</v>
      </c>
      <c r="Y214" s="15" t="e">
        <f>$R214/$Q214</f>
        <v>#DIV/0!</v>
      </c>
      <c r="Z214" s="15" t="e">
        <f>$I214/$H214</f>
        <v>#DIV/0!</v>
      </c>
      <c r="AA214" s="15" t="e">
        <f>$K214/$H214</f>
        <v>#DIV/0!</v>
      </c>
      <c r="AB214" s="15">
        <f>($J214*Cp_yd)+($K214*Cp_td)+($L214*Cint)+($M214*Ccar)+($N214*Cr_yd)+($O214*Cr_td)+(Q214*Crec)+($R214*Crec_yd)+($S214*Crec_td)+($T214*Cfmb)+($U214*Ctp_c)</f>
        <v>0</v>
      </c>
    </row>
    <row r="215" spans="1:28" x14ac:dyDescent="0.2">
      <c r="A215" s="16" t="s">
        <v>610</v>
      </c>
      <c r="B215" s="16" t="s">
        <v>26</v>
      </c>
      <c r="C215" s="16">
        <v>27</v>
      </c>
      <c r="D215" s="16">
        <v>4</v>
      </c>
      <c r="E215" s="16" t="s">
        <v>464</v>
      </c>
      <c r="F215" s="16" t="s">
        <v>584</v>
      </c>
      <c r="G215" s="16">
        <v>0</v>
      </c>
      <c r="H215" s="16">
        <v>0</v>
      </c>
      <c r="I215" s="16">
        <v>0</v>
      </c>
      <c r="J215" s="16">
        <v>0</v>
      </c>
      <c r="K215" s="16">
        <v>0</v>
      </c>
      <c r="L215" s="16">
        <v>0</v>
      </c>
      <c r="M215" s="16">
        <v>0</v>
      </c>
      <c r="N215" s="16">
        <v>0</v>
      </c>
      <c r="O215" s="16">
        <v>0</v>
      </c>
      <c r="P215" s="16">
        <v>0</v>
      </c>
      <c r="Q215" s="16">
        <v>0</v>
      </c>
      <c r="R215" s="16">
        <v>0</v>
      </c>
      <c r="S215" s="16">
        <v>0</v>
      </c>
      <c r="T215" s="16">
        <v>0</v>
      </c>
      <c r="U215" s="16">
        <v>0</v>
      </c>
      <c r="V215" s="16">
        <f>($J215*0.04)+($K215*4)+($L215*-2)+($N215*0.1)+($O215*6)+($Q215)+($R215*0.1)+($S215*6)+($T215*-2)</f>
        <v>0</v>
      </c>
      <c r="W215" s="16" t="e">
        <f>$P215/$H$33</f>
        <v>#DIV/0!</v>
      </c>
      <c r="X215" s="16" t="e">
        <f>$N215/$M215</f>
        <v>#DIV/0!</v>
      </c>
      <c r="Y215" s="16" t="e">
        <f>$R215/$Q215</f>
        <v>#DIV/0!</v>
      </c>
      <c r="Z215" s="16" t="e">
        <f>$I215/$H215</f>
        <v>#DIV/0!</v>
      </c>
      <c r="AA215" s="16" t="e">
        <f>$K215/$H215</f>
        <v>#DIV/0!</v>
      </c>
      <c r="AB215" s="16">
        <f>($J215*Cp_yd)+($K215*Cp_td)+($L215*Cint)+($M215*Ccar)+($N215*Cr_yd)+($O215*Cr_td)+(Q215*Crec)+($R215*Crec_yd)+($S215*Crec_td)+($T215*Cfmb)+($U215*Ctp_c)</f>
        <v>0</v>
      </c>
    </row>
    <row r="216" spans="1:28" x14ac:dyDescent="0.2">
      <c r="A216" s="15" t="s">
        <v>612</v>
      </c>
      <c r="B216" s="15" t="s">
        <v>31</v>
      </c>
      <c r="C216" s="15">
        <v>23</v>
      </c>
      <c r="D216" s="15">
        <v>1</v>
      </c>
      <c r="E216" s="15" t="s">
        <v>613</v>
      </c>
      <c r="F216" s="15" t="s">
        <v>584</v>
      </c>
      <c r="G216" s="15">
        <v>0</v>
      </c>
      <c r="H216" s="15">
        <v>0</v>
      </c>
      <c r="I216" s="15">
        <v>0</v>
      </c>
      <c r="J216" s="15">
        <v>0</v>
      </c>
      <c r="K216" s="15">
        <v>0</v>
      </c>
      <c r="L216" s="15">
        <v>0</v>
      </c>
      <c r="M216" s="15">
        <v>0</v>
      </c>
      <c r="N216" s="15">
        <v>0</v>
      </c>
      <c r="O216" s="15">
        <v>0</v>
      </c>
      <c r="P216" s="15">
        <v>0</v>
      </c>
      <c r="Q216" s="15">
        <v>0</v>
      </c>
      <c r="R216" s="15">
        <v>0</v>
      </c>
      <c r="S216" s="15">
        <v>0</v>
      </c>
      <c r="T216" s="15">
        <v>0</v>
      </c>
      <c r="U216" s="15">
        <v>0</v>
      </c>
      <c r="V216" s="15">
        <f>($J216*0.04)+($K216*4)+($L216*-2)+($N216*0.1)+($O216*6)+($Q216)+($R216*0.1)+($S216*6)+($T216*-2)</f>
        <v>0</v>
      </c>
      <c r="W216" s="15" t="e">
        <f>$P216/$H$33</f>
        <v>#DIV/0!</v>
      </c>
      <c r="X216" s="15" t="e">
        <f>$N216/$M216</f>
        <v>#DIV/0!</v>
      </c>
      <c r="Y216" s="15" t="e">
        <f>$R216/$Q216</f>
        <v>#DIV/0!</v>
      </c>
      <c r="Z216" s="15" t="e">
        <f>$I216/$H216</f>
        <v>#DIV/0!</v>
      </c>
      <c r="AA216" s="15" t="e">
        <f>$K216/$H216</f>
        <v>#DIV/0!</v>
      </c>
      <c r="AB216" s="15">
        <f>($J216*Cp_yd)+($K216*Cp_td)+($L216*Cint)+($M216*Ccar)+($N216*Cr_yd)+($O216*Cr_td)+(Q216*Crec)+($R216*Crec_yd)+($S216*Crec_td)+($T216*Cfmb)+($U216*Ctp_c)</f>
        <v>0</v>
      </c>
    </row>
    <row r="217" spans="1:28" x14ac:dyDescent="0.2">
      <c r="A217" s="16" t="s">
        <v>614</v>
      </c>
      <c r="B217" s="16" t="s">
        <v>31</v>
      </c>
      <c r="C217" s="16">
        <v>25</v>
      </c>
      <c r="D217" s="16">
        <v>3</v>
      </c>
      <c r="E217" s="16" t="s">
        <v>362</v>
      </c>
      <c r="F217" s="16" t="s">
        <v>584</v>
      </c>
      <c r="G217" s="16">
        <v>0</v>
      </c>
      <c r="H217" s="16">
        <v>0</v>
      </c>
      <c r="I217" s="16">
        <v>0</v>
      </c>
      <c r="J217" s="16">
        <v>0</v>
      </c>
      <c r="K217" s="16">
        <v>0</v>
      </c>
      <c r="L217" s="16">
        <v>0</v>
      </c>
      <c r="M217" s="16">
        <v>0</v>
      </c>
      <c r="N217" s="16">
        <v>0</v>
      </c>
      <c r="O217" s="16">
        <v>0</v>
      </c>
      <c r="P217" s="16">
        <v>0</v>
      </c>
      <c r="Q217" s="16">
        <v>0</v>
      </c>
      <c r="R217" s="16">
        <v>0</v>
      </c>
      <c r="S217" s="16">
        <v>0</v>
      </c>
      <c r="T217" s="16">
        <v>0</v>
      </c>
      <c r="U217" s="16">
        <v>0</v>
      </c>
      <c r="V217" s="16">
        <f>($J217*0.04)+($K217*4)+($L217*-2)+($N217*0.1)+($O217*6)+($Q217)+($R217*0.1)+($S217*6)+($T217*-2)</f>
        <v>0</v>
      </c>
      <c r="W217" s="16" t="e">
        <f>$P217/$H$33</f>
        <v>#DIV/0!</v>
      </c>
      <c r="X217" s="16" t="e">
        <f>$N217/$M217</f>
        <v>#DIV/0!</v>
      </c>
      <c r="Y217" s="16" t="e">
        <f>$R217/$Q217</f>
        <v>#DIV/0!</v>
      </c>
      <c r="Z217" s="16" t="e">
        <f>$I217/$H217</f>
        <v>#DIV/0!</v>
      </c>
      <c r="AA217" s="16" t="e">
        <f>$K217/$H217</f>
        <v>#DIV/0!</v>
      </c>
      <c r="AB217" s="16">
        <f>($J217*Cp_yd)+($K217*Cp_td)+($L217*Cint)+($M217*Ccar)+($N217*Cr_yd)+($O217*Cr_td)+(Q217*Crec)+($R217*Crec_yd)+($S217*Crec_td)+($T217*Cfmb)+($U217*Ctp_c)</f>
        <v>0</v>
      </c>
    </row>
    <row r="218" spans="1:28" x14ac:dyDescent="0.2">
      <c r="A218" s="15" t="s">
        <v>615</v>
      </c>
      <c r="B218" s="15" t="s">
        <v>31</v>
      </c>
      <c r="C218" s="15">
        <v>22</v>
      </c>
      <c r="D218" s="15">
        <v>0</v>
      </c>
      <c r="E218" s="15" t="s">
        <v>616</v>
      </c>
      <c r="F218" s="15" t="s">
        <v>584</v>
      </c>
      <c r="G218" s="15">
        <v>0</v>
      </c>
      <c r="H218" s="15">
        <v>0</v>
      </c>
      <c r="I218" s="15">
        <v>0</v>
      </c>
      <c r="J218" s="15">
        <v>0</v>
      </c>
      <c r="K218" s="15">
        <v>0</v>
      </c>
      <c r="L218" s="15">
        <v>0</v>
      </c>
      <c r="M218" s="15">
        <v>0</v>
      </c>
      <c r="N218" s="15">
        <v>0</v>
      </c>
      <c r="O218" s="15">
        <v>0</v>
      </c>
      <c r="P218" s="15">
        <v>0</v>
      </c>
      <c r="Q218" s="15">
        <v>0</v>
      </c>
      <c r="R218" s="15">
        <v>0</v>
      </c>
      <c r="S218" s="15">
        <v>0</v>
      </c>
      <c r="T218" s="15">
        <v>0</v>
      </c>
      <c r="U218" s="15">
        <v>0</v>
      </c>
      <c r="V218" s="15">
        <f>($J218*0.04)+($K218*4)+($L218*-2)+($N218*0.1)+($O218*6)+($Q218)+($R218*0.1)+($S218*6)+($T218*-2)</f>
        <v>0</v>
      </c>
      <c r="W218" s="15" t="e">
        <f>$P218/$H$33</f>
        <v>#DIV/0!</v>
      </c>
      <c r="X218" s="15" t="e">
        <f>$N218/$M218</f>
        <v>#DIV/0!</v>
      </c>
      <c r="Y218" s="15" t="e">
        <f>$R218/$Q218</f>
        <v>#DIV/0!</v>
      </c>
      <c r="Z218" s="15" t="e">
        <f>$I218/$H218</f>
        <v>#DIV/0!</v>
      </c>
      <c r="AA218" s="15" t="e">
        <f>$K218/$H218</f>
        <v>#DIV/0!</v>
      </c>
      <c r="AB218" s="15">
        <f>($J218*Cp_yd)+($K218*Cp_td)+($L218*Cint)+($M218*Ccar)+($N218*Cr_yd)+($O218*Cr_td)+(Q218*Crec)+($R218*Crec_yd)+($S218*Crec_td)+($T218*Cfmb)+($U218*Ctp_c)</f>
        <v>0</v>
      </c>
    </row>
    <row r="219" spans="1:28" x14ac:dyDescent="0.2">
      <c r="A219" s="16" t="s">
        <v>617</v>
      </c>
      <c r="B219" s="16" t="s">
        <v>31</v>
      </c>
      <c r="C219" s="16">
        <v>27</v>
      </c>
      <c r="D219" s="16">
        <v>7</v>
      </c>
      <c r="E219" s="16" t="s">
        <v>68</v>
      </c>
      <c r="F219" s="16" t="s">
        <v>584</v>
      </c>
      <c r="G219" s="16">
        <v>0</v>
      </c>
      <c r="H219" s="16">
        <v>0</v>
      </c>
      <c r="I219" s="16">
        <v>0</v>
      </c>
      <c r="J219" s="16">
        <v>0</v>
      </c>
      <c r="K219" s="16">
        <v>0</v>
      </c>
      <c r="L219" s="16">
        <v>0</v>
      </c>
      <c r="M219" s="16">
        <v>0</v>
      </c>
      <c r="N219" s="16">
        <v>0</v>
      </c>
      <c r="O219" s="16">
        <v>0</v>
      </c>
      <c r="P219" s="16">
        <v>0</v>
      </c>
      <c r="Q219" s="16">
        <v>0</v>
      </c>
      <c r="R219" s="16">
        <v>0</v>
      </c>
      <c r="S219" s="16">
        <v>0</v>
      </c>
      <c r="T219" s="16">
        <v>0</v>
      </c>
      <c r="U219" s="16">
        <v>0</v>
      </c>
      <c r="V219" s="16">
        <f>($J219*0.04)+($K219*4)+($L219*-2)+($N219*0.1)+($O219*6)+($Q219)+($R219*0.1)+($S219*6)+($T219*-2)</f>
        <v>0</v>
      </c>
      <c r="W219" s="16" t="e">
        <f>$P219/$H$33</f>
        <v>#DIV/0!</v>
      </c>
      <c r="X219" s="16" t="e">
        <f>$N219/$M219</f>
        <v>#DIV/0!</v>
      </c>
      <c r="Y219" s="16" t="e">
        <f>$R219/$Q219</f>
        <v>#DIV/0!</v>
      </c>
      <c r="Z219" s="16" t="e">
        <f>$I219/$H219</f>
        <v>#DIV/0!</v>
      </c>
      <c r="AA219" s="16" t="e">
        <f>$K219/$H219</f>
        <v>#DIV/0!</v>
      </c>
      <c r="AB219" s="16">
        <f>($J219*Cp_yd)+($K219*Cp_td)+($L219*Cint)+($M219*Ccar)+($N219*Cr_yd)+($O219*Cr_td)+(Q219*Crec)+($R219*Crec_yd)+($S219*Crec_td)+($T219*Cfmb)+($U219*Ctp_c)</f>
        <v>0</v>
      </c>
    </row>
    <row r="220" spans="1:28" x14ac:dyDescent="0.2">
      <c r="A220" s="15" t="s">
        <v>618</v>
      </c>
      <c r="B220" s="15" t="s">
        <v>31</v>
      </c>
      <c r="C220" s="15">
        <v>29</v>
      </c>
      <c r="D220" s="15">
        <v>8</v>
      </c>
      <c r="E220" s="15" t="s">
        <v>86</v>
      </c>
      <c r="F220" s="15" t="s">
        <v>584</v>
      </c>
      <c r="G220" s="15">
        <v>0</v>
      </c>
      <c r="H220" s="15">
        <v>0</v>
      </c>
      <c r="I220" s="15">
        <v>0</v>
      </c>
      <c r="J220" s="15">
        <v>0</v>
      </c>
      <c r="K220" s="15">
        <v>0</v>
      </c>
      <c r="L220" s="15">
        <v>0</v>
      </c>
      <c r="M220" s="15">
        <v>0</v>
      </c>
      <c r="N220" s="15">
        <v>0</v>
      </c>
      <c r="O220" s="15">
        <v>0</v>
      </c>
      <c r="P220" s="15">
        <v>0</v>
      </c>
      <c r="Q220" s="15">
        <v>0</v>
      </c>
      <c r="R220" s="15">
        <v>0</v>
      </c>
      <c r="S220" s="15">
        <v>0</v>
      </c>
      <c r="T220" s="15">
        <v>0</v>
      </c>
      <c r="U220" s="15">
        <v>0</v>
      </c>
      <c r="V220" s="15">
        <f>($J220*0.04)+($K220*4)+($L220*-2)+($N220*0.1)+($O220*6)+($Q220)+($R220*0.1)+($S220*6)+($T220*-2)</f>
        <v>0</v>
      </c>
      <c r="W220" s="15" t="e">
        <f>$P220/$H$33</f>
        <v>#DIV/0!</v>
      </c>
      <c r="X220" s="15" t="e">
        <f>$N220/$M220</f>
        <v>#DIV/0!</v>
      </c>
      <c r="Y220" s="15" t="e">
        <f>$R220/$Q220</f>
        <v>#DIV/0!</v>
      </c>
      <c r="Z220" s="15" t="e">
        <f>$I220/$H220</f>
        <v>#DIV/0!</v>
      </c>
      <c r="AA220" s="15" t="e">
        <f>$K220/$H220</f>
        <v>#DIV/0!</v>
      </c>
      <c r="AB220" s="15">
        <f>($J220*Cp_yd)+($K220*Cp_td)+($L220*Cint)+($M220*Ccar)+($N220*Cr_yd)+($O220*Cr_td)+(Q220*Crec)+($R220*Crec_yd)+($S220*Crec_td)+($T220*Cfmb)+($U220*Ctp_c)</f>
        <v>0</v>
      </c>
    </row>
    <row r="221" spans="1:28" x14ac:dyDescent="0.2">
      <c r="A221" s="16" t="s">
        <v>620</v>
      </c>
      <c r="B221" s="16" t="s">
        <v>43</v>
      </c>
      <c r="C221" s="16">
        <v>25</v>
      </c>
      <c r="D221" s="16">
        <v>2</v>
      </c>
      <c r="E221" s="16" t="s">
        <v>211</v>
      </c>
      <c r="F221" s="16" t="s">
        <v>584</v>
      </c>
      <c r="G221" s="16">
        <v>0</v>
      </c>
      <c r="H221" s="16">
        <v>0</v>
      </c>
      <c r="I221" s="16">
        <v>0</v>
      </c>
      <c r="J221" s="16">
        <v>0</v>
      </c>
      <c r="K221" s="16">
        <v>0</v>
      </c>
      <c r="L221" s="16">
        <v>0</v>
      </c>
      <c r="M221" s="16">
        <v>0</v>
      </c>
      <c r="N221" s="16">
        <v>0</v>
      </c>
      <c r="O221" s="16">
        <v>0</v>
      </c>
      <c r="P221" s="16">
        <v>0</v>
      </c>
      <c r="Q221" s="16">
        <v>0</v>
      </c>
      <c r="R221" s="16">
        <v>0</v>
      </c>
      <c r="S221" s="16">
        <v>0</v>
      </c>
      <c r="T221" s="16">
        <v>0</v>
      </c>
      <c r="U221" s="16">
        <v>0</v>
      </c>
      <c r="V221" s="16">
        <f>($J221*0.04)+($K221*4)+($L221*-2)+($N221*0.1)+($O221*6)+($Q221)+($R221*0.1)+($S221*6)+($T221*-2)</f>
        <v>0</v>
      </c>
      <c r="W221" s="16" t="e">
        <f>$P221/$H$33</f>
        <v>#DIV/0!</v>
      </c>
      <c r="X221" s="16" t="e">
        <f>$N221/$M221</f>
        <v>#DIV/0!</v>
      </c>
      <c r="Y221" s="16" t="e">
        <f>$R221/$Q221</f>
        <v>#DIV/0!</v>
      </c>
      <c r="Z221" s="16" t="e">
        <f>$I221/$H221</f>
        <v>#DIV/0!</v>
      </c>
      <c r="AA221" s="16" t="e">
        <f>$K221/$H221</f>
        <v>#DIV/0!</v>
      </c>
      <c r="AB221" s="16">
        <f>($J221*Cp_yd)+($K221*Cp_td)+($L221*Cint)+($M221*Ccar)+($N221*Cr_yd)+($O221*Cr_td)+(Q221*Crec)+($R221*Crec_yd)+($S221*Crec_td)+($T221*Cfmb)+($U221*Ctp_c)</f>
        <v>0</v>
      </c>
    </row>
    <row r="222" spans="1:28" x14ac:dyDescent="0.2">
      <c r="A222" s="15" t="s">
        <v>621</v>
      </c>
      <c r="B222" s="15" t="s">
        <v>43</v>
      </c>
      <c r="C222" s="15">
        <v>25</v>
      </c>
      <c r="D222" s="15">
        <v>4</v>
      </c>
      <c r="E222" s="15" t="s">
        <v>143</v>
      </c>
      <c r="F222" s="15" t="s">
        <v>584</v>
      </c>
      <c r="G222" s="15">
        <v>0</v>
      </c>
      <c r="H222" s="15">
        <v>0</v>
      </c>
      <c r="I222" s="15">
        <v>0</v>
      </c>
      <c r="J222" s="15">
        <v>0</v>
      </c>
      <c r="K222" s="15">
        <v>0</v>
      </c>
      <c r="L222" s="15">
        <v>0</v>
      </c>
      <c r="M222" s="15">
        <v>0</v>
      </c>
      <c r="N222" s="15">
        <v>0</v>
      </c>
      <c r="O222" s="15">
        <v>0</v>
      </c>
      <c r="P222" s="15">
        <v>0</v>
      </c>
      <c r="Q222" s="15">
        <v>0</v>
      </c>
      <c r="R222" s="15">
        <v>0</v>
      </c>
      <c r="S222" s="15">
        <v>0</v>
      </c>
      <c r="T222" s="15">
        <v>0</v>
      </c>
      <c r="U222" s="15">
        <v>0</v>
      </c>
      <c r="V222" s="15">
        <f>($J222*0.04)+($K222*4)+($L222*-2)+($N222*0.1)+($O222*6)+($Q222)+($R222*0.1)+($S222*6)+($T222*-2)</f>
        <v>0</v>
      </c>
      <c r="W222" s="15" t="e">
        <f>$P222/$H$33</f>
        <v>#DIV/0!</v>
      </c>
      <c r="X222" s="15" t="e">
        <f>$N222/$M222</f>
        <v>#DIV/0!</v>
      </c>
      <c r="Y222" s="15" t="e">
        <f>$R222/$Q222</f>
        <v>#DIV/0!</v>
      </c>
      <c r="Z222" s="15" t="e">
        <f>$I222/$H222</f>
        <v>#DIV/0!</v>
      </c>
      <c r="AA222" s="15" t="e">
        <f>$K222/$H222</f>
        <v>#DIV/0!</v>
      </c>
      <c r="AB222" s="15">
        <f>($J222*Cp_yd)+($K222*Cp_td)+($L222*Cint)+($M222*Ccar)+($N222*Cr_yd)+($O222*Cr_td)+(Q222*Crec)+($R222*Crec_yd)+($S222*Crec_td)+($T222*Cfmb)+($U222*Ctp_c)</f>
        <v>0</v>
      </c>
    </row>
    <row r="223" spans="1:28" x14ac:dyDescent="0.2">
      <c r="A223" s="16" t="s">
        <v>622</v>
      </c>
      <c r="B223" s="16" t="s">
        <v>43</v>
      </c>
      <c r="C223" s="16">
        <v>23</v>
      </c>
      <c r="D223" s="16">
        <v>0</v>
      </c>
      <c r="E223" s="16" t="s">
        <v>623</v>
      </c>
      <c r="F223" s="16" t="s">
        <v>584</v>
      </c>
      <c r="G223" s="16">
        <v>0</v>
      </c>
      <c r="H223" s="16">
        <v>0</v>
      </c>
      <c r="I223" s="16">
        <v>0</v>
      </c>
      <c r="J223" s="16">
        <v>0</v>
      </c>
      <c r="K223" s="16">
        <v>0</v>
      </c>
      <c r="L223" s="16">
        <v>0</v>
      </c>
      <c r="M223" s="16">
        <v>0</v>
      </c>
      <c r="N223" s="16">
        <v>0</v>
      </c>
      <c r="O223" s="16">
        <v>0</v>
      </c>
      <c r="P223" s="16">
        <v>0</v>
      </c>
      <c r="Q223" s="16">
        <v>0</v>
      </c>
      <c r="R223" s="16">
        <v>0</v>
      </c>
      <c r="S223" s="16">
        <v>0</v>
      </c>
      <c r="T223" s="16">
        <v>0</v>
      </c>
      <c r="U223" s="16">
        <v>0</v>
      </c>
      <c r="V223" s="16">
        <f>($J223*0.04)+($K223*4)+($L223*-2)+($N223*0.1)+($O223*6)+($Q223)+($R223*0.1)+($S223*6)+($T223*-2)</f>
        <v>0</v>
      </c>
      <c r="W223" s="16" t="e">
        <f>$P223/$H$33</f>
        <v>#DIV/0!</v>
      </c>
      <c r="X223" s="16" t="e">
        <f>$N223/$M223</f>
        <v>#DIV/0!</v>
      </c>
      <c r="Y223" s="16" t="e">
        <f>$R223/$Q223</f>
        <v>#DIV/0!</v>
      </c>
      <c r="Z223" s="16" t="e">
        <f>$I223/$H223</f>
        <v>#DIV/0!</v>
      </c>
      <c r="AA223" s="16" t="e">
        <f>$K223/$H223</f>
        <v>#DIV/0!</v>
      </c>
      <c r="AB223" s="16">
        <f>($J223*Cp_yd)+($K223*Cp_td)+($L223*Cint)+($M223*Ccar)+($N223*Cr_yd)+($O223*Cr_td)+(Q223*Crec)+($R223*Crec_yd)+($S223*Crec_td)+($T223*Cfmb)+($U223*Ctp_c)</f>
        <v>0</v>
      </c>
    </row>
    <row r="224" spans="1:28" x14ac:dyDescent="0.2">
      <c r="A224" s="15" t="s">
        <v>624</v>
      </c>
      <c r="B224" s="15" t="s">
        <v>43</v>
      </c>
      <c r="C224" s="15">
        <v>26</v>
      </c>
      <c r="D224" s="15">
        <v>3</v>
      </c>
      <c r="E224" s="15" t="s">
        <v>95</v>
      </c>
      <c r="F224" s="15" t="s">
        <v>584</v>
      </c>
      <c r="G224" s="15">
        <v>0</v>
      </c>
      <c r="H224" s="15">
        <v>0</v>
      </c>
      <c r="I224" s="15">
        <v>0</v>
      </c>
      <c r="J224" s="15">
        <v>0</v>
      </c>
      <c r="K224" s="15">
        <v>0</v>
      </c>
      <c r="L224" s="15">
        <v>0</v>
      </c>
      <c r="M224" s="15">
        <v>0</v>
      </c>
      <c r="N224" s="15">
        <v>0</v>
      </c>
      <c r="O224" s="15">
        <v>0</v>
      </c>
      <c r="P224" s="15">
        <v>0</v>
      </c>
      <c r="Q224" s="15">
        <v>0</v>
      </c>
      <c r="R224" s="15">
        <v>0</v>
      </c>
      <c r="S224" s="15">
        <v>0</v>
      </c>
      <c r="T224" s="15">
        <v>0</v>
      </c>
      <c r="U224" s="15">
        <v>0</v>
      </c>
      <c r="V224" s="15">
        <f>($J224*0.04)+($K224*4)+($L224*-2)+($N224*0.1)+($O224*6)+($Q224)+($R224*0.1)+($S224*6)+($T224*-2)</f>
        <v>0</v>
      </c>
      <c r="W224" s="15" t="e">
        <f>$P224/$H$33</f>
        <v>#DIV/0!</v>
      </c>
      <c r="X224" s="15" t="e">
        <f>$N224/$M224</f>
        <v>#DIV/0!</v>
      </c>
      <c r="Y224" s="15" t="e">
        <f>$R224/$Q224</f>
        <v>#DIV/0!</v>
      </c>
      <c r="Z224" s="15" t="e">
        <f>$I224/$H224</f>
        <v>#DIV/0!</v>
      </c>
      <c r="AA224" s="15" t="e">
        <f>$K224/$H224</f>
        <v>#DIV/0!</v>
      </c>
      <c r="AB224" s="15">
        <f>($J224*Cp_yd)+($K224*Cp_td)+($L224*Cint)+($M224*Ccar)+($N224*Cr_yd)+($O224*Cr_td)+(Q224*Crec)+($R224*Crec_yd)+($S224*Crec_td)+($T224*Cfmb)+($U224*Ctp_c)</f>
        <v>0</v>
      </c>
    </row>
    <row r="225" spans="1:28" x14ac:dyDescent="0.2">
      <c r="A225" s="16" t="s">
        <v>625</v>
      </c>
      <c r="B225" s="16" t="s">
        <v>43</v>
      </c>
      <c r="C225" s="16">
        <v>25</v>
      </c>
      <c r="D225" s="16">
        <v>4</v>
      </c>
      <c r="E225" s="16" t="s">
        <v>66</v>
      </c>
      <c r="F225" s="16" t="s">
        <v>584</v>
      </c>
      <c r="G225" s="16">
        <v>0</v>
      </c>
      <c r="H225" s="16">
        <v>0</v>
      </c>
      <c r="I225" s="16">
        <v>0</v>
      </c>
      <c r="J225" s="16">
        <v>0</v>
      </c>
      <c r="K225" s="16">
        <v>0</v>
      </c>
      <c r="L225" s="16">
        <v>0</v>
      </c>
      <c r="M225" s="16">
        <v>0</v>
      </c>
      <c r="N225" s="16">
        <v>0</v>
      </c>
      <c r="O225" s="16">
        <v>0</v>
      </c>
      <c r="P225" s="16">
        <v>0</v>
      </c>
      <c r="Q225" s="16">
        <v>0</v>
      </c>
      <c r="R225" s="16">
        <v>0</v>
      </c>
      <c r="S225" s="16">
        <v>0</v>
      </c>
      <c r="T225" s="16">
        <v>0</v>
      </c>
      <c r="U225" s="16">
        <v>0</v>
      </c>
      <c r="V225" s="16">
        <f>($J225*0.04)+($K225*4)+($L225*-2)+($N225*0.1)+($O225*6)+($Q225)+($R225*0.1)+($S225*6)+($T225*-2)</f>
        <v>0</v>
      </c>
      <c r="W225" s="16" t="e">
        <f>$P225/$H$33</f>
        <v>#DIV/0!</v>
      </c>
      <c r="X225" s="16" t="e">
        <f>$N225/$M225</f>
        <v>#DIV/0!</v>
      </c>
      <c r="Y225" s="16" t="e">
        <f>$R225/$Q225</f>
        <v>#DIV/0!</v>
      </c>
      <c r="Z225" s="16" t="e">
        <f>$I225/$H225</f>
        <v>#DIV/0!</v>
      </c>
      <c r="AA225" s="16" t="e">
        <f>$K225/$H225</f>
        <v>#DIV/0!</v>
      </c>
      <c r="AB225" s="16">
        <f>($J225*Cp_yd)+($K225*Cp_td)+($L225*Cint)+($M225*Ccar)+($N225*Cr_yd)+($O225*Cr_td)+(Q225*Crec)+($R225*Crec_yd)+($S225*Crec_td)+($T225*Cfmb)+($U225*Ctp_c)</f>
        <v>0</v>
      </c>
    </row>
    <row r="226" spans="1:28" x14ac:dyDescent="0.2">
      <c r="A226" s="15" t="s">
        <v>626</v>
      </c>
      <c r="B226" s="15" t="s">
        <v>43</v>
      </c>
      <c r="C226" s="15">
        <v>24</v>
      </c>
      <c r="D226" s="15">
        <v>4</v>
      </c>
      <c r="E226" s="15" t="s">
        <v>153</v>
      </c>
      <c r="F226" s="15" t="s">
        <v>584</v>
      </c>
      <c r="G226" s="15">
        <v>0</v>
      </c>
      <c r="H226" s="15">
        <v>0</v>
      </c>
      <c r="I226" s="15">
        <v>0</v>
      </c>
      <c r="J226" s="15">
        <v>0</v>
      </c>
      <c r="K226" s="15">
        <v>0</v>
      </c>
      <c r="L226" s="15">
        <v>0</v>
      </c>
      <c r="M226" s="15">
        <v>0</v>
      </c>
      <c r="N226" s="15">
        <v>0</v>
      </c>
      <c r="O226" s="15">
        <v>0</v>
      </c>
      <c r="P226" s="15">
        <v>0</v>
      </c>
      <c r="Q226" s="15">
        <v>0</v>
      </c>
      <c r="R226" s="15">
        <v>0</v>
      </c>
      <c r="S226" s="15">
        <v>0</v>
      </c>
      <c r="T226" s="15">
        <v>0</v>
      </c>
      <c r="U226" s="15">
        <v>0</v>
      </c>
      <c r="V226" s="15">
        <f>($J226*0.04)+($K226*4)+($L226*-2)+($N226*0.1)+($O226*6)+($Q226)+($R226*0.1)+($S226*6)+($T226*-2)</f>
        <v>0</v>
      </c>
      <c r="W226" s="15" t="e">
        <f>$P226/$H$33</f>
        <v>#DIV/0!</v>
      </c>
      <c r="X226" s="15" t="e">
        <f>$N226/$M226</f>
        <v>#DIV/0!</v>
      </c>
      <c r="Y226" s="15" t="e">
        <f>$R226/$Q226</f>
        <v>#DIV/0!</v>
      </c>
      <c r="Z226" s="15" t="e">
        <f>$I226/$H226</f>
        <v>#DIV/0!</v>
      </c>
      <c r="AA226" s="15" t="e">
        <f>$K226/$H226</f>
        <v>#DIV/0!</v>
      </c>
      <c r="AB226" s="15">
        <f>($J226*Cp_yd)+($K226*Cp_td)+($L226*Cint)+($M226*Ccar)+($N226*Cr_yd)+($O226*Cr_td)+(Q226*Crec)+($R226*Crec_yd)+($S226*Crec_td)+($T226*Cfmb)+($U226*Ctp_c)</f>
        <v>0</v>
      </c>
    </row>
    <row r="227" spans="1:28" x14ac:dyDescent="0.2">
      <c r="A227" s="16" t="s">
        <v>627</v>
      </c>
      <c r="B227" s="16" t="s">
        <v>43</v>
      </c>
      <c r="C227" s="16">
        <v>25</v>
      </c>
      <c r="D227" s="16">
        <v>2</v>
      </c>
      <c r="E227" s="16" t="s">
        <v>282</v>
      </c>
      <c r="F227" s="16" t="s">
        <v>584</v>
      </c>
      <c r="G227" s="16">
        <v>0</v>
      </c>
      <c r="H227" s="16">
        <v>0</v>
      </c>
      <c r="I227" s="16">
        <v>0</v>
      </c>
      <c r="J227" s="16">
        <v>0</v>
      </c>
      <c r="K227" s="16">
        <v>0</v>
      </c>
      <c r="L227" s="16">
        <v>0</v>
      </c>
      <c r="M227" s="16">
        <v>0</v>
      </c>
      <c r="N227" s="16">
        <v>0</v>
      </c>
      <c r="O227" s="16">
        <v>0</v>
      </c>
      <c r="P227" s="16">
        <v>0</v>
      </c>
      <c r="Q227" s="16">
        <v>0</v>
      </c>
      <c r="R227" s="16">
        <v>0</v>
      </c>
      <c r="S227" s="16">
        <v>0</v>
      </c>
      <c r="T227" s="16">
        <v>0</v>
      </c>
      <c r="U227" s="16">
        <v>0</v>
      </c>
      <c r="V227" s="16">
        <f>($J227*0.04)+($K227*4)+($L227*-2)+($N227*0.1)+($O227*6)+($Q227)+($R227*0.1)+($S227*6)+($T227*-2)</f>
        <v>0</v>
      </c>
      <c r="W227" s="16" t="e">
        <f>$P227/$H$33</f>
        <v>#DIV/0!</v>
      </c>
      <c r="X227" s="16" t="e">
        <f>$N227/$M227</f>
        <v>#DIV/0!</v>
      </c>
      <c r="Y227" s="16" t="e">
        <f>$R227/$Q227</f>
        <v>#DIV/0!</v>
      </c>
      <c r="Z227" s="16" t="e">
        <f>$I227/$H227</f>
        <v>#DIV/0!</v>
      </c>
      <c r="AA227" s="16" t="e">
        <f>$K227/$H227</f>
        <v>#DIV/0!</v>
      </c>
      <c r="AB227" s="16">
        <f>($J227*Cp_yd)+($K227*Cp_td)+($L227*Cint)+($M227*Ccar)+($N227*Cr_yd)+($O227*Cr_td)+(Q227*Crec)+($R227*Crec_yd)+($S227*Crec_td)+($T227*Cfmb)+($U227*Ctp_c)</f>
        <v>0</v>
      </c>
    </row>
    <row r="228" spans="1:28" x14ac:dyDescent="0.2">
      <c r="A228" s="15" t="s">
        <v>628</v>
      </c>
      <c r="B228" s="15" t="s">
        <v>43</v>
      </c>
      <c r="C228" s="15">
        <v>26</v>
      </c>
      <c r="D228" s="15">
        <v>2</v>
      </c>
      <c r="E228" s="15" t="s">
        <v>629</v>
      </c>
      <c r="F228" s="15" t="s">
        <v>584</v>
      </c>
      <c r="G228" s="15">
        <v>0</v>
      </c>
      <c r="H228" s="15">
        <v>0</v>
      </c>
      <c r="I228" s="15">
        <v>0</v>
      </c>
      <c r="J228" s="15">
        <v>0</v>
      </c>
      <c r="K228" s="15">
        <v>0</v>
      </c>
      <c r="L228" s="15">
        <v>0</v>
      </c>
      <c r="M228" s="15">
        <v>0</v>
      </c>
      <c r="N228" s="15">
        <v>0</v>
      </c>
      <c r="O228" s="15">
        <v>0</v>
      </c>
      <c r="P228" s="15">
        <v>0</v>
      </c>
      <c r="Q228" s="15">
        <v>0</v>
      </c>
      <c r="R228" s="15">
        <v>0</v>
      </c>
      <c r="S228" s="15">
        <v>0</v>
      </c>
      <c r="T228" s="15">
        <v>0</v>
      </c>
      <c r="U228" s="15">
        <v>0</v>
      </c>
      <c r="V228" s="15">
        <f>($J228*0.04)+($K228*4)+($L228*-2)+($N228*0.1)+($O228*6)+($Q228)+($R228*0.1)+($S228*6)+($T228*-2)</f>
        <v>0</v>
      </c>
      <c r="W228" s="15" t="e">
        <f>$P228/$H$33</f>
        <v>#DIV/0!</v>
      </c>
      <c r="X228" s="15" t="e">
        <f>$N228/$M228</f>
        <v>#DIV/0!</v>
      </c>
      <c r="Y228" s="15" t="e">
        <f>$R228/$Q228</f>
        <v>#DIV/0!</v>
      </c>
      <c r="Z228" s="15" t="e">
        <f>$I228/$H228</f>
        <v>#DIV/0!</v>
      </c>
      <c r="AA228" s="15" t="e">
        <f>$K228/$H228</f>
        <v>#DIV/0!</v>
      </c>
      <c r="AB228" s="15">
        <f>($J228*Cp_yd)+($K228*Cp_td)+($L228*Cint)+($M228*Ccar)+($N228*Cr_yd)+($O228*Cr_td)+(Q228*Crec)+($R228*Crec_yd)+($S228*Crec_td)+($T228*Cfmb)+($U228*Ctp_c)</f>
        <v>0</v>
      </c>
    </row>
    <row r="229" spans="1:28" x14ac:dyDescent="0.2">
      <c r="A229" s="16" t="s">
        <v>630</v>
      </c>
      <c r="B229" s="16" t="s">
        <v>43</v>
      </c>
      <c r="C229" s="16">
        <v>21</v>
      </c>
      <c r="D229" s="16">
        <v>0</v>
      </c>
      <c r="E229" s="16" t="s">
        <v>68</v>
      </c>
      <c r="F229" s="16" t="s">
        <v>584</v>
      </c>
      <c r="G229" s="16">
        <v>0</v>
      </c>
      <c r="H229" s="16">
        <v>0</v>
      </c>
      <c r="I229" s="16">
        <v>0</v>
      </c>
      <c r="J229" s="16">
        <v>0</v>
      </c>
      <c r="K229" s="16">
        <v>0</v>
      </c>
      <c r="L229" s="16">
        <v>0</v>
      </c>
      <c r="M229" s="16">
        <v>0</v>
      </c>
      <c r="N229" s="16">
        <v>0</v>
      </c>
      <c r="O229" s="16">
        <v>0</v>
      </c>
      <c r="P229" s="16">
        <v>0</v>
      </c>
      <c r="Q229" s="16">
        <v>0</v>
      </c>
      <c r="R229" s="16">
        <v>0</v>
      </c>
      <c r="S229" s="16">
        <v>0</v>
      </c>
      <c r="T229" s="16">
        <v>0</v>
      </c>
      <c r="U229" s="16">
        <v>0</v>
      </c>
      <c r="V229" s="16">
        <f>($J229*0.04)+($K229*4)+($L229*-2)+($N229*0.1)+($O229*6)+($Q229)+($R229*0.1)+($S229*6)+($T229*-2)</f>
        <v>0</v>
      </c>
      <c r="W229" s="16" t="e">
        <f>$P229/$H$33</f>
        <v>#DIV/0!</v>
      </c>
      <c r="X229" s="16" t="e">
        <f>$N229/$M229</f>
        <v>#DIV/0!</v>
      </c>
      <c r="Y229" s="16" t="e">
        <f>$R229/$Q229</f>
        <v>#DIV/0!</v>
      </c>
      <c r="Z229" s="16" t="e">
        <f>$I229/$H229</f>
        <v>#DIV/0!</v>
      </c>
      <c r="AA229" s="16" t="e">
        <f>$K229/$H229</f>
        <v>#DIV/0!</v>
      </c>
      <c r="AB229" s="16">
        <f>($J229*Cp_yd)+($K229*Cp_td)+($L229*Cint)+($M229*Ccar)+($N229*Cr_yd)+($O229*Cr_td)+(Q229*Crec)+($R229*Crec_yd)+($S229*Crec_td)+($T229*Cfmb)+($U229*Ctp_c)</f>
        <v>0</v>
      </c>
    </row>
    <row r="230" spans="1:28" x14ac:dyDescent="0.2">
      <c r="A230" s="15" t="s">
        <v>631</v>
      </c>
      <c r="B230" s="15" t="s">
        <v>43</v>
      </c>
      <c r="C230" s="15">
        <v>29</v>
      </c>
      <c r="D230" s="15">
        <v>6</v>
      </c>
      <c r="E230" s="15" t="s">
        <v>207</v>
      </c>
      <c r="F230" s="15" t="s">
        <v>584</v>
      </c>
      <c r="G230" s="15">
        <v>0</v>
      </c>
      <c r="H230" s="15">
        <v>0</v>
      </c>
      <c r="I230" s="15">
        <v>0</v>
      </c>
      <c r="J230" s="15">
        <v>0</v>
      </c>
      <c r="K230" s="15">
        <v>0</v>
      </c>
      <c r="L230" s="15">
        <v>0</v>
      </c>
      <c r="M230" s="15">
        <v>0</v>
      </c>
      <c r="N230" s="15">
        <v>0</v>
      </c>
      <c r="O230" s="15">
        <v>0</v>
      </c>
      <c r="P230" s="15">
        <v>0</v>
      </c>
      <c r="Q230" s="15">
        <v>0</v>
      </c>
      <c r="R230" s="15">
        <v>0</v>
      </c>
      <c r="S230" s="15">
        <v>0</v>
      </c>
      <c r="T230" s="15">
        <v>0</v>
      </c>
      <c r="U230" s="15">
        <v>0</v>
      </c>
      <c r="V230" s="15">
        <f>($J230*0.04)+($K230*4)+($L230*-2)+($N230*0.1)+($O230*6)+($Q230)+($R230*0.1)+($S230*6)+($T230*-2)</f>
        <v>0</v>
      </c>
      <c r="W230" s="15" t="e">
        <f>$P230/$H$33</f>
        <v>#DIV/0!</v>
      </c>
      <c r="X230" s="15" t="e">
        <f>$N230/$M230</f>
        <v>#DIV/0!</v>
      </c>
      <c r="Y230" s="15" t="e">
        <f>$R230/$Q230</f>
        <v>#DIV/0!</v>
      </c>
      <c r="Z230" s="15" t="e">
        <f>$I230/$H230</f>
        <v>#DIV/0!</v>
      </c>
      <c r="AA230" s="15" t="e">
        <f>$K230/$H230</f>
        <v>#DIV/0!</v>
      </c>
      <c r="AB230" s="15">
        <f>($J230*Cp_yd)+($K230*Cp_td)+($L230*Cint)+($M230*Ccar)+($N230*Cr_yd)+($O230*Cr_td)+(Q230*Crec)+($R230*Crec_yd)+($S230*Crec_td)+($T230*Cfmb)+($U230*Ctp_c)</f>
        <v>0</v>
      </c>
    </row>
    <row r="231" spans="1:28" x14ac:dyDescent="0.2">
      <c r="A231" s="16" t="s">
        <v>632</v>
      </c>
      <c r="B231" s="16" t="s">
        <v>43</v>
      </c>
      <c r="C231" s="16">
        <v>27</v>
      </c>
      <c r="D231" s="16">
        <v>6</v>
      </c>
      <c r="E231" s="16" t="s">
        <v>237</v>
      </c>
      <c r="F231" s="16" t="s">
        <v>584</v>
      </c>
      <c r="G231" s="16">
        <v>0</v>
      </c>
      <c r="H231" s="16">
        <v>0</v>
      </c>
      <c r="I231" s="16">
        <v>0</v>
      </c>
      <c r="J231" s="16">
        <v>0</v>
      </c>
      <c r="K231" s="16">
        <v>0</v>
      </c>
      <c r="L231" s="16">
        <v>0</v>
      </c>
      <c r="M231" s="16">
        <v>0</v>
      </c>
      <c r="N231" s="16">
        <v>0</v>
      </c>
      <c r="O231" s="16">
        <v>0</v>
      </c>
      <c r="P231" s="16">
        <v>0</v>
      </c>
      <c r="Q231" s="16">
        <v>0</v>
      </c>
      <c r="R231" s="16">
        <v>0</v>
      </c>
      <c r="S231" s="16">
        <v>0</v>
      </c>
      <c r="T231" s="16">
        <v>0</v>
      </c>
      <c r="U231" s="16">
        <v>0</v>
      </c>
      <c r="V231" s="16">
        <f>($J231*0.04)+($K231*4)+($L231*-2)+($N231*0.1)+($O231*6)+($Q231)+($R231*0.1)+($S231*6)+($T231*-2)</f>
        <v>0</v>
      </c>
      <c r="W231" s="16" t="e">
        <f>$P231/$H$33</f>
        <v>#DIV/0!</v>
      </c>
      <c r="X231" s="16" t="e">
        <f>$N231/$M231</f>
        <v>#DIV/0!</v>
      </c>
      <c r="Y231" s="16" t="e">
        <f>$R231/$Q231</f>
        <v>#DIV/0!</v>
      </c>
      <c r="Z231" s="16" t="e">
        <f>$I231/$H231</f>
        <v>#DIV/0!</v>
      </c>
      <c r="AA231" s="16" t="e">
        <f>$K231/$H231</f>
        <v>#DIV/0!</v>
      </c>
      <c r="AB231" s="16">
        <f>($J231*Cp_yd)+($K231*Cp_td)+($L231*Cint)+($M231*Ccar)+($N231*Cr_yd)+($O231*Cr_td)+(Q231*Crec)+($R231*Crec_yd)+($S231*Crec_td)+($T231*Cfmb)+($U231*Ctp_c)</f>
        <v>0</v>
      </c>
    </row>
    <row r="232" spans="1:28" x14ac:dyDescent="0.2">
      <c r="A232" s="15" t="s">
        <v>633</v>
      </c>
      <c r="B232" s="15" t="s">
        <v>43</v>
      </c>
      <c r="C232" s="15">
        <v>25</v>
      </c>
      <c r="D232" s="15">
        <v>2</v>
      </c>
      <c r="E232" s="15" t="s">
        <v>277</v>
      </c>
      <c r="F232" s="15" t="s">
        <v>584</v>
      </c>
      <c r="G232" s="15">
        <v>0</v>
      </c>
      <c r="H232" s="15">
        <v>0</v>
      </c>
      <c r="I232" s="15">
        <v>0</v>
      </c>
      <c r="J232" s="15">
        <v>0</v>
      </c>
      <c r="K232" s="15">
        <v>0</v>
      </c>
      <c r="L232" s="15">
        <v>0</v>
      </c>
      <c r="M232" s="15">
        <v>0</v>
      </c>
      <c r="N232" s="15">
        <v>0</v>
      </c>
      <c r="O232" s="15">
        <v>0</v>
      </c>
      <c r="P232" s="15">
        <v>0</v>
      </c>
      <c r="Q232" s="15">
        <v>0</v>
      </c>
      <c r="R232" s="15">
        <v>0</v>
      </c>
      <c r="S232" s="15">
        <v>0</v>
      </c>
      <c r="T232" s="15">
        <v>0</v>
      </c>
      <c r="U232" s="15">
        <v>0</v>
      </c>
      <c r="V232" s="15">
        <f>($J232*0.04)+($K232*4)+($L232*-2)+($N232*0.1)+($O232*6)+($Q232)+($R232*0.1)+($S232*6)+($T232*-2)</f>
        <v>0</v>
      </c>
      <c r="W232" s="15" t="e">
        <f>$P232/$H$33</f>
        <v>#DIV/0!</v>
      </c>
      <c r="X232" s="15" t="e">
        <f>$N232/$M232</f>
        <v>#DIV/0!</v>
      </c>
      <c r="Y232" s="15" t="e">
        <f>$R232/$Q232</f>
        <v>#DIV/0!</v>
      </c>
      <c r="Z232" s="15" t="e">
        <f>$I232/$H232</f>
        <v>#DIV/0!</v>
      </c>
      <c r="AA232" s="15" t="e">
        <f>$K232/$H232</f>
        <v>#DIV/0!</v>
      </c>
      <c r="AB232" s="15">
        <f>($J232*Cp_yd)+($K232*Cp_td)+($L232*Cint)+($M232*Ccar)+($N232*Cr_yd)+($O232*Cr_td)+(Q232*Crec)+($R232*Crec_yd)+($S232*Crec_td)+($T232*Cfmb)+($U232*Ctp_c)</f>
        <v>0</v>
      </c>
    </row>
    <row r="233" spans="1:28" x14ac:dyDescent="0.2">
      <c r="A233" s="16" t="s">
        <v>634</v>
      </c>
      <c r="B233" s="16" t="s">
        <v>43</v>
      </c>
      <c r="C233" s="16">
        <v>24</v>
      </c>
      <c r="D233" s="16">
        <v>2</v>
      </c>
      <c r="E233" s="16" t="s">
        <v>635</v>
      </c>
      <c r="F233" s="16" t="s">
        <v>584</v>
      </c>
      <c r="G233" s="16">
        <v>0</v>
      </c>
      <c r="H233" s="16">
        <v>0</v>
      </c>
      <c r="I233" s="16">
        <v>0</v>
      </c>
      <c r="J233" s="16">
        <v>0</v>
      </c>
      <c r="K233" s="16">
        <v>0</v>
      </c>
      <c r="L233" s="16">
        <v>0</v>
      </c>
      <c r="M233" s="16">
        <v>0</v>
      </c>
      <c r="N233" s="16">
        <v>0</v>
      </c>
      <c r="O233" s="16">
        <v>0</v>
      </c>
      <c r="P233" s="16">
        <v>0</v>
      </c>
      <c r="Q233" s="16">
        <v>0</v>
      </c>
      <c r="R233" s="16">
        <v>0</v>
      </c>
      <c r="S233" s="16">
        <v>0</v>
      </c>
      <c r="T233" s="16">
        <v>0</v>
      </c>
      <c r="U233" s="16">
        <v>0</v>
      </c>
      <c r="V233" s="16">
        <f>($J233*0.04)+($K233*4)+($L233*-2)+($N233*0.1)+($O233*6)+($Q233)+($R233*0.1)+($S233*6)+($T233*-2)</f>
        <v>0</v>
      </c>
      <c r="W233" s="16" t="e">
        <f>$P233/$H$33</f>
        <v>#DIV/0!</v>
      </c>
      <c r="X233" s="16" t="e">
        <f>$N233/$M233</f>
        <v>#DIV/0!</v>
      </c>
      <c r="Y233" s="16" t="e">
        <f>$R233/$Q233</f>
        <v>#DIV/0!</v>
      </c>
      <c r="Z233" s="16" t="e">
        <f>$I233/$H233</f>
        <v>#DIV/0!</v>
      </c>
      <c r="AA233" s="16" t="e">
        <f>$K233/$H233</f>
        <v>#DIV/0!</v>
      </c>
      <c r="AB233" s="16">
        <f>($J233*Cp_yd)+($K233*Cp_td)+($L233*Cint)+($M233*Ccar)+($N233*Cr_yd)+($O233*Cr_td)+(Q233*Crec)+($R233*Crec_yd)+($S233*Crec_td)+($T233*Cfmb)+($U233*Ctp_c)</f>
        <v>0</v>
      </c>
    </row>
    <row r="234" spans="1:28" x14ac:dyDescent="0.2">
      <c r="A234" s="15" t="s">
        <v>638</v>
      </c>
      <c r="B234" s="15" t="s">
        <v>38</v>
      </c>
      <c r="C234" s="15">
        <v>24</v>
      </c>
      <c r="D234" s="15">
        <v>0</v>
      </c>
      <c r="E234" s="15" t="s">
        <v>341</v>
      </c>
      <c r="F234" s="15" t="s">
        <v>584</v>
      </c>
      <c r="G234" s="15">
        <v>0</v>
      </c>
      <c r="H234" s="15">
        <v>0</v>
      </c>
      <c r="I234" s="15">
        <v>0</v>
      </c>
      <c r="J234" s="15">
        <v>0</v>
      </c>
      <c r="K234" s="15">
        <v>0</v>
      </c>
      <c r="L234" s="15">
        <v>0</v>
      </c>
      <c r="M234" s="15">
        <v>0</v>
      </c>
      <c r="N234" s="15">
        <v>0</v>
      </c>
      <c r="O234" s="15">
        <v>0</v>
      </c>
      <c r="P234" s="15">
        <v>0</v>
      </c>
      <c r="Q234" s="15">
        <v>0</v>
      </c>
      <c r="R234" s="15">
        <v>0</v>
      </c>
      <c r="S234" s="15">
        <v>0</v>
      </c>
      <c r="T234" s="15">
        <v>0</v>
      </c>
      <c r="U234" s="15">
        <v>0</v>
      </c>
      <c r="V234" s="15">
        <f>($J234*0.04)+($K234*4)+($L234*-2)+($N234*0.1)+($O234*6)+($Q234)+($R234*0.1)+($S234*6)+($T234*-2)</f>
        <v>0</v>
      </c>
      <c r="W234" s="15" t="e">
        <f>$P234/$H$33</f>
        <v>#DIV/0!</v>
      </c>
      <c r="X234" s="15" t="e">
        <f>$N234/$M234</f>
        <v>#DIV/0!</v>
      </c>
      <c r="Y234" s="15" t="e">
        <f>$R234/$Q234</f>
        <v>#DIV/0!</v>
      </c>
      <c r="Z234" s="15" t="e">
        <f>$I234/$H234</f>
        <v>#DIV/0!</v>
      </c>
      <c r="AA234" s="15" t="e">
        <f>$K234/$H234</f>
        <v>#DIV/0!</v>
      </c>
      <c r="AB234" s="15">
        <f>($J234*Cp_yd)+($K234*Cp_td)+($L234*Cint)+($M234*Ccar)+($N234*Cr_yd)+($O234*Cr_td)+(Q234*Crec)+($R234*Crec_yd)+($S234*Crec_td)+($T234*Cfmb)+($U234*Ctp_c)</f>
        <v>0</v>
      </c>
    </row>
    <row r="235" spans="1:28" x14ac:dyDescent="0.2">
      <c r="A235" s="16" t="s">
        <v>639</v>
      </c>
      <c r="B235" s="16" t="s">
        <v>38</v>
      </c>
      <c r="C235" s="16">
        <v>23</v>
      </c>
      <c r="D235" s="16">
        <v>2</v>
      </c>
      <c r="E235" s="16" t="s">
        <v>418</v>
      </c>
      <c r="F235" s="16" t="s">
        <v>584</v>
      </c>
      <c r="G235" s="16">
        <v>0</v>
      </c>
      <c r="H235" s="16">
        <v>0</v>
      </c>
      <c r="I235" s="16">
        <v>0</v>
      </c>
      <c r="J235" s="16">
        <v>0</v>
      </c>
      <c r="K235" s="16">
        <v>0</v>
      </c>
      <c r="L235" s="16">
        <v>0</v>
      </c>
      <c r="M235" s="16">
        <v>0</v>
      </c>
      <c r="N235" s="16">
        <v>0</v>
      </c>
      <c r="O235" s="16">
        <v>0</v>
      </c>
      <c r="P235" s="16">
        <v>0</v>
      </c>
      <c r="Q235" s="16">
        <v>0</v>
      </c>
      <c r="R235" s="16">
        <v>0</v>
      </c>
      <c r="S235" s="16">
        <v>0</v>
      </c>
      <c r="T235" s="16">
        <v>0</v>
      </c>
      <c r="U235" s="16">
        <v>0</v>
      </c>
      <c r="V235" s="16">
        <f>($J235*0.04)+($K235*4)+($L235*-2)+($N235*0.1)+($O235*6)+($Q235)+($R235*0.1)+($S235*6)+($T235*-2)</f>
        <v>0</v>
      </c>
      <c r="W235" s="16" t="e">
        <f>$P235/$H$33</f>
        <v>#DIV/0!</v>
      </c>
      <c r="X235" s="16" t="e">
        <f>$N235/$M235</f>
        <v>#DIV/0!</v>
      </c>
      <c r="Y235" s="16" t="e">
        <f>$R235/$Q235</f>
        <v>#DIV/0!</v>
      </c>
      <c r="Z235" s="16" t="e">
        <f>$I235/$H235</f>
        <v>#DIV/0!</v>
      </c>
      <c r="AA235" s="16" t="e">
        <f>$K235/$H235</f>
        <v>#DIV/0!</v>
      </c>
      <c r="AB235" s="16">
        <f>($J235*Cp_yd)+($K235*Cp_td)+($L235*Cint)+($M235*Ccar)+($N235*Cr_yd)+($O235*Cr_td)+(Q235*Crec)+($R235*Crec_yd)+($S235*Crec_td)+($T235*Cfmb)+($U235*Ctp_c)</f>
        <v>0</v>
      </c>
    </row>
    <row r="236" spans="1:28" x14ac:dyDescent="0.2">
      <c r="A236" s="15" t="s">
        <v>640</v>
      </c>
      <c r="B236" s="15" t="s">
        <v>38</v>
      </c>
      <c r="C236" s="15">
        <v>26</v>
      </c>
      <c r="D236" s="15">
        <v>2</v>
      </c>
      <c r="E236" s="15" t="s">
        <v>155</v>
      </c>
      <c r="F236" s="15" t="s">
        <v>584</v>
      </c>
      <c r="G236" s="15">
        <v>0</v>
      </c>
      <c r="H236" s="15">
        <v>0</v>
      </c>
      <c r="I236" s="15">
        <v>0</v>
      </c>
      <c r="J236" s="15">
        <v>0</v>
      </c>
      <c r="K236" s="15">
        <v>0</v>
      </c>
      <c r="L236" s="15">
        <v>0</v>
      </c>
      <c r="M236" s="15">
        <v>0</v>
      </c>
      <c r="N236" s="15">
        <v>0</v>
      </c>
      <c r="O236" s="15">
        <v>0</v>
      </c>
      <c r="P236" s="15">
        <v>0</v>
      </c>
      <c r="Q236" s="15">
        <v>0</v>
      </c>
      <c r="R236" s="15">
        <v>0</v>
      </c>
      <c r="S236" s="15">
        <v>0</v>
      </c>
      <c r="T236" s="15">
        <v>0</v>
      </c>
      <c r="U236" s="15">
        <v>0</v>
      </c>
      <c r="V236" s="15">
        <f>($J236*0.04)+($K236*4)+($L236*-2)+($N236*0.1)+($O236*6)+($Q236)+($R236*0.1)+($S236*6)+($T236*-2)</f>
        <v>0</v>
      </c>
      <c r="W236" s="15" t="e">
        <f>$P236/$H$33</f>
        <v>#DIV/0!</v>
      </c>
      <c r="X236" s="15" t="e">
        <f>$N236/$M236</f>
        <v>#DIV/0!</v>
      </c>
      <c r="Y236" s="15" t="e">
        <f>$R236/$Q236</f>
        <v>#DIV/0!</v>
      </c>
      <c r="Z236" s="15" t="e">
        <f>$I236/$H236</f>
        <v>#DIV/0!</v>
      </c>
      <c r="AA236" s="15" t="e">
        <f>$K236/$H236</f>
        <v>#DIV/0!</v>
      </c>
      <c r="AB236" s="15">
        <f>($J236*Cp_yd)+($K236*Cp_td)+($L236*Cint)+($M236*Ccar)+($N236*Cr_yd)+($O236*Cr_td)+(Q236*Crec)+($R236*Crec_yd)+($S236*Crec_td)+($T236*Cfmb)+($U236*Ctp_c)</f>
        <v>0</v>
      </c>
    </row>
    <row r="237" spans="1:28" x14ac:dyDescent="0.2">
      <c r="A237" s="16" t="s">
        <v>641</v>
      </c>
      <c r="B237" s="16" t="s">
        <v>38</v>
      </c>
      <c r="C237" s="16">
        <v>31</v>
      </c>
      <c r="D237" s="16">
        <v>8</v>
      </c>
      <c r="E237" s="16" t="s">
        <v>642</v>
      </c>
      <c r="F237" s="16" t="s">
        <v>584</v>
      </c>
      <c r="G237" s="16">
        <v>0</v>
      </c>
      <c r="H237" s="16">
        <v>0</v>
      </c>
      <c r="I237" s="16">
        <v>0</v>
      </c>
      <c r="J237" s="16">
        <v>0</v>
      </c>
      <c r="K237" s="16">
        <v>0</v>
      </c>
      <c r="L237" s="16">
        <v>0</v>
      </c>
      <c r="M237" s="16">
        <v>0</v>
      </c>
      <c r="N237" s="16">
        <v>0</v>
      </c>
      <c r="O237" s="16">
        <v>0</v>
      </c>
      <c r="P237" s="16">
        <v>0</v>
      </c>
      <c r="Q237" s="16">
        <v>0</v>
      </c>
      <c r="R237" s="16">
        <v>0</v>
      </c>
      <c r="S237" s="16">
        <v>0</v>
      </c>
      <c r="T237" s="16">
        <v>0</v>
      </c>
      <c r="U237" s="16">
        <v>0</v>
      </c>
      <c r="V237" s="16">
        <f>($J237*0.04)+($K237*4)+($L237*-2)+($N237*0.1)+($O237*6)+($Q237)+($R237*0.1)+($S237*6)+($T237*-2)</f>
        <v>0</v>
      </c>
      <c r="W237" s="16" t="e">
        <f>$P237/$H$33</f>
        <v>#DIV/0!</v>
      </c>
      <c r="X237" s="16" t="e">
        <f>$N237/$M237</f>
        <v>#DIV/0!</v>
      </c>
      <c r="Y237" s="16" t="e">
        <f>$R237/$Q237</f>
        <v>#DIV/0!</v>
      </c>
      <c r="Z237" s="16" t="e">
        <f>$I237/$H237</f>
        <v>#DIV/0!</v>
      </c>
      <c r="AA237" s="16" t="e">
        <f>$K237/$H237</f>
        <v>#DIV/0!</v>
      </c>
      <c r="AB237" s="16">
        <f>($J237*Cp_yd)+($K237*Cp_td)+($L237*Cint)+($M237*Ccar)+($N237*Cr_yd)+($O237*Cr_td)+(Q237*Crec)+($R237*Crec_yd)+($S237*Crec_td)+($T237*Cfmb)+($U237*Ctp_c)</f>
        <v>0</v>
      </c>
    </row>
    <row r="238" spans="1:28" x14ac:dyDescent="0.2">
      <c r="A238" s="15" t="s">
        <v>643</v>
      </c>
      <c r="B238" s="15" t="s">
        <v>38</v>
      </c>
      <c r="C238" s="15">
        <v>25</v>
      </c>
      <c r="D238" s="15">
        <v>4</v>
      </c>
      <c r="E238" s="15" t="s">
        <v>613</v>
      </c>
      <c r="F238" s="15" t="s">
        <v>584</v>
      </c>
      <c r="G238" s="15">
        <v>0</v>
      </c>
      <c r="H238" s="15">
        <v>0</v>
      </c>
      <c r="I238" s="15">
        <v>0</v>
      </c>
      <c r="J238" s="15">
        <v>0</v>
      </c>
      <c r="K238" s="15">
        <v>0</v>
      </c>
      <c r="L238" s="15">
        <v>0</v>
      </c>
      <c r="M238" s="15">
        <v>0</v>
      </c>
      <c r="N238" s="15">
        <v>0</v>
      </c>
      <c r="O238" s="15">
        <v>0</v>
      </c>
      <c r="P238" s="15">
        <v>0</v>
      </c>
      <c r="Q238" s="15">
        <v>0</v>
      </c>
      <c r="R238" s="15">
        <v>0</v>
      </c>
      <c r="S238" s="15">
        <v>0</v>
      </c>
      <c r="T238" s="15">
        <v>0</v>
      </c>
      <c r="U238" s="15">
        <v>0</v>
      </c>
      <c r="V238" s="15">
        <f>($J238*0.04)+($K238*4)+($L238*-2)+($N238*0.1)+($O238*6)+($Q238)+($R238*0.1)+($S238*6)+($T238*-2)</f>
        <v>0</v>
      </c>
      <c r="W238" s="15" t="e">
        <f>$P238/$H$33</f>
        <v>#DIV/0!</v>
      </c>
      <c r="X238" s="15" t="e">
        <f>$N238/$M238</f>
        <v>#DIV/0!</v>
      </c>
      <c r="Y238" s="15" t="e">
        <f>$R238/$Q238</f>
        <v>#DIV/0!</v>
      </c>
      <c r="Z238" s="15" t="e">
        <f>$I238/$H238</f>
        <v>#DIV/0!</v>
      </c>
      <c r="AA238" s="15" t="e">
        <f>$K238/$H238</f>
        <v>#DIV/0!</v>
      </c>
      <c r="AB238" s="15">
        <f>($J238*Cp_yd)+($K238*Cp_td)+($L238*Cint)+($M238*Ccar)+($N238*Cr_yd)+($O238*Cr_td)+(Q238*Crec)+($R238*Crec_yd)+($S238*Crec_td)+($T238*Cfmb)+($U238*Ctp_c)</f>
        <v>0</v>
      </c>
    </row>
    <row r="239" spans="1:28" x14ac:dyDescent="0.2">
      <c r="A239" s="16" t="s">
        <v>664</v>
      </c>
      <c r="B239" s="16" t="s">
        <v>26</v>
      </c>
      <c r="C239" s="16">
        <v>30</v>
      </c>
      <c r="D239" s="16">
        <v>10</v>
      </c>
      <c r="E239" s="16" t="s">
        <v>209</v>
      </c>
      <c r="F239" s="16" t="s">
        <v>647</v>
      </c>
      <c r="G239" s="16">
        <v>0</v>
      </c>
      <c r="H239" s="16">
        <v>0</v>
      </c>
      <c r="I239" s="16">
        <v>0</v>
      </c>
      <c r="J239" s="16">
        <v>0</v>
      </c>
      <c r="K239" s="16">
        <v>0</v>
      </c>
      <c r="L239" s="16">
        <v>0</v>
      </c>
      <c r="M239" s="16">
        <v>0</v>
      </c>
      <c r="N239" s="16">
        <v>0</v>
      </c>
      <c r="O239" s="16">
        <v>0</v>
      </c>
      <c r="P239" s="16">
        <v>0</v>
      </c>
      <c r="Q239" s="16">
        <v>0</v>
      </c>
      <c r="R239" s="16">
        <v>0</v>
      </c>
      <c r="S239" s="16">
        <v>0</v>
      </c>
      <c r="T239" s="16">
        <v>0</v>
      </c>
      <c r="U239" s="16">
        <v>0</v>
      </c>
      <c r="V239" s="16">
        <f>($J239*0.04)+($K239*4)+($L239*-2)+($N239*0.1)+($O239*6)+($Q239)+($R239*0.1)+($S239*6)+($T239*-2)</f>
        <v>0</v>
      </c>
      <c r="W239" s="16" t="e">
        <f>$P239/$H$33</f>
        <v>#DIV/0!</v>
      </c>
      <c r="X239" s="16" t="e">
        <f>$N239/$M239</f>
        <v>#DIV/0!</v>
      </c>
      <c r="Y239" s="16" t="e">
        <f>$R239/$Q239</f>
        <v>#DIV/0!</v>
      </c>
      <c r="Z239" s="16" t="e">
        <f>$I239/$H239</f>
        <v>#DIV/0!</v>
      </c>
      <c r="AA239" s="16" t="e">
        <f>$K239/$H239</f>
        <v>#DIV/0!</v>
      </c>
      <c r="AB239" s="16">
        <f>($J239*Cp_yd)+($K239*Cp_td)+($L239*Cint)+($M239*Ccar)+($N239*Cr_yd)+($O239*Cr_td)+(Q239*Crec)+($R239*Crec_yd)+($S239*Crec_td)+($T239*Cfmb)+($U239*Ctp_c)</f>
        <v>0</v>
      </c>
    </row>
    <row r="240" spans="1:28" x14ac:dyDescent="0.2">
      <c r="A240" s="15" t="s">
        <v>665</v>
      </c>
      <c r="B240" s="15" t="s">
        <v>26</v>
      </c>
      <c r="C240" s="15">
        <v>28</v>
      </c>
      <c r="D240" s="15">
        <v>8</v>
      </c>
      <c r="E240" s="15" t="s">
        <v>666</v>
      </c>
      <c r="F240" s="15" t="s">
        <v>647</v>
      </c>
      <c r="G240" s="15">
        <v>0</v>
      </c>
      <c r="H240" s="15">
        <v>0</v>
      </c>
      <c r="I240" s="15">
        <v>0</v>
      </c>
      <c r="J240" s="15">
        <v>0</v>
      </c>
      <c r="K240" s="15">
        <v>0</v>
      </c>
      <c r="L240" s="15">
        <v>0</v>
      </c>
      <c r="M240" s="15">
        <v>0</v>
      </c>
      <c r="N240" s="15">
        <v>0</v>
      </c>
      <c r="O240" s="15">
        <v>0</v>
      </c>
      <c r="P240" s="15">
        <v>0</v>
      </c>
      <c r="Q240" s="15">
        <v>0</v>
      </c>
      <c r="R240" s="15">
        <v>0</v>
      </c>
      <c r="S240" s="15">
        <v>0</v>
      </c>
      <c r="T240" s="15">
        <v>0</v>
      </c>
      <c r="U240" s="15">
        <v>0</v>
      </c>
      <c r="V240" s="15">
        <f>($J240*0.04)+($K240*4)+($L240*-2)+($N240*0.1)+($O240*6)+($Q240)+($R240*0.1)+($S240*6)+($T240*-2)</f>
        <v>0</v>
      </c>
      <c r="W240" s="15" t="e">
        <f>$P240/$H$33</f>
        <v>#DIV/0!</v>
      </c>
      <c r="X240" s="15" t="e">
        <f>$N240/$M240</f>
        <v>#DIV/0!</v>
      </c>
      <c r="Y240" s="15" t="e">
        <f>$R240/$Q240</f>
        <v>#DIV/0!</v>
      </c>
      <c r="Z240" s="15" t="e">
        <f>$I240/$H240</f>
        <v>#DIV/0!</v>
      </c>
      <c r="AA240" s="15" t="e">
        <f>$K240/$H240</f>
        <v>#DIV/0!</v>
      </c>
      <c r="AB240" s="15">
        <f>($J240*Cp_yd)+($K240*Cp_td)+($L240*Cint)+($M240*Ccar)+($N240*Cr_yd)+($O240*Cr_td)+(Q240*Crec)+($R240*Crec_yd)+($S240*Crec_td)+($T240*Cfmb)+($U240*Ctp_c)</f>
        <v>0</v>
      </c>
    </row>
    <row r="241" spans="1:28" x14ac:dyDescent="0.2">
      <c r="A241" s="16" t="s">
        <v>667</v>
      </c>
      <c r="B241" s="16" t="s">
        <v>26</v>
      </c>
      <c r="C241" s="16">
        <v>25</v>
      </c>
      <c r="D241" s="16">
        <v>0</v>
      </c>
      <c r="E241" s="16" t="s">
        <v>143</v>
      </c>
      <c r="F241" s="16" t="s">
        <v>647</v>
      </c>
      <c r="G241" s="16">
        <v>0</v>
      </c>
      <c r="H241" s="16">
        <v>0</v>
      </c>
      <c r="I241" s="16">
        <v>0</v>
      </c>
      <c r="J241" s="16">
        <v>0</v>
      </c>
      <c r="K241" s="16">
        <v>0</v>
      </c>
      <c r="L241" s="16">
        <v>0</v>
      </c>
      <c r="M241" s="16">
        <v>0</v>
      </c>
      <c r="N241" s="16">
        <v>0</v>
      </c>
      <c r="O241" s="16">
        <v>0</v>
      </c>
      <c r="P241" s="16">
        <v>0</v>
      </c>
      <c r="Q241" s="16">
        <v>0</v>
      </c>
      <c r="R241" s="16">
        <v>0</v>
      </c>
      <c r="S241" s="16">
        <v>0</v>
      </c>
      <c r="T241" s="16">
        <v>0</v>
      </c>
      <c r="U241" s="16">
        <v>0</v>
      </c>
      <c r="V241" s="16">
        <f>($J241*0.04)+($K241*4)+($L241*-2)+($N241*0.1)+($O241*6)+($Q241)+($R241*0.1)+($S241*6)+($T241*-2)</f>
        <v>0</v>
      </c>
      <c r="W241" s="16" t="e">
        <f>$P241/$H$33</f>
        <v>#DIV/0!</v>
      </c>
      <c r="X241" s="16" t="e">
        <f>$N241/$M241</f>
        <v>#DIV/0!</v>
      </c>
      <c r="Y241" s="16" t="e">
        <f>$R241/$Q241</f>
        <v>#DIV/0!</v>
      </c>
      <c r="Z241" s="16" t="e">
        <f>$I241/$H241</f>
        <v>#DIV/0!</v>
      </c>
      <c r="AA241" s="16" t="e">
        <f>$K241/$H241</f>
        <v>#DIV/0!</v>
      </c>
      <c r="AB241" s="16">
        <f>($J241*Cp_yd)+($K241*Cp_td)+($L241*Cint)+($M241*Ccar)+($N241*Cr_yd)+($O241*Cr_td)+(Q241*Crec)+($R241*Crec_yd)+($S241*Crec_td)+($T241*Cfmb)+($U241*Ctp_c)</f>
        <v>0</v>
      </c>
    </row>
    <row r="242" spans="1:28" x14ac:dyDescent="0.2">
      <c r="A242" s="15" t="s">
        <v>668</v>
      </c>
      <c r="B242" s="15" t="s">
        <v>26</v>
      </c>
      <c r="C242" s="15">
        <v>23</v>
      </c>
      <c r="D242" s="15">
        <v>0</v>
      </c>
      <c r="E242" s="15" t="s">
        <v>559</v>
      </c>
      <c r="F242" s="15" t="s">
        <v>647</v>
      </c>
      <c r="G242" s="15">
        <v>0</v>
      </c>
      <c r="H242" s="15">
        <v>0</v>
      </c>
      <c r="I242" s="15">
        <v>0</v>
      </c>
      <c r="J242" s="15">
        <v>0</v>
      </c>
      <c r="K242" s="15">
        <v>0</v>
      </c>
      <c r="L242" s="15">
        <v>0</v>
      </c>
      <c r="M242" s="15">
        <v>0</v>
      </c>
      <c r="N242" s="15">
        <v>0</v>
      </c>
      <c r="O242" s="15">
        <v>0</v>
      </c>
      <c r="P242" s="15">
        <v>0</v>
      </c>
      <c r="Q242" s="15">
        <v>0</v>
      </c>
      <c r="R242" s="15">
        <v>0</v>
      </c>
      <c r="S242" s="15">
        <v>0</v>
      </c>
      <c r="T242" s="15">
        <v>0</v>
      </c>
      <c r="U242" s="15">
        <v>0</v>
      </c>
      <c r="V242" s="15">
        <f>($J242*0.04)+($K242*4)+($L242*-2)+($N242*0.1)+($O242*6)+($Q242)+($R242*0.1)+($S242*6)+($T242*-2)</f>
        <v>0</v>
      </c>
      <c r="W242" s="15" t="e">
        <f>$P242/$H$33</f>
        <v>#DIV/0!</v>
      </c>
      <c r="X242" s="15" t="e">
        <f>$N242/$M242</f>
        <v>#DIV/0!</v>
      </c>
      <c r="Y242" s="15" t="e">
        <f>$R242/$Q242</f>
        <v>#DIV/0!</v>
      </c>
      <c r="Z242" s="15" t="e">
        <f>$I242/$H242</f>
        <v>#DIV/0!</v>
      </c>
      <c r="AA242" s="15" t="e">
        <f>$K242/$H242</f>
        <v>#DIV/0!</v>
      </c>
      <c r="AB242" s="15">
        <f>($J242*Cp_yd)+($K242*Cp_td)+($L242*Cint)+($M242*Ccar)+($N242*Cr_yd)+($O242*Cr_td)+(Q242*Crec)+($R242*Crec_yd)+($S242*Crec_td)+($T242*Cfmb)+($U242*Ctp_c)</f>
        <v>0</v>
      </c>
    </row>
    <row r="243" spans="1:28" x14ac:dyDescent="0.2">
      <c r="A243" s="16" t="s">
        <v>670</v>
      </c>
      <c r="B243" s="16" t="s">
        <v>31</v>
      </c>
      <c r="C243" s="16">
        <v>21</v>
      </c>
      <c r="D243" s="16">
        <v>0</v>
      </c>
      <c r="E243" s="16" t="s">
        <v>153</v>
      </c>
      <c r="F243" s="16" t="s">
        <v>647</v>
      </c>
      <c r="G243" s="16">
        <v>0</v>
      </c>
      <c r="H243" s="16">
        <v>0</v>
      </c>
      <c r="I243" s="16">
        <v>0</v>
      </c>
      <c r="J243" s="16">
        <v>0</v>
      </c>
      <c r="K243" s="16">
        <v>0</v>
      </c>
      <c r="L243" s="16">
        <v>0</v>
      </c>
      <c r="M243" s="16">
        <v>0</v>
      </c>
      <c r="N243" s="16">
        <v>0</v>
      </c>
      <c r="O243" s="16">
        <v>0</v>
      </c>
      <c r="P243" s="16">
        <v>0</v>
      </c>
      <c r="Q243" s="16">
        <v>0</v>
      </c>
      <c r="R243" s="16">
        <v>0</v>
      </c>
      <c r="S243" s="16">
        <v>0</v>
      </c>
      <c r="T243" s="16">
        <v>0</v>
      </c>
      <c r="U243" s="16">
        <v>0</v>
      </c>
      <c r="V243" s="16">
        <f>($J243*0.04)+($K243*4)+($L243*-2)+($N243*0.1)+($O243*6)+($Q243)+($R243*0.1)+($S243*6)+($T243*-2)</f>
        <v>0</v>
      </c>
      <c r="W243" s="16" t="e">
        <f>$P243/$H$33</f>
        <v>#DIV/0!</v>
      </c>
      <c r="X243" s="16" t="e">
        <f>$N243/$M243</f>
        <v>#DIV/0!</v>
      </c>
      <c r="Y243" s="16" t="e">
        <f>$R243/$Q243</f>
        <v>#DIV/0!</v>
      </c>
      <c r="Z243" s="16" t="e">
        <f>$I243/$H243</f>
        <v>#DIV/0!</v>
      </c>
      <c r="AA243" s="16" t="e">
        <f>$K243/$H243</f>
        <v>#DIV/0!</v>
      </c>
      <c r="AB243" s="16">
        <f>($J243*Cp_yd)+($K243*Cp_td)+($L243*Cint)+($M243*Ccar)+($N243*Cr_yd)+($O243*Cr_td)+(Q243*Crec)+($R243*Crec_yd)+($S243*Crec_td)+($T243*Cfmb)+($U243*Ctp_c)</f>
        <v>0</v>
      </c>
    </row>
    <row r="244" spans="1:28" x14ac:dyDescent="0.2">
      <c r="A244" s="15" t="s">
        <v>671</v>
      </c>
      <c r="B244" s="15" t="s">
        <v>31</v>
      </c>
      <c r="C244" s="15">
        <v>23</v>
      </c>
      <c r="D244" s="15">
        <v>0</v>
      </c>
      <c r="E244" s="15" t="s">
        <v>225</v>
      </c>
      <c r="F244" s="15" t="s">
        <v>647</v>
      </c>
      <c r="G244" s="15">
        <v>0</v>
      </c>
      <c r="H244" s="15">
        <v>0</v>
      </c>
      <c r="I244" s="15">
        <v>0</v>
      </c>
      <c r="J244" s="15">
        <v>0</v>
      </c>
      <c r="K244" s="15">
        <v>0</v>
      </c>
      <c r="L244" s="15">
        <v>0</v>
      </c>
      <c r="M244" s="15">
        <v>0</v>
      </c>
      <c r="N244" s="15">
        <v>0</v>
      </c>
      <c r="O244" s="15">
        <v>0</v>
      </c>
      <c r="P244" s="15">
        <v>0</v>
      </c>
      <c r="Q244" s="15">
        <v>0</v>
      </c>
      <c r="R244" s="15">
        <v>0</v>
      </c>
      <c r="S244" s="15">
        <v>0</v>
      </c>
      <c r="T244" s="15">
        <v>0</v>
      </c>
      <c r="U244" s="15">
        <v>0</v>
      </c>
      <c r="V244" s="15">
        <f>($J244*0.04)+($K244*4)+($L244*-2)+($N244*0.1)+($O244*6)+($Q244)+($R244*0.1)+($S244*6)+($T244*-2)</f>
        <v>0</v>
      </c>
      <c r="W244" s="15" t="e">
        <f>$P244/$H$33</f>
        <v>#DIV/0!</v>
      </c>
      <c r="X244" s="15" t="e">
        <f>$N244/$M244</f>
        <v>#DIV/0!</v>
      </c>
      <c r="Y244" s="15" t="e">
        <f>$R244/$Q244</f>
        <v>#DIV/0!</v>
      </c>
      <c r="Z244" s="15" t="e">
        <f>$I244/$H244</f>
        <v>#DIV/0!</v>
      </c>
      <c r="AA244" s="15" t="e">
        <f>$K244/$H244</f>
        <v>#DIV/0!</v>
      </c>
      <c r="AB244" s="15">
        <f>($J244*Cp_yd)+($K244*Cp_td)+($L244*Cint)+($M244*Ccar)+($N244*Cr_yd)+($O244*Cr_td)+(Q244*Crec)+($R244*Crec_yd)+($S244*Crec_td)+($T244*Cfmb)+($U244*Ctp_c)</f>
        <v>0</v>
      </c>
    </row>
    <row r="245" spans="1:28" x14ac:dyDescent="0.2">
      <c r="A245" s="16" t="s">
        <v>672</v>
      </c>
      <c r="B245" s="16" t="s">
        <v>31</v>
      </c>
      <c r="C245" s="16">
        <v>27</v>
      </c>
      <c r="D245" s="16">
        <v>6</v>
      </c>
      <c r="E245" s="16" t="s">
        <v>141</v>
      </c>
      <c r="F245" s="16" t="s">
        <v>647</v>
      </c>
      <c r="G245" s="16">
        <v>0</v>
      </c>
      <c r="H245" s="16">
        <v>0</v>
      </c>
      <c r="I245" s="16">
        <v>0</v>
      </c>
      <c r="J245" s="16">
        <v>0</v>
      </c>
      <c r="K245" s="16">
        <v>0</v>
      </c>
      <c r="L245" s="16">
        <v>0</v>
      </c>
      <c r="M245" s="16">
        <v>0</v>
      </c>
      <c r="N245" s="16">
        <v>0</v>
      </c>
      <c r="O245" s="16">
        <v>0</v>
      </c>
      <c r="P245" s="16">
        <v>0</v>
      </c>
      <c r="Q245" s="16">
        <v>0</v>
      </c>
      <c r="R245" s="16">
        <v>0</v>
      </c>
      <c r="S245" s="16">
        <v>0</v>
      </c>
      <c r="T245" s="16">
        <v>0</v>
      </c>
      <c r="U245" s="16">
        <v>0</v>
      </c>
      <c r="V245" s="16">
        <f>($J245*0.04)+($K245*4)+($L245*-2)+($N245*0.1)+($O245*6)+($Q245)+($R245*0.1)+($S245*6)+($T245*-2)</f>
        <v>0</v>
      </c>
      <c r="W245" s="16" t="e">
        <f>$P245/$H$33</f>
        <v>#DIV/0!</v>
      </c>
      <c r="X245" s="16" t="e">
        <f>$N245/$M245</f>
        <v>#DIV/0!</v>
      </c>
      <c r="Y245" s="16" t="e">
        <f>$R245/$Q245</f>
        <v>#DIV/0!</v>
      </c>
      <c r="Z245" s="16" t="e">
        <f>$I245/$H245</f>
        <v>#DIV/0!</v>
      </c>
      <c r="AA245" s="16" t="e">
        <f>$K245/$H245</f>
        <v>#DIV/0!</v>
      </c>
      <c r="AB245" s="16">
        <f>($J245*Cp_yd)+($K245*Cp_td)+($L245*Cint)+($M245*Ccar)+($N245*Cr_yd)+($O245*Cr_td)+(Q245*Crec)+($R245*Crec_yd)+($S245*Crec_td)+($T245*Cfmb)+($U245*Ctp_c)</f>
        <v>0</v>
      </c>
    </row>
    <row r="246" spans="1:28" x14ac:dyDescent="0.2">
      <c r="A246" s="15" t="s">
        <v>673</v>
      </c>
      <c r="B246" s="15" t="s">
        <v>31</v>
      </c>
      <c r="C246" s="15">
        <v>23</v>
      </c>
      <c r="D246" s="15">
        <v>2</v>
      </c>
      <c r="E246" s="15" t="s">
        <v>111</v>
      </c>
      <c r="F246" s="15" t="s">
        <v>647</v>
      </c>
      <c r="G246" s="15">
        <v>0</v>
      </c>
      <c r="H246" s="15">
        <v>0</v>
      </c>
      <c r="I246" s="15">
        <v>0</v>
      </c>
      <c r="J246" s="15">
        <v>0</v>
      </c>
      <c r="K246" s="15">
        <v>0</v>
      </c>
      <c r="L246" s="15">
        <v>0</v>
      </c>
      <c r="M246" s="15">
        <v>0</v>
      </c>
      <c r="N246" s="15">
        <v>0</v>
      </c>
      <c r="O246" s="15">
        <v>0</v>
      </c>
      <c r="P246" s="15">
        <v>0</v>
      </c>
      <c r="Q246" s="15">
        <v>0</v>
      </c>
      <c r="R246" s="15">
        <v>0</v>
      </c>
      <c r="S246" s="15">
        <v>0</v>
      </c>
      <c r="T246" s="15">
        <v>0</v>
      </c>
      <c r="U246" s="15">
        <v>0</v>
      </c>
      <c r="V246" s="15">
        <f>($J246*0.04)+($K246*4)+($L246*-2)+($N246*0.1)+($O246*6)+($Q246)+($R246*0.1)+($S246*6)+($T246*-2)</f>
        <v>0</v>
      </c>
      <c r="W246" s="15" t="e">
        <f>$P246/$H$33</f>
        <v>#DIV/0!</v>
      </c>
      <c r="X246" s="15" t="e">
        <f>$N246/$M246</f>
        <v>#DIV/0!</v>
      </c>
      <c r="Y246" s="15" t="e">
        <f>$R246/$Q246</f>
        <v>#DIV/0!</v>
      </c>
      <c r="Z246" s="15" t="e">
        <f>$I246/$H246</f>
        <v>#DIV/0!</v>
      </c>
      <c r="AA246" s="15" t="e">
        <f>$K246/$H246</f>
        <v>#DIV/0!</v>
      </c>
      <c r="AB246" s="15">
        <f>($J246*Cp_yd)+($K246*Cp_td)+($L246*Cint)+($M246*Ccar)+($N246*Cr_yd)+($O246*Cr_td)+(Q246*Crec)+($R246*Crec_yd)+($S246*Crec_td)+($T246*Cfmb)+($U246*Ctp_c)</f>
        <v>0</v>
      </c>
    </row>
    <row r="247" spans="1:28" x14ac:dyDescent="0.2">
      <c r="A247" s="16" t="s">
        <v>674</v>
      </c>
      <c r="B247" s="16" t="s">
        <v>31</v>
      </c>
      <c r="C247" s="16">
        <v>26</v>
      </c>
      <c r="D247" s="16">
        <v>5</v>
      </c>
      <c r="E247" s="16" t="s">
        <v>244</v>
      </c>
      <c r="F247" s="16" t="s">
        <v>647</v>
      </c>
      <c r="G247" s="16">
        <v>0</v>
      </c>
      <c r="H247" s="16">
        <v>0</v>
      </c>
      <c r="I247" s="16">
        <v>0</v>
      </c>
      <c r="J247" s="16">
        <v>0</v>
      </c>
      <c r="K247" s="16">
        <v>0</v>
      </c>
      <c r="L247" s="16">
        <v>0</v>
      </c>
      <c r="M247" s="16">
        <v>0</v>
      </c>
      <c r="N247" s="16">
        <v>0</v>
      </c>
      <c r="O247" s="16">
        <v>0</v>
      </c>
      <c r="P247" s="16">
        <v>0</v>
      </c>
      <c r="Q247" s="16">
        <v>0</v>
      </c>
      <c r="R247" s="16">
        <v>0</v>
      </c>
      <c r="S247" s="16">
        <v>0</v>
      </c>
      <c r="T247" s="16">
        <v>0</v>
      </c>
      <c r="U247" s="16">
        <v>0</v>
      </c>
      <c r="V247" s="16">
        <f>($J247*0.04)+($K247*4)+($L247*-2)+($N247*0.1)+($O247*6)+($Q247)+($R247*0.1)+($S247*6)+($T247*-2)</f>
        <v>0</v>
      </c>
      <c r="W247" s="16" t="e">
        <f>$P247/$H$33</f>
        <v>#DIV/0!</v>
      </c>
      <c r="X247" s="16" t="e">
        <f>$N247/$M247</f>
        <v>#DIV/0!</v>
      </c>
      <c r="Y247" s="16" t="e">
        <f>$R247/$Q247</f>
        <v>#DIV/0!</v>
      </c>
      <c r="Z247" s="16" t="e">
        <f>$I247/$H247</f>
        <v>#DIV/0!</v>
      </c>
      <c r="AA247" s="16" t="e">
        <f>$K247/$H247</f>
        <v>#DIV/0!</v>
      </c>
      <c r="AB247" s="16">
        <f>($J247*Cp_yd)+($K247*Cp_td)+($L247*Cint)+($M247*Ccar)+($N247*Cr_yd)+($O247*Cr_td)+(Q247*Crec)+($R247*Crec_yd)+($S247*Crec_td)+($T247*Cfmb)+($U247*Ctp_c)</f>
        <v>0</v>
      </c>
    </row>
    <row r="248" spans="1:28" x14ac:dyDescent="0.2">
      <c r="A248" s="15" t="s">
        <v>675</v>
      </c>
      <c r="B248" s="15" t="s">
        <v>31</v>
      </c>
      <c r="C248" s="15">
        <v>26</v>
      </c>
      <c r="D248" s="15">
        <v>4</v>
      </c>
      <c r="E248" s="15" t="s">
        <v>248</v>
      </c>
      <c r="F248" s="15" t="s">
        <v>647</v>
      </c>
      <c r="G248" s="15">
        <v>0</v>
      </c>
      <c r="H248" s="15">
        <v>0</v>
      </c>
      <c r="I248" s="15">
        <v>0</v>
      </c>
      <c r="J248" s="15">
        <v>0</v>
      </c>
      <c r="K248" s="15">
        <v>0</v>
      </c>
      <c r="L248" s="15">
        <v>0</v>
      </c>
      <c r="M248" s="15">
        <v>0</v>
      </c>
      <c r="N248" s="15">
        <v>0</v>
      </c>
      <c r="O248" s="15">
        <v>0</v>
      </c>
      <c r="P248" s="15">
        <v>0</v>
      </c>
      <c r="Q248" s="15">
        <v>0</v>
      </c>
      <c r="R248" s="15">
        <v>0</v>
      </c>
      <c r="S248" s="15">
        <v>0</v>
      </c>
      <c r="T248" s="15">
        <v>0</v>
      </c>
      <c r="U248" s="15">
        <v>0</v>
      </c>
      <c r="V248" s="15">
        <f>($J248*0.04)+($K248*4)+($L248*-2)+($N248*0.1)+($O248*6)+($Q248)+($R248*0.1)+($S248*6)+($T248*-2)</f>
        <v>0</v>
      </c>
      <c r="W248" s="15" t="e">
        <f>$P248/$H$33</f>
        <v>#DIV/0!</v>
      </c>
      <c r="X248" s="15" t="e">
        <f>$N248/$M248</f>
        <v>#DIV/0!</v>
      </c>
      <c r="Y248" s="15" t="e">
        <f>$R248/$Q248</f>
        <v>#DIV/0!</v>
      </c>
      <c r="Z248" s="15" t="e">
        <f>$I248/$H248</f>
        <v>#DIV/0!</v>
      </c>
      <c r="AA248" s="15" t="e">
        <f>$K248/$H248</f>
        <v>#DIV/0!</v>
      </c>
      <c r="AB248" s="15">
        <f>($J248*Cp_yd)+($K248*Cp_td)+($L248*Cint)+($M248*Ccar)+($N248*Cr_yd)+($O248*Cr_td)+(Q248*Crec)+($R248*Crec_yd)+($S248*Crec_td)+($T248*Cfmb)+($U248*Ctp_c)</f>
        <v>0</v>
      </c>
    </row>
    <row r="249" spans="1:28" x14ac:dyDescent="0.2">
      <c r="A249" s="16" t="s">
        <v>676</v>
      </c>
      <c r="B249" s="16" t="s">
        <v>31</v>
      </c>
      <c r="C249" s="16">
        <v>27</v>
      </c>
      <c r="D249" s="16">
        <v>2</v>
      </c>
      <c r="E249" s="16" t="s">
        <v>677</v>
      </c>
      <c r="F249" s="16" t="s">
        <v>647</v>
      </c>
      <c r="G249" s="16">
        <v>0</v>
      </c>
      <c r="H249" s="16">
        <v>0</v>
      </c>
      <c r="I249" s="16">
        <v>0</v>
      </c>
      <c r="J249" s="16">
        <v>0</v>
      </c>
      <c r="K249" s="16">
        <v>0</v>
      </c>
      <c r="L249" s="16">
        <v>0</v>
      </c>
      <c r="M249" s="16">
        <v>0</v>
      </c>
      <c r="N249" s="16">
        <v>0</v>
      </c>
      <c r="O249" s="16">
        <v>0</v>
      </c>
      <c r="P249" s="16">
        <v>0</v>
      </c>
      <c r="Q249" s="16">
        <v>0</v>
      </c>
      <c r="R249" s="16">
        <v>0</v>
      </c>
      <c r="S249" s="16">
        <v>0</v>
      </c>
      <c r="T249" s="16">
        <v>0</v>
      </c>
      <c r="U249" s="16">
        <v>0</v>
      </c>
      <c r="V249" s="16">
        <f>($J249*0.04)+($K249*4)+($L249*-2)+($N249*0.1)+($O249*6)+($Q249)+($R249*0.1)+($S249*6)+($T249*-2)</f>
        <v>0</v>
      </c>
      <c r="W249" s="16" t="e">
        <f>$P249/$H$33</f>
        <v>#DIV/0!</v>
      </c>
      <c r="X249" s="16" t="e">
        <f>$N249/$M249</f>
        <v>#DIV/0!</v>
      </c>
      <c r="Y249" s="16" t="e">
        <f>$R249/$Q249</f>
        <v>#DIV/0!</v>
      </c>
      <c r="Z249" s="16" t="e">
        <f>$I249/$H249</f>
        <v>#DIV/0!</v>
      </c>
      <c r="AA249" s="16" t="e">
        <f>$K249/$H249</f>
        <v>#DIV/0!</v>
      </c>
      <c r="AB249" s="16">
        <f>($J249*Cp_yd)+($K249*Cp_td)+($L249*Cint)+($M249*Ccar)+($N249*Cr_yd)+($O249*Cr_td)+(Q249*Crec)+($R249*Crec_yd)+($S249*Crec_td)+($T249*Cfmb)+($U249*Ctp_c)</f>
        <v>0</v>
      </c>
    </row>
    <row r="250" spans="1:28" x14ac:dyDescent="0.2">
      <c r="A250" s="15" t="s">
        <v>679</v>
      </c>
      <c r="B250" s="15" t="s">
        <v>43</v>
      </c>
      <c r="C250" s="15">
        <v>26</v>
      </c>
      <c r="D250" s="15">
        <v>1</v>
      </c>
      <c r="E250" s="15" t="s">
        <v>182</v>
      </c>
      <c r="F250" s="15" t="s">
        <v>647</v>
      </c>
      <c r="G250" s="15">
        <v>0</v>
      </c>
      <c r="H250" s="15">
        <v>0</v>
      </c>
      <c r="I250" s="15">
        <v>0</v>
      </c>
      <c r="J250" s="15">
        <v>0</v>
      </c>
      <c r="K250" s="15">
        <v>0</v>
      </c>
      <c r="L250" s="15">
        <v>0</v>
      </c>
      <c r="M250" s="15">
        <v>0</v>
      </c>
      <c r="N250" s="15">
        <v>0</v>
      </c>
      <c r="O250" s="15">
        <v>0</v>
      </c>
      <c r="P250" s="15">
        <v>0</v>
      </c>
      <c r="Q250" s="15">
        <v>0</v>
      </c>
      <c r="R250" s="15">
        <v>0</v>
      </c>
      <c r="S250" s="15">
        <v>0</v>
      </c>
      <c r="T250" s="15">
        <v>0</v>
      </c>
      <c r="U250" s="15">
        <v>0</v>
      </c>
      <c r="V250" s="15">
        <f>($J250*0.04)+($K250*4)+($L250*-2)+($N250*0.1)+($O250*6)+($Q250)+($R250*0.1)+($S250*6)+($T250*-2)</f>
        <v>0</v>
      </c>
      <c r="W250" s="15" t="e">
        <f>$P250/$H$33</f>
        <v>#DIV/0!</v>
      </c>
      <c r="X250" s="15" t="e">
        <f>$N250/$M250</f>
        <v>#DIV/0!</v>
      </c>
      <c r="Y250" s="15" t="e">
        <f>$R250/$Q250</f>
        <v>#DIV/0!</v>
      </c>
      <c r="Z250" s="15" t="e">
        <f>$I250/$H250</f>
        <v>#DIV/0!</v>
      </c>
      <c r="AA250" s="15" t="e">
        <f>$K250/$H250</f>
        <v>#DIV/0!</v>
      </c>
      <c r="AB250" s="15">
        <f>($J250*Cp_yd)+($K250*Cp_td)+($L250*Cint)+($M250*Ccar)+($N250*Cr_yd)+($O250*Cr_td)+(Q250*Crec)+($R250*Crec_yd)+($S250*Crec_td)+($T250*Cfmb)+($U250*Ctp_c)</f>
        <v>0</v>
      </c>
    </row>
    <row r="251" spans="1:28" x14ac:dyDescent="0.2">
      <c r="A251" s="16" t="s">
        <v>680</v>
      </c>
      <c r="B251" s="16" t="s">
        <v>43</v>
      </c>
      <c r="C251" s="16">
        <v>26</v>
      </c>
      <c r="D251" s="16">
        <v>3</v>
      </c>
      <c r="E251" s="16" t="s">
        <v>681</v>
      </c>
      <c r="F251" s="16" t="s">
        <v>647</v>
      </c>
      <c r="G251" s="16">
        <v>0</v>
      </c>
      <c r="H251" s="16">
        <v>0</v>
      </c>
      <c r="I251" s="16">
        <v>0</v>
      </c>
      <c r="J251" s="16">
        <v>0</v>
      </c>
      <c r="K251" s="16">
        <v>0</v>
      </c>
      <c r="L251" s="16">
        <v>0</v>
      </c>
      <c r="M251" s="16">
        <v>0</v>
      </c>
      <c r="N251" s="16">
        <v>0</v>
      </c>
      <c r="O251" s="16">
        <v>0</v>
      </c>
      <c r="P251" s="16">
        <v>0</v>
      </c>
      <c r="Q251" s="16">
        <v>0</v>
      </c>
      <c r="R251" s="16">
        <v>0</v>
      </c>
      <c r="S251" s="16">
        <v>0</v>
      </c>
      <c r="T251" s="16">
        <v>0</v>
      </c>
      <c r="U251" s="16">
        <v>0</v>
      </c>
      <c r="V251" s="16">
        <f>($J251*0.04)+($K251*4)+($L251*-2)+($N251*0.1)+($O251*6)+($Q251)+($R251*0.1)+($S251*6)+($T251*-2)</f>
        <v>0</v>
      </c>
      <c r="W251" s="16" t="e">
        <f>$P251/$H$33</f>
        <v>#DIV/0!</v>
      </c>
      <c r="X251" s="16" t="e">
        <f>$N251/$M251</f>
        <v>#DIV/0!</v>
      </c>
      <c r="Y251" s="16" t="e">
        <f>$R251/$Q251</f>
        <v>#DIV/0!</v>
      </c>
      <c r="Z251" s="16" t="e">
        <f>$I251/$H251</f>
        <v>#DIV/0!</v>
      </c>
      <c r="AA251" s="16" t="e">
        <f>$K251/$H251</f>
        <v>#DIV/0!</v>
      </c>
      <c r="AB251" s="16">
        <f>($J251*Cp_yd)+($K251*Cp_td)+($L251*Cint)+($M251*Ccar)+($N251*Cr_yd)+($O251*Cr_td)+(Q251*Crec)+($R251*Crec_yd)+($S251*Crec_td)+($T251*Cfmb)+($U251*Ctp_c)</f>
        <v>0</v>
      </c>
    </row>
    <row r="252" spans="1:28" x14ac:dyDescent="0.2">
      <c r="A252" s="15" t="s">
        <v>682</v>
      </c>
      <c r="B252" s="15" t="s">
        <v>43</v>
      </c>
      <c r="C252" s="15">
        <v>23</v>
      </c>
      <c r="D252" s="15">
        <v>0</v>
      </c>
      <c r="E252" s="15" t="s">
        <v>205</v>
      </c>
      <c r="F252" s="15" t="s">
        <v>647</v>
      </c>
      <c r="G252" s="15">
        <v>0</v>
      </c>
      <c r="H252" s="15">
        <v>0</v>
      </c>
      <c r="I252" s="15">
        <v>0</v>
      </c>
      <c r="J252" s="15">
        <v>0</v>
      </c>
      <c r="K252" s="15">
        <v>0</v>
      </c>
      <c r="L252" s="15">
        <v>0</v>
      </c>
      <c r="M252" s="15">
        <v>0</v>
      </c>
      <c r="N252" s="15">
        <v>0</v>
      </c>
      <c r="O252" s="15">
        <v>0</v>
      </c>
      <c r="P252" s="15">
        <v>0</v>
      </c>
      <c r="Q252" s="15">
        <v>0</v>
      </c>
      <c r="R252" s="15">
        <v>0</v>
      </c>
      <c r="S252" s="15">
        <v>0</v>
      </c>
      <c r="T252" s="15">
        <v>0</v>
      </c>
      <c r="U252" s="15">
        <v>0</v>
      </c>
      <c r="V252" s="15">
        <f>($J252*0.04)+($K252*4)+($L252*-2)+($N252*0.1)+($O252*6)+($Q252)+($R252*0.1)+($S252*6)+($T252*-2)</f>
        <v>0</v>
      </c>
      <c r="W252" s="15" t="e">
        <f>$P252/$H$33</f>
        <v>#DIV/0!</v>
      </c>
      <c r="X252" s="15" t="e">
        <f>$N252/$M252</f>
        <v>#DIV/0!</v>
      </c>
      <c r="Y252" s="15" t="e">
        <f>$R252/$Q252</f>
        <v>#DIV/0!</v>
      </c>
      <c r="Z252" s="15" t="e">
        <f>$I252/$H252</f>
        <v>#DIV/0!</v>
      </c>
      <c r="AA252" s="15" t="e">
        <f>$K252/$H252</f>
        <v>#DIV/0!</v>
      </c>
      <c r="AB252" s="15">
        <f>($J252*Cp_yd)+($K252*Cp_td)+($L252*Cint)+($M252*Ccar)+($N252*Cr_yd)+($O252*Cr_td)+(Q252*Crec)+($R252*Crec_yd)+($S252*Crec_td)+($T252*Cfmb)+($U252*Ctp_c)</f>
        <v>0</v>
      </c>
    </row>
    <row r="253" spans="1:28" x14ac:dyDescent="0.2">
      <c r="A253" s="16" t="s">
        <v>683</v>
      </c>
      <c r="B253" s="16" t="s">
        <v>43</v>
      </c>
      <c r="C253" s="16"/>
      <c r="D253" s="16">
        <v>0</v>
      </c>
      <c r="E253" s="16" t="s">
        <v>362</v>
      </c>
      <c r="F253" s="16" t="s">
        <v>647</v>
      </c>
      <c r="G253" s="16">
        <v>0</v>
      </c>
      <c r="H253" s="16">
        <v>0</v>
      </c>
      <c r="I253" s="16">
        <v>0</v>
      </c>
      <c r="J253" s="16">
        <v>0</v>
      </c>
      <c r="K253" s="16">
        <v>0</v>
      </c>
      <c r="L253" s="16">
        <v>0</v>
      </c>
      <c r="M253" s="16">
        <v>0</v>
      </c>
      <c r="N253" s="16">
        <v>0</v>
      </c>
      <c r="O253" s="16">
        <v>0</v>
      </c>
      <c r="P253" s="16">
        <v>0</v>
      </c>
      <c r="Q253" s="16">
        <v>0</v>
      </c>
      <c r="R253" s="16">
        <v>0</v>
      </c>
      <c r="S253" s="16">
        <v>0</v>
      </c>
      <c r="T253" s="16">
        <v>0</v>
      </c>
      <c r="U253" s="16">
        <v>0</v>
      </c>
      <c r="V253" s="16">
        <f>($J253*0.04)+($K253*4)+($L253*-2)+($N253*0.1)+($O253*6)+($Q253)+($R253*0.1)+($S253*6)+($T253*-2)</f>
        <v>0</v>
      </c>
      <c r="W253" s="16" t="e">
        <f>$P253/$H$33</f>
        <v>#DIV/0!</v>
      </c>
      <c r="X253" s="16" t="e">
        <f>$N253/$M253</f>
        <v>#DIV/0!</v>
      </c>
      <c r="Y253" s="16" t="e">
        <f>$R253/$Q253</f>
        <v>#DIV/0!</v>
      </c>
      <c r="Z253" s="16" t="e">
        <f>$I253/$H253</f>
        <v>#DIV/0!</v>
      </c>
      <c r="AA253" s="16" t="e">
        <f>$K253/$H253</f>
        <v>#DIV/0!</v>
      </c>
      <c r="AB253" s="16">
        <f>($J253*Cp_yd)+($K253*Cp_td)+($L253*Cint)+($M253*Ccar)+($N253*Cr_yd)+($O253*Cr_td)+(Q253*Crec)+($R253*Crec_yd)+($S253*Crec_td)+($T253*Cfmb)+($U253*Ctp_c)</f>
        <v>0</v>
      </c>
    </row>
    <row r="254" spans="1:28" x14ac:dyDescent="0.2">
      <c r="A254" s="15" t="s">
        <v>684</v>
      </c>
      <c r="B254" s="15" t="s">
        <v>43</v>
      </c>
      <c r="C254" s="15">
        <v>23</v>
      </c>
      <c r="D254" s="15">
        <v>0</v>
      </c>
      <c r="E254" s="15" t="s">
        <v>170</v>
      </c>
      <c r="F254" s="15" t="s">
        <v>647</v>
      </c>
      <c r="G254" s="15">
        <v>0</v>
      </c>
      <c r="H254" s="15">
        <v>0</v>
      </c>
      <c r="I254" s="15">
        <v>0</v>
      </c>
      <c r="J254" s="15">
        <v>0</v>
      </c>
      <c r="K254" s="15">
        <v>0</v>
      </c>
      <c r="L254" s="15">
        <v>0</v>
      </c>
      <c r="M254" s="15">
        <v>0</v>
      </c>
      <c r="N254" s="15">
        <v>0</v>
      </c>
      <c r="O254" s="15">
        <v>0</v>
      </c>
      <c r="P254" s="15">
        <v>0</v>
      </c>
      <c r="Q254" s="15">
        <v>0</v>
      </c>
      <c r="R254" s="15">
        <v>0</v>
      </c>
      <c r="S254" s="15">
        <v>0</v>
      </c>
      <c r="T254" s="15">
        <v>0</v>
      </c>
      <c r="U254" s="15">
        <v>0</v>
      </c>
      <c r="V254" s="15">
        <f>($J254*0.04)+($K254*4)+($L254*-2)+($N254*0.1)+($O254*6)+($Q254)+($R254*0.1)+($S254*6)+($T254*-2)</f>
        <v>0</v>
      </c>
      <c r="W254" s="15" t="e">
        <f>$P254/$H$33</f>
        <v>#DIV/0!</v>
      </c>
      <c r="X254" s="15" t="e">
        <f>$N254/$M254</f>
        <v>#DIV/0!</v>
      </c>
      <c r="Y254" s="15" t="e">
        <f>$R254/$Q254</f>
        <v>#DIV/0!</v>
      </c>
      <c r="Z254" s="15" t="e">
        <f>$I254/$H254</f>
        <v>#DIV/0!</v>
      </c>
      <c r="AA254" s="15" t="e">
        <f>$K254/$H254</f>
        <v>#DIV/0!</v>
      </c>
      <c r="AB254" s="15">
        <f>($J254*Cp_yd)+($K254*Cp_td)+($L254*Cint)+($M254*Ccar)+($N254*Cr_yd)+($O254*Cr_td)+(Q254*Crec)+($R254*Crec_yd)+($S254*Crec_td)+($T254*Cfmb)+($U254*Ctp_c)</f>
        <v>0</v>
      </c>
    </row>
    <row r="255" spans="1:28" x14ac:dyDescent="0.2">
      <c r="A255" s="16" t="s">
        <v>685</v>
      </c>
      <c r="B255" s="16" t="s">
        <v>43</v>
      </c>
      <c r="C255" s="16">
        <v>23</v>
      </c>
      <c r="D255" s="16">
        <v>0</v>
      </c>
      <c r="E255" s="16" t="s">
        <v>163</v>
      </c>
      <c r="F255" s="16" t="s">
        <v>647</v>
      </c>
      <c r="G255" s="16">
        <v>0</v>
      </c>
      <c r="H255" s="16">
        <v>0</v>
      </c>
      <c r="I255" s="16">
        <v>0</v>
      </c>
      <c r="J255" s="16">
        <v>0</v>
      </c>
      <c r="K255" s="16">
        <v>0</v>
      </c>
      <c r="L255" s="16">
        <v>0</v>
      </c>
      <c r="M255" s="16">
        <v>0</v>
      </c>
      <c r="N255" s="16">
        <v>0</v>
      </c>
      <c r="O255" s="16">
        <v>0</v>
      </c>
      <c r="P255" s="16">
        <v>0</v>
      </c>
      <c r="Q255" s="16">
        <v>0</v>
      </c>
      <c r="R255" s="16">
        <v>0</v>
      </c>
      <c r="S255" s="16">
        <v>0</v>
      </c>
      <c r="T255" s="16">
        <v>0</v>
      </c>
      <c r="U255" s="16">
        <v>0</v>
      </c>
      <c r="V255" s="16">
        <f>($J255*0.04)+($K255*4)+($L255*-2)+($N255*0.1)+($O255*6)+($Q255)+($R255*0.1)+($S255*6)+($T255*-2)</f>
        <v>0</v>
      </c>
      <c r="W255" s="16" t="e">
        <f>$P255/$H$33</f>
        <v>#DIV/0!</v>
      </c>
      <c r="X255" s="16" t="e">
        <f>$N255/$M255</f>
        <v>#DIV/0!</v>
      </c>
      <c r="Y255" s="16" t="e">
        <f>$R255/$Q255</f>
        <v>#DIV/0!</v>
      </c>
      <c r="Z255" s="16" t="e">
        <f>$I255/$H255</f>
        <v>#DIV/0!</v>
      </c>
      <c r="AA255" s="16" t="e">
        <f>$K255/$H255</f>
        <v>#DIV/0!</v>
      </c>
      <c r="AB255" s="16">
        <f>($J255*Cp_yd)+($K255*Cp_td)+($L255*Cint)+($M255*Ccar)+($N255*Cr_yd)+($O255*Cr_td)+(Q255*Crec)+($R255*Crec_yd)+($S255*Crec_td)+($T255*Cfmb)+($U255*Ctp_c)</f>
        <v>0</v>
      </c>
    </row>
    <row r="256" spans="1:28" x14ac:dyDescent="0.2">
      <c r="A256" s="15" t="s">
        <v>686</v>
      </c>
      <c r="B256" s="15" t="s">
        <v>43</v>
      </c>
      <c r="C256" s="15">
        <v>33</v>
      </c>
      <c r="D256" s="15">
        <v>12</v>
      </c>
      <c r="E256" s="15" t="s">
        <v>666</v>
      </c>
      <c r="F256" s="15" t="s">
        <v>647</v>
      </c>
      <c r="G256" s="15">
        <v>0</v>
      </c>
      <c r="H256" s="15">
        <v>0</v>
      </c>
      <c r="I256" s="15">
        <v>0</v>
      </c>
      <c r="J256" s="15">
        <v>0</v>
      </c>
      <c r="K256" s="15">
        <v>0</v>
      </c>
      <c r="L256" s="15">
        <v>0</v>
      </c>
      <c r="M256" s="15">
        <v>0</v>
      </c>
      <c r="N256" s="15">
        <v>0</v>
      </c>
      <c r="O256" s="15">
        <v>0</v>
      </c>
      <c r="P256" s="15">
        <v>0</v>
      </c>
      <c r="Q256" s="15">
        <v>0</v>
      </c>
      <c r="R256" s="15">
        <v>0</v>
      </c>
      <c r="S256" s="15">
        <v>0</v>
      </c>
      <c r="T256" s="15">
        <v>0</v>
      </c>
      <c r="U256" s="15">
        <v>0</v>
      </c>
      <c r="V256" s="15">
        <f>($J256*0.04)+($K256*4)+($L256*-2)+($N256*0.1)+($O256*6)+($Q256)+($R256*0.1)+($S256*6)+($T256*-2)</f>
        <v>0</v>
      </c>
      <c r="W256" s="15" t="e">
        <f>$P256/$H$33</f>
        <v>#DIV/0!</v>
      </c>
      <c r="X256" s="15" t="e">
        <f>$N256/$M256</f>
        <v>#DIV/0!</v>
      </c>
      <c r="Y256" s="15" t="e">
        <f>$R256/$Q256</f>
        <v>#DIV/0!</v>
      </c>
      <c r="Z256" s="15" t="e">
        <f>$I256/$H256</f>
        <v>#DIV/0!</v>
      </c>
      <c r="AA256" s="15" t="e">
        <f>$K256/$H256</f>
        <v>#DIV/0!</v>
      </c>
      <c r="AB256" s="15">
        <f>($J256*Cp_yd)+($K256*Cp_td)+($L256*Cint)+($M256*Ccar)+($N256*Cr_yd)+($O256*Cr_td)+(Q256*Crec)+($R256*Crec_yd)+($S256*Crec_td)+($T256*Cfmb)+($U256*Ctp_c)</f>
        <v>0</v>
      </c>
    </row>
    <row r="257" spans="1:28" x14ac:dyDescent="0.2">
      <c r="A257" s="16" t="s">
        <v>687</v>
      </c>
      <c r="B257" s="16" t="s">
        <v>43</v>
      </c>
      <c r="C257" s="16">
        <v>27</v>
      </c>
      <c r="D257" s="16">
        <v>3</v>
      </c>
      <c r="E257" s="16" t="s">
        <v>688</v>
      </c>
      <c r="F257" s="16" t="s">
        <v>647</v>
      </c>
      <c r="G257" s="16">
        <v>0</v>
      </c>
      <c r="H257" s="16">
        <v>0</v>
      </c>
      <c r="I257" s="16">
        <v>0</v>
      </c>
      <c r="J257" s="16">
        <v>0</v>
      </c>
      <c r="K257" s="16">
        <v>0</v>
      </c>
      <c r="L257" s="16">
        <v>0</v>
      </c>
      <c r="M257" s="16">
        <v>0</v>
      </c>
      <c r="N257" s="16">
        <v>0</v>
      </c>
      <c r="O257" s="16">
        <v>0</v>
      </c>
      <c r="P257" s="16">
        <v>0</v>
      </c>
      <c r="Q257" s="16">
        <v>0</v>
      </c>
      <c r="R257" s="16">
        <v>0</v>
      </c>
      <c r="S257" s="16">
        <v>0</v>
      </c>
      <c r="T257" s="16">
        <v>0</v>
      </c>
      <c r="U257" s="16">
        <v>0</v>
      </c>
      <c r="V257" s="16">
        <f>($J257*0.04)+($K257*4)+($L257*-2)+($N257*0.1)+($O257*6)+($Q257)+($R257*0.1)+($S257*6)+($T257*-2)</f>
        <v>0</v>
      </c>
      <c r="W257" s="16" t="e">
        <f>$P257/$H$33</f>
        <v>#DIV/0!</v>
      </c>
      <c r="X257" s="16" t="e">
        <f>$N257/$M257</f>
        <v>#DIV/0!</v>
      </c>
      <c r="Y257" s="16" t="e">
        <f>$R257/$Q257</f>
        <v>#DIV/0!</v>
      </c>
      <c r="Z257" s="16" t="e">
        <f>$I257/$H257</f>
        <v>#DIV/0!</v>
      </c>
      <c r="AA257" s="16" t="e">
        <f>$K257/$H257</f>
        <v>#DIV/0!</v>
      </c>
      <c r="AB257" s="16">
        <f>($J257*Cp_yd)+($K257*Cp_td)+($L257*Cint)+($M257*Ccar)+($N257*Cr_yd)+($O257*Cr_td)+(Q257*Crec)+($R257*Crec_yd)+($S257*Crec_td)+($T257*Cfmb)+($U257*Ctp_c)</f>
        <v>0</v>
      </c>
    </row>
    <row r="258" spans="1:28" x14ac:dyDescent="0.2">
      <c r="A258" s="15" t="s">
        <v>689</v>
      </c>
      <c r="B258" s="15" t="s">
        <v>43</v>
      </c>
      <c r="C258" s="15">
        <v>25</v>
      </c>
      <c r="D258" s="15">
        <v>4</v>
      </c>
      <c r="E258" s="15" t="s">
        <v>393</v>
      </c>
      <c r="F258" s="15" t="s">
        <v>647</v>
      </c>
      <c r="G258" s="15">
        <v>0</v>
      </c>
      <c r="H258" s="15">
        <v>0</v>
      </c>
      <c r="I258" s="15">
        <v>0</v>
      </c>
      <c r="J258" s="15">
        <v>0</v>
      </c>
      <c r="K258" s="15">
        <v>0</v>
      </c>
      <c r="L258" s="15">
        <v>0</v>
      </c>
      <c r="M258" s="15">
        <v>0</v>
      </c>
      <c r="N258" s="15">
        <v>0</v>
      </c>
      <c r="O258" s="15">
        <v>0</v>
      </c>
      <c r="P258" s="15">
        <v>0</v>
      </c>
      <c r="Q258" s="15">
        <v>0</v>
      </c>
      <c r="R258" s="15">
        <v>0</v>
      </c>
      <c r="S258" s="15">
        <v>0</v>
      </c>
      <c r="T258" s="15">
        <v>0</v>
      </c>
      <c r="U258" s="15">
        <v>0</v>
      </c>
      <c r="V258" s="15">
        <f>($J258*0.04)+($K258*4)+($L258*-2)+($N258*0.1)+($O258*6)+($Q258)+($R258*0.1)+($S258*6)+($T258*-2)</f>
        <v>0</v>
      </c>
      <c r="W258" s="15" t="e">
        <f>$P258/$H$33</f>
        <v>#DIV/0!</v>
      </c>
      <c r="X258" s="15" t="e">
        <f>$N258/$M258</f>
        <v>#DIV/0!</v>
      </c>
      <c r="Y258" s="15" t="e">
        <f>$R258/$Q258</f>
        <v>#DIV/0!</v>
      </c>
      <c r="Z258" s="15" t="e">
        <f>$I258/$H258</f>
        <v>#DIV/0!</v>
      </c>
      <c r="AA258" s="15" t="e">
        <f>$K258/$H258</f>
        <v>#DIV/0!</v>
      </c>
      <c r="AB258" s="15">
        <f>($J258*Cp_yd)+($K258*Cp_td)+($L258*Cint)+($M258*Ccar)+($N258*Cr_yd)+($O258*Cr_td)+(Q258*Crec)+($R258*Crec_yd)+($S258*Crec_td)+($T258*Cfmb)+($U258*Ctp_c)</f>
        <v>0</v>
      </c>
    </row>
    <row r="259" spans="1:28" x14ac:dyDescent="0.2">
      <c r="A259" s="16" t="s">
        <v>690</v>
      </c>
      <c r="B259" s="16" t="s">
        <v>43</v>
      </c>
      <c r="C259" s="16">
        <v>29</v>
      </c>
      <c r="D259" s="16">
        <v>7</v>
      </c>
      <c r="E259" s="16" t="s">
        <v>691</v>
      </c>
      <c r="F259" s="16" t="s">
        <v>647</v>
      </c>
      <c r="G259" s="16">
        <v>0</v>
      </c>
      <c r="H259" s="16">
        <v>0</v>
      </c>
      <c r="I259" s="16">
        <v>0</v>
      </c>
      <c r="J259" s="16">
        <v>0</v>
      </c>
      <c r="K259" s="16">
        <v>0</v>
      </c>
      <c r="L259" s="16">
        <v>0</v>
      </c>
      <c r="M259" s="16">
        <v>0</v>
      </c>
      <c r="N259" s="16">
        <v>0</v>
      </c>
      <c r="O259" s="16">
        <v>0</v>
      </c>
      <c r="P259" s="16">
        <v>0</v>
      </c>
      <c r="Q259" s="16">
        <v>0</v>
      </c>
      <c r="R259" s="16">
        <v>0</v>
      </c>
      <c r="S259" s="16">
        <v>0</v>
      </c>
      <c r="T259" s="16">
        <v>0</v>
      </c>
      <c r="U259" s="16">
        <v>0</v>
      </c>
      <c r="V259" s="16">
        <f>($J259*0.04)+($K259*4)+($L259*-2)+($N259*0.1)+($O259*6)+($Q259)+($R259*0.1)+($S259*6)+($T259*-2)</f>
        <v>0</v>
      </c>
      <c r="W259" s="16" t="e">
        <f>$P259/$H$33</f>
        <v>#DIV/0!</v>
      </c>
      <c r="X259" s="16" t="e">
        <f>$N259/$M259</f>
        <v>#DIV/0!</v>
      </c>
      <c r="Y259" s="16" t="e">
        <f>$R259/$Q259</f>
        <v>#DIV/0!</v>
      </c>
      <c r="Z259" s="16" t="e">
        <f>$I259/$H259</f>
        <v>#DIV/0!</v>
      </c>
      <c r="AA259" s="16" t="e">
        <f>$K259/$H259</f>
        <v>#DIV/0!</v>
      </c>
      <c r="AB259" s="16">
        <f>($J259*Cp_yd)+($K259*Cp_td)+($L259*Cint)+($M259*Ccar)+($N259*Cr_yd)+($O259*Cr_td)+(Q259*Crec)+($R259*Crec_yd)+($S259*Crec_td)+($T259*Cfmb)+($U259*Ctp_c)</f>
        <v>0</v>
      </c>
    </row>
    <row r="260" spans="1:28" x14ac:dyDescent="0.2">
      <c r="A260" s="15" t="s">
        <v>692</v>
      </c>
      <c r="B260" s="15" t="s">
        <v>43</v>
      </c>
      <c r="C260" s="15">
        <v>28</v>
      </c>
      <c r="D260" s="15">
        <v>7</v>
      </c>
      <c r="E260" s="15" t="s">
        <v>307</v>
      </c>
      <c r="F260" s="15" t="s">
        <v>647</v>
      </c>
      <c r="G260" s="15">
        <v>0</v>
      </c>
      <c r="H260" s="15">
        <v>0</v>
      </c>
      <c r="I260" s="15">
        <v>0</v>
      </c>
      <c r="J260" s="15">
        <v>0</v>
      </c>
      <c r="K260" s="15">
        <v>0</v>
      </c>
      <c r="L260" s="15">
        <v>0</v>
      </c>
      <c r="M260" s="15">
        <v>0</v>
      </c>
      <c r="N260" s="15">
        <v>0</v>
      </c>
      <c r="O260" s="15">
        <v>0</v>
      </c>
      <c r="P260" s="15">
        <v>0</v>
      </c>
      <c r="Q260" s="15">
        <v>0</v>
      </c>
      <c r="R260" s="15">
        <v>0</v>
      </c>
      <c r="S260" s="15">
        <v>0</v>
      </c>
      <c r="T260" s="15">
        <v>0</v>
      </c>
      <c r="U260" s="15">
        <v>0</v>
      </c>
      <c r="V260" s="15">
        <f>($J260*0.04)+($K260*4)+($L260*-2)+($N260*0.1)+($O260*6)+($Q260)+($R260*0.1)+($S260*6)+($T260*-2)</f>
        <v>0</v>
      </c>
      <c r="W260" s="15" t="e">
        <f>$P260/$H$33</f>
        <v>#DIV/0!</v>
      </c>
      <c r="X260" s="15" t="e">
        <f>$N260/$M260</f>
        <v>#DIV/0!</v>
      </c>
      <c r="Y260" s="15" t="e">
        <f>$R260/$Q260</f>
        <v>#DIV/0!</v>
      </c>
      <c r="Z260" s="15" t="e">
        <f>$I260/$H260</f>
        <v>#DIV/0!</v>
      </c>
      <c r="AA260" s="15" t="e">
        <f>$K260/$H260</f>
        <v>#DIV/0!</v>
      </c>
      <c r="AB260" s="15">
        <f>($J260*Cp_yd)+($K260*Cp_td)+($L260*Cint)+($M260*Ccar)+($N260*Cr_yd)+($O260*Cr_td)+(Q260*Crec)+($R260*Crec_yd)+($S260*Crec_td)+($T260*Cfmb)+($U260*Ctp_c)</f>
        <v>0</v>
      </c>
    </row>
    <row r="261" spans="1:28" x14ac:dyDescent="0.2">
      <c r="A261" s="16" t="s">
        <v>693</v>
      </c>
      <c r="B261" s="16" t="s">
        <v>43</v>
      </c>
      <c r="C261" s="16">
        <v>23</v>
      </c>
      <c r="D261" s="16">
        <v>3</v>
      </c>
      <c r="E261" s="16" t="s">
        <v>78</v>
      </c>
      <c r="F261" s="16" t="s">
        <v>647</v>
      </c>
      <c r="G261" s="16">
        <v>0</v>
      </c>
      <c r="H261" s="16">
        <v>0</v>
      </c>
      <c r="I261" s="16">
        <v>0</v>
      </c>
      <c r="J261" s="16">
        <v>0</v>
      </c>
      <c r="K261" s="16">
        <v>0</v>
      </c>
      <c r="L261" s="16">
        <v>0</v>
      </c>
      <c r="M261" s="16">
        <v>0</v>
      </c>
      <c r="N261" s="16">
        <v>0</v>
      </c>
      <c r="O261" s="16">
        <v>0</v>
      </c>
      <c r="P261" s="16">
        <v>0</v>
      </c>
      <c r="Q261" s="16">
        <v>0</v>
      </c>
      <c r="R261" s="16">
        <v>0</v>
      </c>
      <c r="S261" s="16">
        <v>0</v>
      </c>
      <c r="T261" s="16">
        <v>0</v>
      </c>
      <c r="U261" s="16">
        <v>0</v>
      </c>
      <c r="V261" s="16">
        <f>($J261*0.04)+($K261*4)+($L261*-2)+($N261*0.1)+($O261*6)+($Q261)+($R261*0.1)+($S261*6)+($T261*-2)</f>
        <v>0</v>
      </c>
      <c r="W261" s="16" t="e">
        <f>$P261/$H$33</f>
        <v>#DIV/0!</v>
      </c>
      <c r="X261" s="16" t="e">
        <f>$N261/$M261</f>
        <v>#DIV/0!</v>
      </c>
      <c r="Y261" s="16" t="e">
        <f>$R261/$Q261</f>
        <v>#DIV/0!</v>
      </c>
      <c r="Z261" s="16" t="e">
        <f>$I261/$H261</f>
        <v>#DIV/0!</v>
      </c>
      <c r="AA261" s="16" t="e">
        <f>$K261/$H261</f>
        <v>#DIV/0!</v>
      </c>
      <c r="AB261" s="16">
        <f>($J261*Cp_yd)+($K261*Cp_td)+($L261*Cint)+($M261*Ccar)+($N261*Cr_yd)+($O261*Cr_td)+(Q261*Crec)+($R261*Crec_yd)+($S261*Crec_td)+($T261*Cfmb)+($U261*Ctp_c)</f>
        <v>0</v>
      </c>
    </row>
    <row r="262" spans="1:28" x14ac:dyDescent="0.2">
      <c r="A262" s="15" t="s">
        <v>695</v>
      </c>
      <c r="B262" s="15" t="s">
        <v>38</v>
      </c>
      <c r="C262" s="15">
        <v>28</v>
      </c>
      <c r="D262" s="15">
        <v>6</v>
      </c>
      <c r="E262" s="15" t="s">
        <v>86</v>
      </c>
      <c r="F262" s="15" t="s">
        <v>647</v>
      </c>
      <c r="G262" s="15">
        <v>0</v>
      </c>
      <c r="H262" s="15">
        <v>0</v>
      </c>
      <c r="I262" s="15">
        <v>0</v>
      </c>
      <c r="J262" s="15">
        <v>0</v>
      </c>
      <c r="K262" s="15">
        <v>0</v>
      </c>
      <c r="L262" s="15">
        <v>0</v>
      </c>
      <c r="M262" s="15">
        <v>0</v>
      </c>
      <c r="N262" s="15">
        <v>0</v>
      </c>
      <c r="O262" s="15">
        <v>0</v>
      </c>
      <c r="P262" s="15">
        <v>0</v>
      </c>
      <c r="Q262" s="15">
        <v>0</v>
      </c>
      <c r="R262" s="15">
        <v>0</v>
      </c>
      <c r="S262" s="15">
        <v>0</v>
      </c>
      <c r="T262" s="15">
        <v>0</v>
      </c>
      <c r="U262" s="15">
        <v>0</v>
      </c>
      <c r="V262" s="15">
        <f>($J262*0.04)+($K262*4)+($L262*-2)+($N262*0.1)+($O262*6)+($Q262)+($R262*0.1)+($S262*6)+($T262*-2)</f>
        <v>0</v>
      </c>
      <c r="W262" s="15" t="e">
        <f>$P262/$H$33</f>
        <v>#DIV/0!</v>
      </c>
      <c r="X262" s="15" t="e">
        <f>$N262/$M262</f>
        <v>#DIV/0!</v>
      </c>
      <c r="Y262" s="15" t="e">
        <f>$R262/$Q262</f>
        <v>#DIV/0!</v>
      </c>
      <c r="Z262" s="15" t="e">
        <f>$I262/$H262</f>
        <v>#DIV/0!</v>
      </c>
      <c r="AA262" s="15" t="e">
        <f>$K262/$H262</f>
        <v>#DIV/0!</v>
      </c>
      <c r="AB262" s="15">
        <f>($J262*Cp_yd)+($K262*Cp_td)+($L262*Cint)+($M262*Ccar)+($N262*Cr_yd)+($O262*Cr_td)+(Q262*Crec)+($R262*Crec_yd)+($S262*Crec_td)+($T262*Cfmb)+($U262*Ctp_c)</f>
        <v>0</v>
      </c>
    </row>
    <row r="263" spans="1:28" x14ac:dyDescent="0.2">
      <c r="A263" s="16" t="s">
        <v>696</v>
      </c>
      <c r="B263" s="16" t="s">
        <v>38</v>
      </c>
      <c r="C263" s="16">
        <v>28</v>
      </c>
      <c r="D263" s="16">
        <v>3</v>
      </c>
      <c r="E263" s="16" t="s">
        <v>697</v>
      </c>
      <c r="F263" s="16" t="s">
        <v>647</v>
      </c>
      <c r="G263" s="16">
        <v>0</v>
      </c>
      <c r="H263" s="16">
        <v>0</v>
      </c>
      <c r="I263" s="16">
        <v>0</v>
      </c>
      <c r="J263" s="16">
        <v>0</v>
      </c>
      <c r="K263" s="16">
        <v>0</v>
      </c>
      <c r="L263" s="16">
        <v>0</v>
      </c>
      <c r="M263" s="16">
        <v>0</v>
      </c>
      <c r="N263" s="16">
        <v>0</v>
      </c>
      <c r="O263" s="16">
        <v>0</v>
      </c>
      <c r="P263" s="16">
        <v>0</v>
      </c>
      <c r="Q263" s="16">
        <v>0</v>
      </c>
      <c r="R263" s="16">
        <v>0</v>
      </c>
      <c r="S263" s="16">
        <v>0</v>
      </c>
      <c r="T263" s="16">
        <v>0</v>
      </c>
      <c r="U263" s="16">
        <v>0</v>
      </c>
      <c r="V263" s="16">
        <f>($J263*0.04)+($K263*4)+($L263*-2)+($N263*0.1)+($O263*6)+($Q263)+($R263*0.1)+($S263*6)+($T263*-2)</f>
        <v>0</v>
      </c>
      <c r="W263" s="16" t="e">
        <f>$P263/$H$33</f>
        <v>#DIV/0!</v>
      </c>
      <c r="X263" s="16" t="e">
        <f>$N263/$M263</f>
        <v>#DIV/0!</v>
      </c>
      <c r="Y263" s="16" t="e">
        <f>$R263/$Q263</f>
        <v>#DIV/0!</v>
      </c>
      <c r="Z263" s="16" t="e">
        <f>$I263/$H263</f>
        <v>#DIV/0!</v>
      </c>
      <c r="AA263" s="16" t="e">
        <f>$K263/$H263</f>
        <v>#DIV/0!</v>
      </c>
      <c r="AB263" s="16">
        <f>($J263*Cp_yd)+($K263*Cp_td)+($L263*Cint)+($M263*Ccar)+($N263*Cr_yd)+($O263*Cr_td)+(Q263*Crec)+($R263*Crec_yd)+($S263*Crec_td)+($T263*Cfmb)+($U263*Ctp_c)</f>
        <v>0</v>
      </c>
    </row>
    <row r="264" spans="1:28" x14ac:dyDescent="0.2">
      <c r="A264" s="15" t="s">
        <v>698</v>
      </c>
      <c r="B264" s="15" t="s">
        <v>38</v>
      </c>
      <c r="C264" s="15">
        <v>22</v>
      </c>
      <c r="D264" s="15">
        <v>0</v>
      </c>
      <c r="E264" s="15" t="s">
        <v>100</v>
      </c>
      <c r="F264" s="15" t="s">
        <v>647</v>
      </c>
      <c r="G264" s="15">
        <v>0</v>
      </c>
      <c r="H264" s="15">
        <v>0</v>
      </c>
      <c r="I264" s="15">
        <v>0</v>
      </c>
      <c r="J264" s="15">
        <v>0</v>
      </c>
      <c r="K264" s="15">
        <v>0</v>
      </c>
      <c r="L264" s="15">
        <v>0</v>
      </c>
      <c r="M264" s="15">
        <v>0</v>
      </c>
      <c r="N264" s="15">
        <v>0</v>
      </c>
      <c r="O264" s="15">
        <v>0</v>
      </c>
      <c r="P264" s="15">
        <v>0</v>
      </c>
      <c r="Q264" s="15">
        <v>0</v>
      </c>
      <c r="R264" s="15">
        <v>0</v>
      </c>
      <c r="S264" s="15">
        <v>0</v>
      </c>
      <c r="T264" s="15">
        <v>0</v>
      </c>
      <c r="U264" s="15">
        <v>0</v>
      </c>
      <c r="V264" s="15">
        <f>($J264*0.04)+($K264*4)+($L264*-2)+($N264*0.1)+($O264*6)+($Q264)+($R264*0.1)+($S264*6)+($T264*-2)</f>
        <v>0</v>
      </c>
      <c r="W264" s="15" t="e">
        <f>$P264/$H$33</f>
        <v>#DIV/0!</v>
      </c>
      <c r="X264" s="15" t="e">
        <f>$N264/$M264</f>
        <v>#DIV/0!</v>
      </c>
      <c r="Y264" s="15" t="e">
        <f>$R264/$Q264</f>
        <v>#DIV/0!</v>
      </c>
      <c r="Z264" s="15" t="e">
        <f>$I264/$H264</f>
        <v>#DIV/0!</v>
      </c>
      <c r="AA264" s="15" t="e">
        <f>$K264/$H264</f>
        <v>#DIV/0!</v>
      </c>
      <c r="AB264" s="15">
        <f>($J264*Cp_yd)+($K264*Cp_td)+($L264*Cint)+($M264*Ccar)+($N264*Cr_yd)+($O264*Cr_td)+(Q264*Crec)+($R264*Crec_yd)+($S264*Crec_td)+($T264*Cfmb)+($U264*Ctp_c)</f>
        <v>0</v>
      </c>
    </row>
    <row r="265" spans="1:28" x14ac:dyDescent="0.2">
      <c r="A265" s="16" t="s">
        <v>699</v>
      </c>
      <c r="B265" s="16" t="s">
        <v>38</v>
      </c>
      <c r="C265" s="16">
        <v>24</v>
      </c>
      <c r="D265" s="16">
        <v>2</v>
      </c>
      <c r="E265" s="16" t="s">
        <v>333</v>
      </c>
      <c r="F265" s="16" t="s">
        <v>647</v>
      </c>
      <c r="G265" s="16">
        <v>0</v>
      </c>
      <c r="H265" s="16">
        <v>0</v>
      </c>
      <c r="I265" s="16">
        <v>0</v>
      </c>
      <c r="J265" s="16">
        <v>0</v>
      </c>
      <c r="K265" s="16">
        <v>0</v>
      </c>
      <c r="L265" s="16">
        <v>0</v>
      </c>
      <c r="M265" s="16">
        <v>0</v>
      </c>
      <c r="N265" s="16">
        <v>0</v>
      </c>
      <c r="O265" s="16">
        <v>0</v>
      </c>
      <c r="P265" s="16">
        <v>0</v>
      </c>
      <c r="Q265" s="16">
        <v>0</v>
      </c>
      <c r="R265" s="16">
        <v>0</v>
      </c>
      <c r="S265" s="16">
        <v>0</v>
      </c>
      <c r="T265" s="16">
        <v>0</v>
      </c>
      <c r="U265" s="16">
        <v>0</v>
      </c>
      <c r="V265" s="16">
        <f>($J265*0.04)+($K265*4)+($L265*-2)+($N265*0.1)+($O265*6)+($Q265)+($R265*0.1)+($S265*6)+($T265*-2)</f>
        <v>0</v>
      </c>
      <c r="W265" s="16" t="e">
        <f>$P265/$H$33</f>
        <v>#DIV/0!</v>
      </c>
      <c r="X265" s="16" t="e">
        <f>$N265/$M265</f>
        <v>#DIV/0!</v>
      </c>
      <c r="Y265" s="16" t="e">
        <f>$R265/$Q265</f>
        <v>#DIV/0!</v>
      </c>
      <c r="Z265" s="16" t="e">
        <f>$I265/$H265</f>
        <v>#DIV/0!</v>
      </c>
      <c r="AA265" s="16" t="e">
        <f>$K265/$H265</f>
        <v>#DIV/0!</v>
      </c>
      <c r="AB265" s="16">
        <f>($J265*Cp_yd)+($K265*Cp_td)+($L265*Cint)+($M265*Ccar)+($N265*Cr_yd)+($O265*Cr_td)+(Q265*Crec)+($R265*Crec_yd)+($S265*Crec_td)+($T265*Cfmb)+($U265*Ctp_c)</f>
        <v>0</v>
      </c>
    </row>
    <row r="266" spans="1:28" x14ac:dyDescent="0.2">
      <c r="A266" s="15" t="s">
        <v>700</v>
      </c>
      <c r="B266" s="15" t="s">
        <v>38</v>
      </c>
      <c r="C266" s="15">
        <v>24</v>
      </c>
      <c r="D266" s="15">
        <v>3</v>
      </c>
      <c r="E266" s="15" t="s">
        <v>362</v>
      </c>
      <c r="F266" s="15" t="s">
        <v>647</v>
      </c>
      <c r="G266" s="15">
        <v>0</v>
      </c>
      <c r="H266" s="15">
        <v>0</v>
      </c>
      <c r="I266" s="15">
        <v>0</v>
      </c>
      <c r="J266" s="15">
        <v>0</v>
      </c>
      <c r="K266" s="15">
        <v>0</v>
      </c>
      <c r="L266" s="15">
        <v>0</v>
      </c>
      <c r="M266" s="15">
        <v>0</v>
      </c>
      <c r="N266" s="15">
        <v>0</v>
      </c>
      <c r="O266" s="15">
        <v>0</v>
      </c>
      <c r="P266" s="15">
        <v>0</v>
      </c>
      <c r="Q266" s="15">
        <v>0</v>
      </c>
      <c r="R266" s="15">
        <v>0</v>
      </c>
      <c r="S266" s="15">
        <v>0</v>
      </c>
      <c r="T266" s="15">
        <v>0</v>
      </c>
      <c r="U266" s="15">
        <v>0</v>
      </c>
      <c r="V266" s="15">
        <f>($J266*0.04)+($K266*4)+($L266*-2)+($N266*0.1)+($O266*6)+($Q266)+($R266*0.1)+($S266*6)+($T266*-2)</f>
        <v>0</v>
      </c>
      <c r="W266" s="15" t="e">
        <f>$P266/$H$33</f>
        <v>#DIV/0!</v>
      </c>
      <c r="X266" s="15" t="e">
        <f>$N266/$M266</f>
        <v>#DIV/0!</v>
      </c>
      <c r="Y266" s="15" t="e">
        <f>$R266/$Q266</f>
        <v>#DIV/0!</v>
      </c>
      <c r="Z266" s="15" t="e">
        <f>$I266/$H266</f>
        <v>#DIV/0!</v>
      </c>
      <c r="AA266" s="15" t="e">
        <f>$K266/$H266</f>
        <v>#DIV/0!</v>
      </c>
      <c r="AB266" s="15">
        <f>($J266*Cp_yd)+($K266*Cp_td)+($L266*Cint)+($M266*Ccar)+($N266*Cr_yd)+($O266*Cr_td)+(Q266*Crec)+($R266*Crec_yd)+($S266*Crec_td)+($T266*Cfmb)+($U266*Ctp_c)</f>
        <v>0</v>
      </c>
    </row>
    <row r="267" spans="1:28" x14ac:dyDescent="0.2">
      <c r="A267" s="16" t="s">
        <v>720</v>
      </c>
      <c r="B267" s="16" t="s">
        <v>26</v>
      </c>
      <c r="C267" s="16">
        <v>25</v>
      </c>
      <c r="D267" s="16">
        <v>0</v>
      </c>
      <c r="E267" s="16" t="s">
        <v>339</v>
      </c>
      <c r="F267" s="16" t="s">
        <v>704</v>
      </c>
      <c r="G267" s="16">
        <v>0</v>
      </c>
      <c r="H267" s="16">
        <v>0</v>
      </c>
      <c r="I267" s="16">
        <v>0</v>
      </c>
      <c r="J267" s="16">
        <v>0</v>
      </c>
      <c r="K267" s="16">
        <v>0</v>
      </c>
      <c r="L267" s="16">
        <v>0</v>
      </c>
      <c r="M267" s="16">
        <v>0</v>
      </c>
      <c r="N267" s="16">
        <v>0</v>
      </c>
      <c r="O267" s="16">
        <v>0</v>
      </c>
      <c r="P267" s="16">
        <v>0</v>
      </c>
      <c r="Q267" s="16">
        <v>0</v>
      </c>
      <c r="R267" s="16">
        <v>0</v>
      </c>
      <c r="S267" s="16">
        <v>0</v>
      </c>
      <c r="T267" s="16">
        <v>0</v>
      </c>
      <c r="U267" s="16">
        <v>0</v>
      </c>
      <c r="V267" s="16">
        <f>($J267*0.04)+($K267*4)+($L267*-2)+($N267*0.1)+($O267*6)+($Q267)+($R267*0.1)+($S267*6)+($T267*-2)</f>
        <v>0</v>
      </c>
      <c r="W267" s="16" t="e">
        <f>$P267/$H$33</f>
        <v>#DIV/0!</v>
      </c>
      <c r="X267" s="16" t="e">
        <f>$N267/$M267</f>
        <v>#DIV/0!</v>
      </c>
      <c r="Y267" s="16" t="e">
        <f>$R267/$Q267</f>
        <v>#DIV/0!</v>
      </c>
      <c r="Z267" s="16" t="e">
        <f>$I267/$H267</f>
        <v>#DIV/0!</v>
      </c>
      <c r="AA267" s="16" t="e">
        <f>$K267/$H267</f>
        <v>#DIV/0!</v>
      </c>
      <c r="AB267" s="16">
        <f>($J267*Cp_yd)+($K267*Cp_td)+($L267*Cint)+($M267*Ccar)+($N267*Cr_yd)+($O267*Cr_td)+(Q267*Crec)+($R267*Crec_yd)+($S267*Crec_td)+($T267*Cfmb)+($U267*Ctp_c)</f>
        <v>0</v>
      </c>
    </row>
    <row r="268" spans="1:28" x14ac:dyDescent="0.2">
      <c r="A268" s="15" t="s">
        <v>721</v>
      </c>
      <c r="B268" s="15" t="s">
        <v>26</v>
      </c>
      <c r="C268" s="15">
        <v>24</v>
      </c>
      <c r="D268" s="15">
        <v>4</v>
      </c>
      <c r="E268" s="15" t="s">
        <v>89</v>
      </c>
      <c r="F268" s="15" t="s">
        <v>704</v>
      </c>
      <c r="G268" s="15">
        <v>0</v>
      </c>
      <c r="H268" s="15">
        <v>0</v>
      </c>
      <c r="I268" s="15">
        <v>0</v>
      </c>
      <c r="J268" s="15">
        <v>0</v>
      </c>
      <c r="K268" s="15">
        <v>0</v>
      </c>
      <c r="L268" s="15">
        <v>0</v>
      </c>
      <c r="M268" s="15">
        <v>0</v>
      </c>
      <c r="N268" s="15">
        <v>0</v>
      </c>
      <c r="O268" s="15">
        <v>0</v>
      </c>
      <c r="P268" s="15">
        <v>0</v>
      </c>
      <c r="Q268" s="15">
        <v>0</v>
      </c>
      <c r="R268" s="15">
        <v>0</v>
      </c>
      <c r="S268" s="15">
        <v>0</v>
      </c>
      <c r="T268" s="15">
        <v>0</v>
      </c>
      <c r="U268" s="15">
        <v>0</v>
      </c>
      <c r="V268" s="15">
        <f>($J268*0.04)+($K268*4)+($L268*-2)+($N268*0.1)+($O268*6)+($Q268)+($R268*0.1)+($S268*6)+($T268*-2)</f>
        <v>0</v>
      </c>
      <c r="W268" s="15" t="e">
        <f>$P268/$H$33</f>
        <v>#DIV/0!</v>
      </c>
      <c r="X268" s="15" t="e">
        <f>$N268/$M268</f>
        <v>#DIV/0!</v>
      </c>
      <c r="Y268" s="15" t="e">
        <f>$R268/$Q268</f>
        <v>#DIV/0!</v>
      </c>
      <c r="Z268" s="15" t="e">
        <f>$I268/$H268</f>
        <v>#DIV/0!</v>
      </c>
      <c r="AA268" s="15" t="e">
        <f>$K268/$H268</f>
        <v>#DIV/0!</v>
      </c>
      <c r="AB268" s="15">
        <f>($J268*Cp_yd)+($K268*Cp_td)+($L268*Cint)+($M268*Ccar)+($N268*Cr_yd)+($O268*Cr_td)+(Q268*Crec)+($R268*Crec_yd)+($S268*Crec_td)+($T268*Cfmb)+($U268*Ctp_c)</f>
        <v>0</v>
      </c>
    </row>
    <row r="269" spans="1:28" x14ac:dyDescent="0.2">
      <c r="A269" s="16" t="s">
        <v>723</v>
      </c>
      <c r="B269" s="16" t="s">
        <v>31</v>
      </c>
      <c r="C269" s="16">
        <v>25</v>
      </c>
      <c r="D269" s="16">
        <v>4</v>
      </c>
      <c r="E269" s="16" t="s">
        <v>235</v>
      </c>
      <c r="F269" s="16" t="s">
        <v>704</v>
      </c>
      <c r="G269" s="16">
        <v>0</v>
      </c>
      <c r="H269" s="16">
        <v>0</v>
      </c>
      <c r="I269" s="16">
        <v>0</v>
      </c>
      <c r="J269" s="16">
        <v>0</v>
      </c>
      <c r="K269" s="16">
        <v>0</v>
      </c>
      <c r="L269" s="16">
        <v>0</v>
      </c>
      <c r="M269" s="16">
        <v>0</v>
      </c>
      <c r="N269" s="16">
        <v>0</v>
      </c>
      <c r="O269" s="16">
        <v>0</v>
      </c>
      <c r="P269" s="16">
        <v>0</v>
      </c>
      <c r="Q269" s="16">
        <v>0</v>
      </c>
      <c r="R269" s="16">
        <v>0</v>
      </c>
      <c r="S269" s="16">
        <v>0</v>
      </c>
      <c r="T269" s="16">
        <v>0</v>
      </c>
      <c r="U269" s="16">
        <v>0</v>
      </c>
      <c r="V269" s="16">
        <f>($J269*0.04)+($K269*4)+($L269*-2)+($N269*0.1)+($O269*6)+($Q269)+($R269*0.1)+($S269*6)+($T269*-2)</f>
        <v>0</v>
      </c>
      <c r="W269" s="16" t="e">
        <f>$P269/$H$33</f>
        <v>#DIV/0!</v>
      </c>
      <c r="X269" s="16" t="e">
        <f>$N269/$M269</f>
        <v>#DIV/0!</v>
      </c>
      <c r="Y269" s="16" t="e">
        <f>$R269/$Q269</f>
        <v>#DIV/0!</v>
      </c>
      <c r="Z269" s="16" t="e">
        <f>$I269/$H269</f>
        <v>#DIV/0!</v>
      </c>
      <c r="AA269" s="16" t="e">
        <f>$K269/$H269</f>
        <v>#DIV/0!</v>
      </c>
      <c r="AB269" s="16">
        <f>($J269*Cp_yd)+($K269*Cp_td)+($L269*Cint)+($M269*Ccar)+($N269*Cr_yd)+($O269*Cr_td)+(Q269*Crec)+($R269*Crec_yd)+($S269*Crec_td)+($T269*Cfmb)+($U269*Ctp_c)</f>
        <v>0</v>
      </c>
    </row>
    <row r="270" spans="1:28" x14ac:dyDescent="0.2">
      <c r="A270" s="15" t="s">
        <v>724</v>
      </c>
      <c r="B270" s="15" t="s">
        <v>31</v>
      </c>
      <c r="C270" s="15">
        <v>22</v>
      </c>
      <c r="D270" s="15">
        <v>1</v>
      </c>
      <c r="E270" s="15" t="s">
        <v>100</v>
      </c>
      <c r="F270" s="15" t="s">
        <v>704</v>
      </c>
      <c r="G270" s="15">
        <v>0</v>
      </c>
      <c r="H270" s="15">
        <v>0</v>
      </c>
      <c r="I270" s="15">
        <v>0</v>
      </c>
      <c r="J270" s="15">
        <v>0</v>
      </c>
      <c r="K270" s="15">
        <v>0</v>
      </c>
      <c r="L270" s="15">
        <v>0</v>
      </c>
      <c r="M270" s="15">
        <v>0</v>
      </c>
      <c r="N270" s="15">
        <v>0</v>
      </c>
      <c r="O270" s="15">
        <v>0</v>
      </c>
      <c r="P270" s="15">
        <v>0</v>
      </c>
      <c r="Q270" s="15">
        <v>0</v>
      </c>
      <c r="R270" s="15">
        <v>0</v>
      </c>
      <c r="S270" s="15">
        <v>0</v>
      </c>
      <c r="T270" s="15">
        <v>0</v>
      </c>
      <c r="U270" s="15">
        <v>0</v>
      </c>
      <c r="V270" s="15">
        <f>($J270*0.04)+($K270*4)+($L270*-2)+($N270*0.1)+($O270*6)+($Q270)+($R270*0.1)+($S270*6)+($T270*-2)</f>
        <v>0</v>
      </c>
      <c r="W270" s="15" t="e">
        <f>$P270/$H$33</f>
        <v>#DIV/0!</v>
      </c>
      <c r="X270" s="15" t="e">
        <f>$N270/$M270</f>
        <v>#DIV/0!</v>
      </c>
      <c r="Y270" s="15" t="e">
        <f>$R270/$Q270</f>
        <v>#DIV/0!</v>
      </c>
      <c r="Z270" s="15" t="e">
        <f>$I270/$H270</f>
        <v>#DIV/0!</v>
      </c>
      <c r="AA270" s="15" t="e">
        <f>$K270/$H270</f>
        <v>#DIV/0!</v>
      </c>
      <c r="AB270" s="15">
        <f>($J270*Cp_yd)+($K270*Cp_td)+($L270*Cint)+($M270*Ccar)+($N270*Cr_yd)+($O270*Cr_td)+(Q270*Crec)+($R270*Crec_yd)+($S270*Crec_td)+($T270*Cfmb)+($U270*Ctp_c)</f>
        <v>0</v>
      </c>
    </row>
    <row r="271" spans="1:28" x14ac:dyDescent="0.2">
      <c r="A271" s="16" t="s">
        <v>725</v>
      </c>
      <c r="B271" s="16" t="s">
        <v>31</v>
      </c>
      <c r="C271" s="16">
        <v>28</v>
      </c>
      <c r="D271" s="16">
        <v>7</v>
      </c>
      <c r="E271" s="16" t="s">
        <v>726</v>
      </c>
      <c r="F271" s="16" t="s">
        <v>704</v>
      </c>
      <c r="G271" s="16">
        <v>0</v>
      </c>
      <c r="H271" s="16">
        <v>0</v>
      </c>
      <c r="I271" s="16">
        <v>0</v>
      </c>
      <c r="J271" s="16">
        <v>0</v>
      </c>
      <c r="K271" s="16">
        <v>0</v>
      </c>
      <c r="L271" s="16">
        <v>0</v>
      </c>
      <c r="M271" s="16">
        <v>0</v>
      </c>
      <c r="N271" s="16">
        <v>0</v>
      </c>
      <c r="O271" s="16">
        <v>0</v>
      </c>
      <c r="P271" s="16">
        <v>0</v>
      </c>
      <c r="Q271" s="16">
        <v>0</v>
      </c>
      <c r="R271" s="16">
        <v>0</v>
      </c>
      <c r="S271" s="16">
        <v>0</v>
      </c>
      <c r="T271" s="16">
        <v>0</v>
      </c>
      <c r="U271" s="16">
        <v>0</v>
      </c>
      <c r="V271" s="16">
        <f>($J271*0.04)+($K271*4)+($L271*-2)+($N271*0.1)+($O271*6)+($Q271)+($R271*0.1)+($S271*6)+($T271*-2)</f>
        <v>0</v>
      </c>
      <c r="W271" s="16" t="e">
        <f>$P271/$H$33</f>
        <v>#DIV/0!</v>
      </c>
      <c r="X271" s="16" t="e">
        <f>$N271/$M271</f>
        <v>#DIV/0!</v>
      </c>
      <c r="Y271" s="16" t="e">
        <f>$R271/$Q271</f>
        <v>#DIV/0!</v>
      </c>
      <c r="Z271" s="16" t="e">
        <f>$I271/$H271</f>
        <v>#DIV/0!</v>
      </c>
      <c r="AA271" s="16" t="e">
        <f>$K271/$H271</f>
        <v>#DIV/0!</v>
      </c>
      <c r="AB271" s="16">
        <f>($J271*Cp_yd)+($K271*Cp_td)+($L271*Cint)+($M271*Ccar)+($N271*Cr_yd)+($O271*Cr_td)+(Q271*Crec)+($R271*Crec_yd)+($S271*Crec_td)+($T271*Cfmb)+($U271*Ctp_c)</f>
        <v>0</v>
      </c>
    </row>
    <row r="272" spans="1:28" x14ac:dyDescent="0.2">
      <c r="A272" s="15" t="s">
        <v>727</v>
      </c>
      <c r="B272" s="15" t="s">
        <v>31</v>
      </c>
      <c r="C272" s="15">
        <v>24</v>
      </c>
      <c r="D272" s="15">
        <v>1</v>
      </c>
      <c r="E272" s="15" t="s">
        <v>728</v>
      </c>
      <c r="F272" s="15" t="s">
        <v>704</v>
      </c>
      <c r="G272" s="15">
        <v>0</v>
      </c>
      <c r="H272" s="15">
        <v>0</v>
      </c>
      <c r="I272" s="15">
        <v>0</v>
      </c>
      <c r="J272" s="15">
        <v>0</v>
      </c>
      <c r="K272" s="15">
        <v>0</v>
      </c>
      <c r="L272" s="15">
        <v>0</v>
      </c>
      <c r="M272" s="15">
        <v>0</v>
      </c>
      <c r="N272" s="15">
        <v>0</v>
      </c>
      <c r="O272" s="15">
        <v>0</v>
      </c>
      <c r="P272" s="15">
        <v>0</v>
      </c>
      <c r="Q272" s="15">
        <v>0</v>
      </c>
      <c r="R272" s="15">
        <v>0</v>
      </c>
      <c r="S272" s="15">
        <v>0</v>
      </c>
      <c r="T272" s="15">
        <v>0</v>
      </c>
      <c r="U272" s="15">
        <v>0</v>
      </c>
      <c r="V272" s="15">
        <f>($J272*0.04)+($K272*4)+($L272*-2)+($N272*0.1)+($O272*6)+($Q272)+($R272*0.1)+($S272*6)+($T272*-2)</f>
        <v>0</v>
      </c>
      <c r="W272" s="15" t="e">
        <f>$P272/$H$33</f>
        <v>#DIV/0!</v>
      </c>
      <c r="X272" s="15" t="e">
        <f>$N272/$M272</f>
        <v>#DIV/0!</v>
      </c>
      <c r="Y272" s="15" t="e">
        <f>$R272/$Q272</f>
        <v>#DIV/0!</v>
      </c>
      <c r="Z272" s="15" t="e">
        <f>$I272/$H272</f>
        <v>#DIV/0!</v>
      </c>
      <c r="AA272" s="15" t="e">
        <f>$K272/$H272</f>
        <v>#DIV/0!</v>
      </c>
      <c r="AB272" s="15">
        <f>($J272*Cp_yd)+($K272*Cp_td)+($L272*Cint)+($M272*Ccar)+($N272*Cr_yd)+($O272*Cr_td)+(Q272*Crec)+($R272*Crec_yd)+($S272*Crec_td)+($T272*Cfmb)+($U272*Ctp_c)</f>
        <v>0</v>
      </c>
    </row>
    <row r="273" spans="1:28" x14ac:dyDescent="0.2">
      <c r="A273" s="16" t="s">
        <v>729</v>
      </c>
      <c r="B273" s="16" t="s">
        <v>31</v>
      </c>
      <c r="C273" s="16">
        <v>22</v>
      </c>
      <c r="D273" s="16">
        <v>0</v>
      </c>
      <c r="E273" s="16" t="s">
        <v>309</v>
      </c>
      <c r="F273" s="16" t="s">
        <v>704</v>
      </c>
      <c r="G273" s="16">
        <v>0</v>
      </c>
      <c r="H273" s="16">
        <v>0</v>
      </c>
      <c r="I273" s="16">
        <v>0</v>
      </c>
      <c r="J273" s="16">
        <v>0</v>
      </c>
      <c r="K273" s="16">
        <v>0</v>
      </c>
      <c r="L273" s="16">
        <v>0</v>
      </c>
      <c r="M273" s="16">
        <v>0</v>
      </c>
      <c r="N273" s="16">
        <v>0</v>
      </c>
      <c r="O273" s="16">
        <v>0</v>
      </c>
      <c r="P273" s="16">
        <v>0</v>
      </c>
      <c r="Q273" s="16">
        <v>0</v>
      </c>
      <c r="R273" s="16">
        <v>0</v>
      </c>
      <c r="S273" s="16">
        <v>0</v>
      </c>
      <c r="T273" s="16">
        <v>0</v>
      </c>
      <c r="U273" s="16">
        <v>0</v>
      </c>
      <c r="V273" s="16">
        <f>($J273*0.04)+($K273*4)+($L273*-2)+($N273*0.1)+($O273*6)+($Q273)+($R273*0.1)+($S273*6)+($T273*-2)</f>
        <v>0</v>
      </c>
      <c r="W273" s="16" t="e">
        <f>$P273/$H$33</f>
        <v>#DIV/0!</v>
      </c>
      <c r="X273" s="16" t="e">
        <f>$N273/$M273</f>
        <v>#DIV/0!</v>
      </c>
      <c r="Y273" s="16" t="e">
        <f>$R273/$Q273</f>
        <v>#DIV/0!</v>
      </c>
      <c r="Z273" s="16" t="e">
        <f>$I273/$H273</f>
        <v>#DIV/0!</v>
      </c>
      <c r="AA273" s="16" t="e">
        <f>$K273/$H273</f>
        <v>#DIV/0!</v>
      </c>
      <c r="AB273" s="16">
        <f>($J273*Cp_yd)+($K273*Cp_td)+($L273*Cint)+($M273*Ccar)+($N273*Cr_yd)+($O273*Cr_td)+(Q273*Crec)+($R273*Crec_yd)+($S273*Crec_td)+($T273*Cfmb)+($U273*Ctp_c)</f>
        <v>0</v>
      </c>
    </row>
    <row r="274" spans="1:28" x14ac:dyDescent="0.2">
      <c r="A274" s="15" t="s">
        <v>730</v>
      </c>
      <c r="B274" s="15" t="s">
        <v>31</v>
      </c>
      <c r="C274" s="15">
        <v>25</v>
      </c>
      <c r="D274" s="15">
        <v>3</v>
      </c>
      <c r="E274" s="15" t="s">
        <v>557</v>
      </c>
      <c r="F274" s="15" t="s">
        <v>704</v>
      </c>
      <c r="G274" s="15">
        <v>0</v>
      </c>
      <c r="H274" s="15">
        <v>0</v>
      </c>
      <c r="I274" s="15">
        <v>0</v>
      </c>
      <c r="J274" s="15">
        <v>0</v>
      </c>
      <c r="K274" s="15">
        <v>0</v>
      </c>
      <c r="L274" s="15">
        <v>0</v>
      </c>
      <c r="M274" s="15">
        <v>0</v>
      </c>
      <c r="N274" s="15">
        <v>0</v>
      </c>
      <c r="O274" s="15">
        <v>0</v>
      </c>
      <c r="P274" s="15">
        <v>0</v>
      </c>
      <c r="Q274" s="15">
        <v>0</v>
      </c>
      <c r="R274" s="15">
        <v>0</v>
      </c>
      <c r="S274" s="15">
        <v>0</v>
      </c>
      <c r="T274" s="15">
        <v>0</v>
      </c>
      <c r="U274" s="15">
        <v>0</v>
      </c>
      <c r="V274" s="15">
        <f>($J274*0.04)+($K274*4)+($L274*-2)+($N274*0.1)+($O274*6)+($Q274)+($R274*0.1)+($S274*6)+($T274*-2)</f>
        <v>0</v>
      </c>
      <c r="W274" s="15" t="e">
        <f>$P274/$H$33</f>
        <v>#DIV/0!</v>
      </c>
      <c r="X274" s="15" t="e">
        <f>$N274/$M274</f>
        <v>#DIV/0!</v>
      </c>
      <c r="Y274" s="15" t="e">
        <f>$R274/$Q274</f>
        <v>#DIV/0!</v>
      </c>
      <c r="Z274" s="15" t="e">
        <f>$I274/$H274</f>
        <v>#DIV/0!</v>
      </c>
      <c r="AA274" s="15" t="e">
        <f>$K274/$H274</f>
        <v>#DIV/0!</v>
      </c>
      <c r="AB274" s="15">
        <f>($J274*Cp_yd)+($K274*Cp_td)+($L274*Cint)+($M274*Ccar)+($N274*Cr_yd)+($O274*Cr_td)+(Q274*Crec)+($R274*Crec_yd)+($S274*Crec_td)+($T274*Cfmb)+($U274*Ctp_c)</f>
        <v>0</v>
      </c>
    </row>
    <row r="275" spans="1:28" x14ac:dyDescent="0.2">
      <c r="A275" s="16" t="s">
        <v>732</v>
      </c>
      <c r="B275" s="16" t="s">
        <v>43</v>
      </c>
      <c r="C275" s="16">
        <v>23</v>
      </c>
      <c r="D275" s="16">
        <v>0</v>
      </c>
      <c r="E275" s="16" t="s">
        <v>733</v>
      </c>
      <c r="F275" s="16" t="s">
        <v>704</v>
      </c>
      <c r="G275" s="16">
        <v>0</v>
      </c>
      <c r="H275" s="16">
        <v>0</v>
      </c>
      <c r="I275" s="16">
        <v>0</v>
      </c>
      <c r="J275" s="16">
        <v>0</v>
      </c>
      <c r="K275" s="16">
        <v>0</v>
      </c>
      <c r="L275" s="16">
        <v>0</v>
      </c>
      <c r="M275" s="16">
        <v>0</v>
      </c>
      <c r="N275" s="16">
        <v>0</v>
      </c>
      <c r="O275" s="16">
        <v>0</v>
      </c>
      <c r="P275" s="16">
        <v>0</v>
      </c>
      <c r="Q275" s="16">
        <v>0</v>
      </c>
      <c r="R275" s="16">
        <v>0</v>
      </c>
      <c r="S275" s="16">
        <v>0</v>
      </c>
      <c r="T275" s="16">
        <v>0</v>
      </c>
      <c r="U275" s="16">
        <v>0</v>
      </c>
      <c r="V275" s="16">
        <f>($J275*0.04)+($K275*4)+($L275*-2)+($N275*0.1)+($O275*6)+($Q275)+($R275*0.1)+($S275*6)+($T275*-2)</f>
        <v>0</v>
      </c>
      <c r="W275" s="16" t="e">
        <f>$P275/$H$33</f>
        <v>#DIV/0!</v>
      </c>
      <c r="X275" s="16" t="e">
        <f>$N275/$M275</f>
        <v>#DIV/0!</v>
      </c>
      <c r="Y275" s="16" t="e">
        <f>$R275/$Q275</f>
        <v>#DIV/0!</v>
      </c>
      <c r="Z275" s="16" t="e">
        <f>$I275/$H275</f>
        <v>#DIV/0!</v>
      </c>
      <c r="AA275" s="16" t="e">
        <f>$K275/$H275</f>
        <v>#DIV/0!</v>
      </c>
      <c r="AB275" s="16">
        <f>($J275*Cp_yd)+($K275*Cp_td)+($L275*Cint)+($M275*Ccar)+($N275*Cr_yd)+($O275*Cr_td)+(Q275*Crec)+($R275*Crec_yd)+($S275*Crec_td)+($T275*Cfmb)+($U275*Ctp_c)</f>
        <v>0</v>
      </c>
    </row>
    <row r="276" spans="1:28" x14ac:dyDescent="0.2">
      <c r="A276" s="15" t="s">
        <v>734</v>
      </c>
      <c r="B276" s="15" t="s">
        <v>43</v>
      </c>
      <c r="C276" s="15"/>
      <c r="D276" s="15">
        <v>0</v>
      </c>
      <c r="E276" s="15" t="s">
        <v>91</v>
      </c>
      <c r="F276" s="15" t="s">
        <v>704</v>
      </c>
      <c r="G276" s="15">
        <v>0</v>
      </c>
      <c r="H276" s="15">
        <v>0</v>
      </c>
      <c r="I276" s="15">
        <v>0</v>
      </c>
      <c r="J276" s="15">
        <v>0</v>
      </c>
      <c r="K276" s="15">
        <v>0</v>
      </c>
      <c r="L276" s="15">
        <v>0</v>
      </c>
      <c r="M276" s="15">
        <v>0</v>
      </c>
      <c r="N276" s="15">
        <v>0</v>
      </c>
      <c r="O276" s="15">
        <v>0</v>
      </c>
      <c r="P276" s="15">
        <v>0</v>
      </c>
      <c r="Q276" s="15">
        <v>0</v>
      </c>
      <c r="R276" s="15">
        <v>0</v>
      </c>
      <c r="S276" s="15">
        <v>0</v>
      </c>
      <c r="T276" s="15">
        <v>0</v>
      </c>
      <c r="U276" s="15">
        <v>0</v>
      </c>
      <c r="V276" s="15">
        <f>($J276*0.04)+($K276*4)+($L276*-2)+($N276*0.1)+($O276*6)+($Q276)+($R276*0.1)+($S276*6)+($T276*-2)</f>
        <v>0</v>
      </c>
      <c r="W276" s="15" t="e">
        <f>$P276/$H$33</f>
        <v>#DIV/0!</v>
      </c>
      <c r="X276" s="15" t="e">
        <f>$N276/$M276</f>
        <v>#DIV/0!</v>
      </c>
      <c r="Y276" s="15" t="e">
        <f>$R276/$Q276</f>
        <v>#DIV/0!</v>
      </c>
      <c r="Z276" s="15" t="e">
        <f>$I276/$H276</f>
        <v>#DIV/0!</v>
      </c>
      <c r="AA276" s="15" t="e">
        <f>$K276/$H276</f>
        <v>#DIV/0!</v>
      </c>
      <c r="AB276" s="15">
        <f>($J276*Cp_yd)+($K276*Cp_td)+($L276*Cint)+($M276*Ccar)+($N276*Cr_yd)+($O276*Cr_td)+(Q276*Crec)+($R276*Crec_yd)+($S276*Crec_td)+($T276*Cfmb)+($U276*Ctp_c)</f>
        <v>0</v>
      </c>
    </row>
    <row r="277" spans="1:28" x14ac:dyDescent="0.2">
      <c r="A277" s="16" t="s">
        <v>735</v>
      </c>
      <c r="B277" s="16" t="s">
        <v>43</v>
      </c>
      <c r="C277" s="16">
        <v>23</v>
      </c>
      <c r="D277" s="16">
        <v>2</v>
      </c>
      <c r="E277" s="16" t="s">
        <v>736</v>
      </c>
      <c r="F277" s="16" t="s">
        <v>704</v>
      </c>
      <c r="G277" s="16">
        <v>0</v>
      </c>
      <c r="H277" s="16">
        <v>0</v>
      </c>
      <c r="I277" s="16">
        <v>0</v>
      </c>
      <c r="J277" s="16">
        <v>0</v>
      </c>
      <c r="K277" s="16">
        <v>0</v>
      </c>
      <c r="L277" s="16">
        <v>0</v>
      </c>
      <c r="M277" s="16">
        <v>0</v>
      </c>
      <c r="N277" s="16">
        <v>0</v>
      </c>
      <c r="O277" s="16">
        <v>0</v>
      </c>
      <c r="P277" s="16">
        <v>0</v>
      </c>
      <c r="Q277" s="16">
        <v>0</v>
      </c>
      <c r="R277" s="16">
        <v>0</v>
      </c>
      <c r="S277" s="16">
        <v>0</v>
      </c>
      <c r="T277" s="16">
        <v>0</v>
      </c>
      <c r="U277" s="16">
        <v>0</v>
      </c>
      <c r="V277" s="16">
        <f>($J277*0.04)+($K277*4)+($L277*-2)+($N277*0.1)+($O277*6)+($Q277)+($R277*0.1)+($S277*6)+($T277*-2)</f>
        <v>0</v>
      </c>
      <c r="W277" s="16" t="e">
        <f>$P277/$H$33</f>
        <v>#DIV/0!</v>
      </c>
      <c r="X277" s="16" t="e">
        <f>$N277/$M277</f>
        <v>#DIV/0!</v>
      </c>
      <c r="Y277" s="16" t="e">
        <f>$R277/$Q277</f>
        <v>#DIV/0!</v>
      </c>
      <c r="Z277" s="16" t="e">
        <f>$I277/$H277</f>
        <v>#DIV/0!</v>
      </c>
      <c r="AA277" s="16" t="e">
        <f>$K277/$H277</f>
        <v>#DIV/0!</v>
      </c>
      <c r="AB277" s="16">
        <f>($J277*Cp_yd)+($K277*Cp_td)+($L277*Cint)+($M277*Ccar)+($N277*Cr_yd)+($O277*Cr_td)+(Q277*Crec)+($R277*Crec_yd)+($S277*Crec_td)+($T277*Cfmb)+($U277*Ctp_c)</f>
        <v>0</v>
      </c>
    </row>
    <row r="278" spans="1:28" x14ac:dyDescent="0.2">
      <c r="A278" s="15" t="s">
        <v>737</v>
      </c>
      <c r="B278" s="15" t="s">
        <v>43</v>
      </c>
      <c r="C278" s="15">
        <v>22</v>
      </c>
      <c r="D278" s="15">
        <v>0</v>
      </c>
      <c r="E278" s="15" t="s">
        <v>738</v>
      </c>
      <c r="F278" s="15" t="s">
        <v>704</v>
      </c>
      <c r="G278" s="15">
        <v>0</v>
      </c>
      <c r="H278" s="15">
        <v>0</v>
      </c>
      <c r="I278" s="15">
        <v>0</v>
      </c>
      <c r="J278" s="15">
        <v>0</v>
      </c>
      <c r="K278" s="15">
        <v>0</v>
      </c>
      <c r="L278" s="15">
        <v>0</v>
      </c>
      <c r="M278" s="15">
        <v>0</v>
      </c>
      <c r="N278" s="15">
        <v>0</v>
      </c>
      <c r="O278" s="15">
        <v>0</v>
      </c>
      <c r="P278" s="15">
        <v>0</v>
      </c>
      <c r="Q278" s="15">
        <v>0</v>
      </c>
      <c r="R278" s="15">
        <v>0</v>
      </c>
      <c r="S278" s="15">
        <v>0</v>
      </c>
      <c r="T278" s="15">
        <v>0</v>
      </c>
      <c r="U278" s="15">
        <v>0</v>
      </c>
      <c r="V278" s="15">
        <f>($J278*0.04)+($K278*4)+($L278*-2)+($N278*0.1)+($O278*6)+($Q278)+($R278*0.1)+($S278*6)+($T278*-2)</f>
        <v>0</v>
      </c>
      <c r="W278" s="15" t="e">
        <f>$P278/$H$33</f>
        <v>#DIV/0!</v>
      </c>
      <c r="X278" s="15" t="e">
        <f>$N278/$M278</f>
        <v>#DIV/0!</v>
      </c>
      <c r="Y278" s="15" t="e">
        <f>$R278/$Q278</f>
        <v>#DIV/0!</v>
      </c>
      <c r="Z278" s="15" t="e">
        <f>$I278/$H278</f>
        <v>#DIV/0!</v>
      </c>
      <c r="AA278" s="15" t="e">
        <f>$K278/$H278</f>
        <v>#DIV/0!</v>
      </c>
      <c r="AB278" s="15">
        <f>($J278*Cp_yd)+($K278*Cp_td)+($L278*Cint)+($M278*Ccar)+($N278*Cr_yd)+($O278*Cr_td)+(Q278*Crec)+($R278*Crec_yd)+($S278*Crec_td)+($T278*Cfmb)+($U278*Ctp_c)</f>
        <v>0</v>
      </c>
    </row>
    <row r="279" spans="1:28" x14ac:dyDescent="0.2">
      <c r="A279" s="16" t="s">
        <v>739</v>
      </c>
      <c r="B279" s="16" t="s">
        <v>43</v>
      </c>
      <c r="C279" s="16">
        <v>23</v>
      </c>
      <c r="D279" s="16">
        <v>0</v>
      </c>
      <c r="E279" s="16" t="s">
        <v>240</v>
      </c>
      <c r="F279" s="16" t="s">
        <v>704</v>
      </c>
      <c r="G279" s="16">
        <v>0</v>
      </c>
      <c r="H279" s="16">
        <v>0</v>
      </c>
      <c r="I279" s="16">
        <v>0</v>
      </c>
      <c r="J279" s="16">
        <v>0</v>
      </c>
      <c r="K279" s="16">
        <v>0</v>
      </c>
      <c r="L279" s="16">
        <v>0</v>
      </c>
      <c r="M279" s="16">
        <v>0</v>
      </c>
      <c r="N279" s="16">
        <v>0</v>
      </c>
      <c r="O279" s="16">
        <v>0</v>
      </c>
      <c r="P279" s="16">
        <v>0</v>
      </c>
      <c r="Q279" s="16">
        <v>0</v>
      </c>
      <c r="R279" s="16">
        <v>0</v>
      </c>
      <c r="S279" s="16">
        <v>0</v>
      </c>
      <c r="T279" s="16">
        <v>0</v>
      </c>
      <c r="U279" s="16">
        <v>0</v>
      </c>
      <c r="V279" s="16">
        <f>($J279*0.04)+($K279*4)+($L279*-2)+($N279*0.1)+($O279*6)+($Q279)+($R279*0.1)+($S279*6)+($T279*-2)</f>
        <v>0</v>
      </c>
      <c r="W279" s="16" t="e">
        <f>$P279/$H$33</f>
        <v>#DIV/0!</v>
      </c>
      <c r="X279" s="16" t="e">
        <f>$N279/$M279</f>
        <v>#DIV/0!</v>
      </c>
      <c r="Y279" s="16" t="e">
        <f>$R279/$Q279</f>
        <v>#DIV/0!</v>
      </c>
      <c r="Z279" s="16" t="e">
        <f>$I279/$H279</f>
        <v>#DIV/0!</v>
      </c>
      <c r="AA279" s="16" t="e">
        <f>$K279/$H279</f>
        <v>#DIV/0!</v>
      </c>
      <c r="AB279" s="16">
        <f>($J279*Cp_yd)+($K279*Cp_td)+($L279*Cint)+($M279*Ccar)+($N279*Cr_yd)+($O279*Cr_td)+(Q279*Crec)+($R279*Crec_yd)+($S279*Crec_td)+($T279*Cfmb)+($U279*Ctp_c)</f>
        <v>0</v>
      </c>
    </row>
    <row r="280" spans="1:28" x14ac:dyDescent="0.2">
      <c r="A280" s="15" t="s">
        <v>740</v>
      </c>
      <c r="B280" s="15" t="s">
        <v>43</v>
      </c>
      <c r="C280" s="15">
        <v>24</v>
      </c>
      <c r="D280" s="15">
        <v>1</v>
      </c>
      <c r="E280" s="15" t="s">
        <v>215</v>
      </c>
      <c r="F280" s="15" t="s">
        <v>704</v>
      </c>
      <c r="G280" s="15">
        <v>0</v>
      </c>
      <c r="H280" s="15">
        <v>0</v>
      </c>
      <c r="I280" s="15">
        <v>0</v>
      </c>
      <c r="J280" s="15">
        <v>0</v>
      </c>
      <c r="K280" s="15">
        <v>0</v>
      </c>
      <c r="L280" s="15">
        <v>0</v>
      </c>
      <c r="M280" s="15">
        <v>0</v>
      </c>
      <c r="N280" s="15">
        <v>0</v>
      </c>
      <c r="O280" s="15">
        <v>0</v>
      </c>
      <c r="P280" s="15">
        <v>0</v>
      </c>
      <c r="Q280" s="15">
        <v>0</v>
      </c>
      <c r="R280" s="15">
        <v>0</v>
      </c>
      <c r="S280" s="15">
        <v>0</v>
      </c>
      <c r="T280" s="15">
        <v>0</v>
      </c>
      <c r="U280" s="15">
        <v>0</v>
      </c>
      <c r="V280" s="15">
        <f>($J280*0.04)+($K280*4)+($L280*-2)+($N280*0.1)+($O280*6)+($Q280)+($R280*0.1)+($S280*6)+($T280*-2)</f>
        <v>0</v>
      </c>
      <c r="W280" s="15" t="e">
        <f>$P280/$H$33</f>
        <v>#DIV/0!</v>
      </c>
      <c r="X280" s="15" t="e">
        <f>$N280/$M280</f>
        <v>#DIV/0!</v>
      </c>
      <c r="Y280" s="15" t="e">
        <f>$R280/$Q280</f>
        <v>#DIV/0!</v>
      </c>
      <c r="Z280" s="15" t="e">
        <f>$I280/$H280</f>
        <v>#DIV/0!</v>
      </c>
      <c r="AA280" s="15" t="e">
        <f>$K280/$H280</f>
        <v>#DIV/0!</v>
      </c>
      <c r="AB280" s="15">
        <f>($J280*Cp_yd)+($K280*Cp_td)+($L280*Cint)+($M280*Ccar)+($N280*Cr_yd)+($O280*Cr_td)+(Q280*Crec)+($R280*Crec_yd)+($S280*Crec_td)+($T280*Cfmb)+($U280*Ctp_c)</f>
        <v>0</v>
      </c>
    </row>
    <row r="281" spans="1:28" x14ac:dyDescent="0.2">
      <c r="A281" s="16" t="s">
        <v>741</v>
      </c>
      <c r="B281" s="16" t="s">
        <v>43</v>
      </c>
      <c r="C281" s="16">
        <v>25</v>
      </c>
      <c r="D281" s="16">
        <v>1</v>
      </c>
      <c r="E281" s="16" t="s">
        <v>742</v>
      </c>
      <c r="F281" s="16" t="s">
        <v>704</v>
      </c>
      <c r="G281" s="16">
        <v>0</v>
      </c>
      <c r="H281" s="16">
        <v>0</v>
      </c>
      <c r="I281" s="16">
        <v>0</v>
      </c>
      <c r="J281" s="16">
        <v>0</v>
      </c>
      <c r="K281" s="16">
        <v>0</v>
      </c>
      <c r="L281" s="16">
        <v>0</v>
      </c>
      <c r="M281" s="16">
        <v>0</v>
      </c>
      <c r="N281" s="16">
        <v>0</v>
      </c>
      <c r="O281" s="16">
        <v>0</v>
      </c>
      <c r="P281" s="16">
        <v>0</v>
      </c>
      <c r="Q281" s="16">
        <v>0</v>
      </c>
      <c r="R281" s="16">
        <v>0</v>
      </c>
      <c r="S281" s="16">
        <v>0</v>
      </c>
      <c r="T281" s="16">
        <v>0</v>
      </c>
      <c r="U281" s="16">
        <v>0</v>
      </c>
      <c r="V281" s="16">
        <f>($J281*0.04)+($K281*4)+($L281*-2)+($N281*0.1)+($O281*6)+($Q281)+($R281*0.1)+($S281*6)+($T281*-2)</f>
        <v>0</v>
      </c>
      <c r="W281" s="16" t="e">
        <f>$P281/$H$33</f>
        <v>#DIV/0!</v>
      </c>
      <c r="X281" s="16" t="e">
        <f>$N281/$M281</f>
        <v>#DIV/0!</v>
      </c>
      <c r="Y281" s="16" t="e">
        <f>$R281/$Q281</f>
        <v>#DIV/0!</v>
      </c>
      <c r="Z281" s="16" t="e">
        <f>$I281/$H281</f>
        <v>#DIV/0!</v>
      </c>
      <c r="AA281" s="16" t="e">
        <f>$K281/$H281</f>
        <v>#DIV/0!</v>
      </c>
      <c r="AB281" s="16">
        <f>($J281*Cp_yd)+($K281*Cp_td)+($L281*Cint)+($M281*Ccar)+($N281*Cr_yd)+($O281*Cr_td)+(Q281*Crec)+($R281*Crec_yd)+($S281*Crec_td)+($T281*Cfmb)+($U281*Ctp_c)</f>
        <v>0</v>
      </c>
    </row>
    <row r="282" spans="1:28" x14ac:dyDescent="0.2">
      <c r="A282" s="15" t="s">
        <v>743</v>
      </c>
      <c r="B282" s="15" t="s">
        <v>43</v>
      </c>
      <c r="C282" s="15">
        <v>23</v>
      </c>
      <c r="D282" s="15">
        <v>0</v>
      </c>
      <c r="E282" s="15" t="s">
        <v>744</v>
      </c>
      <c r="F282" s="15" t="s">
        <v>704</v>
      </c>
      <c r="G282" s="15">
        <v>0</v>
      </c>
      <c r="H282" s="15">
        <v>0</v>
      </c>
      <c r="I282" s="15">
        <v>0</v>
      </c>
      <c r="J282" s="15">
        <v>0</v>
      </c>
      <c r="K282" s="15">
        <v>0</v>
      </c>
      <c r="L282" s="15">
        <v>0</v>
      </c>
      <c r="M282" s="15">
        <v>0</v>
      </c>
      <c r="N282" s="15">
        <v>0</v>
      </c>
      <c r="O282" s="15">
        <v>0</v>
      </c>
      <c r="P282" s="15">
        <v>0</v>
      </c>
      <c r="Q282" s="15">
        <v>0</v>
      </c>
      <c r="R282" s="15">
        <v>0</v>
      </c>
      <c r="S282" s="15">
        <v>0</v>
      </c>
      <c r="T282" s="15">
        <v>0</v>
      </c>
      <c r="U282" s="15">
        <v>0</v>
      </c>
      <c r="V282" s="15">
        <f>($J282*0.04)+($K282*4)+($L282*-2)+($N282*0.1)+($O282*6)+($Q282)+($R282*0.1)+($S282*6)+($T282*-2)</f>
        <v>0</v>
      </c>
      <c r="W282" s="15" t="e">
        <f>$P282/$H$33</f>
        <v>#DIV/0!</v>
      </c>
      <c r="X282" s="15" t="e">
        <f>$N282/$M282</f>
        <v>#DIV/0!</v>
      </c>
      <c r="Y282" s="15" t="e">
        <f>$R282/$Q282</f>
        <v>#DIV/0!</v>
      </c>
      <c r="Z282" s="15" t="e">
        <f>$I282/$H282</f>
        <v>#DIV/0!</v>
      </c>
      <c r="AA282" s="15" t="e">
        <f>$K282/$H282</f>
        <v>#DIV/0!</v>
      </c>
      <c r="AB282" s="15">
        <f>($J282*Cp_yd)+($K282*Cp_td)+($L282*Cint)+($M282*Ccar)+($N282*Cr_yd)+($O282*Cr_td)+(Q282*Crec)+($R282*Crec_yd)+($S282*Crec_td)+($T282*Cfmb)+($U282*Ctp_c)</f>
        <v>0</v>
      </c>
    </row>
    <row r="283" spans="1:28" x14ac:dyDescent="0.2">
      <c r="A283" s="16" t="s">
        <v>745</v>
      </c>
      <c r="B283" s="16" t="s">
        <v>43</v>
      </c>
      <c r="C283" s="16">
        <v>25</v>
      </c>
      <c r="D283" s="16">
        <v>2</v>
      </c>
      <c r="E283" s="16" t="s">
        <v>248</v>
      </c>
      <c r="F283" s="16" t="s">
        <v>704</v>
      </c>
      <c r="G283" s="16">
        <v>0</v>
      </c>
      <c r="H283" s="16">
        <v>0</v>
      </c>
      <c r="I283" s="16">
        <v>0</v>
      </c>
      <c r="J283" s="16">
        <v>0</v>
      </c>
      <c r="K283" s="16">
        <v>0</v>
      </c>
      <c r="L283" s="16">
        <v>0</v>
      </c>
      <c r="M283" s="16">
        <v>0</v>
      </c>
      <c r="N283" s="16">
        <v>0</v>
      </c>
      <c r="O283" s="16">
        <v>0</v>
      </c>
      <c r="P283" s="16">
        <v>0</v>
      </c>
      <c r="Q283" s="16">
        <v>0</v>
      </c>
      <c r="R283" s="16">
        <v>0</v>
      </c>
      <c r="S283" s="16">
        <v>0</v>
      </c>
      <c r="T283" s="16">
        <v>0</v>
      </c>
      <c r="U283" s="16">
        <v>0</v>
      </c>
      <c r="V283" s="16">
        <f>($J283*0.04)+($K283*4)+($L283*-2)+($N283*0.1)+($O283*6)+($Q283)+($R283*0.1)+($S283*6)+($T283*-2)</f>
        <v>0</v>
      </c>
      <c r="W283" s="16" t="e">
        <f>$P283/$H$33</f>
        <v>#DIV/0!</v>
      </c>
      <c r="X283" s="16" t="e">
        <f>$N283/$M283</f>
        <v>#DIV/0!</v>
      </c>
      <c r="Y283" s="16" t="e">
        <f>$R283/$Q283</f>
        <v>#DIV/0!</v>
      </c>
      <c r="Z283" s="16" t="e">
        <f>$I283/$H283</f>
        <v>#DIV/0!</v>
      </c>
      <c r="AA283" s="16" t="e">
        <f>$K283/$H283</f>
        <v>#DIV/0!</v>
      </c>
      <c r="AB283" s="16">
        <f>($J283*Cp_yd)+($K283*Cp_td)+($L283*Cint)+($M283*Ccar)+($N283*Cr_yd)+($O283*Cr_td)+(Q283*Crec)+($R283*Crec_yd)+($S283*Crec_td)+($T283*Cfmb)+($U283*Ctp_c)</f>
        <v>0</v>
      </c>
    </row>
    <row r="284" spans="1:28" x14ac:dyDescent="0.2">
      <c r="A284" s="15" t="s">
        <v>746</v>
      </c>
      <c r="B284" s="15" t="s">
        <v>43</v>
      </c>
      <c r="C284" s="15">
        <v>24</v>
      </c>
      <c r="D284" s="15">
        <v>2</v>
      </c>
      <c r="E284" s="15" t="s">
        <v>555</v>
      </c>
      <c r="F284" s="15" t="s">
        <v>704</v>
      </c>
      <c r="G284" s="15">
        <v>0</v>
      </c>
      <c r="H284" s="15">
        <v>0</v>
      </c>
      <c r="I284" s="15">
        <v>0</v>
      </c>
      <c r="J284" s="15">
        <v>0</v>
      </c>
      <c r="K284" s="15">
        <v>0</v>
      </c>
      <c r="L284" s="15">
        <v>0</v>
      </c>
      <c r="M284" s="15">
        <v>0</v>
      </c>
      <c r="N284" s="15">
        <v>0</v>
      </c>
      <c r="O284" s="15">
        <v>0</v>
      </c>
      <c r="P284" s="15">
        <v>0</v>
      </c>
      <c r="Q284" s="15">
        <v>0</v>
      </c>
      <c r="R284" s="15">
        <v>0</v>
      </c>
      <c r="S284" s="15">
        <v>0</v>
      </c>
      <c r="T284" s="15">
        <v>0</v>
      </c>
      <c r="U284" s="15">
        <v>0</v>
      </c>
      <c r="V284" s="15">
        <f>($J284*0.04)+($K284*4)+($L284*-2)+($N284*0.1)+($O284*6)+($Q284)+($R284*0.1)+($S284*6)+($T284*-2)</f>
        <v>0</v>
      </c>
      <c r="W284" s="15" t="e">
        <f>$P284/$H$33</f>
        <v>#DIV/0!</v>
      </c>
      <c r="X284" s="15" t="e">
        <f>$N284/$M284</f>
        <v>#DIV/0!</v>
      </c>
      <c r="Y284" s="15" t="e">
        <f>$R284/$Q284</f>
        <v>#DIV/0!</v>
      </c>
      <c r="Z284" s="15" t="e">
        <f>$I284/$H284</f>
        <v>#DIV/0!</v>
      </c>
      <c r="AA284" s="15" t="e">
        <f>$K284/$H284</f>
        <v>#DIV/0!</v>
      </c>
      <c r="AB284" s="15">
        <f>($J284*Cp_yd)+($K284*Cp_td)+($L284*Cint)+($M284*Ccar)+($N284*Cr_yd)+($O284*Cr_td)+(Q284*Crec)+($R284*Crec_yd)+($S284*Crec_td)+($T284*Cfmb)+($U284*Ctp_c)</f>
        <v>0</v>
      </c>
    </row>
    <row r="285" spans="1:28" x14ac:dyDescent="0.2">
      <c r="A285" s="16" t="s">
        <v>747</v>
      </c>
      <c r="B285" s="16" t="s">
        <v>43</v>
      </c>
      <c r="C285" s="16">
        <v>23</v>
      </c>
      <c r="D285" s="16">
        <v>0</v>
      </c>
      <c r="E285" s="16" t="s">
        <v>405</v>
      </c>
      <c r="F285" s="16" t="s">
        <v>704</v>
      </c>
      <c r="G285" s="16">
        <v>0</v>
      </c>
      <c r="H285" s="16">
        <v>0</v>
      </c>
      <c r="I285" s="16">
        <v>0</v>
      </c>
      <c r="J285" s="16">
        <v>0</v>
      </c>
      <c r="K285" s="16">
        <v>0</v>
      </c>
      <c r="L285" s="16">
        <v>0</v>
      </c>
      <c r="M285" s="16">
        <v>0</v>
      </c>
      <c r="N285" s="16">
        <v>0</v>
      </c>
      <c r="O285" s="16">
        <v>0</v>
      </c>
      <c r="P285" s="16">
        <v>0</v>
      </c>
      <c r="Q285" s="16">
        <v>0</v>
      </c>
      <c r="R285" s="16">
        <v>0</v>
      </c>
      <c r="S285" s="16">
        <v>0</v>
      </c>
      <c r="T285" s="16">
        <v>0</v>
      </c>
      <c r="U285" s="16">
        <v>0</v>
      </c>
      <c r="V285" s="16">
        <f>($J285*0.04)+($K285*4)+($L285*-2)+($N285*0.1)+($O285*6)+($Q285)+($R285*0.1)+($S285*6)+($T285*-2)</f>
        <v>0</v>
      </c>
      <c r="W285" s="16" t="e">
        <f>$P285/$H$33</f>
        <v>#DIV/0!</v>
      </c>
      <c r="X285" s="16" t="e">
        <f>$N285/$M285</f>
        <v>#DIV/0!</v>
      </c>
      <c r="Y285" s="16" t="e">
        <f>$R285/$Q285</f>
        <v>#DIV/0!</v>
      </c>
      <c r="Z285" s="16" t="e">
        <f>$I285/$H285</f>
        <v>#DIV/0!</v>
      </c>
      <c r="AA285" s="16" t="e">
        <f>$K285/$H285</f>
        <v>#DIV/0!</v>
      </c>
      <c r="AB285" s="16">
        <f>($J285*Cp_yd)+($K285*Cp_td)+($L285*Cint)+($M285*Ccar)+($N285*Cr_yd)+($O285*Cr_td)+(Q285*Crec)+($R285*Crec_yd)+($S285*Crec_td)+($T285*Cfmb)+($U285*Ctp_c)</f>
        <v>0</v>
      </c>
    </row>
    <row r="286" spans="1:28" x14ac:dyDescent="0.2">
      <c r="A286" s="15" t="s">
        <v>749</v>
      </c>
      <c r="B286" s="15" t="s">
        <v>38</v>
      </c>
      <c r="C286" s="15">
        <v>24</v>
      </c>
      <c r="D286" s="15">
        <v>1</v>
      </c>
      <c r="E286" s="15" t="s">
        <v>248</v>
      </c>
      <c r="F286" s="15" t="s">
        <v>704</v>
      </c>
      <c r="G286" s="15">
        <v>0</v>
      </c>
      <c r="H286" s="15">
        <v>0</v>
      </c>
      <c r="I286" s="15">
        <v>0</v>
      </c>
      <c r="J286" s="15">
        <v>0</v>
      </c>
      <c r="K286" s="15">
        <v>0</v>
      </c>
      <c r="L286" s="15">
        <v>0</v>
      </c>
      <c r="M286" s="15">
        <v>0</v>
      </c>
      <c r="N286" s="15">
        <v>0</v>
      </c>
      <c r="O286" s="15">
        <v>0</v>
      </c>
      <c r="P286" s="15">
        <v>0</v>
      </c>
      <c r="Q286" s="15">
        <v>0</v>
      </c>
      <c r="R286" s="15">
        <v>0</v>
      </c>
      <c r="S286" s="15">
        <v>0</v>
      </c>
      <c r="T286" s="15">
        <v>0</v>
      </c>
      <c r="U286" s="15">
        <v>0</v>
      </c>
      <c r="V286" s="15">
        <f>($J286*0.04)+($K286*4)+($L286*-2)+($N286*0.1)+($O286*6)+($Q286)+($R286*0.1)+($S286*6)+($T286*-2)</f>
        <v>0</v>
      </c>
      <c r="W286" s="15" t="e">
        <f>$P286/$H$33</f>
        <v>#DIV/0!</v>
      </c>
      <c r="X286" s="15" t="e">
        <f>$N286/$M286</f>
        <v>#DIV/0!</v>
      </c>
      <c r="Y286" s="15" t="e">
        <f>$R286/$Q286</f>
        <v>#DIV/0!</v>
      </c>
      <c r="Z286" s="15" t="e">
        <f>$I286/$H286</f>
        <v>#DIV/0!</v>
      </c>
      <c r="AA286" s="15" t="e">
        <f>$K286/$H286</f>
        <v>#DIV/0!</v>
      </c>
      <c r="AB286" s="15">
        <f>($J286*Cp_yd)+($K286*Cp_td)+($L286*Cint)+($M286*Ccar)+($N286*Cr_yd)+($O286*Cr_td)+(Q286*Crec)+($R286*Crec_yd)+($S286*Crec_td)+($T286*Cfmb)+($U286*Ctp_c)</f>
        <v>0</v>
      </c>
    </row>
    <row r="287" spans="1:28" x14ac:dyDescent="0.2">
      <c r="A287" s="16" t="s">
        <v>750</v>
      </c>
      <c r="B287" s="16" t="s">
        <v>38</v>
      </c>
      <c r="C287" s="16">
        <v>26</v>
      </c>
      <c r="D287" s="16">
        <v>4</v>
      </c>
      <c r="E287" s="16" t="s">
        <v>455</v>
      </c>
      <c r="F287" s="16" t="s">
        <v>704</v>
      </c>
      <c r="G287" s="16">
        <v>0</v>
      </c>
      <c r="H287" s="16">
        <v>0</v>
      </c>
      <c r="I287" s="16">
        <v>0</v>
      </c>
      <c r="J287" s="16">
        <v>0</v>
      </c>
      <c r="K287" s="16">
        <v>0</v>
      </c>
      <c r="L287" s="16">
        <v>0</v>
      </c>
      <c r="M287" s="16">
        <v>0</v>
      </c>
      <c r="N287" s="16">
        <v>0</v>
      </c>
      <c r="O287" s="16">
        <v>0</v>
      </c>
      <c r="P287" s="16">
        <v>0</v>
      </c>
      <c r="Q287" s="16">
        <v>0</v>
      </c>
      <c r="R287" s="16">
        <v>0</v>
      </c>
      <c r="S287" s="16">
        <v>0</v>
      </c>
      <c r="T287" s="16">
        <v>0</v>
      </c>
      <c r="U287" s="16">
        <v>0</v>
      </c>
      <c r="V287" s="16">
        <f>($J287*0.04)+($K287*4)+($L287*-2)+($N287*0.1)+($O287*6)+($Q287)+($R287*0.1)+($S287*6)+($T287*-2)</f>
        <v>0</v>
      </c>
      <c r="W287" s="16" t="e">
        <f>$P287/$H$33</f>
        <v>#DIV/0!</v>
      </c>
      <c r="X287" s="16" t="e">
        <f>$N287/$M287</f>
        <v>#DIV/0!</v>
      </c>
      <c r="Y287" s="16" t="e">
        <f>$R287/$Q287</f>
        <v>#DIV/0!</v>
      </c>
      <c r="Z287" s="16" t="e">
        <f>$I287/$H287</f>
        <v>#DIV/0!</v>
      </c>
      <c r="AA287" s="16" t="e">
        <f>$K287/$H287</f>
        <v>#DIV/0!</v>
      </c>
      <c r="AB287" s="16">
        <f>($J287*Cp_yd)+($K287*Cp_td)+($L287*Cint)+($M287*Ccar)+($N287*Cr_yd)+($O287*Cr_td)+(Q287*Crec)+($R287*Crec_yd)+($S287*Crec_td)+($T287*Cfmb)+($U287*Ctp_c)</f>
        <v>0</v>
      </c>
    </row>
    <row r="288" spans="1:28" x14ac:dyDescent="0.2">
      <c r="A288" s="15" t="s">
        <v>751</v>
      </c>
      <c r="B288" s="15" t="s">
        <v>38</v>
      </c>
      <c r="C288" s="15">
        <v>26</v>
      </c>
      <c r="D288" s="15">
        <v>4</v>
      </c>
      <c r="E288" s="15" t="s">
        <v>136</v>
      </c>
      <c r="F288" s="15" t="s">
        <v>704</v>
      </c>
      <c r="G288" s="15">
        <v>0</v>
      </c>
      <c r="H288" s="15">
        <v>0</v>
      </c>
      <c r="I288" s="15">
        <v>0</v>
      </c>
      <c r="J288" s="15">
        <v>0</v>
      </c>
      <c r="K288" s="15">
        <v>0</v>
      </c>
      <c r="L288" s="15">
        <v>0</v>
      </c>
      <c r="M288" s="15">
        <v>0</v>
      </c>
      <c r="N288" s="15">
        <v>0</v>
      </c>
      <c r="O288" s="15">
        <v>0</v>
      </c>
      <c r="P288" s="15">
        <v>0</v>
      </c>
      <c r="Q288" s="15">
        <v>0</v>
      </c>
      <c r="R288" s="15">
        <v>0</v>
      </c>
      <c r="S288" s="15">
        <v>0</v>
      </c>
      <c r="T288" s="15">
        <v>0</v>
      </c>
      <c r="U288" s="15">
        <v>0</v>
      </c>
      <c r="V288" s="15">
        <f>($J288*0.04)+($K288*4)+($L288*-2)+($N288*0.1)+($O288*6)+($Q288)+($R288*0.1)+($S288*6)+($T288*-2)</f>
        <v>0</v>
      </c>
      <c r="W288" s="15" t="e">
        <f>$P288/$H$33</f>
        <v>#DIV/0!</v>
      </c>
      <c r="X288" s="15" t="e">
        <f>$N288/$M288</f>
        <v>#DIV/0!</v>
      </c>
      <c r="Y288" s="15" t="e">
        <f>$R288/$Q288</f>
        <v>#DIV/0!</v>
      </c>
      <c r="Z288" s="15" t="e">
        <f>$I288/$H288</f>
        <v>#DIV/0!</v>
      </c>
      <c r="AA288" s="15" t="e">
        <f>$K288/$H288</f>
        <v>#DIV/0!</v>
      </c>
      <c r="AB288" s="15">
        <f>($J288*Cp_yd)+($K288*Cp_td)+($L288*Cint)+($M288*Ccar)+($N288*Cr_yd)+($O288*Cr_td)+(Q288*Crec)+($R288*Crec_yd)+($S288*Crec_td)+($T288*Cfmb)+($U288*Ctp_c)</f>
        <v>0</v>
      </c>
    </row>
    <row r="289" spans="1:28" x14ac:dyDescent="0.2">
      <c r="A289" s="16" t="s">
        <v>752</v>
      </c>
      <c r="B289" s="16" t="s">
        <v>38</v>
      </c>
      <c r="C289" s="16">
        <v>22</v>
      </c>
      <c r="D289" s="16">
        <v>0</v>
      </c>
      <c r="E289" s="16" t="s">
        <v>753</v>
      </c>
      <c r="F289" s="16" t="s">
        <v>704</v>
      </c>
      <c r="G289" s="16">
        <v>0</v>
      </c>
      <c r="H289" s="16">
        <v>0</v>
      </c>
      <c r="I289" s="16">
        <v>0</v>
      </c>
      <c r="J289" s="16">
        <v>0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f>($J289*0.04)+($K289*4)+($L289*-2)+($N289*0.1)+($O289*6)+($Q289)+($R289*0.1)+($S289*6)+($T289*-2)</f>
        <v>0</v>
      </c>
      <c r="W289" s="16" t="e">
        <f>$P289/$H$33</f>
        <v>#DIV/0!</v>
      </c>
      <c r="X289" s="16" t="e">
        <f>$N289/$M289</f>
        <v>#DIV/0!</v>
      </c>
      <c r="Y289" s="16" t="e">
        <f>$R289/$Q289</f>
        <v>#DIV/0!</v>
      </c>
      <c r="Z289" s="16" t="e">
        <f>$I289/$H289</f>
        <v>#DIV/0!</v>
      </c>
      <c r="AA289" s="16" t="e">
        <f>$K289/$H289</f>
        <v>#DIV/0!</v>
      </c>
      <c r="AB289" s="16">
        <f>($J289*Cp_yd)+($K289*Cp_td)+($L289*Cint)+($M289*Ccar)+($N289*Cr_yd)+($O289*Cr_td)+(Q289*Crec)+($R289*Crec_yd)+($S289*Crec_td)+($T289*Cfmb)+($U289*Ctp_c)</f>
        <v>0</v>
      </c>
    </row>
    <row r="290" spans="1:28" x14ac:dyDescent="0.2">
      <c r="A290" s="15" t="s">
        <v>776</v>
      </c>
      <c r="B290" s="15" t="s">
        <v>26</v>
      </c>
      <c r="C290" s="15">
        <v>35</v>
      </c>
      <c r="D290" s="15">
        <v>11</v>
      </c>
      <c r="E290" s="15" t="s">
        <v>70</v>
      </c>
      <c r="F290" s="15" t="s">
        <v>756</v>
      </c>
      <c r="G290" s="15">
        <v>0</v>
      </c>
      <c r="H290" s="15">
        <v>0</v>
      </c>
      <c r="I290" s="15">
        <v>0</v>
      </c>
      <c r="J290" s="15">
        <v>0</v>
      </c>
      <c r="K290" s="15">
        <v>0</v>
      </c>
      <c r="L290" s="15">
        <v>0</v>
      </c>
      <c r="M290" s="15">
        <v>0</v>
      </c>
      <c r="N290" s="15">
        <v>0</v>
      </c>
      <c r="O290" s="15">
        <v>0</v>
      </c>
      <c r="P290" s="15">
        <v>0</v>
      </c>
      <c r="Q290" s="15">
        <v>0</v>
      </c>
      <c r="R290" s="15">
        <v>0</v>
      </c>
      <c r="S290" s="15">
        <v>0</v>
      </c>
      <c r="T290" s="15">
        <v>0</v>
      </c>
      <c r="U290" s="15">
        <v>0</v>
      </c>
      <c r="V290" s="15">
        <f>($J290*0.04)+($K290*4)+($L290*-2)+($N290*0.1)+($O290*6)+($Q290)+($R290*0.1)+($S290*6)+($T290*-2)</f>
        <v>0</v>
      </c>
      <c r="W290" s="15" t="e">
        <f>$P290/$H$33</f>
        <v>#DIV/0!</v>
      </c>
      <c r="X290" s="15" t="e">
        <f>$N290/$M290</f>
        <v>#DIV/0!</v>
      </c>
      <c r="Y290" s="15" t="e">
        <f>$R290/$Q290</f>
        <v>#DIV/0!</v>
      </c>
      <c r="Z290" s="15" t="e">
        <f>$I290/$H290</f>
        <v>#DIV/0!</v>
      </c>
      <c r="AA290" s="15" t="e">
        <f>$K290/$H290</f>
        <v>#DIV/0!</v>
      </c>
      <c r="AB290" s="15">
        <f>($J290*Cp_yd)+($K290*Cp_td)+($L290*Cint)+($M290*Ccar)+($N290*Cr_yd)+($O290*Cr_td)+(Q290*Crec)+($R290*Crec_yd)+($S290*Crec_td)+($T290*Cfmb)+($U290*Ctp_c)</f>
        <v>0</v>
      </c>
    </row>
    <row r="291" spans="1:28" x14ac:dyDescent="0.2">
      <c r="A291" s="16" t="s">
        <v>777</v>
      </c>
      <c r="B291" s="16" t="s">
        <v>26</v>
      </c>
      <c r="C291" s="16">
        <v>24</v>
      </c>
      <c r="D291" s="16">
        <v>3</v>
      </c>
      <c r="E291" s="16" t="s">
        <v>102</v>
      </c>
      <c r="F291" s="16" t="s">
        <v>756</v>
      </c>
      <c r="G291" s="16">
        <v>0</v>
      </c>
      <c r="H291" s="16">
        <v>0</v>
      </c>
      <c r="I291" s="16">
        <v>0</v>
      </c>
      <c r="J291" s="16">
        <v>0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f>($J291*0.04)+($K291*4)+($L291*-2)+($N291*0.1)+($O291*6)+($Q291)+($R291*0.1)+($S291*6)+($T291*-2)</f>
        <v>0</v>
      </c>
      <c r="W291" s="16" t="e">
        <f>$P291/$H$33</f>
        <v>#DIV/0!</v>
      </c>
      <c r="X291" s="16" t="e">
        <f>$N291/$M291</f>
        <v>#DIV/0!</v>
      </c>
      <c r="Y291" s="16" t="e">
        <f>$R291/$Q291</f>
        <v>#DIV/0!</v>
      </c>
      <c r="Z291" s="16" t="e">
        <f>$I291/$H291</f>
        <v>#DIV/0!</v>
      </c>
      <c r="AA291" s="16" t="e">
        <f>$K291/$H291</f>
        <v>#DIV/0!</v>
      </c>
      <c r="AB291" s="16">
        <f>($J291*Cp_yd)+($K291*Cp_td)+($L291*Cint)+($M291*Ccar)+($N291*Cr_yd)+($O291*Cr_td)+(Q291*Crec)+($R291*Crec_yd)+($S291*Crec_td)+($T291*Cfmb)+($U291*Ctp_c)</f>
        <v>0</v>
      </c>
    </row>
    <row r="292" spans="1:28" x14ac:dyDescent="0.2">
      <c r="A292" s="15" t="s">
        <v>778</v>
      </c>
      <c r="B292" s="15" t="s">
        <v>26</v>
      </c>
      <c r="C292" s="15">
        <v>25</v>
      </c>
      <c r="D292" s="15">
        <v>1</v>
      </c>
      <c r="E292" s="15" t="s">
        <v>779</v>
      </c>
      <c r="F292" s="15" t="s">
        <v>756</v>
      </c>
      <c r="G292" s="15">
        <v>0</v>
      </c>
      <c r="H292" s="15">
        <v>0</v>
      </c>
      <c r="I292" s="15">
        <v>0</v>
      </c>
      <c r="J292" s="15">
        <v>0</v>
      </c>
      <c r="K292" s="15">
        <v>0</v>
      </c>
      <c r="L292" s="15">
        <v>0</v>
      </c>
      <c r="M292" s="15">
        <v>0</v>
      </c>
      <c r="N292" s="15">
        <v>0</v>
      </c>
      <c r="O292" s="15">
        <v>0</v>
      </c>
      <c r="P292" s="15">
        <v>0</v>
      </c>
      <c r="Q292" s="15">
        <v>0</v>
      </c>
      <c r="R292" s="15">
        <v>0</v>
      </c>
      <c r="S292" s="15">
        <v>0</v>
      </c>
      <c r="T292" s="15">
        <v>0</v>
      </c>
      <c r="U292" s="15">
        <v>0</v>
      </c>
      <c r="V292" s="15">
        <f>($J292*0.04)+($K292*4)+($L292*-2)+($N292*0.1)+($O292*6)+($Q292)+($R292*0.1)+($S292*6)+($T292*-2)</f>
        <v>0</v>
      </c>
      <c r="W292" s="15" t="e">
        <f>$P292/$H$33</f>
        <v>#DIV/0!</v>
      </c>
      <c r="X292" s="15" t="e">
        <f>$N292/$M292</f>
        <v>#DIV/0!</v>
      </c>
      <c r="Y292" s="15" t="e">
        <f>$R292/$Q292</f>
        <v>#DIV/0!</v>
      </c>
      <c r="Z292" s="15" t="e">
        <f>$I292/$H292</f>
        <v>#DIV/0!</v>
      </c>
      <c r="AA292" s="15" t="e">
        <f>$K292/$H292</f>
        <v>#DIV/0!</v>
      </c>
      <c r="AB292" s="15">
        <f>($J292*Cp_yd)+($K292*Cp_td)+($L292*Cint)+($M292*Ccar)+($N292*Cr_yd)+($O292*Cr_td)+(Q292*Crec)+($R292*Crec_yd)+($S292*Crec_td)+($T292*Cfmb)+($U292*Ctp_c)</f>
        <v>0</v>
      </c>
    </row>
    <row r="293" spans="1:28" x14ac:dyDescent="0.2">
      <c r="A293" s="16" t="s">
        <v>781</v>
      </c>
      <c r="B293" s="16" t="s">
        <v>31</v>
      </c>
      <c r="C293" s="16">
        <v>28</v>
      </c>
      <c r="D293" s="16">
        <v>6</v>
      </c>
      <c r="E293" s="16" t="s">
        <v>136</v>
      </c>
      <c r="F293" s="16" t="s">
        <v>756</v>
      </c>
      <c r="G293" s="16">
        <v>0</v>
      </c>
      <c r="H293" s="16">
        <v>0</v>
      </c>
      <c r="I293" s="16">
        <v>0</v>
      </c>
      <c r="J293" s="16">
        <v>0</v>
      </c>
      <c r="K293" s="16">
        <v>0</v>
      </c>
      <c r="L293" s="16">
        <v>0</v>
      </c>
      <c r="M293" s="16">
        <v>0</v>
      </c>
      <c r="N293" s="16">
        <v>0</v>
      </c>
      <c r="O293" s="16">
        <v>0</v>
      </c>
      <c r="P293" s="16">
        <v>0</v>
      </c>
      <c r="Q293" s="16">
        <v>0</v>
      </c>
      <c r="R293" s="16">
        <v>0</v>
      </c>
      <c r="S293" s="16">
        <v>0</v>
      </c>
      <c r="T293" s="16">
        <v>0</v>
      </c>
      <c r="U293" s="16">
        <v>0</v>
      </c>
      <c r="V293" s="16">
        <f>($J293*0.04)+($K293*4)+($L293*-2)+($N293*0.1)+($O293*6)+($Q293)+($R293*0.1)+($S293*6)+($T293*-2)</f>
        <v>0</v>
      </c>
      <c r="W293" s="16" t="e">
        <f>$P293/$H$33</f>
        <v>#DIV/0!</v>
      </c>
      <c r="X293" s="16" t="e">
        <f>$N293/$M293</f>
        <v>#DIV/0!</v>
      </c>
      <c r="Y293" s="16" t="e">
        <f>$R293/$Q293</f>
        <v>#DIV/0!</v>
      </c>
      <c r="Z293" s="16" t="e">
        <f>$I293/$H293</f>
        <v>#DIV/0!</v>
      </c>
      <c r="AA293" s="16" t="e">
        <f>$K293/$H293</f>
        <v>#DIV/0!</v>
      </c>
      <c r="AB293" s="16">
        <f>($J293*Cp_yd)+($K293*Cp_td)+($L293*Cint)+($M293*Ccar)+($N293*Cr_yd)+($O293*Cr_td)+(Q293*Crec)+($R293*Crec_yd)+($S293*Crec_td)+($T293*Cfmb)+($U293*Ctp_c)</f>
        <v>0</v>
      </c>
    </row>
    <row r="294" spans="1:28" x14ac:dyDescent="0.2">
      <c r="A294" s="15" t="s">
        <v>782</v>
      </c>
      <c r="B294" s="15" t="s">
        <v>31</v>
      </c>
      <c r="C294" s="15">
        <v>25</v>
      </c>
      <c r="D294" s="15">
        <v>1</v>
      </c>
      <c r="E294" s="15" t="s">
        <v>136</v>
      </c>
      <c r="F294" s="15" t="s">
        <v>756</v>
      </c>
      <c r="G294" s="15">
        <v>0</v>
      </c>
      <c r="H294" s="15">
        <v>0</v>
      </c>
      <c r="I294" s="15">
        <v>0</v>
      </c>
      <c r="J294" s="15">
        <v>0</v>
      </c>
      <c r="K294" s="15">
        <v>0</v>
      </c>
      <c r="L294" s="15">
        <v>0</v>
      </c>
      <c r="M294" s="15">
        <v>0</v>
      </c>
      <c r="N294" s="15">
        <v>0</v>
      </c>
      <c r="O294" s="15">
        <v>0</v>
      </c>
      <c r="P294" s="15">
        <v>0</v>
      </c>
      <c r="Q294" s="15">
        <v>0</v>
      </c>
      <c r="R294" s="15">
        <v>0</v>
      </c>
      <c r="S294" s="15">
        <v>0</v>
      </c>
      <c r="T294" s="15">
        <v>0</v>
      </c>
      <c r="U294" s="15">
        <v>0</v>
      </c>
      <c r="V294" s="15">
        <f>($J294*0.04)+($K294*4)+($L294*-2)+($N294*0.1)+($O294*6)+($Q294)+($R294*0.1)+($S294*6)+($T294*-2)</f>
        <v>0</v>
      </c>
      <c r="W294" s="15" t="e">
        <f>$P294/$H$33</f>
        <v>#DIV/0!</v>
      </c>
      <c r="X294" s="15" t="e">
        <f>$N294/$M294</f>
        <v>#DIV/0!</v>
      </c>
      <c r="Y294" s="15" t="e">
        <f>$R294/$Q294</f>
        <v>#DIV/0!</v>
      </c>
      <c r="Z294" s="15" t="e">
        <f>$I294/$H294</f>
        <v>#DIV/0!</v>
      </c>
      <c r="AA294" s="15" t="e">
        <f>$K294/$H294</f>
        <v>#DIV/0!</v>
      </c>
      <c r="AB294" s="15">
        <f>($J294*Cp_yd)+($K294*Cp_td)+($L294*Cint)+($M294*Ccar)+($N294*Cr_yd)+($O294*Cr_td)+(Q294*Crec)+($R294*Crec_yd)+($S294*Crec_td)+($T294*Cfmb)+($U294*Ctp_c)</f>
        <v>0</v>
      </c>
    </row>
    <row r="295" spans="1:28" x14ac:dyDescent="0.2">
      <c r="A295" s="16" t="s">
        <v>783</v>
      </c>
      <c r="B295" s="16" t="s">
        <v>31</v>
      </c>
      <c r="C295" s="16">
        <v>29</v>
      </c>
      <c r="D295" s="16">
        <v>5</v>
      </c>
      <c r="E295" s="16" t="s">
        <v>72</v>
      </c>
      <c r="F295" s="16" t="s">
        <v>756</v>
      </c>
      <c r="G295" s="16">
        <v>0</v>
      </c>
      <c r="H295" s="16">
        <v>0</v>
      </c>
      <c r="I295" s="16">
        <v>0</v>
      </c>
      <c r="J295" s="16">
        <v>0</v>
      </c>
      <c r="K295" s="16">
        <v>0</v>
      </c>
      <c r="L295" s="16">
        <v>0</v>
      </c>
      <c r="M295" s="16">
        <v>0</v>
      </c>
      <c r="N295" s="16">
        <v>0</v>
      </c>
      <c r="O295" s="16">
        <v>0</v>
      </c>
      <c r="P295" s="16">
        <v>0</v>
      </c>
      <c r="Q295" s="16">
        <v>0</v>
      </c>
      <c r="R295" s="16">
        <v>0</v>
      </c>
      <c r="S295" s="16">
        <v>0</v>
      </c>
      <c r="T295" s="16">
        <v>0</v>
      </c>
      <c r="U295" s="16">
        <v>0</v>
      </c>
      <c r="V295" s="16">
        <f>($J295*0.04)+($K295*4)+($L295*-2)+($N295*0.1)+($O295*6)+($Q295)+($R295*0.1)+($S295*6)+($T295*-2)</f>
        <v>0</v>
      </c>
      <c r="W295" s="16" t="e">
        <f>$P295/$H$33</f>
        <v>#DIV/0!</v>
      </c>
      <c r="X295" s="16" t="e">
        <f>$N295/$M295</f>
        <v>#DIV/0!</v>
      </c>
      <c r="Y295" s="16" t="e">
        <f>$R295/$Q295</f>
        <v>#DIV/0!</v>
      </c>
      <c r="Z295" s="16" t="e">
        <f>$I295/$H295</f>
        <v>#DIV/0!</v>
      </c>
      <c r="AA295" s="16" t="e">
        <f>$K295/$H295</f>
        <v>#DIV/0!</v>
      </c>
      <c r="AB295" s="16">
        <f>($J295*Cp_yd)+($K295*Cp_td)+($L295*Cint)+($M295*Ccar)+($N295*Cr_yd)+($O295*Cr_td)+(Q295*Crec)+($R295*Crec_yd)+($S295*Crec_td)+($T295*Cfmb)+($U295*Ctp_c)</f>
        <v>0</v>
      </c>
    </row>
    <row r="296" spans="1:28" x14ac:dyDescent="0.2">
      <c r="A296" s="15" t="s">
        <v>784</v>
      </c>
      <c r="B296" s="15" t="s">
        <v>31</v>
      </c>
      <c r="C296" s="15">
        <v>23</v>
      </c>
      <c r="D296" s="15">
        <v>2</v>
      </c>
      <c r="E296" s="15" t="s">
        <v>178</v>
      </c>
      <c r="F296" s="15" t="s">
        <v>756</v>
      </c>
      <c r="G296" s="15">
        <v>0</v>
      </c>
      <c r="H296" s="15">
        <v>0</v>
      </c>
      <c r="I296" s="15">
        <v>0</v>
      </c>
      <c r="J296" s="15">
        <v>0</v>
      </c>
      <c r="K296" s="15">
        <v>0</v>
      </c>
      <c r="L296" s="15">
        <v>0</v>
      </c>
      <c r="M296" s="15">
        <v>0</v>
      </c>
      <c r="N296" s="15">
        <v>0</v>
      </c>
      <c r="O296" s="15">
        <v>0</v>
      </c>
      <c r="P296" s="15">
        <v>0</v>
      </c>
      <c r="Q296" s="15">
        <v>0</v>
      </c>
      <c r="R296" s="15">
        <v>0</v>
      </c>
      <c r="S296" s="15">
        <v>0</v>
      </c>
      <c r="T296" s="15">
        <v>0</v>
      </c>
      <c r="U296" s="15">
        <v>0</v>
      </c>
      <c r="V296" s="15">
        <f>($J296*0.04)+($K296*4)+($L296*-2)+($N296*0.1)+($O296*6)+($Q296)+($R296*0.1)+($S296*6)+($T296*-2)</f>
        <v>0</v>
      </c>
      <c r="W296" s="15" t="e">
        <f>$P296/$H$33</f>
        <v>#DIV/0!</v>
      </c>
      <c r="X296" s="15" t="e">
        <f>$N296/$M296</f>
        <v>#DIV/0!</v>
      </c>
      <c r="Y296" s="15" t="e">
        <f>$R296/$Q296</f>
        <v>#DIV/0!</v>
      </c>
      <c r="Z296" s="15" t="e">
        <f>$I296/$H296</f>
        <v>#DIV/0!</v>
      </c>
      <c r="AA296" s="15" t="e">
        <f>$K296/$H296</f>
        <v>#DIV/0!</v>
      </c>
      <c r="AB296" s="15">
        <f>($J296*Cp_yd)+($K296*Cp_td)+($L296*Cint)+($M296*Ccar)+($N296*Cr_yd)+($O296*Cr_td)+(Q296*Crec)+($R296*Crec_yd)+($S296*Crec_td)+($T296*Cfmb)+($U296*Ctp_c)</f>
        <v>0</v>
      </c>
    </row>
    <row r="297" spans="1:28" x14ac:dyDescent="0.2">
      <c r="A297" s="16" t="s">
        <v>786</v>
      </c>
      <c r="B297" s="16" t="s">
        <v>43</v>
      </c>
      <c r="C297" s="16">
        <v>27</v>
      </c>
      <c r="D297" s="16">
        <v>1</v>
      </c>
      <c r="E297" s="16" t="s">
        <v>95</v>
      </c>
      <c r="F297" s="16" t="s">
        <v>756</v>
      </c>
      <c r="G297" s="16">
        <v>0</v>
      </c>
      <c r="H297" s="16">
        <v>0</v>
      </c>
      <c r="I297" s="16">
        <v>0</v>
      </c>
      <c r="J297" s="16">
        <v>0</v>
      </c>
      <c r="K297" s="16">
        <v>0</v>
      </c>
      <c r="L297" s="16">
        <v>0</v>
      </c>
      <c r="M297" s="16">
        <v>0</v>
      </c>
      <c r="N297" s="16">
        <v>0</v>
      </c>
      <c r="O297" s="16">
        <v>0</v>
      </c>
      <c r="P297" s="16">
        <v>0</v>
      </c>
      <c r="Q297" s="16">
        <v>0</v>
      </c>
      <c r="R297" s="16">
        <v>0</v>
      </c>
      <c r="S297" s="16">
        <v>0</v>
      </c>
      <c r="T297" s="16">
        <v>0</v>
      </c>
      <c r="U297" s="16">
        <v>0</v>
      </c>
      <c r="V297" s="16">
        <f>($J297*0.04)+($K297*4)+($L297*-2)+($N297*0.1)+($O297*6)+($Q297)+($R297*0.1)+($S297*6)+($T297*-2)</f>
        <v>0</v>
      </c>
      <c r="W297" s="16" t="e">
        <f>$P297/$H$33</f>
        <v>#DIV/0!</v>
      </c>
      <c r="X297" s="16" t="e">
        <f>$N297/$M297</f>
        <v>#DIV/0!</v>
      </c>
      <c r="Y297" s="16" t="e">
        <f>$R297/$Q297</f>
        <v>#DIV/0!</v>
      </c>
      <c r="Z297" s="16" t="e">
        <f>$I297/$H297</f>
        <v>#DIV/0!</v>
      </c>
      <c r="AA297" s="16" t="e">
        <f>$K297/$H297</f>
        <v>#DIV/0!</v>
      </c>
      <c r="AB297" s="16">
        <f>($J297*Cp_yd)+($K297*Cp_td)+($L297*Cint)+($M297*Ccar)+($N297*Cr_yd)+($O297*Cr_td)+(Q297*Crec)+($R297*Crec_yd)+($S297*Crec_td)+($T297*Cfmb)+($U297*Ctp_c)</f>
        <v>0</v>
      </c>
    </row>
    <row r="298" spans="1:28" x14ac:dyDescent="0.2">
      <c r="A298" s="15" t="s">
        <v>787</v>
      </c>
      <c r="B298" s="15" t="s">
        <v>43</v>
      </c>
      <c r="C298" s="15">
        <v>27</v>
      </c>
      <c r="D298" s="15">
        <v>7</v>
      </c>
      <c r="E298" s="15" t="s">
        <v>213</v>
      </c>
      <c r="F298" s="15" t="s">
        <v>756</v>
      </c>
      <c r="G298" s="15">
        <v>0</v>
      </c>
      <c r="H298" s="15">
        <v>0</v>
      </c>
      <c r="I298" s="15">
        <v>0</v>
      </c>
      <c r="J298" s="15">
        <v>0</v>
      </c>
      <c r="K298" s="15">
        <v>0</v>
      </c>
      <c r="L298" s="15">
        <v>0</v>
      </c>
      <c r="M298" s="15">
        <v>0</v>
      </c>
      <c r="N298" s="15">
        <v>0</v>
      </c>
      <c r="O298" s="15">
        <v>0</v>
      </c>
      <c r="P298" s="15">
        <v>0</v>
      </c>
      <c r="Q298" s="15">
        <v>0</v>
      </c>
      <c r="R298" s="15">
        <v>0</v>
      </c>
      <c r="S298" s="15">
        <v>0</v>
      </c>
      <c r="T298" s="15">
        <v>0</v>
      </c>
      <c r="U298" s="15">
        <v>0</v>
      </c>
      <c r="V298" s="15">
        <f>($J298*0.04)+($K298*4)+($L298*-2)+($N298*0.1)+($O298*6)+($Q298)+($R298*0.1)+($S298*6)+($T298*-2)</f>
        <v>0</v>
      </c>
      <c r="W298" s="15" t="e">
        <f>$P298/$H$33</f>
        <v>#DIV/0!</v>
      </c>
      <c r="X298" s="15" t="e">
        <f>$N298/$M298</f>
        <v>#DIV/0!</v>
      </c>
      <c r="Y298" s="15" t="e">
        <f>$R298/$Q298</f>
        <v>#DIV/0!</v>
      </c>
      <c r="Z298" s="15" t="e">
        <f>$I298/$H298</f>
        <v>#DIV/0!</v>
      </c>
      <c r="AA298" s="15" t="e">
        <f>$K298/$H298</f>
        <v>#DIV/0!</v>
      </c>
      <c r="AB298" s="15">
        <f>($J298*Cp_yd)+($K298*Cp_td)+($L298*Cint)+($M298*Ccar)+($N298*Cr_yd)+($O298*Cr_td)+(Q298*Crec)+($R298*Crec_yd)+($S298*Crec_td)+($T298*Cfmb)+($U298*Ctp_c)</f>
        <v>0</v>
      </c>
    </row>
    <row r="299" spans="1:28" x14ac:dyDescent="0.2">
      <c r="A299" s="16" t="s">
        <v>788</v>
      </c>
      <c r="B299" s="16" t="s">
        <v>43</v>
      </c>
      <c r="C299" s="16">
        <v>25</v>
      </c>
      <c r="D299" s="16">
        <v>1</v>
      </c>
      <c r="E299" s="16" t="s">
        <v>455</v>
      </c>
      <c r="F299" s="16" t="s">
        <v>756</v>
      </c>
      <c r="G299" s="16">
        <v>0</v>
      </c>
      <c r="H299" s="16">
        <v>0</v>
      </c>
      <c r="I299" s="16">
        <v>0</v>
      </c>
      <c r="J299" s="16">
        <v>0</v>
      </c>
      <c r="K299" s="16">
        <v>0</v>
      </c>
      <c r="L299" s="16">
        <v>0</v>
      </c>
      <c r="M299" s="16">
        <v>0</v>
      </c>
      <c r="N299" s="16">
        <v>0</v>
      </c>
      <c r="O299" s="16">
        <v>0</v>
      </c>
      <c r="P299" s="16">
        <v>0</v>
      </c>
      <c r="Q299" s="16">
        <v>0</v>
      </c>
      <c r="R299" s="16">
        <v>0</v>
      </c>
      <c r="S299" s="16">
        <v>0</v>
      </c>
      <c r="T299" s="16">
        <v>0</v>
      </c>
      <c r="U299" s="16">
        <v>0</v>
      </c>
      <c r="V299" s="16">
        <f>($J299*0.04)+($K299*4)+($L299*-2)+($N299*0.1)+($O299*6)+($Q299)+($R299*0.1)+($S299*6)+($T299*-2)</f>
        <v>0</v>
      </c>
      <c r="W299" s="16" t="e">
        <f>$P299/$H$33</f>
        <v>#DIV/0!</v>
      </c>
      <c r="X299" s="16" t="e">
        <f>$N299/$M299</f>
        <v>#DIV/0!</v>
      </c>
      <c r="Y299" s="16" t="e">
        <f>$R299/$Q299</f>
        <v>#DIV/0!</v>
      </c>
      <c r="Z299" s="16" t="e">
        <f>$I299/$H299</f>
        <v>#DIV/0!</v>
      </c>
      <c r="AA299" s="16" t="e">
        <f>$K299/$H299</f>
        <v>#DIV/0!</v>
      </c>
      <c r="AB299" s="16">
        <f>($J299*Cp_yd)+($K299*Cp_td)+($L299*Cint)+($M299*Ccar)+($N299*Cr_yd)+($O299*Cr_td)+(Q299*Crec)+($R299*Crec_yd)+($S299*Crec_td)+($T299*Cfmb)+($U299*Ctp_c)</f>
        <v>0</v>
      </c>
    </row>
    <row r="300" spans="1:28" x14ac:dyDescent="0.2">
      <c r="A300" s="15" t="s">
        <v>789</v>
      </c>
      <c r="B300" s="15" t="s">
        <v>43</v>
      </c>
      <c r="C300" s="15">
        <v>24</v>
      </c>
      <c r="D300" s="15">
        <v>3</v>
      </c>
      <c r="E300" s="15" t="s">
        <v>105</v>
      </c>
      <c r="F300" s="15" t="s">
        <v>756</v>
      </c>
      <c r="G300" s="15">
        <v>0</v>
      </c>
      <c r="H300" s="15">
        <v>0</v>
      </c>
      <c r="I300" s="15">
        <v>0</v>
      </c>
      <c r="J300" s="15">
        <v>0</v>
      </c>
      <c r="K300" s="15">
        <v>0</v>
      </c>
      <c r="L300" s="15">
        <v>0</v>
      </c>
      <c r="M300" s="15">
        <v>0</v>
      </c>
      <c r="N300" s="15">
        <v>0</v>
      </c>
      <c r="O300" s="15">
        <v>0</v>
      </c>
      <c r="P300" s="15">
        <v>0</v>
      </c>
      <c r="Q300" s="15">
        <v>0</v>
      </c>
      <c r="R300" s="15">
        <v>0</v>
      </c>
      <c r="S300" s="15">
        <v>0</v>
      </c>
      <c r="T300" s="15">
        <v>0</v>
      </c>
      <c r="U300" s="15">
        <v>0</v>
      </c>
      <c r="V300" s="15">
        <f>($J300*0.04)+($K300*4)+($L300*-2)+($N300*0.1)+($O300*6)+($Q300)+($R300*0.1)+($S300*6)+($T300*-2)</f>
        <v>0</v>
      </c>
      <c r="W300" s="15" t="e">
        <f>$P300/$H$33</f>
        <v>#DIV/0!</v>
      </c>
      <c r="X300" s="15" t="e">
        <f>$N300/$M300</f>
        <v>#DIV/0!</v>
      </c>
      <c r="Y300" s="15" t="e">
        <f>$R300/$Q300</f>
        <v>#DIV/0!</v>
      </c>
      <c r="Z300" s="15" t="e">
        <f>$I300/$H300</f>
        <v>#DIV/0!</v>
      </c>
      <c r="AA300" s="15" t="e">
        <f>$K300/$H300</f>
        <v>#DIV/0!</v>
      </c>
      <c r="AB300" s="15">
        <f>($J300*Cp_yd)+($K300*Cp_td)+($L300*Cint)+($M300*Ccar)+($N300*Cr_yd)+($O300*Cr_td)+(Q300*Crec)+($R300*Crec_yd)+($S300*Crec_td)+($T300*Cfmb)+($U300*Ctp_c)</f>
        <v>0</v>
      </c>
    </row>
    <row r="301" spans="1:28" x14ac:dyDescent="0.2">
      <c r="A301" s="16" t="s">
        <v>790</v>
      </c>
      <c r="B301" s="16" t="s">
        <v>43</v>
      </c>
      <c r="C301" s="16">
        <v>23</v>
      </c>
      <c r="D301" s="16">
        <v>0</v>
      </c>
      <c r="E301" s="16" t="s">
        <v>70</v>
      </c>
      <c r="F301" s="16" t="s">
        <v>756</v>
      </c>
      <c r="G301" s="16">
        <v>0</v>
      </c>
      <c r="H301" s="16">
        <v>0</v>
      </c>
      <c r="I301" s="16">
        <v>0</v>
      </c>
      <c r="J301" s="16">
        <v>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0</v>
      </c>
      <c r="R301" s="16">
        <v>0</v>
      </c>
      <c r="S301" s="16">
        <v>0</v>
      </c>
      <c r="T301" s="16">
        <v>0</v>
      </c>
      <c r="U301" s="16">
        <v>0</v>
      </c>
      <c r="V301" s="16">
        <f>($J301*0.04)+($K301*4)+($L301*-2)+($N301*0.1)+($O301*6)+($Q301)+($R301*0.1)+($S301*6)+($T301*-2)</f>
        <v>0</v>
      </c>
      <c r="W301" s="16" t="e">
        <f>$P301/$H$33</f>
        <v>#DIV/0!</v>
      </c>
      <c r="X301" s="16" t="e">
        <f>$N301/$M301</f>
        <v>#DIV/0!</v>
      </c>
      <c r="Y301" s="16" t="e">
        <f>$R301/$Q301</f>
        <v>#DIV/0!</v>
      </c>
      <c r="Z301" s="16" t="e">
        <f>$I301/$H301</f>
        <v>#DIV/0!</v>
      </c>
      <c r="AA301" s="16" t="e">
        <f>$K301/$H301</f>
        <v>#DIV/0!</v>
      </c>
      <c r="AB301" s="16">
        <f>($J301*Cp_yd)+($K301*Cp_td)+($L301*Cint)+($M301*Ccar)+($N301*Cr_yd)+($O301*Cr_td)+(Q301*Crec)+($R301*Crec_yd)+($S301*Crec_td)+($T301*Cfmb)+($U301*Ctp_c)</f>
        <v>0</v>
      </c>
    </row>
    <row r="302" spans="1:28" x14ac:dyDescent="0.2">
      <c r="A302" s="15" t="s">
        <v>791</v>
      </c>
      <c r="B302" s="15" t="s">
        <v>43</v>
      </c>
      <c r="C302" s="15">
        <v>30</v>
      </c>
      <c r="D302" s="15">
        <v>8</v>
      </c>
      <c r="E302" s="15" t="s">
        <v>458</v>
      </c>
      <c r="F302" s="15" t="s">
        <v>756</v>
      </c>
      <c r="G302" s="15">
        <v>0</v>
      </c>
      <c r="H302" s="15">
        <v>0</v>
      </c>
      <c r="I302" s="15">
        <v>0</v>
      </c>
      <c r="J302" s="15">
        <v>0</v>
      </c>
      <c r="K302" s="15">
        <v>0</v>
      </c>
      <c r="L302" s="15">
        <v>0</v>
      </c>
      <c r="M302" s="15">
        <v>0</v>
      </c>
      <c r="N302" s="15">
        <v>0</v>
      </c>
      <c r="O302" s="15">
        <v>0</v>
      </c>
      <c r="P302" s="15">
        <v>0</v>
      </c>
      <c r="Q302" s="15">
        <v>0</v>
      </c>
      <c r="R302" s="15">
        <v>0</v>
      </c>
      <c r="S302" s="15">
        <v>0</v>
      </c>
      <c r="T302" s="15">
        <v>0</v>
      </c>
      <c r="U302" s="15">
        <v>0</v>
      </c>
      <c r="V302" s="15">
        <f>($J302*0.04)+($K302*4)+($L302*-2)+($N302*0.1)+($O302*6)+($Q302)+($R302*0.1)+($S302*6)+($T302*-2)</f>
        <v>0</v>
      </c>
      <c r="W302" s="15" t="e">
        <f>$P302/$H$33</f>
        <v>#DIV/0!</v>
      </c>
      <c r="X302" s="15" t="e">
        <f>$N302/$M302</f>
        <v>#DIV/0!</v>
      </c>
      <c r="Y302" s="15" t="e">
        <f>$R302/$Q302</f>
        <v>#DIV/0!</v>
      </c>
      <c r="Z302" s="15" t="e">
        <f>$I302/$H302</f>
        <v>#DIV/0!</v>
      </c>
      <c r="AA302" s="15" t="e">
        <f>$K302/$H302</f>
        <v>#DIV/0!</v>
      </c>
      <c r="AB302" s="15">
        <f>($J302*Cp_yd)+($K302*Cp_td)+($L302*Cint)+($M302*Ccar)+($N302*Cr_yd)+($O302*Cr_td)+(Q302*Crec)+($R302*Crec_yd)+($S302*Crec_td)+($T302*Cfmb)+($U302*Ctp_c)</f>
        <v>0</v>
      </c>
    </row>
    <row r="303" spans="1:28" x14ac:dyDescent="0.2">
      <c r="A303" s="16" t="s">
        <v>792</v>
      </c>
      <c r="B303" s="16" t="s">
        <v>43</v>
      </c>
      <c r="C303" s="16">
        <v>23</v>
      </c>
      <c r="D303" s="16">
        <v>0</v>
      </c>
      <c r="E303" s="16" t="s">
        <v>244</v>
      </c>
      <c r="F303" s="16" t="s">
        <v>756</v>
      </c>
      <c r="G303" s="16">
        <v>0</v>
      </c>
      <c r="H303" s="16">
        <v>0</v>
      </c>
      <c r="I303" s="16">
        <v>0</v>
      </c>
      <c r="J303" s="16">
        <v>0</v>
      </c>
      <c r="K303" s="16">
        <v>0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f>($J303*0.04)+($K303*4)+($L303*-2)+($N303*0.1)+($O303*6)+($Q303)+($R303*0.1)+($S303*6)+($T303*-2)</f>
        <v>0</v>
      </c>
      <c r="W303" s="16" t="e">
        <f>$P303/$H$33</f>
        <v>#DIV/0!</v>
      </c>
      <c r="X303" s="16" t="e">
        <f>$N303/$M303</f>
        <v>#DIV/0!</v>
      </c>
      <c r="Y303" s="16" t="e">
        <f>$R303/$Q303</f>
        <v>#DIV/0!</v>
      </c>
      <c r="Z303" s="16" t="e">
        <f>$I303/$H303</f>
        <v>#DIV/0!</v>
      </c>
      <c r="AA303" s="16" t="e">
        <f>$K303/$H303</f>
        <v>#DIV/0!</v>
      </c>
      <c r="AB303" s="16">
        <f>($J303*Cp_yd)+($K303*Cp_td)+($L303*Cint)+($M303*Ccar)+($N303*Cr_yd)+($O303*Cr_td)+(Q303*Crec)+($R303*Crec_yd)+($S303*Crec_td)+($T303*Cfmb)+($U303*Ctp_c)</f>
        <v>0</v>
      </c>
    </row>
    <row r="304" spans="1:28" x14ac:dyDescent="0.2">
      <c r="A304" s="15" t="s">
        <v>793</v>
      </c>
      <c r="B304" s="15" t="s">
        <v>43</v>
      </c>
      <c r="C304" s="15">
        <v>24</v>
      </c>
      <c r="D304" s="15">
        <v>1</v>
      </c>
      <c r="E304" s="15" t="s">
        <v>205</v>
      </c>
      <c r="F304" s="15" t="s">
        <v>756</v>
      </c>
      <c r="G304" s="15">
        <v>0</v>
      </c>
      <c r="H304" s="15">
        <v>0</v>
      </c>
      <c r="I304" s="15">
        <v>0</v>
      </c>
      <c r="J304" s="15">
        <v>0</v>
      </c>
      <c r="K304" s="15">
        <v>0</v>
      </c>
      <c r="L304" s="15">
        <v>0</v>
      </c>
      <c r="M304" s="15">
        <v>0</v>
      </c>
      <c r="N304" s="15">
        <v>0</v>
      </c>
      <c r="O304" s="15">
        <v>0</v>
      </c>
      <c r="P304" s="15">
        <v>0</v>
      </c>
      <c r="Q304" s="15">
        <v>0</v>
      </c>
      <c r="R304" s="15">
        <v>0</v>
      </c>
      <c r="S304" s="15">
        <v>0</v>
      </c>
      <c r="T304" s="15">
        <v>0</v>
      </c>
      <c r="U304" s="15">
        <v>0</v>
      </c>
      <c r="V304" s="15">
        <f>($J304*0.04)+($K304*4)+($L304*-2)+($N304*0.1)+($O304*6)+($Q304)+($R304*0.1)+($S304*6)+($T304*-2)</f>
        <v>0</v>
      </c>
      <c r="W304" s="15" t="e">
        <f>$P304/$H$33</f>
        <v>#DIV/0!</v>
      </c>
      <c r="X304" s="15" t="e">
        <f>$N304/$M304</f>
        <v>#DIV/0!</v>
      </c>
      <c r="Y304" s="15" t="e">
        <f>$R304/$Q304</f>
        <v>#DIV/0!</v>
      </c>
      <c r="Z304" s="15" t="e">
        <f>$I304/$H304</f>
        <v>#DIV/0!</v>
      </c>
      <c r="AA304" s="15" t="e">
        <f>$K304/$H304</f>
        <v>#DIV/0!</v>
      </c>
      <c r="AB304" s="15">
        <f>($J304*Cp_yd)+($K304*Cp_td)+($L304*Cint)+($M304*Ccar)+($N304*Cr_yd)+($O304*Cr_td)+(Q304*Crec)+($R304*Crec_yd)+($S304*Crec_td)+($T304*Cfmb)+($U304*Ctp_c)</f>
        <v>0</v>
      </c>
    </row>
    <row r="305" spans="1:28" x14ac:dyDescent="0.2">
      <c r="A305" s="16" t="s">
        <v>794</v>
      </c>
      <c r="B305" s="16" t="s">
        <v>43</v>
      </c>
      <c r="C305" s="16">
        <v>24</v>
      </c>
      <c r="D305" s="16">
        <v>0</v>
      </c>
      <c r="E305" s="16" t="s">
        <v>795</v>
      </c>
      <c r="F305" s="16" t="s">
        <v>756</v>
      </c>
      <c r="G305" s="16">
        <v>0</v>
      </c>
      <c r="H305" s="16">
        <v>0</v>
      </c>
      <c r="I305" s="16">
        <v>0</v>
      </c>
      <c r="J305" s="16">
        <v>0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f>($J305*0.04)+($K305*4)+($L305*-2)+($N305*0.1)+($O305*6)+($Q305)+($R305*0.1)+($S305*6)+($T305*-2)</f>
        <v>0</v>
      </c>
      <c r="W305" s="16" t="e">
        <f>$P305/$H$33</f>
        <v>#DIV/0!</v>
      </c>
      <c r="X305" s="16" t="e">
        <f>$N305/$M305</f>
        <v>#DIV/0!</v>
      </c>
      <c r="Y305" s="16" t="e">
        <f>$R305/$Q305</f>
        <v>#DIV/0!</v>
      </c>
      <c r="Z305" s="16" t="e">
        <f>$I305/$H305</f>
        <v>#DIV/0!</v>
      </c>
      <c r="AA305" s="16" t="e">
        <f>$K305/$H305</f>
        <v>#DIV/0!</v>
      </c>
      <c r="AB305" s="16">
        <f>($J305*Cp_yd)+($K305*Cp_td)+($L305*Cint)+($M305*Ccar)+($N305*Cr_yd)+($O305*Cr_td)+(Q305*Crec)+($R305*Crec_yd)+($S305*Crec_td)+($T305*Cfmb)+($U305*Ctp_c)</f>
        <v>0</v>
      </c>
    </row>
    <row r="306" spans="1:28" x14ac:dyDescent="0.2">
      <c r="A306" s="15" t="s">
        <v>796</v>
      </c>
      <c r="B306" s="15" t="s">
        <v>43</v>
      </c>
      <c r="C306" s="15">
        <v>23</v>
      </c>
      <c r="D306" s="15">
        <v>1</v>
      </c>
      <c r="E306" s="15" t="s">
        <v>153</v>
      </c>
      <c r="F306" s="15" t="s">
        <v>756</v>
      </c>
      <c r="G306" s="15">
        <v>0</v>
      </c>
      <c r="H306" s="15">
        <v>0</v>
      </c>
      <c r="I306" s="15">
        <v>0</v>
      </c>
      <c r="J306" s="15">
        <v>0</v>
      </c>
      <c r="K306" s="15">
        <v>0</v>
      </c>
      <c r="L306" s="15">
        <v>0</v>
      </c>
      <c r="M306" s="15">
        <v>0</v>
      </c>
      <c r="N306" s="15">
        <v>0</v>
      </c>
      <c r="O306" s="15">
        <v>0</v>
      </c>
      <c r="P306" s="15">
        <v>0</v>
      </c>
      <c r="Q306" s="15">
        <v>0</v>
      </c>
      <c r="R306" s="15">
        <v>0</v>
      </c>
      <c r="S306" s="15">
        <v>0</v>
      </c>
      <c r="T306" s="15">
        <v>0</v>
      </c>
      <c r="U306" s="15">
        <v>0</v>
      </c>
      <c r="V306" s="15">
        <f>($J306*0.04)+($K306*4)+($L306*-2)+($N306*0.1)+($O306*6)+($Q306)+($R306*0.1)+($S306*6)+($T306*-2)</f>
        <v>0</v>
      </c>
      <c r="W306" s="15" t="e">
        <f>$P306/$H$33</f>
        <v>#DIV/0!</v>
      </c>
      <c r="X306" s="15" t="e">
        <f>$N306/$M306</f>
        <v>#DIV/0!</v>
      </c>
      <c r="Y306" s="15" t="e">
        <f>$R306/$Q306</f>
        <v>#DIV/0!</v>
      </c>
      <c r="Z306" s="15" t="e">
        <f>$I306/$H306</f>
        <v>#DIV/0!</v>
      </c>
      <c r="AA306" s="15" t="e">
        <f>$K306/$H306</f>
        <v>#DIV/0!</v>
      </c>
      <c r="AB306" s="15">
        <f>($J306*Cp_yd)+($K306*Cp_td)+($L306*Cint)+($M306*Ccar)+($N306*Cr_yd)+($O306*Cr_td)+(Q306*Crec)+($R306*Crec_yd)+($S306*Crec_td)+($T306*Cfmb)+($U306*Ctp_c)</f>
        <v>0</v>
      </c>
    </row>
    <row r="307" spans="1:28" x14ac:dyDescent="0.2">
      <c r="A307" s="16" t="s">
        <v>797</v>
      </c>
      <c r="B307" s="16" t="s">
        <v>43</v>
      </c>
      <c r="C307" s="16">
        <v>26</v>
      </c>
      <c r="D307" s="16">
        <v>4</v>
      </c>
      <c r="E307" s="16" t="s">
        <v>467</v>
      </c>
      <c r="F307" s="16" t="s">
        <v>756</v>
      </c>
      <c r="G307" s="16">
        <v>0</v>
      </c>
      <c r="H307" s="16">
        <v>0</v>
      </c>
      <c r="I307" s="16">
        <v>0</v>
      </c>
      <c r="J307" s="16">
        <v>0</v>
      </c>
      <c r="K307" s="16">
        <v>0</v>
      </c>
      <c r="L307" s="16">
        <v>0</v>
      </c>
      <c r="M307" s="16">
        <v>0</v>
      </c>
      <c r="N307" s="16">
        <v>0</v>
      </c>
      <c r="O307" s="16">
        <v>0</v>
      </c>
      <c r="P307" s="16">
        <v>0</v>
      </c>
      <c r="Q307" s="16">
        <v>0</v>
      </c>
      <c r="R307" s="16">
        <v>0</v>
      </c>
      <c r="S307" s="16">
        <v>0</v>
      </c>
      <c r="T307" s="16">
        <v>0</v>
      </c>
      <c r="U307" s="16">
        <v>0</v>
      </c>
      <c r="V307" s="16">
        <f>($J307*0.04)+($K307*4)+($L307*-2)+($N307*0.1)+($O307*6)+($Q307)+($R307*0.1)+($S307*6)+($T307*-2)</f>
        <v>0</v>
      </c>
      <c r="W307" s="16" t="e">
        <f>$P307/$H$33</f>
        <v>#DIV/0!</v>
      </c>
      <c r="X307" s="16" t="e">
        <f>$N307/$M307</f>
        <v>#DIV/0!</v>
      </c>
      <c r="Y307" s="16" t="e">
        <f>$R307/$Q307</f>
        <v>#DIV/0!</v>
      </c>
      <c r="Z307" s="16" t="e">
        <f>$I307/$H307</f>
        <v>#DIV/0!</v>
      </c>
      <c r="AA307" s="16" t="e">
        <f>$K307/$H307</f>
        <v>#DIV/0!</v>
      </c>
      <c r="AB307" s="16">
        <f>($J307*Cp_yd)+($K307*Cp_td)+($L307*Cint)+($M307*Ccar)+($N307*Cr_yd)+($O307*Cr_td)+(Q307*Crec)+($R307*Crec_yd)+($S307*Crec_td)+($T307*Cfmb)+($U307*Ctp_c)</f>
        <v>0</v>
      </c>
    </row>
    <row r="308" spans="1:28" x14ac:dyDescent="0.2">
      <c r="A308" s="15" t="s">
        <v>798</v>
      </c>
      <c r="B308" s="15" t="s">
        <v>43</v>
      </c>
      <c r="C308" s="15">
        <v>22</v>
      </c>
      <c r="D308" s="15">
        <v>0</v>
      </c>
      <c r="E308" s="15" t="s">
        <v>74</v>
      </c>
      <c r="F308" s="15" t="s">
        <v>756</v>
      </c>
      <c r="G308" s="15">
        <v>0</v>
      </c>
      <c r="H308" s="15">
        <v>0</v>
      </c>
      <c r="I308" s="15">
        <v>0</v>
      </c>
      <c r="J308" s="15">
        <v>0</v>
      </c>
      <c r="K308" s="15">
        <v>0</v>
      </c>
      <c r="L308" s="15">
        <v>0</v>
      </c>
      <c r="M308" s="15">
        <v>0</v>
      </c>
      <c r="N308" s="15">
        <v>0</v>
      </c>
      <c r="O308" s="15">
        <v>0</v>
      </c>
      <c r="P308" s="15">
        <v>0</v>
      </c>
      <c r="Q308" s="15">
        <v>0</v>
      </c>
      <c r="R308" s="15">
        <v>0</v>
      </c>
      <c r="S308" s="15">
        <v>0</v>
      </c>
      <c r="T308" s="15">
        <v>0</v>
      </c>
      <c r="U308" s="15">
        <v>0</v>
      </c>
      <c r="V308" s="15">
        <f>($J308*0.04)+($K308*4)+($L308*-2)+($N308*0.1)+($O308*6)+($Q308)+($R308*0.1)+($S308*6)+($T308*-2)</f>
        <v>0</v>
      </c>
      <c r="W308" s="15" t="e">
        <f>$P308/$H$33</f>
        <v>#DIV/0!</v>
      </c>
      <c r="X308" s="15" t="e">
        <f>$N308/$M308</f>
        <v>#DIV/0!</v>
      </c>
      <c r="Y308" s="15" t="e">
        <f>$R308/$Q308</f>
        <v>#DIV/0!</v>
      </c>
      <c r="Z308" s="15" t="e">
        <f>$I308/$H308</f>
        <v>#DIV/0!</v>
      </c>
      <c r="AA308" s="15" t="e">
        <f>$K308/$H308</f>
        <v>#DIV/0!</v>
      </c>
      <c r="AB308" s="15">
        <f>($J308*Cp_yd)+($K308*Cp_td)+($L308*Cint)+($M308*Ccar)+($N308*Cr_yd)+($O308*Cr_td)+(Q308*Crec)+($R308*Crec_yd)+($S308*Crec_td)+($T308*Cfmb)+($U308*Ctp_c)</f>
        <v>0</v>
      </c>
    </row>
    <row r="309" spans="1:28" x14ac:dyDescent="0.2">
      <c r="A309" s="16" t="s">
        <v>800</v>
      </c>
      <c r="B309" s="16" t="s">
        <v>38</v>
      </c>
      <c r="C309" s="16">
        <v>23</v>
      </c>
      <c r="D309" s="16">
        <v>3</v>
      </c>
      <c r="E309" s="16" t="s">
        <v>397</v>
      </c>
      <c r="F309" s="16" t="s">
        <v>756</v>
      </c>
      <c r="G309" s="16">
        <v>0</v>
      </c>
      <c r="H309" s="16">
        <v>0</v>
      </c>
      <c r="I309" s="16">
        <v>0</v>
      </c>
      <c r="J309" s="16">
        <v>0</v>
      </c>
      <c r="K309" s="16">
        <v>0</v>
      </c>
      <c r="L309" s="16">
        <v>0</v>
      </c>
      <c r="M309" s="16">
        <v>0</v>
      </c>
      <c r="N309" s="16">
        <v>0</v>
      </c>
      <c r="O309" s="16">
        <v>0</v>
      </c>
      <c r="P309" s="16">
        <v>0</v>
      </c>
      <c r="Q309" s="16">
        <v>0</v>
      </c>
      <c r="R309" s="16">
        <v>0</v>
      </c>
      <c r="S309" s="16">
        <v>0</v>
      </c>
      <c r="T309" s="16">
        <v>0</v>
      </c>
      <c r="U309" s="16">
        <v>0</v>
      </c>
      <c r="V309" s="16">
        <f>($J309*0.04)+($K309*4)+($L309*-2)+($N309*0.1)+($O309*6)+($Q309)+($R309*0.1)+($S309*6)+($T309*-2)</f>
        <v>0</v>
      </c>
      <c r="W309" s="16" t="e">
        <f>$P309/$H$33</f>
        <v>#DIV/0!</v>
      </c>
      <c r="X309" s="16" t="e">
        <f>$N309/$M309</f>
        <v>#DIV/0!</v>
      </c>
      <c r="Y309" s="16" t="e">
        <f>$R309/$Q309</f>
        <v>#DIV/0!</v>
      </c>
      <c r="Z309" s="16" t="e">
        <f>$I309/$H309</f>
        <v>#DIV/0!</v>
      </c>
      <c r="AA309" s="16" t="e">
        <f>$K309/$H309</f>
        <v>#DIV/0!</v>
      </c>
      <c r="AB309" s="16">
        <f>($J309*Cp_yd)+($K309*Cp_td)+($L309*Cint)+($M309*Ccar)+($N309*Cr_yd)+($O309*Cr_td)+(Q309*Crec)+($R309*Crec_yd)+($S309*Crec_td)+($T309*Cfmb)+($U309*Ctp_c)</f>
        <v>0</v>
      </c>
    </row>
    <row r="310" spans="1:28" x14ac:dyDescent="0.2">
      <c r="A310" s="15" t="s">
        <v>801</v>
      </c>
      <c r="B310" s="15" t="s">
        <v>38</v>
      </c>
      <c r="C310" s="15">
        <v>24</v>
      </c>
      <c r="D310" s="15">
        <v>2</v>
      </c>
      <c r="E310" s="15" t="s">
        <v>333</v>
      </c>
      <c r="F310" s="15" t="s">
        <v>756</v>
      </c>
      <c r="G310" s="15">
        <v>0</v>
      </c>
      <c r="H310" s="15">
        <v>0</v>
      </c>
      <c r="I310" s="15">
        <v>0</v>
      </c>
      <c r="J310" s="15">
        <v>0</v>
      </c>
      <c r="K310" s="15">
        <v>0</v>
      </c>
      <c r="L310" s="15">
        <v>0</v>
      </c>
      <c r="M310" s="15">
        <v>0</v>
      </c>
      <c r="N310" s="15">
        <v>0</v>
      </c>
      <c r="O310" s="15">
        <v>0</v>
      </c>
      <c r="P310" s="15">
        <v>0</v>
      </c>
      <c r="Q310" s="15">
        <v>0</v>
      </c>
      <c r="R310" s="15">
        <v>0</v>
      </c>
      <c r="S310" s="15">
        <v>0</v>
      </c>
      <c r="T310" s="15">
        <v>0</v>
      </c>
      <c r="U310" s="15">
        <v>0</v>
      </c>
      <c r="V310" s="15">
        <f>($J310*0.04)+($K310*4)+($L310*-2)+($N310*0.1)+($O310*6)+($Q310)+($R310*0.1)+($S310*6)+($T310*-2)</f>
        <v>0</v>
      </c>
      <c r="W310" s="15" t="e">
        <f>$P310/$H$33</f>
        <v>#DIV/0!</v>
      </c>
      <c r="X310" s="15" t="e">
        <f>$N310/$M310</f>
        <v>#DIV/0!</v>
      </c>
      <c r="Y310" s="15" t="e">
        <f>$R310/$Q310</f>
        <v>#DIV/0!</v>
      </c>
      <c r="Z310" s="15" t="e">
        <f>$I310/$H310</f>
        <v>#DIV/0!</v>
      </c>
      <c r="AA310" s="15" t="e">
        <f>$K310/$H310</f>
        <v>#DIV/0!</v>
      </c>
      <c r="AB310" s="15">
        <f>($J310*Cp_yd)+($K310*Cp_td)+($L310*Cint)+($M310*Ccar)+($N310*Cr_yd)+($O310*Cr_td)+(Q310*Crec)+($R310*Crec_yd)+($S310*Crec_td)+($T310*Cfmb)+($U310*Ctp_c)</f>
        <v>0</v>
      </c>
    </row>
    <row r="311" spans="1:28" x14ac:dyDescent="0.2">
      <c r="A311" s="16" t="s">
        <v>802</v>
      </c>
      <c r="B311" s="16" t="s">
        <v>38</v>
      </c>
      <c r="C311" s="16">
        <v>23</v>
      </c>
      <c r="D311" s="16">
        <v>0</v>
      </c>
      <c r="E311" s="16" t="s">
        <v>803</v>
      </c>
      <c r="F311" s="16" t="s">
        <v>756</v>
      </c>
      <c r="G311" s="16">
        <v>0</v>
      </c>
      <c r="H311" s="16">
        <v>0</v>
      </c>
      <c r="I311" s="16">
        <v>0</v>
      </c>
      <c r="J311" s="16">
        <v>0</v>
      </c>
      <c r="K311" s="16">
        <v>0</v>
      </c>
      <c r="L311" s="16">
        <v>0</v>
      </c>
      <c r="M311" s="16">
        <v>0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0</v>
      </c>
      <c r="T311" s="16">
        <v>0</v>
      </c>
      <c r="U311" s="16">
        <v>0</v>
      </c>
      <c r="V311" s="16">
        <f>($J311*0.04)+($K311*4)+($L311*-2)+($N311*0.1)+($O311*6)+($Q311)+($R311*0.1)+($S311*6)+($T311*-2)</f>
        <v>0</v>
      </c>
      <c r="W311" s="16" t="e">
        <f>$P311/$H$33</f>
        <v>#DIV/0!</v>
      </c>
      <c r="X311" s="16" t="e">
        <f>$N311/$M311</f>
        <v>#DIV/0!</v>
      </c>
      <c r="Y311" s="16" t="e">
        <f>$R311/$Q311</f>
        <v>#DIV/0!</v>
      </c>
      <c r="Z311" s="16" t="e">
        <f>$I311/$H311</f>
        <v>#DIV/0!</v>
      </c>
      <c r="AA311" s="16" t="e">
        <f>$K311/$H311</f>
        <v>#DIV/0!</v>
      </c>
      <c r="AB311" s="16">
        <f>($J311*Cp_yd)+($K311*Cp_td)+($L311*Cint)+($M311*Ccar)+($N311*Cr_yd)+($O311*Cr_td)+(Q311*Crec)+($R311*Crec_yd)+($S311*Crec_td)+($T311*Cfmb)+($U311*Ctp_c)</f>
        <v>0</v>
      </c>
    </row>
    <row r="312" spans="1:28" x14ac:dyDescent="0.2">
      <c r="A312" s="15" t="s">
        <v>804</v>
      </c>
      <c r="B312" s="15" t="s">
        <v>38</v>
      </c>
      <c r="C312" s="15">
        <v>23</v>
      </c>
      <c r="D312" s="15">
        <v>2</v>
      </c>
      <c r="E312" s="15" t="s">
        <v>111</v>
      </c>
      <c r="F312" s="15" t="s">
        <v>756</v>
      </c>
      <c r="G312" s="15">
        <v>0</v>
      </c>
      <c r="H312" s="15">
        <v>0</v>
      </c>
      <c r="I312" s="15">
        <v>0</v>
      </c>
      <c r="J312" s="15">
        <v>0</v>
      </c>
      <c r="K312" s="15">
        <v>0</v>
      </c>
      <c r="L312" s="15">
        <v>0</v>
      </c>
      <c r="M312" s="15">
        <v>0</v>
      </c>
      <c r="N312" s="15">
        <v>0</v>
      </c>
      <c r="O312" s="15">
        <v>0</v>
      </c>
      <c r="P312" s="15">
        <v>0</v>
      </c>
      <c r="Q312" s="15">
        <v>0</v>
      </c>
      <c r="R312" s="15">
        <v>0</v>
      </c>
      <c r="S312" s="15">
        <v>0</v>
      </c>
      <c r="T312" s="15">
        <v>0</v>
      </c>
      <c r="U312" s="15">
        <v>0</v>
      </c>
      <c r="V312" s="15">
        <f>($J312*0.04)+($K312*4)+($L312*-2)+($N312*0.1)+($O312*6)+($Q312)+($R312*0.1)+($S312*6)+($T312*-2)</f>
        <v>0</v>
      </c>
      <c r="W312" s="15" t="e">
        <f>$P312/$H$33</f>
        <v>#DIV/0!</v>
      </c>
      <c r="X312" s="15" t="e">
        <f>$N312/$M312</f>
        <v>#DIV/0!</v>
      </c>
      <c r="Y312" s="15" t="e">
        <f>$R312/$Q312</f>
        <v>#DIV/0!</v>
      </c>
      <c r="Z312" s="15" t="e">
        <f>$I312/$H312</f>
        <v>#DIV/0!</v>
      </c>
      <c r="AA312" s="15" t="e">
        <f>$K312/$H312</f>
        <v>#DIV/0!</v>
      </c>
      <c r="AB312" s="15">
        <f>($J312*Cp_yd)+($K312*Cp_td)+($L312*Cint)+($M312*Ccar)+($N312*Cr_yd)+($O312*Cr_td)+(Q312*Crec)+($R312*Crec_yd)+($S312*Crec_td)+($T312*Cfmb)+($U312*Ctp_c)</f>
        <v>0</v>
      </c>
    </row>
    <row r="313" spans="1:28" x14ac:dyDescent="0.2">
      <c r="A313" s="16" t="s">
        <v>805</v>
      </c>
      <c r="B313" s="16" t="s">
        <v>38</v>
      </c>
      <c r="C313" s="16">
        <v>29</v>
      </c>
      <c r="D313" s="16">
        <v>4</v>
      </c>
      <c r="E313" s="16" t="s">
        <v>806</v>
      </c>
      <c r="F313" s="16" t="s">
        <v>756</v>
      </c>
      <c r="G313" s="16">
        <v>0</v>
      </c>
      <c r="H313" s="16">
        <v>0</v>
      </c>
      <c r="I313" s="16">
        <v>0</v>
      </c>
      <c r="J313" s="16">
        <v>0</v>
      </c>
      <c r="K313" s="16">
        <v>0</v>
      </c>
      <c r="L313" s="16">
        <v>0</v>
      </c>
      <c r="M313" s="16">
        <v>0</v>
      </c>
      <c r="N313" s="16">
        <v>0</v>
      </c>
      <c r="O313" s="16">
        <v>0</v>
      </c>
      <c r="P313" s="16">
        <v>0</v>
      </c>
      <c r="Q313" s="16">
        <v>0</v>
      </c>
      <c r="R313" s="16">
        <v>0</v>
      </c>
      <c r="S313" s="16">
        <v>0</v>
      </c>
      <c r="T313" s="16">
        <v>0</v>
      </c>
      <c r="U313" s="16">
        <v>0</v>
      </c>
      <c r="V313" s="16">
        <f>($J313*0.04)+($K313*4)+($L313*-2)+($N313*0.1)+($O313*6)+($Q313)+($R313*0.1)+($S313*6)+($T313*-2)</f>
        <v>0</v>
      </c>
      <c r="W313" s="16" t="e">
        <f>$P313/$H$33</f>
        <v>#DIV/0!</v>
      </c>
      <c r="X313" s="16" t="e">
        <f>$N313/$M313</f>
        <v>#DIV/0!</v>
      </c>
      <c r="Y313" s="16" t="e">
        <f>$R313/$Q313</f>
        <v>#DIV/0!</v>
      </c>
      <c r="Z313" s="16" t="e">
        <f>$I313/$H313</f>
        <v>#DIV/0!</v>
      </c>
      <c r="AA313" s="16" t="e">
        <f>$K313/$H313</f>
        <v>#DIV/0!</v>
      </c>
      <c r="AB313" s="16">
        <f>($J313*Cp_yd)+($K313*Cp_td)+($L313*Cint)+($M313*Ccar)+($N313*Cr_yd)+($O313*Cr_td)+(Q313*Crec)+($R313*Crec_yd)+($S313*Crec_td)+($T313*Cfmb)+($U313*Ctp_c)</f>
        <v>0</v>
      </c>
    </row>
    <row r="314" spans="1:28" x14ac:dyDescent="0.2">
      <c r="A314" s="15" t="s">
        <v>807</v>
      </c>
      <c r="B314" s="15" t="s">
        <v>38</v>
      </c>
      <c r="C314" s="15">
        <v>27</v>
      </c>
      <c r="D314" s="15">
        <v>6</v>
      </c>
      <c r="E314" s="15" t="s">
        <v>102</v>
      </c>
      <c r="F314" s="15" t="s">
        <v>756</v>
      </c>
      <c r="G314" s="15">
        <v>0</v>
      </c>
      <c r="H314" s="15">
        <v>0</v>
      </c>
      <c r="I314" s="15">
        <v>0</v>
      </c>
      <c r="J314" s="15">
        <v>0</v>
      </c>
      <c r="K314" s="15">
        <v>0</v>
      </c>
      <c r="L314" s="15">
        <v>0</v>
      </c>
      <c r="M314" s="15">
        <v>0</v>
      </c>
      <c r="N314" s="15">
        <v>0</v>
      </c>
      <c r="O314" s="15">
        <v>0</v>
      </c>
      <c r="P314" s="15">
        <v>0</v>
      </c>
      <c r="Q314" s="15">
        <v>0</v>
      </c>
      <c r="R314" s="15">
        <v>0</v>
      </c>
      <c r="S314" s="15">
        <v>0</v>
      </c>
      <c r="T314" s="15">
        <v>0</v>
      </c>
      <c r="U314" s="15">
        <v>0</v>
      </c>
      <c r="V314" s="15">
        <f>($J314*0.04)+($K314*4)+($L314*-2)+($N314*0.1)+($O314*6)+($Q314)+($R314*0.1)+($S314*6)+($T314*-2)</f>
        <v>0</v>
      </c>
      <c r="W314" s="15" t="e">
        <f>$P314/$H$33</f>
        <v>#DIV/0!</v>
      </c>
      <c r="X314" s="15" t="e">
        <f>$N314/$M314</f>
        <v>#DIV/0!</v>
      </c>
      <c r="Y314" s="15" t="e">
        <f>$R314/$Q314</f>
        <v>#DIV/0!</v>
      </c>
      <c r="Z314" s="15" t="e">
        <f>$I314/$H314</f>
        <v>#DIV/0!</v>
      </c>
      <c r="AA314" s="15" t="e">
        <f>$K314/$H314</f>
        <v>#DIV/0!</v>
      </c>
      <c r="AB314" s="15">
        <f>($J314*Cp_yd)+($K314*Cp_td)+($L314*Cint)+($M314*Ccar)+($N314*Cr_yd)+($O314*Cr_td)+(Q314*Crec)+($R314*Crec_yd)+($S314*Crec_td)+($T314*Cfmb)+($U314*Ctp_c)</f>
        <v>0</v>
      </c>
    </row>
    <row r="315" spans="1:28" x14ac:dyDescent="0.2">
      <c r="A315" s="16" t="s">
        <v>808</v>
      </c>
      <c r="B315" s="16" t="s">
        <v>38</v>
      </c>
      <c r="C315" s="16">
        <v>31</v>
      </c>
      <c r="D315" s="16">
        <v>8</v>
      </c>
      <c r="E315" s="16" t="s">
        <v>726</v>
      </c>
      <c r="F315" s="16" t="s">
        <v>756</v>
      </c>
      <c r="G315" s="16">
        <v>0</v>
      </c>
      <c r="H315" s="16">
        <v>0</v>
      </c>
      <c r="I315" s="16">
        <v>0</v>
      </c>
      <c r="J315" s="16">
        <v>0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f>($J315*0.04)+($K315*4)+($L315*-2)+($N315*0.1)+($O315*6)+($Q315)+($R315*0.1)+($S315*6)+($T315*-2)</f>
        <v>0</v>
      </c>
      <c r="W315" s="16" t="e">
        <f>$P315/$H$33</f>
        <v>#DIV/0!</v>
      </c>
      <c r="X315" s="16" t="e">
        <f>$N315/$M315</f>
        <v>#DIV/0!</v>
      </c>
      <c r="Y315" s="16" t="e">
        <f>$R315/$Q315</f>
        <v>#DIV/0!</v>
      </c>
      <c r="Z315" s="16" t="e">
        <f>$I315/$H315</f>
        <v>#DIV/0!</v>
      </c>
      <c r="AA315" s="16" t="e">
        <f>$K315/$H315</f>
        <v>#DIV/0!</v>
      </c>
      <c r="AB315" s="16">
        <f>($J315*Cp_yd)+($K315*Cp_td)+($L315*Cint)+($M315*Ccar)+($N315*Cr_yd)+($O315*Cr_td)+(Q315*Crec)+($R315*Crec_yd)+($S315*Crec_td)+($T315*Cfmb)+($U315*Ctp_c)</f>
        <v>0</v>
      </c>
    </row>
    <row r="316" spans="1:28" x14ac:dyDescent="0.2">
      <c r="A316" s="15" t="s">
        <v>827</v>
      </c>
      <c r="B316" s="15" t="s">
        <v>26</v>
      </c>
      <c r="C316" s="15">
        <v>24</v>
      </c>
      <c r="D316" s="15">
        <v>3</v>
      </c>
      <c r="E316" s="15" t="s">
        <v>66</v>
      </c>
      <c r="F316" s="15" t="s">
        <v>811</v>
      </c>
      <c r="G316" s="15">
        <v>0</v>
      </c>
      <c r="H316" s="15">
        <v>0</v>
      </c>
      <c r="I316" s="15">
        <v>0</v>
      </c>
      <c r="J316" s="15">
        <v>0</v>
      </c>
      <c r="K316" s="15">
        <v>0</v>
      </c>
      <c r="L316" s="15">
        <v>0</v>
      </c>
      <c r="M316" s="15">
        <v>0</v>
      </c>
      <c r="N316" s="15">
        <v>0</v>
      </c>
      <c r="O316" s="15">
        <v>0</v>
      </c>
      <c r="P316" s="15">
        <v>0</v>
      </c>
      <c r="Q316" s="15">
        <v>0</v>
      </c>
      <c r="R316" s="15">
        <v>0</v>
      </c>
      <c r="S316" s="15">
        <v>0</v>
      </c>
      <c r="T316" s="15">
        <v>0</v>
      </c>
      <c r="U316" s="15">
        <v>0</v>
      </c>
      <c r="V316" s="15">
        <f>($J316*0.04)+($K316*4)+($L316*-2)+($N316*0.1)+($O316*6)+($Q316)+($R316*0.1)+($S316*6)+($T316*-2)</f>
        <v>0</v>
      </c>
      <c r="W316" s="15" t="e">
        <f>$P316/$H$33</f>
        <v>#DIV/0!</v>
      </c>
      <c r="X316" s="15" t="e">
        <f>$N316/$M316</f>
        <v>#DIV/0!</v>
      </c>
      <c r="Y316" s="15" t="e">
        <f>$R316/$Q316</f>
        <v>#DIV/0!</v>
      </c>
      <c r="Z316" s="15" t="e">
        <f>$I316/$H316</f>
        <v>#DIV/0!</v>
      </c>
      <c r="AA316" s="15" t="e">
        <f>$K316/$H316</f>
        <v>#DIV/0!</v>
      </c>
      <c r="AB316" s="15">
        <f>($J316*Cp_yd)+($K316*Cp_td)+($L316*Cint)+($M316*Ccar)+($N316*Cr_yd)+($O316*Cr_td)+(Q316*Crec)+($R316*Crec_yd)+($S316*Crec_td)+($T316*Cfmb)+($U316*Ctp_c)</f>
        <v>0</v>
      </c>
    </row>
    <row r="317" spans="1:28" x14ac:dyDescent="0.2">
      <c r="A317" s="16" t="s">
        <v>828</v>
      </c>
      <c r="B317" s="16" t="s">
        <v>26</v>
      </c>
      <c r="C317" s="16">
        <v>27</v>
      </c>
      <c r="D317" s="16">
        <v>5</v>
      </c>
      <c r="E317" s="16" t="s">
        <v>294</v>
      </c>
      <c r="F317" s="16" t="s">
        <v>811</v>
      </c>
      <c r="G317" s="16">
        <v>0</v>
      </c>
      <c r="H317" s="16">
        <v>0</v>
      </c>
      <c r="I317" s="16">
        <v>0</v>
      </c>
      <c r="J317" s="16">
        <v>0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0</v>
      </c>
      <c r="U317" s="16">
        <v>0</v>
      </c>
      <c r="V317" s="16">
        <f>($J317*0.04)+($K317*4)+($L317*-2)+($N317*0.1)+($O317*6)+($Q317)+($R317*0.1)+($S317*6)+($T317*-2)</f>
        <v>0</v>
      </c>
      <c r="W317" s="16" t="e">
        <f>$P317/$H$33</f>
        <v>#DIV/0!</v>
      </c>
      <c r="X317" s="16" t="e">
        <f>$N317/$M317</f>
        <v>#DIV/0!</v>
      </c>
      <c r="Y317" s="16" t="e">
        <f>$R317/$Q317</f>
        <v>#DIV/0!</v>
      </c>
      <c r="Z317" s="16" t="e">
        <f>$I317/$H317</f>
        <v>#DIV/0!</v>
      </c>
      <c r="AA317" s="16" t="e">
        <f>$K317/$H317</f>
        <v>#DIV/0!</v>
      </c>
      <c r="AB317" s="16">
        <f>($J317*Cp_yd)+($K317*Cp_td)+($L317*Cint)+($M317*Ccar)+($N317*Cr_yd)+($O317*Cr_td)+(Q317*Crec)+($R317*Crec_yd)+($S317*Crec_td)+($T317*Cfmb)+($U317*Ctp_c)</f>
        <v>0</v>
      </c>
    </row>
    <row r="318" spans="1:28" x14ac:dyDescent="0.2">
      <c r="A318" s="15" t="s">
        <v>830</v>
      </c>
      <c r="B318" s="15" t="s">
        <v>31</v>
      </c>
      <c r="C318" s="15">
        <v>29</v>
      </c>
      <c r="D318" s="15">
        <v>8</v>
      </c>
      <c r="E318" s="15" t="s">
        <v>153</v>
      </c>
      <c r="F318" s="15" t="s">
        <v>811</v>
      </c>
      <c r="G318" s="15">
        <v>0</v>
      </c>
      <c r="H318" s="15">
        <v>0</v>
      </c>
      <c r="I318" s="15">
        <v>0</v>
      </c>
      <c r="J318" s="15">
        <v>0</v>
      </c>
      <c r="K318" s="15">
        <v>0</v>
      </c>
      <c r="L318" s="15">
        <v>0</v>
      </c>
      <c r="M318" s="15">
        <v>0</v>
      </c>
      <c r="N318" s="15">
        <v>0</v>
      </c>
      <c r="O318" s="15">
        <v>0</v>
      </c>
      <c r="P318" s="15">
        <v>0</v>
      </c>
      <c r="Q318" s="15">
        <v>0</v>
      </c>
      <c r="R318" s="15">
        <v>0</v>
      </c>
      <c r="S318" s="15">
        <v>0</v>
      </c>
      <c r="T318" s="15">
        <v>0</v>
      </c>
      <c r="U318" s="15">
        <v>0</v>
      </c>
      <c r="V318" s="15">
        <f>($J318*0.04)+($K318*4)+($L318*-2)+($N318*0.1)+($O318*6)+($Q318)+($R318*0.1)+($S318*6)+($T318*-2)</f>
        <v>0</v>
      </c>
      <c r="W318" s="15" t="e">
        <f>$P318/$H$33</f>
        <v>#DIV/0!</v>
      </c>
      <c r="X318" s="15" t="e">
        <f>$N318/$M318</f>
        <v>#DIV/0!</v>
      </c>
      <c r="Y318" s="15" t="e">
        <f>$R318/$Q318</f>
        <v>#DIV/0!</v>
      </c>
      <c r="Z318" s="15" t="e">
        <f>$I318/$H318</f>
        <v>#DIV/0!</v>
      </c>
      <c r="AA318" s="15" t="e">
        <f>$K318/$H318</f>
        <v>#DIV/0!</v>
      </c>
      <c r="AB318" s="15">
        <f>($J318*Cp_yd)+($K318*Cp_td)+($L318*Cint)+($M318*Ccar)+($N318*Cr_yd)+($O318*Cr_td)+(Q318*Crec)+($R318*Crec_yd)+($S318*Crec_td)+($T318*Cfmb)+($U318*Ctp_c)</f>
        <v>0</v>
      </c>
    </row>
    <row r="319" spans="1:28" x14ac:dyDescent="0.2">
      <c r="A319" s="16" t="s">
        <v>831</v>
      </c>
      <c r="B319" s="16" t="s">
        <v>31</v>
      </c>
      <c r="C319" s="16">
        <v>25</v>
      </c>
      <c r="D319" s="16">
        <v>3</v>
      </c>
      <c r="E319" s="16" t="s">
        <v>232</v>
      </c>
      <c r="F319" s="16" t="s">
        <v>811</v>
      </c>
      <c r="G319" s="16">
        <v>0</v>
      </c>
      <c r="H319" s="16">
        <v>0</v>
      </c>
      <c r="I319" s="16">
        <v>0</v>
      </c>
      <c r="J319" s="16">
        <v>0</v>
      </c>
      <c r="K319" s="16">
        <v>0</v>
      </c>
      <c r="L319" s="16">
        <v>0</v>
      </c>
      <c r="M319" s="16">
        <v>0</v>
      </c>
      <c r="N319" s="16">
        <v>0</v>
      </c>
      <c r="O319" s="16">
        <v>0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f>($J319*0.04)+($K319*4)+($L319*-2)+($N319*0.1)+($O319*6)+($Q319)+($R319*0.1)+($S319*6)+($T319*-2)</f>
        <v>0</v>
      </c>
      <c r="W319" s="16" t="e">
        <f>$P319/$H$33</f>
        <v>#DIV/0!</v>
      </c>
      <c r="X319" s="16" t="e">
        <f>$N319/$M319</f>
        <v>#DIV/0!</v>
      </c>
      <c r="Y319" s="16" t="e">
        <f>$R319/$Q319</f>
        <v>#DIV/0!</v>
      </c>
      <c r="Z319" s="16" t="e">
        <f>$I319/$H319</f>
        <v>#DIV/0!</v>
      </c>
      <c r="AA319" s="16" t="e">
        <f>$K319/$H319</f>
        <v>#DIV/0!</v>
      </c>
      <c r="AB319" s="16">
        <f>($J319*Cp_yd)+($K319*Cp_td)+($L319*Cint)+($M319*Ccar)+($N319*Cr_yd)+($O319*Cr_td)+(Q319*Crec)+($R319*Crec_yd)+($S319*Crec_td)+($T319*Cfmb)+($U319*Ctp_c)</f>
        <v>0</v>
      </c>
    </row>
    <row r="320" spans="1:28" x14ac:dyDescent="0.2">
      <c r="A320" s="15" t="s">
        <v>832</v>
      </c>
      <c r="B320" s="15" t="s">
        <v>31</v>
      </c>
      <c r="C320" s="15">
        <v>22</v>
      </c>
      <c r="D320" s="15">
        <v>0</v>
      </c>
      <c r="E320" s="15" t="s">
        <v>141</v>
      </c>
      <c r="F320" s="15" t="s">
        <v>811</v>
      </c>
      <c r="G320" s="15">
        <v>0</v>
      </c>
      <c r="H320" s="15">
        <v>0</v>
      </c>
      <c r="I320" s="15">
        <v>0</v>
      </c>
      <c r="J320" s="15">
        <v>0</v>
      </c>
      <c r="K320" s="15">
        <v>0</v>
      </c>
      <c r="L320" s="15">
        <v>0</v>
      </c>
      <c r="M320" s="15">
        <v>0</v>
      </c>
      <c r="N320" s="15">
        <v>0</v>
      </c>
      <c r="O320" s="15">
        <v>0</v>
      </c>
      <c r="P320" s="15">
        <v>0</v>
      </c>
      <c r="Q320" s="15">
        <v>0</v>
      </c>
      <c r="R320" s="15">
        <v>0</v>
      </c>
      <c r="S320" s="15">
        <v>0</v>
      </c>
      <c r="T320" s="15">
        <v>0</v>
      </c>
      <c r="U320" s="15">
        <v>0</v>
      </c>
      <c r="V320" s="15">
        <f>($J320*0.04)+($K320*4)+($L320*-2)+($N320*0.1)+($O320*6)+($Q320)+($R320*0.1)+($S320*6)+($T320*-2)</f>
        <v>0</v>
      </c>
      <c r="W320" s="15" t="e">
        <f>$P320/$H$33</f>
        <v>#DIV/0!</v>
      </c>
      <c r="X320" s="15" t="e">
        <f>$N320/$M320</f>
        <v>#DIV/0!</v>
      </c>
      <c r="Y320" s="15" t="e">
        <f>$R320/$Q320</f>
        <v>#DIV/0!</v>
      </c>
      <c r="Z320" s="15" t="e">
        <f>$I320/$H320</f>
        <v>#DIV/0!</v>
      </c>
      <c r="AA320" s="15" t="e">
        <f>$K320/$H320</f>
        <v>#DIV/0!</v>
      </c>
      <c r="AB320" s="15">
        <f>($J320*Cp_yd)+($K320*Cp_td)+($L320*Cint)+($M320*Ccar)+($N320*Cr_yd)+($O320*Cr_td)+(Q320*Crec)+($R320*Crec_yd)+($S320*Crec_td)+($T320*Cfmb)+($U320*Ctp_c)</f>
        <v>0</v>
      </c>
    </row>
    <row r="321" spans="1:28" x14ac:dyDescent="0.2">
      <c r="A321" s="16" t="s">
        <v>833</v>
      </c>
      <c r="B321" s="16" t="s">
        <v>31</v>
      </c>
      <c r="C321" s="16">
        <v>25</v>
      </c>
      <c r="D321" s="16">
        <v>2</v>
      </c>
      <c r="E321" s="16" t="s">
        <v>834</v>
      </c>
      <c r="F321" s="16" t="s">
        <v>811</v>
      </c>
      <c r="G321" s="16">
        <v>0</v>
      </c>
      <c r="H321" s="16">
        <v>0</v>
      </c>
      <c r="I321" s="16">
        <v>0</v>
      </c>
      <c r="J321" s="16">
        <v>0</v>
      </c>
      <c r="K321" s="16">
        <v>0</v>
      </c>
      <c r="L321" s="16">
        <v>0</v>
      </c>
      <c r="M321" s="16">
        <v>0</v>
      </c>
      <c r="N321" s="16">
        <v>0</v>
      </c>
      <c r="O321" s="16">
        <v>0</v>
      </c>
      <c r="P321" s="16">
        <v>0</v>
      </c>
      <c r="Q321" s="16">
        <v>0</v>
      </c>
      <c r="R321" s="16">
        <v>0</v>
      </c>
      <c r="S321" s="16">
        <v>0</v>
      </c>
      <c r="T321" s="16">
        <v>0</v>
      </c>
      <c r="U321" s="16">
        <v>0</v>
      </c>
      <c r="V321" s="16">
        <f>($J321*0.04)+($K321*4)+($L321*-2)+($N321*0.1)+($O321*6)+($Q321)+($R321*0.1)+($S321*6)+($T321*-2)</f>
        <v>0</v>
      </c>
      <c r="W321" s="16" t="e">
        <f>$P321/$H$33</f>
        <v>#DIV/0!</v>
      </c>
      <c r="X321" s="16" t="e">
        <f>$N321/$M321</f>
        <v>#DIV/0!</v>
      </c>
      <c r="Y321" s="16" t="e">
        <f>$R321/$Q321</f>
        <v>#DIV/0!</v>
      </c>
      <c r="Z321" s="16" t="e">
        <f>$I321/$H321</f>
        <v>#DIV/0!</v>
      </c>
      <c r="AA321" s="16" t="e">
        <f>$K321/$H321</f>
        <v>#DIV/0!</v>
      </c>
      <c r="AB321" s="16">
        <f>($J321*Cp_yd)+($K321*Cp_td)+($L321*Cint)+($M321*Ccar)+($N321*Cr_yd)+($O321*Cr_td)+(Q321*Crec)+($R321*Crec_yd)+($S321*Crec_td)+($T321*Cfmb)+($U321*Ctp_c)</f>
        <v>0</v>
      </c>
    </row>
    <row r="322" spans="1:28" x14ac:dyDescent="0.2">
      <c r="A322" s="15" t="s">
        <v>835</v>
      </c>
      <c r="B322" s="15" t="s">
        <v>31</v>
      </c>
      <c r="C322" s="15">
        <v>24</v>
      </c>
      <c r="D322" s="15">
        <v>3</v>
      </c>
      <c r="E322" s="15" t="s">
        <v>697</v>
      </c>
      <c r="F322" s="15" t="s">
        <v>811</v>
      </c>
      <c r="G322" s="15">
        <v>0</v>
      </c>
      <c r="H322" s="15">
        <v>0</v>
      </c>
      <c r="I322" s="15">
        <v>0</v>
      </c>
      <c r="J322" s="15">
        <v>0</v>
      </c>
      <c r="K322" s="15">
        <v>0</v>
      </c>
      <c r="L322" s="15">
        <v>0</v>
      </c>
      <c r="M322" s="15">
        <v>0</v>
      </c>
      <c r="N322" s="15">
        <v>0</v>
      </c>
      <c r="O322" s="15">
        <v>0</v>
      </c>
      <c r="P322" s="15">
        <v>0</v>
      </c>
      <c r="Q322" s="15">
        <v>0</v>
      </c>
      <c r="R322" s="15">
        <v>0</v>
      </c>
      <c r="S322" s="15">
        <v>0</v>
      </c>
      <c r="T322" s="15">
        <v>0</v>
      </c>
      <c r="U322" s="15">
        <v>0</v>
      </c>
      <c r="V322" s="15">
        <f>($J322*0.04)+($K322*4)+($L322*-2)+($N322*0.1)+($O322*6)+($Q322)+($R322*0.1)+($S322*6)+($T322*-2)</f>
        <v>0</v>
      </c>
      <c r="W322" s="15" t="e">
        <f>$P322/$H$33</f>
        <v>#DIV/0!</v>
      </c>
      <c r="X322" s="15" t="e">
        <f>$N322/$M322</f>
        <v>#DIV/0!</v>
      </c>
      <c r="Y322" s="15" t="e">
        <f>$R322/$Q322</f>
        <v>#DIV/0!</v>
      </c>
      <c r="Z322" s="15" t="e">
        <f>$I322/$H322</f>
        <v>#DIV/0!</v>
      </c>
      <c r="AA322" s="15" t="e">
        <f>$K322/$H322</f>
        <v>#DIV/0!</v>
      </c>
      <c r="AB322" s="15">
        <f>($J322*Cp_yd)+($K322*Cp_td)+($L322*Cint)+($M322*Ccar)+($N322*Cr_yd)+($O322*Cr_td)+(Q322*Crec)+($R322*Crec_yd)+($S322*Crec_td)+($T322*Cfmb)+($U322*Ctp_c)</f>
        <v>0</v>
      </c>
    </row>
    <row r="323" spans="1:28" x14ac:dyDescent="0.2">
      <c r="A323" s="16" t="s">
        <v>836</v>
      </c>
      <c r="B323" s="16" t="s">
        <v>31</v>
      </c>
      <c r="C323" s="16">
        <v>25</v>
      </c>
      <c r="D323" s="16">
        <v>4</v>
      </c>
      <c r="E323" s="16" t="s">
        <v>207</v>
      </c>
      <c r="F323" s="16" t="s">
        <v>811</v>
      </c>
      <c r="G323" s="16">
        <v>0</v>
      </c>
      <c r="H323" s="16">
        <v>0</v>
      </c>
      <c r="I323" s="16">
        <v>0</v>
      </c>
      <c r="J323" s="16">
        <v>0</v>
      </c>
      <c r="K323" s="16">
        <v>0</v>
      </c>
      <c r="L323" s="16">
        <v>0</v>
      </c>
      <c r="M323" s="16">
        <v>0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 s="16">
        <v>0</v>
      </c>
      <c r="V323" s="16">
        <f>($J323*0.04)+($K323*4)+($L323*-2)+($N323*0.1)+($O323*6)+($Q323)+($R323*0.1)+($S323*6)+($T323*-2)</f>
        <v>0</v>
      </c>
      <c r="W323" s="16" t="e">
        <f>$P323/$H$33</f>
        <v>#DIV/0!</v>
      </c>
      <c r="X323" s="16" t="e">
        <f>$N323/$M323</f>
        <v>#DIV/0!</v>
      </c>
      <c r="Y323" s="16" t="e">
        <f>$R323/$Q323</f>
        <v>#DIV/0!</v>
      </c>
      <c r="Z323" s="16" t="e">
        <f>$I323/$H323</f>
        <v>#DIV/0!</v>
      </c>
      <c r="AA323" s="16" t="e">
        <f>$K323/$H323</f>
        <v>#DIV/0!</v>
      </c>
      <c r="AB323" s="16">
        <f>($J323*Cp_yd)+($K323*Cp_td)+($L323*Cint)+($M323*Ccar)+($N323*Cr_yd)+($O323*Cr_td)+(Q323*Crec)+($R323*Crec_yd)+($S323*Crec_td)+($T323*Cfmb)+($U323*Ctp_c)</f>
        <v>0</v>
      </c>
    </row>
    <row r="324" spans="1:28" x14ac:dyDescent="0.2">
      <c r="A324" s="15" t="s">
        <v>838</v>
      </c>
      <c r="B324" s="15" t="s">
        <v>43</v>
      </c>
      <c r="C324" s="15"/>
      <c r="D324" s="15">
        <v>0</v>
      </c>
      <c r="E324" s="15" t="s">
        <v>839</v>
      </c>
      <c r="F324" s="15" t="s">
        <v>811</v>
      </c>
      <c r="G324" s="15">
        <v>0</v>
      </c>
      <c r="H324" s="15">
        <v>0</v>
      </c>
      <c r="I324" s="15">
        <v>0</v>
      </c>
      <c r="J324" s="15">
        <v>0</v>
      </c>
      <c r="K324" s="15">
        <v>0</v>
      </c>
      <c r="L324" s="15">
        <v>0</v>
      </c>
      <c r="M324" s="15">
        <v>0</v>
      </c>
      <c r="N324" s="15">
        <v>0</v>
      </c>
      <c r="O324" s="15">
        <v>0</v>
      </c>
      <c r="P324" s="15">
        <v>0</v>
      </c>
      <c r="Q324" s="15">
        <v>0</v>
      </c>
      <c r="R324" s="15">
        <v>0</v>
      </c>
      <c r="S324" s="15">
        <v>0</v>
      </c>
      <c r="T324" s="15">
        <v>0</v>
      </c>
      <c r="U324" s="15">
        <v>0</v>
      </c>
      <c r="V324" s="15">
        <f>($J324*0.04)+($K324*4)+($L324*-2)+($N324*0.1)+($O324*6)+($Q324)+($R324*0.1)+($S324*6)+($T324*-2)</f>
        <v>0</v>
      </c>
      <c r="W324" s="15" t="e">
        <f>$P324/$H$33</f>
        <v>#DIV/0!</v>
      </c>
      <c r="X324" s="15" t="e">
        <f>$N324/$M324</f>
        <v>#DIV/0!</v>
      </c>
      <c r="Y324" s="15" t="e">
        <f>$R324/$Q324</f>
        <v>#DIV/0!</v>
      </c>
      <c r="Z324" s="15" t="e">
        <f>$I324/$H324</f>
        <v>#DIV/0!</v>
      </c>
      <c r="AA324" s="15" t="e">
        <f>$K324/$H324</f>
        <v>#DIV/0!</v>
      </c>
      <c r="AB324" s="15">
        <f>($J324*Cp_yd)+($K324*Cp_td)+($L324*Cint)+($M324*Ccar)+($N324*Cr_yd)+($O324*Cr_td)+(Q324*Crec)+($R324*Crec_yd)+($S324*Crec_td)+($T324*Cfmb)+($U324*Ctp_c)</f>
        <v>0</v>
      </c>
    </row>
    <row r="325" spans="1:28" x14ac:dyDescent="0.2">
      <c r="A325" s="16" t="s">
        <v>840</v>
      </c>
      <c r="B325" s="16" t="s">
        <v>43</v>
      </c>
      <c r="C325" s="16">
        <v>24</v>
      </c>
      <c r="D325" s="16">
        <v>0</v>
      </c>
      <c r="E325" s="16" t="s">
        <v>446</v>
      </c>
      <c r="F325" s="16" t="s">
        <v>811</v>
      </c>
      <c r="G325" s="16">
        <v>0</v>
      </c>
      <c r="H325" s="16">
        <v>0</v>
      </c>
      <c r="I325" s="16">
        <v>0</v>
      </c>
      <c r="J325" s="16">
        <v>0</v>
      </c>
      <c r="K325" s="16">
        <v>0</v>
      </c>
      <c r="L325" s="16">
        <v>0</v>
      </c>
      <c r="M325" s="16">
        <v>0</v>
      </c>
      <c r="N325" s="16">
        <v>0</v>
      </c>
      <c r="O325" s="16">
        <v>0</v>
      </c>
      <c r="P325" s="16">
        <v>0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f>($J325*0.04)+($K325*4)+($L325*-2)+($N325*0.1)+($O325*6)+($Q325)+($R325*0.1)+($S325*6)+($T325*-2)</f>
        <v>0</v>
      </c>
      <c r="W325" s="16" t="e">
        <f>$P325/$H$33</f>
        <v>#DIV/0!</v>
      </c>
      <c r="X325" s="16" t="e">
        <f>$N325/$M325</f>
        <v>#DIV/0!</v>
      </c>
      <c r="Y325" s="16" t="e">
        <f>$R325/$Q325</f>
        <v>#DIV/0!</v>
      </c>
      <c r="Z325" s="16" t="e">
        <f>$I325/$H325</f>
        <v>#DIV/0!</v>
      </c>
      <c r="AA325" s="16" t="e">
        <f>$K325/$H325</f>
        <v>#DIV/0!</v>
      </c>
      <c r="AB325" s="16">
        <f>($J325*Cp_yd)+($K325*Cp_td)+($L325*Cint)+($M325*Ccar)+($N325*Cr_yd)+($O325*Cr_td)+(Q325*Crec)+($R325*Crec_yd)+($S325*Crec_td)+($T325*Cfmb)+($U325*Ctp_c)</f>
        <v>0</v>
      </c>
    </row>
    <row r="326" spans="1:28" x14ac:dyDescent="0.2">
      <c r="A326" s="15" t="s">
        <v>841</v>
      </c>
      <c r="B326" s="15" t="s">
        <v>43</v>
      </c>
      <c r="C326" s="15">
        <v>22</v>
      </c>
      <c r="D326" s="15">
        <v>0</v>
      </c>
      <c r="E326" s="15" t="s">
        <v>163</v>
      </c>
      <c r="F326" s="15" t="s">
        <v>811</v>
      </c>
      <c r="G326" s="15">
        <v>0</v>
      </c>
      <c r="H326" s="15">
        <v>0</v>
      </c>
      <c r="I326" s="15">
        <v>0</v>
      </c>
      <c r="J326" s="15">
        <v>0</v>
      </c>
      <c r="K326" s="15">
        <v>0</v>
      </c>
      <c r="L326" s="15">
        <v>0</v>
      </c>
      <c r="M326" s="15">
        <v>0</v>
      </c>
      <c r="N326" s="15">
        <v>0</v>
      </c>
      <c r="O326" s="15">
        <v>0</v>
      </c>
      <c r="P326" s="15">
        <v>0</v>
      </c>
      <c r="Q326" s="15">
        <v>0</v>
      </c>
      <c r="R326" s="15">
        <v>0</v>
      </c>
      <c r="S326" s="15">
        <v>0</v>
      </c>
      <c r="T326" s="15">
        <v>0</v>
      </c>
      <c r="U326" s="15">
        <v>0</v>
      </c>
      <c r="V326" s="15">
        <f>($J326*0.04)+($K326*4)+($L326*-2)+($N326*0.1)+($O326*6)+($Q326)+($R326*0.1)+($S326*6)+($T326*-2)</f>
        <v>0</v>
      </c>
      <c r="W326" s="15" t="e">
        <f>$P326/$H$33</f>
        <v>#DIV/0!</v>
      </c>
      <c r="X326" s="15" t="e">
        <f>$N326/$M326</f>
        <v>#DIV/0!</v>
      </c>
      <c r="Y326" s="15" t="e">
        <f>$R326/$Q326</f>
        <v>#DIV/0!</v>
      </c>
      <c r="Z326" s="15" t="e">
        <f>$I326/$H326</f>
        <v>#DIV/0!</v>
      </c>
      <c r="AA326" s="15" t="e">
        <f>$K326/$H326</f>
        <v>#DIV/0!</v>
      </c>
      <c r="AB326" s="15">
        <f>($J326*Cp_yd)+($K326*Cp_td)+($L326*Cint)+($M326*Ccar)+($N326*Cr_yd)+($O326*Cr_td)+(Q326*Crec)+($R326*Crec_yd)+($S326*Crec_td)+($T326*Cfmb)+($U326*Ctp_c)</f>
        <v>0</v>
      </c>
    </row>
    <row r="327" spans="1:28" x14ac:dyDescent="0.2">
      <c r="A327" s="16" t="s">
        <v>842</v>
      </c>
      <c r="B327" s="16" t="s">
        <v>43</v>
      </c>
      <c r="C327" s="16">
        <v>26</v>
      </c>
      <c r="D327" s="16">
        <v>5</v>
      </c>
      <c r="E327" s="16" t="s">
        <v>843</v>
      </c>
      <c r="F327" s="16" t="s">
        <v>811</v>
      </c>
      <c r="G327" s="16">
        <v>0</v>
      </c>
      <c r="H327" s="16">
        <v>0</v>
      </c>
      <c r="I327" s="16">
        <v>0</v>
      </c>
      <c r="J327" s="16">
        <v>0</v>
      </c>
      <c r="K327" s="16">
        <v>0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0</v>
      </c>
      <c r="R327" s="16">
        <v>0</v>
      </c>
      <c r="S327" s="16">
        <v>0</v>
      </c>
      <c r="T327" s="16">
        <v>0</v>
      </c>
      <c r="U327" s="16">
        <v>0</v>
      </c>
      <c r="V327" s="16">
        <f>($J327*0.04)+($K327*4)+($L327*-2)+($N327*0.1)+($O327*6)+($Q327)+($R327*0.1)+($S327*6)+($T327*-2)</f>
        <v>0</v>
      </c>
      <c r="W327" s="16" t="e">
        <f>$P327/$H$33</f>
        <v>#DIV/0!</v>
      </c>
      <c r="X327" s="16" t="e">
        <f>$N327/$M327</f>
        <v>#DIV/0!</v>
      </c>
      <c r="Y327" s="16" t="e">
        <f>$R327/$Q327</f>
        <v>#DIV/0!</v>
      </c>
      <c r="Z327" s="16" t="e">
        <f>$I327/$H327</f>
        <v>#DIV/0!</v>
      </c>
      <c r="AA327" s="16" t="e">
        <f>$K327/$H327</f>
        <v>#DIV/0!</v>
      </c>
      <c r="AB327" s="16">
        <f>($J327*Cp_yd)+($K327*Cp_td)+($L327*Cint)+($M327*Ccar)+($N327*Cr_yd)+($O327*Cr_td)+(Q327*Crec)+($R327*Crec_yd)+($S327*Crec_td)+($T327*Cfmb)+($U327*Ctp_c)</f>
        <v>0</v>
      </c>
    </row>
    <row r="328" spans="1:28" x14ac:dyDescent="0.2">
      <c r="A328" s="15" t="s">
        <v>844</v>
      </c>
      <c r="B328" s="15" t="s">
        <v>43</v>
      </c>
      <c r="C328" s="15">
        <v>28</v>
      </c>
      <c r="D328" s="15">
        <v>7</v>
      </c>
      <c r="E328" s="15" t="s">
        <v>173</v>
      </c>
      <c r="F328" s="15" t="s">
        <v>811</v>
      </c>
      <c r="G328" s="15">
        <v>0</v>
      </c>
      <c r="H328" s="15">
        <v>0</v>
      </c>
      <c r="I328" s="15">
        <v>0</v>
      </c>
      <c r="J328" s="15">
        <v>0</v>
      </c>
      <c r="K328" s="15">
        <v>0</v>
      </c>
      <c r="L328" s="15">
        <v>0</v>
      </c>
      <c r="M328" s="15">
        <v>0</v>
      </c>
      <c r="N328" s="15">
        <v>0</v>
      </c>
      <c r="O328" s="15">
        <v>0</v>
      </c>
      <c r="P328" s="15">
        <v>0</v>
      </c>
      <c r="Q328" s="15">
        <v>0</v>
      </c>
      <c r="R328" s="15">
        <v>0</v>
      </c>
      <c r="S328" s="15">
        <v>0</v>
      </c>
      <c r="T328" s="15">
        <v>0</v>
      </c>
      <c r="U328" s="15">
        <v>0</v>
      </c>
      <c r="V328" s="15">
        <f>($J328*0.04)+($K328*4)+($L328*-2)+($N328*0.1)+($O328*6)+($Q328)+($R328*0.1)+($S328*6)+($T328*-2)</f>
        <v>0</v>
      </c>
      <c r="W328" s="15" t="e">
        <f>$P328/$H$33</f>
        <v>#DIV/0!</v>
      </c>
      <c r="X328" s="15" t="e">
        <f>$N328/$M328</f>
        <v>#DIV/0!</v>
      </c>
      <c r="Y328" s="15" t="e">
        <f>$R328/$Q328</f>
        <v>#DIV/0!</v>
      </c>
      <c r="Z328" s="15" t="e">
        <f>$I328/$H328</f>
        <v>#DIV/0!</v>
      </c>
      <c r="AA328" s="15" t="e">
        <f>$K328/$H328</f>
        <v>#DIV/0!</v>
      </c>
      <c r="AB328" s="15">
        <f>($J328*Cp_yd)+($K328*Cp_td)+($L328*Cint)+($M328*Ccar)+($N328*Cr_yd)+($O328*Cr_td)+(Q328*Crec)+($R328*Crec_yd)+($S328*Crec_td)+($T328*Cfmb)+($U328*Ctp_c)</f>
        <v>0</v>
      </c>
    </row>
    <row r="329" spans="1:28" x14ac:dyDescent="0.2">
      <c r="A329" s="16" t="s">
        <v>845</v>
      </c>
      <c r="B329" s="16" t="s">
        <v>43</v>
      </c>
      <c r="C329" s="16">
        <v>29</v>
      </c>
      <c r="D329" s="16">
        <v>9</v>
      </c>
      <c r="E329" s="16" t="s">
        <v>282</v>
      </c>
      <c r="F329" s="16" t="s">
        <v>811</v>
      </c>
      <c r="G329" s="16">
        <v>0</v>
      </c>
      <c r="H329" s="16">
        <v>0</v>
      </c>
      <c r="I329" s="16">
        <v>0</v>
      </c>
      <c r="J329" s="16">
        <v>0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f>($J329*0.04)+($K329*4)+($L329*-2)+($N329*0.1)+($O329*6)+($Q329)+($R329*0.1)+($S329*6)+($T329*-2)</f>
        <v>0</v>
      </c>
      <c r="W329" s="16" t="e">
        <f>$P329/$H$33</f>
        <v>#DIV/0!</v>
      </c>
      <c r="X329" s="16" t="e">
        <f>$N329/$M329</f>
        <v>#DIV/0!</v>
      </c>
      <c r="Y329" s="16" t="e">
        <f>$R329/$Q329</f>
        <v>#DIV/0!</v>
      </c>
      <c r="Z329" s="16" t="e">
        <f>$I329/$H329</f>
        <v>#DIV/0!</v>
      </c>
      <c r="AA329" s="16" t="e">
        <f>$K329/$H329</f>
        <v>#DIV/0!</v>
      </c>
      <c r="AB329" s="16">
        <f>($J329*Cp_yd)+($K329*Cp_td)+($L329*Cint)+($M329*Ccar)+($N329*Cr_yd)+($O329*Cr_td)+(Q329*Crec)+($R329*Crec_yd)+($S329*Crec_td)+($T329*Cfmb)+($U329*Ctp_c)</f>
        <v>0</v>
      </c>
    </row>
    <row r="330" spans="1:28" x14ac:dyDescent="0.2">
      <c r="A330" s="15" t="s">
        <v>846</v>
      </c>
      <c r="B330" s="15" t="s">
        <v>43</v>
      </c>
      <c r="C330" s="15">
        <v>23</v>
      </c>
      <c r="D330" s="15">
        <v>2</v>
      </c>
      <c r="E330" s="15" t="s">
        <v>136</v>
      </c>
      <c r="F330" s="15" t="s">
        <v>811</v>
      </c>
      <c r="G330" s="15">
        <v>0</v>
      </c>
      <c r="H330" s="15">
        <v>0</v>
      </c>
      <c r="I330" s="15">
        <v>0</v>
      </c>
      <c r="J330" s="15">
        <v>0</v>
      </c>
      <c r="K330" s="15">
        <v>0</v>
      </c>
      <c r="L330" s="15">
        <v>0</v>
      </c>
      <c r="M330" s="15">
        <v>0</v>
      </c>
      <c r="N330" s="15">
        <v>0</v>
      </c>
      <c r="O330" s="15">
        <v>0</v>
      </c>
      <c r="P330" s="15">
        <v>0</v>
      </c>
      <c r="Q330" s="15">
        <v>0</v>
      </c>
      <c r="R330" s="15">
        <v>0</v>
      </c>
      <c r="S330" s="15">
        <v>0</v>
      </c>
      <c r="T330" s="15">
        <v>0</v>
      </c>
      <c r="U330" s="15">
        <v>0</v>
      </c>
      <c r="V330" s="15">
        <f>($J330*0.04)+($K330*4)+($L330*-2)+($N330*0.1)+($O330*6)+($Q330)+($R330*0.1)+($S330*6)+($T330*-2)</f>
        <v>0</v>
      </c>
      <c r="W330" s="15" t="e">
        <f>$P330/$H$33</f>
        <v>#DIV/0!</v>
      </c>
      <c r="X330" s="15" t="e">
        <f>$N330/$M330</f>
        <v>#DIV/0!</v>
      </c>
      <c r="Y330" s="15" t="e">
        <f>$R330/$Q330</f>
        <v>#DIV/0!</v>
      </c>
      <c r="Z330" s="15" t="e">
        <f>$I330/$H330</f>
        <v>#DIV/0!</v>
      </c>
      <c r="AA330" s="15" t="e">
        <f>$K330/$H330</f>
        <v>#DIV/0!</v>
      </c>
      <c r="AB330" s="15">
        <f>($J330*Cp_yd)+($K330*Cp_td)+($L330*Cint)+($M330*Ccar)+($N330*Cr_yd)+($O330*Cr_td)+(Q330*Crec)+($R330*Crec_yd)+($S330*Crec_td)+($T330*Cfmb)+($U330*Ctp_c)</f>
        <v>0</v>
      </c>
    </row>
    <row r="331" spans="1:28" x14ac:dyDescent="0.2">
      <c r="A331" s="16" t="s">
        <v>847</v>
      </c>
      <c r="B331" s="16" t="s">
        <v>43</v>
      </c>
      <c r="C331" s="16">
        <v>25</v>
      </c>
      <c r="D331" s="16">
        <v>4</v>
      </c>
      <c r="E331" s="16" t="s">
        <v>78</v>
      </c>
      <c r="F331" s="16" t="s">
        <v>811</v>
      </c>
      <c r="G331" s="16">
        <v>0</v>
      </c>
      <c r="H331" s="16">
        <v>0</v>
      </c>
      <c r="I331" s="16">
        <v>0</v>
      </c>
      <c r="J331" s="16">
        <v>0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0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f>($J331*0.04)+($K331*4)+($L331*-2)+($N331*0.1)+($O331*6)+($Q331)+($R331*0.1)+($S331*6)+($T331*-2)</f>
        <v>0</v>
      </c>
      <c r="W331" s="16" t="e">
        <f>$P331/$H$33</f>
        <v>#DIV/0!</v>
      </c>
      <c r="X331" s="16" t="e">
        <f>$N331/$M331</f>
        <v>#DIV/0!</v>
      </c>
      <c r="Y331" s="16" t="e">
        <f>$R331/$Q331</f>
        <v>#DIV/0!</v>
      </c>
      <c r="Z331" s="16" t="e">
        <f>$I331/$H331</f>
        <v>#DIV/0!</v>
      </c>
      <c r="AA331" s="16" t="e">
        <f>$K331/$H331</f>
        <v>#DIV/0!</v>
      </c>
      <c r="AB331" s="16">
        <f>($J331*Cp_yd)+($K331*Cp_td)+($L331*Cint)+($M331*Ccar)+($N331*Cr_yd)+($O331*Cr_td)+(Q331*Crec)+($R331*Crec_yd)+($S331*Crec_td)+($T331*Cfmb)+($U331*Ctp_c)</f>
        <v>0</v>
      </c>
    </row>
    <row r="332" spans="1:28" x14ac:dyDescent="0.2">
      <c r="A332" s="15" t="s">
        <v>848</v>
      </c>
      <c r="B332" s="15" t="s">
        <v>43</v>
      </c>
      <c r="C332" s="15">
        <v>23</v>
      </c>
      <c r="D332" s="15">
        <v>3</v>
      </c>
      <c r="E332" s="15" t="s">
        <v>458</v>
      </c>
      <c r="F332" s="15" t="s">
        <v>811</v>
      </c>
      <c r="G332" s="15">
        <v>0</v>
      </c>
      <c r="H332" s="15">
        <v>0</v>
      </c>
      <c r="I332" s="15">
        <v>0</v>
      </c>
      <c r="J332" s="15">
        <v>0</v>
      </c>
      <c r="K332" s="15">
        <v>0</v>
      </c>
      <c r="L332" s="15">
        <v>0</v>
      </c>
      <c r="M332" s="15">
        <v>0</v>
      </c>
      <c r="N332" s="15">
        <v>0</v>
      </c>
      <c r="O332" s="15">
        <v>0</v>
      </c>
      <c r="P332" s="15">
        <v>0</v>
      </c>
      <c r="Q332" s="15">
        <v>0</v>
      </c>
      <c r="R332" s="15">
        <v>0</v>
      </c>
      <c r="S332" s="15">
        <v>0</v>
      </c>
      <c r="T332" s="15">
        <v>0</v>
      </c>
      <c r="U332" s="15">
        <v>0</v>
      </c>
      <c r="V332" s="15">
        <f>($J332*0.04)+($K332*4)+($L332*-2)+($N332*0.1)+($O332*6)+($Q332)+($R332*0.1)+($S332*6)+($T332*-2)</f>
        <v>0</v>
      </c>
      <c r="W332" s="15" t="e">
        <f>$P332/$H$33</f>
        <v>#DIV/0!</v>
      </c>
      <c r="X332" s="15" t="e">
        <f>$N332/$M332</f>
        <v>#DIV/0!</v>
      </c>
      <c r="Y332" s="15" t="e">
        <f>$R332/$Q332</f>
        <v>#DIV/0!</v>
      </c>
      <c r="Z332" s="15" t="e">
        <f>$I332/$H332</f>
        <v>#DIV/0!</v>
      </c>
      <c r="AA332" s="15" t="e">
        <f>$K332/$H332</f>
        <v>#DIV/0!</v>
      </c>
      <c r="AB332" s="15">
        <f>($J332*Cp_yd)+($K332*Cp_td)+($L332*Cint)+($M332*Ccar)+($N332*Cr_yd)+($O332*Cr_td)+(Q332*Crec)+($R332*Crec_yd)+($S332*Crec_td)+($T332*Cfmb)+($U332*Ctp_c)</f>
        <v>0</v>
      </c>
    </row>
    <row r="333" spans="1:28" x14ac:dyDescent="0.2">
      <c r="A333" s="16" t="s">
        <v>849</v>
      </c>
      <c r="B333" s="16" t="s">
        <v>43</v>
      </c>
      <c r="C333" s="16">
        <v>27</v>
      </c>
      <c r="D333" s="16">
        <v>4</v>
      </c>
      <c r="E333" s="16" t="s">
        <v>850</v>
      </c>
      <c r="F333" s="16" t="s">
        <v>811</v>
      </c>
      <c r="G333" s="16">
        <v>0</v>
      </c>
      <c r="H333" s="16">
        <v>0</v>
      </c>
      <c r="I333" s="16">
        <v>0</v>
      </c>
      <c r="J333" s="16">
        <v>0</v>
      </c>
      <c r="K333" s="16">
        <v>0</v>
      </c>
      <c r="L333" s="16">
        <v>0</v>
      </c>
      <c r="M333" s="16">
        <v>0</v>
      </c>
      <c r="N333" s="16">
        <v>0</v>
      </c>
      <c r="O333" s="16">
        <v>0</v>
      </c>
      <c r="P333" s="16">
        <v>0</v>
      </c>
      <c r="Q333" s="16">
        <v>0</v>
      </c>
      <c r="R333" s="16">
        <v>0</v>
      </c>
      <c r="S333" s="16">
        <v>0</v>
      </c>
      <c r="T333" s="16">
        <v>0</v>
      </c>
      <c r="U333" s="16">
        <v>0</v>
      </c>
      <c r="V333" s="16">
        <f>($J333*0.04)+($K333*4)+($L333*-2)+($N333*0.1)+($O333*6)+($Q333)+($R333*0.1)+($S333*6)+($T333*-2)</f>
        <v>0</v>
      </c>
      <c r="W333" s="16" t="e">
        <f>$P333/$H$33</f>
        <v>#DIV/0!</v>
      </c>
      <c r="X333" s="16" t="e">
        <f>$N333/$M333</f>
        <v>#DIV/0!</v>
      </c>
      <c r="Y333" s="16" t="e">
        <f>$R333/$Q333</f>
        <v>#DIV/0!</v>
      </c>
      <c r="Z333" s="16" t="e">
        <f>$I333/$H333</f>
        <v>#DIV/0!</v>
      </c>
      <c r="AA333" s="16" t="e">
        <f>$K333/$H333</f>
        <v>#DIV/0!</v>
      </c>
      <c r="AB333" s="16">
        <f>($J333*Cp_yd)+($K333*Cp_td)+($L333*Cint)+($M333*Ccar)+($N333*Cr_yd)+($O333*Cr_td)+(Q333*Crec)+($R333*Crec_yd)+($S333*Crec_td)+($T333*Cfmb)+($U333*Ctp_c)</f>
        <v>0</v>
      </c>
    </row>
    <row r="334" spans="1:28" x14ac:dyDescent="0.2">
      <c r="A334" s="15" t="s">
        <v>851</v>
      </c>
      <c r="B334" s="15" t="s">
        <v>43</v>
      </c>
      <c r="C334" s="15">
        <v>26</v>
      </c>
      <c r="D334" s="15">
        <v>3</v>
      </c>
      <c r="E334" s="15" t="s">
        <v>852</v>
      </c>
      <c r="F334" s="15" t="s">
        <v>811</v>
      </c>
      <c r="G334" s="15">
        <v>0</v>
      </c>
      <c r="H334" s="15">
        <v>0</v>
      </c>
      <c r="I334" s="15">
        <v>0</v>
      </c>
      <c r="J334" s="15">
        <v>0</v>
      </c>
      <c r="K334" s="15">
        <v>0</v>
      </c>
      <c r="L334" s="15">
        <v>0</v>
      </c>
      <c r="M334" s="15">
        <v>0</v>
      </c>
      <c r="N334" s="15">
        <v>0</v>
      </c>
      <c r="O334" s="15">
        <v>0</v>
      </c>
      <c r="P334" s="15">
        <v>0</v>
      </c>
      <c r="Q334" s="15">
        <v>0</v>
      </c>
      <c r="R334" s="15">
        <v>0</v>
      </c>
      <c r="S334" s="15">
        <v>0</v>
      </c>
      <c r="T334" s="15">
        <v>0</v>
      </c>
      <c r="U334" s="15">
        <v>0</v>
      </c>
      <c r="V334" s="15">
        <f>($J334*0.04)+($K334*4)+($L334*-2)+($N334*0.1)+($O334*6)+($Q334)+($R334*0.1)+($S334*6)+($T334*-2)</f>
        <v>0</v>
      </c>
      <c r="W334" s="15" t="e">
        <f>$P334/$H$33</f>
        <v>#DIV/0!</v>
      </c>
      <c r="X334" s="15" t="e">
        <f>$N334/$M334</f>
        <v>#DIV/0!</v>
      </c>
      <c r="Y334" s="15" t="e">
        <f>$R334/$Q334</f>
        <v>#DIV/0!</v>
      </c>
      <c r="Z334" s="15" t="e">
        <f>$I334/$H334</f>
        <v>#DIV/0!</v>
      </c>
      <c r="AA334" s="15" t="e">
        <f>$K334/$H334</f>
        <v>#DIV/0!</v>
      </c>
      <c r="AB334" s="15">
        <f>($J334*Cp_yd)+($K334*Cp_td)+($L334*Cint)+($M334*Ccar)+($N334*Cr_yd)+($O334*Cr_td)+(Q334*Crec)+($R334*Crec_yd)+($S334*Crec_td)+($T334*Cfmb)+($U334*Ctp_c)</f>
        <v>0</v>
      </c>
    </row>
    <row r="335" spans="1:28" x14ac:dyDescent="0.2">
      <c r="A335" s="16" t="s">
        <v>853</v>
      </c>
      <c r="B335" s="16" t="s">
        <v>43</v>
      </c>
      <c r="C335" s="16">
        <v>27</v>
      </c>
      <c r="D335" s="16">
        <v>5</v>
      </c>
      <c r="E335" s="16" t="s">
        <v>446</v>
      </c>
      <c r="F335" s="16" t="s">
        <v>811</v>
      </c>
      <c r="G335" s="16">
        <v>0</v>
      </c>
      <c r="H335" s="16">
        <v>0</v>
      </c>
      <c r="I335" s="16">
        <v>0</v>
      </c>
      <c r="J335" s="16">
        <v>0</v>
      </c>
      <c r="K335" s="16">
        <v>0</v>
      </c>
      <c r="L335" s="16">
        <v>0</v>
      </c>
      <c r="M335" s="16">
        <v>0</v>
      </c>
      <c r="N335" s="16">
        <v>0</v>
      </c>
      <c r="O335" s="16">
        <v>0</v>
      </c>
      <c r="P335" s="16">
        <v>0</v>
      </c>
      <c r="Q335" s="16">
        <v>0</v>
      </c>
      <c r="R335" s="16">
        <v>0</v>
      </c>
      <c r="S335" s="16">
        <v>0</v>
      </c>
      <c r="T335" s="16">
        <v>0</v>
      </c>
      <c r="U335" s="16">
        <v>0</v>
      </c>
      <c r="V335" s="16">
        <f>($J335*0.04)+($K335*4)+($L335*-2)+($N335*0.1)+($O335*6)+($Q335)+($R335*0.1)+($S335*6)+($T335*-2)</f>
        <v>0</v>
      </c>
      <c r="W335" s="16" t="e">
        <f>$P335/$H$33</f>
        <v>#DIV/0!</v>
      </c>
      <c r="X335" s="16" t="e">
        <f>$N335/$M335</f>
        <v>#DIV/0!</v>
      </c>
      <c r="Y335" s="16" t="e">
        <f>$R335/$Q335</f>
        <v>#DIV/0!</v>
      </c>
      <c r="Z335" s="16" t="e">
        <f>$I335/$H335</f>
        <v>#DIV/0!</v>
      </c>
      <c r="AA335" s="16" t="e">
        <f>$K335/$H335</f>
        <v>#DIV/0!</v>
      </c>
      <c r="AB335" s="16">
        <f>($J335*Cp_yd)+($K335*Cp_td)+($L335*Cint)+($M335*Ccar)+($N335*Cr_yd)+($O335*Cr_td)+(Q335*Crec)+($R335*Crec_yd)+($S335*Crec_td)+($T335*Cfmb)+($U335*Ctp_c)</f>
        <v>0</v>
      </c>
    </row>
    <row r="336" spans="1:28" x14ac:dyDescent="0.2">
      <c r="A336" s="15" t="s">
        <v>855</v>
      </c>
      <c r="B336" s="15" t="s">
        <v>38</v>
      </c>
      <c r="C336" s="15">
        <v>29</v>
      </c>
      <c r="D336" s="15">
        <v>6</v>
      </c>
      <c r="E336" s="15" t="s">
        <v>856</v>
      </c>
      <c r="F336" s="15" t="s">
        <v>811</v>
      </c>
      <c r="G336" s="15">
        <v>0</v>
      </c>
      <c r="H336" s="15">
        <v>0</v>
      </c>
      <c r="I336" s="15">
        <v>0</v>
      </c>
      <c r="J336" s="15">
        <v>0</v>
      </c>
      <c r="K336" s="15">
        <v>0</v>
      </c>
      <c r="L336" s="15">
        <v>0</v>
      </c>
      <c r="M336" s="15">
        <v>0</v>
      </c>
      <c r="N336" s="15">
        <v>0</v>
      </c>
      <c r="O336" s="15">
        <v>0</v>
      </c>
      <c r="P336" s="15">
        <v>0</v>
      </c>
      <c r="Q336" s="15">
        <v>0</v>
      </c>
      <c r="R336" s="15">
        <v>0</v>
      </c>
      <c r="S336" s="15">
        <v>0</v>
      </c>
      <c r="T336" s="15">
        <v>0</v>
      </c>
      <c r="U336" s="15">
        <v>0</v>
      </c>
      <c r="V336" s="15">
        <f>($J336*0.04)+($K336*4)+($L336*-2)+($N336*0.1)+($O336*6)+($Q336)+($R336*0.1)+($S336*6)+($T336*-2)</f>
        <v>0</v>
      </c>
      <c r="W336" s="15" t="e">
        <f>$P336/$H$33</f>
        <v>#DIV/0!</v>
      </c>
      <c r="X336" s="15" t="e">
        <f>$N336/$M336</f>
        <v>#DIV/0!</v>
      </c>
      <c r="Y336" s="15" t="e">
        <f>$R336/$Q336</f>
        <v>#DIV/0!</v>
      </c>
      <c r="Z336" s="15" t="e">
        <f>$I336/$H336</f>
        <v>#DIV/0!</v>
      </c>
      <c r="AA336" s="15" t="e">
        <f>$K336/$H336</f>
        <v>#DIV/0!</v>
      </c>
      <c r="AB336" s="15">
        <f>($J336*Cp_yd)+($K336*Cp_td)+($L336*Cint)+($M336*Ccar)+($N336*Cr_yd)+($O336*Cr_td)+(Q336*Crec)+($R336*Crec_yd)+($S336*Crec_td)+($T336*Cfmb)+($U336*Ctp_c)</f>
        <v>0</v>
      </c>
    </row>
    <row r="337" spans="1:28" x14ac:dyDescent="0.2">
      <c r="A337" s="16" t="s">
        <v>857</v>
      </c>
      <c r="B337" s="16" t="s">
        <v>38</v>
      </c>
      <c r="C337" s="16">
        <v>29</v>
      </c>
      <c r="D337" s="16">
        <v>6</v>
      </c>
      <c r="E337" s="16" t="s">
        <v>205</v>
      </c>
      <c r="F337" s="16" t="s">
        <v>811</v>
      </c>
      <c r="G337" s="16">
        <v>0</v>
      </c>
      <c r="H337" s="16">
        <v>0</v>
      </c>
      <c r="I337" s="16">
        <v>0</v>
      </c>
      <c r="J337" s="16">
        <v>0</v>
      </c>
      <c r="K337" s="16">
        <v>0</v>
      </c>
      <c r="L337" s="16">
        <v>0</v>
      </c>
      <c r="M337" s="16">
        <v>0</v>
      </c>
      <c r="N337" s="16">
        <v>0</v>
      </c>
      <c r="O337" s="16">
        <v>0</v>
      </c>
      <c r="P337" s="16">
        <v>0</v>
      </c>
      <c r="Q337" s="16">
        <v>0</v>
      </c>
      <c r="R337" s="16">
        <v>0</v>
      </c>
      <c r="S337" s="16">
        <v>0</v>
      </c>
      <c r="T337" s="16">
        <v>0</v>
      </c>
      <c r="U337" s="16">
        <v>0</v>
      </c>
      <c r="V337" s="16">
        <f>($J337*0.04)+($K337*4)+($L337*-2)+($N337*0.1)+($O337*6)+($Q337)+($R337*0.1)+($S337*6)+($T337*-2)</f>
        <v>0</v>
      </c>
      <c r="W337" s="16" t="e">
        <f>$P337/$H$33</f>
        <v>#DIV/0!</v>
      </c>
      <c r="X337" s="16" t="e">
        <f>$N337/$M337</f>
        <v>#DIV/0!</v>
      </c>
      <c r="Y337" s="16" t="e">
        <f>$R337/$Q337</f>
        <v>#DIV/0!</v>
      </c>
      <c r="Z337" s="16" t="e">
        <f>$I337/$H337</f>
        <v>#DIV/0!</v>
      </c>
      <c r="AA337" s="16" t="e">
        <f>$K337/$H337</f>
        <v>#DIV/0!</v>
      </c>
      <c r="AB337" s="16">
        <f>($J337*Cp_yd)+($K337*Cp_td)+($L337*Cint)+($M337*Ccar)+($N337*Cr_yd)+($O337*Cr_td)+(Q337*Crec)+($R337*Crec_yd)+($S337*Crec_td)+($T337*Cfmb)+($U337*Ctp_c)</f>
        <v>0</v>
      </c>
    </row>
    <row r="338" spans="1:28" x14ac:dyDescent="0.2">
      <c r="A338" s="15" t="s">
        <v>858</v>
      </c>
      <c r="B338" s="15" t="s">
        <v>38</v>
      </c>
      <c r="C338" s="15">
        <v>26</v>
      </c>
      <c r="D338" s="15">
        <v>2</v>
      </c>
      <c r="E338" s="15" t="s">
        <v>105</v>
      </c>
      <c r="F338" s="15" t="s">
        <v>811</v>
      </c>
      <c r="G338" s="15">
        <v>0</v>
      </c>
      <c r="H338" s="15">
        <v>0</v>
      </c>
      <c r="I338" s="15">
        <v>0</v>
      </c>
      <c r="J338" s="15">
        <v>0</v>
      </c>
      <c r="K338" s="15">
        <v>0</v>
      </c>
      <c r="L338" s="15">
        <v>0</v>
      </c>
      <c r="M338" s="15">
        <v>0</v>
      </c>
      <c r="N338" s="15">
        <v>0</v>
      </c>
      <c r="O338" s="15">
        <v>0</v>
      </c>
      <c r="P338" s="15">
        <v>0</v>
      </c>
      <c r="Q338" s="15">
        <v>0</v>
      </c>
      <c r="R338" s="15">
        <v>0</v>
      </c>
      <c r="S338" s="15">
        <v>0</v>
      </c>
      <c r="T338" s="15">
        <v>0</v>
      </c>
      <c r="U338" s="15">
        <v>0</v>
      </c>
      <c r="V338" s="15">
        <f>($J338*0.04)+($K338*4)+($L338*-2)+($N338*0.1)+($O338*6)+($Q338)+($R338*0.1)+($S338*6)+($T338*-2)</f>
        <v>0</v>
      </c>
      <c r="W338" s="15" t="e">
        <f>$P338/$H$33</f>
        <v>#DIV/0!</v>
      </c>
      <c r="X338" s="15" t="e">
        <f>$N338/$M338</f>
        <v>#DIV/0!</v>
      </c>
      <c r="Y338" s="15" t="e">
        <f>$R338/$Q338</f>
        <v>#DIV/0!</v>
      </c>
      <c r="Z338" s="15" t="e">
        <f>$I338/$H338</f>
        <v>#DIV/0!</v>
      </c>
      <c r="AA338" s="15" t="e">
        <f>$K338/$H338</f>
        <v>#DIV/0!</v>
      </c>
      <c r="AB338" s="15">
        <f>($J338*Cp_yd)+($K338*Cp_td)+($L338*Cint)+($M338*Ccar)+($N338*Cr_yd)+($O338*Cr_td)+(Q338*Crec)+($R338*Crec_yd)+($S338*Crec_td)+($T338*Cfmb)+($U338*Ctp_c)</f>
        <v>0</v>
      </c>
    </row>
    <row r="339" spans="1:28" x14ac:dyDescent="0.2">
      <c r="A339" s="16" t="s">
        <v>859</v>
      </c>
      <c r="B339" s="16" t="s">
        <v>38</v>
      </c>
      <c r="C339" s="16">
        <v>25</v>
      </c>
      <c r="D339" s="16">
        <v>3</v>
      </c>
      <c r="E339" s="16" t="s">
        <v>237</v>
      </c>
      <c r="F339" s="16" t="s">
        <v>811</v>
      </c>
      <c r="G339" s="16">
        <v>0</v>
      </c>
      <c r="H339" s="16">
        <v>0</v>
      </c>
      <c r="I339" s="16">
        <v>0</v>
      </c>
      <c r="J339" s="16">
        <v>0</v>
      </c>
      <c r="K339" s="16">
        <v>0</v>
      </c>
      <c r="L339" s="16">
        <v>0</v>
      </c>
      <c r="M339" s="16">
        <v>0</v>
      </c>
      <c r="N339" s="16">
        <v>0</v>
      </c>
      <c r="O339" s="16">
        <v>0</v>
      </c>
      <c r="P339" s="16">
        <v>0</v>
      </c>
      <c r="Q339" s="16">
        <v>0</v>
      </c>
      <c r="R339" s="16">
        <v>0</v>
      </c>
      <c r="S339" s="16">
        <v>0</v>
      </c>
      <c r="T339" s="16">
        <v>0</v>
      </c>
      <c r="U339" s="16">
        <v>0</v>
      </c>
      <c r="V339" s="16">
        <f>($J339*0.04)+($K339*4)+($L339*-2)+($N339*0.1)+($O339*6)+($Q339)+($R339*0.1)+($S339*6)+($T339*-2)</f>
        <v>0</v>
      </c>
      <c r="W339" s="16" t="e">
        <f>$P339/$H$33</f>
        <v>#DIV/0!</v>
      </c>
      <c r="X339" s="16" t="e">
        <f>$N339/$M339</f>
        <v>#DIV/0!</v>
      </c>
      <c r="Y339" s="16" t="e">
        <f>$R339/$Q339</f>
        <v>#DIV/0!</v>
      </c>
      <c r="Z339" s="16" t="e">
        <f>$I339/$H339</f>
        <v>#DIV/0!</v>
      </c>
      <c r="AA339" s="16" t="e">
        <f>$K339/$H339</f>
        <v>#DIV/0!</v>
      </c>
      <c r="AB339" s="16">
        <f>($J339*Cp_yd)+($K339*Cp_td)+($L339*Cint)+($M339*Ccar)+($N339*Cr_yd)+($O339*Cr_td)+(Q339*Crec)+($R339*Crec_yd)+($S339*Crec_td)+($T339*Cfmb)+($U339*Ctp_c)</f>
        <v>0</v>
      </c>
    </row>
    <row r="340" spans="1:28" x14ac:dyDescent="0.2">
      <c r="A340" s="15" t="s">
        <v>860</v>
      </c>
      <c r="B340" s="15" t="s">
        <v>38</v>
      </c>
      <c r="C340" s="15">
        <v>26</v>
      </c>
      <c r="D340" s="15">
        <v>1</v>
      </c>
      <c r="E340" s="15" t="s">
        <v>244</v>
      </c>
      <c r="F340" s="15" t="s">
        <v>811</v>
      </c>
      <c r="G340" s="15">
        <v>0</v>
      </c>
      <c r="H340" s="15">
        <v>0</v>
      </c>
      <c r="I340" s="15">
        <v>0</v>
      </c>
      <c r="J340" s="15">
        <v>0</v>
      </c>
      <c r="K340" s="15">
        <v>0</v>
      </c>
      <c r="L340" s="15">
        <v>0</v>
      </c>
      <c r="M340" s="15">
        <v>0</v>
      </c>
      <c r="N340" s="15">
        <v>0</v>
      </c>
      <c r="O340" s="15">
        <v>0</v>
      </c>
      <c r="P340" s="15">
        <v>0</v>
      </c>
      <c r="Q340" s="15">
        <v>0</v>
      </c>
      <c r="R340" s="15">
        <v>0</v>
      </c>
      <c r="S340" s="15">
        <v>0</v>
      </c>
      <c r="T340" s="15">
        <v>0</v>
      </c>
      <c r="U340" s="15">
        <v>0</v>
      </c>
      <c r="V340" s="15">
        <f>($J340*0.04)+($K340*4)+($L340*-2)+($N340*0.1)+($O340*6)+($Q340)+($R340*0.1)+($S340*6)+($T340*-2)</f>
        <v>0</v>
      </c>
      <c r="W340" s="15" t="e">
        <f>$P340/$H$33</f>
        <v>#DIV/0!</v>
      </c>
      <c r="X340" s="15" t="e">
        <f>$N340/$M340</f>
        <v>#DIV/0!</v>
      </c>
      <c r="Y340" s="15" t="e">
        <f>$R340/$Q340</f>
        <v>#DIV/0!</v>
      </c>
      <c r="Z340" s="15" t="e">
        <f>$I340/$H340</f>
        <v>#DIV/0!</v>
      </c>
      <c r="AA340" s="15" t="e">
        <f>$K340/$H340</f>
        <v>#DIV/0!</v>
      </c>
      <c r="AB340" s="15">
        <f>($J340*Cp_yd)+($K340*Cp_td)+($L340*Cint)+($M340*Ccar)+($N340*Cr_yd)+($O340*Cr_td)+(Q340*Crec)+($R340*Crec_yd)+($S340*Crec_td)+($T340*Cfmb)+($U340*Ctp_c)</f>
        <v>0</v>
      </c>
    </row>
    <row r="341" spans="1:28" x14ac:dyDescent="0.2">
      <c r="A341" s="16" t="s">
        <v>861</v>
      </c>
      <c r="B341" s="16" t="s">
        <v>38</v>
      </c>
      <c r="C341" s="16">
        <v>24</v>
      </c>
      <c r="D341" s="16">
        <v>0</v>
      </c>
      <c r="E341" s="16" t="s">
        <v>397</v>
      </c>
      <c r="F341" s="16" t="s">
        <v>811</v>
      </c>
      <c r="G341" s="16">
        <v>0</v>
      </c>
      <c r="H341" s="16">
        <v>0</v>
      </c>
      <c r="I341" s="16">
        <v>0</v>
      </c>
      <c r="J341" s="16">
        <v>0</v>
      </c>
      <c r="K341" s="16">
        <v>0</v>
      </c>
      <c r="L341" s="16">
        <v>0</v>
      </c>
      <c r="M341" s="16"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f>($J341*0.04)+($K341*4)+($L341*-2)+($N341*0.1)+($O341*6)+($Q341)+($R341*0.1)+($S341*6)+($T341*-2)</f>
        <v>0</v>
      </c>
      <c r="W341" s="16" t="e">
        <f>$P341/$H$33</f>
        <v>#DIV/0!</v>
      </c>
      <c r="X341" s="16" t="e">
        <f>$N341/$M341</f>
        <v>#DIV/0!</v>
      </c>
      <c r="Y341" s="16" t="e">
        <f>$R341/$Q341</f>
        <v>#DIV/0!</v>
      </c>
      <c r="Z341" s="16" t="e">
        <f>$I341/$H341</f>
        <v>#DIV/0!</v>
      </c>
      <c r="AA341" s="16" t="e">
        <f>$K341/$H341</f>
        <v>#DIV/0!</v>
      </c>
      <c r="AB341" s="16">
        <f>($J341*Cp_yd)+($K341*Cp_td)+($L341*Cint)+($M341*Ccar)+($N341*Cr_yd)+($O341*Cr_td)+(Q341*Crec)+($R341*Crec_yd)+($S341*Crec_td)+($T341*Cfmb)+($U341*Ctp_c)</f>
        <v>0</v>
      </c>
    </row>
    <row r="342" spans="1:28" x14ac:dyDescent="0.2">
      <c r="A342" s="15" t="s">
        <v>862</v>
      </c>
      <c r="B342" s="15" t="s">
        <v>38</v>
      </c>
      <c r="C342" s="15">
        <v>25</v>
      </c>
      <c r="D342" s="15">
        <v>2</v>
      </c>
      <c r="E342" s="15" t="s">
        <v>616</v>
      </c>
      <c r="F342" s="15" t="s">
        <v>811</v>
      </c>
      <c r="G342" s="15">
        <v>0</v>
      </c>
      <c r="H342" s="15">
        <v>0</v>
      </c>
      <c r="I342" s="15">
        <v>0</v>
      </c>
      <c r="J342" s="15">
        <v>0</v>
      </c>
      <c r="K342" s="15">
        <v>0</v>
      </c>
      <c r="L342" s="15">
        <v>0</v>
      </c>
      <c r="M342" s="15">
        <v>0</v>
      </c>
      <c r="N342" s="15">
        <v>0</v>
      </c>
      <c r="O342" s="15">
        <v>0</v>
      </c>
      <c r="P342" s="15">
        <v>0</v>
      </c>
      <c r="Q342" s="15">
        <v>0</v>
      </c>
      <c r="R342" s="15">
        <v>0</v>
      </c>
      <c r="S342" s="15">
        <v>0</v>
      </c>
      <c r="T342" s="15">
        <v>0</v>
      </c>
      <c r="U342" s="15">
        <v>0</v>
      </c>
      <c r="V342" s="15">
        <f>($J342*0.04)+($K342*4)+($L342*-2)+($N342*0.1)+($O342*6)+($Q342)+($R342*0.1)+($S342*6)+($T342*-2)</f>
        <v>0</v>
      </c>
      <c r="W342" s="15" t="e">
        <f>$P342/$H$33</f>
        <v>#DIV/0!</v>
      </c>
      <c r="X342" s="15" t="e">
        <f>$N342/$M342</f>
        <v>#DIV/0!</v>
      </c>
      <c r="Y342" s="15" t="e">
        <f>$R342/$Q342</f>
        <v>#DIV/0!</v>
      </c>
      <c r="Z342" s="15" t="e">
        <f>$I342/$H342</f>
        <v>#DIV/0!</v>
      </c>
      <c r="AA342" s="15" t="e">
        <f>$K342/$H342</f>
        <v>#DIV/0!</v>
      </c>
      <c r="AB342" s="15">
        <f>($J342*Cp_yd)+($K342*Cp_td)+($L342*Cint)+($M342*Ccar)+($N342*Cr_yd)+($O342*Cr_td)+(Q342*Crec)+($R342*Crec_yd)+($S342*Crec_td)+($T342*Cfmb)+($U342*Ctp_c)</f>
        <v>0</v>
      </c>
    </row>
    <row r="343" spans="1:28" x14ac:dyDescent="0.2">
      <c r="A343" s="16" t="s">
        <v>863</v>
      </c>
      <c r="B343" s="16" t="s">
        <v>38</v>
      </c>
      <c r="C343" s="16">
        <v>28</v>
      </c>
      <c r="D343" s="16">
        <v>6</v>
      </c>
      <c r="E343" s="16" t="s">
        <v>307</v>
      </c>
      <c r="F343" s="16" t="s">
        <v>811</v>
      </c>
      <c r="G343" s="16">
        <v>0</v>
      </c>
      <c r="H343" s="16">
        <v>0</v>
      </c>
      <c r="I343" s="16">
        <v>0</v>
      </c>
      <c r="J343" s="16">
        <v>0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f>($J343*0.04)+($K343*4)+($L343*-2)+($N343*0.1)+($O343*6)+($Q343)+($R343*0.1)+($S343*6)+($T343*-2)</f>
        <v>0</v>
      </c>
      <c r="W343" s="16" t="e">
        <f>$P343/$H$33</f>
        <v>#DIV/0!</v>
      </c>
      <c r="X343" s="16" t="e">
        <f>$N343/$M343</f>
        <v>#DIV/0!</v>
      </c>
      <c r="Y343" s="16" t="e">
        <f>$R343/$Q343</f>
        <v>#DIV/0!</v>
      </c>
      <c r="Z343" s="16" t="e">
        <f>$I343/$H343</f>
        <v>#DIV/0!</v>
      </c>
      <c r="AA343" s="16" t="e">
        <f>$K343/$H343</f>
        <v>#DIV/0!</v>
      </c>
      <c r="AB343" s="16">
        <f>($J343*Cp_yd)+($K343*Cp_td)+($L343*Cint)+($M343*Ccar)+($N343*Cr_yd)+($O343*Cr_td)+(Q343*Crec)+($R343*Crec_yd)+($S343*Crec_td)+($T343*Cfmb)+($U343*Ctp_c)</f>
        <v>0</v>
      </c>
    </row>
    <row r="344" spans="1:28" x14ac:dyDescent="0.2">
      <c r="A344" s="15" t="s">
        <v>881</v>
      </c>
      <c r="B344" s="15" t="s">
        <v>26</v>
      </c>
      <c r="C344" s="15">
        <v>29</v>
      </c>
      <c r="D344" s="15">
        <v>7</v>
      </c>
      <c r="E344" s="15" t="s">
        <v>100</v>
      </c>
      <c r="F344" s="15" t="s">
        <v>866</v>
      </c>
      <c r="G344" s="15">
        <v>0</v>
      </c>
      <c r="H344" s="15">
        <v>0</v>
      </c>
      <c r="I344" s="15">
        <v>0</v>
      </c>
      <c r="J344" s="15">
        <v>0</v>
      </c>
      <c r="K344" s="15">
        <v>0</v>
      </c>
      <c r="L344" s="15">
        <v>0</v>
      </c>
      <c r="M344" s="15">
        <v>0</v>
      </c>
      <c r="N344" s="15">
        <v>0</v>
      </c>
      <c r="O344" s="15">
        <v>0</v>
      </c>
      <c r="P344" s="15">
        <v>0</v>
      </c>
      <c r="Q344" s="15">
        <v>0</v>
      </c>
      <c r="R344" s="15">
        <v>0</v>
      </c>
      <c r="S344" s="15">
        <v>0</v>
      </c>
      <c r="T344" s="15">
        <v>0</v>
      </c>
      <c r="U344" s="15">
        <v>0</v>
      </c>
      <c r="V344" s="15">
        <f>($J344*0.04)+($K344*4)+($L344*-2)+($N344*0.1)+($O344*6)+($Q344)+($R344*0.1)+($S344*6)+($T344*-2)</f>
        <v>0</v>
      </c>
      <c r="W344" s="15" t="e">
        <f>$P344/$H$33</f>
        <v>#DIV/0!</v>
      </c>
      <c r="X344" s="15" t="e">
        <f>$N344/$M344</f>
        <v>#DIV/0!</v>
      </c>
      <c r="Y344" s="15" t="e">
        <f>$R344/$Q344</f>
        <v>#DIV/0!</v>
      </c>
      <c r="Z344" s="15" t="e">
        <f>$I344/$H344</f>
        <v>#DIV/0!</v>
      </c>
      <c r="AA344" s="15" t="e">
        <f>$K344/$H344</f>
        <v>#DIV/0!</v>
      </c>
      <c r="AB344" s="15">
        <f>($J344*Cp_yd)+($K344*Cp_td)+($L344*Cint)+($M344*Ccar)+($N344*Cr_yd)+($O344*Cr_td)+(Q344*Crec)+($R344*Crec_yd)+($S344*Crec_td)+($T344*Cfmb)+($U344*Ctp_c)</f>
        <v>0</v>
      </c>
    </row>
    <row r="345" spans="1:28" x14ac:dyDescent="0.2">
      <c r="A345" s="16" t="s">
        <v>882</v>
      </c>
      <c r="B345" s="16" t="s">
        <v>26</v>
      </c>
      <c r="C345" s="16">
        <v>23</v>
      </c>
      <c r="D345" s="16">
        <v>3</v>
      </c>
      <c r="E345" s="16" t="s">
        <v>458</v>
      </c>
      <c r="F345" s="16" t="s">
        <v>866</v>
      </c>
      <c r="G345" s="16">
        <v>0</v>
      </c>
      <c r="H345" s="16">
        <v>0</v>
      </c>
      <c r="I345" s="16">
        <v>0</v>
      </c>
      <c r="J345" s="16">
        <v>0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f>($J345*0.04)+($K345*4)+($L345*-2)+($N345*0.1)+($O345*6)+($Q345)+($R345*0.1)+($S345*6)+($T345*-2)</f>
        <v>0</v>
      </c>
      <c r="W345" s="16" t="e">
        <f>$P345/$H$33</f>
        <v>#DIV/0!</v>
      </c>
      <c r="X345" s="16" t="e">
        <f>$N345/$M345</f>
        <v>#DIV/0!</v>
      </c>
      <c r="Y345" s="16" t="e">
        <f>$R345/$Q345</f>
        <v>#DIV/0!</v>
      </c>
      <c r="Z345" s="16" t="e">
        <f>$I345/$H345</f>
        <v>#DIV/0!</v>
      </c>
      <c r="AA345" s="16" t="e">
        <f>$K345/$H345</f>
        <v>#DIV/0!</v>
      </c>
      <c r="AB345" s="16">
        <f>($J345*Cp_yd)+($K345*Cp_td)+($L345*Cint)+($M345*Ccar)+($N345*Cr_yd)+($O345*Cr_td)+(Q345*Crec)+($R345*Crec_yd)+($S345*Crec_td)+($T345*Cfmb)+($U345*Ctp_c)</f>
        <v>0</v>
      </c>
    </row>
    <row r="346" spans="1:28" x14ac:dyDescent="0.2">
      <c r="A346" s="15" t="s">
        <v>885</v>
      </c>
      <c r="B346" s="15" t="s">
        <v>31</v>
      </c>
      <c r="C346" s="15">
        <v>21</v>
      </c>
      <c r="D346" s="15">
        <v>0</v>
      </c>
      <c r="E346" s="15" t="s">
        <v>464</v>
      </c>
      <c r="F346" s="15" t="s">
        <v>866</v>
      </c>
      <c r="G346" s="15">
        <v>0</v>
      </c>
      <c r="H346" s="15">
        <v>0</v>
      </c>
      <c r="I346" s="15">
        <v>0</v>
      </c>
      <c r="J346" s="15">
        <v>0</v>
      </c>
      <c r="K346" s="15">
        <v>0</v>
      </c>
      <c r="L346" s="15">
        <v>0</v>
      </c>
      <c r="M346" s="15">
        <v>0</v>
      </c>
      <c r="N346" s="15">
        <v>0</v>
      </c>
      <c r="O346" s="15">
        <v>0</v>
      </c>
      <c r="P346" s="15">
        <v>0</v>
      </c>
      <c r="Q346" s="15">
        <v>0</v>
      </c>
      <c r="R346" s="15">
        <v>0</v>
      </c>
      <c r="S346" s="15">
        <v>0</v>
      </c>
      <c r="T346" s="15">
        <v>0</v>
      </c>
      <c r="U346" s="15">
        <v>0</v>
      </c>
      <c r="V346" s="15">
        <f>($J346*0.04)+($K346*4)+($L346*-2)+($N346*0.1)+($O346*6)+($Q346)+($R346*0.1)+($S346*6)+($T346*-2)</f>
        <v>0</v>
      </c>
      <c r="W346" s="15" t="e">
        <f>$P346/$H$33</f>
        <v>#DIV/0!</v>
      </c>
      <c r="X346" s="15" t="e">
        <f>$N346/$M346</f>
        <v>#DIV/0!</v>
      </c>
      <c r="Y346" s="15" t="e">
        <f>$R346/$Q346</f>
        <v>#DIV/0!</v>
      </c>
      <c r="Z346" s="15" t="e">
        <f>$I346/$H346</f>
        <v>#DIV/0!</v>
      </c>
      <c r="AA346" s="15" t="e">
        <f>$K346/$H346</f>
        <v>#DIV/0!</v>
      </c>
      <c r="AB346" s="15">
        <f>($J346*Cp_yd)+($K346*Cp_td)+($L346*Cint)+($M346*Ccar)+($N346*Cr_yd)+($O346*Cr_td)+(Q346*Crec)+($R346*Crec_yd)+($S346*Crec_td)+($T346*Cfmb)+($U346*Ctp_c)</f>
        <v>0</v>
      </c>
    </row>
    <row r="347" spans="1:28" x14ac:dyDescent="0.2">
      <c r="A347" s="16" t="s">
        <v>886</v>
      </c>
      <c r="B347" s="16" t="s">
        <v>31</v>
      </c>
      <c r="C347" s="16">
        <v>23</v>
      </c>
      <c r="D347" s="16">
        <v>2</v>
      </c>
      <c r="E347" s="16" t="s">
        <v>240</v>
      </c>
      <c r="F347" s="16" t="s">
        <v>866</v>
      </c>
      <c r="G347" s="16">
        <v>0</v>
      </c>
      <c r="H347" s="16">
        <v>0</v>
      </c>
      <c r="I347" s="16">
        <v>0</v>
      </c>
      <c r="J347" s="16">
        <v>0</v>
      </c>
      <c r="K347" s="16">
        <v>0</v>
      </c>
      <c r="L347" s="16">
        <v>0</v>
      </c>
      <c r="M347" s="16">
        <v>0</v>
      </c>
      <c r="N347" s="16">
        <v>0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6">
        <v>0</v>
      </c>
      <c r="U347" s="16">
        <v>0</v>
      </c>
      <c r="V347" s="16">
        <f>($J347*0.04)+($K347*4)+($L347*-2)+($N347*0.1)+($O347*6)+($Q347)+($R347*0.1)+($S347*6)+($T347*-2)</f>
        <v>0</v>
      </c>
      <c r="W347" s="16" t="e">
        <f>$P347/$H$33</f>
        <v>#DIV/0!</v>
      </c>
      <c r="X347" s="16" t="e">
        <f>$N347/$M347</f>
        <v>#DIV/0!</v>
      </c>
      <c r="Y347" s="16" t="e">
        <f>$R347/$Q347</f>
        <v>#DIV/0!</v>
      </c>
      <c r="Z347" s="16" t="e">
        <f>$I347/$H347</f>
        <v>#DIV/0!</v>
      </c>
      <c r="AA347" s="16" t="e">
        <f>$K347/$H347</f>
        <v>#DIV/0!</v>
      </c>
      <c r="AB347" s="16">
        <f>($J347*Cp_yd)+($K347*Cp_td)+($L347*Cint)+($M347*Ccar)+($N347*Cr_yd)+($O347*Cr_td)+(Q347*Crec)+($R347*Crec_yd)+($S347*Crec_td)+($T347*Cfmb)+($U347*Ctp_c)</f>
        <v>0</v>
      </c>
    </row>
    <row r="348" spans="1:28" x14ac:dyDescent="0.2">
      <c r="A348" s="15" t="s">
        <v>887</v>
      </c>
      <c r="B348" s="15" t="s">
        <v>31</v>
      </c>
      <c r="C348" s="15">
        <v>24</v>
      </c>
      <c r="D348" s="15">
        <v>3</v>
      </c>
      <c r="E348" s="15" t="s">
        <v>458</v>
      </c>
      <c r="F348" s="15" t="s">
        <v>866</v>
      </c>
      <c r="G348" s="15">
        <v>0</v>
      </c>
      <c r="H348" s="15">
        <v>0</v>
      </c>
      <c r="I348" s="15">
        <v>0</v>
      </c>
      <c r="J348" s="15">
        <v>0</v>
      </c>
      <c r="K348" s="15">
        <v>0</v>
      </c>
      <c r="L348" s="15">
        <v>0</v>
      </c>
      <c r="M348" s="15">
        <v>0</v>
      </c>
      <c r="N348" s="15">
        <v>0</v>
      </c>
      <c r="O348" s="15">
        <v>0</v>
      </c>
      <c r="P348" s="15">
        <v>0</v>
      </c>
      <c r="Q348" s="15">
        <v>0</v>
      </c>
      <c r="R348" s="15">
        <v>0</v>
      </c>
      <c r="S348" s="15">
        <v>0</v>
      </c>
      <c r="T348" s="15">
        <v>0</v>
      </c>
      <c r="U348" s="15">
        <v>0</v>
      </c>
      <c r="V348" s="15">
        <f>($J348*0.04)+($K348*4)+($L348*-2)+($N348*0.1)+($O348*6)+($Q348)+($R348*0.1)+($S348*6)+($T348*-2)</f>
        <v>0</v>
      </c>
      <c r="W348" s="15" t="e">
        <f>$P348/$H$33</f>
        <v>#DIV/0!</v>
      </c>
      <c r="X348" s="15" t="e">
        <f>$N348/$M348</f>
        <v>#DIV/0!</v>
      </c>
      <c r="Y348" s="15" t="e">
        <f>$R348/$Q348</f>
        <v>#DIV/0!</v>
      </c>
      <c r="Z348" s="15" t="e">
        <f>$I348/$H348</f>
        <v>#DIV/0!</v>
      </c>
      <c r="AA348" s="15" t="e">
        <f>$K348/$H348</f>
        <v>#DIV/0!</v>
      </c>
      <c r="AB348" s="15">
        <f>($J348*Cp_yd)+($K348*Cp_td)+($L348*Cint)+($M348*Ccar)+($N348*Cr_yd)+($O348*Cr_td)+(Q348*Crec)+($R348*Crec_yd)+($S348*Crec_td)+($T348*Cfmb)+($U348*Ctp_c)</f>
        <v>0</v>
      </c>
    </row>
    <row r="349" spans="1:28" x14ac:dyDescent="0.2">
      <c r="A349" s="16" t="s">
        <v>888</v>
      </c>
      <c r="B349" s="16" t="s">
        <v>31</v>
      </c>
      <c r="C349" s="16">
        <v>26</v>
      </c>
      <c r="D349" s="16">
        <v>4</v>
      </c>
      <c r="E349" s="16" t="s">
        <v>393</v>
      </c>
      <c r="F349" s="16" t="s">
        <v>866</v>
      </c>
      <c r="G349" s="16">
        <v>0</v>
      </c>
      <c r="H349" s="16">
        <v>0</v>
      </c>
      <c r="I349" s="16">
        <v>0</v>
      </c>
      <c r="J349" s="16">
        <v>0</v>
      </c>
      <c r="K349" s="16">
        <v>0</v>
      </c>
      <c r="L349" s="16">
        <v>0</v>
      </c>
      <c r="M349" s="16">
        <v>0</v>
      </c>
      <c r="N349" s="16">
        <v>0</v>
      </c>
      <c r="O349" s="16">
        <v>0</v>
      </c>
      <c r="P349" s="16">
        <v>0</v>
      </c>
      <c r="Q349" s="16">
        <v>0</v>
      </c>
      <c r="R349" s="16">
        <v>0</v>
      </c>
      <c r="S349" s="16">
        <v>0</v>
      </c>
      <c r="T349" s="16">
        <v>0</v>
      </c>
      <c r="U349" s="16">
        <v>0</v>
      </c>
      <c r="V349" s="16">
        <f>($J349*0.04)+($K349*4)+($L349*-2)+($N349*0.1)+($O349*6)+($Q349)+($R349*0.1)+($S349*6)+($T349*-2)</f>
        <v>0</v>
      </c>
      <c r="W349" s="16" t="e">
        <f>$P349/$H$33</f>
        <v>#DIV/0!</v>
      </c>
      <c r="X349" s="16" t="e">
        <f>$N349/$M349</f>
        <v>#DIV/0!</v>
      </c>
      <c r="Y349" s="16" t="e">
        <f>$R349/$Q349</f>
        <v>#DIV/0!</v>
      </c>
      <c r="Z349" s="16" t="e">
        <f>$I349/$H349</f>
        <v>#DIV/0!</v>
      </c>
      <c r="AA349" s="16" t="e">
        <f>$K349/$H349</f>
        <v>#DIV/0!</v>
      </c>
      <c r="AB349" s="16">
        <f>($J349*Cp_yd)+($K349*Cp_td)+($L349*Cint)+($M349*Ccar)+($N349*Cr_yd)+($O349*Cr_td)+(Q349*Crec)+($R349*Crec_yd)+($S349*Crec_td)+($T349*Cfmb)+($U349*Ctp_c)</f>
        <v>0</v>
      </c>
    </row>
    <row r="350" spans="1:28" x14ac:dyDescent="0.2">
      <c r="A350" s="15" t="s">
        <v>889</v>
      </c>
      <c r="B350" s="15" t="s">
        <v>31</v>
      </c>
      <c r="C350" s="15">
        <v>27</v>
      </c>
      <c r="D350" s="15">
        <v>5</v>
      </c>
      <c r="E350" s="15" t="s">
        <v>80</v>
      </c>
      <c r="F350" s="15" t="s">
        <v>866</v>
      </c>
      <c r="G350" s="15">
        <v>0</v>
      </c>
      <c r="H350" s="15">
        <v>0</v>
      </c>
      <c r="I350" s="15">
        <v>0</v>
      </c>
      <c r="J350" s="15">
        <v>0</v>
      </c>
      <c r="K350" s="15">
        <v>0</v>
      </c>
      <c r="L350" s="15">
        <v>0</v>
      </c>
      <c r="M350" s="15">
        <v>0</v>
      </c>
      <c r="N350" s="15">
        <v>0</v>
      </c>
      <c r="O350" s="15">
        <v>0</v>
      </c>
      <c r="P350" s="15">
        <v>0</v>
      </c>
      <c r="Q350" s="15">
        <v>0</v>
      </c>
      <c r="R350" s="15">
        <v>0</v>
      </c>
      <c r="S350" s="15">
        <v>0</v>
      </c>
      <c r="T350" s="15">
        <v>0</v>
      </c>
      <c r="U350" s="15">
        <v>0</v>
      </c>
      <c r="V350" s="15">
        <f>($J350*0.04)+($K350*4)+($L350*-2)+($N350*0.1)+($O350*6)+($Q350)+($R350*0.1)+($S350*6)+($T350*-2)</f>
        <v>0</v>
      </c>
      <c r="W350" s="15" t="e">
        <f>$P350/$H$33</f>
        <v>#DIV/0!</v>
      </c>
      <c r="X350" s="15" t="e">
        <f>$N350/$M350</f>
        <v>#DIV/0!</v>
      </c>
      <c r="Y350" s="15" t="e">
        <f>$R350/$Q350</f>
        <v>#DIV/0!</v>
      </c>
      <c r="Z350" s="15" t="e">
        <f>$I350/$H350</f>
        <v>#DIV/0!</v>
      </c>
      <c r="AA350" s="15" t="e">
        <f>$K350/$H350</f>
        <v>#DIV/0!</v>
      </c>
      <c r="AB350" s="15">
        <f>($J350*Cp_yd)+($K350*Cp_td)+($L350*Cint)+($M350*Ccar)+($N350*Cr_yd)+($O350*Cr_td)+(Q350*Crec)+($R350*Crec_yd)+($S350*Crec_td)+($T350*Cfmb)+($U350*Ctp_c)</f>
        <v>0</v>
      </c>
    </row>
    <row r="351" spans="1:28" x14ac:dyDescent="0.2">
      <c r="A351" s="16" t="s">
        <v>891</v>
      </c>
      <c r="B351" s="16" t="s">
        <v>43</v>
      </c>
      <c r="C351" s="16">
        <v>28</v>
      </c>
      <c r="D351" s="16">
        <v>7</v>
      </c>
      <c r="E351" s="16" t="s">
        <v>211</v>
      </c>
      <c r="F351" s="16" t="s">
        <v>866</v>
      </c>
      <c r="G351" s="16">
        <v>0</v>
      </c>
      <c r="H351" s="16">
        <v>0</v>
      </c>
      <c r="I351" s="16">
        <v>0</v>
      </c>
      <c r="J351" s="16">
        <v>0</v>
      </c>
      <c r="K351" s="16">
        <v>0</v>
      </c>
      <c r="L351" s="16">
        <v>0</v>
      </c>
      <c r="M351" s="16">
        <v>0</v>
      </c>
      <c r="N351" s="16">
        <v>0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0</v>
      </c>
      <c r="V351" s="16">
        <f>($J351*0.04)+($K351*4)+($L351*-2)+($N351*0.1)+($O351*6)+($Q351)+($R351*0.1)+($S351*6)+($T351*-2)</f>
        <v>0</v>
      </c>
      <c r="W351" s="16" t="e">
        <f>$P351/$H$33</f>
        <v>#DIV/0!</v>
      </c>
      <c r="X351" s="16" t="e">
        <f>$N351/$M351</f>
        <v>#DIV/0!</v>
      </c>
      <c r="Y351" s="16" t="e">
        <f>$R351/$Q351</f>
        <v>#DIV/0!</v>
      </c>
      <c r="Z351" s="16" t="e">
        <f>$I351/$H351</f>
        <v>#DIV/0!</v>
      </c>
      <c r="AA351" s="16" t="e">
        <f>$K351/$H351</f>
        <v>#DIV/0!</v>
      </c>
      <c r="AB351" s="16">
        <f>($J351*Cp_yd)+($K351*Cp_td)+($L351*Cint)+($M351*Ccar)+($N351*Cr_yd)+($O351*Cr_td)+(Q351*Crec)+($R351*Crec_yd)+($S351*Crec_td)+($T351*Cfmb)+($U351*Ctp_c)</f>
        <v>0</v>
      </c>
    </row>
    <row r="352" spans="1:28" x14ac:dyDescent="0.2">
      <c r="A352" s="15" t="s">
        <v>892</v>
      </c>
      <c r="B352" s="15" t="s">
        <v>43</v>
      </c>
      <c r="C352" s="15">
        <v>23</v>
      </c>
      <c r="D352" s="15">
        <v>1</v>
      </c>
      <c r="E352" s="15" t="s">
        <v>362</v>
      </c>
      <c r="F352" s="15" t="s">
        <v>866</v>
      </c>
      <c r="G352" s="15">
        <v>0</v>
      </c>
      <c r="H352" s="15">
        <v>0</v>
      </c>
      <c r="I352" s="15">
        <v>0</v>
      </c>
      <c r="J352" s="15">
        <v>0</v>
      </c>
      <c r="K352" s="15">
        <v>0</v>
      </c>
      <c r="L352" s="15">
        <v>0</v>
      </c>
      <c r="M352" s="15">
        <v>0</v>
      </c>
      <c r="N352" s="15">
        <v>0</v>
      </c>
      <c r="O352" s="15">
        <v>0</v>
      </c>
      <c r="P352" s="15">
        <v>0</v>
      </c>
      <c r="Q352" s="15">
        <v>0</v>
      </c>
      <c r="R352" s="15">
        <v>0</v>
      </c>
      <c r="S352" s="15">
        <v>0</v>
      </c>
      <c r="T352" s="15">
        <v>0</v>
      </c>
      <c r="U352" s="15">
        <v>0</v>
      </c>
      <c r="V352" s="15">
        <f>($J352*0.04)+($K352*4)+($L352*-2)+($N352*0.1)+($O352*6)+($Q352)+($R352*0.1)+($S352*6)+($T352*-2)</f>
        <v>0</v>
      </c>
      <c r="W352" s="15" t="e">
        <f>$P352/$H$33</f>
        <v>#DIV/0!</v>
      </c>
      <c r="X352" s="15" t="e">
        <f>$N352/$M352</f>
        <v>#DIV/0!</v>
      </c>
      <c r="Y352" s="15" t="e">
        <f>$R352/$Q352</f>
        <v>#DIV/0!</v>
      </c>
      <c r="Z352" s="15" t="e">
        <f>$I352/$H352</f>
        <v>#DIV/0!</v>
      </c>
      <c r="AA352" s="15" t="e">
        <f>$K352/$H352</f>
        <v>#DIV/0!</v>
      </c>
      <c r="AB352" s="15">
        <f>($J352*Cp_yd)+($K352*Cp_td)+($L352*Cint)+($M352*Ccar)+($N352*Cr_yd)+($O352*Cr_td)+(Q352*Crec)+($R352*Crec_yd)+($S352*Crec_td)+($T352*Cfmb)+($U352*Ctp_c)</f>
        <v>0</v>
      </c>
    </row>
    <row r="353" spans="1:28" x14ac:dyDescent="0.2">
      <c r="A353" s="16" t="s">
        <v>893</v>
      </c>
      <c r="B353" s="16" t="s">
        <v>43</v>
      </c>
      <c r="C353" s="16">
        <v>24</v>
      </c>
      <c r="D353" s="16">
        <v>0</v>
      </c>
      <c r="E353" s="16" t="s">
        <v>894</v>
      </c>
      <c r="F353" s="16" t="s">
        <v>866</v>
      </c>
      <c r="G353" s="16">
        <v>0</v>
      </c>
      <c r="H353" s="16">
        <v>0</v>
      </c>
      <c r="I353" s="16">
        <v>0</v>
      </c>
      <c r="J353" s="16">
        <v>0</v>
      </c>
      <c r="K353" s="16">
        <v>0</v>
      </c>
      <c r="L353" s="16">
        <v>0</v>
      </c>
      <c r="M353" s="16">
        <v>0</v>
      </c>
      <c r="N353" s="16">
        <v>0</v>
      </c>
      <c r="O353" s="16">
        <v>0</v>
      </c>
      <c r="P353" s="16">
        <v>0</v>
      </c>
      <c r="Q353" s="16">
        <v>0</v>
      </c>
      <c r="R353" s="16">
        <v>0</v>
      </c>
      <c r="S353" s="16">
        <v>0</v>
      </c>
      <c r="T353" s="16">
        <v>0</v>
      </c>
      <c r="U353" s="16">
        <v>0</v>
      </c>
      <c r="V353" s="16">
        <f>($J353*0.04)+($K353*4)+($L353*-2)+($N353*0.1)+($O353*6)+($Q353)+($R353*0.1)+($S353*6)+($T353*-2)</f>
        <v>0</v>
      </c>
      <c r="W353" s="16" t="e">
        <f>$P353/$H$33</f>
        <v>#DIV/0!</v>
      </c>
      <c r="X353" s="16" t="e">
        <f>$N353/$M353</f>
        <v>#DIV/0!</v>
      </c>
      <c r="Y353" s="16" t="e">
        <f>$R353/$Q353</f>
        <v>#DIV/0!</v>
      </c>
      <c r="Z353" s="16" t="e">
        <f>$I353/$H353</f>
        <v>#DIV/0!</v>
      </c>
      <c r="AA353" s="16" t="e">
        <f>$K353/$H353</f>
        <v>#DIV/0!</v>
      </c>
      <c r="AB353" s="16">
        <f>($J353*Cp_yd)+($K353*Cp_td)+($L353*Cint)+($M353*Ccar)+($N353*Cr_yd)+($O353*Cr_td)+(Q353*Crec)+($R353*Crec_yd)+($S353*Crec_td)+($T353*Cfmb)+($U353*Ctp_c)</f>
        <v>0</v>
      </c>
    </row>
    <row r="354" spans="1:28" x14ac:dyDescent="0.2">
      <c r="A354" s="15" t="s">
        <v>895</v>
      </c>
      <c r="B354" s="15" t="s">
        <v>43</v>
      </c>
      <c r="C354" s="15">
        <v>26</v>
      </c>
      <c r="D354" s="15">
        <v>3</v>
      </c>
      <c r="E354" s="15" t="s">
        <v>282</v>
      </c>
      <c r="F354" s="15" t="s">
        <v>866</v>
      </c>
      <c r="G354" s="15">
        <v>0</v>
      </c>
      <c r="H354" s="15">
        <v>0</v>
      </c>
      <c r="I354" s="15">
        <v>0</v>
      </c>
      <c r="J354" s="15">
        <v>0</v>
      </c>
      <c r="K354" s="15">
        <v>0</v>
      </c>
      <c r="L354" s="15">
        <v>0</v>
      </c>
      <c r="M354" s="15">
        <v>0</v>
      </c>
      <c r="N354" s="15">
        <v>0</v>
      </c>
      <c r="O354" s="15">
        <v>0</v>
      </c>
      <c r="P354" s="15">
        <v>0</v>
      </c>
      <c r="Q354" s="15">
        <v>0</v>
      </c>
      <c r="R354" s="15">
        <v>0</v>
      </c>
      <c r="S354" s="15">
        <v>0</v>
      </c>
      <c r="T354" s="15">
        <v>0</v>
      </c>
      <c r="U354" s="15">
        <v>0</v>
      </c>
      <c r="V354" s="15">
        <f>($J354*0.04)+($K354*4)+($L354*-2)+($N354*0.1)+($O354*6)+($Q354)+($R354*0.1)+($S354*6)+($T354*-2)</f>
        <v>0</v>
      </c>
      <c r="W354" s="15" t="e">
        <f>$P354/$H$33</f>
        <v>#DIV/0!</v>
      </c>
      <c r="X354" s="15" t="e">
        <f>$N354/$M354</f>
        <v>#DIV/0!</v>
      </c>
      <c r="Y354" s="15" t="e">
        <f>$R354/$Q354</f>
        <v>#DIV/0!</v>
      </c>
      <c r="Z354" s="15" t="e">
        <f>$I354/$H354</f>
        <v>#DIV/0!</v>
      </c>
      <c r="AA354" s="15" t="e">
        <f>$K354/$H354</f>
        <v>#DIV/0!</v>
      </c>
      <c r="AB354" s="15">
        <f>($J354*Cp_yd)+($K354*Cp_td)+($L354*Cint)+($M354*Ccar)+($N354*Cr_yd)+($O354*Cr_td)+(Q354*Crec)+($R354*Crec_yd)+($S354*Crec_td)+($T354*Cfmb)+($U354*Ctp_c)</f>
        <v>0</v>
      </c>
    </row>
    <row r="355" spans="1:28" x14ac:dyDescent="0.2">
      <c r="A355" s="16" t="s">
        <v>896</v>
      </c>
      <c r="B355" s="16" t="s">
        <v>43</v>
      </c>
      <c r="C355" s="16">
        <v>23</v>
      </c>
      <c r="D355" s="16">
        <v>0</v>
      </c>
      <c r="E355" s="16" t="s">
        <v>227</v>
      </c>
      <c r="F355" s="16" t="s">
        <v>866</v>
      </c>
      <c r="G355" s="16">
        <v>0</v>
      </c>
      <c r="H355" s="16">
        <v>0</v>
      </c>
      <c r="I355" s="16">
        <v>0</v>
      </c>
      <c r="J355" s="16">
        <v>0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f>($J355*0.04)+($K355*4)+($L355*-2)+($N355*0.1)+($O355*6)+($Q355)+($R355*0.1)+($S355*6)+($T355*-2)</f>
        <v>0</v>
      </c>
      <c r="W355" s="16" t="e">
        <f>$P355/$H$33</f>
        <v>#DIV/0!</v>
      </c>
      <c r="X355" s="16" t="e">
        <f>$N355/$M355</f>
        <v>#DIV/0!</v>
      </c>
      <c r="Y355" s="16" t="e">
        <f>$R355/$Q355</f>
        <v>#DIV/0!</v>
      </c>
      <c r="Z355" s="16" t="e">
        <f>$I355/$H355</f>
        <v>#DIV/0!</v>
      </c>
      <c r="AA355" s="16" t="e">
        <f>$K355/$H355</f>
        <v>#DIV/0!</v>
      </c>
      <c r="AB355" s="16">
        <f>($J355*Cp_yd)+($K355*Cp_td)+($L355*Cint)+($M355*Ccar)+($N355*Cr_yd)+($O355*Cr_td)+(Q355*Crec)+($R355*Crec_yd)+($S355*Crec_td)+($T355*Cfmb)+($U355*Ctp_c)</f>
        <v>0</v>
      </c>
    </row>
    <row r="356" spans="1:28" x14ac:dyDescent="0.2">
      <c r="A356" s="15" t="s">
        <v>897</v>
      </c>
      <c r="B356" s="15" t="s">
        <v>43</v>
      </c>
      <c r="C356" s="15">
        <v>25</v>
      </c>
      <c r="D356" s="15">
        <v>2</v>
      </c>
      <c r="E356" s="15" t="s">
        <v>898</v>
      </c>
      <c r="F356" s="15" t="s">
        <v>866</v>
      </c>
      <c r="G356" s="15">
        <v>0</v>
      </c>
      <c r="H356" s="15">
        <v>0</v>
      </c>
      <c r="I356" s="15">
        <v>0</v>
      </c>
      <c r="J356" s="15">
        <v>0</v>
      </c>
      <c r="K356" s="15">
        <v>0</v>
      </c>
      <c r="L356" s="15">
        <v>0</v>
      </c>
      <c r="M356" s="15">
        <v>0</v>
      </c>
      <c r="N356" s="15">
        <v>0</v>
      </c>
      <c r="O356" s="15">
        <v>0</v>
      </c>
      <c r="P356" s="15">
        <v>0</v>
      </c>
      <c r="Q356" s="15">
        <v>0</v>
      </c>
      <c r="R356" s="15">
        <v>0</v>
      </c>
      <c r="S356" s="15">
        <v>0</v>
      </c>
      <c r="T356" s="15">
        <v>0</v>
      </c>
      <c r="U356" s="15">
        <v>0</v>
      </c>
      <c r="V356" s="15">
        <f>($J356*0.04)+($K356*4)+($L356*-2)+($N356*0.1)+($O356*6)+($Q356)+($R356*0.1)+($S356*6)+($T356*-2)</f>
        <v>0</v>
      </c>
      <c r="W356" s="15" t="e">
        <f>$P356/$H$33</f>
        <v>#DIV/0!</v>
      </c>
      <c r="X356" s="15" t="e">
        <f>$N356/$M356</f>
        <v>#DIV/0!</v>
      </c>
      <c r="Y356" s="15" t="e">
        <f>$R356/$Q356</f>
        <v>#DIV/0!</v>
      </c>
      <c r="Z356" s="15" t="e">
        <f>$I356/$H356</f>
        <v>#DIV/0!</v>
      </c>
      <c r="AA356" s="15" t="e">
        <f>$K356/$H356</f>
        <v>#DIV/0!</v>
      </c>
      <c r="AB356" s="15">
        <f>($J356*Cp_yd)+($K356*Cp_td)+($L356*Cint)+($M356*Ccar)+($N356*Cr_yd)+($O356*Cr_td)+(Q356*Crec)+($R356*Crec_yd)+($S356*Crec_td)+($T356*Cfmb)+($U356*Ctp_c)</f>
        <v>0</v>
      </c>
    </row>
    <row r="357" spans="1:28" x14ac:dyDescent="0.2">
      <c r="A357" s="16" t="s">
        <v>899</v>
      </c>
      <c r="B357" s="16" t="s">
        <v>43</v>
      </c>
      <c r="C357" s="16">
        <v>28</v>
      </c>
      <c r="D357" s="16">
        <v>7</v>
      </c>
      <c r="E357" s="16" t="s">
        <v>220</v>
      </c>
      <c r="F357" s="16" t="s">
        <v>866</v>
      </c>
      <c r="G357" s="16">
        <v>0</v>
      </c>
      <c r="H357" s="16">
        <v>0</v>
      </c>
      <c r="I357" s="16">
        <v>0</v>
      </c>
      <c r="J357" s="16">
        <v>0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f>($J357*0.04)+($K357*4)+($L357*-2)+($N357*0.1)+($O357*6)+($Q357)+($R357*0.1)+($S357*6)+($T357*-2)</f>
        <v>0</v>
      </c>
      <c r="W357" s="16" t="e">
        <f>$P357/$H$33</f>
        <v>#DIV/0!</v>
      </c>
      <c r="X357" s="16" t="e">
        <f>$N357/$M357</f>
        <v>#DIV/0!</v>
      </c>
      <c r="Y357" s="16" t="e">
        <f>$R357/$Q357</f>
        <v>#DIV/0!</v>
      </c>
      <c r="Z357" s="16" t="e">
        <f>$I357/$H357</f>
        <v>#DIV/0!</v>
      </c>
      <c r="AA357" s="16" t="e">
        <f>$K357/$H357</f>
        <v>#DIV/0!</v>
      </c>
      <c r="AB357" s="16">
        <f>($J357*Cp_yd)+($K357*Cp_td)+($L357*Cint)+($M357*Ccar)+($N357*Cr_yd)+($O357*Cr_td)+(Q357*Crec)+($R357*Crec_yd)+($S357*Crec_td)+($T357*Cfmb)+($U357*Ctp_c)</f>
        <v>0</v>
      </c>
    </row>
    <row r="358" spans="1:28" x14ac:dyDescent="0.2">
      <c r="A358" s="15" t="s">
        <v>900</v>
      </c>
      <c r="B358" s="15" t="s">
        <v>43</v>
      </c>
      <c r="C358" s="15">
        <v>26</v>
      </c>
      <c r="D358" s="15">
        <v>6</v>
      </c>
      <c r="E358" s="15" t="s">
        <v>307</v>
      </c>
      <c r="F358" s="15" t="s">
        <v>866</v>
      </c>
      <c r="G358" s="15">
        <v>0</v>
      </c>
      <c r="H358" s="15">
        <v>0</v>
      </c>
      <c r="I358" s="15">
        <v>0</v>
      </c>
      <c r="J358" s="15">
        <v>0</v>
      </c>
      <c r="K358" s="15">
        <v>0</v>
      </c>
      <c r="L358" s="15">
        <v>0</v>
      </c>
      <c r="M358" s="15">
        <v>0</v>
      </c>
      <c r="N358" s="15">
        <v>0</v>
      </c>
      <c r="O358" s="15">
        <v>0</v>
      </c>
      <c r="P358" s="15">
        <v>0</v>
      </c>
      <c r="Q358" s="15">
        <v>0</v>
      </c>
      <c r="R358" s="15">
        <v>0</v>
      </c>
      <c r="S358" s="15">
        <v>0</v>
      </c>
      <c r="T358" s="15">
        <v>0</v>
      </c>
      <c r="U358" s="15">
        <v>0</v>
      </c>
      <c r="V358" s="15">
        <f>($J358*0.04)+($K358*4)+($L358*-2)+($N358*0.1)+($O358*6)+($Q358)+($R358*0.1)+($S358*6)+($T358*-2)</f>
        <v>0</v>
      </c>
      <c r="W358" s="15" t="e">
        <f>$P358/$H$33</f>
        <v>#DIV/0!</v>
      </c>
      <c r="X358" s="15" t="e">
        <f>$N358/$M358</f>
        <v>#DIV/0!</v>
      </c>
      <c r="Y358" s="15" t="e">
        <f>$R358/$Q358</f>
        <v>#DIV/0!</v>
      </c>
      <c r="Z358" s="15" t="e">
        <f>$I358/$H358</f>
        <v>#DIV/0!</v>
      </c>
      <c r="AA358" s="15" t="e">
        <f>$K358/$H358</f>
        <v>#DIV/0!</v>
      </c>
      <c r="AB358" s="15">
        <f>($J358*Cp_yd)+($K358*Cp_td)+($L358*Cint)+($M358*Ccar)+($N358*Cr_yd)+($O358*Cr_td)+(Q358*Crec)+($R358*Crec_yd)+($S358*Crec_td)+($T358*Cfmb)+($U358*Ctp_c)</f>
        <v>0</v>
      </c>
    </row>
    <row r="359" spans="1:28" x14ac:dyDescent="0.2">
      <c r="A359" s="16" t="s">
        <v>901</v>
      </c>
      <c r="B359" s="16" t="s">
        <v>43</v>
      </c>
      <c r="C359" s="16">
        <v>24</v>
      </c>
      <c r="D359" s="16">
        <v>0</v>
      </c>
      <c r="E359" s="16" t="s">
        <v>248</v>
      </c>
      <c r="F359" s="16" t="s">
        <v>866</v>
      </c>
      <c r="G359" s="16">
        <v>0</v>
      </c>
      <c r="H359" s="16">
        <v>0</v>
      </c>
      <c r="I359" s="16">
        <v>0</v>
      </c>
      <c r="J359" s="16">
        <v>0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f>($J359*0.04)+($K359*4)+($L359*-2)+($N359*0.1)+($O359*6)+($Q359)+($R359*0.1)+($S359*6)+($T359*-2)</f>
        <v>0</v>
      </c>
      <c r="W359" s="16" t="e">
        <f>$P359/$H$33</f>
        <v>#DIV/0!</v>
      </c>
      <c r="X359" s="16" t="e">
        <f>$N359/$M359</f>
        <v>#DIV/0!</v>
      </c>
      <c r="Y359" s="16" t="e">
        <f>$R359/$Q359</f>
        <v>#DIV/0!</v>
      </c>
      <c r="Z359" s="16" t="e">
        <f>$I359/$H359</f>
        <v>#DIV/0!</v>
      </c>
      <c r="AA359" s="16" t="e">
        <f>$K359/$H359</f>
        <v>#DIV/0!</v>
      </c>
      <c r="AB359" s="16">
        <f>($J359*Cp_yd)+($K359*Cp_td)+($L359*Cint)+($M359*Ccar)+($N359*Cr_yd)+($O359*Cr_td)+(Q359*Crec)+($R359*Crec_yd)+($S359*Crec_td)+($T359*Cfmb)+($U359*Ctp_c)</f>
        <v>0</v>
      </c>
    </row>
    <row r="360" spans="1:28" x14ac:dyDescent="0.2">
      <c r="A360" s="15" t="s">
        <v>902</v>
      </c>
      <c r="B360" s="15" t="s">
        <v>43</v>
      </c>
      <c r="C360" s="15">
        <v>25</v>
      </c>
      <c r="D360" s="15">
        <v>2</v>
      </c>
      <c r="E360" s="15" t="s">
        <v>72</v>
      </c>
      <c r="F360" s="15" t="s">
        <v>866</v>
      </c>
      <c r="G360" s="15">
        <v>0</v>
      </c>
      <c r="H360" s="15">
        <v>0</v>
      </c>
      <c r="I360" s="15">
        <v>0</v>
      </c>
      <c r="J360" s="15">
        <v>0</v>
      </c>
      <c r="K360" s="15">
        <v>0</v>
      </c>
      <c r="L360" s="15">
        <v>0</v>
      </c>
      <c r="M360" s="15">
        <v>0</v>
      </c>
      <c r="N360" s="15">
        <v>0</v>
      </c>
      <c r="O360" s="15">
        <v>0</v>
      </c>
      <c r="P360" s="15">
        <v>0</v>
      </c>
      <c r="Q360" s="15">
        <v>0</v>
      </c>
      <c r="R360" s="15">
        <v>0</v>
      </c>
      <c r="S360" s="15">
        <v>0</v>
      </c>
      <c r="T360" s="15">
        <v>0</v>
      </c>
      <c r="U360" s="15">
        <v>0</v>
      </c>
      <c r="V360" s="15">
        <f>($J360*0.04)+($K360*4)+($L360*-2)+($N360*0.1)+($O360*6)+($Q360)+($R360*0.1)+($S360*6)+($T360*-2)</f>
        <v>0</v>
      </c>
      <c r="W360" s="15" t="e">
        <f>$P360/$H$33</f>
        <v>#DIV/0!</v>
      </c>
      <c r="X360" s="15" t="e">
        <f>$N360/$M360</f>
        <v>#DIV/0!</v>
      </c>
      <c r="Y360" s="15" t="e">
        <f>$R360/$Q360</f>
        <v>#DIV/0!</v>
      </c>
      <c r="Z360" s="15" t="e">
        <f>$I360/$H360</f>
        <v>#DIV/0!</v>
      </c>
      <c r="AA360" s="15" t="e">
        <f>$K360/$H360</f>
        <v>#DIV/0!</v>
      </c>
      <c r="AB360" s="15">
        <f>($J360*Cp_yd)+($K360*Cp_td)+($L360*Cint)+($M360*Ccar)+($N360*Cr_yd)+($O360*Cr_td)+(Q360*Crec)+($R360*Crec_yd)+($S360*Crec_td)+($T360*Cfmb)+($U360*Ctp_c)</f>
        <v>0</v>
      </c>
    </row>
    <row r="361" spans="1:28" x14ac:dyDescent="0.2">
      <c r="A361" s="16" t="s">
        <v>903</v>
      </c>
      <c r="B361" s="16" t="s">
        <v>43</v>
      </c>
      <c r="C361" s="16">
        <v>28</v>
      </c>
      <c r="D361" s="16">
        <v>5</v>
      </c>
      <c r="E361" s="16" t="s">
        <v>153</v>
      </c>
      <c r="F361" s="16" t="s">
        <v>866</v>
      </c>
      <c r="G361" s="16">
        <v>0</v>
      </c>
      <c r="H361" s="16">
        <v>0</v>
      </c>
      <c r="I361" s="16">
        <v>0</v>
      </c>
      <c r="J361" s="16">
        <v>0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f>($J361*0.04)+($K361*4)+($L361*-2)+($N361*0.1)+($O361*6)+($Q361)+($R361*0.1)+($S361*6)+($T361*-2)</f>
        <v>0</v>
      </c>
      <c r="W361" s="16" t="e">
        <f>$P361/$H$33</f>
        <v>#DIV/0!</v>
      </c>
      <c r="X361" s="16" t="e">
        <f>$N361/$M361</f>
        <v>#DIV/0!</v>
      </c>
      <c r="Y361" s="16" t="e">
        <f>$R361/$Q361</f>
        <v>#DIV/0!</v>
      </c>
      <c r="Z361" s="16" t="e">
        <f>$I361/$H361</f>
        <v>#DIV/0!</v>
      </c>
      <c r="AA361" s="16" t="e">
        <f>$K361/$H361</f>
        <v>#DIV/0!</v>
      </c>
      <c r="AB361" s="16">
        <f>($J361*Cp_yd)+($K361*Cp_td)+($L361*Cint)+($M361*Ccar)+($N361*Cr_yd)+($O361*Cr_td)+(Q361*Crec)+($R361*Crec_yd)+($S361*Crec_td)+($T361*Cfmb)+($U361*Ctp_c)</f>
        <v>0</v>
      </c>
    </row>
    <row r="362" spans="1:28" x14ac:dyDescent="0.2">
      <c r="A362" s="15" t="s">
        <v>904</v>
      </c>
      <c r="B362" s="15" t="s">
        <v>43</v>
      </c>
      <c r="C362" s="15">
        <v>21</v>
      </c>
      <c r="D362" s="15">
        <v>0</v>
      </c>
      <c r="E362" s="15" t="s">
        <v>339</v>
      </c>
      <c r="F362" s="15" t="s">
        <v>866</v>
      </c>
      <c r="G362" s="15">
        <v>0</v>
      </c>
      <c r="H362" s="15">
        <v>0</v>
      </c>
      <c r="I362" s="15">
        <v>0</v>
      </c>
      <c r="J362" s="15">
        <v>0</v>
      </c>
      <c r="K362" s="15">
        <v>0</v>
      </c>
      <c r="L362" s="15">
        <v>0</v>
      </c>
      <c r="M362" s="15">
        <v>0</v>
      </c>
      <c r="N362" s="15">
        <v>0</v>
      </c>
      <c r="O362" s="15">
        <v>0</v>
      </c>
      <c r="P362" s="15">
        <v>0</v>
      </c>
      <c r="Q362" s="15">
        <v>0</v>
      </c>
      <c r="R362" s="15">
        <v>0</v>
      </c>
      <c r="S362" s="15">
        <v>0</v>
      </c>
      <c r="T362" s="15">
        <v>0</v>
      </c>
      <c r="U362" s="15">
        <v>0</v>
      </c>
      <c r="V362" s="15">
        <f>($J362*0.04)+($K362*4)+($L362*-2)+($N362*0.1)+($O362*6)+($Q362)+($R362*0.1)+($S362*6)+($T362*-2)</f>
        <v>0</v>
      </c>
      <c r="W362" s="15" t="e">
        <f>$P362/$H$33</f>
        <v>#DIV/0!</v>
      </c>
      <c r="X362" s="15" t="e">
        <f>$N362/$M362</f>
        <v>#DIV/0!</v>
      </c>
      <c r="Y362" s="15" t="e">
        <f>$R362/$Q362</f>
        <v>#DIV/0!</v>
      </c>
      <c r="Z362" s="15" t="e">
        <f>$I362/$H362</f>
        <v>#DIV/0!</v>
      </c>
      <c r="AA362" s="15" t="e">
        <f>$K362/$H362</f>
        <v>#DIV/0!</v>
      </c>
      <c r="AB362" s="15">
        <f>($J362*Cp_yd)+($K362*Cp_td)+($L362*Cint)+($M362*Ccar)+($N362*Cr_yd)+($O362*Cr_td)+(Q362*Crec)+($R362*Crec_yd)+($S362*Crec_td)+($T362*Cfmb)+($U362*Ctp_c)</f>
        <v>0</v>
      </c>
    </row>
    <row r="363" spans="1:28" x14ac:dyDescent="0.2">
      <c r="A363" s="16" t="s">
        <v>906</v>
      </c>
      <c r="B363" s="16" t="s">
        <v>38</v>
      </c>
      <c r="C363" s="16">
        <v>28</v>
      </c>
      <c r="D363" s="16">
        <v>7</v>
      </c>
      <c r="E363" s="16" t="s">
        <v>240</v>
      </c>
      <c r="F363" s="16" t="s">
        <v>866</v>
      </c>
      <c r="G363" s="16">
        <v>0</v>
      </c>
      <c r="H363" s="16">
        <v>0</v>
      </c>
      <c r="I363" s="16">
        <v>0</v>
      </c>
      <c r="J363" s="16">
        <v>0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f>($J363*0.04)+($K363*4)+($L363*-2)+($N363*0.1)+($O363*6)+($Q363)+($R363*0.1)+($S363*6)+($T363*-2)</f>
        <v>0</v>
      </c>
      <c r="W363" s="16" t="e">
        <f>$P363/$H$33</f>
        <v>#DIV/0!</v>
      </c>
      <c r="X363" s="16" t="e">
        <f>$N363/$M363</f>
        <v>#DIV/0!</v>
      </c>
      <c r="Y363" s="16" t="e">
        <f>$R363/$Q363</f>
        <v>#DIV/0!</v>
      </c>
      <c r="Z363" s="16" t="e">
        <f>$I363/$H363</f>
        <v>#DIV/0!</v>
      </c>
      <c r="AA363" s="16" t="e">
        <f>$K363/$H363</f>
        <v>#DIV/0!</v>
      </c>
      <c r="AB363" s="16">
        <f>($J363*Cp_yd)+($K363*Cp_td)+($L363*Cint)+($M363*Ccar)+($N363*Cr_yd)+($O363*Cr_td)+(Q363*Crec)+($R363*Crec_yd)+($S363*Crec_td)+($T363*Cfmb)+($U363*Ctp_c)</f>
        <v>0</v>
      </c>
    </row>
    <row r="364" spans="1:28" x14ac:dyDescent="0.2">
      <c r="A364" s="15" t="s">
        <v>907</v>
      </c>
      <c r="B364" s="15" t="s">
        <v>38</v>
      </c>
      <c r="C364" s="15">
        <v>25</v>
      </c>
      <c r="D364" s="15">
        <v>3</v>
      </c>
      <c r="E364" s="15" t="s">
        <v>213</v>
      </c>
      <c r="F364" s="15" t="s">
        <v>866</v>
      </c>
      <c r="G364" s="15">
        <v>0</v>
      </c>
      <c r="H364" s="15">
        <v>0</v>
      </c>
      <c r="I364" s="15">
        <v>0</v>
      </c>
      <c r="J364" s="15">
        <v>0</v>
      </c>
      <c r="K364" s="15">
        <v>0</v>
      </c>
      <c r="L364" s="15">
        <v>0</v>
      </c>
      <c r="M364" s="15">
        <v>0</v>
      </c>
      <c r="N364" s="15">
        <v>0</v>
      </c>
      <c r="O364" s="15">
        <v>0</v>
      </c>
      <c r="P364" s="15">
        <v>0</v>
      </c>
      <c r="Q364" s="15">
        <v>0</v>
      </c>
      <c r="R364" s="15">
        <v>0</v>
      </c>
      <c r="S364" s="15">
        <v>0</v>
      </c>
      <c r="T364" s="15">
        <v>0</v>
      </c>
      <c r="U364" s="15">
        <v>0</v>
      </c>
      <c r="V364" s="15">
        <f>($J364*0.04)+($K364*4)+($L364*-2)+($N364*0.1)+($O364*6)+($Q364)+($R364*0.1)+($S364*6)+($T364*-2)</f>
        <v>0</v>
      </c>
      <c r="W364" s="15" t="e">
        <f>$P364/$H$33</f>
        <v>#DIV/0!</v>
      </c>
      <c r="X364" s="15" t="e">
        <f>$N364/$M364</f>
        <v>#DIV/0!</v>
      </c>
      <c r="Y364" s="15" t="e">
        <f>$R364/$Q364</f>
        <v>#DIV/0!</v>
      </c>
      <c r="Z364" s="15" t="e">
        <f>$I364/$H364</f>
        <v>#DIV/0!</v>
      </c>
      <c r="AA364" s="15" t="e">
        <f>$K364/$H364</f>
        <v>#DIV/0!</v>
      </c>
      <c r="AB364" s="15">
        <f>($J364*Cp_yd)+($K364*Cp_td)+($L364*Cint)+($M364*Ccar)+($N364*Cr_yd)+($O364*Cr_td)+(Q364*Crec)+($R364*Crec_yd)+($S364*Crec_td)+($T364*Cfmb)+($U364*Ctp_c)</f>
        <v>0</v>
      </c>
    </row>
    <row r="365" spans="1:28" x14ac:dyDescent="0.2">
      <c r="A365" s="16" t="s">
        <v>908</v>
      </c>
      <c r="B365" s="16" t="s">
        <v>38</v>
      </c>
      <c r="C365" s="16">
        <v>25</v>
      </c>
      <c r="D365" s="16">
        <v>1</v>
      </c>
      <c r="E365" s="16" t="s">
        <v>909</v>
      </c>
      <c r="F365" s="16" t="s">
        <v>866</v>
      </c>
      <c r="G365" s="16">
        <v>0</v>
      </c>
      <c r="H365" s="16">
        <v>0</v>
      </c>
      <c r="I365" s="16">
        <v>0</v>
      </c>
      <c r="J365" s="16">
        <v>0</v>
      </c>
      <c r="K365" s="16">
        <v>0</v>
      </c>
      <c r="L365" s="16">
        <v>0</v>
      </c>
      <c r="M365" s="16">
        <v>0</v>
      </c>
      <c r="N365" s="16">
        <v>0</v>
      </c>
      <c r="O365" s="16">
        <v>0</v>
      </c>
      <c r="P365" s="16">
        <v>0</v>
      </c>
      <c r="Q365" s="16">
        <v>0</v>
      </c>
      <c r="R365" s="16">
        <v>0</v>
      </c>
      <c r="S365" s="16">
        <v>0</v>
      </c>
      <c r="T365" s="16">
        <v>0</v>
      </c>
      <c r="U365" s="16">
        <v>0</v>
      </c>
      <c r="V365" s="16">
        <f>($J365*0.04)+($K365*4)+($L365*-2)+($N365*0.1)+($O365*6)+($Q365)+($R365*0.1)+($S365*6)+($T365*-2)</f>
        <v>0</v>
      </c>
      <c r="W365" s="16" t="e">
        <f>$P365/$H$33</f>
        <v>#DIV/0!</v>
      </c>
      <c r="X365" s="16" t="e">
        <f>$N365/$M365</f>
        <v>#DIV/0!</v>
      </c>
      <c r="Y365" s="16" t="e">
        <f>$R365/$Q365</f>
        <v>#DIV/0!</v>
      </c>
      <c r="Z365" s="16" t="e">
        <f>$I365/$H365</f>
        <v>#DIV/0!</v>
      </c>
      <c r="AA365" s="16" t="e">
        <f>$K365/$H365</f>
        <v>#DIV/0!</v>
      </c>
      <c r="AB365" s="16">
        <f>($J365*Cp_yd)+($K365*Cp_td)+($L365*Cint)+($M365*Ccar)+($N365*Cr_yd)+($O365*Cr_td)+(Q365*Crec)+($R365*Crec_yd)+($S365*Crec_td)+($T365*Cfmb)+($U365*Ctp_c)</f>
        <v>0</v>
      </c>
    </row>
    <row r="366" spans="1:28" x14ac:dyDescent="0.2">
      <c r="A366" s="15" t="s">
        <v>910</v>
      </c>
      <c r="B366" s="15" t="s">
        <v>38</v>
      </c>
      <c r="C366" s="15">
        <v>25</v>
      </c>
      <c r="D366" s="15">
        <v>1</v>
      </c>
      <c r="E366" s="15" t="s">
        <v>335</v>
      </c>
      <c r="F366" s="15" t="s">
        <v>866</v>
      </c>
      <c r="G366" s="15">
        <v>0</v>
      </c>
      <c r="H366" s="15">
        <v>0</v>
      </c>
      <c r="I366" s="15">
        <v>0</v>
      </c>
      <c r="J366" s="15">
        <v>0</v>
      </c>
      <c r="K366" s="15">
        <v>0</v>
      </c>
      <c r="L366" s="15">
        <v>0</v>
      </c>
      <c r="M366" s="15">
        <v>0</v>
      </c>
      <c r="N366" s="15">
        <v>0</v>
      </c>
      <c r="O366" s="15">
        <v>0</v>
      </c>
      <c r="P366" s="15">
        <v>0</v>
      </c>
      <c r="Q366" s="15">
        <v>0</v>
      </c>
      <c r="R366" s="15">
        <v>0</v>
      </c>
      <c r="S366" s="15">
        <v>0</v>
      </c>
      <c r="T366" s="15">
        <v>0</v>
      </c>
      <c r="U366" s="15">
        <v>0</v>
      </c>
      <c r="V366" s="15">
        <f>($J366*0.04)+($K366*4)+($L366*-2)+($N366*0.1)+($O366*6)+($Q366)+($R366*0.1)+($S366*6)+($T366*-2)</f>
        <v>0</v>
      </c>
      <c r="W366" s="15" t="e">
        <f>$P366/$H$33</f>
        <v>#DIV/0!</v>
      </c>
      <c r="X366" s="15" t="e">
        <f>$N366/$M366</f>
        <v>#DIV/0!</v>
      </c>
      <c r="Y366" s="15" t="e">
        <f>$R366/$Q366</f>
        <v>#DIV/0!</v>
      </c>
      <c r="Z366" s="15" t="e">
        <f>$I366/$H366</f>
        <v>#DIV/0!</v>
      </c>
      <c r="AA366" s="15" t="e">
        <f>$K366/$H366</f>
        <v>#DIV/0!</v>
      </c>
      <c r="AB366" s="15">
        <f>($J366*Cp_yd)+($K366*Cp_td)+($L366*Cint)+($M366*Ccar)+($N366*Cr_yd)+($O366*Cr_td)+(Q366*Crec)+($R366*Crec_yd)+($S366*Crec_td)+($T366*Cfmb)+($U366*Ctp_c)</f>
        <v>0</v>
      </c>
    </row>
    <row r="367" spans="1:28" x14ac:dyDescent="0.2">
      <c r="A367" s="16" t="s">
        <v>911</v>
      </c>
      <c r="B367" s="16" t="s">
        <v>38</v>
      </c>
      <c r="C367" s="16">
        <v>27</v>
      </c>
      <c r="D367" s="16">
        <v>2</v>
      </c>
      <c r="E367" s="16" t="s">
        <v>912</v>
      </c>
      <c r="F367" s="16" t="s">
        <v>866</v>
      </c>
      <c r="G367" s="16">
        <v>0</v>
      </c>
      <c r="H367" s="16">
        <v>0</v>
      </c>
      <c r="I367" s="16">
        <v>0</v>
      </c>
      <c r="J367" s="16">
        <v>0</v>
      </c>
      <c r="K367" s="16">
        <v>0</v>
      </c>
      <c r="L367" s="16">
        <v>0</v>
      </c>
      <c r="M367" s="16">
        <v>0</v>
      </c>
      <c r="N367" s="16">
        <v>0</v>
      </c>
      <c r="O367" s="16">
        <v>0</v>
      </c>
      <c r="P367" s="16">
        <v>0</v>
      </c>
      <c r="Q367" s="16">
        <v>0</v>
      </c>
      <c r="R367" s="16">
        <v>0</v>
      </c>
      <c r="S367" s="16">
        <v>0</v>
      </c>
      <c r="T367" s="16">
        <v>0</v>
      </c>
      <c r="U367" s="16">
        <v>0</v>
      </c>
      <c r="V367" s="16">
        <f>($J367*0.04)+($K367*4)+($L367*-2)+($N367*0.1)+($O367*6)+($Q367)+($R367*0.1)+($S367*6)+($T367*-2)</f>
        <v>0</v>
      </c>
      <c r="W367" s="16" t="e">
        <f>$P367/$H$33</f>
        <v>#DIV/0!</v>
      </c>
      <c r="X367" s="16" t="e">
        <f>$N367/$M367</f>
        <v>#DIV/0!</v>
      </c>
      <c r="Y367" s="16" t="e">
        <f>$R367/$Q367</f>
        <v>#DIV/0!</v>
      </c>
      <c r="Z367" s="16" t="e">
        <f>$I367/$H367</f>
        <v>#DIV/0!</v>
      </c>
      <c r="AA367" s="16" t="e">
        <f>$K367/$H367</f>
        <v>#DIV/0!</v>
      </c>
      <c r="AB367" s="16">
        <f>($J367*Cp_yd)+($K367*Cp_td)+($L367*Cint)+($M367*Ccar)+($N367*Cr_yd)+($O367*Cr_td)+(Q367*Crec)+($R367*Crec_yd)+($S367*Crec_td)+($T367*Cfmb)+($U367*Ctp_c)</f>
        <v>0</v>
      </c>
    </row>
    <row r="368" spans="1:28" x14ac:dyDescent="0.2">
      <c r="A368" s="15" t="s">
        <v>913</v>
      </c>
      <c r="B368" s="15" t="s">
        <v>38</v>
      </c>
      <c r="C368" s="15">
        <v>22</v>
      </c>
      <c r="D368" s="15">
        <v>0</v>
      </c>
      <c r="E368" s="15" t="s">
        <v>339</v>
      </c>
      <c r="F368" s="15" t="s">
        <v>866</v>
      </c>
      <c r="G368" s="15">
        <v>0</v>
      </c>
      <c r="H368" s="15">
        <v>0</v>
      </c>
      <c r="I368" s="15">
        <v>0</v>
      </c>
      <c r="J368" s="15">
        <v>0</v>
      </c>
      <c r="K368" s="15">
        <v>0</v>
      </c>
      <c r="L368" s="15">
        <v>0</v>
      </c>
      <c r="M368" s="15">
        <v>0</v>
      </c>
      <c r="N368" s="15">
        <v>0</v>
      </c>
      <c r="O368" s="15">
        <v>0</v>
      </c>
      <c r="P368" s="15">
        <v>0</v>
      </c>
      <c r="Q368" s="15">
        <v>0</v>
      </c>
      <c r="R368" s="15">
        <v>0</v>
      </c>
      <c r="S368" s="15">
        <v>0</v>
      </c>
      <c r="T368" s="15">
        <v>0</v>
      </c>
      <c r="U368" s="15">
        <v>0</v>
      </c>
      <c r="V368" s="15">
        <f>($J368*0.04)+($K368*4)+($L368*-2)+($N368*0.1)+($O368*6)+($Q368)+($R368*0.1)+($S368*6)+($T368*-2)</f>
        <v>0</v>
      </c>
      <c r="W368" s="15" t="e">
        <f>$P368/$H$33</f>
        <v>#DIV/0!</v>
      </c>
      <c r="X368" s="15" t="e">
        <f>$N368/$M368</f>
        <v>#DIV/0!</v>
      </c>
      <c r="Y368" s="15" t="e">
        <f>$R368/$Q368</f>
        <v>#DIV/0!</v>
      </c>
      <c r="Z368" s="15" t="e">
        <f>$I368/$H368</f>
        <v>#DIV/0!</v>
      </c>
      <c r="AA368" s="15" t="e">
        <f>$K368/$H368</f>
        <v>#DIV/0!</v>
      </c>
      <c r="AB368" s="15">
        <f>($J368*Cp_yd)+($K368*Cp_td)+($L368*Cint)+($M368*Ccar)+($N368*Cr_yd)+($O368*Cr_td)+(Q368*Crec)+($R368*Crec_yd)+($S368*Crec_td)+($T368*Cfmb)+($U368*Ctp_c)</f>
        <v>0</v>
      </c>
    </row>
    <row r="369" spans="1:28" x14ac:dyDescent="0.2">
      <c r="A369" s="16" t="s">
        <v>933</v>
      </c>
      <c r="B369" s="16" t="s">
        <v>26</v>
      </c>
      <c r="C369" s="16">
        <v>25</v>
      </c>
      <c r="D369" s="16">
        <v>3</v>
      </c>
      <c r="E369" s="16" t="s">
        <v>237</v>
      </c>
      <c r="F369" s="16" t="s">
        <v>916</v>
      </c>
      <c r="G369" s="16">
        <v>0</v>
      </c>
      <c r="H369" s="16">
        <v>0</v>
      </c>
      <c r="I369" s="16">
        <v>0</v>
      </c>
      <c r="J369" s="16">
        <v>0</v>
      </c>
      <c r="K369" s="16">
        <v>0</v>
      </c>
      <c r="L369" s="16">
        <v>0</v>
      </c>
      <c r="M369" s="16">
        <v>0</v>
      </c>
      <c r="N369" s="16">
        <v>0</v>
      </c>
      <c r="O369" s="16">
        <v>0</v>
      </c>
      <c r="P369" s="16">
        <v>0</v>
      </c>
      <c r="Q369" s="16">
        <v>0</v>
      </c>
      <c r="R369" s="16">
        <v>0</v>
      </c>
      <c r="S369" s="16">
        <v>0</v>
      </c>
      <c r="T369" s="16">
        <v>0</v>
      </c>
      <c r="U369" s="16">
        <v>0</v>
      </c>
      <c r="V369" s="16">
        <f>($J369*0.04)+($K369*4)+($L369*-2)+($N369*0.1)+($O369*6)+($Q369)+($R369*0.1)+($S369*6)+($T369*-2)</f>
        <v>0</v>
      </c>
      <c r="W369" s="16" t="e">
        <f>$P369/$H$33</f>
        <v>#DIV/0!</v>
      </c>
      <c r="X369" s="16" t="e">
        <f>$N369/$M369</f>
        <v>#DIV/0!</v>
      </c>
      <c r="Y369" s="16" t="e">
        <f>$R369/$Q369</f>
        <v>#DIV/0!</v>
      </c>
      <c r="Z369" s="16" t="e">
        <f>$I369/$H369</f>
        <v>#DIV/0!</v>
      </c>
      <c r="AA369" s="16" t="e">
        <f>$K369/$H369</f>
        <v>#DIV/0!</v>
      </c>
      <c r="AB369" s="16">
        <f>($J369*Cp_yd)+($K369*Cp_td)+($L369*Cint)+($M369*Ccar)+($N369*Cr_td)+($O369*Cr_yd)+(Q369*Crec)+($R369*Crec_yd)+($S369*Crec_td)+($T369*Cfmb)+($U369*Ctp_c)</f>
        <v>0</v>
      </c>
    </row>
    <row r="370" spans="1:28" x14ac:dyDescent="0.2">
      <c r="A370" s="15" t="s">
        <v>934</v>
      </c>
      <c r="B370" s="15" t="s">
        <v>26</v>
      </c>
      <c r="C370" s="15">
        <v>33</v>
      </c>
      <c r="D370" s="15">
        <v>13</v>
      </c>
      <c r="E370" s="15" t="s">
        <v>613</v>
      </c>
      <c r="F370" s="15" t="s">
        <v>916</v>
      </c>
      <c r="G370" s="15">
        <v>0</v>
      </c>
      <c r="H370" s="15">
        <v>0</v>
      </c>
      <c r="I370" s="15">
        <v>0</v>
      </c>
      <c r="J370" s="15">
        <v>0</v>
      </c>
      <c r="K370" s="15">
        <v>0</v>
      </c>
      <c r="L370" s="15">
        <v>0</v>
      </c>
      <c r="M370" s="15">
        <v>0</v>
      </c>
      <c r="N370" s="15">
        <v>0</v>
      </c>
      <c r="O370" s="15">
        <v>0</v>
      </c>
      <c r="P370" s="15">
        <v>0</v>
      </c>
      <c r="Q370" s="15">
        <v>0</v>
      </c>
      <c r="R370" s="15">
        <v>0</v>
      </c>
      <c r="S370" s="15">
        <v>0</v>
      </c>
      <c r="T370" s="15">
        <v>0</v>
      </c>
      <c r="U370" s="15">
        <v>0</v>
      </c>
      <c r="V370" s="15">
        <f>($J370*0.04)+($K370*4)+($L370*-2)+($N370*0.1)+($O370*6)+($Q370)+($R370*0.1)+($S370*6)+($T370*-2)</f>
        <v>0</v>
      </c>
      <c r="W370" s="15" t="e">
        <f>$P370/$H$33</f>
        <v>#DIV/0!</v>
      </c>
      <c r="X370" s="15" t="e">
        <f>$N370/$M370</f>
        <v>#DIV/0!</v>
      </c>
      <c r="Y370" s="15" t="e">
        <f>$R370/$Q370</f>
        <v>#DIV/0!</v>
      </c>
      <c r="Z370" s="15" t="e">
        <f>$I370/$H370</f>
        <v>#DIV/0!</v>
      </c>
      <c r="AA370" s="15" t="e">
        <f>$K370/$H370</f>
        <v>#DIV/0!</v>
      </c>
      <c r="AB370" s="15">
        <f>($J370*Cp_yd)+($K370*Cp_td)+($L370*Cint)+($M370*Ccar)+($N370*Cr_td)+($O370*Cr_yd)+(Q370*Crec)+($R370*Crec_yd)+($S370*Crec_td)+($T370*Cfmb)+($U370*Ctp_c)</f>
        <v>0</v>
      </c>
    </row>
    <row r="371" spans="1:28" x14ac:dyDescent="0.2">
      <c r="A371" s="16" t="s">
        <v>935</v>
      </c>
      <c r="B371" s="16" t="s">
        <v>26</v>
      </c>
      <c r="C371" s="16">
        <v>27</v>
      </c>
      <c r="D371" s="16">
        <v>7</v>
      </c>
      <c r="E371" s="16" t="s">
        <v>511</v>
      </c>
      <c r="F371" s="16" t="s">
        <v>916</v>
      </c>
      <c r="G371" s="16">
        <v>0</v>
      </c>
      <c r="H371" s="16">
        <v>0</v>
      </c>
      <c r="I371" s="16">
        <v>0</v>
      </c>
      <c r="J371" s="16">
        <v>0</v>
      </c>
      <c r="K371" s="16">
        <v>0</v>
      </c>
      <c r="L371" s="16">
        <v>0</v>
      </c>
      <c r="M371" s="16">
        <v>0</v>
      </c>
      <c r="N371" s="16">
        <v>0</v>
      </c>
      <c r="O371" s="16">
        <v>0</v>
      </c>
      <c r="P371" s="16">
        <v>0</v>
      </c>
      <c r="Q371" s="16">
        <v>0</v>
      </c>
      <c r="R371" s="16">
        <v>0</v>
      </c>
      <c r="S371" s="16">
        <v>0</v>
      </c>
      <c r="T371" s="16">
        <v>0</v>
      </c>
      <c r="U371" s="16">
        <v>0</v>
      </c>
      <c r="V371" s="16">
        <f>($J371*0.04)+($K371*4)+($L371*-2)+($N371*0.1)+($O371*6)+($Q371)+($R371*0.1)+($S371*6)+($T371*-2)</f>
        <v>0</v>
      </c>
      <c r="W371" s="16" t="e">
        <f>$P371/$H$33</f>
        <v>#DIV/0!</v>
      </c>
      <c r="X371" s="16" t="e">
        <f>$N371/$M371</f>
        <v>#DIV/0!</v>
      </c>
      <c r="Y371" s="16" t="e">
        <f>$R371/$Q371</f>
        <v>#DIV/0!</v>
      </c>
      <c r="Z371" s="16" t="e">
        <f>$I371/$H371</f>
        <v>#DIV/0!</v>
      </c>
      <c r="AA371" s="16" t="e">
        <f>$K371/$H371</f>
        <v>#DIV/0!</v>
      </c>
      <c r="AB371" s="16">
        <f>($J371*Cp_yd)+($K371*Cp_td)+($L371*Cint)+($M371*Ccar)+($N371*Cr_td)+($O371*Cr_yd)+(Q371*Crec)+($R371*Crec_yd)+($S371*Crec_td)+($T371*Cfmb)+($U371*Ctp_c)</f>
        <v>0</v>
      </c>
    </row>
    <row r="372" spans="1:28" x14ac:dyDescent="0.2">
      <c r="A372" s="15" t="s">
        <v>937</v>
      </c>
      <c r="B372" s="15" t="s">
        <v>31</v>
      </c>
      <c r="C372" s="15">
        <v>24</v>
      </c>
      <c r="D372" s="15">
        <v>4</v>
      </c>
      <c r="E372" s="15" t="s">
        <v>227</v>
      </c>
      <c r="F372" s="15" t="s">
        <v>916</v>
      </c>
      <c r="G372" s="15">
        <v>0</v>
      </c>
      <c r="H372" s="15">
        <v>0</v>
      </c>
      <c r="I372" s="15">
        <v>0</v>
      </c>
      <c r="J372" s="15">
        <v>0</v>
      </c>
      <c r="K372" s="15">
        <v>0</v>
      </c>
      <c r="L372" s="15">
        <v>0</v>
      </c>
      <c r="M372" s="15">
        <v>0</v>
      </c>
      <c r="N372" s="15">
        <v>0</v>
      </c>
      <c r="O372" s="15">
        <v>0</v>
      </c>
      <c r="P372" s="15">
        <v>0</v>
      </c>
      <c r="Q372" s="15">
        <v>0</v>
      </c>
      <c r="R372" s="15">
        <v>0</v>
      </c>
      <c r="S372" s="15">
        <v>0</v>
      </c>
      <c r="T372" s="15">
        <v>0</v>
      </c>
      <c r="U372" s="15">
        <v>0</v>
      </c>
      <c r="V372" s="15">
        <f>($J372*0.04)+($K372*4)+($L372*-2)+($N372*0.1)+($O372*6)+($Q372)+($R372*0.1)+($S372*6)+($T372*-2)</f>
        <v>0</v>
      </c>
      <c r="W372" s="15" t="e">
        <f>$P372/$H$33</f>
        <v>#DIV/0!</v>
      </c>
      <c r="X372" s="15" t="e">
        <f>$N372/$M372</f>
        <v>#DIV/0!</v>
      </c>
      <c r="Y372" s="15" t="e">
        <f>$R372/$Q372</f>
        <v>#DIV/0!</v>
      </c>
      <c r="Z372" s="15" t="e">
        <f>$I372/$H372</f>
        <v>#DIV/0!</v>
      </c>
      <c r="AA372" s="15" t="e">
        <f>$K372/$H372</f>
        <v>#DIV/0!</v>
      </c>
      <c r="AB372" s="15">
        <f>($J372*Cp_yd)+($K372*Cp_td)+($L372*Cint)+($M372*Ccar)+($N372*Cr_yd)+($O372*Cr_td)+(Q372*Crec)+($R372*Crec_yd)+($S372*Crec_td)+($T372*Cfmb)+($U372*Ctp_c)</f>
        <v>0</v>
      </c>
    </row>
    <row r="373" spans="1:28" x14ac:dyDescent="0.2">
      <c r="A373" s="16" t="s">
        <v>938</v>
      </c>
      <c r="B373" s="16" t="s">
        <v>31</v>
      </c>
      <c r="C373" s="16">
        <v>31</v>
      </c>
      <c r="D373" s="16">
        <v>10</v>
      </c>
      <c r="E373" s="16" t="s">
        <v>939</v>
      </c>
      <c r="F373" s="16" t="s">
        <v>916</v>
      </c>
      <c r="G373" s="16">
        <v>0</v>
      </c>
      <c r="H373" s="16">
        <v>0</v>
      </c>
      <c r="I373" s="16">
        <v>0</v>
      </c>
      <c r="J373" s="16">
        <v>0</v>
      </c>
      <c r="K373" s="16">
        <v>0</v>
      </c>
      <c r="L373" s="16">
        <v>0</v>
      </c>
      <c r="M373" s="16">
        <v>0</v>
      </c>
      <c r="N373" s="16">
        <v>0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f>($J373*0.04)+($K373*4)+($L373*-2)+($N373*0.1)+($O373*6)+($Q373)+($R373*0.1)+($S373*6)+($T373*-2)</f>
        <v>0</v>
      </c>
      <c r="W373" s="16" t="e">
        <f>$P373/$H$33</f>
        <v>#DIV/0!</v>
      </c>
      <c r="X373" s="16" t="e">
        <f>$N373/$M373</f>
        <v>#DIV/0!</v>
      </c>
      <c r="Y373" s="16" t="e">
        <f>$R373/$Q373</f>
        <v>#DIV/0!</v>
      </c>
      <c r="Z373" s="16" t="e">
        <f>$I373/$H373</f>
        <v>#DIV/0!</v>
      </c>
      <c r="AA373" s="16" t="e">
        <f>$K373/$H373</f>
        <v>#DIV/0!</v>
      </c>
      <c r="AB373" s="16">
        <f>($J373*Cp_yd)+($K373*Cp_td)+($L373*Cint)+($M373*Ccar)+($N373*Cr_yd)+($O373*Cr_td)+(Q373*Crec)+($R373*Crec_yd)+($S373*Crec_td)+($T373*Cfmb)+($U373*Ctp_c)</f>
        <v>0</v>
      </c>
    </row>
    <row r="374" spans="1:28" x14ac:dyDescent="0.2">
      <c r="A374" s="15" t="s">
        <v>940</v>
      </c>
      <c r="B374" s="15" t="s">
        <v>31</v>
      </c>
      <c r="C374" s="15">
        <v>24</v>
      </c>
      <c r="D374" s="15">
        <v>2</v>
      </c>
      <c r="E374" s="15" t="s">
        <v>215</v>
      </c>
      <c r="F374" s="15" t="s">
        <v>916</v>
      </c>
      <c r="G374" s="15">
        <v>0</v>
      </c>
      <c r="H374" s="15">
        <v>0</v>
      </c>
      <c r="I374" s="15">
        <v>0</v>
      </c>
      <c r="J374" s="15">
        <v>0</v>
      </c>
      <c r="K374" s="15">
        <v>0</v>
      </c>
      <c r="L374" s="15">
        <v>0</v>
      </c>
      <c r="M374" s="15">
        <v>0</v>
      </c>
      <c r="N374" s="15">
        <v>0</v>
      </c>
      <c r="O374" s="15">
        <v>0</v>
      </c>
      <c r="P374" s="15">
        <v>0</v>
      </c>
      <c r="Q374" s="15">
        <v>0</v>
      </c>
      <c r="R374" s="15">
        <v>0</v>
      </c>
      <c r="S374" s="15">
        <v>0</v>
      </c>
      <c r="T374" s="15">
        <v>0</v>
      </c>
      <c r="U374" s="15">
        <v>0</v>
      </c>
      <c r="V374" s="15">
        <f>($J374*0.04)+($K374*4)+($L374*-2)+($N374*0.1)+($O374*6)+($Q374)+($R374*0.1)+($S374*6)+($T374*-2)</f>
        <v>0</v>
      </c>
      <c r="W374" s="15" t="e">
        <f>$P374/$H$33</f>
        <v>#DIV/0!</v>
      </c>
      <c r="X374" s="15" t="e">
        <f>$N374/$M374</f>
        <v>#DIV/0!</v>
      </c>
      <c r="Y374" s="15" t="e">
        <f>$R374/$Q374</f>
        <v>#DIV/0!</v>
      </c>
      <c r="Z374" s="15" t="e">
        <f>$I374/$H374</f>
        <v>#DIV/0!</v>
      </c>
      <c r="AA374" s="15" t="e">
        <f>$K374/$H374</f>
        <v>#DIV/0!</v>
      </c>
      <c r="AB374" s="15">
        <f>($J374*Cp_yd)+($K374*Cp_td)+($L374*Cint)+($M374*Ccar)+($N374*Cr_yd)+($O374*Cr_td)+(Q374*Crec)+($R374*Crec_yd)+($S374*Crec_td)+($T374*Cfmb)+($U374*Ctp_c)</f>
        <v>0</v>
      </c>
    </row>
    <row r="375" spans="1:28" x14ac:dyDescent="0.2">
      <c r="A375" s="16" t="s">
        <v>941</v>
      </c>
      <c r="B375" s="16" t="s">
        <v>31</v>
      </c>
      <c r="C375" s="16">
        <v>25</v>
      </c>
      <c r="D375" s="16">
        <v>3</v>
      </c>
      <c r="E375" s="16" t="s">
        <v>178</v>
      </c>
      <c r="F375" s="16" t="s">
        <v>916</v>
      </c>
      <c r="G375" s="16">
        <v>0</v>
      </c>
      <c r="H375" s="16">
        <v>0</v>
      </c>
      <c r="I375" s="16">
        <v>0</v>
      </c>
      <c r="J375" s="16">
        <v>0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f>($J375*0.04)+($K375*4)+($L375*-2)+($N375*0.1)+($O375*6)+($Q375)+($R375*0.1)+($S375*6)+($T375*-2)</f>
        <v>0</v>
      </c>
      <c r="W375" s="16" t="e">
        <f>$P375/$H$33</f>
        <v>#DIV/0!</v>
      </c>
      <c r="X375" s="16" t="e">
        <f>$N375/$M375</f>
        <v>#DIV/0!</v>
      </c>
      <c r="Y375" s="16" t="e">
        <f>$R375/$Q375</f>
        <v>#DIV/0!</v>
      </c>
      <c r="Z375" s="16" t="e">
        <f>$I375/$H375</f>
        <v>#DIV/0!</v>
      </c>
      <c r="AA375" s="16" t="e">
        <f>$K375/$H375</f>
        <v>#DIV/0!</v>
      </c>
      <c r="AB375" s="16">
        <f>($J375*Cp_yd)+($K375*Cp_td)+($L375*Cint)+($M375*Ccar)+($N375*Cr_yd)+($O375*Cr_td)+(Q375*Crec)+($R375*Crec_yd)+($S375*Crec_td)+($T375*Cfmb)+($U375*Ctp_c)</f>
        <v>0</v>
      </c>
    </row>
    <row r="376" spans="1:28" x14ac:dyDescent="0.2">
      <c r="A376" s="15" t="s">
        <v>944</v>
      </c>
      <c r="B376" s="15" t="s">
        <v>43</v>
      </c>
      <c r="C376" s="15">
        <v>25</v>
      </c>
      <c r="D376" s="15">
        <v>0</v>
      </c>
      <c r="E376" s="15" t="s">
        <v>666</v>
      </c>
      <c r="F376" s="15" t="s">
        <v>916</v>
      </c>
      <c r="G376" s="15">
        <v>0</v>
      </c>
      <c r="H376" s="15">
        <v>0</v>
      </c>
      <c r="I376" s="15">
        <v>0</v>
      </c>
      <c r="J376" s="15">
        <v>0</v>
      </c>
      <c r="K376" s="15">
        <v>0</v>
      </c>
      <c r="L376" s="15">
        <v>0</v>
      </c>
      <c r="M376" s="15">
        <v>0</v>
      </c>
      <c r="N376" s="15">
        <v>0</v>
      </c>
      <c r="O376" s="15">
        <v>0</v>
      </c>
      <c r="P376" s="15">
        <v>0</v>
      </c>
      <c r="Q376" s="15">
        <v>0</v>
      </c>
      <c r="R376" s="15">
        <v>0</v>
      </c>
      <c r="S376" s="15">
        <v>0</v>
      </c>
      <c r="T376" s="15">
        <v>0</v>
      </c>
      <c r="U376" s="15">
        <v>0</v>
      </c>
      <c r="V376" s="15">
        <f>($J376*0.04)+($K376*4)+($L376*-2)+($N376*0.1)+($O376*6)+($Q376)+($R376*0.1)+($S376*6)+($T376*-2)</f>
        <v>0</v>
      </c>
      <c r="W376" s="15" t="e">
        <f>$P376/$H$33</f>
        <v>#DIV/0!</v>
      </c>
      <c r="X376" s="15" t="e">
        <f>$N376/$M376</f>
        <v>#DIV/0!</v>
      </c>
      <c r="Y376" s="15" t="e">
        <f>$R376/$Q376</f>
        <v>#DIV/0!</v>
      </c>
      <c r="Z376" s="15" t="e">
        <f>$I376/$H376</f>
        <v>#DIV/0!</v>
      </c>
      <c r="AA376" s="15" t="e">
        <f>$K376/$H376</f>
        <v>#DIV/0!</v>
      </c>
      <c r="AB376" s="15">
        <f>($J376*Cp_yd)+($K376*Cp_td)+($L376*Cint)+($M376*Ccar)+($N376*Cr_yd)+($O376*Cr_td)+(Q376*Crec)+($R376*Crec_yd)+($S376*Crec_td)+($T376*Cfmb)+($U376*Ctp_c)</f>
        <v>0</v>
      </c>
    </row>
    <row r="377" spans="1:28" x14ac:dyDescent="0.2">
      <c r="A377" s="16" t="s">
        <v>945</v>
      </c>
      <c r="B377" s="16" t="s">
        <v>43</v>
      </c>
      <c r="C377" s="16">
        <v>22</v>
      </c>
      <c r="D377" s="16">
        <v>1</v>
      </c>
      <c r="E377" s="16" t="s">
        <v>240</v>
      </c>
      <c r="F377" s="16" t="s">
        <v>916</v>
      </c>
      <c r="G377" s="16">
        <v>0</v>
      </c>
      <c r="H377" s="16">
        <v>0</v>
      </c>
      <c r="I377" s="16">
        <v>0</v>
      </c>
      <c r="J377" s="16">
        <v>0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f>($J377*0.04)+($K377*4)+($L377*-2)+($N377*0.1)+($O377*6)+($Q377)+($R377*0.1)+($S377*6)+($T377*-2)</f>
        <v>0</v>
      </c>
      <c r="W377" s="16" t="e">
        <f>$P377/$H$33</f>
        <v>#DIV/0!</v>
      </c>
      <c r="X377" s="16" t="e">
        <f>$N377/$M377</f>
        <v>#DIV/0!</v>
      </c>
      <c r="Y377" s="16" t="e">
        <f>$R377/$Q377</f>
        <v>#DIV/0!</v>
      </c>
      <c r="Z377" s="16" t="e">
        <f>$I377/$H377</f>
        <v>#DIV/0!</v>
      </c>
      <c r="AA377" s="16" t="e">
        <f>$K377/$H377</f>
        <v>#DIV/0!</v>
      </c>
      <c r="AB377" s="16">
        <f>($J377*Cp_yd)+($K377*Cp_td)+($L377*Cint)+($M377*Ccar)+($N377*Cr_yd)+($O377*Cr_td)+(Q377*Crec)+($R377*Crec_yd)+($S377*Crec_td)+($T377*Cfmb)+($U377*Ctp_c)</f>
        <v>0</v>
      </c>
    </row>
    <row r="378" spans="1:28" x14ac:dyDescent="0.2">
      <c r="A378" s="15" t="s">
        <v>946</v>
      </c>
      <c r="B378" s="15" t="s">
        <v>43</v>
      </c>
      <c r="C378" s="15">
        <v>24</v>
      </c>
      <c r="D378" s="15">
        <v>1</v>
      </c>
      <c r="E378" s="15" t="s">
        <v>360</v>
      </c>
      <c r="F378" s="15" t="s">
        <v>916</v>
      </c>
      <c r="G378" s="15">
        <v>0</v>
      </c>
      <c r="H378" s="15">
        <v>0</v>
      </c>
      <c r="I378" s="15">
        <v>0</v>
      </c>
      <c r="J378" s="15">
        <v>0</v>
      </c>
      <c r="K378" s="15">
        <v>0</v>
      </c>
      <c r="L378" s="15">
        <v>0</v>
      </c>
      <c r="M378" s="15">
        <v>0</v>
      </c>
      <c r="N378" s="15">
        <v>0</v>
      </c>
      <c r="O378" s="15">
        <v>0</v>
      </c>
      <c r="P378" s="15">
        <v>0</v>
      </c>
      <c r="Q378" s="15">
        <v>0</v>
      </c>
      <c r="R378" s="15">
        <v>0</v>
      </c>
      <c r="S378" s="15">
        <v>0</v>
      </c>
      <c r="T378" s="15">
        <v>0</v>
      </c>
      <c r="U378" s="15">
        <v>0</v>
      </c>
      <c r="V378" s="15">
        <f>($J378*0.04)+($K378*4)+($L378*-2)+($N378*0.1)+($O378*6)+($Q378)+($R378*0.1)+($S378*6)+($T378*-2)</f>
        <v>0</v>
      </c>
      <c r="W378" s="15" t="e">
        <f>$P378/$H$33</f>
        <v>#DIV/0!</v>
      </c>
      <c r="X378" s="15" t="e">
        <f>$N378/$M378</f>
        <v>#DIV/0!</v>
      </c>
      <c r="Y378" s="15" t="e">
        <f>$R378/$Q378</f>
        <v>#DIV/0!</v>
      </c>
      <c r="Z378" s="15" t="e">
        <f>$I378/$H378</f>
        <v>#DIV/0!</v>
      </c>
      <c r="AA378" s="15" t="e">
        <f>$K378/$H378</f>
        <v>#DIV/0!</v>
      </c>
      <c r="AB378" s="15">
        <f>($J378*Cp_yd)+($K378*Cp_td)+($L378*Cint)+($M378*Ccar)+($N378*Cr_yd)+($O378*Cr_td)+(Q378*Crec)+($R378*Crec_yd)+($S378*Crec_td)+($T378*Cfmb)+($U378*Ctp_c)</f>
        <v>0</v>
      </c>
    </row>
    <row r="379" spans="1:28" x14ac:dyDescent="0.2">
      <c r="A379" s="16" t="s">
        <v>947</v>
      </c>
      <c r="B379" s="16" t="s">
        <v>43</v>
      </c>
      <c r="C379" s="16">
        <v>27</v>
      </c>
      <c r="D379" s="16">
        <v>6</v>
      </c>
      <c r="E379" s="16" t="s">
        <v>298</v>
      </c>
      <c r="F379" s="16" t="s">
        <v>916</v>
      </c>
      <c r="G379" s="16">
        <v>0</v>
      </c>
      <c r="H379" s="16">
        <v>0</v>
      </c>
      <c r="I379" s="16">
        <v>0</v>
      </c>
      <c r="J379" s="16">
        <v>0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f>($J379*0.04)+($K379*4)+($L379*-2)+($N379*0.1)+($O379*6)+($Q379)+($R379*0.1)+($S379*6)+($T379*-2)</f>
        <v>0</v>
      </c>
      <c r="W379" s="16" t="e">
        <f>$P379/$H$33</f>
        <v>#DIV/0!</v>
      </c>
      <c r="X379" s="16" t="e">
        <f>$N379/$M379</f>
        <v>#DIV/0!</v>
      </c>
      <c r="Y379" s="16" t="e">
        <f>$R379/$Q379</f>
        <v>#DIV/0!</v>
      </c>
      <c r="Z379" s="16" t="e">
        <f>$I379/$H379</f>
        <v>#DIV/0!</v>
      </c>
      <c r="AA379" s="16" t="e">
        <f>$K379/$H379</f>
        <v>#DIV/0!</v>
      </c>
      <c r="AB379" s="16">
        <f>($J379*Cp_yd)+($K379*Cp_td)+($L379*Cint)+($M379*Ccar)+($N379*Cr_yd)+($O379*Cr_td)+(Q379*Crec)+($R379*Crec_yd)+($S379*Crec_td)+($T379*Cfmb)+($U379*Ctp_c)</f>
        <v>0</v>
      </c>
    </row>
    <row r="380" spans="1:28" x14ac:dyDescent="0.2">
      <c r="A380" s="15" t="s">
        <v>948</v>
      </c>
      <c r="B380" s="15" t="s">
        <v>43</v>
      </c>
      <c r="C380" s="15">
        <v>22</v>
      </c>
      <c r="D380" s="15">
        <v>2</v>
      </c>
      <c r="E380" s="15" t="s">
        <v>357</v>
      </c>
      <c r="F380" s="15" t="s">
        <v>916</v>
      </c>
      <c r="G380" s="15">
        <v>0</v>
      </c>
      <c r="H380" s="15">
        <v>0</v>
      </c>
      <c r="I380" s="15">
        <v>0</v>
      </c>
      <c r="J380" s="15">
        <v>0</v>
      </c>
      <c r="K380" s="15">
        <v>0</v>
      </c>
      <c r="L380" s="15">
        <v>0</v>
      </c>
      <c r="M380" s="15">
        <v>0</v>
      </c>
      <c r="N380" s="15">
        <v>0</v>
      </c>
      <c r="O380" s="15">
        <v>0</v>
      </c>
      <c r="P380" s="15">
        <v>0</v>
      </c>
      <c r="Q380" s="15">
        <v>0</v>
      </c>
      <c r="R380" s="15">
        <v>0</v>
      </c>
      <c r="S380" s="15">
        <v>0</v>
      </c>
      <c r="T380" s="15">
        <v>0</v>
      </c>
      <c r="U380" s="15">
        <v>0</v>
      </c>
      <c r="V380" s="15">
        <f>($J380*0.04)+($K380*4)+($L380*-2)+($N380*0.1)+($O380*6)+($Q380)+($R380*0.1)+($S380*6)+($T380*-2)</f>
        <v>0</v>
      </c>
      <c r="W380" s="15" t="e">
        <f>$P380/$H$33</f>
        <v>#DIV/0!</v>
      </c>
      <c r="X380" s="15" t="e">
        <f>$N380/$M380</f>
        <v>#DIV/0!</v>
      </c>
      <c r="Y380" s="15" t="e">
        <f>$R380/$Q380</f>
        <v>#DIV/0!</v>
      </c>
      <c r="Z380" s="15" t="e">
        <f>$I380/$H380</f>
        <v>#DIV/0!</v>
      </c>
      <c r="AA380" s="15" t="e">
        <f>$K380/$H380</f>
        <v>#DIV/0!</v>
      </c>
      <c r="AB380" s="15">
        <f>($J380*Cp_yd)+($K380*Cp_td)+($L380*Cint)+($M380*Ccar)+($N380*Cr_yd)+($O380*Cr_td)+(Q380*Crec)+($R380*Crec_yd)+($S380*Crec_td)+($T380*Cfmb)+($U380*Ctp_c)</f>
        <v>0</v>
      </c>
    </row>
    <row r="381" spans="1:28" x14ac:dyDescent="0.2">
      <c r="A381" s="16" t="s">
        <v>949</v>
      </c>
      <c r="B381" s="16" t="s">
        <v>43</v>
      </c>
      <c r="C381" s="16">
        <v>25</v>
      </c>
      <c r="D381" s="16">
        <v>1</v>
      </c>
      <c r="E381" s="16" t="s">
        <v>458</v>
      </c>
      <c r="F381" s="16" t="s">
        <v>916</v>
      </c>
      <c r="G381" s="16">
        <v>0</v>
      </c>
      <c r="H381" s="16">
        <v>0</v>
      </c>
      <c r="I381" s="16">
        <v>0</v>
      </c>
      <c r="J381" s="16">
        <v>0</v>
      </c>
      <c r="K381" s="16">
        <v>0</v>
      </c>
      <c r="L381" s="16">
        <v>0</v>
      </c>
      <c r="M381" s="16">
        <v>0</v>
      </c>
      <c r="N381" s="16">
        <v>0</v>
      </c>
      <c r="O381" s="16">
        <v>0</v>
      </c>
      <c r="P381" s="16">
        <v>0</v>
      </c>
      <c r="Q381" s="16">
        <v>0</v>
      </c>
      <c r="R381" s="16">
        <v>0</v>
      </c>
      <c r="S381" s="16">
        <v>0</v>
      </c>
      <c r="T381" s="16">
        <v>0</v>
      </c>
      <c r="U381" s="16">
        <v>0</v>
      </c>
      <c r="V381" s="16">
        <f>($J381*0.04)+($K381*4)+($L381*-2)+($N381*0.1)+($O381*6)+($Q381)+($R381*0.1)+($S381*6)+($T381*-2)</f>
        <v>0</v>
      </c>
      <c r="W381" s="16" t="e">
        <f>$P381/$H$33</f>
        <v>#DIV/0!</v>
      </c>
      <c r="X381" s="16" t="e">
        <f>$N381/$M381</f>
        <v>#DIV/0!</v>
      </c>
      <c r="Y381" s="16" t="e">
        <f>$R381/$Q381</f>
        <v>#DIV/0!</v>
      </c>
      <c r="Z381" s="16" t="e">
        <f>$I381/$H381</f>
        <v>#DIV/0!</v>
      </c>
      <c r="AA381" s="16" t="e">
        <f>$K381/$H381</f>
        <v>#DIV/0!</v>
      </c>
      <c r="AB381" s="16">
        <f>($J381*Cp_yd)+($K381*Cp_td)+($L381*Cint)+($M381*Ccar)+($N381*Cr_yd)+($O381*Cr_td)+(Q381*Crec)+($R381*Crec_yd)+($S381*Crec_td)+($T381*Cfmb)+($U381*Ctp_c)</f>
        <v>0</v>
      </c>
    </row>
    <row r="382" spans="1:28" x14ac:dyDescent="0.2">
      <c r="A382" s="15" t="s">
        <v>950</v>
      </c>
      <c r="B382" s="15" t="s">
        <v>43</v>
      </c>
      <c r="C382" s="15">
        <v>23</v>
      </c>
      <c r="D382" s="15">
        <v>0</v>
      </c>
      <c r="E382" s="15" t="s">
        <v>280</v>
      </c>
      <c r="F382" s="15" t="s">
        <v>916</v>
      </c>
      <c r="G382" s="15">
        <v>0</v>
      </c>
      <c r="H382" s="15">
        <v>0</v>
      </c>
      <c r="I382" s="15">
        <v>0</v>
      </c>
      <c r="J382" s="15">
        <v>0</v>
      </c>
      <c r="K382" s="15">
        <v>0</v>
      </c>
      <c r="L382" s="15">
        <v>0</v>
      </c>
      <c r="M382" s="15">
        <v>0</v>
      </c>
      <c r="N382" s="15">
        <v>0</v>
      </c>
      <c r="O382" s="15">
        <v>0</v>
      </c>
      <c r="P382" s="15">
        <v>0</v>
      </c>
      <c r="Q382" s="15">
        <v>0</v>
      </c>
      <c r="R382" s="15">
        <v>0</v>
      </c>
      <c r="S382" s="15">
        <v>0</v>
      </c>
      <c r="T382" s="15">
        <v>0</v>
      </c>
      <c r="U382" s="15">
        <v>0</v>
      </c>
      <c r="V382" s="15">
        <f>($J382*0.04)+($K382*4)+($L382*-2)+($N382*0.1)+($O382*6)+($Q382)+($R382*0.1)+($S382*6)+($T382*-2)</f>
        <v>0</v>
      </c>
      <c r="W382" s="15" t="e">
        <f>$P382/$H$33</f>
        <v>#DIV/0!</v>
      </c>
      <c r="X382" s="15" t="e">
        <f>$N382/$M382</f>
        <v>#DIV/0!</v>
      </c>
      <c r="Y382" s="15" t="e">
        <f>$R382/$Q382</f>
        <v>#DIV/0!</v>
      </c>
      <c r="Z382" s="15" t="e">
        <f>$I382/$H382</f>
        <v>#DIV/0!</v>
      </c>
      <c r="AA382" s="15" t="e">
        <f>$K382/$H382</f>
        <v>#DIV/0!</v>
      </c>
      <c r="AB382" s="15">
        <f>($J382*Cp_yd)+($K382*Cp_td)+($L382*Cint)+($M382*Ccar)+($N382*Cr_yd)+($O382*Cr_td)+(Q382*Crec)+($R382*Crec_yd)+($S382*Crec_td)+($T382*Cfmb)+($U382*Ctp_c)</f>
        <v>0</v>
      </c>
    </row>
    <row r="383" spans="1:28" x14ac:dyDescent="0.2">
      <c r="A383" s="16" t="s">
        <v>951</v>
      </c>
      <c r="B383" s="16" t="s">
        <v>43</v>
      </c>
      <c r="C383" s="16">
        <v>23</v>
      </c>
      <c r="D383" s="16">
        <v>0</v>
      </c>
      <c r="E383" s="16" t="s">
        <v>237</v>
      </c>
      <c r="F383" s="16" t="s">
        <v>916</v>
      </c>
      <c r="G383" s="16">
        <v>0</v>
      </c>
      <c r="H383" s="16">
        <v>0</v>
      </c>
      <c r="I383" s="16">
        <v>0</v>
      </c>
      <c r="J383" s="16">
        <v>0</v>
      </c>
      <c r="K383" s="16">
        <v>0</v>
      </c>
      <c r="L383" s="16">
        <v>0</v>
      </c>
      <c r="M383" s="16">
        <v>0</v>
      </c>
      <c r="N383" s="16">
        <v>0</v>
      </c>
      <c r="O383" s="16">
        <v>0</v>
      </c>
      <c r="P383" s="16">
        <v>0</v>
      </c>
      <c r="Q383" s="16">
        <v>0</v>
      </c>
      <c r="R383" s="16">
        <v>0</v>
      </c>
      <c r="S383" s="16">
        <v>0</v>
      </c>
      <c r="T383" s="16">
        <v>0</v>
      </c>
      <c r="U383" s="16">
        <v>0</v>
      </c>
      <c r="V383" s="16">
        <f>($J383*0.04)+($K383*4)+($L383*-2)+($N383*0.1)+($O383*6)+($Q383)+($R383*0.1)+($S383*6)+($T383*-2)</f>
        <v>0</v>
      </c>
      <c r="W383" s="16" t="e">
        <f>$P383/$H$33</f>
        <v>#DIV/0!</v>
      </c>
      <c r="X383" s="16" t="e">
        <f>$N383/$M383</f>
        <v>#DIV/0!</v>
      </c>
      <c r="Y383" s="16" t="e">
        <f>$R383/$Q383</f>
        <v>#DIV/0!</v>
      </c>
      <c r="Z383" s="16" t="e">
        <f>$I383/$H383</f>
        <v>#DIV/0!</v>
      </c>
      <c r="AA383" s="16" t="e">
        <f>$K383/$H383</f>
        <v>#DIV/0!</v>
      </c>
      <c r="AB383" s="16">
        <f>($J383*Cp_yd)+($K383*Cp_td)+($L383*Cint)+($M383*Ccar)+($N383*Cr_yd)+($O383*Cr_td)+(Q383*Crec)+($R383*Crec_yd)+($S383*Crec_td)+($T383*Cfmb)+($U383*Ctp_c)</f>
        <v>0</v>
      </c>
    </row>
    <row r="384" spans="1:28" x14ac:dyDescent="0.2">
      <c r="A384" s="15" t="s">
        <v>952</v>
      </c>
      <c r="B384" s="15" t="s">
        <v>43</v>
      </c>
      <c r="C384" s="15">
        <v>23</v>
      </c>
      <c r="D384" s="15">
        <v>2</v>
      </c>
      <c r="E384" s="15" t="s">
        <v>458</v>
      </c>
      <c r="F384" s="15" t="s">
        <v>916</v>
      </c>
      <c r="G384" s="15">
        <v>0</v>
      </c>
      <c r="H384" s="15">
        <v>0</v>
      </c>
      <c r="I384" s="15">
        <v>0</v>
      </c>
      <c r="J384" s="15">
        <v>0</v>
      </c>
      <c r="K384" s="15">
        <v>0</v>
      </c>
      <c r="L384" s="15">
        <v>0</v>
      </c>
      <c r="M384" s="15">
        <v>0</v>
      </c>
      <c r="N384" s="15">
        <v>0</v>
      </c>
      <c r="O384" s="15">
        <v>0</v>
      </c>
      <c r="P384" s="15">
        <v>0</v>
      </c>
      <c r="Q384" s="15">
        <v>0</v>
      </c>
      <c r="R384" s="15">
        <v>0</v>
      </c>
      <c r="S384" s="15">
        <v>0</v>
      </c>
      <c r="T384" s="15">
        <v>0</v>
      </c>
      <c r="U384" s="15">
        <v>0</v>
      </c>
      <c r="V384" s="15">
        <f>($J384*0.04)+($K384*4)+($L384*-2)+($N384*0.1)+($O384*6)+($Q384)+($R384*0.1)+($S384*6)+($T384*-2)</f>
        <v>0</v>
      </c>
      <c r="W384" s="15" t="e">
        <f>$P384/$H$33</f>
        <v>#DIV/0!</v>
      </c>
      <c r="X384" s="15" t="e">
        <f>$N384/$M384</f>
        <v>#DIV/0!</v>
      </c>
      <c r="Y384" s="15" t="e">
        <f>$R384/$Q384</f>
        <v>#DIV/0!</v>
      </c>
      <c r="Z384" s="15" t="e">
        <f>$I384/$H384</f>
        <v>#DIV/0!</v>
      </c>
      <c r="AA384" s="15" t="e">
        <f>$K384/$H384</f>
        <v>#DIV/0!</v>
      </c>
      <c r="AB384" s="15">
        <f>($J384*Cp_yd)+($K384*Cp_td)+($L384*Cint)+($M384*Ccar)+($N384*Cr_yd)+($O384*Cr_td)+(Q384*Crec)+($R384*Crec_yd)+($S384*Crec_td)+($T384*Cfmb)+($U384*Ctp_c)</f>
        <v>0</v>
      </c>
    </row>
    <row r="385" spans="1:28" x14ac:dyDescent="0.2">
      <c r="A385" s="16" t="s">
        <v>953</v>
      </c>
      <c r="B385" s="16" t="s">
        <v>43</v>
      </c>
      <c r="C385" s="16">
        <v>24</v>
      </c>
      <c r="D385" s="16">
        <v>0</v>
      </c>
      <c r="E385" s="16" t="s">
        <v>954</v>
      </c>
      <c r="F385" s="16" t="s">
        <v>916</v>
      </c>
      <c r="G385" s="16">
        <v>0</v>
      </c>
      <c r="H385" s="16">
        <v>0</v>
      </c>
      <c r="I385" s="16">
        <v>0</v>
      </c>
      <c r="J385" s="16">
        <v>0</v>
      </c>
      <c r="K385" s="16">
        <v>0</v>
      </c>
      <c r="L385" s="16">
        <v>0</v>
      </c>
      <c r="M385" s="16">
        <v>0</v>
      </c>
      <c r="N385" s="16">
        <v>0</v>
      </c>
      <c r="O385" s="16">
        <v>0</v>
      </c>
      <c r="P385" s="16">
        <v>0</v>
      </c>
      <c r="Q385" s="16">
        <v>0</v>
      </c>
      <c r="R385" s="16">
        <v>0</v>
      </c>
      <c r="S385" s="16">
        <v>0</v>
      </c>
      <c r="T385" s="16">
        <v>0</v>
      </c>
      <c r="U385" s="16">
        <v>0</v>
      </c>
      <c r="V385" s="16">
        <f>($J385*0.04)+($K385*4)+($L385*-2)+($N385*0.1)+($O385*6)+($Q385)+($R385*0.1)+($S385*6)+($T385*-2)</f>
        <v>0</v>
      </c>
      <c r="W385" s="16" t="e">
        <f>$P385/$H$33</f>
        <v>#DIV/0!</v>
      </c>
      <c r="X385" s="16" t="e">
        <f>$N385/$M385</f>
        <v>#DIV/0!</v>
      </c>
      <c r="Y385" s="16" t="e">
        <f>$R385/$Q385</f>
        <v>#DIV/0!</v>
      </c>
      <c r="Z385" s="16" t="e">
        <f>$I385/$H385</f>
        <v>#DIV/0!</v>
      </c>
      <c r="AA385" s="16" t="e">
        <f>$K385/$H385</f>
        <v>#DIV/0!</v>
      </c>
      <c r="AB385" s="16">
        <f>($J385*Cp_yd)+($K385*Cp_td)+($L385*Cint)+($M385*Ccar)+($N385*Cr_yd)+($O385*Cr_td)+(Q385*Crec)+($R385*Crec_yd)+($S385*Crec_td)+($T385*Cfmb)+($U385*Ctp_c)</f>
        <v>0</v>
      </c>
    </row>
    <row r="386" spans="1:28" x14ac:dyDescent="0.2">
      <c r="A386" s="15" t="s">
        <v>955</v>
      </c>
      <c r="B386" s="15" t="s">
        <v>43</v>
      </c>
      <c r="C386" s="15">
        <v>23</v>
      </c>
      <c r="D386" s="15">
        <v>3</v>
      </c>
      <c r="E386" s="15" t="s">
        <v>100</v>
      </c>
      <c r="F386" s="15" t="s">
        <v>916</v>
      </c>
      <c r="G386" s="15">
        <v>0</v>
      </c>
      <c r="H386" s="15">
        <v>0</v>
      </c>
      <c r="I386" s="15">
        <v>0</v>
      </c>
      <c r="J386" s="15">
        <v>0</v>
      </c>
      <c r="K386" s="15">
        <v>0</v>
      </c>
      <c r="L386" s="15">
        <v>0</v>
      </c>
      <c r="M386" s="15">
        <v>0</v>
      </c>
      <c r="N386" s="15">
        <v>0</v>
      </c>
      <c r="O386" s="15">
        <v>0</v>
      </c>
      <c r="P386" s="15">
        <v>0</v>
      </c>
      <c r="Q386" s="15">
        <v>0</v>
      </c>
      <c r="R386" s="15">
        <v>0</v>
      </c>
      <c r="S386" s="15">
        <v>0</v>
      </c>
      <c r="T386" s="15">
        <v>0</v>
      </c>
      <c r="U386" s="15">
        <v>0</v>
      </c>
      <c r="V386" s="15">
        <f>($J386*0.04)+($K386*4)+($L386*-2)+($N386*0.1)+($O386*6)+($Q386)+($R386*0.1)+($S386*6)+($T386*-2)</f>
        <v>0</v>
      </c>
      <c r="W386" s="15" t="e">
        <f>$P386/$H$33</f>
        <v>#DIV/0!</v>
      </c>
      <c r="X386" s="15" t="e">
        <f>$N386/$M386</f>
        <v>#DIV/0!</v>
      </c>
      <c r="Y386" s="15" t="e">
        <f>$R386/$Q386</f>
        <v>#DIV/0!</v>
      </c>
      <c r="Z386" s="15" t="e">
        <f>$I386/$H386</f>
        <v>#DIV/0!</v>
      </c>
      <c r="AA386" s="15" t="e">
        <f>$K386/$H386</f>
        <v>#DIV/0!</v>
      </c>
      <c r="AB386" s="15">
        <f>($J386*Cp_yd)+($K386*Cp_td)+($L386*Cint)+($M386*Ccar)+($N386*Cr_yd)+($O386*Cr_td)+(Q386*Crec)+($R386*Crec_yd)+($S386*Crec_td)+($T386*Cfmb)+($U386*Ctp_c)</f>
        <v>0</v>
      </c>
    </row>
    <row r="387" spans="1:28" x14ac:dyDescent="0.2">
      <c r="A387" s="16" t="s">
        <v>956</v>
      </c>
      <c r="B387" s="16" t="s">
        <v>43</v>
      </c>
      <c r="C387" s="16">
        <v>24</v>
      </c>
      <c r="D387" s="16">
        <v>3</v>
      </c>
      <c r="E387" s="16" t="s">
        <v>178</v>
      </c>
      <c r="F387" s="16" t="s">
        <v>916</v>
      </c>
      <c r="G387" s="16">
        <v>0</v>
      </c>
      <c r="H387" s="16">
        <v>0</v>
      </c>
      <c r="I387" s="16">
        <v>0</v>
      </c>
      <c r="J387" s="16">
        <v>0</v>
      </c>
      <c r="K387" s="16">
        <v>0</v>
      </c>
      <c r="L387" s="16">
        <v>0</v>
      </c>
      <c r="M387" s="16">
        <v>0</v>
      </c>
      <c r="N387" s="16">
        <v>0</v>
      </c>
      <c r="O387" s="16">
        <v>0</v>
      </c>
      <c r="P387" s="16">
        <v>0</v>
      </c>
      <c r="Q387" s="16">
        <v>0</v>
      </c>
      <c r="R387" s="16">
        <v>0</v>
      </c>
      <c r="S387" s="16">
        <v>0</v>
      </c>
      <c r="T387" s="16">
        <v>0</v>
      </c>
      <c r="U387" s="16">
        <v>0</v>
      </c>
      <c r="V387" s="16">
        <f>($J387*0.04)+($K387*4)+($L387*-2)+($N387*0.1)+($O387*6)+($Q387)+($R387*0.1)+($S387*6)+($T387*-2)</f>
        <v>0</v>
      </c>
      <c r="W387" s="16" t="e">
        <f>$P387/$H$33</f>
        <v>#DIV/0!</v>
      </c>
      <c r="X387" s="16" t="e">
        <f>$N387/$M387</f>
        <v>#DIV/0!</v>
      </c>
      <c r="Y387" s="16" t="e">
        <f>$R387/$Q387</f>
        <v>#DIV/0!</v>
      </c>
      <c r="Z387" s="16" t="e">
        <f>$I387/$H387</f>
        <v>#DIV/0!</v>
      </c>
      <c r="AA387" s="16" t="e">
        <f>$K387/$H387</f>
        <v>#DIV/0!</v>
      </c>
      <c r="AB387" s="16">
        <f>($J387*Cp_yd)+($K387*Cp_td)+($L387*Cint)+($M387*Ccar)+($N387*Cr_yd)+($O387*Cr_td)+(Q387*Crec)+($R387*Crec_yd)+($S387*Crec_td)+($T387*Cfmb)+($U387*Ctp_c)</f>
        <v>0</v>
      </c>
    </row>
    <row r="388" spans="1:28" x14ac:dyDescent="0.2">
      <c r="A388" s="15" t="s">
        <v>957</v>
      </c>
      <c r="B388" s="15" t="s">
        <v>43</v>
      </c>
      <c r="C388" s="15">
        <v>28</v>
      </c>
      <c r="D388" s="15">
        <v>6</v>
      </c>
      <c r="E388" s="15" t="s">
        <v>80</v>
      </c>
      <c r="F388" s="15" t="s">
        <v>916</v>
      </c>
      <c r="G388" s="15">
        <v>0</v>
      </c>
      <c r="H388" s="15">
        <v>0</v>
      </c>
      <c r="I388" s="15">
        <v>0</v>
      </c>
      <c r="J388" s="15">
        <v>0</v>
      </c>
      <c r="K388" s="15">
        <v>0</v>
      </c>
      <c r="L388" s="15">
        <v>0</v>
      </c>
      <c r="M388" s="15">
        <v>0</v>
      </c>
      <c r="N388" s="15">
        <v>0</v>
      </c>
      <c r="O388" s="15">
        <v>0</v>
      </c>
      <c r="P388" s="15">
        <v>0</v>
      </c>
      <c r="Q388" s="15">
        <v>0</v>
      </c>
      <c r="R388" s="15">
        <v>0</v>
      </c>
      <c r="S388" s="15">
        <v>0</v>
      </c>
      <c r="T388" s="15">
        <v>0</v>
      </c>
      <c r="U388" s="15">
        <v>0</v>
      </c>
      <c r="V388" s="15">
        <f>($J388*0.04)+($K388*4)+($L388*-2)+($N388*0.1)+($O388*6)+($Q388)+($R388*0.1)+($S388*6)+($T388*-2)</f>
        <v>0</v>
      </c>
      <c r="W388" s="15" t="e">
        <f>$P388/$H$33</f>
        <v>#DIV/0!</v>
      </c>
      <c r="X388" s="15" t="e">
        <f>$N388/$M388</f>
        <v>#DIV/0!</v>
      </c>
      <c r="Y388" s="15" t="e">
        <f>$R388/$Q388</f>
        <v>#DIV/0!</v>
      </c>
      <c r="Z388" s="15" t="e">
        <f>$I388/$H388</f>
        <v>#DIV/0!</v>
      </c>
      <c r="AA388" s="15" t="e">
        <f>$K388/$H388</f>
        <v>#DIV/0!</v>
      </c>
      <c r="AB388" s="15">
        <f>($J388*Cp_yd)+($K388*Cp_td)+($L388*Cint)+($M388*Ccar)+($N388*Cr_yd)+($O388*Cr_td)+(Q388*Crec)+($R388*Crec_yd)+($S388*Crec_td)+($T388*Cfmb)+($U388*Ctp_c)</f>
        <v>0</v>
      </c>
    </row>
    <row r="389" spans="1:28" x14ac:dyDescent="0.2">
      <c r="A389" s="16" t="s">
        <v>960</v>
      </c>
      <c r="B389" s="16" t="s">
        <v>38</v>
      </c>
      <c r="C389" s="16">
        <v>32</v>
      </c>
      <c r="D389" s="16">
        <v>9</v>
      </c>
      <c r="E389" s="16" t="s">
        <v>68</v>
      </c>
      <c r="F389" s="16" t="s">
        <v>916</v>
      </c>
      <c r="G389" s="16">
        <v>0</v>
      </c>
      <c r="H389" s="16">
        <v>0</v>
      </c>
      <c r="I389" s="16">
        <v>0</v>
      </c>
      <c r="J389" s="16">
        <v>0</v>
      </c>
      <c r="K389" s="16">
        <v>0</v>
      </c>
      <c r="L389" s="16">
        <v>0</v>
      </c>
      <c r="M389" s="16">
        <v>0</v>
      </c>
      <c r="N389" s="16">
        <v>0</v>
      </c>
      <c r="O389" s="16">
        <v>0</v>
      </c>
      <c r="P389" s="16">
        <v>0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f>($J389*0.04)+($K389*4)+($L389*-2)+($N389*0.1)+($O389*6)+($Q389)+($R389*0.1)+($S389*6)+($T389*-2)</f>
        <v>0</v>
      </c>
      <c r="W389" s="16" t="e">
        <f>$P389/$H$33</f>
        <v>#DIV/0!</v>
      </c>
      <c r="X389" s="16" t="e">
        <f>$N389/$M389</f>
        <v>#DIV/0!</v>
      </c>
      <c r="Y389" s="16" t="e">
        <f>$R389/$Q389</f>
        <v>#DIV/0!</v>
      </c>
      <c r="Z389" s="16" t="e">
        <f>$I389/$H389</f>
        <v>#DIV/0!</v>
      </c>
      <c r="AA389" s="16" t="e">
        <f>$K389/$H389</f>
        <v>#DIV/0!</v>
      </c>
      <c r="AB389" s="16">
        <f>($J389*Cp_yd)+($K389*Cp_td)+($L389*Cint)+($M389*Ccar)+($N389*Cr_yd)+($O389*Cr_td)+(Q389*Crec)+($R389*Crec_yd)+($S389*Crec_td)+($T389*Cfmb)+($U389*Ctp_c)</f>
        <v>0</v>
      </c>
    </row>
    <row r="390" spans="1:28" x14ac:dyDescent="0.2">
      <c r="A390" s="15" t="s">
        <v>961</v>
      </c>
      <c r="B390" s="15" t="s">
        <v>38</v>
      </c>
      <c r="C390" s="15">
        <v>27</v>
      </c>
      <c r="D390" s="15">
        <v>3</v>
      </c>
      <c r="E390" s="15" t="s">
        <v>613</v>
      </c>
      <c r="F390" s="15" t="s">
        <v>916</v>
      </c>
      <c r="G390" s="15">
        <v>0</v>
      </c>
      <c r="H390" s="15">
        <v>0</v>
      </c>
      <c r="I390" s="15">
        <v>0</v>
      </c>
      <c r="J390" s="15">
        <v>0</v>
      </c>
      <c r="K390" s="15">
        <v>0</v>
      </c>
      <c r="L390" s="15">
        <v>0</v>
      </c>
      <c r="M390" s="15">
        <v>0</v>
      </c>
      <c r="N390" s="15">
        <v>0</v>
      </c>
      <c r="O390" s="15">
        <v>0</v>
      </c>
      <c r="P390" s="15">
        <v>0</v>
      </c>
      <c r="Q390" s="15">
        <v>0</v>
      </c>
      <c r="R390" s="15">
        <v>0</v>
      </c>
      <c r="S390" s="15">
        <v>0</v>
      </c>
      <c r="T390" s="15">
        <v>0</v>
      </c>
      <c r="U390" s="15">
        <v>0</v>
      </c>
      <c r="V390" s="15">
        <f>($J390*0.04)+($K390*4)+($L390*-2)+($N390*0.1)+($O390*6)+($Q390)+($R390*0.1)+($S390*6)+($T390*-2)</f>
        <v>0</v>
      </c>
      <c r="W390" s="15" t="e">
        <f>$P390/$H$33</f>
        <v>#DIV/0!</v>
      </c>
      <c r="X390" s="15" t="e">
        <f>$N390/$M390</f>
        <v>#DIV/0!</v>
      </c>
      <c r="Y390" s="15" t="e">
        <f>$R390/$Q390</f>
        <v>#DIV/0!</v>
      </c>
      <c r="Z390" s="15" t="e">
        <f>$I390/$H390</f>
        <v>#DIV/0!</v>
      </c>
      <c r="AA390" s="15" t="e">
        <f>$K390/$H390</f>
        <v>#DIV/0!</v>
      </c>
      <c r="AB390" s="15">
        <f>($J390*Cp_yd)+($K390*Cp_td)+($L390*Cint)+($M390*Ccar)+($N390*Cr_yd)+($O390*Cr_td)+(Q390*Crec)+($R390*Crec_yd)+($S390*Crec_td)+($T390*Cfmb)+($U390*Ctp_c)</f>
        <v>0</v>
      </c>
    </row>
    <row r="391" spans="1:28" x14ac:dyDescent="0.2">
      <c r="A391" s="16" t="s">
        <v>962</v>
      </c>
      <c r="B391" s="16" t="s">
        <v>38</v>
      </c>
      <c r="C391" s="16">
        <v>27</v>
      </c>
      <c r="D391" s="16">
        <v>1</v>
      </c>
      <c r="E391" s="16" t="s">
        <v>82</v>
      </c>
      <c r="F391" s="16" t="s">
        <v>916</v>
      </c>
      <c r="G391" s="16">
        <v>0</v>
      </c>
      <c r="H391" s="16">
        <v>0</v>
      </c>
      <c r="I391" s="16">
        <v>0</v>
      </c>
      <c r="J391" s="16">
        <v>0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f>($J391*0.04)+($K391*4)+($L391*-2)+($N391*0.1)+($O391*6)+($Q391)+($R391*0.1)+($S391*6)+($T391*-2)</f>
        <v>0</v>
      </c>
      <c r="W391" s="16" t="e">
        <f>$P391/$H$33</f>
        <v>#DIV/0!</v>
      </c>
      <c r="X391" s="16" t="e">
        <f>$N391/$M391</f>
        <v>#DIV/0!</v>
      </c>
      <c r="Y391" s="16" t="e">
        <f>$R391/$Q391</f>
        <v>#DIV/0!</v>
      </c>
      <c r="Z391" s="16" t="e">
        <f>$I391/$H391</f>
        <v>#DIV/0!</v>
      </c>
      <c r="AA391" s="16" t="e">
        <f>$K391/$H391</f>
        <v>#DIV/0!</v>
      </c>
      <c r="AB391" s="16">
        <f>($J391*Cp_yd)+($K391*Cp_td)+($L391*Cint)+($M391*Ccar)+($N391*Cr_yd)+($O391*Cr_td)+(Q391*Crec)+($R391*Crec_yd)+($S391*Crec_td)+($T391*Cfmb)+($U391*Ctp_c)</f>
        <v>0</v>
      </c>
    </row>
    <row r="392" spans="1:28" x14ac:dyDescent="0.2">
      <c r="A392" s="15" t="s">
        <v>963</v>
      </c>
      <c r="B392" s="15" t="s">
        <v>38</v>
      </c>
      <c r="C392" s="15">
        <v>27</v>
      </c>
      <c r="D392" s="15">
        <v>3</v>
      </c>
      <c r="E392" s="15" t="s">
        <v>964</v>
      </c>
      <c r="F392" s="15" t="s">
        <v>916</v>
      </c>
      <c r="G392" s="15">
        <v>0</v>
      </c>
      <c r="H392" s="15">
        <v>0</v>
      </c>
      <c r="I392" s="15">
        <v>0</v>
      </c>
      <c r="J392" s="15">
        <v>0</v>
      </c>
      <c r="K392" s="15">
        <v>0</v>
      </c>
      <c r="L392" s="15">
        <v>0</v>
      </c>
      <c r="M392" s="15">
        <v>0</v>
      </c>
      <c r="N392" s="15">
        <v>0</v>
      </c>
      <c r="O392" s="15">
        <v>0</v>
      </c>
      <c r="P392" s="15">
        <v>0</v>
      </c>
      <c r="Q392" s="15">
        <v>0</v>
      </c>
      <c r="R392" s="15">
        <v>0</v>
      </c>
      <c r="S392" s="15">
        <v>0</v>
      </c>
      <c r="T392" s="15">
        <v>0</v>
      </c>
      <c r="U392" s="15">
        <v>0</v>
      </c>
      <c r="V392" s="15">
        <f>($J392*0.04)+($K392*4)+($L392*-2)+($N392*0.1)+($O392*6)+($Q392)+($R392*0.1)+($S392*6)+($T392*-2)</f>
        <v>0</v>
      </c>
      <c r="W392" s="15" t="e">
        <f>$P392/$H$33</f>
        <v>#DIV/0!</v>
      </c>
      <c r="X392" s="15" t="e">
        <f>$N392/$M392</f>
        <v>#DIV/0!</v>
      </c>
      <c r="Y392" s="15" t="e">
        <f>$R392/$Q392</f>
        <v>#DIV/0!</v>
      </c>
      <c r="Z392" s="15" t="e">
        <f>$I392/$H392</f>
        <v>#DIV/0!</v>
      </c>
      <c r="AA392" s="15" t="e">
        <f>$K392/$H392</f>
        <v>#DIV/0!</v>
      </c>
      <c r="AB392" s="15">
        <f>($J392*Cp_yd)+($K392*Cp_td)+($L392*Cint)+($M392*Ccar)+($N392*Cr_yd)+($O392*Cr_td)+(Q392*Crec)+($R392*Crec_yd)+($S392*Crec_td)+($T392*Cfmb)+($U392*Ctp_c)</f>
        <v>0</v>
      </c>
    </row>
    <row r="393" spans="1:28" x14ac:dyDescent="0.2">
      <c r="A393" s="16" t="s">
        <v>965</v>
      </c>
      <c r="B393" s="16" t="s">
        <v>38</v>
      </c>
      <c r="C393" s="16">
        <v>22</v>
      </c>
      <c r="D393" s="16">
        <v>0</v>
      </c>
      <c r="E393" s="16" t="s">
        <v>298</v>
      </c>
      <c r="F393" s="16" t="s">
        <v>916</v>
      </c>
      <c r="G393" s="16">
        <v>0</v>
      </c>
      <c r="H393" s="16">
        <v>0</v>
      </c>
      <c r="I393" s="16">
        <v>0</v>
      </c>
      <c r="J393" s="16">
        <v>0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f>($J393*0.04)+($K393*4)+($L393*-2)+($N393*0.1)+($O393*6)+($Q393)+($R393*0.1)+($S393*6)+($T393*-2)</f>
        <v>0</v>
      </c>
      <c r="W393" s="16" t="e">
        <f>$P393/$H$33</f>
        <v>#DIV/0!</v>
      </c>
      <c r="X393" s="16" t="e">
        <f>$N393/$M393</f>
        <v>#DIV/0!</v>
      </c>
      <c r="Y393" s="16" t="e">
        <f>$R393/$Q393</f>
        <v>#DIV/0!</v>
      </c>
      <c r="Z393" s="16" t="e">
        <f>$I393/$H393</f>
        <v>#DIV/0!</v>
      </c>
      <c r="AA393" s="16" t="e">
        <f>$K393/$H393</f>
        <v>#DIV/0!</v>
      </c>
      <c r="AB393" s="16">
        <f>($J393*Cp_yd)+($K393*Cp_td)+($L393*Cint)+($M393*Ccar)+($N393*Cr_yd)+($O393*Cr_td)+(Q393*Crec)+($R393*Crec_yd)+($S393*Crec_td)+($T393*Cfmb)+($U393*Ctp_c)</f>
        <v>0</v>
      </c>
    </row>
    <row r="394" spans="1:28" x14ac:dyDescent="0.2">
      <c r="A394" s="15" t="s">
        <v>966</v>
      </c>
      <c r="B394" s="15" t="s">
        <v>38</v>
      </c>
      <c r="C394" s="15">
        <v>24</v>
      </c>
      <c r="D394" s="15">
        <v>3</v>
      </c>
      <c r="E394" s="15" t="s">
        <v>697</v>
      </c>
      <c r="F394" s="15" t="s">
        <v>916</v>
      </c>
      <c r="G394" s="15">
        <v>0</v>
      </c>
      <c r="H394" s="15">
        <v>0</v>
      </c>
      <c r="I394" s="15">
        <v>0</v>
      </c>
      <c r="J394" s="15">
        <v>0</v>
      </c>
      <c r="K394" s="15">
        <v>0</v>
      </c>
      <c r="L394" s="15">
        <v>0</v>
      </c>
      <c r="M394" s="15">
        <v>0</v>
      </c>
      <c r="N394" s="15">
        <v>0</v>
      </c>
      <c r="O394" s="15">
        <v>0</v>
      </c>
      <c r="P394" s="15">
        <v>0</v>
      </c>
      <c r="Q394" s="15">
        <v>0</v>
      </c>
      <c r="R394" s="15">
        <v>0</v>
      </c>
      <c r="S394" s="15">
        <v>0</v>
      </c>
      <c r="T394" s="15">
        <v>0</v>
      </c>
      <c r="U394" s="15">
        <v>0</v>
      </c>
      <c r="V394" s="15">
        <f>($J394*0.04)+($K394*4)+($L394*-2)+($N394*0.1)+($O394*6)+($Q394)+($R394*0.1)+($S394*6)+($T394*-2)</f>
        <v>0</v>
      </c>
      <c r="W394" s="15" t="e">
        <f>$P394/$H$33</f>
        <v>#DIV/0!</v>
      </c>
      <c r="X394" s="15" t="e">
        <f>$N394/$M394</f>
        <v>#DIV/0!</v>
      </c>
      <c r="Y394" s="15" t="e">
        <f>$R394/$Q394</f>
        <v>#DIV/0!</v>
      </c>
      <c r="Z394" s="15" t="e">
        <f>$I394/$H394</f>
        <v>#DIV/0!</v>
      </c>
      <c r="AA394" s="15" t="e">
        <f>$K394/$H394</f>
        <v>#DIV/0!</v>
      </c>
      <c r="AB394" s="15">
        <f>($J394*Cp_yd)+($K394*Cp_td)+($L394*Cint)+($M394*Ccar)+($N394*Cr_yd)+($O394*Cr_td)+(Q394*Crec)+($R394*Crec_yd)+($S394*Crec_td)+($T394*Cfmb)+($U394*Ctp_c)</f>
        <v>0</v>
      </c>
    </row>
    <row r="395" spans="1:28" x14ac:dyDescent="0.2">
      <c r="A395" s="16" t="s">
        <v>987</v>
      </c>
      <c r="B395" s="16" t="s">
        <v>26</v>
      </c>
      <c r="C395" s="16">
        <v>22</v>
      </c>
      <c r="D395" s="16">
        <v>0</v>
      </c>
      <c r="E395" s="16" t="s">
        <v>76</v>
      </c>
      <c r="F395" s="16" t="s">
        <v>969</v>
      </c>
      <c r="G395" s="16">
        <v>0</v>
      </c>
      <c r="H395" s="16">
        <v>0</v>
      </c>
      <c r="I395" s="16">
        <v>0</v>
      </c>
      <c r="J395" s="16">
        <v>0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f>($J395*0.04)+($K395*4)+($L395*-2)+($N395*0.1)+($O395*6)+($Q395)+($R395*0.1)+($S395*6)+($T395*-2)</f>
        <v>0</v>
      </c>
      <c r="W395" s="16" t="e">
        <f>$P395/$H$33</f>
        <v>#DIV/0!</v>
      </c>
      <c r="X395" s="16" t="e">
        <f>$N395/$M395</f>
        <v>#DIV/0!</v>
      </c>
      <c r="Y395" s="16" t="e">
        <f>$R395/$Q395</f>
        <v>#DIV/0!</v>
      </c>
      <c r="Z395" s="16" t="e">
        <f>$I395/$H395</f>
        <v>#DIV/0!</v>
      </c>
      <c r="AA395" s="16" t="e">
        <f>$K395/$H395</f>
        <v>#DIV/0!</v>
      </c>
      <c r="AB395" s="16">
        <f>($J395*Cp_yd)+($K395*Cp_td)+($L395*Cint)+($M395*Ccar)+($N395*Cr_yd)+($O395*Cr_td)+(Q395*Crec)+($R395*Crec_yd)+($S395*Crec_td)+($T395*Cfmb)+($U395*Ctp_c)</f>
        <v>0</v>
      </c>
    </row>
    <row r="396" spans="1:28" x14ac:dyDescent="0.2">
      <c r="A396" s="15" t="s">
        <v>988</v>
      </c>
      <c r="B396" s="15" t="s">
        <v>26</v>
      </c>
      <c r="C396" s="15">
        <v>25</v>
      </c>
      <c r="D396" s="15">
        <v>4</v>
      </c>
      <c r="E396" s="15" t="s">
        <v>205</v>
      </c>
      <c r="F396" s="15" t="s">
        <v>969</v>
      </c>
      <c r="G396" s="15">
        <v>0</v>
      </c>
      <c r="H396" s="15">
        <v>0</v>
      </c>
      <c r="I396" s="15">
        <v>0</v>
      </c>
      <c r="J396" s="15">
        <v>0</v>
      </c>
      <c r="K396" s="15">
        <v>0</v>
      </c>
      <c r="L396" s="15">
        <v>0</v>
      </c>
      <c r="M396" s="15">
        <v>0</v>
      </c>
      <c r="N396" s="15">
        <v>0</v>
      </c>
      <c r="O396" s="15">
        <v>0</v>
      </c>
      <c r="P396" s="15">
        <v>0</v>
      </c>
      <c r="Q396" s="15">
        <v>0</v>
      </c>
      <c r="R396" s="15">
        <v>0</v>
      </c>
      <c r="S396" s="15">
        <v>0</v>
      </c>
      <c r="T396" s="15">
        <v>0</v>
      </c>
      <c r="U396" s="15">
        <v>0</v>
      </c>
      <c r="V396" s="15">
        <f>($J396*0.04)+($K396*4)+($L396*-2)+($N396*0.1)+($O396*6)+($Q396)+($R396*0.1)+($S396*6)+($T396*-2)</f>
        <v>0</v>
      </c>
      <c r="W396" s="15" t="e">
        <f>$P396/$H$33</f>
        <v>#DIV/0!</v>
      </c>
      <c r="X396" s="15" t="e">
        <f>$N396/$M396</f>
        <v>#DIV/0!</v>
      </c>
      <c r="Y396" s="15" t="e">
        <f>$R396/$Q396</f>
        <v>#DIV/0!</v>
      </c>
      <c r="Z396" s="15" t="e">
        <f>$I396/$H396</f>
        <v>#DIV/0!</v>
      </c>
      <c r="AA396" s="15" t="e">
        <f>$K396/$H396</f>
        <v>#DIV/0!</v>
      </c>
      <c r="AB396" s="15">
        <f>($J396*Cp_yd)+($K396*Cp_td)+($L396*Cint)+($M396*Ccar)+($N396*Cr_yd)+($O396*Cr_td)+(Q396*Crec)+($R396*Crec_yd)+($S396*Crec_td)+($T396*Cfmb)+($U396*Ctp_c)</f>
        <v>0</v>
      </c>
    </row>
    <row r="397" spans="1:28" x14ac:dyDescent="0.2">
      <c r="A397" s="16" t="s">
        <v>990</v>
      </c>
      <c r="B397" s="16" t="s">
        <v>31</v>
      </c>
      <c r="C397" s="16">
        <v>24</v>
      </c>
      <c r="D397" s="16">
        <v>0</v>
      </c>
      <c r="E397" s="16" t="s">
        <v>991</v>
      </c>
      <c r="F397" s="16" t="s">
        <v>969</v>
      </c>
      <c r="G397" s="16">
        <v>0</v>
      </c>
      <c r="H397" s="16">
        <v>0</v>
      </c>
      <c r="I397" s="16">
        <v>0</v>
      </c>
      <c r="J397" s="16">
        <v>0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f>($J397*0.04)+($K397*4)+($L397*-2)+($N397*0.1)+($O397*6)+($Q397)+($R397*0.1)+($S397*6)+($T397*-2)</f>
        <v>0</v>
      </c>
      <c r="W397" s="16" t="e">
        <f>$P397/$H$33</f>
        <v>#DIV/0!</v>
      </c>
      <c r="X397" s="16" t="e">
        <f>$N397/$M397</f>
        <v>#DIV/0!</v>
      </c>
      <c r="Y397" s="16" t="e">
        <f>$R397/$Q397</f>
        <v>#DIV/0!</v>
      </c>
      <c r="Z397" s="16" t="e">
        <f>$I397/$H397</f>
        <v>#DIV/0!</v>
      </c>
      <c r="AA397" s="16" t="e">
        <f>$K397/$H397</f>
        <v>#DIV/0!</v>
      </c>
      <c r="AB397" s="16">
        <f>($J397*Cp_yd)+($K397*Cp_td)+($L397*Cint)+($M397*Ccar)+($N397*Cr_yd)+($O397*Cr_td)+(Q397*Crec)+($R397*Crec_yd)+($S397*Crec_td)+($T397*Cfmb)+($U397*Ctp_c)</f>
        <v>0</v>
      </c>
    </row>
    <row r="398" spans="1:28" x14ac:dyDescent="0.2">
      <c r="A398" s="15" t="s">
        <v>992</v>
      </c>
      <c r="B398" s="15" t="s">
        <v>31</v>
      </c>
      <c r="C398" s="15">
        <v>28</v>
      </c>
      <c r="D398" s="15">
        <v>7</v>
      </c>
      <c r="E398" s="15" t="s">
        <v>993</v>
      </c>
      <c r="F398" s="15" t="s">
        <v>969</v>
      </c>
      <c r="G398" s="15">
        <v>0</v>
      </c>
      <c r="H398" s="15">
        <v>0</v>
      </c>
      <c r="I398" s="15">
        <v>0</v>
      </c>
      <c r="J398" s="15">
        <v>0</v>
      </c>
      <c r="K398" s="15">
        <v>0</v>
      </c>
      <c r="L398" s="15">
        <v>0</v>
      </c>
      <c r="M398" s="15">
        <v>0</v>
      </c>
      <c r="N398" s="15">
        <v>0</v>
      </c>
      <c r="O398" s="15">
        <v>0</v>
      </c>
      <c r="P398" s="15">
        <v>0</v>
      </c>
      <c r="Q398" s="15">
        <v>0</v>
      </c>
      <c r="R398" s="15">
        <v>0</v>
      </c>
      <c r="S398" s="15">
        <v>0</v>
      </c>
      <c r="T398" s="15">
        <v>0</v>
      </c>
      <c r="U398" s="15">
        <v>0</v>
      </c>
      <c r="V398" s="15">
        <f>($J398*0.04)+($K398*4)+($L398*-2)+($N398*0.1)+($O398*6)+($Q398)+($R398*0.1)+($S398*6)+($T398*-2)</f>
        <v>0</v>
      </c>
      <c r="W398" s="15" t="e">
        <f>$P398/$H$33</f>
        <v>#DIV/0!</v>
      </c>
      <c r="X398" s="15" t="e">
        <f>$N398/$M398</f>
        <v>#DIV/0!</v>
      </c>
      <c r="Y398" s="15" t="e">
        <f>$R398/$Q398</f>
        <v>#DIV/0!</v>
      </c>
      <c r="Z398" s="15" t="e">
        <f>$I398/$H398</f>
        <v>#DIV/0!</v>
      </c>
      <c r="AA398" s="15" t="e">
        <f>$K398/$H398</f>
        <v>#DIV/0!</v>
      </c>
      <c r="AB398" s="15">
        <f>($J398*Cp_yd)+($K398*Cp_td)+($L398*Cint)+($M398*Ccar)+($N398*Cr_yd)+($O398*Cr_td)+(Q398*Crec)+($R398*Crec_yd)+($S398*Crec_td)+($T398*Cfmb)+($U398*Ctp_c)</f>
        <v>0</v>
      </c>
    </row>
    <row r="399" spans="1:28" x14ac:dyDescent="0.2">
      <c r="A399" s="16" t="s">
        <v>994</v>
      </c>
      <c r="B399" s="16" t="s">
        <v>31</v>
      </c>
      <c r="C399" s="16">
        <v>24</v>
      </c>
      <c r="D399" s="16">
        <v>0</v>
      </c>
      <c r="E399" s="16" t="s">
        <v>995</v>
      </c>
      <c r="F399" s="16" t="s">
        <v>969</v>
      </c>
      <c r="G399" s="16">
        <v>0</v>
      </c>
      <c r="H399" s="16">
        <v>0</v>
      </c>
      <c r="I399" s="16">
        <v>0</v>
      </c>
      <c r="J399" s="16">
        <v>0</v>
      </c>
      <c r="K399" s="16">
        <v>0</v>
      </c>
      <c r="L399" s="16">
        <v>0</v>
      </c>
      <c r="M399" s="16">
        <v>0</v>
      </c>
      <c r="N399" s="16">
        <v>0</v>
      </c>
      <c r="O399" s="16">
        <v>0</v>
      </c>
      <c r="P399" s="16">
        <v>0</v>
      </c>
      <c r="Q399" s="16">
        <v>0</v>
      </c>
      <c r="R399" s="16">
        <v>0</v>
      </c>
      <c r="S399" s="16">
        <v>0</v>
      </c>
      <c r="T399" s="16">
        <v>0</v>
      </c>
      <c r="U399" s="16">
        <v>0</v>
      </c>
      <c r="V399" s="16">
        <f>($J399*0.04)+($K399*4)+($L399*-2)+($N399*0.1)+($O399*6)+($Q399)+($R399*0.1)+($S399*6)+($T399*-2)</f>
        <v>0</v>
      </c>
      <c r="W399" s="16" t="e">
        <f>$P399/$H$33</f>
        <v>#DIV/0!</v>
      </c>
      <c r="X399" s="16" t="e">
        <f>$N399/$M399</f>
        <v>#DIV/0!</v>
      </c>
      <c r="Y399" s="16" t="e">
        <f>$R399/$Q399</f>
        <v>#DIV/0!</v>
      </c>
      <c r="Z399" s="16" t="e">
        <f>$I399/$H399</f>
        <v>#DIV/0!</v>
      </c>
      <c r="AA399" s="16" t="e">
        <f>$K399/$H399</f>
        <v>#DIV/0!</v>
      </c>
      <c r="AB399" s="16">
        <f>($J399*Cp_yd)+($K399*Cp_td)+($L399*Cint)+($M399*Ccar)+($N399*Cr_yd)+($O399*Cr_td)+(Q399*Crec)+($R399*Crec_yd)+($S399*Crec_td)+($T399*Cfmb)+($U399*Ctp_c)</f>
        <v>0</v>
      </c>
    </row>
    <row r="400" spans="1:28" x14ac:dyDescent="0.2">
      <c r="A400" s="15" t="s">
        <v>996</v>
      </c>
      <c r="B400" s="15" t="s">
        <v>31</v>
      </c>
      <c r="C400" s="15">
        <v>25</v>
      </c>
      <c r="D400" s="15">
        <v>4</v>
      </c>
      <c r="E400" s="15" t="s">
        <v>418</v>
      </c>
      <c r="F400" s="15" t="s">
        <v>969</v>
      </c>
      <c r="G400" s="15">
        <v>0</v>
      </c>
      <c r="H400" s="15">
        <v>0</v>
      </c>
      <c r="I400" s="15">
        <v>0</v>
      </c>
      <c r="J400" s="15">
        <v>0</v>
      </c>
      <c r="K400" s="15">
        <v>0</v>
      </c>
      <c r="L400" s="15">
        <v>0</v>
      </c>
      <c r="M400" s="15">
        <v>0</v>
      </c>
      <c r="N400" s="15">
        <v>0</v>
      </c>
      <c r="O400" s="15">
        <v>0</v>
      </c>
      <c r="P400" s="15">
        <v>0</v>
      </c>
      <c r="Q400" s="15">
        <v>0</v>
      </c>
      <c r="R400" s="15">
        <v>0</v>
      </c>
      <c r="S400" s="15">
        <v>0</v>
      </c>
      <c r="T400" s="15">
        <v>0</v>
      </c>
      <c r="U400" s="15">
        <v>0</v>
      </c>
      <c r="V400" s="15">
        <f>($J400*0.04)+($K400*4)+($L400*-2)+($N400*0.1)+($O400*6)+($Q400)+($R400*0.1)+($S400*6)+($T400*-2)</f>
        <v>0</v>
      </c>
      <c r="W400" s="15" t="e">
        <f>$P400/$H$33</f>
        <v>#DIV/0!</v>
      </c>
      <c r="X400" s="15" t="e">
        <f>$N400/$M400</f>
        <v>#DIV/0!</v>
      </c>
      <c r="Y400" s="15" t="e">
        <f>$R400/$Q400</f>
        <v>#DIV/0!</v>
      </c>
      <c r="Z400" s="15" t="e">
        <f>$I400/$H400</f>
        <v>#DIV/0!</v>
      </c>
      <c r="AA400" s="15" t="e">
        <f>$K400/$H400</f>
        <v>#DIV/0!</v>
      </c>
      <c r="AB400" s="15">
        <f>($J400*Cp_yd)+($K400*Cp_td)+($L400*Cint)+($M400*Ccar)+($N400*Cr_yd)+($O400*Cr_td)+(Q400*Crec)+($R400*Crec_yd)+($S400*Crec_td)+($T400*Cfmb)+($U400*Ctp_c)</f>
        <v>0</v>
      </c>
    </row>
    <row r="401" spans="1:28" x14ac:dyDescent="0.2">
      <c r="A401" s="16" t="s">
        <v>997</v>
      </c>
      <c r="B401" s="16" t="s">
        <v>31</v>
      </c>
      <c r="C401" s="16">
        <v>23</v>
      </c>
      <c r="D401" s="16">
        <v>0</v>
      </c>
      <c r="E401" s="16" t="s">
        <v>998</v>
      </c>
      <c r="F401" s="16" t="s">
        <v>969</v>
      </c>
      <c r="G401" s="16">
        <v>0</v>
      </c>
      <c r="H401" s="16">
        <v>0</v>
      </c>
      <c r="I401" s="16">
        <v>0</v>
      </c>
      <c r="J401" s="16">
        <v>0</v>
      </c>
      <c r="K401" s="16">
        <v>0</v>
      </c>
      <c r="L401" s="16">
        <v>0</v>
      </c>
      <c r="M401" s="16">
        <v>0</v>
      </c>
      <c r="N401" s="16">
        <v>0</v>
      </c>
      <c r="O401" s="16">
        <v>0</v>
      </c>
      <c r="P401" s="16">
        <v>0</v>
      </c>
      <c r="Q401" s="16">
        <v>0</v>
      </c>
      <c r="R401" s="16">
        <v>0</v>
      </c>
      <c r="S401" s="16">
        <v>0</v>
      </c>
      <c r="T401" s="16">
        <v>0</v>
      </c>
      <c r="U401" s="16">
        <v>0</v>
      </c>
      <c r="V401" s="16">
        <f>($J401*0.04)+($K401*4)+($L401*-2)+($N401*0.1)+($O401*6)+($Q401)+($R401*0.1)+($S401*6)+($T401*-2)</f>
        <v>0</v>
      </c>
      <c r="W401" s="16" t="e">
        <f>$P401/$H$33</f>
        <v>#DIV/0!</v>
      </c>
      <c r="X401" s="16" t="e">
        <f>$N401/$M401</f>
        <v>#DIV/0!</v>
      </c>
      <c r="Y401" s="16" t="e">
        <f>$R401/$Q401</f>
        <v>#DIV/0!</v>
      </c>
      <c r="Z401" s="16" t="e">
        <f>$I401/$H401</f>
        <v>#DIV/0!</v>
      </c>
      <c r="AA401" s="16" t="e">
        <f>$K401/$H401</f>
        <v>#DIV/0!</v>
      </c>
      <c r="AB401" s="16">
        <f>($J401*Cp_yd)+($K401*Cp_td)+($L401*Cint)+($M401*Ccar)+($N401*Cr_yd)+($O401*Cr_td)+(Q401*Crec)+($R401*Crec_yd)+($S401*Crec_td)+($T401*Cfmb)+($U401*Ctp_c)</f>
        <v>0</v>
      </c>
    </row>
    <row r="402" spans="1:28" x14ac:dyDescent="0.2">
      <c r="A402" s="15" t="s">
        <v>1000</v>
      </c>
      <c r="B402" s="15" t="s">
        <v>43</v>
      </c>
      <c r="C402" s="15">
        <v>31</v>
      </c>
      <c r="D402" s="15">
        <v>11</v>
      </c>
      <c r="E402" s="15" t="s">
        <v>666</v>
      </c>
      <c r="F402" s="15" t="s">
        <v>969</v>
      </c>
      <c r="G402" s="15">
        <v>0</v>
      </c>
      <c r="H402" s="15">
        <v>0</v>
      </c>
      <c r="I402" s="15">
        <v>0</v>
      </c>
      <c r="J402" s="15">
        <v>0</v>
      </c>
      <c r="K402" s="15">
        <v>0</v>
      </c>
      <c r="L402" s="15">
        <v>0</v>
      </c>
      <c r="M402" s="15">
        <v>0</v>
      </c>
      <c r="N402" s="15">
        <v>0</v>
      </c>
      <c r="O402" s="15">
        <v>0</v>
      </c>
      <c r="P402" s="15">
        <v>0</v>
      </c>
      <c r="Q402" s="15">
        <v>0</v>
      </c>
      <c r="R402" s="15">
        <v>0</v>
      </c>
      <c r="S402" s="15">
        <v>0</v>
      </c>
      <c r="T402" s="15">
        <v>0</v>
      </c>
      <c r="U402" s="15">
        <v>0</v>
      </c>
      <c r="V402" s="15">
        <f>($J402*0.04)+($K402*4)+($L402*-2)+($N402*0.1)+($O402*6)+($Q402)+($R402*0.1)+($S402*6)+($T402*-2)</f>
        <v>0</v>
      </c>
      <c r="W402" s="15" t="e">
        <f>$P402/$H$33</f>
        <v>#DIV/0!</v>
      </c>
      <c r="X402" s="15" t="e">
        <f>$N402/$M402</f>
        <v>#DIV/0!</v>
      </c>
      <c r="Y402" s="15" t="e">
        <f>$R402/$Q402</f>
        <v>#DIV/0!</v>
      </c>
      <c r="Z402" s="15" t="e">
        <f>$I402/$H402</f>
        <v>#DIV/0!</v>
      </c>
      <c r="AA402" s="15" t="e">
        <f>$K402/$H402</f>
        <v>#DIV/0!</v>
      </c>
      <c r="AB402" s="15">
        <f>($J402*Cp_yd)+($K402*Cp_td)+($L402*Cint)+($M402*Ccar)+($N402*Cr_yd)+($O402*Cr_td)+(Q402*Crec)+($R402*Crec_yd)+($S402*Crec_td)+($T402*Cfmb)+($U402*Ctp_c)</f>
        <v>0</v>
      </c>
    </row>
    <row r="403" spans="1:28" x14ac:dyDescent="0.2">
      <c r="A403" s="16" t="s">
        <v>1001</v>
      </c>
      <c r="B403" s="16" t="s">
        <v>43</v>
      </c>
      <c r="C403" s="16">
        <v>25</v>
      </c>
      <c r="D403" s="16">
        <v>0</v>
      </c>
      <c r="E403" s="16" t="s">
        <v>78</v>
      </c>
      <c r="F403" s="16" t="s">
        <v>969</v>
      </c>
      <c r="G403" s="16">
        <v>0</v>
      </c>
      <c r="H403" s="16">
        <v>0</v>
      </c>
      <c r="I403" s="16">
        <v>0</v>
      </c>
      <c r="J403" s="16">
        <v>0</v>
      </c>
      <c r="K403" s="16">
        <v>0</v>
      </c>
      <c r="L403" s="16">
        <v>0</v>
      </c>
      <c r="M403" s="16">
        <v>0</v>
      </c>
      <c r="N403" s="16">
        <v>0</v>
      </c>
      <c r="O403" s="16">
        <v>0</v>
      </c>
      <c r="P403" s="16">
        <v>0</v>
      </c>
      <c r="Q403" s="16">
        <v>0</v>
      </c>
      <c r="R403" s="16">
        <v>0</v>
      </c>
      <c r="S403" s="16">
        <v>0</v>
      </c>
      <c r="T403" s="16">
        <v>0</v>
      </c>
      <c r="U403" s="16">
        <v>0</v>
      </c>
      <c r="V403" s="16">
        <f>($J403*0.04)+($K403*4)+($L403*-2)+($N403*0.1)+($O403*6)+($Q403)+($R403*0.1)+($S403*6)+($T403*-2)</f>
        <v>0</v>
      </c>
      <c r="W403" s="16" t="e">
        <f>$P403/$H$33</f>
        <v>#DIV/0!</v>
      </c>
      <c r="X403" s="16" t="e">
        <f>$N403/$M403</f>
        <v>#DIV/0!</v>
      </c>
      <c r="Y403" s="16" t="e">
        <f>$R403/$Q403</f>
        <v>#DIV/0!</v>
      </c>
      <c r="Z403" s="16" t="e">
        <f>$I403/$H403</f>
        <v>#DIV/0!</v>
      </c>
      <c r="AA403" s="16" t="e">
        <f>$K403/$H403</f>
        <v>#DIV/0!</v>
      </c>
      <c r="AB403" s="16">
        <f>($J403*Cp_yd)+($K403*Cp_td)+($L403*Cint)+($M403*Ccar)+($N403*Cr_yd)+($O403*Cr_td)+(Q403*Crec)+($R403*Crec_yd)+($S403*Crec_td)+($T403*Cfmb)+($U403*Ctp_c)</f>
        <v>0</v>
      </c>
    </row>
    <row r="404" spans="1:28" x14ac:dyDescent="0.2">
      <c r="A404" s="15" t="s">
        <v>1002</v>
      </c>
      <c r="B404" s="15" t="s">
        <v>43</v>
      </c>
      <c r="C404" s="15">
        <v>22</v>
      </c>
      <c r="D404" s="15">
        <v>0</v>
      </c>
      <c r="E404" s="15" t="s">
        <v>76</v>
      </c>
      <c r="F404" s="15" t="s">
        <v>969</v>
      </c>
      <c r="G404" s="15">
        <v>0</v>
      </c>
      <c r="H404" s="15">
        <v>0</v>
      </c>
      <c r="I404" s="15">
        <v>0</v>
      </c>
      <c r="J404" s="15">
        <v>0</v>
      </c>
      <c r="K404" s="15">
        <v>0</v>
      </c>
      <c r="L404" s="15">
        <v>0</v>
      </c>
      <c r="M404" s="15">
        <v>0</v>
      </c>
      <c r="N404" s="15">
        <v>0</v>
      </c>
      <c r="O404" s="15">
        <v>0</v>
      </c>
      <c r="P404" s="15">
        <v>0</v>
      </c>
      <c r="Q404" s="15">
        <v>0</v>
      </c>
      <c r="R404" s="15">
        <v>0</v>
      </c>
      <c r="S404" s="15">
        <v>0</v>
      </c>
      <c r="T404" s="15">
        <v>0</v>
      </c>
      <c r="U404" s="15">
        <v>0</v>
      </c>
      <c r="V404" s="15">
        <f>($J404*0.04)+($K404*4)+($L404*-2)+($N404*0.1)+($O404*6)+($Q404)+($R404*0.1)+($S404*6)+($T404*-2)</f>
        <v>0</v>
      </c>
      <c r="W404" s="15" t="e">
        <f>$P404/$H$33</f>
        <v>#DIV/0!</v>
      </c>
      <c r="X404" s="15" t="e">
        <f>$N404/$M404</f>
        <v>#DIV/0!</v>
      </c>
      <c r="Y404" s="15" t="e">
        <f>$R404/$Q404</f>
        <v>#DIV/0!</v>
      </c>
      <c r="Z404" s="15" t="e">
        <f>$I404/$H404</f>
        <v>#DIV/0!</v>
      </c>
      <c r="AA404" s="15" t="e">
        <f>$K404/$H404</f>
        <v>#DIV/0!</v>
      </c>
      <c r="AB404" s="15">
        <f>($J404*Cp_yd)+($K404*Cp_td)+($L404*Cint)+($M404*Ccar)+($N404*Cr_yd)+($O404*Cr_td)+(Q404*Crec)+($R404*Crec_yd)+($S404*Crec_td)+($T404*Cfmb)+($U404*Ctp_c)</f>
        <v>0</v>
      </c>
    </row>
    <row r="405" spans="1:28" x14ac:dyDescent="0.2">
      <c r="A405" s="16" t="s">
        <v>1003</v>
      </c>
      <c r="B405" s="16" t="s">
        <v>43</v>
      </c>
      <c r="C405" s="16">
        <v>27</v>
      </c>
      <c r="D405" s="16">
        <v>2</v>
      </c>
      <c r="E405" s="16" t="s">
        <v>1004</v>
      </c>
      <c r="F405" s="16" t="s">
        <v>969</v>
      </c>
      <c r="G405" s="16">
        <v>0</v>
      </c>
      <c r="H405" s="16">
        <v>0</v>
      </c>
      <c r="I405" s="16">
        <v>0</v>
      </c>
      <c r="J405" s="16">
        <v>0</v>
      </c>
      <c r="K405" s="16">
        <v>0</v>
      </c>
      <c r="L405" s="16">
        <v>0</v>
      </c>
      <c r="M405" s="16">
        <v>0</v>
      </c>
      <c r="N405" s="16">
        <v>0</v>
      </c>
      <c r="O405" s="16">
        <v>0</v>
      </c>
      <c r="P405" s="16">
        <v>0</v>
      </c>
      <c r="Q405" s="16">
        <v>0</v>
      </c>
      <c r="R405" s="16">
        <v>0</v>
      </c>
      <c r="S405" s="16">
        <v>0</v>
      </c>
      <c r="T405" s="16">
        <v>0</v>
      </c>
      <c r="U405" s="16">
        <v>0</v>
      </c>
      <c r="V405" s="16">
        <f>($J405*0.04)+($K405*4)+($L405*-2)+($N405*0.1)+($O405*6)+($Q405)+($R405*0.1)+($S405*6)+($T405*-2)</f>
        <v>0</v>
      </c>
      <c r="W405" s="16" t="e">
        <f>$P405/$H$33</f>
        <v>#DIV/0!</v>
      </c>
      <c r="X405" s="16" t="e">
        <f>$N405/$M405</f>
        <v>#DIV/0!</v>
      </c>
      <c r="Y405" s="16" t="e">
        <f>$R405/$Q405</f>
        <v>#DIV/0!</v>
      </c>
      <c r="Z405" s="16" t="e">
        <f>$I405/$H405</f>
        <v>#DIV/0!</v>
      </c>
      <c r="AA405" s="16" t="e">
        <f>$K405/$H405</f>
        <v>#DIV/0!</v>
      </c>
      <c r="AB405" s="16">
        <f>($J405*Cp_yd)+($K405*Cp_td)+($L405*Cint)+($M405*Ccar)+($N405*Cr_yd)+($O405*Cr_td)+(Q405*Crec)+($R405*Crec_yd)+($S405*Crec_td)+($T405*Cfmb)+($U405*Ctp_c)</f>
        <v>0</v>
      </c>
    </row>
    <row r="406" spans="1:28" x14ac:dyDescent="0.2">
      <c r="A406" s="15" t="s">
        <v>1005</v>
      </c>
      <c r="B406" s="15" t="s">
        <v>43</v>
      </c>
      <c r="C406" s="15">
        <v>26</v>
      </c>
      <c r="D406" s="15">
        <v>4</v>
      </c>
      <c r="E406" s="15" t="s">
        <v>508</v>
      </c>
      <c r="F406" s="15" t="s">
        <v>969</v>
      </c>
      <c r="G406" s="15">
        <v>0</v>
      </c>
      <c r="H406" s="15">
        <v>0</v>
      </c>
      <c r="I406" s="15">
        <v>0</v>
      </c>
      <c r="J406" s="15">
        <v>0</v>
      </c>
      <c r="K406" s="15">
        <v>0</v>
      </c>
      <c r="L406" s="15">
        <v>0</v>
      </c>
      <c r="M406" s="15">
        <v>0</v>
      </c>
      <c r="N406" s="15">
        <v>0</v>
      </c>
      <c r="O406" s="15">
        <v>0</v>
      </c>
      <c r="P406" s="15">
        <v>0</v>
      </c>
      <c r="Q406" s="15">
        <v>0</v>
      </c>
      <c r="R406" s="15">
        <v>0</v>
      </c>
      <c r="S406" s="15">
        <v>0</v>
      </c>
      <c r="T406" s="15">
        <v>0</v>
      </c>
      <c r="U406" s="15">
        <v>0</v>
      </c>
      <c r="V406" s="15">
        <f>($J406*0.04)+($K406*4)+($L406*-2)+($N406*0.1)+($O406*6)+($Q406)+($R406*0.1)+($S406*6)+($T406*-2)</f>
        <v>0</v>
      </c>
      <c r="W406" s="15" t="e">
        <f>$P406/$H$33</f>
        <v>#DIV/0!</v>
      </c>
      <c r="X406" s="15" t="e">
        <f>$N406/$M406</f>
        <v>#DIV/0!</v>
      </c>
      <c r="Y406" s="15" t="e">
        <f>$R406/$Q406</f>
        <v>#DIV/0!</v>
      </c>
      <c r="Z406" s="15" t="e">
        <f>$I406/$H406</f>
        <v>#DIV/0!</v>
      </c>
      <c r="AA406" s="15" t="e">
        <f>$K406/$H406</f>
        <v>#DIV/0!</v>
      </c>
      <c r="AB406" s="15">
        <f>($J406*Cp_yd)+($K406*Cp_td)+($L406*Cint)+($M406*Ccar)+($N406*Cr_yd)+($O406*Cr_td)+(Q406*Crec)+($R406*Crec_yd)+($S406*Crec_td)+($T406*Cfmb)+($U406*Ctp_c)</f>
        <v>0</v>
      </c>
    </row>
    <row r="407" spans="1:28" x14ac:dyDescent="0.2">
      <c r="A407" s="16" t="s">
        <v>1006</v>
      </c>
      <c r="B407" s="16" t="s">
        <v>43</v>
      </c>
      <c r="C407" s="16">
        <v>27</v>
      </c>
      <c r="D407" s="16">
        <v>2</v>
      </c>
      <c r="E407" s="16" t="s">
        <v>296</v>
      </c>
      <c r="F407" s="16" t="s">
        <v>969</v>
      </c>
      <c r="G407" s="16">
        <v>0</v>
      </c>
      <c r="H407" s="16">
        <v>0</v>
      </c>
      <c r="I407" s="16">
        <v>0</v>
      </c>
      <c r="J407" s="16">
        <v>0</v>
      </c>
      <c r="K407" s="16">
        <v>0</v>
      </c>
      <c r="L407" s="16">
        <v>0</v>
      </c>
      <c r="M407" s="16">
        <v>0</v>
      </c>
      <c r="N407" s="16">
        <v>0</v>
      </c>
      <c r="O407" s="16">
        <v>0</v>
      </c>
      <c r="P407" s="16">
        <v>0</v>
      </c>
      <c r="Q407" s="16">
        <v>0</v>
      </c>
      <c r="R407" s="16">
        <v>0</v>
      </c>
      <c r="S407" s="16">
        <v>0</v>
      </c>
      <c r="T407" s="16">
        <v>0</v>
      </c>
      <c r="U407" s="16">
        <v>0</v>
      </c>
      <c r="V407" s="16">
        <f>($J407*0.04)+($K407*4)+($L407*-2)+($N407*0.1)+($O407*6)+($Q407)+($R407*0.1)+($S407*6)+($T407*-2)</f>
        <v>0</v>
      </c>
      <c r="W407" s="16" t="e">
        <f>$P407/$H$33</f>
        <v>#DIV/0!</v>
      </c>
      <c r="X407" s="16" t="e">
        <f>$N407/$M407</f>
        <v>#DIV/0!</v>
      </c>
      <c r="Y407" s="16" t="e">
        <f>$R407/$Q407</f>
        <v>#DIV/0!</v>
      </c>
      <c r="Z407" s="16" t="e">
        <f>$I407/$H407</f>
        <v>#DIV/0!</v>
      </c>
      <c r="AA407" s="16" t="e">
        <f>$K407/$H407</f>
        <v>#DIV/0!</v>
      </c>
      <c r="AB407" s="16">
        <f>($J407*Cp_yd)+($K407*Cp_td)+($L407*Cint)+($M407*Ccar)+($N407*Cr_yd)+($O407*Cr_td)+(Q407*Crec)+($R407*Crec_yd)+($S407*Crec_td)+($T407*Cfmb)+($U407*Ctp_c)</f>
        <v>0</v>
      </c>
    </row>
    <row r="408" spans="1:28" x14ac:dyDescent="0.2">
      <c r="A408" s="15" t="s">
        <v>1007</v>
      </c>
      <c r="B408" s="15" t="s">
        <v>43</v>
      </c>
      <c r="C408" s="15">
        <v>21</v>
      </c>
      <c r="D408" s="15">
        <v>0</v>
      </c>
      <c r="E408" s="15" t="s">
        <v>76</v>
      </c>
      <c r="F408" s="15" t="s">
        <v>969</v>
      </c>
      <c r="G408" s="15">
        <v>0</v>
      </c>
      <c r="H408" s="15">
        <v>0</v>
      </c>
      <c r="I408" s="15">
        <v>0</v>
      </c>
      <c r="J408" s="15">
        <v>0</v>
      </c>
      <c r="K408" s="15">
        <v>0</v>
      </c>
      <c r="L408" s="15">
        <v>0</v>
      </c>
      <c r="M408" s="15">
        <v>0</v>
      </c>
      <c r="N408" s="15">
        <v>0</v>
      </c>
      <c r="O408" s="15">
        <v>0</v>
      </c>
      <c r="P408" s="15">
        <v>0</v>
      </c>
      <c r="Q408" s="15">
        <v>0</v>
      </c>
      <c r="R408" s="15">
        <v>0</v>
      </c>
      <c r="S408" s="15">
        <v>0</v>
      </c>
      <c r="T408" s="15">
        <v>0</v>
      </c>
      <c r="U408" s="15">
        <v>0</v>
      </c>
      <c r="V408" s="15">
        <f>($J408*0.04)+($K408*4)+($L408*-2)+($N408*0.1)+($O408*6)+($Q408)+($R408*0.1)+($S408*6)+($T408*-2)</f>
        <v>0</v>
      </c>
      <c r="W408" s="15" t="e">
        <f>$P408/$H$33</f>
        <v>#DIV/0!</v>
      </c>
      <c r="X408" s="15" t="e">
        <f>$N408/$M408</f>
        <v>#DIV/0!</v>
      </c>
      <c r="Y408" s="15" t="e">
        <f>$R408/$Q408</f>
        <v>#DIV/0!</v>
      </c>
      <c r="Z408" s="15" t="e">
        <f>$I408/$H408</f>
        <v>#DIV/0!</v>
      </c>
      <c r="AA408" s="15" t="e">
        <f>$K408/$H408</f>
        <v>#DIV/0!</v>
      </c>
      <c r="AB408" s="15">
        <f>($J408*Cp_yd)+($K408*Cp_td)+($L408*Cint)+($M408*Ccar)+($N408*Cr_yd)+($O408*Cr_td)+(Q408*Crec)+($R408*Crec_yd)+($S408*Crec_td)+($T408*Cfmb)+($U408*Ctp_c)</f>
        <v>0</v>
      </c>
    </row>
    <row r="409" spans="1:28" x14ac:dyDescent="0.2">
      <c r="A409" s="16" t="s">
        <v>1008</v>
      </c>
      <c r="B409" s="16" t="s">
        <v>43</v>
      </c>
      <c r="C409" s="16">
        <v>23</v>
      </c>
      <c r="D409" s="16">
        <v>3</v>
      </c>
      <c r="E409" s="16" t="s">
        <v>143</v>
      </c>
      <c r="F409" s="16" t="s">
        <v>969</v>
      </c>
      <c r="G409" s="16">
        <v>0</v>
      </c>
      <c r="H409" s="16">
        <v>0</v>
      </c>
      <c r="I409" s="16">
        <v>0</v>
      </c>
      <c r="J409" s="16">
        <v>0</v>
      </c>
      <c r="K409" s="16">
        <v>0</v>
      </c>
      <c r="L409" s="16">
        <v>0</v>
      </c>
      <c r="M409" s="16">
        <v>0</v>
      </c>
      <c r="N409" s="16">
        <v>0</v>
      </c>
      <c r="O409" s="16">
        <v>0</v>
      </c>
      <c r="P409" s="16">
        <v>0</v>
      </c>
      <c r="Q409" s="16">
        <v>0</v>
      </c>
      <c r="R409" s="16">
        <v>0</v>
      </c>
      <c r="S409" s="16">
        <v>0</v>
      </c>
      <c r="T409" s="16">
        <v>0</v>
      </c>
      <c r="U409" s="16">
        <v>0</v>
      </c>
      <c r="V409" s="16">
        <f>($J409*0.04)+($K409*4)+($L409*-2)+($N409*0.1)+($O409*6)+($Q409)+($R409*0.1)+($S409*6)+($T409*-2)</f>
        <v>0</v>
      </c>
      <c r="W409" s="16" t="e">
        <f>$P409/$H$33</f>
        <v>#DIV/0!</v>
      </c>
      <c r="X409" s="16" t="e">
        <f>$N409/$M409</f>
        <v>#DIV/0!</v>
      </c>
      <c r="Y409" s="16" t="e">
        <f>$R409/$Q409</f>
        <v>#DIV/0!</v>
      </c>
      <c r="Z409" s="16" t="e">
        <f>$I409/$H409</f>
        <v>#DIV/0!</v>
      </c>
      <c r="AA409" s="16" t="e">
        <f>$K409/$H409</f>
        <v>#DIV/0!</v>
      </c>
      <c r="AB409" s="16">
        <f>($J409*Cp_yd)+($K409*Cp_td)+($L409*Cint)+($M409*Ccar)+($N409*Cr_yd)+($O409*Cr_td)+(Q409*Crec)+($R409*Crec_yd)+($S409*Crec_td)+($T409*Cfmb)+($U409*Ctp_c)</f>
        <v>0</v>
      </c>
    </row>
    <row r="410" spans="1:28" x14ac:dyDescent="0.2">
      <c r="A410" s="15" t="s">
        <v>1009</v>
      </c>
      <c r="B410" s="15" t="s">
        <v>43</v>
      </c>
      <c r="C410" s="15">
        <v>27</v>
      </c>
      <c r="D410" s="15">
        <v>3</v>
      </c>
      <c r="E410" s="15" t="s">
        <v>555</v>
      </c>
      <c r="F410" s="15" t="s">
        <v>969</v>
      </c>
      <c r="G410" s="15">
        <v>0</v>
      </c>
      <c r="H410" s="15">
        <v>0</v>
      </c>
      <c r="I410" s="15">
        <v>0</v>
      </c>
      <c r="J410" s="15">
        <v>0</v>
      </c>
      <c r="K410" s="15">
        <v>0</v>
      </c>
      <c r="L410" s="15">
        <v>0</v>
      </c>
      <c r="M410" s="15">
        <v>0</v>
      </c>
      <c r="N410" s="15">
        <v>0</v>
      </c>
      <c r="O410" s="15">
        <v>0</v>
      </c>
      <c r="P410" s="15">
        <v>0</v>
      </c>
      <c r="Q410" s="15">
        <v>0</v>
      </c>
      <c r="R410" s="15">
        <v>0</v>
      </c>
      <c r="S410" s="15">
        <v>0</v>
      </c>
      <c r="T410" s="15">
        <v>0</v>
      </c>
      <c r="U410" s="15">
        <v>0</v>
      </c>
      <c r="V410" s="15">
        <f>($J410*0.04)+($K410*4)+($L410*-2)+($N410*0.1)+($O410*6)+($Q410)+($R410*0.1)+($S410*6)+($T410*-2)</f>
        <v>0</v>
      </c>
      <c r="W410" s="15" t="e">
        <f>$P410/$H$33</f>
        <v>#DIV/0!</v>
      </c>
      <c r="X410" s="15" t="e">
        <f>$N410/$M410</f>
        <v>#DIV/0!</v>
      </c>
      <c r="Y410" s="15" t="e">
        <f>$R410/$Q410</f>
        <v>#DIV/0!</v>
      </c>
      <c r="Z410" s="15" t="e">
        <f>$I410/$H410</f>
        <v>#DIV/0!</v>
      </c>
      <c r="AA410" s="15" t="e">
        <f>$K410/$H410</f>
        <v>#DIV/0!</v>
      </c>
      <c r="AB410" s="15">
        <f>($J410*Cp_yd)+($K410*Cp_td)+($L410*Cint)+($M410*Ccar)+($N410*Cr_yd)+($O410*Cr_td)+(Q410*Crec)+($R410*Crec_yd)+($S410*Crec_td)+($T410*Cfmb)+($U410*Ctp_c)</f>
        <v>0</v>
      </c>
    </row>
    <row r="411" spans="1:28" x14ac:dyDescent="0.2">
      <c r="A411" s="16" t="s">
        <v>1010</v>
      </c>
      <c r="B411" s="16" t="s">
        <v>43</v>
      </c>
      <c r="C411" s="16">
        <v>28</v>
      </c>
      <c r="D411" s="16">
        <v>7</v>
      </c>
      <c r="E411" s="16" t="s">
        <v>458</v>
      </c>
      <c r="F411" s="16" t="s">
        <v>969</v>
      </c>
      <c r="G411" s="16">
        <v>0</v>
      </c>
      <c r="H411" s="16">
        <v>0</v>
      </c>
      <c r="I411" s="16">
        <v>0</v>
      </c>
      <c r="J411" s="16">
        <v>0</v>
      </c>
      <c r="K411" s="16">
        <v>0</v>
      </c>
      <c r="L411" s="16">
        <v>0</v>
      </c>
      <c r="M411" s="16">
        <v>0</v>
      </c>
      <c r="N411" s="16">
        <v>0</v>
      </c>
      <c r="O411" s="16">
        <v>0</v>
      </c>
      <c r="P411" s="16">
        <v>0</v>
      </c>
      <c r="Q411" s="16">
        <v>0</v>
      </c>
      <c r="R411" s="16">
        <v>0</v>
      </c>
      <c r="S411" s="16">
        <v>0</v>
      </c>
      <c r="T411" s="16">
        <v>0</v>
      </c>
      <c r="U411" s="16">
        <v>0</v>
      </c>
      <c r="V411" s="16">
        <f>($J411*0.04)+($K411*4)+($L411*-2)+($N411*0.1)+($O411*6)+($Q411)+($R411*0.1)+($S411*6)+($T411*-2)</f>
        <v>0</v>
      </c>
      <c r="W411" s="16" t="e">
        <f>$P411/$H$33</f>
        <v>#DIV/0!</v>
      </c>
      <c r="X411" s="16" t="e">
        <f>$N411/$M411</f>
        <v>#DIV/0!</v>
      </c>
      <c r="Y411" s="16" t="e">
        <f>$R411/$Q411</f>
        <v>#DIV/0!</v>
      </c>
      <c r="Z411" s="16" t="e">
        <f>$I411/$H411</f>
        <v>#DIV/0!</v>
      </c>
      <c r="AA411" s="16" t="e">
        <f>$K411/$H411</f>
        <v>#DIV/0!</v>
      </c>
      <c r="AB411" s="16">
        <f>($J411*Cp_yd)+($K411*Cp_td)+($L411*Cint)+($M411*Ccar)+($N411*Cr_yd)+($O411*Cr_td)+(Q411*Crec)+($R411*Crec_yd)+($S411*Crec_td)+($T411*Cfmb)+($U411*Ctp_c)</f>
        <v>0</v>
      </c>
    </row>
    <row r="412" spans="1:28" x14ac:dyDescent="0.2">
      <c r="A412" s="15" t="s">
        <v>1011</v>
      </c>
      <c r="B412" s="15" t="s">
        <v>43</v>
      </c>
      <c r="C412" s="15">
        <v>24</v>
      </c>
      <c r="D412" s="15">
        <v>0</v>
      </c>
      <c r="E412" s="15" t="s">
        <v>1012</v>
      </c>
      <c r="F412" s="15" t="s">
        <v>969</v>
      </c>
      <c r="G412" s="15">
        <v>0</v>
      </c>
      <c r="H412" s="15">
        <v>0</v>
      </c>
      <c r="I412" s="15">
        <v>0</v>
      </c>
      <c r="J412" s="15">
        <v>0</v>
      </c>
      <c r="K412" s="15">
        <v>0</v>
      </c>
      <c r="L412" s="15">
        <v>0</v>
      </c>
      <c r="M412" s="15">
        <v>0</v>
      </c>
      <c r="N412" s="15">
        <v>0</v>
      </c>
      <c r="O412" s="15">
        <v>0</v>
      </c>
      <c r="P412" s="15">
        <v>0</v>
      </c>
      <c r="Q412" s="15">
        <v>0</v>
      </c>
      <c r="R412" s="15">
        <v>0</v>
      </c>
      <c r="S412" s="15">
        <v>0</v>
      </c>
      <c r="T412" s="15">
        <v>0</v>
      </c>
      <c r="U412" s="15">
        <v>0</v>
      </c>
      <c r="V412" s="15">
        <f>($J412*0.04)+($K412*4)+($L412*-2)+($N412*0.1)+($O412*6)+($Q412)+($R412*0.1)+($S412*6)+($T412*-2)</f>
        <v>0</v>
      </c>
      <c r="W412" s="15" t="e">
        <f>$P412/$H$33</f>
        <v>#DIV/0!</v>
      </c>
      <c r="X412" s="15" t="e">
        <f>$N412/$M412</f>
        <v>#DIV/0!</v>
      </c>
      <c r="Y412" s="15" t="e">
        <f>$R412/$Q412</f>
        <v>#DIV/0!</v>
      </c>
      <c r="Z412" s="15" t="e">
        <f>$I412/$H412</f>
        <v>#DIV/0!</v>
      </c>
      <c r="AA412" s="15" t="e">
        <f>$K412/$H412</f>
        <v>#DIV/0!</v>
      </c>
      <c r="AB412" s="15">
        <f>($J412*Cp_yd)+($K412*Cp_td)+($L412*Cint)+($M412*Ccar)+($N412*Cr_yd)+($O412*Cr_td)+(Q412*Crec)+($R412*Crec_yd)+($S412*Crec_td)+($T412*Cfmb)+($U412*Ctp_c)</f>
        <v>0</v>
      </c>
    </row>
    <row r="413" spans="1:28" x14ac:dyDescent="0.2">
      <c r="A413" s="16" t="s">
        <v>1014</v>
      </c>
      <c r="B413" s="16" t="s">
        <v>38</v>
      </c>
      <c r="C413" s="16">
        <v>29</v>
      </c>
      <c r="D413" s="16">
        <v>7</v>
      </c>
      <c r="E413" s="16" t="s">
        <v>519</v>
      </c>
      <c r="F413" s="16" t="s">
        <v>969</v>
      </c>
      <c r="G413" s="16">
        <v>0</v>
      </c>
      <c r="H413" s="16">
        <v>0</v>
      </c>
      <c r="I413" s="16">
        <v>0</v>
      </c>
      <c r="J413" s="16">
        <v>0</v>
      </c>
      <c r="K413" s="16">
        <v>0</v>
      </c>
      <c r="L413" s="16">
        <v>0</v>
      </c>
      <c r="M413" s="16">
        <v>0</v>
      </c>
      <c r="N413" s="16">
        <v>0</v>
      </c>
      <c r="O413" s="16">
        <v>0</v>
      </c>
      <c r="P413" s="16">
        <v>0</v>
      </c>
      <c r="Q413" s="16">
        <v>0</v>
      </c>
      <c r="R413" s="16">
        <v>0</v>
      </c>
      <c r="S413" s="16">
        <v>0</v>
      </c>
      <c r="T413" s="16">
        <v>0</v>
      </c>
      <c r="U413" s="16">
        <v>0</v>
      </c>
      <c r="V413" s="16">
        <f>($J413*0.04)+($K413*4)+($L413*-2)+($N413*0.1)+($O413*6)+($Q413)+($R413*0.1)+($S413*6)+($T413*-2)</f>
        <v>0</v>
      </c>
      <c r="W413" s="16" t="e">
        <f>$P413/$H$33</f>
        <v>#DIV/0!</v>
      </c>
      <c r="X413" s="16" t="e">
        <f>$N413/$M413</f>
        <v>#DIV/0!</v>
      </c>
      <c r="Y413" s="16" t="e">
        <f>$R413/$Q413</f>
        <v>#DIV/0!</v>
      </c>
      <c r="Z413" s="16" t="e">
        <f>$I413/$H413</f>
        <v>#DIV/0!</v>
      </c>
      <c r="AA413" s="16" t="e">
        <f>$K413/$H413</f>
        <v>#DIV/0!</v>
      </c>
      <c r="AB413" s="16">
        <f>($J413*Cp_yd)+($K413*Cp_td)+($L413*Cint)+($M413*Ccar)+($N413*Cr_yd)+($O413*Cr_td)+(Q413*Crec)+($R413*Crec_yd)+($S413*Crec_td)+($T413*Cfmb)+($U413*Ctp_c)</f>
        <v>0</v>
      </c>
    </row>
    <row r="414" spans="1:28" x14ac:dyDescent="0.2">
      <c r="A414" s="15" t="s">
        <v>1015</v>
      </c>
      <c r="B414" s="15" t="s">
        <v>38</v>
      </c>
      <c r="C414" s="15">
        <v>22</v>
      </c>
      <c r="D414" s="15">
        <v>0</v>
      </c>
      <c r="E414" s="15" t="s">
        <v>418</v>
      </c>
      <c r="F414" s="15" t="s">
        <v>969</v>
      </c>
      <c r="G414" s="15">
        <v>0</v>
      </c>
      <c r="H414" s="15">
        <v>0</v>
      </c>
      <c r="I414" s="15">
        <v>0</v>
      </c>
      <c r="J414" s="15">
        <v>0</v>
      </c>
      <c r="K414" s="15">
        <v>0</v>
      </c>
      <c r="L414" s="15">
        <v>0</v>
      </c>
      <c r="M414" s="15">
        <v>0</v>
      </c>
      <c r="N414" s="15">
        <v>0</v>
      </c>
      <c r="O414" s="15">
        <v>0</v>
      </c>
      <c r="P414" s="15">
        <v>0</v>
      </c>
      <c r="Q414" s="15">
        <v>0</v>
      </c>
      <c r="R414" s="15">
        <v>0</v>
      </c>
      <c r="S414" s="15">
        <v>0</v>
      </c>
      <c r="T414" s="15">
        <v>0</v>
      </c>
      <c r="U414" s="15">
        <v>0</v>
      </c>
      <c r="V414" s="15">
        <f>($J414*0.04)+($K414*4)+($L414*-2)+($N414*0.1)+($O414*6)+($Q414)+($R414*0.1)+($S414*6)+($T414*-2)</f>
        <v>0</v>
      </c>
      <c r="W414" s="15" t="e">
        <f>$P414/$H$33</f>
        <v>#DIV/0!</v>
      </c>
      <c r="X414" s="15" t="e">
        <f>$N414/$M414</f>
        <v>#DIV/0!</v>
      </c>
      <c r="Y414" s="15" t="e">
        <f>$R414/$Q414</f>
        <v>#DIV/0!</v>
      </c>
      <c r="Z414" s="15" t="e">
        <f>$I414/$H414</f>
        <v>#DIV/0!</v>
      </c>
      <c r="AA414" s="15" t="e">
        <f>$K414/$H414</f>
        <v>#DIV/0!</v>
      </c>
      <c r="AB414" s="15">
        <f>($J414*Cp_yd)+($K414*Cp_td)+($L414*Cint)+($M414*Ccar)+($N414*Cr_yd)+($O414*Cr_td)+(Q414*Crec)+($R414*Crec_yd)+($S414*Crec_td)+($T414*Cfmb)+($U414*Ctp_c)</f>
        <v>0</v>
      </c>
    </row>
    <row r="415" spans="1:28" x14ac:dyDescent="0.2">
      <c r="A415" s="16" t="s">
        <v>1016</v>
      </c>
      <c r="B415" s="16" t="s">
        <v>38</v>
      </c>
      <c r="C415" s="16">
        <v>25</v>
      </c>
      <c r="D415" s="16">
        <v>1</v>
      </c>
      <c r="E415" s="16" t="s">
        <v>205</v>
      </c>
      <c r="F415" s="16" t="s">
        <v>969</v>
      </c>
      <c r="G415" s="16">
        <v>0</v>
      </c>
      <c r="H415" s="16">
        <v>0</v>
      </c>
      <c r="I415" s="16">
        <v>0</v>
      </c>
      <c r="J415" s="16">
        <v>0</v>
      </c>
      <c r="K415" s="16">
        <v>0</v>
      </c>
      <c r="L415" s="16">
        <v>0</v>
      </c>
      <c r="M415" s="16">
        <v>0</v>
      </c>
      <c r="N415" s="16">
        <v>0</v>
      </c>
      <c r="O415" s="16">
        <v>0</v>
      </c>
      <c r="P415" s="16">
        <v>0</v>
      </c>
      <c r="Q415" s="16">
        <v>0</v>
      </c>
      <c r="R415" s="16">
        <v>0</v>
      </c>
      <c r="S415" s="16">
        <v>0</v>
      </c>
      <c r="T415" s="16">
        <v>0</v>
      </c>
      <c r="U415" s="16">
        <v>0</v>
      </c>
      <c r="V415" s="16">
        <f>($J415*0.04)+($K415*4)+($L415*-2)+($N415*0.1)+($O415*6)+($Q415)+($R415*0.1)+($S415*6)+($T415*-2)</f>
        <v>0</v>
      </c>
      <c r="W415" s="16" t="e">
        <f>$P415/$H$33</f>
        <v>#DIV/0!</v>
      </c>
      <c r="X415" s="16" t="e">
        <f>$N415/$M415</f>
        <v>#DIV/0!</v>
      </c>
      <c r="Y415" s="16" t="e">
        <f>$R415/$Q415</f>
        <v>#DIV/0!</v>
      </c>
      <c r="Z415" s="16" t="e">
        <f>$I415/$H415</f>
        <v>#DIV/0!</v>
      </c>
      <c r="AA415" s="16" t="e">
        <f>$K415/$H415</f>
        <v>#DIV/0!</v>
      </c>
      <c r="AB415" s="16">
        <f>($J415*Cp_yd)+($K415*Cp_td)+($L415*Cint)+($M415*Ccar)+($N415*Cr_yd)+($O415*Cr_td)+(Q415*Crec)+($R415*Crec_yd)+($S415*Crec_td)+($T415*Cfmb)+($U415*Ctp_c)</f>
        <v>0</v>
      </c>
    </row>
    <row r="416" spans="1:28" x14ac:dyDescent="0.2">
      <c r="A416" s="15" t="s">
        <v>1017</v>
      </c>
      <c r="B416" s="15" t="s">
        <v>38</v>
      </c>
      <c r="C416" s="15">
        <v>24</v>
      </c>
      <c r="D416" s="15">
        <v>3</v>
      </c>
      <c r="E416" s="15" t="s">
        <v>173</v>
      </c>
      <c r="F416" s="15" t="s">
        <v>969</v>
      </c>
      <c r="G416" s="15">
        <v>0</v>
      </c>
      <c r="H416" s="15">
        <v>0</v>
      </c>
      <c r="I416" s="15">
        <v>0</v>
      </c>
      <c r="J416" s="15">
        <v>0</v>
      </c>
      <c r="K416" s="15">
        <v>0</v>
      </c>
      <c r="L416" s="15">
        <v>0</v>
      </c>
      <c r="M416" s="15">
        <v>0</v>
      </c>
      <c r="N416" s="15">
        <v>0</v>
      </c>
      <c r="O416" s="15">
        <v>0</v>
      </c>
      <c r="P416" s="15">
        <v>0</v>
      </c>
      <c r="Q416" s="15">
        <v>0</v>
      </c>
      <c r="R416" s="15">
        <v>0</v>
      </c>
      <c r="S416" s="15">
        <v>0</v>
      </c>
      <c r="T416" s="15">
        <v>0</v>
      </c>
      <c r="U416" s="15">
        <v>0</v>
      </c>
      <c r="V416" s="15">
        <f>($J416*0.04)+($K416*4)+($L416*-2)+($N416*0.1)+($O416*6)+($Q416)+($R416*0.1)+($S416*6)+($T416*-2)</f>
        <v>0</v>
      </c>
      <c r="W416" s="15" t="e">
        <f>$P416/$H$33</f>
        <v>#DIV/0!</v>
      </c>
      <c r="X416" s="15" t="e">
        <f>$N416/$M416</f>
        <v>#DIV/0!</v>
      </c>
      <c r="Y416" s="15" t="e">
        <f>$R416/$Q416</f>
        <v>#DIV/0!</v>
      </c>
      <c r="Z416" s="15" t="e">
        <f>$I416/$H416</f>
        <v>#DIV/0!</v>
      </c>
      <c r="AA416" s="15" t="e">
        <f>$K416/$H416</f>
        <v>#DIV/0!</v>
      </c>
      <c r="AB416" s="15">
        <f>($J416*Cp_yd)+($K416*Cp_td)+($L416*Cint)+($M416*Ccar)+($N416*Cr_yd)+($O416*Cr_td)+(Q416*Crec)+($R416*Crec_yd)+($S416*Crec_td)+($T416*Cfmb)+($U416*Ctp_c)</f>
        <v>0</v>
      </c>
    </row>
    <row r="417" spans="1:28" x14ac:dyDescent="0.2">
      <c r="A417" s="16" t="s">
        <v>1018</v>
      </c>
      <c r="B417" s="16" t="s">
        <v>38</v>
      </c>
      <c r="C417" s="16">
        <v>26</v>
      </c>
      <c r="D417" s="16">
        <v>4</v>
      </c>
      <c r="E417" s="16" t="s">
        <v>1019</v>
      </c>
      <c r="F417" s="16" t="s">
        <v>969</v>
      </c>
      <c r="G417" s="16">
        <v>0</v>
      </c>
      <c r="H417" s="16">
        <v>0</v>
      </c>
      <c r="I417" s="16">
        <v>0</v>
      </c>
      <c r="J417" s="16">
        <v>0</v>
      </c>
      <c r="K417" s="16">
        <v>0</v>
      </c>
      <c r="L417" s="16">
        <v>0</v>
      </c>
      <c r="M417" s="16">
        <v>0</v>
      </c>
      <c r="N417" s="16">
        <v>0</v>
      </c>
      <c r="O417" s="16">
        <v>0</v>
      </c>
      <c r="P417" s="16">
        <v>0</v>
      </c>
      <c r="Q417" s="16">
        <v>0</v>
      </c>
      <c r="R417" s="16">
        <v>0</v>
      </c>
      <c r="S417" s="16">
        <v>0</v>
      </c>
      <c r="T417" s="16">
        <v>0</v>
      </c>
      <c r="U417" s="16">
        <v>0</v>
      </c>
      <c r="V417" s="16">
        <f>($J417*0.04)+($K417*4)+($L417*-2)+($N417*0.1)+($O417*6)+($Q417)+($R417*0.1)+($S417*6)+($T417*-2)</f>
        <v>0</v>
      </c>
      <c r="W417" s="16" t="e">
        <f>$P417/$H$33</f>
        <v>#DIV/0!</v>
      </c>
      <c r="X417" s="16" t="e">
        <f>$N417/$M417</f>
        <v>#DIV/0!</v>
      </c>
      <c r="Y417" s="16" t="e">
        <f>$R417/$Q417</f>
        <v>#DIV/0!</v>
      </c>
      <c r="Z417" s="16" t="e">
        <f>$I417/$H417</f>
        <v>#DIV/0!</v>
      </c>
      <c r="AA417" s="16" t="e">
        <f>$K417/$H417</f>
        <v>#DIV/0!</v>
      </c>
      <c r="AB417" s="16">
        <f>($J417*Cp_yd)+($K417*Cp_td)+($L417*Cint)+($M417*Ccar)+($N417*Cr_yd)+($O417*Cr_td)+(Q417*Crec)+($R417*Crec_yd)+($S417*Crec_td)+($T417*Cfmb)+($U417*Ctp_c)</f>
        <v>0</v>
      </c>
    </row>
    <row r="418" spans="1:28" x14ac:dyDescent="0.2">
      <c r="A418" s="15" t="s">
        <v>1041</v>
      </c>
      <c r="B418" s="15" t="s">
        <v>26</v>
      </c>
      <c r="C418" s="15">
        <v>25</v>
      </c>
      <c r="D418" s="15">
        <v>0</v>
      </c>
      <c r="E418" s="15" t="s">
        <v>173</v>
      </c>
      <c r="F418" s="15" t="s">
        <v>1021</v>
      </c>
      <c r="G418" s="15">
        <v>0</v>
      </c>
      <c r="H418" s="15">
        <v>0</v>
      </c>
      <c r="I418" s="15">
        <v>0</v>
      </c>
      <c r="J418" s="15">
        <v>0</v>
      </c>
      <c r="K418" s="15">
        <v>0</v>
      </c>
      <c r="L418" s="15">
        <v>0</v>
      </c>
      <c r="M418" s="15">
        <v>0</v>
      </c>
      <c r="N418" s="15">
        <v>0</v>
      </c>
      <c r="O418" s="15">
        <v>0</v>
      </c>
      <c r="P418" s="15">
        <v>0</v>
      </c>
      <c r="Q418" s="15">
        <v>0</v>
      </c>
      <c r="R418" s="15">
        <v>0</v>
      </c>
      <c r="S418" s="15">
        <v>0</v>
      </c>
      <c r="T418" s="15">
        <v>0</v>
      </c>
      <c r="U418" s="15">
        <v>0</v>
      </c>
      <c r="V418" s="15">
        <f>($J418*0.04)+($K418*4)+($L418*-2)+($N418*0.1)+($O418*6)+($Q418)+($R418*0.1)+($S418*6)+($T418*-2)</f>
        <v>0</v>
      </c>
      <c r="W418" s="15" t="e">
        <f>$P418/$H$33</f>
        <v>#DIV/0!</v>
      </c>
      <c r="X418" s="15" t="e">
        <f>$N418/$M418</f>
        <v>#DIV/0!</v>
      </c>
      <c r="Y418" s="15" t="e">
        <f>$R418/$Q418</f>
        <v>#DIV/0!</v>
      </c>
      <c r="Z418" s="15" t="e">
        <f>$I418/$H418</f>
        <v>#DIV/0!</v>
      </c>
      <c r="AA418" s="15" t="e">
        <f>$K418/$H418</f>
        <v>#DIV/0!</v>
      </c>
      <c r="AB418" s="15">
        <f>($J418*Cp_yd)+($K418*Cp_td)+($L418*Cint)+($M418*Ccar)+($N418*Cr_yd)+($O418*Cr_td)+(Q418*Crec)+($R418*Crec_yd)+($S418*Crec_td)+($T418*Cfmb)+($U418*Ctp_c)</f>
        <v>0</v>
      </c>
    </row>
    <row r="419" spans="1:28" x14ac:dyDescent="0.2">
      <c r="A419" s="16" t="s">
        <v>1042</v>
      </c>
      <c r="B419" s="16" t="s">
        <v>26</v>
      </c>
      <c r="C419" s="16">
        <v>27</v>
      </c>
      <c r="D419" s="16">
        <v>4</v>
      </c>
      <c r="E419" s="16" t="s">
        <v>296</v>
      </c>
      <c r="F419" s="16" t="s">
        <v>1021</v>
      </c>
      <c r="G419" s="16">
        <v>0</v>
      </c>
      <c r="H419" s="16">
        <v>0</v>
      </c>
      <c r="I419" s="16">
        <v>0</v>
      </c>
      <c r="J419" s="16">
        <v>0</v>
      </c>
      <c r="K419" s="16">
        <v>0</v>
      </c>
      <c r="L419" s="16">
        <v>0</v>
      </c>
      <c r="M419" s="16">
        <v>0</v>
      </c>
      <c r="N419" s="16">
        <v>0</v>
      </c>
      <c r="O419" s="16">
        <v>0</v>
      </c>
      <c r="P419" s="16">
        <v>0</v>
      </c>
      <c r="Q419" s="16">
        <v>0</v>
      </c>
      <c r="R419" s="16">
        <v>0</v>
      </c>
      <c r="S419" s="16">
        <v>0</v>
      </c>
      <c r="T419" s="16">
        <v>0</v>
      </c>
      <c r="U419" s="16">
        <v>0</v>
      </c>
      <c r="V419" s="16">
        <f>($J419*0.04)+($K419*4)+($L419*-2)+($N419*0.1)+($O419*6)+($Q419)+($R419*0.1)+($S419*6)+($T419*-2)</f>
        <v>0</v>
      </c>
      <c r="W419" s="16" t="e">
        <f>$P419/$H$33</f>
        <v>#DIV/0!</v>
      </c>
      <c r="X419" s="16" t="e">
        <f>$N419/$M419</f>
        <v>#DIV/0!</v>
      </c>
      <c r="Y419" s="16" t="e">
        <f>$R419/$Q419</f>
        <v>#DIV/0!</v>
      </c>
      <c r="Z419" s="16" t="e">
        <f>$I419/$H419</f>
        <v>#DIV/0!</v>
      </c>
      <c r="AA419" s="16" t="e">
        <f>$K419/$H419</f>
        <v>#DIV/0!</v>
      </c>
      <c r="AB419" s="16">
        <f>($J419*Cp_yd)+($K419*Cp_td)+($L419*Cint)+($M419*Ccar)+($N419*Cr_yd)+($O419*Cr_td)+(Q419*Crec)+($R419*Crec_yd)+($S419*Crec_td)+($T419*Cfmb)+($U419*Ctp_c)</f>
        <v>0</v>
      </c>
    </row>
    <row r="420" spans="1:28" x14ac:dyDescent="0.2">
      <c r="A420" s="15" t="s">
        <v>1043</v>
      </c>
      <c r="B420" s="15" t="s">
        <v>26</v>
      </c>
      <c r="C420" s="15">
        <v>35</v>
      </c>
      <c r="D420" s="15">
        <v>15</v>
      </c>
      <c r="E420" s="15" t="s">
        <v>173</v>
      </c>
      <c r="F420" s="15" t="s">
        <v>1021</v>
      </c>
      <c r="G420" s="15">
        <v>0</v>
      </c>
      <c r="H420" s="15">
        <v>0</v>
      </c>
      <c r="I420" s="15">
        <v>0</v>
      </c>
      <c r="J420" s="15">
        <v>0</v>
      </c>
      <c r="K420" s="15">
        <v>0</v>
      </c>
      <c r="L420" s="15">
        <v>0</v>
      </c>
      <c r="M420" s="15">
        <v>0</v>
      </c>
      <c r="N420" s="15">
        <v>0</v>
      </c>
      <c r="O420" s="15">
        <v>0</v>
      </c>
      <c r="P420" s="15">
        <v>0</v>
      </c>
      <c r="Q420" s="15">
        <v>0</v>
      </c>
      <c r="R420" s="15">
        <v>0</v>
      </c>
      <c r="S420" s="15">
        <v>0</v>
      </c>
      <c r="T420" s="15">
        <v>0</v>
      </c>
      <c r="U420" s="15">
        <v>0</v>
      </c>
      <c r="V420" s="15">
        <f>($J420*0.04)+($K420*4)+($L420*-2)+($N420*0.1)+($O420*6)+($Q420)+($R420*0.1)+($S420*6)+($T420*-2)</f>
        <v>0</v>
      </c>
      <c r="W420" s="15" t="e">
        <f>$P420/$H$33</f>
        <v>#DIV/0!</v>
      </c>
      <c r="X420" s="15" t="e">
        <f>$N420/$M420</f>
        <v>#DIV/0!</v>
      </c>
      <c r="Y420" s="15" t="e">
        <f>$R420/$Q420</f>
        <v>#DIV/0!</v>
      </c>
      <c r="Z420" s="15" t="e">
        <f>$I420/$H420</f>
        <v>#DIV/0!</v>
      </c>
      <c r="AA420" s="15" t="e">
        <f>$K420/$H420</f>
        <v>#DIV/0!</v>
      </c>
      <c r="AB420" s="15">
        <f>($J420*Cp_yd)+($K420*Cp_td)+($L420*Cint)+($M420*Ccar)+($N420*Cr_yd)+($O420*Cr_td)+(Q420*Crec)+($R420*Crec_yd)+($S420*Crec_td)+($T420*Cfmb)+($U420*Ctp_c)</f>
        <v>0</v>
      </c>
    </row>
    <row r="421" spans="1:28" x14ac:dyDescent="0.2">
      <c r="A421" s="16" t="s">
        <v>1046</v>
      </c>
      <c r="B421" s="16" t="s">
        <v>31</v>
      </c>
      <c r="C421" s="16">
        <v>24</v>
      </c>
      <c r="D421" s="16">
        <v>3</v>
      </c>
      <c r="E421" s="16" t="s">
        <v>1012</v>
      </c>
      <c r="F421" s="16" t="s">
        <v>1021</v>
      </c>
      <c r="G421" s="16">
        <v>0</v>
      </c>
      <c r="H421" s="16">
        <v>0</v>
      </c>
      <c r="I421" s="16">
        <v>0</v>
      </c>
      <c r="J421" s="16">
        <v>0</v>
      </c>
      <c r="K421" s="16">
        <v>0</v>
      </c>
      <c r="L421" s="16">
        <v>0</v>
      </c>
      <c r="M421" s="16">
        <v>0</v>
      </c>
      <c r="N421" s="16">
        <v>0</v>
      </c>
      <c r="O421" s="16">
        <v>0</v>
      </c>
      <c r="P421" s="16">
        <v>0</v>
      </c>
      <c r="Q421" s="16">
        <v>0</v>
      </c>
      <c r="R421" s="16">
        <v>0</v>
      </c>
      <c r="S421" s="16">
        <v>0</v>
      </c>
      <c r="T421" s="16">
        <v>0</v>
      </c>
      <c r="U421" s="16">
        <v>0</v>
      </c>
      <c r="V421" s="16">
        <f>($J421*0.04)+($K421*4)+($L421*-2)+($N421*0.1)+($O421*6)+($Q421)+($R421*0.1)+($S421*6)+($T421*-2)</f>
        <v>0</v>
      </c>
      <c r="W421" s="16" t="e">
        <f>$P421/$H$33</f>
        <v>#DIV/0!</v>
      </c>
      <c r="X421" s="16" t="e">
        <f>$N421/$M421</f>
        <v>#DIV/0!</v>
      </c>
      <c r="Y421" s="16" t="e">
        <f>$R421/$Q421</f>
        <v>#DIV/0!</v>
      </c>
      <c r="Z421" s="16" t="e">
        <f>$I421/$H421</f>
        <v>#DIV/0!</v>
      </c>
      <c r="AA421" s="16" t="e">
        <f>$K421/$H421</f>
        <v>#DIV/0!</v>
      </c>
      <c r="AB421" s="16">
        <f>($J421*Cp_yd)+($K421*Cp_td)+($L421*Cint)+($M421*Ccar)+($N421*Cr_yd)+($O421*Cr_td)+(Q421*Crec)+($R421*Crec_yd)+($S421*Crec_td)+($T421*Cfmb)+($U421*Ctp_c)</f>
        <v>0</v>
      </c>
    </row>
    <row r="422" spans="1:28" x14ac:dyDescent="0.2">
      <c r="A422" s="15" t="s">
        <v>1047</v>
      </c>
      <c r="B422" s="15" t="s">
        <v>31</v>
      </c>
      <c r="C422" s="15">
        <v>22</v>
      </c>
      <c r="D422" s="15">
        <v>0</v>
      </c>
      <c r="E422" s="15" t="s">
        <v>240</v>
      </c>
      <c r="F422" s="15" t="s">
        <v>1021</v>
      </c>
      <c r="G422" s="15">
        <v>0</v>
      </c>
      <c r="H422" s="15">
        <v>0</v>
      </c>
      <c r="I422" s="15">
        <v>0</v>
      </c>
      <c r="J422" s="15">
        <v>0</v>
      </c>
      <c r="K422" s="15">
        <v>0</v>
      </c>
      <c r="L422" s="15">
        <v>0</v>
      </c>
      <c r="M422" s="15">
        <v>0</v>
      </c>
      <c r="N422" s="15">
        <v>0</v>
      </c>
      <c r="O422" s="15">
        <v>0</v>
      </c>
      <c r="P422" s="15">
        <v>0</v>
      </c>
      <c r="Q422" s="15">
        <v>0</v>
      </c>
      <c r="R422" s="15">
        <v>0</v>
      </c>
      <c r="S422" s="15">
        <v>0</v>
      </c>
      <c r="T422" s="15">
        <v>0</v>
      </c>
      <c r="U422" s="15">
        <v>0</v>
      </c>
      <c r="V422" s="15">
        <f>($J422*0.04)+($K422*4)+($L422*-2)+($N422*0.1)+($O422*6)+($Q422)+($R422*0.1)+($S422*6)+($T422*-2)</f>
        <v>0</v>
      </c>
      <c r="W422" s="15" t="e">
        <f>$P422/$H$33</f>
        <v>#DIV/0!</v>
      </c>
      <c r="X422" s="15" t="e">
        <f>$N422/$M422</f>
        <v>#DIV/0!</v>
      </c>
      <c r="Y422" s="15" t="e">
        <f>$R422/$Q422</f>
        <v>#DIV/0!</v>
      </c>
      <c r="Z422" s="15" t="e">
        <f>$I422/$H422</f>
        <v>#DIV/0!</v>
      </c>
      <c r="AA422" s="15" t="e">
        <f>$K422/$H422</f>
        <v>#DIV/0!</v>
      </c>
      <c r="AB422" s="15">
        <f>($J422*Cp_yd)+($K422*Cp_td)+($L422*Cint)+($M422*Ccar)+($N422*Cr_yd)+($O422*Cr_td)+(Q422*Crec)+($R422*Crec_yd)+($S422*Crec_td)+($T422*Cfmb)+($U422*Ctp_c)</f>
        <v>0</v>
      </c>
    </row>
    <row r="423" spans="1:28" x14ac:dyDescent="0.2">
      <c r="A423" s="16" t="s">
        <v>1048</v>
      </c>
      <c r="B423" s="16" t="s">
        <v>31</v>
      </c>
      <c r="C423" s="16">
        <v>27</v>
      </c>
      <c r="D423" s="16">
        <v>5</v>
      </c>
      <c r="E423" s="16" t="s">
        <v>205</v>
      </c>
      <c r="F423" s="16" t="s">
        <v>1021</v>
      </c>
      <c r="G423" s="16">
        <v>0</v>
      </c>
      <c r="H423" s="16">
        <v>0</v>
      </c>
      <c r="I423" s="16">
        <v>0</v>
      </c>
      <c r="J423" s="16">
        <v>0</v>
      </c>
      <c r="K423" s="16">
        <v>0</v>
      </c>
      <c r="L423" s="16">
        <v>0</v>
      </c>
      <c r="M423" s="16">
        <v>0</v>
      </c>
      <c r="N423" s="16">
        <v>0</v>
      </c>
      <c r="O423" s="16">
        <v>0</v>
      </c>
      <c r="P423" s="16">
        <v>0</v>
      </c>
      <c r="Q423" s="16">
        <v>0</v>
      </c>
      <c r="R423" s="16">
        <v>0</v>
      </c>
      <c r="S423" s="16">
        <v>0</v>
      </c>
      <c r="T423" s="16">
        <v>0</v>
      </c>
      <c r="U423" s="16">
        <v>0</v>
      </c>
      <c r="V423" s="16">
        <f>($J423*0.04)+($K423*4)+($L423*-2)+($N423*0.1)+($O423*6)+($Q423)+($R423*0.1)+($S423*6)+($T423*-2)</f>
        <v>0</v>
      </c>
      <c r="W423" s="16" t="e">
        <f>$P423/$H$33</f>
        <v>#DIV/0!</v>
      </c>
      <c r="X423" s="16" t="e">
        <f>$N423/$M423</f>
        <v>#DIV/0!</v>
      </c>
      <c r="Y423" s="16" t="e">
        <f>$R423/$Q423</f>
        <v>#DIV/0!</v>
      </c>
      <c r="Z423" s="16" t="e">
        <f>$I423/$H423</f>
        <v>#DIV/0!</v>
      </c>
      <c r="AA423" s="16" t="e">
        <f>$K423/$H423</f>
        <v>#DIV/0!</v>
      </c>
      <c r="AB423" s="16">
        <f>($J423*Cp_yd)+($K423*Cp_td)+($L423*Cint)+($M423*Ccar)+($N423*Cr_yd)+($O423*Cr_td)+(Q423*Crec)+($R423*Crec_yd)+($S423*Crec_td)+($T423*Cfmb)+($U423*Ctp_c)</f>
        <v>0</v>
      </c>
    </row>
    <row r="424" spans="1:28" x14ac:dyDescent="0.2">
      <c r="A424" s="15" t="s">
        <v>1049</v>
      </c>
      <c r="B424" s="15" t="s">
        <v>31</v>
      </c>
      <c r="C424" s="15">
        <v>24</v>
      </c>
      <c r="D424" s="15">
        <v>2</v>
      </c>
      <c r="E424" s="15" t="s">
        <v>280</v>
      </c>
      <c r="F424" s="15" t="s">
        <v>1021</v>
      </c>
      <c r="G424" s="15">
        <v>0</v>
      </c>
      <c r="H424" s="15">
        <v>0</v>
      </c>
      <c r="I424" s="15">
        <v>0</v>
      </c>
      <c r="J424" s="15">
        <v>0</v>
      </c>
      <c r="K424" s="15">
        <v>0</v>
      </c>
      <c r="L424" s="15">
        <v>0</v>
      </c>
      <c r="M424" s="15">
        <v>0</v>
      </c>
      <c r="N424" s="15">
        <v>0</v>
      </c>
      <c r="O424" s="15">
        <v>0</v>
      </c>
      <c r="P424" s="15">
        <v>0</v>
      </c>
      <c r="Q424" s="15">
        <v>0</v>
      </c>
      <c r="R424" s="15">
        <v>0</v>
      </c>
      <c r="S424" s="15">
        <v>0</v>
      </c>
      <c r="T424" s="15">
        <v>0</v>
      </c>
      <c r="U424" s="15">
        <v>0</v>
      </c>
      <c r="V424" s="15">
        <f>($J424*0.04)+($K424*4)+($L424*-2)+($N424*0.1)+($O424*6)+($Q424)+($R424*0.1)+($S424*6)+($T424*-2)</f>
        <v>0</v>
      </c>
      <c r="W424" s="15" t="e">
        <f>$P424/$H$33</f>
        <v>#DIV/0!</v>
      </c>
      <c r="X424" s="15" t="e">
        <f>$N424/$M424</f>
        <v>#DIV/0!</v>
      </c>
      <c r="Y424" s="15" t="e">
        <f>$R424/$Q424</f>
        <v>#DIV/0!</v>
      </c>
      <c r="Z424" s="15" t="e">
        <f>$I424/$H424</f>
        <v>#DIV/0!</v>
      </c>
      <c r="AA424" s="15" t="e">
        <f>$K424/$H424</f>
        <v>#DIV/0!</v>
      </c>
      <c r="AB424" s="15">
        <f>($J424*Cp_yd)+($K424*Cp_td)+($L424*Cint)+($M424*Ccar)+($N424*Cr_yd)+($O424*Cr_td)+(Q424*Crec)+($R424*Crec_yd)+($S424*Crec_td)+($T424*Cfmb)+($U424*Ctp_c)</f>
        <v>0</v>
      </c>
    </row>
    <row r="425" spans="1:28" x14ac:dyDescent="0.2">
      <c r="A425" s="16" t="s">
        <v>1051</v>
      </c>
      <c r="B425" s="16" t="s">
        <v>43</v>
      </c>
      <c r="C425" s="16">
        <v>23</v>
      </c>
      <c r="D425" s="16">
        <v>3</v>
      </c>
      <c r="E425" s="16" t="s">
        <v>209</v>
      </c>
      <c r="F425" s="16" t="s">
        <v>1021</v>
      </c>
      <c r="G425" s="16">
        <v>0</v>
      </c>
      <c r="H425" s="16">
        <v>0</v>
      </c>
      <c r="I425" s="16">
        <v>0</v>
      </c>
      <c r="J425" s="16">
        <v>0</v>
      </c>
      <c r="K425" s="16">
        <v>0</v>
      </c>
      <c r="L425" s="16">
        <v>0</v>
      </c>
      <c r="M425" s="16">
        <v>0</v>
      </c>
      <c r="N425" s="16">
        <v>0</v>
      </c>
      <c r="O425" s="16">
        <v>0</v>
      </c>
      <c r="P425" s="16">
        <v>0</v>
      </c>
      <c r="Q425" s="16">
        <v>0</v>
      </c>
      <c r="R425" s="16">
        <v>0</v>
      </c>
      <c r="S425" s="16">
        <v>0</v>
      </c>
      <c r="T425" s="16">
        <v>0</v>
      </c>
      <c r="U425" s="16">
        <v>0</v>
      </c>
      <c r="V425" s="16">
        <f>($J425*0.04)+($K425*4)+($L425*-2)+($N425*0.1)+($O425*6)+($Q425)+($R425*0.1)+($S425*6)+($T425*-2)</f>
        <v>0</v>
      </c>
      <c r="W425" s="16" t="e">
        <f>$P425/$H$33</f>
        <v>#DIV/0!</v>
      </c>
      <c r="X425" s="16" t="e">
        <f>$N425/$M425</f>
        <v>#DIV/0!</v>
      </c>
      <c r="Y425" s="16" t="e">
        <f>$R425/$Q425</f>
        <v>#DIV/0!</v>
      </c>
      <c r="Z425" s="16" t="e">
        <f>$I425/$H425</f>
        <v>#DIV/0!</v>
      </c>
      <c r="AA425" s="16" t="e">
        <f>$K425/$H425</f>
        <v>#DIV/0!</v>
      </c>
      <c r="AB425" s="16">
        <f>($J425*Cp_yd)+($K425*Cp_td)+($L425*Cint)+($M425*Ccar)+($N425*Cr_yd)+($O425*Cr_td)+(Q425*Crec)+($R425*Crec_yd)+($S425*Crec_td)+($T425*Cfmb)+($U425*Ctp_c)</f>
        <v>0</v>
      </c>
    </row>
    <row r="426" spans="1:28" x14ac:dyDescent="0.2">
      <c r="A426" s="15" t="s">
        <v>1052</v>
      </c>
      <c r="B426" s="15" t="s">
        <v>43</v>
      </c>
      <c r="C426" s="15">
        <v>24</v>
      </c>
      <c r="D426" s="15">
        <v>0</v>
      </c>
      <c r="E426" s="15" t="s">
        <v>795</v>
      </c>
      <c r="F426" s="15" t="s">
        <v>1021</v>
      </c>
      <c r="G426" s="15">
        <v>0</v>
      </c>
      <c r="H426" s="15">
        <v>0</v>
      </c>
      <c r="I426" s="15">
        <v>0</v>
      </c>
      <c r="J426" s="15">
        <v>0</v>
      </c>
      <c r="K426" s="15">
        <v>0</v>
      </c>
      <c r="L426" s="15">
        <v>0</v>
      </c>
      <c r="M426" s="15">
        <v>0</v>
      </c>
      <c r="N426" s="15">
        <v>0</v>
      </c>
      <c r="O426" s="15">
        <v>0</v>
      </c>
      <c r="P426" s="15">
        <v>0</v>
      </c>
      <c r="Q426" s="15">
        <v>0</v>
      </c>
      <c r="R426" s="15">
        <v>0</v>
      </c>
      <c r="S426" s="15">
        <v>0</v>
      </c>
      <c r="T426" s="15">
        <v>0</v>
      </c>
      <c r="U426" s="15">
        <v>0</v>
      </c>
      <c r="V426" s="15">
        <f>($J426*0.04)+($K426*4)+($L426*-2)+($N426*0.1)+($O426*6)+($Q426)+($R426*0.1)+($S426*6)+($T426*-2)</f>
        <v>0</v>
      </c>
      <c r="W426" s="15" t="e">
        <f>$P426/$H$33</f>
        <v>#DIV/0!</v>
      </c>
      <c r="X426" s="15" t="e">
        <f>$N426/$M426</f>
        <v>#DIV/0!</v>
      </c>
      <c r="Y426" s="15" t="e">
        <f>$R426/$Q426</f>
        <v>#DIV/0!</v>
      </c>
      <c r="Z426" s="15" t="e">
        <f>$I426/$H426</f>
        <v>#DIV/0!</v>
      </c>
      <c r="AA426" s="15" t="e">
        <f>$K426/$H426</f>
        <v>#DIV/0!</v>
      </c>
      <c r="AB426" s="15">
        <f>($J426*Cp_yd)+($K426*Cp_td)+($L426*Cint)+($M426*Ccar)+($N426*Cr_yd)+($O426*Cr_td)+(Q426*Crec)+($R426*Crec_yd)+($S426*Crec_td)+($T426*Cfmb)+($U426*Ctp_c)</f>
        <v>0</v>
      </c>
    </row>
    <row r="427" spans="1:28" x14ac:dyDescent="0.2">
      <c r="A427" s="16" t="s">
        <v>1053</v>
      </c>
      <c r="B427" s="16" t="s">
        <v>43</v>
      </c>
      <c r="C427" s="16">
        <v>22</v>
      </c>
      <c r="D427" s="16">
        <v>0</v>
      </c>
      <c r="E427" s="16" t="s">
        <v>209</v>
      </c>
      <c r="F427" s="16" t="s">
        <v>1021</v>
      </c>
      <c r="G427" s="16">
        <v>0</v>
      </c>
      <c r="H427" s="16">
        <v>0</v>
      </c>
      <c r="I427" s="16">
        <v>0</v>
      </c>
      <c r="J427" s="16">
        <v>0</v>
      </c>
      <c r="K427" s="16">
        <v>0</v>
      </c>
      <c r="L427" s="16">
        <v>0</v>
      </c>
      <c r="M427" s="16">
        <v>0</v>
      </c>
      <c r="N427" s="16">
        <v>0</v>
      </c>
      <c r="O427" s="16">
        <v>0</v>
      </c>
      <c r="P427" s="16">
        <v>0</v>
      </c>
      <c r="Q427" s="16">
        <v>0</v>
      </c>
      <c r="R427" s="16">
        <v>0</v>
      </c>
      <c r="S427" s="16">
        <v>0</v>
      </c>
      <c r="T427" s="16">
        <v>0</v>
      </c>
      <c r="U427" s="16">
        <v>0</v>
      </c>
      <c r="V427" s="16">
        <f>($J427*0.04)+($K427*4)+($L427*-2)+($N427*0.1)+($O427*6)+($Q427)+($R427*0.1)+($S427*6)+($T427*-2)</f>
        <v>0</v>
      </c>
      <c r="W427" s="16" t="e">
        <f>$P427/$H$33</f>
        <v>#DIV/0!</v>
      </c>
      <c r="X427" s="16" t="e">
        <f>$N427/$M427</f>
        <v>#DIV/0!</v>
      </c>
      <c r="Y427" s="16" t="e">
        <f>$R427/$Q427</f>
        <v>#DIV/0!</v>
      </c>
      <c r="Z427" s="16" t="e">
        <f>$I427/$H427</f>
        <v>#DIV/0!</v>
      </c>
      <c r="AA427" s="16" t="e">
        <f>$K427/$H427</f>
        <v>#DIV/0!</v>
      </c>
      <c r="AB427" s="16">
        <f>($J427*Cp_yd)+($K427*Cp_td)+($L427*Cint)+($M427*Ccar)+($N427*Cr_yd)+($O427*Cr_td)+(Q427*Crec)+($R427*Crec_yd)+($S427*Crec_td)+($T427*Cfmb)+($U427*Ctp_c)</f>
        <v>0</v>
      </c>
    </row>
    <row r="428" spans="1:28" x14ac:dyDescent="0.2">
      <c r="A428" s="15" t="s">
        <v>1054</v>
      </c>
      <c r="B428" s="15" t="s">
        <v>43</v>
      </c>
      <c r="C428" s="15">
        <v>27</v>
      </c>
      <c r="D428" s="15">
        <v>4</v>
      </c>
      <c r="E428" s="15" t="s">
        <v>178</v>
      </c>
      <c r="F428" s="15" t="s">
        <v>1021</v>
      </c>
      <c r="G428" s="15">
        <v>0</v>
      </c>
      <c r="H428" s="15">
        <v>0</v>
      </c>
      <c r="I428" s="15">
        <v>0</v>
      </c>
      <c r="J428" s="15">
        <v>0</v>
      </c>
      <c r="K428" s="15">
        <v>0</v>
      </c>
      <c r="L428" s="15">
        <v>0</v>
      </c>
      <c r="M428" s="15">
        <v>0</v>
      </c>
      <c r="N428" s="15">
        <v>0</v>
      </c>
      <c r="O428" s="15">
        <v>0</v>
      </c>
      <c r="P428" s="15">
        <v>0</v>
      </c>
      <c r="Q428" s="15">
        <v>0</v>
      </c>
      <c r="R428" s="15">
        <v>0</v>
      </c>
      <c r="S428" s="15">
        <v>0</v>
      </c>
      <c r="T428" s="15">
        <v>0</v>
      </c>
      <c r="U428" s="15">
        <v>0</v>
      </c>
      <c r="V428" s="15">
        <f>($J428*0.04)+($K428*4)+($L428*-2)+($N428*0.1)+($O428*6)+($Q428)+($R428*0.1)+($S428*6)+($T428*-2)</f>
        <v>0</v>
      </c>
      <c r="W428" s="15" t="e">
        <f>$P428/$H$33</f>
        <v>#DIV/0!</v>
      </c>
      <c r="X428" s="15" t="e">
        <f>$N428/$M428</f>
        <v>#DIV/0!</v>
      </c>
      <c r="Y428" s="15" t="e">
        <f>$R428/$Q428</f>
        <v>#DIV/0!</v>
      </c>
      <c r="Z428" s="15" t="e">
        <f>$I428/$H428</f>
        <v>#DIV/0!</v>
      </c>
      <c r="AA428" s="15" t="e">
        <f>$K428/$H428</f>
        <v>#DIV/0!</v>
      </c>
      <c r="AB428" s="15">
        <f>($J428*Cp_yd)+($K428*Cp_td)+($L428*Cint)+($M428*Ccar)+($N428*Cr_yd)+($O428*Cr_td)+(Q428*Crec)+($R428*Crec_yd)+($S428*Crec_td)+($T428*Cfmb)+($U428*Ctp_c)</f>
        <v>0</v>
      </c>
    </row>
    <row r="429" spans="1:28" x14ac:dyDescent="0.2">
      <c r="A429" s="16" t="s">
        <v>1055</v>
      </c>
      <c r="B429" s="16" t="s">
        <v>43</v>
      </c>
      <c r="C429" s="16">
        <v>24</v>
      </c>
      <c r="D429" s="16">
        <v>4</v>
      </c>
      <c r="E429" s="16" t="s">
        <v>225</v>
      </c>
      <c r="F429" s="16" t="s">
        <v>1021</v>
      </c>
      <c r="G429" s="16">
        <v>0</v>
      </c>
      <c r="H429" s="16">
        <v>0</v>
      </c>
      <c r="I429" s="16">
        <v>0</v>
      </c>
      <c r="J429" s="16">
        <v>0</v>
      </c>
      <c r="K429" s="16">
        <v>0</v>
      </c>
      <c r="L429" s="16">
        <v>0</v>
      </c>
      <c r="M429" s="16">
        <v>0</v>
      </c>
      <c r="N429" s="16">
        <v>0</v>
      </c>
      <c r="O429" s="16">
        <v>0</v>
      </c>
      <c r="P429" s="16">
        <v>0</v>
      </c>
      <c r="Q429" s="16">
        <v>0</v>
      </c>
      <c r="R429" s="16">
        <v>0</v>
      </c>
      <c r="S429" s="16">
        <v>0</v>
      </c>
      <c r="T429" s="16">
        <v>0</v>
      </c>
      <c r="U429" s="16">
        <v>0</v>
      </c>
      <c r="V429" s="16">
        <f>($J429*0.04)+($K429*4)+($L429*-2)+($N429*0.1)+($O429*6)+($Q429)+($R429*0.1)+($S429*6)+($T429*-2)</f>
        <v>0</v>
      </c>
      <c r="W429" s="16" t="e">
        <f>$P429/$H$33</f>
        <v>#DIV/0!</v>
      </c>
      <c r="X429" s="16" t="e">
        <f>$N429/$M429</f>
        <v>#DIV/0!</v>
      </c>
      <c r="Y429" s="16" t="e">
        <f>$R429/$Q429</f>
        <v>#DIV/0!</v>
      </c>
      <c r="Z429" s="16" t="e">
        <f>$I429/$H429</f>
        <v>#DIV/0!</v>
      </c>
      <c r="AA429" s="16" t="e">
        <f>$K429/$H429</f>
        <v>#DIV/0!</v>
      </c>
      <c r="AB429" s="16">
        <f>($J429*Cp_yd)+($K429*Cp_td)+($L429*Cint)+($M429*Ccar)+($N429*Cr_yd)+($O429*Cr_td)+(Q429*Crec)+($R429*Crec_yd)+($S429*Crec_td)+($T429*Cfmb)+($U429*Ctp_c)</f>
        <v>0</v>
      </c>
    </row>
    <row r="430" spans="1:28" x14ac:dyDescent="0.2">
      <c r="A430" s="15" t="s">
        <v>1056</v>
      </c>
      <c r="B430" s="15" t="s">
        <v>43</v>
      </c>
      <c r="C430" s="15">
        <v>30</v>
      </c>
      <c r="D430" s="15">
        <v>7</v>
      </c>
      <c r="E430" s="15" t="s">
        <v>413</v>
      </c>
      <c r="F430" s="15" t="s">
        <v>1021</v>
      </c>
      <c r="G430" s="15">
        <v>0</v>
      </c>
      <c r="H430" s="15">
        <v>0</v>
      </c>
      <c r="I430" s="15">
        <v>0</v>
      </c>
      <c r="J430" s="15">
        <v>0</v>
      </c>
      <c r="K430" s="15">
        <v>0</v>
      </c>
      <c r="L430" s="15">
        <v>0</v>
      </c>
      <c r="M430" s="15">
        <v>0</v>
      </c>
      <c r="N430" s="15">
        <v>0</v>
      </c>
      <c r="O430" s="15">
        <v>0</v>
      </c>
      <c r="P430" s="15">
        <v>0</v>
      </c>
      <c r="Q430" s="15">
        <v>0</v>
      </c>
      <c r="R430" s="15">
        <v>0</v>
      </c>
      <c r="S430" s="15">
        <v>0</v>
      </c>
      <c r="T430" s="15">
        <v>0</v>
      </c>
      <c r="U430" s="15">
        <v>0</v>
      </c>
      <c r="V430" s="15">
        <f>($J430*0.04)+($K430*4)+($L430*-2)+($N430*0.1)+($O430*6)+($Q430)+($R430*0.1)+($S430*6)+($T430*-2)</f>
        <v>0</v>
      </c>
      <c r="W430" s="15" t="e">
        <f>$P430/$H$33</f>
        <v>#DIV/0!</v>
      </c>
      <c r="X430" s="15" t="e">
        <f>$N430/$M430</f>
        <v>#DIV/0!</v>
      </c>
      <c r="Y430" s="15" t="e">
        <f>$R430/$Q430</f>
        <v>#DIV/0!</v>
      </c>
      <c r="Z430" s="15" t="e">
        <f>$I430/$H430</f>
        <v>#DIV/0!</v>
      </c>
      <c r="AA430" s="15" t="e">
        <f>$K430/$H430</f>
        <v>#DIV/0!</v>
      </c>
      <c r="AB430" s="15">
        <f>($J430*Cp_yd)+($K430*Cp_td)+($L430*Cint)+($M430*Ccar)+($N430*Cr_yd)+($O430*Cr_td)+(Q430*Crec)+($R430*Crec_yd)+($S430*Crec_td)+($T430*Cfmb)+($U430*Ctp_c)</f>
        <v>0</v>
      </c>
    </row>
    <row r="431" spans="1:28" x14ac:dyDescent="0.2">
      <c r="A431" s="16" t="s">
        <v>1057</v>
      </c>
      <c r="B431" s="16" t="s">
        <v>43</v>
      </c>
      <c r="C431" s="16">
        <v>24</v>
      </c>
      <c r="D431" s="16">
        <v>2</v>
      </c>
      <c r="E431" s="16" t="s">
        <v>1058</v>
      </c>
      <c r="F431" s="16" t="s">
        <v>1021</v>
      </c>
      <c r="G431" s="16">
        <v>0</v>
      </c>
      <c r="H431" s="16">
        <v>0</v>
      </c>
      <c r="I431" s="16">
        <v>0</v>
      </c>
      <c r="J431" s="16">
        <v>0</v>
      </c>
      <c r="K431" s="16">
        <v>0</v>
      </c>
      <c r="L431" s="16">
        <v>0</v>
      </c>
      <c r="M431" s="16">
        <v>0</v>
      </c>
      <c r="N431" s="16">
        <v>0</v>
      </c>
      <c r="O431" s="16">
        <v>0</v>
      </c>
      <c r="P431" s="16">
        <v>0</v>
      </c>
      <c r="Q431" s="16">
        <v>0</v>
      </c>
      <c r="R431" s="16">
        <v>0</v>
      </c>
      <c r="S431" s="16">
        <v>0</v>
      </c>
      <c r="T431" s="16">
        <v>0</v>
      </c>
      <c r="U431" s="16">
        <v>0</v>
      </c>
      <c r="V431" s="16">
        <f>($J431*0.04)+($K431*4)+($L431*-2)+($N431*0.1)+($O431*6)+($Q431)+($R431*0.1)+($S431*6)+($T431*-2)</f>
        <v>0</v>
      </c>
      <c r="W431" s="16" t="e">
        <f>$P431/$H$33</f>
        <v>#DIV/0!</v>
      </c>
      <c r="X431" s="16" t="e">
        <f>$N431/$M431</f>
        <v>#DIV/0!</v>
      </c>
      <c r="Y431" s="16" t="e">
        <f>$R431/$Q431</f>
        <v>#DIV/0!</v>
      </c>
      <c r="Z431" s="16" t="e">
        <f>$I431/$H431</f>
        <v>#DIV/0!</v>
      </c>
      <c r="AA431" s="16" t="e">
        <f>$K431/$H431</f>
        <v>#DIV/0!</v>
      </c>
      <c r="AB431" s="16">
        <f>($J431*Cp_yd)+($K431*Cp_td)+($L431*Cint)+($M431*Ccar)+($N431*Cr_yd)+($O431*Cr_td)+(Q431*Crec)+($R431*Crec_yd)+($S431*Crec_td)+($T431*Cfmb)+($U431*Ctp_c)</f>
        <v>0</v>
      </c>
    </row>
    <row r="432" spans="1:28" x14ac:dyDescent="0.2">
      <c r="A432" s="15" t="s">
        <v>1059</v>
      </c>
      <c r="B432" s="15" t="s">
        <v>43</v>
      </c>
      <c r="C432" s="15">
        <v>23</v>
      </c>
      <c r="D432" s="15">
        <v>0</v>
      </c>
      <c r="E432" s="15" t="s">
        <v>82</v>
      </c>
      <c r="F432" s="15" t="s">
        <v>1021</v>
      </c>
      <c r="G432" s="15">
        <v>0</v>
      </c>
      <c r="H432" s="15">
        <v>0</v>
      </c>
      <c r="I432" s="15">
        <v>0</v>
      </c>
      <c r="J432" s="15">
        <v>0</v>
      </c>
      <c r="K432" s="15">
        <v>0</v>
      </c>
      <c r="L432" s="15">
        <v>0</v>
      </c>
      <c r="M432" s="15">
        <v>0</v>
      </c>
      <c r="N432" s="15">
        <v>0</v>
      </c>
      <c r="O432" s="15">
        <v>0</v>
      </c>
      <c r="P432" s="15">
        <v>0</v>
      </c>
      <c r="Q432" s="15">
        <v>0</v>
      </c>
      <c r="R432" s="15">
        <v>0</v>
      </c>
      <c r="S432" s="15">
        <v>0</v>
      </c>
      <c r="T432" s="15">
        <v>0</v>
      </c>
      <c r="U432" s="15">
        <v>0</v>
      </c>
      <c r="V432" s="15">
        <f>($J432*0.04)+($K432*4)+($L432*-2)+($N432*0.1)+($O432*6)+($Q432)+($R432*0.1)+($S432*6)+($T432*-2)</f>
        <v>0</v>
      </c>
      <c r="W432" s="15" t="e">
        <f>$P432/$H$33</f>
        <v>#DIV/0!</v>
      </c>
      <c r="X432" s="15" t="e">
        <f>$N432/$M432</f>
        <v>#DIV/0!</v>
      </c>
      <c r="Y432" s="15" t="e">
        <f>$R432/$Q432</f>
        <v>#DIV/0!</v>
      </c>
      <c r="Z432" s="15" t="e">
        <f>$I432/$H432</f>
        <v>#DIV/0!</v>
      </c>
      <c r="AA432" s="15" t="e">
        <f>$K432/$H432</f>
        <v>#DIV/0!</v>
      </c>
      <c r="AB432" s="15">
        <f>($J432*Cp_yd)+($K432*Cp_td)+($L432*Cint)+($M432*Ccar)+($N432*Cr_yd)+($O432*Cr_td)+(Q432*Crec)+($R432*Crec_yd)+($S432*Crec_td)+($T432*Cfmb)+($U432*Ctp_c)</f>
        <v>0</v>
      </c>
    </row>
    <row r="433" spans="1:28" x14ac:dyDescent="0.2">
      <c r="A433" s="16" t="s">
        <v>1060</v>
      </c>
      <c r="B433" s="16" t="s">
        <v>43</v>
      </c>
      <c r="C433" s="16">
        <v>28</v>
      </c>
      <c r="D433" s="16">
        <v>8</v>
      </c>
      <c r="E433" s="16" t="s">
        <v>178</v>
      </c>
      <c r="F433" s="16" t="s">
        <v>1021</v>
      </c>
      <c r="G433" s="16">
        <v>0</v>
      </c>
      <c r="H433" s="16">
        <v>0</v>
      </c>
      <c r="I433" s="16">
        <v>0</v>
      </c>
      <c r="J433" s="16">
        <v>0</v>
      </c>
      <c r="K433" s="16">
        <v>0</v>
      </c>
      <c r="L433" s="16">
        <v>0</v>
      </c>
      <c r="M433" s="16">
        <v>0</v>
      </c>
      <c r="N433" s="16">
        <v>0</v>
      </c>
      <c r="O433" s="16">
        <v>0</v>
      </c>
      <c r="P433" s="16">
        <v>0</v>
      </c>
      <c r="Q433" s="16">
        <v>0</v>
      </c>
      <c r="R433" s="16">
        <v>0</v>
      </c>
      <c r="S433" s="16">
        <v>0</v>
      </c>
      <c r="T433" s="16">
        <v>0</v>
      </c>
      <c r="U433" s="16">
        <v>0</v>
      </c>
      <c r="V433" s="16">
        <f>($J433*0.04)+($K433*4)+($L433*-2)+($N433*0.1)+($O433*6)+($Q433)+($R433*0.1)+($S433*6)+($T433*-2)</f>
        <v>0</v>
      </c>
      <c r="W433" s="16" t="e">
        <f>$P433/$H$33</f>
        <v>#DIV/0!</v>
      </c>
      <c r="X433" s="16" t="e">
        <f>$N433/$M433</f>
        <v>#DIV/0!</v>
      </c>
      <c r="Y433" s="16" t="e">
        <f>$R433/$Q433</f>
        <v>#DIV/0!</v>
      </c>
      <c r="Z433" s="16" t="e">
        <f>$I433/$H433</f>
        <v>#DIV/0!</v>
      </c>
      <c r="AA433" s="16" t="e">
        <f>$K433/$H433</f>
        <v>#DIV/0!</v>
      </c>
      <c r="AB433" s="16">
        <f>($J433*Cp_yd)+($K433*Cp_td)+($L433*Cint)+($M433*Ccar)+($N433*Cr_yd)+($O433*Cr_td)+(Q433*Crec)+($R433*Crec_yd)+($S433*Crec_td)+($T433*Cfmb)+($U433*Ctp_c)</f>
        <v>0</v>
      </c>
    </row>
    <row r="434" spans="1:28" x14ac:dyDescent="0.2">
      <c r="A434" s="15" t="s">
        <v>1061</v>
      </c>
      <c r="B434" s="15" t="s">
        <v>43</v>
      </c>
      <c r="C434" s="15">
        <v>26</v>
      </c>
      <c r="D434" s="15">
        <v>3</v>
      </c>
      <c r="E434" s="15" t="s">
        <v>362</v>
      </c>
      <c r="F434" s="15" t="s">
        <v>1021</v>
      </c>
      <c r="G434" s="15">
        <v>0</v>
      </c>
      <c r="H434" s="15">
        <v>0</v>
      </c>
      <c r="I434" s="15">
        <v>0</v>
      </c>
      <c r="J434" s="15">
        <v>0</v>
      </c>
      <c r="K434" s="15">
        <v>0</v>
      </c>
      <c r="L434" s="15">
        <v>0</v>
      </c>
      <c r="M434" s="15">
        <v>0</v>
      </c>
      <c r="N434" s="15">
        <v>0</v>
      </c>
      <c r="O434" s="15">
        <v>0</v>
      </c>
      <c r="P434" s="15">
        <v>0</v>
      </c>
      <c r="Q434" s="15">
        <v>0</v>
      </c>
      <c r="R434" s="15">
        <v>0</v>
      </c>
      <c r="S434" s="15">
        <v>0</v>
      </c>
      <c r="T434" s="15">
        <v>0</v>
      </c>
      <c r="U434" s="15">
        <v>0</v>
      </c>
      <c r="V434" s="15">
        <f>($J434*0.04)+($K434*4)+($L434*-2)+($N434*0.1)+($O434*6)+($Q434)+($R434*0.1)+($S434*6)+($T434*-2)</f>
        <v>0</v>
      </c>
      <c r="W434" s="15" t="e">
        <f>$P434/$H$33</f>
        <v>#DIV/0!</v>
      </c>
      <c r="X434" s="15" t="e">
        <f>$N434/$M434</f>
        <v>#DIV/0!</v>
      </c>
      <c r="Y434" s="15" t="e">
        <f>$R434/$Q434</f>
        <v>#DIV/0!</v>
      </c>
      <c r="Z434" s="15" t="e">
        <f>$I434/$H434</f>
        <v>#DIV/0!</v>
      </c>
      <c r="AA434" s="15" t="e">
        <f>$K434/$H434</f>
        <v>#DIV/0!</v>
      </c>
      <c r="AB434" s="15">
        <f>($J434*Cp_yd)+($K434*Cp_td)+($L434*Cint)+($M434*Ccar)+($N434*Cr_yd)+($O434*Cr_td)+(Q434*Crec)+($R434*Crec_yd)+($S434*Crec_td)+($T434*Cfmb)+($U434*Ctp_c)</f>
        <v>0</v>
      </c>
    </row>
    <row r="435" spans="1:28" x14ac:dyDescent="0.2">
      <c r="A435" s="16" t="s">
        <v>1062</v>
      </c>
      <c r="B435" s="16" t="s">
        <v>43</v>
      </c>
      <c r="C435" s="16">
        <v>25</v>
      </c>
      <c r="D435" s="16">
        <v>0</v>
      </c>
      <c r="E435" s="16" t="s">
        <v>1063</v>
      </c>
      <c r="F435" s="16" t="s">
        <v>1021</v>
      </c>
      <c r="G435" s="16">
        <v>0</v>
      </c>
      <c r="H435" s="16">
        <v>0</v>
      </c>
      <c r="I435" s="16">
        <v>0</v>
      </c>
      <c r="J435" s="16">
        <v>0</v>
      </c>
      <c r="K435" s="16">
        <v>0</v>
      </c>
      <c r="L435" s="16">
        <v>0</v>
      </c>
      <c r="M435" s="16">
        <v>0</v>
      </c>
      <c r="N435" s="16">
        <v>0</v>
      </c>
      <c r="O435" s="16">
        <v>0</v>
      </c>
      <c r="P435" s="16">
        <v>0</v>
      </c>
      <c r="Q435" s="16">
        <v>0</v>
      </c>
      <c r="R435" s="16">
        <v>0</v>
      </c>
      <c r="S435" s="16">
        <v>0</v>
      </c>
      <c r="T435" s="16">
        <v>0</v>
      </c>
      <c r="U435" s="16">
        <v>0</v>
      </c>
      <c r="V435" s="16">
        <f>($J435*0.04)+($K435*4)+($L435*-2)+($N435*0.1)+($O435*6)+($Q435)+($R435*0.1)+($S435*6)+($T435*-2)</f>
        <v>0</v>
      </c>
      <c r="W435" s="16" t="e">
        <f>$P435/$H$33</f>
        <v>#DIV/0!</v>
      </c>
      <c r="X435" s="16" t="e">
        <f>$N435/$M435</f>
        <v>#DIV/0!</v>
      </c>
      <c r="Y435" s="16" t="e">
        <f>$R435/$Q435</f>
        <v>#DIV/0!</v>
      </c>
      <c r="Z435" s="16" t="e">
        <f>$I435/$H435</f>
        <v>#DIV/0!</v>
      </c>
      <c r="AA435" s="16" t="e">
        <f>$K435/$H435</f>
        <v>#DIV/0!</v>
      </c>
      <c r="AB435" s="16">
        <f>($J435*Cp_yd)+($K435*Cp_td)+($L435*Cint)+($M435*Ccar)+($N435*Cr_yd)+($O435*Cr_td)+(Q435*Crec)+($R435*Crec_yd)+($S435*Crec_td)+($T435*Cfmb)+($U435*Ctp_c)</f>
        <v>0</v>
      </c>
    </row>
    <row r="436" spans="1:28" x14ac:dyDescent="0.2">
      <c r="A436" s="15" t="s">
        <v>1066</v>
      </c>
      <c r="B436" s="15" t="s">
        <v>38</v>
      </c>
      <c r="C436" s="15">
        <v>22</v>
      </c>
      <c r="D436" s="15">
        <v>0</v>
      </c>
      <c r="E436" s="15" t="s">
        <v>458</v>
      </c>
      <c r="F436" s="15" t="s">
        <v>1021</v>
      </c>
      <c r="G436" s="15">
        <v>0</v>
      </c>
      <c r="H436" s="15">
        <v>0</v>
      </c>
      <c r="I436" s="15">
        <v>0</v>
      </c>
      <c r="J436" s="15">
        <v>0</v>
      </c>
      <c r="K436" s="15">
        <v>0</v>
      </c>
      <c r="L436" s="15">
        <v>0</v>
      </c>
      <c r="M436" s="15">
        <v>0</v>
      </c>
      <c r="N436" s="15">
        <v>0</v>
      </c>
      <c r="O436" s="15">
        <v>0</v>
      </c>
      <c r="P436" s="15">
        <v>0</v>
      </c>
      <c r="Q436" s="15">
        <v>0</v>
      </c>
      <c r="R436" s="15">
        <v>0</v>
      </c>
      <c r="S436" s="15">
        <v>0</v>
      </c>
      <c r="T436" s="15">
        <v>0</v>
      </c>
      <c r="U436" s="15">
        <v>0</v>
      </c>
      <c r="V436" s="15">
        <f>($J436*0.04)+($K436*4)+($L436*-2)+($N436*0.1)+($O436*6)+($Q436)+($R436*0.1)+($S436*6)+($T436*-2)</f>
        <v>0</v>
      </c>
      <c r="W436" s="15" t="e">
        <f>$P436/$H$33</f>
        <v>#DIV/0!</v>
      </c>
      <c r="X436" s="15" t="e">
        <f>$N436/$M436</f>
        <v>#DIV/0!</v>
      </c>
      <c r="Y436" s="15" t="e">
        <f>$R436/$Q436</f>
        <v>#DIV/0!</v>
      </c>
      <c r="Z436" s="15" t="e">
        <f>$I436/$H436</f>
        <v>#DIV/0!</v>
      </c>
      <c r="AA436" s="15" t="e">
        <f>$K436/$H436</f>
        <v>#DIV/0!</v>
      </c>
      <c r="AB436" s="15">
        <f>($J436*Cp_yd)+($K436*Cp_td)+($L436*Cint)+($M436*Ccar)+($N436*Cr_yd)+($O436*Cr_td)+(Q436*Crec)+($R436*Crec_yd)+($S436*Crec_td)+($T436*Cfmb)+($U436*Ctp_c)</f>
        <v>0</v>
      </c>
    </row>
    <row r="437" spans="1:28" x14ac:dyDescent="0.2">
      <c r="A437" s="16" t="s">
        <v>1067</v>
      </c>
      <c r="B437" s="16" t="s">
        <v>38</v>
      </c>
      <c r="C437" s="16">
        <v>30</v>
      </c>
      <c r="D437" s="16">
        <v>8</v>
      </c>
      <c r="E437" s="16" t="s">
        <v>1068</v>
      </c>
      <c r="F437" s="16" t="s">
        <v>1021</v>
      </c>
      <c r="G437" s="16">
        <v>0</v>
      </c>
      <c r="H437" s="16">
        <v>0</v>
      </c>
      <c r="I437" s="16">
        <v>0</v>
      </c>
      <c r="J437" s="16">
        <v>0</v>
      </c>
      <c r="K437" s="16">
        <v>0</v>
      </c>
      <c r="L437" s="16">
        <v>0</v>
      </c>
      <c r="M437" s="16">
        <v>0</v>
      </c>
      <c r="N437" s="16">
        <v>0</v>
      </c>
      <c r="O437" s="16">
        <v>0</v>
      </c>
      <c r="P437" s="16">
        <v>0</v>
      </c>
      <c r="Q437" s="16">
        <v>0</v>
      </c>
      <c r="R437" s="16">
        <v>0</v>
      </c>
      <c r="S437" s="16">
        <v>0</v>
      </c>
      <c r="T437" s="16">
        <v>0</v>
      </c>
      <c r="U437" s="16">
        <v>0</v>
      </c>
      <c r="V437" s="16">
        <f>($J437*0.04)+($K437*4)+($L437*-2)+($N437*0.1)+($O437*6)+($Q437)+($R437*0.1)+($S437*6)+($T437*-2)</f>
        <v>0</v>
      </c>
      <c r="W437" s="16" t="e">
        <f>$P437/$H$33</f>
        <v>#DIV/0!</v>
      </c>
      <c r="X437" s="16" t="e">
        <f>$N437/$M437</f>
        <v>#DIV/0!</v>
      </c>
      <c r="Y437" s="16" t="e">
        <f>$R437/$Q437</f>
        <v>#DIV/0!</v>
      </c>
      <c r="Z437" s="16" t="e">
        <f>$I437/$H437</f>
        <v>#DIV/0!</v>
      </c>
      <c r="AA437" s="16" t="e">
        <f>$K437/$H437</f>
        <v>#DIV/0!</v>
      </c>
      <c r="AB437" s="16">
        <f>($J437*Cp_yd)+($K437*Cp_td)+($L437*Cint)+($M437*Ccar)+($N437*Cr_yd)+($O437*Cr_td)+(Q437*Crec)+($R437*Crec_yd)+($S437*Crec_td)+($T437*Cfmb)+($U437*Ctp_c)</f>
        <v>0</v>
      </c>
    </row>
    <row r="438" spans="1:28" x14ac:dyDescent="0.2">
      <c r="A438" s="15" t="s">
        <v>1069</v>
      </c>
      <c r="B438" s="15" t="s">
        <v>38</v>
      </c>
      <c r="C438" s="15">
        <v>26</v>
      </c>
      <c r="D438" s="15">
        <v>4</v>
      </c>
      <c r="E438" s="15" t="s">
        <v>62</v>
      </c>
      <c r="F438" s="15" t="s">
        <v>1021</v>
      </c>
      <c r="G438" s="15">
        <v>0</v>
      </c>
      <c r="H438" s="15">
        <v>0</v>
      </c>
      <c r="I438" s="15">
        <v>0</v>
      </c>
      <c r="J438" s="15">
        <v>0</v>
      </c>
      <c r="K438" s="15">
        <v>0</v>
      </c>
      <c r="L438" s="15">
        <v>0</v>
      </c>
      <c r="M438" s="15">
        <v>0</v>
      </c>
      <c r="N438" s="15">
        <v>0</v>
      </c>
      <c r="O438" s="15">
        <v>0</v>
      </c>
      <c r="P438" s="15">
        <v>0</v>
      </c>
      <c r="Q438" s="15">
        <v>0</v>
      </c>
      <c r="R438" s="15">
        <v>0</v>
      </c>
      <c r="S438" s="15">
        <v>0</v>
      </c>
      <c r="T438" s="15">
        <v>0</v>
      </c>
      <c r="U438" s="15">
        <v>0</v>
      </c>
      <c r="V438" s="15">
        <f>($J438*0.04)+($K438*4)+($L438*-2)+($N438*0.1)+($O438*6)+($Q438)+($R438*0.1)+($S438*6)+($T438*-2)</f>
        <v>0</v>
      </c>
      <c r="W438" s="15" t="e">
        <f>$P438/$H$33</f>
        <v>#DIV/0!</v>
      </c>
      <c r="X438" s="15" t="e">
        <f>$N438/$M438</f>
        <v>#DIV/0!</v>
      </c>
      <c r="Y438" s="15" t="e">
        <f>$R438/$Q438</f>
        <v>#DIV/0!</v>
      </c>
      <c r="Z438" s="15" t="e">
        <f>$I438/$H438</f>
        <v>#DIV/0!</v>
      </c>
      <c r="AA438" s="15" t="e">
        <f>$K438/$H438</f>
        <v>#DIV/0!</v>
      </c>
      <c r="AB438" s="15">
        <f>($J438*Cp_yd)+($K438*Cp_td)+($L438*Cint)+($M438*Ccar)+($N438*Cr_yd)+($O438*Cr_td)+(Q438*Crec)+($R438*Crec_yd)+($S438*Crec_td)+($T438*Cfmb)+($U438*Ctp_c)</f>
        <v>0</v>
      </c>
    </row>
    <row r="439" spans="1:28" x14ac:dyDescent="0.2">
      <c r="A439" s="16" t="s">
        <v>1070</v>
      </c>
      <c r="B439" s="16" t="s">
        <v>38</v>
      </c>
      <c r="C439" s="16">
        <v>26</v>
      </c>
      <c r="D439" s="16">
        <v>2</v>
      </c>
      <c r="E439" s="16" t="s">
        <v>93</v>
      </c>
      <c r="F439" s="16" t="s">
        <v>1021</v>
      </c>
      <c r="G439" s="16">
        <v>0</v>
      </c>
      <c r="H439" s="16">
        <v>0</v>
      </c>
      <c r="I439" s="16">
        <v>0</v>
      </c>
      <c r="J439" s="16">
        <v>0</v>
      </c>
      <c r="K439" s="16">
        <v>0</v>
      </c>
      <c r="L439" s="16">
        <v>0</v>
      </c>
      <c r="M439" s="16">
        <v>0</v>
      </c>
      <c r="N439" s="16">
        <v>0</v>
      </c>
      <c r="O439" s="16">
        <v>0</v>
      </c>
      <c r="P439" s="16">
        <v>0</v>
      </c>
      <c r="Q439" s="16">
        <v>0</v>
      </c>
      <c r="R439" s="16">
        <v>0</v>
      </c>
      <c r="S439" s="16">
        <v>0</v>
      </c>
      <c r="T439" s="16">
        <v>0</v>
      </c>
      <c r="U439" s="16">
        <v>0</v>
      </c>
      <c r="V439" s="16">
        <f>($J439*0.04)+($K439*4)+($L439*-2)+($N439*0.1)+($O439*6)+($Q439)+($R439*0.1)+($S439*6)+($T439*-2)</f>
        <v>0</v>
      </c>
      <c r="W439" s="16" t="e">
        <f>$P439/$H$33</f>
        <v>#DIV/0!</v>
      </c>
      <c r="X439" s="16" t="e">
        <f>$N439/$M439</f>
        <v>#DIV/0!</v>
      </c>
      <c r="Y439" s="16" t="e">
        <f>$R439/$Q439</f>
        <v>#DIV/0!</v>
      </c>
      <c r="Z439" s="16" t="e">
        <f>$I439/$H439</f>
        <v>#DIV/0!</v>
      </c>
      <c r="AA439" s="16" t="e">
        <f>$K439/$H439</f>
        <v>#DIV/0!</v>
      </c>
      <c r="AB439" s="16">
        <f>($J439*Cp_yd)+($K439*Cp_td)+($L439*Cint)+($M439*Ccar)+($N439*Cr_yd)+($O439*Cr_td)+(Q439*Crec)+($R439*Crec_yd)+($S439*Crec_td)+($T439*Cfmb)+($U439*Ctp_c)</f>
        <v>0</v>
      </c>
    </row>
    <row r="440" spans="1:28" x14ac:dyDescent="0.2">
      <c r="A440" s="15" t="s">
        <v>1071</v>
      </c>
      <c r="B440" s="15" t="s">
        <v>38</v>
      </c>
      <c r="C440" s="15">
        <v>24</v>
      </c>
      <c r="D440" s="15">
        <v>3</v>
      </c>
      <c r="E440" s="15" t="s">
        <v>235</v>
      </c>
      <c r="F440" s="15" t="s">
        <v>1021</v>
      </c>
      <c r="G440" s="15">
        <v>0</v>
      </c>
      <c r="H440" s="15">
        <v>0</v>
      </c>
      <c r="I440" s="15">
        <v>0</v>
      </c>
      <c r="J440" s="15">
        <v>0</v>
      </c>
      <c r="K440" s="15">
        <v>0</v>
      </c>
      <c r="L440" s="15">
        <v>0</v>
      </c>
      <c r="M440" s="15">
        <v>0</v>
      </c>
      <c r="N440" s="15">
        <v>0</v>
      </c>
      <c r="O440" s="15">
        <v>0</v>
      </c>
      <c r="P440" s="15">
        <v>0</v>
      </c>
      <c r="Q440" s="15">
        <v>0</v>
      </c>
      <c r="R440" s="15">
        <v>0</v>
      </c>
      <c r="S440" s="15">
        <v>0</v>
      </c>
      <c r="T440" s="15">
        <v>0</v>
      </c>
      <c r="U440" s="15">
        <v>0</v>
      </c>
      <c r="V440" s="15">
        <f>($J440*0.04)+($K440*4)+($L440*-2)+($N440*0.1)+($O440*6)+($Q440)+($R440*0.1)+($S440*6)+($T440*-2)</f>
        <v>0</v>
      </c>
      <c r="W440" s="15" t="e">
        <f>$P440/$H$33</f>
        <v>#DIV/0!</v>
      </c>
      <c r="X440" s="15" t="e">
        <f>$N440/$M440</f>
        <v>#DIV/0!</v>
      </c>
      <c r="Y440" s="15" t="e">
        <f>$R440/$Q440</f>
        <v>#DIV/0!</v>
      </c>
      <c r="Z440" s="15" t="e">
        <f>$I440/$H440</f>
        <v>#DIV/0!</v>
      </c>
      <c r="AA440" s="15" t="e">
        <f>$K440/$H440</f>
        <v>#DIV/0!</v>
      </c>
      <c r="AB440" s="15">
        <f>($J440*Cp_yd)+($K440*Cp_td)+($L440*Cint)+($M440*Ccar)+($N440*Cr_yd)+($O440*Cr_td)+(Q440*Crec)+($R440*Crec_yd)+($S440*Crec_td)+($T440*Cfmb)+($U440*Ctp_c)</f>
        <v>0</v>
      </c>
    </row>
    <row r="441" spans="1:28" x14ac:dyDescent="0.2">
      <c r="A441" s="16" t="s">
        <v>1072</v>
      </c>
      <c r="B441" s="16" t="s">
        <v>38</v>
      </c>
      <c r="C441" s="16">
        <v>24</v>
      </c>
      <c r="D441" s="16">
        <v>1</v>
      </c>
      <c r="E441" s="16" t="s">
        <v>1012</v>
      </c>
      <c r="F441" s="16" t="s">
        <v>1021</v>
      </c>
      <c r="G441" s="16">
        <v>0</v>
      </c>
      <c r="H441" s="16">
        <v>0</v>
      </c>
      <c r="I441" s="16">
        <v>0</v>
      </c>
      <c r="J441" s="16">
        <v>0</v>
      </c>
      <c r="K441" s="16">
        <v>0</v>
      </c>
      <c r="L441" s="16">
        <v>0</v>
      </c>
      <c r="M441" s="16">
        <v>0</v>
      </c>
      <c r="N441" s="16">
        <v>0</v>
      </c>
      <c r="O441" s="16">
        <v>0</v>
      </c>
      <c r="P441" s="16">
        <v>0</v>
      </c>
      <c r="Q441" s="16">
        <v>0</v>
      </c>
      <c r="R441" s="16">
        <v>0</v>
      </c>
      <c r="S441" s="16">
        <v>0</v>
      </c>
      <c r="T441" s="16">
        <v>0</v>
      </c>
      <c r="U441" s="16">
        <v>0</v>
      </c>
      <c r="V441" s="16">
        <f>($J441*0.04)+($K441*4)+($L441*-2)+($N441*0.1)+($O441*6)+($Q441)+($R441*0.1)+($S441*6)+($T441*-2)</f>
        <v>0</v>
      </c>
      <c r="W441" s="16" t="e">
        <f>$P441/$H$33</f>
        <v>#DIV/0!</v>
      </c>
      <c r="X441" s="16" t="e">
        <f>$N441/$M441</f>
        <v>#DIV/0!</v>
      </c>
      <c r="Y441" s="16" t="e">
        <f>$R441/$Q441</f>
        <v>#DIV/0!</v>
      </c>
      <c r="Z441" s="16" t="e">
        <f>$I441/$H441</f>
        <v>#DIV/0!</v>
      </c>
      <c r="AA441" s="16" t="e">
        <f>$K441/$H441</f>
        <v>#DIV/0!</v>
      </c>
      <c r="AB441" s="16">
        <f>($J441*Cp_yd)+($K441*Cp_td)+($L441*Cint)+($M441*Ccar)+($N441*Cr_yd)+($O441*Cr_td)+(Q441*Crec)+($R441*Crec_yd)+($S441*Crec_td)+($T441*Cfmb)+($U441*Ctp_c)</f>
        <v>0</v>
      </c>
    </row>
    <row r="442" spans="1:28" x14ac:dyDescent="0.2">
      <c r="A442" s="15" t="s">
        <v>1090</v>
      </c>
      <c r="B442" s="15" t="s">
        <v>26</v>
      </c>
      <c r="C442" s="15">
        <v>24</v>
      </c>
      <c r="D442" s="15">
        <v>1</v>
      </c>
      <c r="E442" s="15" t="s">
        <v>666</v>
      </c>
      <c r="F442" s="15" t="s">
        <v>1075</v>
      </c>
      <c r="G442" s="15">
        <v>0</v>
      </c>
      <c r="H442" s="15">
        <v>0</v>
      </c>
      <c r="I442" s="15">
        <v>0</v>
      </c>
      <c r="J442" s="15">
        <v>0</v>
      </c>
      <c r="K442" s="15">
        <v>0</v>
      </c>
      <c r="L442" s="15">
        <v>0</v>
      </c>
      <c r="M442" s="15">
        <v>0</v>
      </c>
      <c r="N442" s="15">
        <v>0</v>
      </c>
      <c r="O442" s="15">
        <v>0</v>
      </c>
      <c r="P442" s="15">
        <v>0</v>
      </c>
      <c r="Q442" s="15">
        <v>0</v>
      </c>
      <c r="R442" s="15">
        <v>0</v>
      </c>
      <c r="S442" s="15">
        <v>0</v>
      </c>
      <c r="T442" s="15">
        <v>0</v>
      </c>
      <c r="U442" s="15">
        <v>0</v>
      </c>
      <c r="V442" s="15">
        <f>($J442*0.04)+($K442*4)+($L442*-2)+($N442*0.1)+($O442*6)+($Q442)+($R442*0.1)+($S442*6)+($T442*-2)</f>
        <v>0</v>
      </c>
      <c r="W442" s="15" t="e">
        <f>$P442/$H$33</f>
        <v>#DIV/0!</v>
      </c>
      <c r="X442" s="15" t="e">
        <f>$N442/$M442</f>
        <v>#DIV/0!</v>
      </c>
      <c r="Y442" s="15" t="e">
        <f>$R442/$Q442</f>
        <v>#DIV/0!</v>
      </c>
      <c r="Z442" s="15" t="e">
        <f>$I442/$H442</f>
        <v>#DIV/0!</v>
      </c>
      <c r="AA442" s="15" t="e">
        <f>$K442/$H442</f>
        <v>#DIV/0!</v>
      </c>
      <c r="AB442" s="15">
        <f>($J442*Cp_yd)+($K442*Cp_td)+($L442*Cint)+($M442*Ccar)+($N442*Cr_yd)+($O442*Cr_td)+(Q442*Crec)+($R442*Crec_yd)+($S442*Crec_td)+($T442*Cfmb)+($U442*Ctp_c)</f>
        <v>0</v>
      </c>
    </row>
    <row r="443" spans="1:28" x14ac:dyDescent="0.2">
      <c r="A443" s="16" t="s">
        <v>1091</v>
      </c>
      <c r="B443" s="16" t="s">
        <v>26</v>
      </c>
      <c r="C443" s="16">
        <v>31</v>
      </c>
      <c r="D443" s="16">
        <v>10</v>
      </c>
      <c r="E443" s="16" t="s">
        <v>1092</v>
      </c>
      <c r="F443" s="16" t="s">
        <v>1075</v>
      </c>
      <c r="G443" s="16">
        <v>0</v>
      </c>
      <c r="H443" s="16">
        <v>0</v>
      </c>
      <c r="I443" s="16">
        <v>0</v>
      </c>
      <c r="J443" s="16">
        <v>0</v>
      </c>
      <c r="K443" s="16">
        <v>0</v>
      </c>
      <c r="L443" s="16">
        <v>0</v>
      </c>
      <c r="M443" s="16">
        <v>0</v>
      </c>
      <c r="N443" s="16">
        <v>0</v>
      </c>
      <c r="O443" s="16">
        <v>0</v>
      </c>
      <c r="P443" s="16">
        <v>0</v>
      </c>
      <c r="Q443" s="16">
        <v>0</v>
      </c>
      <c r="R443" s="16">
        <v>0</v>
      </c>
      <c r="S443" s="16">
        <v>0</v>
      </c>
      <c r="T443" s="16">
        <v>0</v>
      </c>
      <c r="U443" s="16">
        <v>0</v>
      </c>
      <c r="V443" s="16">
        <f>($J443*0.04)+($K443*4)+($L443*-2)+($N443*0.1)+($O443*6)+($Q443)+($R443*0.1)+($S443*6)+($T443*-2)</f>
        <v>0</v>
      </c>
      <c r="W443" s="16" t="e">
        <f>$P443/$H$33</f>
        <v>#DIV/0!</v>
      </c>
      <c r="X443" s="16" t="e">
        <f>$N443/$M443</f>
        <v>#DIV/0!</v>
      </c>
      <c r="Y443" s="16" t="e">
        <f>$R443/$Q443</f>
        <v>#DIV/0!</v>
      </c>
      <c r="Z443" s="16" t="e">
        <f>$I443/$H443</f>
        <v>#DIV/0!</v>
      </c>
      <c r="AA443" s="16" t="e">
        <f>$K443/$H443</f>
        <v>#DIV/0!</v>
      </c>
      <c r="AB443" s="16">
        <f>($J443*Cp_yd)+($K443*Cp_td)+($L443*Cint)+($M443*Ccar)+($N443*Cr_yd)+($O443*Cr_td)+(Q443*Crec)+($R443*Crec_yd)+($S443*Crec_td)+($T443*Cfmb)+($U443*Ctp_c)</f>
        <v>0</v>
      </c>
    </row>
    <row r="444" spans="1:28" x14ac:dyDescent="0.2">
      <c r="A444" s="15" t="s">
        <v>1093</v>
      </c>
      <c r="B444" s="15" t="s">
        <v>26</v>
      </c>
      <c r="C444" s="15">
        <v>37</v>
      </c>
      <c r="D444" s="15">
        <v>15</v>
      </c>
      <c r="E444" s="15" t="s">
        <v>744</v>
      </c>
      <c r="F444" s="15" t="s">
        <v>1075</v>
      </c>
      <c r="G444" s="15">
        <v>0</v>
      </c>
      <c r="H444" s="15">
        <v>0</v>
      </c>
      <c r="I444" s="15">
        <v>0</v>
      </c>
      <c r="J444" s="15">
        <v>0</v>
      </c>
      <c r="K444" s="15">
        <v>0</v>
      </c>
      <c r="L444" s="15">
        <v>0</v>
      </c>
      <c r="M444" s="15">
        <v>0</v>
      </c>
      <c r="N444" s="15">
        <v>0</v>
      </c>
      <c r="O444" s="15">
        <v>0</v>
      </c>
      <c r="P444" s="15">
        <v>0</v>
      </c>
      <c r="Q444" s="15">
        <v>0</v>
      </c>
      <c r="R444" s="15">
        <v>0</v>
      </c>
      <c r="S444" s="15">
        <v>0</v>
      </c>
      <c r="T444" s="15">
        <v>0</v>
      </c>
      <c r="U444" s="15">
        <v>0</v>
      </c>
      <c r="V444" s="15">
        <f>($J444*0.04)+($K444*4)+($L444*-2)+($N444*0.1)+($O444*6)+($Q444)+($R444*0.1)+($S444*6)+($T444*-2)</f>
        <v>0</v>
      </c>
      <c r="W444" s="15" t="e">
        <f>$P444/$H$33</f>
        <v>#DIV/0!</v>
      </c>
      <c r="X444" s="15" t="e">
        <f>$N444/$M444</f>
        <v>#DIV/0!</v>
      </c>
      <c r="Y444" s="15" t="e">
        <f>$R444/$Q444</f>
        <v>#DIV/0!</v>
      </c>
      <c r="Z444" s="15" t="e">
        <f>$I444/$H444</f>
        <v>#DIV/0!</v>
      </c>
      <c r="AA444" s="15" t="e">
        <f>$K444/$H444</f>
        <v>#DIV/0!</v>
      </c>
      <c r="AB444" s="15">
        <f>($J444*Cp_yd)+($K444*Cp_td)+($L444*Cint)+($M444*Ccar)+($N444*Cr_yd)+($O444*Cr_td)+(Q444*Crec)+($R444*Crec_yd)+($S444*Crec_td)+($T444*Cfmb)+($U444*Ctp_c)</f>
        <v>0</v>
      </c>
    </row>
    <row r="445" spans="1:28" x14ac:dyDescent="0.2">
      <c r="A445" s="16" t="s">
        <v>1095</v>
      </c>
      <c r="B445" s="16" t="s">
        <v>31</v>
      </c>
      <c r="C445" s="16">
        <v>30</v>
      </c>
      <c r="D445" s="16">
        <v>9</v>
      </c>
      <c r="E445" s="16" t="s">
        <v>248</v>
      </c>
      <c r="F445" s="16" t="s">
        <v>1075</v>
      </c>
      <c r="G445" s="16">
        <v>0</v>
      </c>
      <c r="H445" s="16">
        <v>0</v>
      </c>
      <c r="I445" s="16">
        <v>0</v>
      </c>
      <c r="J445" s="16">
        <v>0</v>
      </c>
      <c r="K445" s="16">
        <v>0</v>
      </c>
      <c r="L445" s="16">
        <v>0</v>
      </c>
      <c r="M445" s="16">
        <v>0</v>
      </c>
      <c r="N445" s="16">
        <v>0</v>
      </c>
      <c r="O445" s="16">
        <v>0</v>
      </c>
      <c r="P445" s="16">
        <v>0</v>
      </c>
      <c r="Q445" s="16">
        <v>0</v>
      </c>
      <c r="R445" s="16">
        <v>0</v>
      </c>
      <c r="S445" s="16">
        <v>0</v>
      </c>
      <c r="T445" s="16">
        <v>0</v>
      </c>
      <c r="U445" s="16">
        <v>0</v>
      </c>
      <c r="V445" s="16">
        <f>($J445*0.04)+($K445*4)+($L445*-2)+($N445*0.1)+($O445*6)+($Q445)+($R445*0.1)+($S445*6)+($T445*-2)</f>
        <v>0</v>
      </c>
      <c r="W445" s="16" t="e">
        <f>$P445/$H$33</f>
        <v>#DIV/0!</v>
      </c>
      <c r="X445" s="16" t="e">
        <f>$N445/$M445</f>
        <v>#DIV/0!</v>
      </c>
      <c r="Y445" s="16" t="e">
        <f>$R445/$Q445</f>
        <v>#DIV/0!</v>
      </c>
      <c r="Z445" s="16" t="e">
        <f>$I445/$H445</f>
        <v>#DIV/0!</v>
      </c>
      <c r="AA445" s="16" t="e">
        <f>$K445/$H445</f>
        <v>#DIV/0!</v>
      </c>
      <c r="AB445" s="16">
        <f>($J445*Cp_yd)+($K445*Cp_td)+($L445*Cint)+($M445*Ccar)+($N445*Cr_yd)+($O445*Cr_td)+(Q445*Crec)+($R445*Crec_yd)+($S445*Crec_td)+($T445*Cfmb)+($U445*Ctp_c)</f>
        <v>0</v>
      </c>
    </row>
    <row r="446" spans="1:28" x14ac:dyDescent="0.2">
      <c r="A446" s="15" t="s">
        <v>1096</v>
      </c>
      <c r="B446" s="15" t="s">
        <v>31</v>
      </c>
      <c r="C446" s="15">
        <v>33</v>
      </c>
      <c r="D446" s="15">
        <v>11</v>
      </c>
      <c r="E446" s="15" t="s">
        <v>240</v>
      </c>
      <c r="F446" s="15" t="s">
        <v>1075</v>
      </c>
      <c r="G446" s="15">
        <v>0</v>
      </c>
      <c r="H446" s="15">
        <v>0</v>
      </c>
      <c r="I446" s="15">
        <v>0</v>
      </c>
      <c r="J446" s="15">
        <v>0</v>
      </c>
      <c r="K446" s="15">
        <v>0</v>
      </c>
      <c r="L446" s="15">
        <v>0</v>
      </c>
      <c r="M446" s="15">
        <v>0</v>
      </c>
      <c r="N446" s="15">
        <v>0</v>
      </c>
      <c r="O446" s="15">
        <v>0</v>
      </c>
      <c r="P446" s="15">
        <v>0</v>
      </c>
      <c r="Q446" s="15">
        <v>0</v>
      </c>
      <c r="R446" s="15">
        <v>0</v>
      </c>
      <c r="S446" s="15">
        <v>0</v>
      </c>
      <c r="T446" s="15">
        <v>0</v>
      </c>
      <c r="U446" s="15">
        <v>0</v>
      </c>
      <c r="V446" s="15">
        <f>($J446*0.04)+($K446*4)+($L446*-2)+($N446*0.1)+($O446*6)+($Q446)+($R446*0.1)+($S446*6)+($T446*-2)</f>
        <v>0</v>
      </c>
      <c r="W446" s="15" t="e">
        <f>$P446/$H$33</f>
        <v>#DIV/0!</v>
      </c>
      <c r="X446" s="15" t="e">
        <f>$N446/$M446</f>
        <v>#DIV/0!</v>
      </c>
      <c r="Y446" s="15" t="e">
        <f>$R446/$Q446</f>
        <v>#DIV/0!</v>
      </c>
      <c r="Z446" s="15" t="e">
        <f>$I446/$H446</f>
        <v>#DIV/0!</v>
      </c>
      <c r="AA446" s="15" t="e">
        <f>$K446/$H446</f>
        <v>#DIV/0!</v>
      </c>
      <c r="AB446" s="15">
        <f>($J446*Cp_yd)+($K446*Cp_td)+($L446*Cint)+($M446*Ccar)+($N446*Cr_yd)+($O446*Cr_td)+(Q446*Crec)+($R446*Crec_yd)+($S446*Crec_td)+($T446*Cfmb)+($U446*Ctp_c)</f>
        <v>0</v>
      </c>
    </row>
    <row r="447" spans="1:28" x14ac:dyDescent="0.2">
      <c r="A447" s="16" t="s">
        <v>1097</v>
      </c>
      <c r="B447" s="16" t="s">
        <v>31</v>
      </c>
      <c r="C447" s="16">
        <v>25</v>
      </c>
      <c r="D447" s="16">
        <v>2</v>
      </c>
      <c r="E447" s="16" t="s">
        <v>418</v>
      </c>
      <c r="F447" s="16" t="s">
        <v>1075</v>
      </c>
      <c r="G447" s="16">
        <v>0</v>
      </c>
      <c r="H447" s="16">
        <v>0</v>
      </c>
      <c r="I447" s="16">
        <v>0</v>
      </c>
      <c r="J447" s="16">
        <v>0</v>
      </c>
      <c r="K447" s="16">
        <v>0</v>
      </c>
      <c r="L447" s="16">
        <v>0</v>
      </c>
      <c r="M447" s="16">
        <v>0</v>
      </c>
      <c r="N447" s="16">
        <v>0</v>
      </c>
      <c r="O447" s="16">
        <v>0</v>
      </c>
      <c r="P447" s="16">
        <v>0</v>
      </c>
      <c r="Q447" s="16">
        <v>0</v>
      </c>
      <c r="R447" s="16">
        <v>0</v>
      </c>
      <c r="S447" s="16">
        <v>0</v>
      </c>
      <c r="T447" s="16">
        <v>0</v>
      </c>
      <c r="U447" s="16">
        <v>0</v>
      </c>
      <c r="V447" s="16">
        <f>($J447*0.04)+($K447*4)+($L447*-2)+($N447*0.1)+($O447*6)+($Q447)+($R447*0.1)+($S447*6)+($T447*-2)</f>
        <v>0</v>
      </c>
      <c r="W447" s="16" t="e">
        <f>$P447/$H$33</f>
        <v>#DIV/0!</v>
      </c>
      <c r="X447" s="16" t="e">
        <f>$N447/$M447</f>
        <v>#DIV/0!</v>
      </c>
      <c r="Y447" s="16" t="e">
        <f>$R447/$Q447</f>
        <v>#DIV/0!</v>
      </c>
      <c r="Z447" s="16" t="e">
        <f>$I447/$H447</f>
        <v>#DIV/0!</v>
      </c>
      <c r="AA447" s="16" t="e">
        <f>$K447/$H447</f>
        <v>#DIV/0!</v>
      </c>
      <c r="AB447" s="16">
        <f>($J447*Cp_yd)+($K447*Cp_td)+($L447*Cint)+($M447*Ccar)+($N447*Cr_yd)+($O447*Cr_td)+(Q447*Crec)+($R447*Crec_yd)+($S447*Crec_td)+($T447*Cfmb)+($U447*Ctp_c)</f>
        <v>0</v>
      </c>
    </row>
    <row r="448" spans="1:28" x14ac:dyDescent="0.2">
      <c r="A448" s="15" t="s">
        <v>1098</v>
      </c>
      <c r="B448" s="15" t="s">
        <v>31</v>
      </c>
      <c r="C448" s="15">
        <v>25</v>
      </c>
      <c r="D448" s="15">
        <v>5</v>
      </c>
      <c r="E448" s="15" t="s">
        <v>153</v>
      </c>
      <c r="F448" s="15" t="s">
        <v>1075</v>
      </c>
      <c r="G448" s="15">
        <v>0</v>
      </c>
      <c r="H448" s="15">
        <v>0</v>
      </c>
      <c r="I448" s="15">
        <v>0</v>
      </c>
      <c r="J448" s="15">
        <v>0</v>
      </c>
      <c r="K448" s="15">
        <v>0</v>
      </c>
      <c r="L448" s="15">
        <v>0</v>
      </c>
      <c r="M448" s="15">
        <v>0</v>
      </c>
      <c r="N448" s="15">
        <v>0</v>
      </c>
      <c r="O448" s="15">
        <v>0</v>
      </c>
      <c r="P448" s="15">
        <v>0</v>
      </c>
      <c r="Q448" s="15">
        <v>0</v>
      </c>
      <c r="R448" s="15">
        <v>0</v>
      </c>
      <c r="S448" s="15">
        <v>0</v>
      </c>
      <c r="T448" s="15">
        <v>0</v>
      </c>
      <c r="U448" s="15">
        <v>0</v>
      </c>
      <c r="V448" s="15">
        <f>($J448*0.04)+($K448*4)+($L448*-2)+($N448*0.1)+($O448*6)+($Q448)+($R448*0.1)+($S448*6)+($T448*-2)</f>
        <v>0</v>
      </c>
      <c r="W448" s="15" t="e">
        <f>$P448/$H$33</f>
        <v>#DIV/0!</v>
      </c>
      <c r="X448" s="15" t="e">
        <f>$N448/$M448</f>
        <v>#DIV/0!</v>
      </c>
      <c r="Y448" s="15" t="e">
        <f>$R448/$Q448</f>
        <v>#DIV/0!</v>
      </c>
      <c r="Z448" s="15" t="e">
        <f>$I448/$H448</f>
        <v>#DIV/0!</v>
      </c>
      <c r="AA448" s="15" t="e">
        <f>$K448/$H448</f>
        <v>#DIV/0!</v>
      </c>
      <c r="AB448" s="15">
        <f>($J448*Cp_yd)+($K448*Cp_td)+($L448*Cint)+($M448*Ccar)+($N448*Cr_yd)+($O448*Cr_td)+(Q448*Crec)+($R448*Crec_yd)+($S448*Crec_td)+($T448*Cfmb)+($U448*Ctp_c)</f>
        <v>0</v>
      </c>
    </row>
    <row r="449" spans="1:28" x14ac:dyDescent="0.2">
      <c r="A449" s="16" t="s">
        <v>1099</v>
      </c>
      <c r="B449" s="16" t="s">
        <v>31</v>
      </c>
      <c r="C449" s="16">
        <v>22</v>
      </c>
      <c r="D449" s="16">
        <v>2</v>
      </c>
      <c r="E449" s="16" t="s">
        <v>1100</v>
      </c>
      <c r="F449" s="16" t="s">
        <v>1075</v>
      </c>
      <c r="G449" s="16">
        <v>0</v>
      </c>
      <c r="H449" s="16">
        <v>0</v>
      </c>
      <c r="I449" s="16">
        <v>0</v>
      </c>
      <c r="J449" s="16">
        <v>0</v>
      </c>
      <c r="K449" s="16">
        <v>0</v>
      </c>
      <c r="L449" s="16">
        <v>0</v>
      </c>
      <c r="M449" s="16">
        <v>0</v>
      </c>
      <c r="N449" s="16">
        <v>0</v>
      </c>
      <c r="O449" s="16">
        <v>0</v>
      </c>
      <c r="P449" s="16">
        <v>0</v>
      </c>
      <c r="Q449" s="16">
        <v>0</v>
      </c>
      <c r="R449" s="16">
        <v>0</v>
      </c>
      <c r="S449" s="16">
        <v>0</v>
      </c>
      <c r="T449" s="16">
        <v>0</v>
      </c>
      <c r="U449" s="16">
        <v>0</v>
      </c>
      <c r="V449" s="16">
        <f>($J449*0.04)+($K449*4)+($L449*-2)+($N449*0.1)+($O449*6)+($Q449)+($R449*0.1)+($S449*6)+($T449*-2)</f>
        <v>0</v>
      </c>
      <c r="W449" s="16" t="e">
        <f>$P449/$H$33</f>
        <v>#DIV/0!</v>
      </c>
      <c r="X449" s="16" t="e">
        <f>$N449/$M449</f>
        <v>#DIV/0!</v>
      </c>
      <c r="Y449" s="16" t="e">
        <f>$R449/$Q449</f>
        <v>#DIV/0!</v>
      </c>
      <c r="Z449" s="16" t="e">
        <f>$I449/$H449</f>
        <v>#DIV/0!</v>
      </c>
      <c r="AA449" s="16" t="e">
        <f>$K449/$H449</f>
        <v>#DIV/0!</v>
      </c>
      <c r="AB449" s="16">
        <f>($J449*Cp_yd)+($K449*Cp_td)+($L449*Cint)+($M449*Ccar)+($N449*Cr_yd)+($O449*Cr_td)+(Q449*Crec)+($R449*Crec_yd)+($S449*Crec_td)+($T449*Cfmb)+($U449*Ctp_c)</f>
        <v>0</v>
      </c>
    </row>
    <row r="450" spans="1:28" x14ac:dyDescent="0.2">
      <c r="A450" s="15" t="s">
        <v>1101</v>
      </c>
      <c r="B450" s="15" t="s">
        <v>31</v>
      </c>
      <c r="C450" s="15">
        <v>26</v>
      </c>
      <c r="D450" s="15">
        <v>3</v>
      </c>
      <c r="E450" s="15" t="s">
        <v>89</v>
      </c>
      <c r="F450" s="15" t="s">
        <v>1075</v>
      </c>
      <c r="G450" s="15">
        <v>0</v>
      </c>
      <c r="H450" s="15">
        <v>0</v>
      </c>
      <c r="I450" s="15">
        <v>0</v>
      </c>
      <c r="J450" s="15">
        <v>0</v>
      </c>
      <c r="K450" s="15">
        <v>0</v>
      </c>
      <c r="L450" s="15">
        <v>0</v>
      </c>
      <c r="M450" s="15">
        <v>0</v>
      </c>
      <c r="N450" s="15">
        <v>0</v>
      </c>
      <c r="O450" s="15">
        <v>0</v>
      </c>
      <c r="P450" s="15">
        <v>0</v>
      </c>
      <c r="Q450" s="15">
        <v>0</v>
      </c>
      <c r="R450" s="15">
        <v>0</v>
      </c>
      <c r="S450" s="15">
        <v>0</v>
      </c>
      <c r="T450" s="15">
        <v>0</v>
      </c>
      <c r="U450" s="15">
        <v>0</v>
      </c>
      <c r="V450" s="15">
        <f>($J450*0.04)+($K450*4)+($L450*-2)+($N450*0.1)+($O450*6)+($Q450)+($R450*0.1)+($S450*6)+($T450*-2)</f>
        <v>0</v>
      </c>
      <c r="W450" s="15" t="e">
        <f>$P450/$H$33</f>
        <v>#DIV/0!</v>
      </c>
      <c r="X450" s="15" t="e">
        <f>$N450/$M450</f>
        <v>#DIV/0!</v>
      </c>
      <c r="Y450" s="15" t="e">
        <f>$R450/$Q450</f>
        <v>#DIV/0!</v>
      </c>
      <c r="Z450" s="15" t="e">
        <f>$I450/$H450</f>
        <v>#DIV/0!</v>
      </c>
      <c r="AA450" s="15" t="e">
        <f>$K450/$H450</f>
        <v>#DIV/0!</v>
      </c>
      <c r="AB450" s="15">
        <f>($J450*Cp_yd)+($K450*Cp_td)+($L450*Cint)+($M450*Ccar)+($N450*Cr_yd)+($O450*Cr_td)+(Q450*Crec)+($R450*Crec_yd)+($S450*Crec_td)+($T450*Cfmb)+($U450*Ctp_c)</f>
        <v>0</v>
      </c>
    </row>
    <row r="451" spans="1:28" x14ac:dyDescent="0.2">
      <c r="A451" s="16" t="s">
        <v>1102</v>
      </c>
      <c r="B451" s="16" t="s">
        <v>31</v>
      </c>
      <c r="C451" s="16">
        <v>26</v>
      </c>
      <c r="D451" s="16">
        <v>3</v>
      </c>
      <c r="E451" s="16" t="s">
        <v>1065</v>
      </c>
      <c r="F451" s="16" t="s">
        <v>1075</v>
      </c>
      <c r="G451" s="16">
        <v>0</v>
      </c>
      <c r="H451" s="16">
        <v>0</v>
      </c>
      <c r="I451" s="16">
        <v>0</v>
      </c>
      <c r="J451" s="16">
        <v>0</v>
      </c>
      <c r="K451" s="16">
        <v>0</v>
      </c>
      <c r="L451" s="16">
        <v>0</v>
      </c>
      <c r="M451" s="16">
        <v>0</v>
      </c>
      <c r="N451" s="16">
        <v>0</v>
      </c>
      <c r="O451" s="16">
        <v>0</v>
      </c>
      <c r="P451" s="16">
        <v>0</v>
      </c>
      <c r="Q451" s="16">
        <v>0</v>
      </c>
      <c r="R451" s="16">
        <v>0</v>
      </c>
      <c r="S451" s="16">
        <v>0</v>
      </c>
      <c r="T451" s="16">
        <v>0</v>
      </c>
      <c r="U451" s="16">
        <v>0</v>
      </c>
      <c r="V451" s="16">
        <f>($J451*0.04)+($K451*4)+($L451*-2)+($N451*0.1)+($O451*6)+($Q451)+($R451*0.1)+($S451*6)+($T451*-2)</f>
        <v>0</v>
      </c>
      <c r="W451" s="16" t="e">
        <f>$P451/$H$33</f>
        <v>#DIV/0!</v>
      </c>
      <c r="X451" s="16" t="e">
        <f>$N451/$M451</f>
        <v>#DIV/0!</v>
      </c>
      <c r="Y451" s="16" t="e">
        <f>$R451/$Q451</f>
        <v>#DIV/0!</v>
      </c>
      <c r="Z451" s="16" t="e">
        <f>$I451/$H451</f>
        <v>#DIV/0!</v>
      </c>
      <c r="AA451" s="16" t="e">
        <f>$K451/$H451</f>
        <v>#DIV/0!</v>
      </c>
      <c r="AB451" s="16">
        <f>($J451*Cp_yd)+($K451*Cp_td)+($L451*Cint)+($M451*Ccar)+($N451*Cr_yd)+($O451*Cr_td)+(Q451*Crec)+($R451*Crec_yd)+($S451*Crec_td)+($T451*Cfmb)+($U451*Ctp_c)</f>
        <v>0</v>
      </c>
    </row>
    <row r="452" spans="1:28" x14ac:dyDescent="0.2">
      <c r="A452" s="15" t="s">
        <v>1103</v>
      </c>
      <c r="B452" s="15" t="s">
        <v>31</v>
      </c>
      <c r="C452" s="15">
        <v>23</v>
      </c>
      <c r="D452" s="15">
        <v>2</v>
      </c>
      <c r="E452" s="15" t="s">
        <v>173</v>
      </c>
      <c r="F452" s="15" t="s">
        <v>1075</v>
      </c>
      <c r="G452" s="15">
        <v>0</v>
      </c>
      <c r="H452" s="15">
        <v>0</v>
      </c>
      <c r="I452" s="15">
        <v>0</v>
      </c>
      <c r="J452" s="15">
        <v>0</v>
      </c>
      <c r="K452" s="15">
        <v>0</v>
      </c>
      <c r="L452" s="15">
        <v>0</v>
      </c>
      <c r="M452" s="15">
        <v>0</v>
      </c>
      <c r="N452" s="15">
        <v>0</v>
      </c>
      <c r="O452" s="15">
        <v>0</v>
      </c>
      <c r="P452" s="15">
        <v>0</v>
      </c>
      <c r="Q452" s="15">
        <v>0</v>
      </c>
      <c r="R452" s="15">
        <v>0</v>
      </c>
      <c r="S452" s="15">
        <v>0</v>
      </c>
      <c r="T452" s="15">
        <v>0</v>
      </c>
      <c r="U452" s="15">
        <v>0</v>
      </c>
      <c r="V452" s="15">
        <f>($J452*0.04)+($K452*4)+($L452*-2)+($N452*0.1)+($O452*6)+($Q452)+($R452*0.1)+($S452*6)+($T452*-2)</f>
        <v>0</v>
      </c>
      <c r="W452" s="15" t="e">
        <f>$P452/$H$33</f>
        <v>#DIV/0!</v>
      </c>
      <c r="X452" s="15" t="e">
        <f>$N452/$M452</f>
        <v>#DIV/0!</v>
      </c>
      <c r="Y452" s="15" t="e">
        <f>$R452/$Q452</f>
        <v>#DIV/0!</v>
      </c>
      <c r="Z452" s="15" t="e">
        <f>$I452/$H452</f>
        <v>#DIV/0!</v>
      </c>
      <c r="AA452" s="15" t="e">
        <f>$K452/$H452</f>
        <v>#DIV/0!</v>
      </c>
      <c r="AB452" s="15">
        <f>($J452*Cp_yd)+($K452*Cp_td)+($L452*Cint)+($M452*Ccar)+($N452*Cr_yd)+($O452*Cr_td)+(Q452*Crec)+($R452*Crec_yd)+($S452*Crec_td)+($T452*Cfmb)+($U452*Ctp_c)</f>
        <v>0</v>
      </c>
    </row>
    <row r="453" spans="1:28" x14ac:dyDescent="0.2">
      <c r="A453" s="16" t="s">
        <v>1105</v>
      </c>
      <c r="B453" s="16" t="s">
        <v>43</v>
      </c>
      <c r="C453" s="16">
        <v>30</v>
      </c>
      <c r="D453" s="16">
        <v>10</v>
      </c>
      <c r="E453" s="16" t="s">
        <v>280</v>
      </c>
      <c r="F453" s="16" t="s">
        <v>1075</v>
      </c>
      <c r="G453" s="16">
        <v>0</v>
      </c>
      <c r="H453" s="16">
        <v>0</v>
      </c>
      <c r="I453" s="16">
        <v>0</v>
      </c>
      <c r="J453" s="16">
        <v>0</v>
      </c>
      <c r="K453" s="16">
        <v>0</v>
      </c>
      <c r="L453" s="16">
        <v>0</v>
      </c>
      <c r="M453" s="16">
        <v>0</v>
      </c>
      <c r="N453" s="16">
        <v>0</v>
      </c>
      <c r="O453" s="16">
        <v>0</v>
      </c>
      <c r="P453" s="16">
        <v>0</v>
      </c>
      <c r="Q453" s="16">
        <v>0</v>
      </c>
      <c r="R453" s="16">
        <v>0</v>
      </c>
      <c r="S453" s="16">
        <v>0</v>
      </c>
      <c r="T453" s="16">
        <v>0</v>
      </c>
      <c r="U453" s="16">
        <v>0</v>
      </c>
      <c r="V453" s="16">
        <f>($J453*0.04)+($K453*4)+($L453*-2)+($N453*0.1)+($O453*6)+($Q453)+($R453*0.1)+($S453*6)+($T453*-2)</f>
        <v>0</v>
      </c>
      <c r="W453" s="16" t="e">
        <f>$P453/$H$33</f>
        <v>#DIV/0!</v>
      </c>
      <c r="X453" s="16" t="e">
        <f>$N453/$M453</f>
        <v>#DIV/0!</v>
      </c>
      <c r="Y453" s="16" t="e">
        <f>$R453/$Q453</f>
        <v>#DIV/0!</v>
      </c>
      <c r="Z453" s="16" t="e">
        <f>$I453/$H453</f>
        <v>#DIV/0!</v>
      </c>
      <c r="AA453" s="16" t="e">
        <f>$K453/$H453</f>
        <v>#DIV/0!</v>
      </c>
      <c r="AB453" s="16">
        <f>($J453*Cp_yd)+($K453*Cp_td)+($L453*Cint)+($M453*Ccar)+($N453*Cr_yd)+($O453*Cr_td)+(Q453*Crec)+($R453*Crec_yd)+($S453*Crec_td)+($T453*Cfmb)+($U453*Ctp_c)</f>
        <v>0</v>
      </c>
    </row>
    <row r="454" spans="1:28" x14ac:dyDescent="0.2">
      <c r="A454" s="15" t="s">
        <v>1106</v>
      </c>
      <c r="B454" s="15" t="s">
        <v>43</v>
      </c>
      <c r="C454" s="15">
        <v>30</v>
      </c>
      <c r="D454" s="15">
        <v>6</v>
      </c>
      <c r="E454" s="15" t="s">
        <v>1107</v>
      </c>
      <c r="F454" s="15" t="s">
        <v>1075</v>
      </c>
      <c r="G454" s="15">
        <v>0</v>
      </c>
      <c r="H454" s="15">
        <v>0</v>
      </c>
      <c r="I454" s="15">
        <v>0</v>
      </c>
      <c r="J454" s="15">
        <v>0</v>
      </c>
      <c r="K454" s="15">
        <v>0</v>
      </c>
      <c r="L454" s="15">
        <v>0</v>
      </c>
      <c r="M454" s="15">
        <v>0</v>
      </c>
      <c r="N454" s="15">
        <v>0</v>
      </c>
      <c r="O454" s="15">
        <v>0</v>
      </c>
      <c r="P454" s="15">
        <v>0</v>
      </c>
      <c r="Q454" s="15">
        <v>0</v>
      </c>
      <c r="R454" s="15">
        <v>0</v>
      </c>
      <c r="S454" s="15">
        <v>0</v>
      </c>
      <c r="T454" s="15">
        <v>0</v>
      </c>
      <c r="U454" s="15">
        <v>0</v>
      </c>
      <c r="V454" s="15">
        <f>($J454*0.04)+($K454*4)+($L454*-2)+($N454*0.1)+($O454*6)+($Q454)+($R454*0.1)+($S454*6)+($T454*-2)</f>
        <v>0</v>
      </c>
      <c r="W454" s="15" t="e">
        <f>$P454/$H$33</f>
        <v>#DIV/0!</v>
      </c>
      <c r="X454" s="15" t="e">
        <f>$N454/$M454</f>
        <v>#DIV/0!</v>
      </c>
      <c r="Y454" s="15" t="e">
        <f>$R454/$Q454</f>
        <v>#DIV/0!</v>
      </c>
      <c r="Z454" s="15" t="e">
        <f>$I454/$H454</f>
        <v>#DIV/0!</v>
      </c>
      <c r="AA454" s="15" t="e">
        <f>$K454/$H454</f>
        <v>#DIV/0!</v>
      </c>
      <c r="AB454" s="15">
        <f>($J454*Cp_yd)+($K454*Cp_td)+($L454*Cint)+($M454*Ccar)+($N454*Cr_yd)+($O454*Cr_td)+(Q454*Crec)+($R454*Crec_yd)+($S454*Crec_td)+($T454*Cfmb)+($U454*Ctp_c)</f>
        <v>0</v>
      </c>
    </row>
    <row r="455" spans="1:28" x14ac:dyDescent="0.2">
      <c r="A455" s="16" t="s">
        <v>1108</v>
      </c>
      <c r="B455" s="16" t="s">
        <v>43</v>
      </c>
      <c r="C455" s="16">
        <v>30</v>
      </c>
      <c r="D455" s="16">
        <v>7</v>
      </c>
      <c r="E455" s="16" t="s">
        <v>1109</v>
      </c>
      <c r="F455" s="16" t="s">
        <v>1075</v>
      </c>
      <c r="G455" s="16">
        <v>0</v>
      </c>
      <c r="H455" s="16">
        <v>0</v>
      </c>
      <c r="I455" s="16">
        <v>0</v>
      </c>
      <c r="J455" s="16">
        <v>0</v>
      </c>
      <c r="K455" s="16">
        <v>0</v>
      </c>
      <c r="L455" s="16">
        <v>0</v>
      </c>
      <c r="M455" s="16">
        <v>0</v>
      </c>
      <c r="N455" s="16">
        <v>0</v>
      </c>
      <c r="O455" s="16">
        <v>0</v>
      </c>
      <c r="P455" s="16">
        <v>0</v>
      </c>
      <c r="Q455" s="16">
        <v>0</v>
      </c>
      <c r="R455" s="16">
        <v>0</v>
      </c>
      <c r="S455" s="16">
        <v>0</v>
      </c>
      <c r="T455" s="16">
        <v>0</v>
      </c>
      <c r="U455" s="16">
        <v>0</v>
      </c>
      <c r="V455" s="16">
        <f>($J455*0.04)+($K455*4)+($L455*-2)+($N455*0.1)+($O455*6)+($Q455)+($R455*0.1)+($S455*6)+($T455*-2)</f>
        <v>0</v>
      </c>
      <c r="W455" s="16" t="e">
        <f>$P455/$H$33</f>
        <v>#DIV/0!</v>
      </c>
      <c r="X455" s="16" t="e">
        <f>$N455/$M455</f>
        <v>#DIV/0!</v>
      </c>
      <c r="Y455" s="16" t="e">
        <f>$R455/$Q455</f>
        <v>#DIV/0!</v>
      </c>
      <c r="Z455" s="16" t="e">
        <f>$I455/$H455</f>
        <v>#DIV/0!</v>
      </c>
      <c r="AA455" s="16" t="e">
        <f>$K455/$H455</f>
        <v>#DIV/0!</v>
      </c>
      <c r="AB455" s="16">
        <f>($J455*Cp_yd)+($K455*Cp_td)+($L455*Cint)+($M455*Ccar)+($N455*Cr_yd)+($O455*Cr_td)+(Q455*Crec)+($R455*Crec_yd)+($S455*Crec_td)+($T455*Cfmb)+($U455*Ctp_c)</f>
        <v>0</v>
      </c>
    </row>
    <row r="456" spans="1:28" x14ac:dyDescent="0.2">
      <c r="A456" s="15" t="s">
        <v>1110</v>
      </c>
      <c r="B456" s="15" t="s">
        <v>43</v>
      </c>
      <c r="C456" s="15">
        <v>30</v>
      </c>
      <c r="D456" s="15">
        <v>9</v>
      </c>
      <c r="E456" s="15" t="s">
        <v>397</v>
      </c>
      <c r="F456" s="15" t="s">
        <v>1075</v>
      </c>
      <c r="G456" s="15">
        <v>0</v>
      </c>
      <c r="H456" s="15">
        <v>0</v>
      </c>
      <c r="I456" s="15">
        <v>0</v>
      </c>
      <c r="J456" s="15">
        <v>0</v>
      </c>
      <c r="K456" s="15">
        <v>0</v>
      </c>
      <c r="L456" s="15">
        <v>0</v>
      </c>
      <c r="M456" s="15">
        <v>0</v>
      </c>
      <c r="N456" s="15">
        <v>0</v>
      </c>
      <c r="O456" s="15">
        <v>0</v>
      </c>
      <c r="P456" s="15">
        <v>0</v>
      </c>
      <c r="Q456" s="15">
        <v>0</v>
      </c>
      <c r="R456" s="15">
        <v>0</v>
      </c>
      <c r="S456" s="15">
        <v>0</v>
      </c>
      <c r="T456" s="15">
        <v>0</v>
      </c>
      <c r="U456" s="15">
        <v>0</v>
      </c>
      <c r="V456" s="15">
        <f>($J456*0.04)+($K456*4)+($L456*-2)+($N456*0.1)+($O456*6)+($Q456)+($R456*0.1)+($S456*6)+($T456*-2)</f>
        <v>0</v>
      </c>
      <c r="W456" s="15" t="e">
        <f>$P456/$H$33</f>
        <v>#DIV/0!</v>
      </c>
      <c r="X456" s="15" t="e">
        <f>$N456/$M456</f>
        <v>#DIV/0!</v>
      </c>
      <c r="Y456" s="15" t="e">
        <f>$R456/$Q456</f>
        <v>#DIV/0!</v>
      </c>
      <c r="Z456" s="15" t="e">
        <f>$I456/$H456</f>
        <v>#DIV/0!</v>
      </c>
      <c r="AA456" s="15" t="e">
        <f>$K456/$H456</f>
        <v>#DIV/0!</v>
      </c>
      <c r="AB456" s="15">
        <f>($J456*Cp_yd)+($K456*Cp_td)+($L456*Cint)+($M456*Ccar)+($N456*Cr_yd)+($O456*Cr_td)+(Q456*Crec)+($R456*Crec_yd)+($S456*Crec_td)+($T456*Cfmb)+($U456*Ctp_c)</f>
        <v>0</v>
      </c>
    </row>
    <row r="457" spans="1:28" x14ac:dyDescent="0.2">
      <c r="A457" s="16" t="s">
        <v>1111</v>
      </c>
      <c r="B457" s="16" t="s">
        <v>43</v>
      </c>
      <c r="C457" s="16">
        <v>27</v>
      </c>
      <c r="D457" s="16">
        <v>1</v>
      </c>
      <c r="E457" s="16" t="s">
        <v>218</v>
      </c>
      <c r="F457" s="16" t="s">
        <v>1075</v>
      </c>
      <c r="G457" s="16">
        <v>0</v>
      </c>
      <c r="H457" s="16">
        <v>0</v>
      </c>
      <c r="I457" s="16">
        <v>0</v>
      </c>
      <c r="J457" s="16">
        <v>0</v>
      </c>
      <c r="K457" s="16">
        <v>0</v>
      </c>
      <c r="L457" s="16">
        <v>0</v>
      </c>
      <c r="M457" s="16">
        <v>0</v>
      </c>
      <c r="N457" s="16">
        <v>0</v>
      </c>
      <c r="O457" s="16">
        <v>0</v>
      </c>
      <c r="P457" s="16">
        <v>0</v>
      </c>
      <c r="Q457" s="16">
        <v>0</v>
      </c>
      <c r="R457" s="16">
        <v>0</v>
      </c>
      <c r="S457" s="16">
        <v>0</v>
      </c>
      <c r="T457" s="16">
        <v>0</v>
      </c>
      <c r="U457" s="16">
        <v>0</v>
      </c>
      <c r="V457" s="16">
        <f>($J457*0.04)+($K457*4)+($L457*-2)+($N457*0.1)+($O457*6)+($Q457)+($R457*0.1)+($S457*6)+($T457*-2)</f>
        <v>0</v>
      </c>
      <c r="W457" s="16" t="e">
        <f>$P457/$H$33</f>
        <v>#DIV/0!</v>
      </c>
      <c r="X457" s="16" t="e">
        <f>$N457/$M457</f>
        <v>#DIV/0!</v>
      </c>
      <c r="Y457" s="16" t="e">
        <f>$R457/$Q457</f>
        <v>#DIV/0!</v>
      </c>
      <c r="Z457" s="16" t="e">
        <f>$I457/$H457</f>
        <v>#DIV/0!</v>
      </c>
      <c r="AA457" s="16" t="e">
        <f>$K457/$H457</f>
        <v>#DIV/0!</v>
      </c>
      <c r="AB457" s="16">
        <f>($J457*Cp_yd)+($K457*Cp_td)+($L457*Cint)+($M457*Ccar)+($N457*Cr_yd)+($O457*Cr_td)+(Q457*Crec)+($R457*Crec_yd)+($S457*Crec_td)+($T457*Cfmb)+($U457*Ctp_c)</f>
        <v>0</v>
      </c>
    </row>
    <row r="458" spans="1:28" x14ac:dyDescent="0.2">
      <c r="A458" s="15" t="s">
        <v>1112</v>
      </c>
      <c r="B458" s="15" t="s">
        <v>43</v>
      </c>
      <c r="C458" s="15">
        <v>26</v>
      </c>
      <c r="D458" s="15">
        <v>5</v>
      </c>
      <c r="E458" s="15" t="s">
        <v>1113</v>
      </c>
      <c r="F458" s="15" t="s">
        <v>1075</v>
      </c>
      <c r="G458" s="15">
        <v>0</v>
      </c>
      <c r="H458" s="15">
        <v>0</v>
      </c>
      <c r="I458" s="15">
        <v>0</v>
      </c>
      <c r="J458" s="15">
        <v>0</v>
      </c>
      <c r="K458" s="15">
        <v>0</v>
      </c>
      <c r="L458" s="15">
        <v>0</v>
      </c>
      <c r="M458" s="15">
        <v>0</v>
      </c>
      <c r="N458" s="15">
        <v>0</v>
      </c>
      <c r="O458" s="15">
        <v>0</v>
      </c>
      <c r="P458" s="15">
        <v>0</v>
      </c>
      <c r="Q458" s="15">
        <v>0</v>
      </c>
      <c r="R458" s="15">
        <v>0</v>
      </c>
      <c r="S458" s="15">
        <v>0</v>
      </c>
      <c r="T458" s="15">
        <v>0</v>
      </c>
      <c r="U458" s="15">
        <v>0</v>
      </c>
      <c r="V458" s="15">
        <f>($J458*0.04)+($K458*4)+($L458*-2)+($N458*0.1)+($O458*6)+($Q458)+($R458*0.1)+($S458*6)+($T458*-2)</f>
        <v>0</v>
      </c>
      <c r="W458" s="15" t="e">
        <f>$P458/$H$33</f>
        <v>#DIV/0!</v>
      </c>
      <c r="X458" s="15" t="e">
        <f>$N458/$M458</f>
        <v>#DIV/0!</v>
      </c>
      <c r="Y458" s="15" t="e">
        <f>$R458/$Q458</f>
        <v>#DIV/0!</v>
      </c>
      <c r="Z458" s="15" t="e">
        <f>$I458/$H458</f>
        <v>#DIV/0!</v>
      </c>
      <c r="AA458" s="15" t="e">
        <f>$K458/$H458</f>
        <v>#DIV/0!</v>
      </c>
      <c r="AB458" s="15">
        <f>($J458*Cp_yd)+($K458*Cp_td)+($L458*Cint)+($M458*Ccar)+($N458*Cr_yd)+($O458*Cr_td)+(Q458*Crec)+($R458*Crec_yd)+($S458*Crec_td)+($T458*Cfmb)+($U458*Ctp_c)</f>
        <v>0</v>
      </c>
    </row>
    <row r="459" spans="1:28" x14ac:dyDescent="0.2">
      <c r="A459" s="16" t="s">
        <v>1114</v>
      </c>
      <c r="B459" s="16" t="s">
        <v>43</v>
      </c>
      <c r="C459" s="16">
        <v>27</v>
      </c>
      <c r="D459" s="16">
        <v>5</v>
      </c>
      <c r="E459" s="16" t="s">
        <v>458</v>
      </c>
      <c r="F459" s="16" t="s">
        <v>1075</v>
      </c>
      <c r="G459" s="16">
        <v>0</v>
      </c>
      <c r="H459" s="16">
        <v>0</v>
      </c>
      <c r="I459" s="16">
        <v>0</v>
      </c>
      <c r="J459" s="16">
        <v>0</v>
      </c>
      <c r="K459" s="16">
        <v>0</v>
      </c>
      <c r="L459" s="16">
        <v>0</v>
      </c>
      <c r="M459" s="16">
        <v>0</v>
      </c>
      <c r="N459" s="16">
        <v>0</v>
      </c>
      <c r="O459" s="16">
        <v>0</v>
      </c>
      <c r="P459" s="16">
        <v>0</v>
      </c>
      <c r="Q459" s="16">
        <v>0</v>
      </c>
      <c r="R459" s="16">
        <v>0</v>
      </c>
      <c r="S459" s="16">
        <v>0</v>
      </c>
      <c r="T459" s="16">
        <v>0</v>
      </c>
      <c r="U459" s="16">
        <v>0</v>
      </c>
      <c r="V459" s="16">
        <f>($J459*0.04)+($K459*4)+($L459*-2)+($N459*0.1)+($O459*6)+($Q459)+($R459*0.1)+($S459*6)+($T459*-2)</f>
        <v>0</v>
      </c>
      <c r="W459" s="16" t="e">
        <f>$P459/$H$33</f>
        <v>#DIV/0!</v>
      </c>
      <c r="X459" s="16" t="e">
        <f>$N459/$M459</f>
        <v>#DIV/0!</v>
      </c>
      <c r="Y459" s="16" t="e">
        <f>$R459/$Q459</f>
        <v>#DIV/0!</v>
      </c>
      <c r="Z459" s="16" t="e">
        <f>$I459/$H459</f>
        <v>#DIV/0!</v>
      </c>
      <c r="AA459" s="16" t="e">
        <f>$K459/$H459</f>
        <v>#DIV/0!</v>
      </c>
      <c r="AB459" s="16">
        <f>($J459*Cp_yd)+($K459*Cp_td)+($L459*Cint)+($M459*Ccar)+($N459*Cr_yd)+($O459*Cr_td)+(Q459*Crec)+($R459*Crec_yd)+($S459*Crec_td)+($T459*Cfmb)+($U459*Ctp_c)</f>
        <v>0</v>
      </c>
    </row>
    <row r="460" spans="1:28" x14ac:dyDescent="0.2">
      <c r="A460" s="15" t="s">
        <v>1115</v>
      </c>
      <c r="B460" s="15" t="s">
        <v>43</v>
      </c>
      <c r="C460" s="15">
        <v>27</v>
      </c>
      <c r="D460" s="15">
        <v>6</v>
      </c>
      <c r="E460" s="15" t="s">
        <v>153</v>
      </c>
      <c r="F460" s="15" t="s">
        <v>1075</v>
      </c>
      <c r="G460" s="15">
        <v>0</v>
      </c>
      <c r="H460" s="15">
        <v>0</v>
      </c>
      <c r="I460" s="15">
        <v>0</v>
      </c>
      <c r="J460" s="15">
        <v>0</v>
      </c>
      <c r="K460" s="15">
        <v>0</v>
      </c>
      <c r="L460" s="15">
        <v>0</v>
      </c>
      <c r="M460" s="15">
        <v>0</v>
      </c>
      <c r="N460" s="15">
        <v>0</v>
      </c>
      <c r="O460" s="15">
        <v>0</v>
      </c>
      <c r="P460" s="15">
        <v>0</v>
      </c>
      <c r="Q460" s="15">
        <v>0</v>
      </c>
      <c r="R460" s="15">
        <v>0</v>
      </c>
      <c r="S460" s="15">
        <v>0</v>
      </c>
      <c r="T460" s="15">
        <v>0</v>
      </c>
      <c r="U460" s="15">
        <v>0</v>
      </c>
      <c r="V460" s="15">
        <f>($J460*0.04)+($K460*4)+($L460*-2)+($N460*0.1)+($O460*6)+($Q460)+($R460*0.1)+($S460*6)+($T460*-2)</f>
        <v>0</v>
      </c>
      <c r="W460" s="15" t="e">
        <f>$P460/$H$33</f>
        <v>#DIV/0!</v>
      </c>
      <c r="X460" s="15" t="e">
        <f>$N460/$M460</f>
        <v>#DIV/0!</v>
      </c>
      <c r="Y460" s="15" t="e">
        <f>$R460/$Q460</f>
        <v>#DIV/0!</v>
      </c>
      <c r="Z460" s="15" t="e">
        <f>$I460/$H460</f>
        <v>#DIV/0!</v>
      </c>
      <c r="AA460" s="15" t="e">
        <f>$K460/$H460</f>
        <v>#DIV/0!</v>
      </c>
      <c r="AB460" s="15">
        <f>($J460*Cp_yd)+($K460*Cp_td)+($L460*Cint)+($M460*Ccar)+($N460*Cr_yd)+($O460*Cr_td)+(Q460*Crec)+($R460*Crec_yd)+($S460*Crec_td)+($T460*Cfmb)+($U460*Ctp_c)</f>
        <v>0</v>
      </c>
    </row>
    <row r="461" spans="1:28" x14ac:dyDescent="0.2">
      <c r="A461" s="16" t="s">
        <v>1116</v>
      </c>
      <c r="B461" s="16" t="s">
        <v>43</v>
      </c>
      <c r="C461" s="16">
        <v>22</v>
      </c>
      <c r="D461" s="16">
        <v>0</v>
      </c>
      <c r="E461" s="16" t="s">
        <v>136</v>
      </c>
      <c r="F461" s="16" t="s">
        <v>1075</v>
      </c>
      <c r="G461" s="16">
        <v>0</v>
      </c>
      <c r="H461" s="16">
        <v>0</v>
      </c>
      <c r="I461" s="16">
        <v>0</v>
      </c>
      <c r="J461" s="16">
        <v>0</v>
      </c>
      <c r="K461" s="16">
        <v>0</v>
      </c>
      <c r="L461" s="16">
        <v>0</v>
      </c>
      <c r="M461" s="16">
        <v>0</v>
      </c>
      <c r="N461" s="16">
        <v>0</v>
      </c>
      <c r="O461" s="16">
        <v>0</v>
      </c>
      <c r="P461" s="16">
        <v>0</v>
      </c>
      <c r="Q461" s="16">
        <v>0</v>
      </c>
      <c r="R461" s="16">
        <v>0</v>
      </c>
      <c r="S461" s="16">
        <v>0</v>
      </c>
      <c r="T461" s="16">
        <v>0</v>
      </c>
      <c r="U461" s="16">
        <v>0</v>
      </c>
      <c r="V461" s="16">
        <f>($J461*0.04)+($K461*4)+($L461*-2)+($N461*0.1)+($O461*6)+($Q461)+($R461*0.1)+($S461*6)+($T461*-2)</f>
        <v>0</v>
      </c>
      <c r="W461" s="16" t="e">
        <f>$P461/$H$33</f>
        <v>#DIV/0!</v>
      </c>
      <c r="X461" s="16" t="e">
        <f>$N461/$M461</f>
        <v>#DIV/0!</v>
      </c>
      <c r="Y461" s="16" t="e">
        <f>$R461/$Q461</f>
        <v>#DIV/0!</v>
      </c>
      <c r="Z461" s="16" t="e">
        <f>$I461/$H461</f>
        <v>#DIV/0!</v>
      </c>
      <c r="AA461" s="16" t="e">
        <f>$K461/$H461</f>
        <v>#DIV/0!</v>
      </c>
      <c r="AB461" s="16">
        <f>($J461*Cp_yd)+($K461*Cp_td)+($L461*Cint)+($M461*Ccar)+($N461*Cr_yd)+($O461*Cr_td)+(Q461*Crec)+($R461*Crec_yd)+($S461*Crec_td)+($T461*Cfmb)+($U461*Ctp_c)</f>
        <v>0</v>
      </c>
    </row>
    <row r="462" spans="1:28" x14ac:dyDescent="0.2">
      <c r="A462" s="15" t="s">
        <v>1117</v>
      </c>
      <c r="B462" s="15" t="s">
        <v>43</v>
      </c>
      <c r="C462" s="15">
        <v>26</v>
      </c>
      <c r="D462" s="15">
        <v>1</v>
      </c>
      <c r="E462" s="15" t="s">
        <v>1118</v>
      </c>
      <c r="F462" s="15" t="s">
        <v>1075</v>
      </c>
      <c r="G462" s="15">
        <v>0</v>
      </c>
      <c r="H462" s="15">
        <v>0</v>
      </c>
      <c r="I462" s="15">
        <v>0</v>
      </c>
      <c r="J462" s="15">
        <v>0</v>
      </c>
      <c r="K462" s="15">
        <v>0</v>
      </c>
      <c r="L462" s="15">
        <v>0</v>
      </c>
      <c r="M462" s="15">
        <v>0</v>
      </c>
      <c r="N462" s="15">
        <v>0</v>
      </c>
      <c r="O462" s="15">
        <v>0</v>
      </c>
      <c r="P462" s="15">
        <v>0</v>
      </c>
      <c r="Q462" s="15">
        <v>0</v>
      </c>
      <c r="R462" s="15">
        <v>0</v>
      </c>
      <c r="S462" s="15">
        <v>0</v>
      </c>
      <c r="T462" s="15">
        <v>0</v>
      </c>
      <c r="U462" s="15">
        <v>0</v>
      </c>
      <c r="V462" s="15">
        <f>($J462*0.04)+($K462*4)+($L462*-2)+($N462*0.1)+($O462*6)+($Q462)+($R462*0.1)+($S462*6)+($T462*-2)</f>
        <v>0</v>
      </c>
      <c r="W462" s="15" t="e">
        <f>$P462/$H$33</f>
        <v>#DIV/0!</v>
      </c>
      <c r="X462" s="15" t="e">
        <f>$N462/$M462</f>
        <v>#DIV/0!</v>
      </c>
      <c r="Y462" s="15" t="e">
        <f>$R462/$Q462</f>
        <v>#DIV/0!</v>
      </c>
      <c r="Z462" s="15" t="e">
        <f>$I462/$H462</f>
        <v>#DIV/0!</v>
      </c>
      <c r="AA462" s="15" t="e">
        <f>$K462/$H462</f>
        <v>#DIV/0!</v>
      </c>
      <c r="AB462" s="15">
        <f>($J462*Cp_yd)+($K462*Cp_td)+($L462*Cint)+($M462*Ccar)+($N462*Cr_yd)+($O462*Cr_td)+(Q462*Crec)+($R462*Crec_yd)+($S462*Crec_td)+($T462*Cfmb)+($U462*Ctp_c)</f>
        <v>0</v>
      </c>
    </row>
    <row r="463" spans="1:28" x14ac:dyDescent="0.2">
      <c r="A463" s="16" t="s">
        <v>1120</v>
      </c>
      <c r="B463" s="16" t="s">
        <v>38</v>
      </c>
      <c r="C463" s="16">
        <v>25</v>
      </c>
      <c r="D463" s="16">
        <v>1</v>
      </c>
      <c r="E463" s="16" t="s">
        <v>207</v>
      </c>
      <c r="F463" s="16" t="s">
        <v>1075</v>
      </c>
      <c r="G463" s="16">
        <v>0</v>
      </c>
      <c r="H463" s="16">
        <v>0</v>
      </c>
      <c r="I463" s="16">
        <v>0</v>
      </c>
      <c r="J463" s="16">
        <v>0</v>
      </c>
      <c r="K463" s="16">
        <v>0</v>
      </c>
      <c r="L463" s="16">
        <v>0</v>
      </c>
      <c r="M463" s="16">
        <v>0</v>
      </c>
      <c r="N463" s="16">
        <v>0</v>
      </c>
      <c r="O463" s="16">
        <v>0</v>
      </c>
      <c r="P463" s="16">
        <v>0</v>
      </c>
      <c r="Q463" s="16">
        <v>0</v>
      </c>
      <c r="R463" s="16">
        <v>0</v>
      </c>
      <c r="S463" s="16">
        <v>0</v>
      </c>
      <c r="T463" s="16">
        <v>0</v>
      </c>
      <c r="U463" s="16">
        <v>0</v>
      </c>
      <c r="V463" s="16">
        <f>($J463*0.04)+($K463*4)+($L463*-2)+($N463*0.1)+($O463*6)+($Q463)+($R463*0.1)+($S463*6)+($T463*-2)</f>
        <v>0</v>
      </c>
      <c r="W463" s="16" t="e">
        <f>$P463/$H$33</f>
        <v>#DIV/0!</v>
      </c>
      <c r="X463" s="16" t="e">
        <f>$N463/$M463</f>
        <v>#DIV/0!</v>
      </c>
      <c r="Y463" s="16" t="e">
        <f>$R463/$Q463</f>
        <v>#DIV/0!</v>
      </c>
      <c r="Z463" s="16" t="e">
        <f>$I463/$H463</f>
        <v>#DIV/0!</v>
      </c>
      <c r="AA463" s="16" t="e">
        <f>$K463/$H463</f>
        <v>#DIV/0!</v>
      </c>
      <c r="AB463" s="16">
        <f>($J463*Cp_yd)+($K463*Cp_td)+($L463*Cint)+($M463*Ccar)+($N463*Cr_yd)+($O463*Cr_td)+(Q463*Crec)+($R463*Crec_yd)+($S463*Crec_td)+($T463*Cfmb)+($U463*Ctp_c)</f>
        <v>0</v>
      </c>
    </row>
    <row r="464" spans="1:28" x14ac:dyDescent="0.2">
      <c r="A464" s="15" t="s">
        <v>1121</v>
      </c>
      <c r="B464" s="15" t="s">
        <v>38</v>
      </c>
      <c r="C464" s="15">
        <v>29</v>
      </c>
      <c r="D464" s="15">
        <v>7</v>
      </c>
      <c r="E464" s="15" t="s">
        <v>272</v>
      </c>
      <c r="F464" s="15" t="s">
        <v>1075</v>
      </c>
      <c r="G464" s="15">
        <v>0</v>
      </c>
      <c r="H464" s="15">
        <v>0</v>
      </c>
      <c r="I464" s="15">
        <v>0</v>
      </c>
      <c r="J464" s="15">
        <v>0</v>
      </c>
      <c r="K464" s="15">
        <v>0</v>
      </c>
      <c r="L464" s="15">
        <v>0</v>
      </c>
      <c r="M464" s="15">
        <v>0</v>
      </c>
      <c r="N464" s="15">
        <v>0</v>
      </c>
      <c r="O464" s="15">
        <v>0</v>
      </c>
      <c r="P464" s="15">
        <v>0</v>
      </c>
      <c r="Q464" s="15">
        <v>0</v>
      </c>
      <c r="R464" s="15">
        <v>0</v>
      </c>
      <c r="S464" s="15">
        <v>0</v>
      </c>
      <c r="T464" s="15">
        <v>0</v>
      </c>
      <c r="U464" s="15">
        <v>0</v>
      </c>
      <c r="V464" s="15">
        <f>($J464*0.04)+($K464*4)+($L464*-2)+($N464*0.1)+($O464*6)+($Q464)+($R464*0.1)+($S464*6)+($T464*-2)</f>
        <v>0</v>
      </c>
      <c r="W464" s="15" t="e">
        <f>$P464/$H$33</f>
        <v>#DIV/0!</v>
      </c>
      <c r="X464" s="15" t="e">
        <f>$N464/$M464</f>
        <v>#DIV/0!</v>
      </c>
      <c r="Y464" s="15" t="e">
        <f>$R464/$Q464</f>
        <v>#DIV/0!</v>
      </c>
      <c r="Z464" s="15" t="e">
        <f>$I464/$H464</f>
        <v>#DIV/0!</v>
      </c>
      <c r="AA464" s="15" t="e">
        <f>$K464/$H464</f>
        <v>#DIV/0!</v>
      </c>
      <c r="AB464" s="15">
        <f>($J464*Cp_yd)+($K464*Cp_td)+($L464*Cint)+($M464*Ccar)+($N464*Cr_yd)+($O464*Cr_td)+(Q464*Crec)+($R464*Crec_yd)+($S464*Crec_td)+($T464*Cfmb)+($U464*Ctp_c)</f>
        <v>0</v>
      </c>
    </row>
    <row r="465" spans="1:28" x14ac:dyDescent="0.2">
      <c r="A465" s="16" t="s">
        <v>1122</v>
      </c>
      <c r="B465" s="16" t="s">
        <v>38</v>
      </c>
      <c r="C465" s="16">
        <v>28</v>
      </c>
      <c r="D465" s="16">
        <v>8</v>
      </c>
      <c r="E465" s="16" t="s">
        <v>102</v>
      </c>
      <c r="F465" s="16" t="s">
        <v>1075</v>
      </c>
      <c r="G465" s="16">
        <v>0</v>
      </c>
      <c r="H465" s="16">
        <v>0</v>
      </c>
      <c r="I465" s="16">
        <v>0</v>
      </c>
      <c r="J465" s="16">
        <v>0</v>
      </c>
      <c r="K465" s="16">
        <v>0</v>
      </c>
      <c r="L465" s="16">
        <v>0</v>
      </c>
      <c r="M465" s="16">
        <v>0</v>
      </c>
      <c r="N465" s="16">
        <v>0</v>
      </c>
      <c r="O465" s="16">
        <v>0</v>
      </c>
      <c r="P465" s="16">
        <v>0</v>
      </c>
      <c r="Q465" s="16">
        <v>0</v>
      </c>
      <c r="R465" s="16">
        <v>0</v>
      </c>
      <c r="S465" s="16">
        <v>0</v>
      </c>
      <c r="T465" s="16">
        <v>0</v>
      </c>
      <c r="U465" s="16">
        <v>0</v>
      </c>
      <c r="V465" s="16">
        <f>($J465*0.04)+($K465*4)+($L465*-2)+($N465*0.1)+($O465*6)+($Q465)+($R465*0.1)+($S465*6)+($T465*-2)</f>
        <v>0</v>
      </c>
      <c r="W465" s="16" t="e">
        <f>$P465/$H$33</f>
        <v>#DIV/0!</v>
      </c>
      <c r="X465" s="16" t="e">
        <f>$N465/$M465</f>
        <v>#DIV/0!</v>
      </c>
      <c r="Y465" s="16" t="e">
        <f>$R465/$Q465</f>
        <v>#DIV/0!</v>
      </c>
      <c r="Z465" s="16" t="e">
        <f>$I465/$H465</f>
        <v>#DIV/0!</v>
      </c>
      <c r="AA465" s="16" t="e">
        <f>$K465/$H465</f>
        <v>#DIV/0!</v>
      </c>
      <c r="AB465" s="16">
        <f>($J465*Cp_yd)+($K465*Cp_td)+($L465*Cint)+($M465*Ccar)+($N465*Cr_yd)+($O465*Cr_td)+(Q465*Crec)+($R465*Crec_yd)+($S465*Crec_td)+($T465*Cfmb)+($U465*Ctp_c)</f>
        <v>0</v>
      </c>
    </row>
    <row r="466" spans="1:28" x14ac:dyDescent="0.2">
      <c r="A466" s="15" t="s">
        <v>1123</v>
      </c>
      <c r="B466" s="15" t="s">
        <v>38</v>
      </c>
      <c r="C466" s="15">
        <v>26</v>
      </c>
      <c r="D466" s="15">
        <v>4</v>
      </c>
      <c r="E466" s="15" t="s">
        <v>415</v>
      </c>
      <c r="F466" s="15" t="s">
        <v>1075</v>
      </c>
      <c r="G466" s="15">
        <v>0</v>
      </c>
      <c r="H466" s="15">
        <v>0</v>
      </c>
      <c r="I466" s="15">
        <v>0</v>
      </c>
      <c r="J466" s="15">
        <v>0</v>
      </c>
      <c r="K466" s="15">
        <v>0</v>
      </c>
      <c r="L466" s="15">
        <v>0</v>
      </c>
      <c r="M466" s="15">
        <v>0</v>
      </c>
      <c r="N466" s="15">
        <v>0</v>
      </c>
      <c r="O466" s="15">
        <v>0</v>
      </c>
      <c r="P466" s="15">
        <v>0</v>
      </c>
      <c r="Q466" s="15">
        <v>0</v>
      </c>
      <c r="R466" s="15">
        <v>0</v>
      </c>
      <c r="S466" s="15">
        <v>0</v>
      </c>
      <c r="T466" s="15">
        <v>0</v>
      </c>
      <c r="U466" s="15">
        <v>0</v>
      </c>
      <c r="V466" s="15">
        <f>($J466*0.04)+($K466*4)+($L466*-2)+($N466*0.1)+($O466*6)+($Q466)+($R466*0.1)+($S466*6)+($T466*-2)</f>
        <v>0</v>
      </c>
      <c r="W466" s="15" t="e">
        <f>$P466/$H$33</f>
        <v>#DIV/0!</v>
      </c>
      <c r="X466" s="15" t="e">
        <f>$N466/$M466</f>
        <v>#DIV/0!</v>
      </c>
      <c r="Y466" s="15" t="e">
        <f>$R466/$Q466</f>
        <v>#DIV/0!</v>
      </c>
      <c r="Z466" s="15" t="e">
        <f>$I466/$H466</f>
        <v>#DIV/0!</v>
      </c>
      <c r="AA466" s="15" t="e">
        <f>$K466/$H466</f>
        <v>#DIV/0!</v>
      </c>
      <c r="AB466" s="15">
        <f>($J466*Cp_yd)+($K466*Cp_td)+($L466*Cint)+($M466*Ccar)+($N466*Cr_yd)+($O466*Cr_td)+(Q466*Crec)+($R466*Crec_yd)+($S466*Crec_td)+($T466*Cfmb)+($U466*Ctp_c)</f>
        <v>0</v>
      </c>
    </row>
    <row r="467" spans="1:28" x14ac:dyDescent="0.2">
      <c r="A467" s="16" t="s">
        <v>1124</v>
      </c>
      <c r="B467" s="16" t="s">
        <v>38</v>
      </c>
      <c r="C467" s="16">
        <v>22</v>
      </c>
      <c r="D467" s="16">
        <v>0</v>
      </c>
      <c r="E467" s="16" t="s">
        <v>362</v>
      </c>
      <c r="F467" s="16" t="s">
        <v>1075</v>
      </c>
      <c r="G467" s="16">
        <v>0</v>
      </c>
      <c r="H467" s="16">
        <v>0</v>
      </c>
      <c r="I467" s="16">
        <v>0</v>
      </c>
      <c r="J467" s="16">
        <v>0</v>
      </c>
      <c r="K467" s="16">
        <v>0</v>
      </c>
      <c r="L467" s="16">
        <v>0</v>
      </c>
      <c r="M467" s="16">
        <v>0</v>
      </c>
      <c r="N467" s="16">
        <v>0</v>
      </c>
      <c r="O467" s="16">
        <v>0</v>
      </c>
      <c r="P467" s="16">
        <v>0</v>
      </c>
      <c r="Q467" s="16">
        <v>0</v>
      </c>
      <c r="R467" s="16">
        <v>0</v>
      </c>
      <c r="S467" s="16">
        <v>0</v>
      </c>
      <c r="T467" s="16">
        <v>0</v>
      </c>
      <c r="U467" s="16">
        <v>0</v>
      </c>
      <c r="V467" s="16">
        <f>($J467*0.04)+($K467*4)+($L467*-2)+($N467*0.1)+($O467*6)+($Q467)+($R467*0.1)+($S467*6)+($T467*-2)</f>
        <v>0</v>
      </c>
      <c r="W467" s="16" t="e">
        <f>$P467/$H$33</f>
        <v>#DIV/0!</v>
      </c>
      <c r="X467" s="16" t="e">
        <f>$N467/$M467</f>
        <v>#DIV/0!</v>
      </c>
      <c r="Y467" s="16" t="e">
        <f>$R467/$Q467</f>
        <v>#DIV/0!</v>
      </c>
      <c r="Z467" s="16" t="e">
        <f>$I467/$H467</f>
        <v>#DIV/0!</v>
      </c>
      <c r="AA467" s="16" t="e">
        <f>$K467/$H467</f>
        <v>#DIV/0!</v>
      </c>
      <c r="AB467" s="16">
        <f>($J467*Cp_yd)+($K467*Cp_td)+($L467*Cint)+($M467*Ccar)+($N467*Cr_yd)+($O467*Cr_td)+(Q467*Crec)+($R467*Crec_yd)+($S467*Crec_td)+($T467*Cfmb)+($U467*Ctp_c)</f>
        <v>0</v>
      </c>
    </row>
    <row r="468" spans="1:28" x14ac:dyDescent="0.2">
      <c r="A468" s="15" t="s">
        <v>1145</v>
      </c>
      <c r="B468" s="15" t="s">
        <v>26</v>
      </c>
      <c r="C468" s="15">
        <v>25</v>
      </c>
      <c r="D468" s="15">
        <v>4</v>
      </c>
      <c r="E468" s="15" t="s">
        <v>153</v>
      </c>
      <c r="F468" s="15" t="s">
        <v>1127</v>
      </c>
      <c r="G468" s="15">
        <v>0</v>
      </c>
      <c r="H468" s="15">
        <v>0</v>
      </c>
      <c r="I468" s="15">
        <v>0</v>
      </c>
      <c r="J468" s="15">
        <v>0</v>
      </c>
      <c r="K468" s="15">
        <v>0</v>
      </c>
      <c r="L468" s="15">
        <v>0</v>
      </c>
      <c r="M468" s="15">
        <v>0</v>
      </c>
      <c r="N468" s="15">
        <v>0</v>
      </c>
      <c r="O468" s="15">
        <v>0</v>
      </c>
      <c r="P468" s="15">
        <v>0</v>
      </c>
      <c r="Q468" s="15">
        <v>0</v>
      </c>
      <c r="R468" s="15">
        <v>0</v>
      </c>
      <c r="S468" s="15">
        <v>0</v>
      </c>
      <c r="T468" s="15">
        <v>0</v>
      </c>
      <c r="U468" s="15">
        <v>0</v>
      </c>
      <c r="V468" s="15">
        <f>($J468*0.04)+($K468*4)+($L468*-2)+($N468*0.1)+($O468*6)+($Q468)+($R468*0.1)+($S468*6)+($T468*-2)</f>
        <v>0</v>
      </c>
      <c r="W468" s="15" t="e">
        <f>$P468/$H$33</f>
        <v>#DIV/0!</v>
      </c>
      <c r="X468" s="15" t="e">
        <f>$N468/$M468</f>
        <v>#DIV/0!</v>
      </c>
      <c r="Y468" s="15" t="e">
        <f>$R468/$Q468</f>
        <v>#DIV/0!</v>
      </c>
      <c r="Z468" s="15" t="e">
        <f>$I468/$H468</f>
        <v>#DIV/0!</v>
      </c>
      <c r="AA468" s="15" t="e">
        <f>$K468/$H468</f>
        <v>#DIV/0!</v>
      </c>
      <c r="AB468" s="15">
        <f>($J468*Cp_yd)+($K468*Cp_td)+($L468*Cint)+($M468*Ccar)+($N468*Cr_yd)+($O468*Cr_td)+(Q468*Crec)+($R468*Crec_yd)+($S468*Crec_td)+($T468*Cfmb)+($U468*Ctp_c)</f>
        <v>0</v>
      </c>
    </row>
    <row r="469" spans="1:28" x14ac:dyDescent="0.2">
      <c r="A469" s="16" t="s">
        <v>1146</v>
      </c>
      <c r="B469" s="16" t="s">
        <v>26</v>
      </c>
      <c r="C469" s="16">
        <v>26</v>
      </c>
      <c r="D469" s="16">
        <v>2</v>
      </c>
      <c r="E469" s="16" t="s">
        <v>559</v>
      </c>
      <c r="F469" s="16" t="s">
        <v>1127</v>
      </c>
      <c r="G469" s="16">
        <v>0</v>
      </c>
      <c r="H469" s="16">
        <v>0</v>
      </c>
      <c r="I469" s="16">
        <v>0</v>
      </c>
      <c r="J469" s="16">
        <v>0</v>
      </c>
      <c r="K469" s="16">
        <v>0</v>
      </c>
      <c r="L469" s="16">
        <v>0</v>
      </c>
      <c r="M469" s="16">
        <v>0</v>
      </c>
      <c r="N469" s="16">
        <v>0</v>
      </c>
      <c r="O469" s="16">
        <v>0</v>
      </c>
      <c r="P469" s="16">
        <v>0</v>
      </c>
      <c r="Q469" s="16">
        <v>0</v>
      </c>
      <c r="R469" s="16">
        <v>0</v>
      </c>
      <c r="S469" s="16">
        <v>0</v>
      </c>
      <c r="T469" s="16">
        <v>0</v>
      </c>
      <c r="U469" s="16">
        <v>0</v>
      </c>
      <c r="V469" s="16">
        <f>($J469*0.04)+($K469*4)+($L469*-2)+($N469*0.1)+($O469*6)+($Q469)+($R469*0.1)+($S469*6)+($T469*-2)</f>
        <v>0</v>
      </c>
      <c r="W469" s="16" t="e">
        <f>$P469/$H$33</f>
        <v>#DIV/0!</v>
      </c>
      <c r="X469" s="16" t="e">
        <f>$N469/$M469</f>
        <v>#DIV/0!</v>
      </c>
      <c r="Y469" s="16" t="e">
        <f>$R469/$Q469</f>
        <v>#DIV/0!</v>
      </c>
      <c r="Z469" s="16" t="e">
        <f>$I469/$H469</f>
        <v>#DIV/0!</v>
      </c>
      <c r="AA469" s="16" t="e">
        <f>$K469/$H469</f>
        <v>#DIV/0!</v>
      </c>
      <c r="AB469" s="16">
        <f>($J469*Cp_yd)+($K469*Cp_td)+($L469*Cint)+($M469*Ccar)+($N469*Cr_yd)+($O469*Cr_td)+(Q469*Crec)+($R469*Crec_yd)+($S469*Crec_td)+($T469*Cfmb)+($U469*Ctp_c)</f>
        <v>0</v>
      </c>
    </row>
    <row r="470" spans="1:28" x14ac:dyDescent="0.2">
      <c r="A470" s="15" t="s">
        <v>1148</v>
      </c>
      <c r="B470" s="15" t="s">
        <v>31</v>
      </c>
      <c r="C470" s="15">
        <v>21</v>
      </c>
      <c r="D470" s="15">
        <v>0</v>
      </c>
      <c r="E470" s="15" t="s">
        <v>307</v>
      </c>
      <c r="F470" s="15" t="s">
        <v>1127</v>
      </c>
      <c r="G470" s="15">
        <v>0</v>
      </c>
      <c r="H470" s="15">
        <v>0</v>
      </c>
      <c r="I470" s="15">
        <v>0</v>
      </c>
      <c r="J470" s="15">
        <v>0</v>
      </c>
      <c r="K470" s="15">
        <v>0</v>
      </c>
      <c r="L470" s="15">
        <v>0</v>
      </c>
      <c r="M470" s="15">
        <v>0</v>
      </c>
      <c r="N470" s="15">
        <v>0</v>
      </c>
      <c r="O470" s="15">
        <v>0</v>
      </c>
      <c r="P470" s="15">
        <v>0</v>
      </c>
      <c r="Q470" s="15">
        <v>0</v>
      </c>
      <c r="R470" s="15">
        <v>0</v>
      </c>
      <c r="S470" s="15">
        <v>0</v>
      </c>
      <c r="T470" s="15">
        <v>0</v>
      </c>
      <c r="U470" s="15">
        <v>0</v>
      </c>
      <c r="V470" s="15">
        <f>($J470*0.04)+($K470*4)+($L470*-2)+($N470*0.1)+($O470*6)+($Q470)+($R470*0.1)+($S470*6)+($T470*-2)</f>
        <v>0</v>
      </c>
      <c r="W470" s="15" t="e">
        <f>$P470/$H$33</f>
        <v>#DIV/0!</v>
      </c>
      <c r="X470" s="15" t="e">
        <f>$N470/$M470</f>
        <v>#DIV/0!</v>
      </c>
      <c r="Y470" s="15" t="e">
        <f>$R470/$Q470</f>
        <v>#DIV/0!</v>
      </c>
      <c r="Z470" s="15" t="e">
        <f>$I470/$H470</f>
        <v>#DIV/0!</v>
      </c>
      <c r="AA470" s="15" t="e">
        <f>$K470/$H470</f>
        <v>#DIV/0!</v>
      </c>
      <c r="AB470" s="15">
        <f>($J470*Cp_yd)+($K470*Cp_td)+($L470*Cint)+($M470*Ccar)+($N470*Cr_yd)+($O470*Cr_td)+(Q470*Crec)+($R470*Crec_yd)+($S470*Crec_td)+($T470*Cfmb)+($U470*Ctp_c)</f>
        <v>0</v>
      </c>
    </row>
    <row r="471" spans="1:28" x14ac:dyDescent="0.2">
      <c r="A471" s="16" t="s">
        <v>1149</v>
      </c>
      <c r="B471" s="16" t="s">
        <v>31</v>
      </c>
      <c r="C471" s="16">
        <v>24</v>
      </c>
      <c r="D471" s="16">
        <v>4</v>
      </c>
      <c r="E471" s="16" t="s">
        <v>86</v>
      </c>
      <c r="F471" s="16" t="s">
        <v>1127</v>
      </c>
      <c r="G471" s="16">
        <v>0</v>
      </c>
      <c r="H471" s="16">
        <v>0</v>
      </c>
      <c r="I471" s="16">
        <v>0</v>
      </c>
      <c r="J471" s="16">
        <v>0</v>
      </c>
      <c r="K471" s="16">
        <v>0</v>
      </c>
      <c r="L471" s="16">
        <v>0</v>
      </c>
      <c r="M471" s="16">
        <v>0</v>
      </c>
      <c r="N471" s="16">
        <v>0</v>
      </c>
      <c r="O471" s="16">
        <v>0</v>
      </c>
      <c r="P471" s="16">
        <v>0</v>
      </c>
      <c r="Q471" s="16">
        <v>0</v>
      </c>
      <c r="R471" s="16">
        <v>0</v>
      </c>
      <c r="S471" s="16">
        <v>0</v>
      </c>
      <c r="T471" s="16">
        <v>0</v>
      </c>
      <c r="U471" s="16">
        <v>0</v>
      </c>
      <c r="V471" s="16">
        <f>($J471*0.04)+($K471*4)+($L471*-2)+($N471*0.1)+($O471*6)+($Q471)+($R471*0.1)+($S471*6)+($T471*-2)</f>
        <v>0</v>
      </c>
      <c r="W471" s="16" t="e">
        <f>$P471/$H$33</f>
        <v>#DIV/0!</v>
      </c>
      <c r="X471" s="16" t="e">
        <f>$N471/$M471</f>
        <v>#DIV/0!</v>
      </c>
      <c r="Y471" s="16" t="e">
        <f>$R471/$Q471</f>
        <v>#DIV/0!</v>
      </c>
      <c r="Z471" s="16" t="e">
        <f>$I471/$H471</f>
        <v>#DIV/0!</v>
      </c>
      <c r="AA471" s="16" t="e">
        <f>$K471/$H471</f>
        <v>#DIV/0!</v>
      </c>
      <c r="AB471" s="16">
        <f>($J471*Cp_yd)+($K471*Cp_td)+($L471*Cint)+($M471*Ccar)+($N471*Cr_yd)+($O471*Cr_td)+(Q471*Crec)+($R471*Crec_yd)+($S471*Crec_td)+($T471*Cfmb)+($U471*Ctp_c)</f>
        <v>0</v>
      </c>
    </row>
    <row r="472" spans="1:28" x14ac:dyDescent="0.2">
      <c r="A472" s="15" t="s">
        <v>1150</v>
      </c>
      <c r="B472" s="15" t="s">
        <v>31</v>
      </c>
      <c r="C472" s="15">
        <v>23</v>
      </c>
      <c r="D472" s="15">
        <v>0</v>
      </c>
      <c r="E472" s="15" t="s">
        <v>82</v>
      </c>
      <c r="F472" s="15" t="s">
        <v>1127</v>
      </c>
      <c r="G472" s="15">
        <v>0</v>
      </c>
      <c r="H472" s="15">
        <v>0</v>
      </c>
      <c r="I472" s="15">
        <v>0</v>
      </c>
      <c r="J472" s="15">
        <v>0</v>
      </c>
      <c r="K472" s="15">
        <v>0</v>
      </c>
      <c r="L472" s="15">
        <v>0</v>
      </c>
      <c r="M472" s="15">
        <v>0</v>
      </c>
      <c r="N472" s="15">
        <v>0</v>
      </c>
      <c r="O472" s="15">
        <v>0</v>
      </c>
      <c r="P472" s="15">
        <v>0</v>
      </c>
      <c r="Q472" s="15">
        <v>0</v>
      </c>
      <c r="R472" s="15">
        <v>0</v>
      </c>
      <c r="S472" s="15">
        <v>0</v>
      </c>
      <c r="T472" s="15">
        <v>0</v>
      </c>
      <c r="U472" s="15">
        <v>0</v>
      </c>
      <c r="V472" s="15">
        <f>($J472*0.04)+($K472*4)+($L472*-2)+($N472*0.1)+($O472*6)+($Q472)+($R472*0.1)+($S472*6)+($T472*-2)</f>
        <v>0</v>
      </c>
      <c r="W472" s="15" t="e">
        <f>$P472/$H$33</f>
        <v>#DIV/0!</v>
      </c>
      <c r="X472" s="15" t="e">
        <f>$N472/$M472</f>
        <v>#DIV/0!</v>
      </c>
      <c r="Y472" s="15" t="e">
        <f>$R472/$Q472</f>
        <v>#DIV/0!</v>
      </c>
      <c r="Z472" s="15" t="e">
        <f>$I472/$H472</f>
        <v>#DIV/0!</v>
      </c>
      <c r="AA472" s="15" t="e">
        <f>$K472/$H472</f>
        <v>#DIV/0!</v>
      </c>
      <c r="AB472" s="15">
        <f>($J472*Cp_yd)+($K472*Cp_td)+($L472*Cint)+($M472*Ccar)+($N472*Cr_yd)+($O472*Cr_td)+(Q472*Crec)+($R472*Crec_yd)+($S472*Crec_td)+($T472*Cfmb)+($U472*Ctp_c)</f>
        <v>0</v>
      </c>
    </row>
    <row r="473" spans="1:28" x14ac:dyDescent="0.2">
      <c r="A473" s="16" t="s">
        <v>1151</v>
      </c>
      <c r="B473" s="16" t="s">
        <v>31</v>
      </c>
      <c r="C473" s="16">
        <v>26</v>
      </c>
      <c r="D473" s="16">
        <v>5</v>
      </c>
      <c r="E473" s="16" t="s">
        <v>86</v>
      </c>
      <c r="F473" s="16" t="s">
        <v>1127</v>
      </c>
      <c r="G473" s="16">
        <v>0</v>
      </c>
      <c r="H473" s="16">
        <v>0</v>
      </c>
      <c r="I473" s="16">
        <v>0</v>
      </c>
      <c r="J473" s="16">
        <v>0</v>
      </c>
      <c r="K473" s="16">
        <v>0</v>
      </c>
      <c r="L473" s="16">
        <v>0</v>
      </c>
      <c r="M473" s="16">
        <v>0</v>
      </c>
      <c r="N473" s="16">
        <v>0</v>
      </c>
      <c r="O473" s="16">
        <v>0</v>
      </c>
      <c r="P473" s="16">
        <v>0</v>
      </c>
      <c r="Q473" s="16">
        <v>0</v>
      </c>
      <c r="R473" s="16">
        <v>0</v>
      </c>
      <c r="S473" s="16">
        <v>0</v>
      </c>
      <c r="T473" s="16">
        <v>0</v>
      </c>
      <c r="U473" s="16">
        <v>0</v>
      </c>
      <c r="V473" s="16">
        <f>($J473*0.04)+($K473*4)+($L473*-2)+($N473*0.1)+($O473*6)+($Q473)+($R473*0.1)+($S473*6)+($T473*-2)</f>
        <v>0</v>
      </c>
      <c r="W473" s="16" t="e">
        <f>$P473/$H$33</f>
        <v>#DIV/0!</v>
      </c>
      <c r="X473" s="16" t="e">
        <f>$N473/$M473</f>
        <v>#DIV/0!</v>
      </c>
      <c r="Y473" s="16" t="e">
        <f>$R473/$Q473</f>
        <v>#DIV/0!</v>
      </c>
      <c r="Z473" s="16" t="e">
        <f>$I473/$H473</f>
        <v>#DIV/0!</v>
      </c>
      <c r="AA473" s="16" t="e">
        <f>$K473/$H473</f>
        <v>#DIV/0!</v>
      </c>
      <c r="AB473" s="16">
        <f>($J473*Cp_yd)+($K473*Cp_td)+($L473*Cint)+($M473*Ccar)+($N473*Cr_yd)+($O473*Cr_td)+(Q473*Crec)+($R473*Crec_yd)+($S473*Crec_td)+($T473*Cfmb)+($U473*Ctp_c)</f>
        <v>0</v>
      </c>
    </row>
    <row r="474" spans="1:28" x14ac:dyDescent="0.2">
      <c r="A474" s="15" t="s">
        <v>1152</v>
      </c>
      <c r="B474" s="15" t="s">
        <v>31</v>
      </c>
      <c r="C474" s="15">
        <v>31</v>
      </c>
      <c r="D474" s="15">
        <v>9</v>
      </c>
      <c r="E474" s="15" t="s">
        <v>62</v>
      </c>
      <c r="F474" s="15" t="s">
        <v>1127</v>
      </c>
      <c r="G474" s="15">
        <v>0</v>
      </c>
      <c r="H474" s="15">
        <v>0</v>
      </c>
      <c r="I474" s="15">
        <v>0</v>
      </c>
      <c r="J474" s="15">
        <v>0</v>
      </c>
      <c r="K474" s="15">
        <v>0</v>
      </c>
      <c r="L474" s="15">
        <v>0</v>
      </c>
      <c r="M474" s="15">
        <v>0</v>
      </c>
      <c r="N474" s="15">
        <v>0</v>
      </c>
      <c r="O474" s="15">
        <v>0</v>
      </c>
      <c r="P474" s="15">
        <v>0</v>
      </c>
      <c r="Q474" s="15">
        <v>0</v>
      </c>
      <c r="R474" s="15">
        <v>0</v>
      </c>
      <c r="S474" s="15">
        <v>0</v>
      </c>
      <c r="T474" s="15">
        <v>0</v>
      </c>
      <c r="U474" s="15">
        <v>0</v>
      </c>
      <c r="V474" s="15">
        <f>($J474*0.04)+($K474*4)+($L474*-2)+($N474*0.1)+($O474*6)+($Q474)+($R474*0.1)+($S474*6)+($T474*-2)</f>
        <v>0</v>
      </c>
      <c r="W474" s="15" t="e">
        <f>$P474/$H$33</f>
        <v>#DIV/0!</v>
      </c>
      <c r="X474" s="15" t="e">
        <f>$N474/$M474</f>
        <v>#DIV/0!</v>
      </c>
      <c r="Y474" s="15" t="e">
        <f>$R474/$Q474</f>
        <v>#DIV/0!</v>
      </c>
      <c r="Z474" s="15" t="e">
        <f>$I474/$H474</f>
        <v>#DIV/0!</v>
      </c>
      <c r="AA474" s="15" t="e">
        <f>$K474/$H474</f>
        <v>#DIV/0!</v>
      </c>
      <c r="AB474" s="15">
        <f>($J474*Cp_yd)+($K474*Cp_td)+($L474*Cint)+($M474*Ccar)+($N474*Cr_yd)+($O474*Cr_td)+(Q474*Crec)+($R474*Crec_yd)+($S474*Crec_td)+($T474*Cfmb)+($U474*Ctp_c)</f>
        <v>0</v>
      </c>
    </row>
    <row r="475" spans="1:28" x14ac:dyDescent="0.2">
      <c r="A475" s="16" t="s">
        <v>1154</v>
      </c>
      <c r="B475" s="16" t="s">
        <v>43</v>
      </c>
      <c r="C475" s="16">
        <v>27</v>
      </c>
      <c r="D475" s="16">
        <v>6</v>
      </c>
      <c r="E475" s="16" t="s">
        <v>397</v>
      </c>
      <c r="F475" s="16" t="s">
        <v>1127</v>
      </c>
      <c r="G475" s="16">
        <v>0</v>
      </c>
      <c r="H475" s="16">
        <v>0</v>
      </c>
      <c r="I475" s="16">
        <v>0</v>
      </c>
      <c r="J475" s="16">
        <v>0</v>
      </c>
      <c r="K475" s="16">
        <v>0</v>
      </c>
      <c r="L475" s="16">
        <v>0</v>
      </c>
      <c r="M475" s="16">
        <v>0</v>
      </c>
      <c r="N475" s="16">
        <v>0</v>
      </c>
      <c r="O475" s="16">
        <v>0</v>
      </c>
      <c r="P475" s="16">
        <v>0</v>
      </c>
      <c r="Q475" s="16">
        <v>0</v>
      </c>
      <c r="R475" s="16">
        <v>0</v>
      </c>
      <c r="S475" s="16">
        <v>0</v>
      </c>
      <c r="T475" s="16">
        <v>0</v>
      </c>
      <c r="U475" s="16">
        <v>0</v>
      </c>
      <c r="V475" s="16">
        <f>($J475*0.04)+($K475*4)+($L475*-2)+($N475*0.1)+($O475*6)+($Q475)+($R475*0.1)+($S475*6)+($T475*-2)</f>
        <v>0</v>
      </c>
      <c r="W475" s="16" t="e">
        <f>$P475/$H$33</f>
        <v>#DIV/0!</v>
      </c>
      <c r="X475" s="16" t="e">
        <f>$N475/$M475</f>
        <v>#DIV/0!</v>
      </c>
      <c r="Y475" s="16" t="e">
        <f>$R475/$Q475</f>
        <v>#DIV/0!</v>
      </c>
      <c r="Z475" s="16" t="e">
        <f>$I475/$H475</f>
        <v>#DIV/0!</v>
      </c>
      <c r="AA475" s="16" t="e">
        <f>$K475/$H475</f>
        <v>#DIV/0!</v>
      </c>
      <c r="AB475" s="16">
        <f>($J475*Cp_yd)+($K475*Cp_td)+($L475*Cint)+($M475*Ccar)+($N475*Cr_yd)+($O475*Cr_td)+(Q475*Crec)+($R475*Crec_yd)+($S475*Crec_td)+($T475*Cfmb)+($U475*Ctp_c)</f>
        <v>0</v>
      </c>
    </row>
    <row r="476" spans="1:28" x14ac:dyDescent="0.2">
      <c r="A476" s="15" t="s">
        <v>1155</v>
      </c>
      <c r="B476" s="15" t="s">
        <v>43</v>
      </c>
      <c r="C476" s="15">
        <v>30</v>
      </c>
      <c r="D476" s="15">
        <v>8</v>
      </c>
      <c r="E476" s="15" t="s">
        <v>391</v>
      </c>
      <c r="F476" s="15" t="s">
        <v>1127</v>
      </c>
      <c r="G476" s="15">
        <v>0</v>
      </c>
      <c r="H476" s="15">
        <v>0</v>
      </c>
      <c r="I476" s="15">
        <v>0</v>
      </c>
      <c r="J476" s="15">
        <v>0</v>
      </c>
      <c r="K476" s="15">
        <v>0</v>
      </c>
      <c r="L476" s="15">
        <v>0</v>
      </c>
      <c r="M476" s="15">
        <v>0</v>
      </c>
      <c r="N476" s="15">
        <v>0</v>
      </c>
      <c r="O476" s="15">
        <v>0</v>
      </c>
      <c r="P476" s="15">
        <v>0</v>
      </c>
      <c r="Q476" s="15">
        <v>0</v>
      </c>
      <c r="R476" s="15">
        <v>0</v>
      </c>
      <c r="S476" s="15">
        <v>0</v>
      </c>
      <c r="T476" s="15">
        <v>0</v>
      </c>
      <c r="U476" s="15">
        <v>0</v>
      </c>
      <c r="V476" s="15">
        <f>($J476*0.04)+($K476*4)+($L476*-2)+($N476*0.1)+($O476*6)+($Q476)+($R476*0.1)+($S476*6)+($T476*-2)</f>
        <v>0</v>
      </c>
      <c r="W476" s="15" t="e">
        <f>$P476/$H$33</f>
        <v>#DIV/0!</v>
      </c>
      <c r="X476" s="15" t="e">
        <f>$N476/$M476</f>
        <v>#DIV/0!</v>
      </c>
      <c r="Y476" s="15" t="e">
        <f>$R476/$Q476</f>
        <v>#DIV/0!</v>
      </c>
      <c r="Z476" s="15" t="e">
        <f>$I476/$H476</f>
        <v>#DIV/0!</v>
      </c>
      <c r="AA476" s="15" t="e">
        <f>$K476/$H476</f>
        <v>#DIV/0!</v>
      </c>
      <c r="AB476" s="15">
        <f>($J476*Cp_yd)+($K476*Cp_td)+($L476*Cint)+($M476*Ccar)+($N476*Cr_yd)+($O476*Cr_td)+(Q476*Crec)+($R476*Crec_yd)+($S476*Crec_td)+($T476*Cfmb)+($U476*Ctp_c)</f>
        <v>0</v>
      </c>
    </row>
    <row r="477" spans="1:28" x14ac:dyDescent="0.2">
      <c r="A477" s="16" t="s">
        <v>1156</v>
      </c>
      <c r="B477" s="16" t="s">
        <v>43</v>
      </c>
      <c r="C477" s="16">
        <v>24</v>
      </c>
      <c r="D477" s="16">
        <v>0</v>
      </c>
      <c r="E477" s="16" t="s">
        <v>629</v>
      </c>
      <c r="F477" s="16" t="s">
        <v>1127</v>
      </c>
      <c r="G477" s="16">
        <v>0</v>
      </c>
      <c r="H477" s="16">
        <v>0</v>
      </c>
      <c r="I477" s="16">
        <v>0</v>
      </c>
      <c r="J477" s="16">
        <v>0</v>
      </c>
      <c r="K477" s="16">
        <v>0</v>
      </c>
      <c r="L477" s="16">
        <v>0</v>
      </c>
      <c r="M477" s="16">
        <v>0</v>
      </c>
      <c r="N477" s="16">
        <v>0</v>
      </c>
      <c r="O477" s="16">
        <v>0</v>
      </c>
      <c r="P477" s="16">
        <v>0</v>
      </c>
      <c r="Q477" s="16">
        <v>0</v>
      </c>
      <c r="R477" s="16">
        <v>0</v>
      </c>
      <c r="S477" s="16">
        <v>0</v>
      </c>
      <c r="T477" s="16">
        <v>0</v>
      </c>
      <c r="U477" s="16">
        <v>0</v>
      </c>
      <c r="V477" s="16">
        <f>($J477*0.04)+($K477*4)+($L477*-2)+($N477*0.1)+($O477*6)+($Q477)+($R477*0.1)+($S477*6)+($T477*-2)</f>
        <v>0</v>
      </c>
      <c r="W477" s="16" t="e">
        <f>$P477/$H$33</f>
        <v>#DIV/0!</v>
      </c>
      <c r="X477" s="16" t="e">
        <f>$N477/$M477</f>
        <v>#DIV/0!</v>
      </c>
      <c r="Y477" s="16" t="e">
        <f>$R477/$Q477</f>
        <v>#DIV/0!</v>
      </c>
      <c r="Z477" s="16" t="e">
        <f>$I477/$H477</f>
        <v>#DIV/0!</v>
      </c>
      <c r="AA477" s="16" t="e">
        <f>$K477/$H477</f>
        <v>#DIV/0!</v>
      </c>
      <c r="AB477" s="16">
        <f>($J477*Cp_yd)+($K477*Cp_td)+($L477*Cint)+($M477*Ccar)+($N477*Cr_yd)+($O477*Cr_td)+(Q477*Crec)+($R477*Crec_yd)+($S477*Crec_td)+($T477*Cfmb)+($U477*Ctp_c)</f>
        <v>0</v>
      </c>
    </row>
    <row r="478" spans="1:28" x14ac:dyDescent="0.2">
      <c r="A478" s="15" t="s">
        <v>1157</v>
      </c>
      <c r="B478" s="15" t="s">
        <v>43</v>
      </c>
      <c r="C478" s="15">
        <v>26</v>
      </c>
      <c r="D478" s="15">
        <v>5</v>
      </c>
      <c r="E478" s="15" t="s">
        <v>511</v>
      </c>
      <c r="F478" s="15" t="s">
        <v>1127</v>
      </c>
      <c r="G478" s="15">
        <v>0</v>
      </c>
      <c r="H478" s="15">
        <v>0</v>
      </c>
      <c r="I478" s="15">
        <v>0</v>
      </c>
      <c r="J478" s="15">
        <v>0</v>
      </c>
      <c r="K478" s="15">
        <v>0</v>
      </c>
      <c r="L478" s="15">
        <v>0</v>
      </c>
      <c r="M478" s="15">
        <v>0</v>
      </c>
      <c r="N478" s="15">
        <v>0</v>
      </c>
      <c r="O478" s="15">
        <v>0</v>
      </c>
      <c r="P478" s="15">
        <v>0</v>
      </c>
      <c r="Q478" s="15">
        <v>0</v>
      </c>
      <c r="R478" s="15">
        <v>0</v>
      </c>
      <c r="S478" s="15">
        <v>0</v>
      </c>
      <c r="T478" s="15">
        <v>0</v>
      </c>
      <c r="U478" s="15">
        <v>0</v>
      </c>
      <c r="V478" s="15">
        <f>($J478*0.04)+($K478*4)+($L478*-2)+($N478*0.1)+($O478*6)+($Q478)+($R478*0.1)+($S478*6)+($T478*-2)</f>
        <v>0</v>
      </c>
      <c r="W478" s="15" t="e">
        <f>$P478/$H$33</f>
        <v>#DIV/0!</v>
      </c>
      <c r="X478" s="15" t="e">
        <f>$N478/$M478</f>
        <v>#DIV/0!</v>
      </c>
      <c r="Y478" s="15" t="e">
        <f>$R478/$Q478</f>
        <v>#DIV/0!</v>
      </c>
      <c r="Z478" s="15" t="e">
        <f>$I478/$H478</f>
        <v>#DIV/0!</v>
      </c>
      <c r="AA478" s="15" t="e">
        <f>$K478/$H478</f>
        <v>#DIV/0!</v>
      </c>
      <c r="AB478" s="15">
        <f>($J478*Cp_yd)+($K478*Cp_td)+($L478*Cint)+($M478*Ccar)+($N478*Cr_yd)+($O478*Cr_td)+(Q478*Crec)+($R478*Crec_yd)+($S478*Crec_td)+($T478*Cfmb)+($U478*Ctp_c)</f>
        <v>0</v>
      </c>
    </row>
    <row r="479" spans="1:28" x14ac:dyDescent="0.2">
      <c r="A479" s="16" t="s">
        <v>1158</v>
      </c>
      <c r="B479" s="16" t="s">
        <v>43</v>
      </c>
      <c r="C479" s="16">
        <v>28</v>
      </c>
      <c r="D479" s="16">
        <v>5</v>
      </c>
      <c r="E479" s="16" t="s">
        <v>294</v>
      </c>
      <c r="F479" s="16" t="s">
        <v>1127</v>
      </c>
      <c r="G479" s="16">
        <v>0</v>
      </c>
      <c r="H479" s="16">
        <v>0</v>
      </c>
      <c r="I479" s="16">
        <v>0</v>
      </c>
      <c r="J479" s="16">
        <v>0</v>
      </c>
      <c r="K479" s="16">
        <v>0</v>
      </c>
      <c r="L479" s="16">
        <v>0</v>
      </c>
      <c r="M479" s="16">
        <v>0</v>
      </c>
      <c r="N479" s="16">
        <v>0</v>
      </c>
      <c r="O479" s="16">
        <v>0</v>
      </c>
      <c r="P479" s="16">
        <v>0</v>
      </c>
      <c r="Q479" s="16">
        <v>0</v>
      </c>
      <c r="R479" s="16">
        <v>0</v>
      </c>
      <c r="S479" s="16">
        <v>0</v>
      </c>
      <c r="T479" s="16">
        <v>0</v>
      </c>
      <c r="U479" s="16">
        <v>0</v>
      </c>
      <c r="V479" s="16">
        <f>($J479*0.04)+($K479*4)+($L479*-2)+($N479*0.1)+($O479*6)+($Q479)+($R479*0.1)+($S479*6)+($T479*-2)</f>
        <v>0</v>
      </c>
      <c r="W479" s="16" t="e">
        <f>$P479/$H$33</f>
        <v>#DIV/0!</v>
      </c>
      <c r="X479" s="16" t="e">
        <f>$N479/$M479</f>
        <v>#DIV/0!</v>
      </c>
      <c r="Y479" s="16" t="e">
        <f>$R479/$Q479</f>
        <v>#DIV/0!</v>
      </c>
      <c r="Z479" s="16" t="e">
        <f>$I479/$H479</f>
        <v>#DIV/0!</v>
      </c>
      <c r="AA479" s="16" t="e">
        <f>$K479/$H479</f>
        <v>#DIV/0!</v>
      </c>
      <c r="AB479" s="16">
        <f>($J479*Cp_yd)+($K479*Cp_td)+($L479*Cint)+($M479*Ccar)+($N479*Cr_yd)+($O479*Cr_td)+(Q479*Crec)+($R479*Crec_yd)+($S479*Crec_td)+($T479*Cfmb)+($U479*Ctp_c)</f>
        <v>0</v>
      </c>
    </row>
    <row r="480" spans="1:28" x14ac:dyDescent="0.2">
      <c r="A480" s="15" t="s">
        <v>1159</v>
      </c>
      <c r="B480" s="15" t="s">
        <v>43</v>
      </c>
      <c r="C480" s="15">
        <v>24</v>
      </c>
      <c r="D480" s="15">
        <v>0</v>
      </c>
      <c r="E480" s="15" t="s">
        <v>1068</v>
      </c>
      <c r="F480" s="15" t="s">
        <v>1127</v>
      </c>
      <c r="G480" s="15">
        <v>0</v>
      </c>
      <c r="H480" s="15">
        <v>0</v>
      </c>
      <c r="I480" s="15">
        <v>0</v>
      </c>
      <c r="J480" s="15">
        <v>0</v>
      </c>
      <c r="K480" s="15">
        <v>0</v>
      </c>
      <c r="L480" s="15">
        <v>0</v>
      </c>
      <c r="M480" s="15">
        <v>0</v>
      </c>
      <c r="N480" s="15">
        <v>0</v>
      </c>
      <c r="O480" s="15">
        <v>0</v>
      </c>
      <c r="P480" s="15">
        <v>0</v>
      </c>
      <c r="Q480" s="15">
        <v>0</v>
      </c>
      <c r="R480" s="15">
        <v>0</v>
      </c>
      <c r="S480" s="15">
        <v>0</v>
      </c>
      <c r="T480" s="15">
        <v>0</v>
      </c>
      <c r="U480" s="15">
        <v>0</v>
      </c>
      <c r="V480" s="15">
        <f>($J480*0.04)+($K480*4)+($L480*-2)+($N480*0.1)+($O480*6)+($Q480)+($R480*0.1)+($S480*6)+($T480*-2)</f>
        <v>0</v>
      </c>
      <c r="W480" s="15" t="e">
        <f>$P480/$H$33</f>
        <v>#DIV/0!</v>
      </c>
      <c r="X480" s="15" t="e">
        <f>$N480/$M480</f>
        <v>#DIV/0!</v>
      </c>
      <c r="Y480" s="15" t="e">
        <f>$R480/$Q480</f>
        <v>#DIV/0!</v>
      </c>
      <c r="Z480" s="15" t="e">
        <f>$I480/$H480</f>
        <v>#DIV/0!</v>
      </c>
      <c r="AA480" s="15" t="e">
        <f>$K480/$H480</f>
        <v>#DIV/0!</v>
      </c>
      <c r="AB480" s="15">
        <f>($J480*Cp_yd)+($K480*Cp_td)+($L480*Cint)+($M480*Ccar)+($N480*Cr_yd)+($O480*Cr_td)+(Q480*Crec)+($R480*Crec_yd)+($S480*Crec_td)+($T480*Cfmb)+($U480*Ctp_c)</f>
        <v>0</v>
      </c>
    </row>
    <row r="481" spans="1:28" x14ac:dyDescent="0.2">
      <c r="A481" s="16" t="s">
        <v>1160</v>
      </c>
      <c r="B481" s="16" t="s">
        <v>43</v>
      </c>
      <c r="C481" s="16">
        <v>23</v>
      </c>
      <c r="D481" s="16">
        <v>2</v>
      </c>
      <c r="E481" s="16" t="s">
        <v>511</v>
      </c>
      <c r="F481" s="16" t="s">
        <v>1127</v>
      </c>
      <c r="G481" s="16">
        <v>0</v>
      </c>
      <c r="H481" s="16">
        <v>0</v>
      </c>
      <c r="I481" s="16">
        <v>0</v>
      </c>
      <c r="J481" s="16">
        <v>0</v>
      </c>
      <c r="K481" s="16">
        <v>0</v>
      </c>
      <c r="L481" s="16">
        <v>0</v>
      </c>
      <c r="M481" s="16">
        <v>0</v>
      </c>
      <c r="N481" s="16">
        <v>0</v>
      </c>
      <c r="O481" s="16">
        <v>0</v>
      </c>
      <c r="P481" s="16">
        <v>0</v>
      </c>
      <c r="Q481" s="16">
        <v>0</v>
      </c>
      <c r="R481" s="16">
        <v>0</v>
      </c>
      <c r="S481" s="16">
        <v>0</v>
      </c>
      <c r="T481" s="16">
        <v>0</v>
      </c>
      <c r="U481" s="16">
        <v>0</v>
      </c>
      <c r="V481" s="16">
        <f>($J481*0.04)+($K481*4)+($L481*-2)+($N481*0.1)+($O481*6)+($Q481)+($R481*0.1)+($S481*6)+($T481*-2)</f>
        <v>0</v>
      </c>
      <c r="W481" s="16" t="e">
        <f>$P481/$H$33</f>
        <v>#DIV/0!</v>
      </c>
      <c r="X481" s="16" t="e">
        <f>$N481/$M481</f>
        <v>#DIV/0!</v>
      </c>
      <c r="Y481" s="16" t="e">
        <f>$R481/$Q481</f>
        <v>#DIV/0!</v>
      </c>
      <c r="Z481" s="16" t="e">
        <f>$I481/$H481</f>
        <v>#DIV/0!</v>
      </c>
      <c r="AA481" s="16" t="e">
        <f>$K481/$H481</f>
        <v>#DIV/0!</v>
      </c>
      <c r="AB481" s="16">
        <f>($J481*Cp_yd)+($K481*Cp_td)+($L481*Cint)+($M481*Ccar)+($N481*Cr_yd)+($O481*Cr_td)+(Q481*Crec)+($R481*Crec_yd)+($S481*Crec_td)+($T481*Cfmb)+($U481*Ctp_c)</f>
        <v>0</v>
      </c>
    </row>
    <row r="482" spans="1:28" x14ac:dyDescent="0.2">
      <c r="A482" s="15" t="s">
        <v>1161</v>
      </c>
      <c r="B482" s="15" t="s">
        <v>43</v>
      </c>
      <c r="C482" s="15">
        <v>29</v>
      </c>
      <c r="D482" s="15">
        <v>8</v>
      </c>
      <c r="E482" s="15" t="s">
        <v>1162</v>
      </c>
      <c r="F482" s="15" t="s">
        <v>1127</v>
      </c>
      <c r="G482" s="15">
        <v>0</v>
      </c>
      <c r="H482" s="15">
        <v>0</v>
      </c>
      <c r="I482" s="15">
        <v>0</v>
      </c>
      <c r="J482" s="15">
        <v>0</v>
      </c>
      <c r="K482" s="15">
        <v>0</v>
      </c>
      <c r="L482" s="15">
        <v>0</v>
      </c>
      <c r="M482" s="15">
        <v>0</v>
      </c>
      <c r="N482" s="15">
        <v>0</v>
      </c>
      <c r="O482" s="15">
        <v>0</v>
      </c>
      <c r="P482" s="15">
        <v>0</v>
      </c>
      <c r="Q482" s="15">
        <v>0</v>
      </c>
      <c r="R482" s="15">
        <v>0</v>
      </c>
      <c r="S482" s="15">
        <v>0</v>
      </c>
      <c r="T482" s="15">
        <v>0</v>
      </c>
      <c r="U482" s="15">
        <v>0</v>
      </c>
      <c r="V482" s="15">
        <f>($J482*0.04)+($K482*4)+($L482*-2)+($N482*0.1)+($O482*6)+($Q482)+($R482*0.1)+($S482*6)+($T482*-2)</f>
        <v>0</v>
      </c>
      <c r="W482" s="15" t="e">
        <f>$P482/$H$33</f>
        <v>#DIV/0!</v>
      </c>
      <c r="X482" s="15" t="e">
        <f>$N482/$M482</f>
        <v>#DIV/0!</v>
      </c>
      <c r="Y482" s="15" t="e">
        <f>$R482/$Q482</f>
        <v>#DIV/0!</v>
      </c>
      <c r="Z482" s="15" t="e">
        <f>$I482/$H482</f>
        <v>#DIV/0!</v>
      </c>
      <c r="AA482" s="15" t="e">
        <f>$K482/$H482</f>
        <v>#DIV/0!</v>
      </c>
      <c r="AB482" s="15">
        <f>($J482*Cp_yd)+($K482*Cp_td)+($L482*Cint)+($M482*Ccar)+($N482*Cr_yd)+($O482*Cr_td)+(Q482*Crec)+($R482*Crec_yd)+($S482*Crec_td)+($T482*Cfmb)+($U482*Ctp_c)</f>
        <v>0</v>
      </c>
    </row>
    <row r="483" spans="1:28" x14ac:dyDescent="0.2">
      <c r="A483" s="16" t="s">
        <v>1163</v>
      </c>
      <c r="B483" s="16" t="s">
        <v>43</v>
      </c>
      <c r="C483" s="16">
        <v>24</v>
      </c>
      <c r="D483" s="16">
        <v>1</v>
      </c>
      <c r="E483" s="16" t="s">
        <v>240</v>
      </c>
      <c r="F483" s="16" t="s">
        <v>1127</v>
      </c>
      <c r="G483" s="16">
        <v>0</v>
      </c>
      <c r="H483" s="16">
        <v>0</v>
      </c>
      <c r="I483" s="16">
        <v>0</v>
      </c>
      <c r="J483" s="16">
        <v>0</v>
      </c>
      <c r="K483" s="16">
        <v>0</v>
      </c>
      <c r="L483" s="16">
        <v>0</v>
      </c>
      <c r="M483" s="16">
        <v>0</v>
      </c>
      <c r="N483" s="16">
        <v>0</v>
      </c>
      <c r="O483" s="16">
        <v>0</v>
      </c>
      <c r="P483" s="16">
        <v>0</v>
      </c>
      <c r="Q483" s="16">
        <v>0</v>
      </c>
      <c r="R483" s="16">
        <v>0</v>
      </c>
      <c r="S483" s="16">
        <v>0</v>
      </c>
      <c r="T483" s="16">
        <v>0</v>
      </c>
      <c r="U483" s="16">
        <v>0</v>
      </c>
      <c r="V483" s="16">
        <f>($J483*0.04)+($K483*4)+($L483*-2)+($N483*0.1)+($O483*6)+($Q483)+($R483*0.1)+($S483*6)+($T483*-2)</f>
        <v>0</v>
      </c>
      <c r="W483" s="16" t="e">
        <f>$P483/$H$33</f>
        <v>#DIV/0!</v>
      </c>
      <c r="X483" s="16" t="e">
        <f>$N483/$M483</f>
        <v>#DIV/0!</v>
      </c>
      <c r="Y483" s="16" t="e">
        <f>$R483/$Q483</f>
        <v>#DIV/0!</v>
      </c>
      <c r="Z483" s="16" t="e">
        <f>$I483/$H483</f>
        <v>#DIV/0!</v>
      </c>
      <c r="AA483" s="16" t="e">
        <f>$K483/$H483</f>
        <v>#DIV/0!</v>
      </c>
      <c r="AB483" s="16">
        <f>($J483*Cp_yd)+($K483*Cp_td)+($L483*Cint)+($M483*Ccar)+($N483*Cr_yd)+($O483*Cr_td)+(Q483*Crec)+($R483*Crec_yd)+($S483*Crec_td)+($T483*Cfmb)+($U483*Ctp_c)</f>
        <v>0</v>
      </c>
    </row>
    <row r="484" spans="1:28" x14ac:dyDescent="0.2">
      <c r="A484" s="15" t="s">
        <v>1164</v>
      </c>
      <c r="B484" s="15" t="s">
        <v>43</v>
      </c>
      <c r="C484" s="15">
        <v>24</v>
      </c>
      <c r="D484" s="15">
        <v>3</v>
      </c>
      <c r="E484" s="15" t="s">
        <v>153</v>
      </c>
      <c r="F484" s="15" t="s">
        <v>1127</v>
      </c>
      <c r="G484" s="15">
        <v>0</v>
      </c>
      <c r="H484" s="15">
        <v>0</v>
      </c>
      <c r="I484" s="15">
        <v>0</v>
      </c>
      <c r="J484" s="15">
        <v>0</v>
      </c>
      <c r="K484" s="15">
        <v>0</v>
      </c>
      <c r="L484" s="15">
        <v>0</v>
      </c>
      <c r="M484" s="15">
        <v>0</v>
      </c>
      <c r="N484" s="15">
        <v>0</v>
      </c>
      <c r="O484" s="15">
        <v>0</v>
      </c>
      <c r="P484" s="15">
        <v>0</v>
      </c>
      <c r="Q484" s="15">
        <v>0</v>
      </c>
      <c r="R484" s="15">
        <v>0</v>
      </c>
      <c r="S484" s="15">
        <v>0</v>
      </c>
      <c r="T484" s="15">
        <v>0</v>
      </c>
      <c r="U484" s="15">
        <v>0</v>
      </c>
      <c r="V484" s="15">
        <f>($J484*0.04)+($K484*4)+($L484*-2)+($N484*0.1)+($O484*6)+($Q484)+($R484*0.1)+($S484*6)+($T484*-2)</f>
        <v>0</v>
      </c>
      <c r="W484" s="15" t="e">
        <f>$P484/$H$33</f>
        <v>#DIV/0!</v>
      </c>
      <c r="X484" s="15" t="e">
        <f>$N484/$M484</f>
        <v>#DIV/0!</v>
      </c>
      <c r="Y484" s="15" t="e">
        <f>$R484/$Q484</f>
        <v>#DIV/0!</v>
      </c>
      <c r="Z484" s="15" t="e">
        <f>$I484/$H484</f>
        <v>#DIV/0!</v>
      </c>
      <c r="AA484" s="15" t="e">
        <f>$K484/$H484</f>
        <v>#DIV/0!</v>
      </c>
      <c r="AB484" s="15">
        <f>($J484*Cp_yd)+($K484*Cp_td)+($L484*Cint)+($M484*Ccar)+($N484*Cr_yd)+($O484*Cr_td)+(Q484*Crec)+($R484*Crec_yd)+($S484*Crec_td)+($T484*Cfmb)+($U484*Ctp_c)</f>
        <v>0</v>
      </c>
    </row>
    <row r="485" spans="1:28" x14ac:dyDescent="0.2">
      <c r="A485" s="16" t="s">
        <v>1166</v>
      </c>
      <c r="B485" s="16" t="s">
        <v>38</v>
      </c>
      <c r="C485" s="16">
        <v>25</v>
      </c>
      <c r="D485" s="16">
        <v>2</v>
      </c>
      <c r="E485" s="16" t="s">
        <v>1167</v>
      </c>
      <c r="F485" s="16" t="s">
        <v>1127</v>
      </c>
      <c r="G485" s="16">
        <v>0</v>
      </c>
      <c r="H485" s="16">
        <v>0</v>
      </c>
      <c r="I485" s="16">
        <v>0</v>
      </c>
      <c r="J485" s="16">
        <v>0</v>
      </c>
      <c r="K485" s="16">
        <v>0</v>
      </c>
      <c r="L485" s="16">
        <v>0</v>
      </c>
      <c r="M485" s="16">
        <v>0</v>
      </c>
      <c r="N485" s="16">
        <v>0</v>
      </c>
      <c r="O485" s="16">
        <v>0</v>
      </c>
      <c r="P485" s="16">
        <v>0</v>
      </c>
      <c r="Q485" s="16">
        <v>0</v>
      </c>
      <c r="R485" s="16">
        <v>0</v>
      </c>
      <c r="S485" s="16">
        <v>0</v>
      </c>
      <c r="T485" s="16">
        <v>0</v>
      </c>
      <c r="U485" s="16">
        <v>0</v>
      </c>
      <c r="V485" s="16">
        <f>($J485*0.04)+($K485*4)+($L485*-2)+($N485*0.1)+($O485*6)+($Q485)+($R485*0.1)+($S485*6)+($T485*-2)</f>
        <v>0</v>
      </c>
      <c r="W485" s="16" t="e">
        <f>$P485/$H$33</f>
        <v>#DIV/0!</v>
      </c>
      <c r="X485" s="16" t="e">
        <f>$N485/$M485</f>
        <v>#DIV/0!</v>
      </c>
      <c r="Y485" s="16" t="e">
        <f>$R485/$Q485</f>
        <v>#DIV/0!</v>
      </c>
      <c r="Z485" s="16" t="e">
        <f>$I485/$H485</f>
        <v>#DIV/0!</v>
      </c>
      <c r="AA485" s="16" t="e">
        <f>$K485/$H485</f>
        <v>#DIV/0!</v>
      </c>
      <c r="AB485" s="16">
        <f>($J485*Cp_yd)+($K485*Cp_td)+($L485*Cint)+($M485*Ccar)+($N485*Cr_yd)+($O485*Cr_td)+(Q485*Crec)+($R485*Crec_yd)+($S485*Crec_td)+($T485*Cfmb)+($U485*Ctp_c)</f>
        <v>0</v>
      </c>
    </row>
    <row r="486" spans="1:28" x14ac:dyDescent="0.2">
      <c r="A486" s="15" t="s">
        <v>1168</v>
      </c>
      <c r="B486" s="15" t="s">
        <v>38</v>
      </c>
      <c r="C486" s="15">
        <v>22</v>
      </c>
      <c r="D486" s="15">
        <v>0</v>
      </c>
      <c r="E486" s="15" t="s">
        <v>102</v>
      </c>
      <c r="F486" s="15" t="s">
        <v>1127</v>
      </c>
      <c r="G486" s="15">
        <v>0</v>
      </c>
      <c r="H486" s="15">
        <v>0</v>
      </c>
      <c r="I486" s="15">
        <v>0</v>
      </c>
      <c r="J486" s="15">
        <v>0</v>
      </c>
      <c r="K486" s="15">
        <v>0</v>
      </c>
      <c r="L486" s="15">
        <v>0</v>
      </c>
      <c r="M486" s="15">
        <v>0</v>
      </c>
      <c r="N486" s="15">
        <v>0</v>
      </c>
      <c r="O486" s="15">
        <v>0</v>
      </c>
      <c r="P486" s="15">
        <v>0</v>
      </c>
      <c r="Q486" s="15">
        <v>0</v>
      </c>
      <c r="R486" s="15">
        <v>0</v>
      </c>
      <c r="S486" s="15">
        <v>0</v>
      </c>
      <c r="T486" s="15">
        <v>0</v>
      </c>
      <c r="U486" s="15">
        <v>0</v>
      </c>
      <c r="V486" s="15">
        <f>($J486*0.04)+($K486*4)+($L486*-2)+($N486*0.1)+($O486*6)+($Q486)+($R486*0.1)+($S486*6)+($T486*-2)</f>
        <v>0</v>
      </c>
      <c r="W486" s="15" t="e">
        <f>$P486/$H$33</f>
        <v>#DIV/0!</v>
      </c>
      <c r="X486" s="15" t="e">
        <f>$N486/$M486</f>
        <v>#DIV/0!</v>
      </c>
      <c r="Y486" s="15" t="e">
        <f>$R486/$Q486</f>
        <v>#DIV/0!</v>
      </c>
      <c r="Z486" s="15" t="e">
        <f>$I486/$H486</f>
        <v>#DIV/0!</v>
      </c>
      <c r="AA486" s="15" t="e">
        <f>$K486/$H486</f>
        <v>#DIV/0!</v>
      </c>
      <c r="AB486" s="15">
        <f>($J486*Cp_yd)+($K486*Cp_td)+($L486*Cint)+($M486*Ccar)+($N486*Cr_yd)+($O486*Cr_td)+(Q486*Crec)+($R486*Crec_yd)+($S486*Crec_td)+($T486*Cfmb)+($U486*Ctp_c)</f>
        <v>0</v>
      </c>
    </row>
    <row r="487" spans="1:28" x14ac:dyDescent="0.2">
      <c r="A487" s="16" t="s">
        <v>1169</v>
      </c>
      <c r="B487" s="16" t="s">
        <v>38</v>
      </c>
      <c r="C487" s="16">
        <v>23</v>
      </c>
      <c r="D487" s="16">
        <v>0</v>
      </c>
      <c r="E487" s="16" t="s">
        <v>1170</v>
      </c>
      <c r="F487" s="16" t="s">
        <v>1127</v>
      </c>
      <c r="G487" s="16">
        <v>0</v>
      </c>
      <c r="H487" s="16">
        <v>0</v>
      </c>
      <c r="I487" s="16">
        <v>0</v>
      </c>
      <c r="J487" s="16">
        <v>0</v>
      </c>
      <c r="K487" s="16">
        <v>0</v>
      </c>
      <c r="L487" s="16">
        <v>0</v>
      </c>
      <c r="M487" s="16">
        <v>0</v>
      </c>
      <c r="N487" s="16">
        <v>0</v>
      </c>
      <c r="O487" s="16">
        <v>0</v>
      </c>
      <c r="P487" s="16">
        <v>0</v>
      </c>
      <c r="Q487" s="16">
        <v>0</v>
      </c>
      <c r="R487" s="16">
        <v>0</v>
      </c>
      <c r="S487" s="16">
        <v>0</v>
      </c>
      <c r="T487" s="16">
        <v>0</v>
      </c>
      <c r="U487" s="16">
        <v>0</v>
      </c>
      <c r="V487" s="16">
        <f>($J487*0.04)+($K487*4)+($L487*-2)+($N487*0.1)+($O487*6)+($Q487)+($R487*0.1)+($S487*6)+($T487*-2)</f>
        <v>0</v>
      </c>
      <c r="W487" s="16" t="e">
        <f>$P487/$H$33</f>
        <v>#DIV/0!</v>
      </c>
      <c r="X487" s="16" t="e">
        <f>$N487/$M487</f>
        <v>#DIV/0!</v>
      </c>
      <c r="Y487" s="16" t="e">
        <f>$R487/$Q487</f>
        <v>#DIV/0!</v>
      </c>
      <c r="Z487" s="16" t="e">
        <f>$I487/$H487</f>
        <v>#DIV/0!</v>
      </c>
      <c r="AA487" s="16" t="e">
        <f>$K487/$H487</f>
        <v>#DIV/0!</v>
      </c>
      <c r="AB487" s="16">
        <f>($J487*Cp_yd)+($K487*Cp_td)+($L487*Cint)+($M487*Ccar)+($N487*Cr_yd)+($O487*Cr_td)+(Q487*Crec)+($R487*Crec_yd)+($S487*Crec_td)+($T487*Cfmb)+($U487*Ctp_c)</f>
        <v>0</v>
      </c>
    </row>
    <row r="488" spans="1:28" x14ac:dyDescent="0.2">
      <c r="A488" s="15" t="s">
        <v>1171</v>
      </c>
      <c r="B488" s="15" t="s">
        <v>38</v>
      </c>
      <c r="C488" s="15">
        <v>30</v>
      </c>
      <c r="D488" s="15">
        <v>9</v>
      </c>
      <c r="E488" s="15" t="s">
        <v>215</v>
      </c>
      <c r="F488" s="15" t="s">
        <v>1127</v>
      </c>
      <c r="G488" s="15">
        <v>0</v>
      </c>
      <c r="H488" s="15">
        <v>0</v>
      </c>
      <c r="I488" s="15">
        <v>0</v>
      </c>
      <c r="J488" s="15">
        <v>0</v>
      </c>
      <c r="K488" s="15">
        <v>0</v>
      </c>
      <c r="L488" s="15">
        <v>0</v>
      </c>
      <c r="M488" s="15">
        <v>0</v>
      </c>
      <c r="N488" s="15">
        <v>0</v>
      </c>
      <c r="O488" s="15">
        <v>0</v>
      </c>
      <c r="P488" s="15">
        <v>0</v>
      </c>
      <c r="Q488" s="15">
        <v>0</v>
      </c>
      <c r="R488" s="15">
        <v>0</v>
      </c>
      <c r="S488" s="15">
        <v>0</v>
      </c>
      <c r="T488" s="15">
        <v>0</v>
      </c>
      <c r="U488" s="15">
        <v>0</v>
      </c>
      <c r="V488" s="15">
        <f>($J488*0.04)+($K488*4)+($L488*-2)+($N488*0.1)+($O488*6)+($Q488)+($R488*0.1)+($S488*6)+($T488*-2)</f>
        <v>0</v>
      </c>
      <c r="W488" s="15" t="e">
        <f>$P488/$H$33</f>
        <v>#DIV/0!</v>
      </c>
      <c r="X488" s="15" t="e">
        <f>$N488/$M488</f>
        <v>#DIV/0!</v>
      </c>
      <c r="Y488" s="15" t="e">
        <f>$R488/$Q488</f>
        <v>#DIV/0!</v>
      </c>
      <c r="Z488" s="15" t="e">
        <f>$I488/$H488</f>
        <v>#DIV/0!</v>
      </c>
      <c r="AA488" s="15" t="e">
        <f>$K488/$H488</f>
        <v>#DIV/0!</v>
      </c>
      <c r="AB488" s="15">
        <f>($J488*Cp_yd)+($K488*Cp_td)+($L488*Cint)+($M488*Ccar)+($N488*Cr_yd)+($O488*Cr_td)+(Q488*Crec)+($R488*Crec_yd)+($S488*Crec_td)+($T488*Cfmb)+($U488*Ctp_c)</f>
        <v>0</v>
      </c>
    </row>
    <row r="489" spans="1:28" x14ac:dyDescent="0.2">
      <c r="A489" s="16" t="s">
        <v>1172</v>
      </c>
      <c r="B489" s="16" t="s">
        <v>38</v>
      </c>
      <c r="C489" s="16">
        <v>29</v>
      </c>
      <c r="D489" s="16">
        <v>6</v>
      </c>
      <c r="E489" s="16" t="s">
        <v>1173</v>
      </c>
      <c r="F489" s="16" t="s">
        <v>1127</v>
      </c>
      <c r="G489" s="16">
        <v>0</v>
      </c>
      <c r="H489" s="16">
        <v>0</v>
      </c>
      <c r="I489" s="16">
        <v>0</v>
      </c>
      <c r="J489" s="16">
        <v>0</v>
      </c>
      <c r="K489" s="16">
        <v>0</v>
      </c>
      <c r="L489" s="16">
        <v>0</v>
      </c>
      <c r="M489" s="16">
        <v>0</v>
      </c>
      <c r="N489" s="16">
        <v>0</v>
      </c>
      <c r="O489" s="16">
        <v>0</v>
      </c>
      <c r="P489" s="16">
        <v>0</v>
      </c>
      <c r="Q489" s="16">
        <v>0</v>
      </c>
      <c r="R489" s="16">
        <v>0</v>
      </c>
      <c r="S489" s="16">
        <v>0</v>
      </c>
      <c r="T489" s="16">
        <v>0</v>
      </c>
      <c r="U489" s="16">
        <v>0</v>
      </c>
      <c r="V489" s="16">
        <f>($J489*0.04)+($K489*4)+($L489*-2)+($N489*0.1)+($O489*6)+($Q489)+($R489*0.1)+($S489*6)+($T489*-2)</f>
        <v>0</v>
      </c>
      <c r="W489" s="16" t="e">
        <f>$P489/$H$33</f>
        <v>#DIV/0!</v>
      </c>
      <c r="X489" s="16" t="e">
        <f>$N489/$M489</f>
        <v>#DIV/0!</v>
      </c>
      <c r="Y489" s="16" t="e">
        <f>$R489/$Q489</f>
        <v>#DIV/0!</v>
      </c>
      <c r="Z489" s="16" t="e">
        <f>$I489/$H489</f>
        <v>#DIV/0!</v>
      </c>
      <c r="AA489" s="16" t="e">
        <f>$K489/$H489</f>
        <v>#DIV/0!</v>
      </c>
      <c r="AB489" s="16">
        <f>($J489*Cp_yd)+($K489*Cp_td)+($L489*Cint)+($M489*Ccar)+($N489*Cr_yd)+($O489*Cr_td)+(Q489*Crec)+($R489*Crec_yd)+($S489*Crec_td)+($T489*Cfmb)+($U489*Ctp_c)</f>
        <v>0</v>
      </c>
    </row>
    <row r="490" spans="1:28" x14ac:dyDescent="0.2">
      <c r="A490" s="15" t="s">
        <v>1191</v>
      </c>
      <c r="B490" s="15" t="s">
        <v>26</v>
      </c>
      <c r="C490" s="15">
        <v>34</v>
      </c>
      <c r="D490" s="15">
        <v>12</v>
      </c>
      <c r="E490" s="15" t="s">
        <v>744</v>
      </c>
      <c r="F490" s="15" t="s">
        <v>1176</v>
      </c>
      <c r="G490" s="15">
        <v>0</v>
      </c>
      <c r="H490" s="15">
        <v>0</v>
      </c>
      <c r="I490" s="15">
        <v>0</v>
      </c>
      <c r="J490" s="15">
        <v>0</v>
      </c>
      <c r="K490" s="15">
        <v>0</v>
      </c>
      <c r="L490" s="15">
        <v>0</v>
      </c>
      <c r="M490" s="15">
        <v>0</v>
      </c>
      <c r="N490" s="15">
        <v>0</v>
      </c>
      <c r="O490" s="15">
        <v>0</v>
      </c>
      <c r="P490" s="15">
        <v>0</v>
      </c>
      <c r="Q490" s="15">
        <v>0</v>
      </c>
      <c r="R490" s="15">
        <v>0</v>
      </c>
      <c r="S490" s="15">
        <v>0</v>
      </c>
      <c r="T490" s="15">
        <v>0</v>
      </c>
      <c r="U490" s="15">
        <v>0</v>
      </c>
      <c r="V490" s="15">
        <f>($J490*0.04)+($K490*4)+($L490*-2)+($N490*0.1)+($O490*6)+($Q490)+($R490*0.1)+($S490*6)+($T490*-2)</f>
        <v>0</v>
      </c>
      <c r="W490" s="15" t="e">
        <f>$P490/$H$33</f>
        <v>#DIV/0!</v>
      </c>
      <c r="X490" s="15" t="e">
        <f>$N490/$M490</f>
        <v>#DIV/0!</v>
      </c>
      <c r="Y490" s="15" t="e">
        <f>$R490/$Q490</f>
        <v>#DIV/0!</v>
      </c>
      <c r="Z490" s="15" t="e">
        <f>$I490/$H490</f>
        <v>#DIV/0!</v>
      </c>
      <c r="AA490" s="15" t="e">
        <f>$K490/$H490</f>
        <v>#DIV/0!</v>
      </c>
      <c r="AB490" s="15">
        <f>($J490*Cp_yd)+($K490*Cp_td)+($L490*Cint)+($M490*Ccar)+($N490*Cr_yd)+($O490*Cr_td)+(Q490*Crec)+($R490*Crec_yd)+($S490*Crec_td)+($T490*Cfmb)+($U490*Ctp_c)</f>
        <v>0</v>
      </c>
    </row>
    <row r="491" spans="1:28" x14ac:dyDescent="0.2">
      <c r="A491" s="16" t="s">
        <v>1192</v>
      </c>
      <c r="B491" s="16" t="s">
        <v>26</v>
      </c>
      <c r="C491" s="16">
        <v>25</v>
      </c>
      <c r="D491" s="16">
        <v>0</v>
      </c>
      <c r="E491" s="16" t="s">
        <v>82</v>
      </c>
      <c r="F491" s="16" t="s">
        <v>1176</v>
      </c>
      <c r="G491" s="16">
        <v>0</v>
      </c>
      <c r="H491" s="16">
        <v>0</v>
      </c>
      <c r="I491" s="16">
        <v>0</v>
      </c>
      <c r="J491" s="16">
        <v>0</v>
      </c>
      <c r="K491" s="16">
        <v>0</v>
      </c>
      <c r="L491" s="16">
        <v>0</v>
      </c>
      <c r="M491" s="16">
        <v>0</v>
      </c>
      <c r="N491" s="16">
        <v>0</v>
      </c>
      <c r="O491" s="16">
        <v>0</v>
      </c>
      <c r="P491" s="16">
        <v>0</v>
      </c>
      <c r="Q491" s="16">
        <v>0</v>
      </c>
      <c r="R491" s="16">
        <v>0</v>
      </c>
      <c r="S491" s="16">
        <v>0</v>
      </c>
      <c r="T491" s="16">
        <v>0</v>
      </c>
      <c r="U491" s="16">
        <v>0</v>
      </c>
      <c r="V491" s="16">
        <f>($J491*0.04)+($K491*4)+($L491*-2)+($N491*0.1)+($O491*6)+($Q491)+($R491*0.1)+($S491*6)+($T491*-2)</f>
        <v>0</v>
      </c>
      <c r="W491" s="16" t="e">
        <f>$P491/$H$33</f>
        <v>#DIV/0!</v>
      </c>
      <c r="X491" s="16" t="e">
        <f>$N491/$M491</f>
        <v>#DIV/0!</v>
      </c>
      <c r="Y491" s="16" t="e">
        <f>$R491/$Q491</f>
        <v>#DIV/0!</v>
      </c>
      <c r="Z491" s="16" t="e">
        <f>$I491/$H491</f>
        <v>#DIV/0!</v>
      </c>
      <c r="AA491" s="16" t="e">
        <f>$K491/$H491</f>
        <v>#DIV/0!</v>
      </c>
      <c r="AB491" s="16">
        <f>($J491*Cp_yd)+($K491*Cp_td)+($L491*Cint)+($M491*Ccar)+($N491*Cr_yd)+($O491*Cr_td)+(Q491*Crec)+($R491*Crec_yd)+($S491*Crec_td)+($T491*Cfmb)+($U491*Ctp_c)</f>
        <v>0</v>
      </c>
    </row>
    <row r="492" spans="1:28" x14ac:dyDescent="0.2">
      <c r="A492" s="15" t="s">
        <v>1194</v>
      </c>
      <c r="B492" s="15" t="s">
        <v>31</v>
      </c>
      <c r="C492" s="15">
        <v>25</v>
      </c>
      <c r="D492" s="15">
        <v>2</v>
      </c>
      <c r="E492" s="15" t="s">
        <v>163</v>
      </c>
      <c r="F492" s="15" t="s">
        <v>1176</v>
      </c>
      <c r="G492" s="15">
        <v>0</v>
      </c>
      <c r="H492" s="15">
        <v>0</v>
      </c>
      <c r="I492" s="15">
        <v>0</v>
      </c>
      <c r="J492" s="15">
        <v>0</v>
      </c>
      <c r="K492" s="15">
        <v>0</v>
      </c>
      <c r="L492" s="15">
        <v>0</v>
      </c>
      <c r="M492" s="15">
        <v>0</v>
      </c>
      <c r="N492" s="15">
        <v>0</v>
      </c>
      <c r="O492" s="15">
        <v>0</v>
      </c>
      <c r="P492" s="15">
        <v>0</v>
      </c>
      <c r="Q492" s="15">
        <v>0</v>
      </c>
      <c r="R492" s="15">
        <v>0</v>
      </c>
      <c r="S492" s="15">
        <v>0</v>
      </c>
      <c r="T492" s="15">
        <v>0</v>
      </c>
      <c r="U492" s="15">
        <v>0</v>
      </c>
      <c r="V492" s="15">
        <f>($J492*0.04)+($K492*4)+($L492*-2)+($N492*0.1)+($O492*6)+($Q492)+($R492*0.1)+($S492*6)+($T492*-2)</f>
        <v>0</v>
      </c>
      <c r="W492" s="15" t="e">
        <f>$P492/$H$33</f>
        <v>#DIV/0!</v>
      </c>
      <c r="X492" s="15" t="e">
        <f>$N492/$M492</f>
        <v>#DIV/0!</v>
      </c>
      <c r="Y492" s="15" t="e">
        <f>$R492/$Q492</f>
        <v>#DIV/0!</v>
      </c>
      <c r="Z492" s="15" t="e">
        <f>$I492/$H492</f>
        <v>#DIV/0!</v>
      </c>
      <c r="AA492" s="15" t="e">
        <f>$K492/$H492</f>
        <v>#DIV/0!</v>
      </c>
      <c r="AB492" s="15">
        <f>($J492*Cp_yd)+($K492*Cp_td)+($L492*Cint)+($M492*Ccar)+($N492*Cr_yd)+($O492*Cr_td)+(Q492*Crec)+($R492*Crec_yd)+($S492*Crec_td)+($T492*Cfmb)+($U492*Ctp_c)</f>
        <v>0</v>
      </c>
    </row>
    <row r="493" spans="1:28" x14ac:dyDescent="0.2">
      <c r="A493" s="16" t="s">
        <v>1195</v>
      </c>
      <c r="B493" s="16" t="s">
        <v>31</v>
      </c>
      <c r="C493" s="16"/>
      <c r="D493" s="16">
        <v>0</v>
      </c>
      <c r="E493" s="16" t="s">
        <v>1196</v>
      </c>
      <c r="F493" s="16" t="s">
        <v>1176</v>
      </c>
      <c r="G493" s="16">
        <v>0</v>
      </c>
      <c r="H493" s="16">
        <v>0</v>
      </c>
      <c r="I493" s="16">
        <v>0</v>
      </c>
      <c r="J493" s="16">
        <v>0</v>
      </c>
      <c r="K493" s="16">
        <v>0</v>
      </c>
      <c r="L493" s="16">
        <v>0</v>
      </c>
      <c r="M493" s="16">
        <v>0</v>
      </c>
      <c r="N493" s="16">
        <v>0</v>
      </c>
      <c r="O493" s="16">
        <v>0</v>
      </c>
      <c r="P493" s="16">
        <v>0</v>
      </c>
      <c r="Q493" s="16">
        <v>0</v>
      </c>
      <c r="R493" s="16">
        <v>0</v>
      </c>
      <c r="S493" s="16">
        <v>0</v>
      </c>
      <c r="T493" s="16">
        <v>0</v>
      </c>
      <c r="U493" s="16">
        <v>0</v>
      </c>
      <c r="V493" s="16">
        <f>($J493*0.04)+($K493*4)+($L493*-2)+($N493*0.1)+($O493*6)+($Q493)+($R493*0.1)+($S493*6)+($T493*-2)</f>
        <v>0</v>
      </c>
      <c r="W493" s="16" t="e">
        <f>$P493/$H$33</f>
        <v>#DIV/0!</v>
      </c>
      <c r="X493" s="16" t="e">
        <f>$N493/$M493</f>
        <v>#DIV/0!</v>
      </c>
      <c r="Y493" s="16" t="e">
        <f>$R493/$Q493</f>
        <v>#DIV/0!</v>
      </c>
      <c r="Z493" s="16" t="e">
        <f>$I493/$H493</f>
        <v>#DIV/0!</v>
      </c>
      <c r="AA493" s="16" t="e">
        <f>$K493/$H493</f>
        <v>#DIV/0!</v>
      </c>
      <c r="AB493" s="16">
        <f>($J493*Cp_yd)+($K493*Cp_td)+($L493*Cint)+($M493*Ccar)+($N493*Cr_yd)+($O493*Cr_td)+(Q493*Crec)+($R493*Crec_yd)+($S493*Crec_td)+($T493*Cfmb)+($U493*Ctp_c)</f>
        <v>0</v>
      </c>
    </row>
    <row r="494" spans="1:28" x14ac:dyDescent="0.2">
      <c r="A494" s="15" t="s">
        <v>1197</v>
      </c>
      <c r="B494" s="15" t="s">
        <v>31</v>
      </c>
      <c r="C494" s="15">
        <v>25</v>
      </c>
      <c r="D494" s="15">
        <v>5</v>
      </c>
      <c r="E494" s="15" t="s">
        <v>296</v>
      </c>
      <c r="F494" s="15" t="s">
        <v>1176</v>
      </c>
      <c r="G494" s="15">
        <v>0</v>
      </c>
      <c r="H494" s="15">
        <v>0</v>
      </c>
      <c r="I494" s="15">
        <v>0</v>
      </c>
      <c r="J494" s="15">
        <v>0</v>
      </c>
      <c r="K494" s="15">
        <v>0</v>
      </c>
      <c r="L494" s="15">
        <v>0</v>
      </c>
      <c r="M494" s="15">
        <v>0</v>
      </c>
      <c r="N494" s="15">
        <v>0</v>
      </c>
      <c r="O494" s="15">
        <v>0</v>
      </c>
      <c r="P494" s="15">
        <v>0</v>
      </c>
      <c r="Q494" s="15">
        <v>0</v>
      </c>
      <c r="R494" s="15">
        <v>0</v>
      </c>
      <c r="S494" s="15">
        <v>0</v>
      </c>
      <c r="T494" s="15">
        <v>0</v>
      </c>
      <c r="U494" s="15">
        <v>0</v>
      </c>
      <c r="V494" s="15">
        <f>($J494*0.04)+($K494*4)+($L494*-2)+($N494*0.1)+($O494*6)+($Q494)+($R494*0.1)+($S494*6)+($T494*-2)</f>
        <v>0</v>
      </c>
      <c r="W494" s="15" t="e">
        <f>$P494/$H$33</f>
        <v>#DIV/0!</v>
      </c>
      <c r="X494" s="15" t="e">
        <f>$N494/$M494</f>
        <v>#DIV/0!</v>
      </c>
      <c r="Y494" s="15" t="e">
        <f>$R494/$Q494</f>
        <v>#DIV/0!</v>
      </c>
      <c r="Z494" s="15" t="e">
        <f>$I494/$H494</f>
        <v>#DIV/0!</v>
      </c>
      <c r="AA494" s="15" t="e">
        <f>$K494/$H494</f>
        <v>#DIV/0!</v>
      </c>
      <c r="AB494" s="15">
        <f>($J494*Cp_yd)+($K494*Cp_td)+($L494*Cint)+($M494*Ccar)+($N494*Cr_yd)+($O494*Cr_td)+(Q494*Crec)+($R494*Crec_yd)+($S494*Crec_td)+($T494*Cfmb)+($U494*Ctp_c)</f>
        <v>0</v>
      </c>
    </row>
    <row r="495" spans="1:28" x14ac:dyDescent="0.2">
      <c r="A495" s="16" t="s">
        <v>1198</v>
      </c>
      <c r="B495" s="16" t="s">
        <v>31</v>
      </c>
      <c r="C495" s="16">
        <v>22</v>
      </c>
      <c r="D495" s="16">
        <v>0</v>
      </c>
      <c r="E495" s="16" t="s">
        <v>335</v>
      </c>
      <c r="F495" s="16" t="s">
        <v>1176</v>
      </c>
      <c r="G495" s="16">
        <v>0</v>
      </c>
      <c r="H495" s="16">
        <v>0</v>
      </c>
      <c r="I495" s="16">
        <v>0</v>
      </c>
      <c r="J495" s="16">
        <v>0</v>
      </c>
      <c r="K495" s="16">
        <v>0</v>
      </c>
      <c r="L495" s="16">
        <v>0</v>
      </c>
      <c r="M495" s="16">
        <v>0</v>
      </c>
      <c r="N495" s="16">
        <v>0</v>
      </c>
      <c r="O495" s="16">
        <v>0</v>
      </c>
      <c r="P495" s="16">
        <v>0</v>
      </c>
      <c r="Q495" s="16">
        <v>0</v>
      </c>
      <c r="R495" s="16">
        <v>0</v>
      </c>
      <c r="S495" s="16">
        <v>0</v>
      </c>
      <c r="T495" s="16">
        <v>0</v>
      </c>
      <c r="U495" s="16">
        <v>0</v>
      </c>
      <c r="V495" s="16">
        <f>($J495*0.04)+($K495*4)+($L495*-2)+($N495*0.1)+($O495*6)+($Q495)+($R495*0.1)+($S495*6)+($T495*-2)</f>
        <v>0</v>
      </c>
      <c r="W495" s="16" t="e">
        <f>$P495/$H$33</f>
        <v>#DIV/0!</v>
      </c>
      <c r="X495" s="16" t="e">
        <f>$N495/$M495</f>
        <v>#DIV/0!</v>
      </c>
      <c r="Y495" s="16" t="e">
        <f>$R495/$Q495</f>
        <v>#DIV/0!</v>
      </c>
      <c r="Z495" s="16" t="e">
        <f>$I495/$H495</f>
        <v>#DIV/0!</v>
      </c>
      <c r="AA495" s="16" t="e">
        <f>$K495/$H495</f>
        <v>#DIV/0!</v>
      </c>
      <c r="AB495" s="16">
        <f>($J495*Cp_yd)+($K495*Cp_td)+($L495*Cint)+($M495*Ccar)+($N495*Cr_yd)+($O495*Cr_td)+(Q495*Crec)+($R495*Crec_yd)+($S495*Crec_td)+($T495*Cfmb)+($U495*Ctp_c)</f>
        <v>0</v>
      </c>
    </row>
    <row r="496" spans="1:28" x14ac:dyDescent="0.2">
      <c r="A496" s="15" t="s">
        <v>1199</v>
      </c>
      <c r="B496" s="15" t="s">
        <v>31</v>
      </c>
      <c r="C496" s="15">
        <v>25</v>
      </c>
      <c r="D496" s="15">
        <v>3</v>
      </c>
      <c r="E496" s="15" t="s">
        <v>244</v>
      </c>
      <c r="F496" s="15" t="s">
        <v>1176</v>
      </c>
      <c r="G496" s="15">
        <v>0</v>
      </c>
      <c r="H496" s="15">
        <v>0</v>
      </c>
      <c r="I496" s="15">
        <v>0</v>
      </c>
      <c r="J496" s="15">
        <v>0</v>
      </c>
      <c r="K496" s="15">
        <v>0</v>
      </c>
      <c r="L496" s="15">
        <v>0</v>
      </c>
      <c r="M496" s="15">
        <v>0</v>
      </c>
      <c r="N496" s="15">
        <v>0</v>
      </c>
      <c r="O496" s="15">
        <v>0</v>
      </c>
      <c r="P496" s="15">
        <v>0</v>
      </c>
      <c r="Q496" s="15">
        <v>0</v>
      </c>
      <c r="R496" s="15">
        <v>0</v>
      </c>
      <c r="S496" s="15">
        <v>0</v>
      </c>
      <c r="T496" s="15">
        <v>0</v>
      </c>
      <c r="U496" s="15">
        <v>0</v>
      </c>
      <c r="V496" s="15">
        <f>($J496*0.04)+($K496*4)+($L496*-2)+($N496*0.1)+($O496*6)+($Q496)+($R496*0.1)+($S496*6)+($T496*-2)</f>
        <v>0</v>
      </c>
      <c r="W496" s="15" t="e">
        <f>$P496/$H$33</f>
        <v>#DIV/0!</v>
      </c>
      <c r="X496" s="15" t="e">
        <f>$N496/$M496</f>
        <v>#DIV/0!</v>
      </c>
      <c r="Y496" s="15" t="e">
        <f>$R496/$Q496</f>
        <v>#DIV/0!</v>
      </c>
      <c r="Z496" s="15" t="e">
        <f>$I496/$H496</f>
        <v>#DIV/0!</v>
      </c>
      <c r="AA496" s="15" t="e">
        <f>$K496/$H496</f>
        <v>#DIV/0!</v>
      </c>
      <c r="AB496" s="15">
        <f>($J496*Cp_yd)+($K496*Cp_td)+($L496*Cint)+($M496*Ccar)+($N496*Cr_yd)+($O496*Cr_td)+(Q496*Crec)+($R496*Crec_yd)+($S496*Crec_td)+($T496*Cfmb)+($U496*Ctp_c)</f>
        <v>0</v>
      </c>
    </row>
    <row r="497" spans="1:28" x14ac:dyDescent="0.2">
      <c r="A497" s="16" t="s">
        <v>1201</v>
      </c>
      <c r="B497" s="16" t="s">
        <v>43</v>
      </c>
      <c r="C497" s="16">
        <v>21</v>
      </c>
      <c r="D497" s="16">
        <v>0</v>
      </c>
      <c r="E497" s="16" t="s">
        <v>78</v>
      </c>
      <c r="F497" s="16" t="s">
        <v>1176</v>
      </c>
      <c r="G497" s="16">
        <v>0</v>
      </c>
      <c r="H497" s="16">
        <v>0</v>
      </c>
      <c r="I497" s="16">
        <v>0</v>
      </c>
      <c r="J497" s="16">
        <v>0</v>
      </c>
      <c r="K497" s="16">
        <v>0</v>
      </c>
      <c r="L497" s="16">
        <v>0</v>
      </c>
      <c r="M497" s="16">
        <v>0</v>
      </c>
      <c r="N497" s="16">
        <v>0</v>
      </c>
      <c r="O497" s="16">
        <v>0</v>
      </c>
      <c r="P497" s="16">
        <v>0</v>
      </c>
      <c r="Q497" s="16">
        <v>0</v>
      </c>
      <c r="R497" s="16">
        <v>0</v>
      </c>
      <c r="S497" s="16">
        <v>0</v>
      </c>
      <c r="T497" s="16">
        <v>0</v>
      </c>
      <c r="U497" s="16">
        <v>0</v>
      </c>
      <c r="V497" s="16">
        <f>($J497*0.04)+($K497*4)+($L497*-2)+($N497*0.1)+($O497*6)+($Q497)+($R497*0.1)+($S497*6)+($T497*-2)</f>
        <v>0</v>
      </c>
      <c r="W497" s="16" t="e">
        <f>$P497/$H$33</f>
        <v>#DIV/0!</v>
      </c>
      <c r="X497" s="16" t="e">
        <f>$N497/$M497</f>
        <v>#DIV/0!</v>
      </c>
      <c r="Y497" s="16" t="e">
        <f>$R497/$Q497</f>
        <v>#DIV/0!</v>
      </c>
      <c r="Z497" s="16" t="e">
        <f>$I497/$H497</f>
        <v>#DIV/0!</v>
      </c>
      <c r="AA497" s="16" t="e">
        <f>$K497/$H497</f>
        <v>#DIV/0!</v>
      </c>
      <c r="AB497" s="16">
        <f>($J497*Cp_yd)+($K497*Cp_td)+($L497*Cint)+($M497*Ccar)+($N497*Cr_yd)+($O497*Cr_td)+(Q497*Crec)+($R497*Crec_yd)+($S497*Crec_td)+($T497*Cfmb)+($U497*Ctp_c)</f>
        <v>0</v>
      </c>
    </row>
    <row r="498" spans="1:28" x14ac:dyDescent="0.2">
      <c r="A498" s="15" t="s">
        <v>1202</v>
      </c>
      <c r="B498" s="15" t="s">
        <v>43</v>
      </c>
      <c r="C498" s="15">
        <v>24</v>
      </c>
      <c r="D498" s="15">
        <v>1</v>
      </c>
      <c r="E498" s="15" t="s">
        <v>232</v>
      </c>
      <c r="F498" s="15" t="s">
        <v>1176</v>
      </c>
      <c r="G498" s="15">
        <v>0</v>
      </c>
      <c r="H498" s="15">
        <v>0</v>
      </c>
      <c r="I498" s="15">
        <v>0</v>
      </c>
      <c r="J498" s="15">
        <v>0</v>
      </c>
      <c r="K498" s="15">
        <v>0</v>
      </c>
      <c r="L498" s="15">
        <v>0</v>
      </c>
      <c r="M498" s="15">
        <v>0</v>
      </c>
      <c r="N498" s="15">
        <v>0</v>
      </c>
      <c r="O498" s="15">
        <v>0</v>
      </c>
      <c r="P498" s="15">
        <v>0</v>
      </c>
      <c r="Q498" s="15">
        <v>0</v>
      </c>
      <c r="R498" s="15">
        <v>0</v>
      </c>
      <c r="S498" s="15">
        <v>0</v>
      </c>
      <c r="T498" s="15">
        <v>0</v>
      </c>
      <c r="U498" s="15">
        <v>0</v>
      </c>
      <c r="V498" s="15">
        <f>($J498*0.04)+($K498*4)+($L498*-2)+($N498*0.1)+($O498*6)+($Q498)+($R498*0.1)+($S498*6)+($T498*-2)</f>
        <v>0</v>
      </c>
      <c r="W498" s="15" t="e">
        <f>$P498/$H$33</f>
        <v>#DIV/0!</v>
      </c>
      <c r="X498" s="15" t="e">
        <f>$N498/$M498</f>
        <v>#DIV/0!</v>
      </c>
      <c r="Y498" s="15" t="e">
        <f>$R498/$Q498</f>
        <v>#DIV/0!</v>
      </c>
      <c r="Z498" s="15" t="e">
        <f>$I498/$H498</f>
        <v>#DIV/0!</v>
      </c>
      <c r="AA498" s="15" t="e">
        <f>$K498/$H498</f>
        <v>#DIV/0!</v>
      </c>
      <c r="AB498" s="15">
        <f>($J498*Cp_yd)+($K498*Cp_td)+($L498*Cint)+($M498*Ccar)+($N498*Cr_yd)+($O498*Cr_td)+(Q498*Crec)+($R498*Crec_yd)+($S498*Crec_td)+($T498*Cfmb)+($U498*Ctp_c)</f>
        <v>0</v>
      </c>
    </row>
    <row r="499" spans="1:28" x14ac:dyDescent="0.2">
      <c r="A499" s="16" t="s">
        <v>1203</v>
      </c>
      <c r="B499" s="16" t="s">
        <v>43</v>
      </c>
      <c r="C499" s="16">
        <v>25</v>
      </c>
      <c r="D499" s="16">
        <v>5</v>
      </c>
      <c r="E499" s="16" t="s">
        <v>155</v>
      </c>
      <c r="F499" s="16" t="s">
        <v>1176</v>
      </c>
      <c r="G499" s="16">
        <v>0</v>
      </c>
      <c r="H499" s="16">
        <v>0</v>
      </c>
      <c r="I499" s="16">
        <v>0</v>
      </c>
      <c r="J499" s="16">
        <v>0</v>
      </c>
      <c r="K499" s="16">
        <v>0</v>
      </c>
      <c r="L499" s="16">
        <v>0</v>
      </c>
      <c r="M499" s="16">
        <v>0</v>
      </c>
      <c r="N499" s="16">
        <v>0</v>
      </c>
      <c r="O499" s="16">
        <v>0</v>
      </c>
      <c r="P499" s="16">
        <v>0</v>
      </c>
      <c r="Q499" s="16">
        <v>0</v>
      </c>
      <c r="R499" s="16">
        <v>0</v>
      </c>
      <c r="S499" s="16">
        <v>0</v>
      </c>
      <c r="T499" s="16">
        <v>0</v>
      </c>
      <c r="U499" s="16">
        <v>0</v>
      </c>
      <c r="V499" s="16">
        <f>($J499*0.04)+($K499*4)+($L499*-2)+($N499*0.1)+($O499*6)+($Q499)+($R499*0.1)+($S499*6)+($T499*-2)</f>
        <v>0</v>
      </c>
      <c r="W499" s="16" t="e">
        <f>$P499/$H$33</f>
        <v>#DIV/0!</v>
      </c>
      <c r="X499" s="16" t="e">
        <f>$N499/$M499</f>
        <v>#DIV/0!</v>
      </c>
      <c r="Y499" s="16" t="e">
        <f>$R499/$Q499</f>
        <v>#DIV/0!</v>
      </c>
      <c r="Z499" s="16" t="e">
        <f>$I499/$H499</f>
        <v>#DIV/0!</v>
      </c>
      <c r="AA499" s="16" t="e">
        <f>$K499/$H499</f>
        <v>#DIV/0!</v>
      </c>
      <c r="AB499" s="16">
        <f>($J499*Cp_yd)+($K499*Cp_td)+($L499*Cint)+($M499*Ccar)+($N499*Cr_yd)+($O499*Cr_td)+(Q499*Crec)+($R499*Crec_yd)+($S499*Crec_td)+($T499*Cfmb)+($U499*Ctp_c)</f>
        <v>0</v>
      </c>
    </row>
    <row r="500" spans="1:28" x14ac:dyDescent="0.2">
      <c r="A500" s="15" t="s">
        <v>1204</v>
      </c>
      <c r="B500" s="15" t="s">
        <v>43</v>
      </c>
      <c r="C500" s="15">
        <v>26</v>
      </c>
      <c r="D500" s="15">
        <v>0</v>
      </c>
      <c r="E500" s="15" t="s">
        <v>1068</v>
      </c>
      <c r="F500" s="15" t="s">
        <v>1176</v>
      </c>
      <c r="G500" s="15">
        <v>0</v>
      </c>
      <c r="H500" s="15">
        <v>0</v>
      </c>
      <c r="I500" s="15">
        <v>0</v>
      </c>
      <c r="J500" s="15">
        <v>0</v>
      </c>
      <c r="K500" s="15">
        <v>0</v>
      </c>
      <c r="L500" s="15">
        <v>0</v>
      </c>
      <c r="M500" s="15">
        <v>0</v>
      </c>
      <c r="N500" s="15">
        <v>0</v>
      </c>
      <c r="O500" s="15">
        <v>0</v>
      </c>
      <c r="P500" s="15">
        <v>0</v>
      </c>
      <c r="Q500" s="15">
        <v>0</v>
      </c>
      <c r="R500" s="15">
        <v>0</v>
      </c>
      <c r="S500" s="15">
        <v>0</v>
      </c>
      <c r="T500" s="15">
        <v>0</v>
      </c>
      <c r="U500" s="15">
        <v>0</v>
      </c>
      <c r="V500" s="15">
        <f>($J500*0.04)+($K500*4)+($L500*-2)+($N500*0.1)+($O500*6)+($Q500)+($R500*0.1)+($S500*6)+($T500*-2)</f>
        <v>0</v>
      </c>
      <c r="W500" s="15" t="e">
        <f>$P500/$H$33</f>
        <v>#DIV/0!</v>
      </c>
      <c r="X500" s="15" t="e">
        <f>$N500/$M500</f>
        <v>#DIV/0!</v>
      </c>
      <c r="Y500" s="15" t="e">
        <f>$R500/$Q500</f>
        <v>#DIV/0!</v>
      </c>
      <c r="Z500" s="15" t="e">
        <f>$I500/$H500</f>
        <v>#DIV/0!</v>
      </c>
      <c r="AA500" s="15" t="e">
        <f>$K500/$H500</f>
        <v>#DIV/0!</v>
      </c>
      <c r="AB500" s="15">
        <f>($J500*Cp_yd)+($K500*Cp_td)+($L500*Cint)+($M500*Ccar)+($N500*Cr_yd)+($O500*Cr_td)+(Q500*Crec)+($R500*Crec_yd)+($S500*Crec_td)+($T500*Cfmb)+($U500*Ctp_c)</f>
        <v>0</v>
      </c>
    </row>
    <row r="501" spans="1:28" x14ac:dyDescent="0.2">
      <c r="A501" s="16" t="s">
        <v>1205</v>
      </c>
      <c r="B501" s="16" t="s">
        <v>43</v>
      </c>
      <c r="C501" s="16">
        <v>25</v>
      </c>
      <c r="D501" s="16">
        <v>2</v>
      </c>
      <c r="E501" s="16" t="s">
        <v>1206</v>
      </c>
      <c r="F501" s="16" t="s">
        <v>1176</v>
      </c>
      <c r="G501" s="16">
        <v>0</v>
      </c>
      <c r="H501" s="16">
        <v>0</v>
      </c>
      <c r="I501" s="16">
        <v>0</v>
      </c>
      <c r="J501" s="16">
        <v>0</v>
      </c>
      <c r="K501" s="16">
        <v>0</v>
      </c>
      <c r="L501" s="16">
        <v>0</v>
      </c>
      <c r="M501" s="16">
        <v>0</v>
      </c>
      <c r="N501" s="16">
        <v>0</v>
      </c>
      <c r="O501" s="16">
        <v>0</v>
      </c>
      <c r="P501" s="16">
        <v>0</v>
      </c>
      <c r="Q501" s="16">
        <v>0</v>
      </c>
      <c r="R501" s="16">
        <v>0</v>
      </c>
      <c r="S501" s="16">
        <v>0</v>
      </c>
      <c r="T501" s="16">
        <v>0</v>
      </c>
      <c r="U501" s="16">
        <v>0</v>
      </c>
      <c r="V501" s="16">
        <f>($J501*0.04)+($K501*4)+($L501*-2)+($N501*0.1)+($O501*6)+($Q501)+($R501*0.1)+($S501*6)+($T501*-2)</f>
        <v>0</v>
      </c>
      <c r="W501" s="16" t="e">
        <f>$P501/$H$33</f>
        <v>#DIV/0!</v>
      </c>
      <c r="X501" s="16" t="e">
        <f>$N501/$M501</f>
        <v>#DIV/0!</v>
      </c>
      <c r="Y501" s="16" t="e">
        <f>$R501/$Q501</f>
        <v>#DIV/0!</v>
      </c>
      <c r="Z501" s="16" t="e">
        <f>$I501/$H501</f>
        <v>#DIV/0!</v>
      </c>
      <c r="AA501" s="16" t="e">
        <f>$K501/$H501</f>
        <v>#DIV/0!</v>
      </c>
      <c r="AB501" s="16">
        <f>($J501*Cp_yd)+($K501*Cp_td)+($L501*Cint)+($M501*Ccar)+($N501*Cr_yd)+($O501*Cr_td)+(Q501*Crec)+($R501*Crec_yd)+($S501*Crec_td)+($T501*Cfmb)+($U501*Ctp_c)</f>
        <v>0</v>
      </c>
    </row>
    <row r="502" spans="1:28" x14ac:dyDescent="0.2">
      <c r="A502" s="15" t="s">
        <v>1207</v>
      </c>
      <c r="B502" s="15" t="s">
        <v>43</v>
      </c>
      <c r="C502" s="15">
        <v>24</v>
      </c>
      <c r="D502" s="15">
        <v>4</v>
      </c>
      <c r="E502" s="15" t="s">
        <v>227</v>
      </c>
      <c r="F502" s="15" t="s">
        <v>1176</v>
      </c>
      <c r="G502" s="15">
        <v>0</v>
      </c>
      <c r="H502" s="15">
        <v>0</v>
      </c>
      <c r="I502" s="15">
        <v>0</v>
      </c>
      <c r="J502" s="15">
        <v>0</v>
      </c>
      <c r="K502" s="15">
        <v>0</v>
      </c>
      <c r="L502" s="15">
        <v>0</v>
      </c>
      <c r="M502" s="15">
        <v>0</v>
      </c>
      <c r="N502" s="15">
        <v>0</v>
      </c>
      <c r="O502" s="15">
        <v>0</v>
      </c>
      <c r="P502" s="15">
        <v>0</v>
      </c>
      <c r="Q502" s="15">
        <v>0</v>
      </c>
      <c r="R502" s="15">
        <v>0</v>
      </c>
      <c r="S502" s="15">
        <v>0</v>
      </c>
      <c r="T502" s="15">
        <v>0</v>
      </c>
      <c r="U502" s="15">
        <v>0</v>
      </c>
      <c r="V502" s="15">
        <f>($J502*0.04)+($K502*4)+($L502*-2)+($N502*0.1)+($O502*6)+($Q502)+($R502*0.1)+($S502*6)+($T502*-2)</f>
        <v>0</v>
      </c>
      <c r="W502" s="15" t="e">
        <f>$P502/$H$33</f>
        <v>#DIV/0!</v>
      </c>
      <c r="X502" s="15" t="e">
        <f>$N502/$M502</f>
        <v>#DIV/0!</v>
      </c>
      <c r="Y502" s="15" t="e">
        <f>$R502/$Q502</f>
        <v>#DIV/0!</v>
      </c>
      <c r="Z502" s="15" t="e">
        <f>$I502/$H502</f>
        <v>#DIV/0!</v>
      </c>
      <c r="AA502" s="15" t="e">
        <f>$K502/$H502</f>
        <v>#DIV/0!</v>
      </c>
      <c r="AB502" s="15">
        <f>($J502*Cp_yd)+($K502*Cp_td)+($L502*Cint)+($M502*Ccar)+($N502*Cr_yd)+($O502*Cr_td)+(Q502*Crec)+($R502*Crec_yd)+($S502*Crec_td)+($T502*Cfmb)+($U502*Ctp_c)</f>
        <v>0</v>
      </c>
    </row>
    <row r="503" spans="1:28" x14ac:dyDescent="0.2">
      <c r="A503" s="16" t="s">
        <v>1208</v>
      </c>
      <c r="B503" s="16" t="s">
        <v>43</v>
      </c>
      <c r="C503" s="16">
        <v>23</v>
      </c>
      <c r="D503" s="16">
        <v>0</v>
      </c>
      <c r="E503" s="16" t="s">
        <v>995</v>
      </c>
      <c r="F503" s="16" t="s">
        <v>1176</v>
      </c>
      <c r="G503" s="16">
        <v>0</v>
      </c>
      <c r="H503" s="16">
        <v>0</v>
      </c>
      <c r="I503" s="16">
        <v>0</v>
      </c>
      <c r="J503" s="16">
        <v>0</v>
      </c>
      <c r="K503" s="16">
        <v>0</v>
      </c>
      <c r="L503" s="16">
        <v>0</v>
      </c>
      <c r="M503" s="16">
        <v>0</v>
      </c>
      <c r="N503" s="16">
        <v>0</v>
      </c>
      <c r="O503" s="16">
        <v>0</v>
      </c>
      <c r="P503" s="16">
        <v>0</v>
      </c>
      <c r="Q503" s="16">
        <v>0</v>
      </c>
      <c r="R503" s="16">
        <v>0</v>
      </c>
      <c r="S503" s="16">
        <v>0</v>
      </c>
      <c r="T503" s="16">
        <v>0</v>
      </c>
      <c r="U503" s="16">
        <v>0</v>
      </c>
      <c r="V503" s="16">
        <f>($J503*0.04)+($K503*4)+($L503*-2)+($N503*0.1)+($O503*6)+($Q503)+($R503*0.1)+($S503*6)+($T503*-2)</f>
        <v>0</v>
      </c>
      <c r="W503" s="16" t="e">
        <f>$P503/$H$33</f>
        <v>#DIV/0!</v>
      </c>
      <c r="X503" s="16" t="e">
        <f>$N503/$M503</f>
        <v>#DIV/0!</v>
      </c>
      <c r="Y503" s="16" t="e">
        <f>$R503/$Q503</f>
        <v>#DIV/0!</v>
      </c>
      <c r="Z503" s="16" t="e">
        <f>$I503/$H503</f>
        <v>#DIV/0!</v>
      </c>
      <c r="AA503" s="16" t="e">
        <f>$K503/$H503</f>
        <v>#DIV/0!</v>
      </c>
      <c r="AB503" s="16">
        <f>($J503*Cp_yd)+($K503*Cp_td)+($L503*Cint)+($M503*Ccar)+($N503*Cr_yd)+($O503*Cr_td)+(Q503*Crec)+($R503*Crec_yd)+($S503*Crec_td)+($T503*Cfmb)+($U503*Ctp_c)</f>
        <v>0</v>
      </c>
    </row>
    <row r="504" spans="1:28" x14ac:dyDescent="0.2">
      <c r="A504" s="15" t="s">
        <v>1209</v>
      </c>
      <c r="B504" s="15" t="s">
        <v>43</v>
      </c>
      <c r="C504" s="15">
        <v>24</v>
      </c>
      <c r="D504" s="15">
        <v>2</v>
      </c>
      <c r="E504" s="15" t="s">
        <v>744</v>
      </c>
      <c r="F504" s="15" t="s">
        <v>1176</v>
      </c>
      <c r="G504" s="15">
        <v>0</v>
      </c>
      <c r="H504" s="15">
        <v>0</v>
      </c>
      <c r="I504" s="15">
        <v>0</v>
      </c>
      <c r="J504" s="15">
        <v>0</v>
      </c>
      <c r="K504" s="15">
        <v>0</v>
      </c>
      <c r="L504" s="15">
        <v>0</v>
      </c>
      <c r="M504" s="15">
        <v>0</v>
      </c>
      <c r="N504" s="15">
        <v>0</v>
      </c>
      <c r="O504" s="15">
        <v>0</v>
      </c>
      <c r="P504" s="15">
        <v>0</v>
      </c>
      <c r="Q504" s="15">
        <v>0</v>
      </c>
      <c r="R504" s="15">
        <v>0</v>
      </c>
      <c r="S504" s="15">
        <v>0</v>
      </c>
      <c r="T504" s="15">
        <v>0</v>
      </c>
      <c r="U504" s="15">
        <v>0</v>
      </c>
      <c r="V504" s="15">
        <f>($J504*0.04)+($K504*4)+($L504*-2)+($N504*0.1)+($O504*6)+($Q504)+($R504*0.1)+($S504*6)+($T504*-2)</f>
        <v>0</v>
      </c>
      <c r="W504" s="15" t="e">
        <f>$P504/$H$33</f>
        <v>#DIV/0!</v>
      </c>
      <c r="X504" s="15" t="e">
        <f>$N504/$M504</f>
        <v>#DIV/0!</v>
      </c>
      <c r="Y504" s="15" t="e">
        <f>$R504/$Q504</f>
        <v>#DIV/0!</v>
      </c>
      <c r="Z504" s="15" t="e">
        <f>$I504/$H504</f>
        <v>#DIV/0!</v>
      </c>
      <c r="AA504" s="15" t="e">
        <f>$K504/$H504</f>
        <v>#DIV/0!</v>
      </c>
      <c r="AB504" s="15">
        <f>($J504*Cp_yd)+($K504*Cp_td)+($L504*Cint)+($M504*Ccar)+($N504*Cr_yd)+($O504*Cr_td)+(Q504*Crec)+($R504*Crec_yd)+($S504*Crec_td)+($T504*Cfmb)+($U504*Ctp_c)</f>
        <v>0</v>
      </c>
    </row>
    <row r="505" spans="1:28" x14ac:dyDescent="0.2">
      <c r="A505" s="16" t="s">
        <v>1210</v>
      </c>
      <c r="B505" s="16" t="s">
        <v>43</v>
      </c>
      <c r="C505" s="16">
        <v>26</v>
      </c>
      <c r="D505" s="16">
        <v>4</v>
      </c>
      <c r="E505" s="16" t="s">
        <v>397</v>
      </c>
      <c r="F505" s="16" t="s">
        <v>1176</v>
      </c>
      <c r="G505" s="16">
        <v>0</v>
      </c>
      <c r="H505" s="16">
        <v>0</v>
      </c>
      <c r="I505" s="16">
        <v>0</v>
      </c>
      <c r="J505" s="16">
        <v>0</v>
      </c>
      <c r="K505" s="16">
        <v>0</v>
      </c>
      <c r="L505" s="16">
        <v>0</v>
      </c>
      <c r="M505" s="16">
        <v>0</v>
      </c>
      <c r="N505" s="16">
        <v>0</v>
      </c>
      <c r="O505" s="16">
        <v>0</v>
      </c>
      <c r="P505" s="16">
        <v>0</v>
      </c>
      <c r="Q505" s="16">
        <v>0</v>
      </c>
      <c r="R505" s="16">
        <v>0</v>
      </c>
      <c r="S505" s="16">
        <v>0</v>
      </c>
      <c r="T505" s="16">
        <v>0</v>
      </c>
      <c r="U505" s="16">
        <v>0</v>
      </c>
      <c r="V505" s="16">
        <f>($J505*0.04)+($K505*4)+($L505*-2)+($N505*0.1)+($O505*6)+($Q505)+($R505*0.1)+($S505*6)+($T505*-2)</f>
        <v>0</v>
      </c>
      <c r="W505" s="16" t="e">
        <f>$P505/$H$33</f>
        <v>#DIV/0!</v>
      </c>
      <c r="X505" s="16" t="e">
        <f>$N505/$M505</f>
        <v>#DIV/0!</v>
      </c>
      <c r="Y505" s="16" t="e">
        <f>$R505/$Q505</f>
        <v>#DIV/0!</v>
      </c>
      <c r="Z505" s="16" t="e">
        <f>$I505/$H505</f>
        <v>#DIV/0!</v>
      </c>
      <c r="AA505" s="16" t="e">
        <f>$K505/$H505</f>
        <v>#DIV/0!</v>
      </c>
      <c r="AB505" s="16">
        <f>($J505*Cp_yd)+($K505*Cp_td)+($L505*Cint)+($M505*Ccar)+($N505*Cr_yd)+($O505*Cr_td)+(Q505*Crec)+($R505*Crec_yd)+($S505*Crec_td)+($T505*Cfmb)+($U505*Ctp_c)</f>
        <v>0</v>
      </c>
    </row>
    <row r="506" spans="1:28" x14ac:dyDescent="0.2">
      <c r="A506" s="15" t="s">
        <v>1211</v>
      </c>
      <c r="B506" s="15" t="s">
        <v>43</v>
      </c>
      <c r="C506" s="15">
        <v>27</v>
      </c>
      <c r="D506" s="15">
        <v>6</v>
      </c>
      <c r="E506" s="15" t="s">
        <v>178</v>
      </c>
      <c r="F506" s="15" t="s">
        <v>1176</v>
      </c>
      <c r="G506" s="15">
        <v>0</v>
      </c>
      <c r="H506" s="15">
        <v>0</v>
      </c>
      <c r="I506" s="15">
        <v>0</v>
      </c>
      <c r="J506" s="15">
        <v>0</v>
      </c>
      <c r="K506" s="15">
        <v>0</v>
      </c>
      <c r="L506" s="15">
        <v>0</v>
      </c>
      <c r="M506" s="15">
        <v>0</v>
      </c>
      <c r="N506" s="15">
        <v>0</v>
      </c>
      <c r="O506" s="15">
        <v>0</v>
      </c>
      <c r="P506" s="15">
        <v>0</v>
      </c>
      <c r="Q506" s="15">
        <v>0</v>
      </c>
      <c r="R506" s="15">
        <v>0</v>
      </c>
      <c r="S506" s="15">
        <v>0</v>
      </c>
      <c r="T506" s="15">
        <v>0</v>
      </c>
      <c r="U506" s="15">
        <v>0</v>
      </c>
      <c r="V506" s="15">
        <f>($J506*0.04)+($K506*4)+($L506*-2)+($N506*0.1)+($O506*6)+($Q506)+($R506*0.1)+($S506*6)+($T506*-2)</f>
        <v>0</v>
      </c>
      <c r="W506" s="15" t="e">
        <f>$P506/$H$33</f>
        <v>#DIV/0!</v>
      </c>
      <c r="X506" s="15" t="e">
        <f>$N506/$M506</f>
        <v>#DIV/0!</v>
      </c>
      <c r="Y506" s="15" t="e">
        <f>$R506/$Q506</f>
        <v>#DIV/0!</v>
      </c>
      <c r="Z506" s="15" t="e">
        <f>$I506/$H506</f>
        <v>#DIV/0!</v>
      </c>
      <c r="AA506" s="15" t="e">
        <f>$K506/$H506</f>
        <v>#DIV/0!</v>
      </c>
      <c r="AB506" s="15">
        <f>($J506*Cp_yd)+($K506*Cp_td)+($L506*Cint)+($M506*Ccar)+($N506*Cr_yd)+($O506*Cr_td)+(Q506*Crec)+($R506*Crec_yd)+($S506*Crec_td)+($T506*Cfmb)+($U506*Ctp_c)</f>
        <v>0</v>
      </c>
    </row>
    <row r="507" spans="1:28" x14ac:dyDescent="0.2">
      <c r="A507" s="16" t="s">
        <v>1212</v>
      </c>
      <c r="B507" s="16" t="s">
        <v>43</v>
      </c>
      <c r="C507" s="16">
        <v>24</v>
      </c>
      <c r="D507" s="16">
        <v>3</v>
      </c>
      <c r="E507" s="16" t="s">
        <v>220</v>
      </c>
      <c r="F507" s="16" t="s">
        <v>1176</v>
      </c>
      <c r="G507" s="16">
        <v>0</v>
      </c>
      <c r="H507" s="16">
        <v>0</v>
      </c>
      <c r="I507" s="16">
        <v>0</v>
      </c>
      <c r="J507" s="16">
        <v>0</v>
      </c>
      <c r="K507" s="16">
        <v>0</v>
      </c>
      <c r="L507" s="16">
        <v>0</v>
      </c>
      <c r="M507" s="16">
        <v>0</v>
      </c>
      <c r="N507" s="16">
        <v>0</v>
      </c>
      <c r="O507" s="16">
        <v>0</v>
      </c>
      <c r="P507" s="16">
        <v>0</v>
      </c>
      <c r="Q507" s="16">
        <v>0</v>
      </c>
      <c r="R507" s="16">
        <v>0</v>
      </c>
      <c r="S507" s="16">
        <v>0</v>
      </c>
      <c r="T507" s="16">
        <v>0</v>
      </c>
      <c r="U507" s="16">
        <v>0</v>
      </c>
      <c r="V507" s="16">
        <f>($J507*0.04)+($K507*4)+($L507*-2)+($N507*0.1)+($O507*6)+($Q507)+($R507*0.1)+($S507*6)+($T507*-2)</f>
        <v>0</v>
      </c>
      <c r="W507" s="16" t="e">
        <f>$P507/$H$33</f>
        <v>#DIV/0!</v>
      </c>
      <c r="X507" s="16" t="e">
        <f>$N507/$M507</f>
        <v>#DIV/0!</v>
      </c>
      <c r="Y507" s="16" t="e">
        <f>$R507/$Q507</f>
        <v>#DIV/0!</v>
      </c>
      <c r="Z507" s="16" t="e">
        <f>$I507/$H507</f>
        <v>#DIV/0!</v>
      </c>
      <c r="AA507" s="16" t="e">
        <f>$K507/$H507</f>
        <v>#DIV/0!</v>
      </c>
      <c r="AB507" s="16">
        <f>($J507*Cp_yd)+($K507*Cp_td)+($L507*Cint)+($M507*Ccar)+($N507*Cr_yd)+($O507*Cr_td)+(Q507*Crec)+($R507*Crec_yd)+($S507*Crec_td)+($T507*Cfmb)+($U507*Ctp_c)</f>
        <v>0</v>
      </c>
    </row>
    <row r="508" spans="1:28" x14ac:dyDescent="0.2">
      <c r="A508" s="15" t="s">
        <v>1213</v>
      </c>
      <c r="B508" s="15" t="s">
        <v>43</v>
      </c>
      <c r="C508" s="15">
        <v>24</v>
      </c>
      <c r="D508" s="15">
        <v>4</v>
      </c>
      <c r="E508" s="15" t="s">
        <v>76</v>
      </c>
      <c r="F508" s="15" t="s">
        <v>1176</v>
      </c>
      <c r="G508" s="15">
        <v>0</v>
      </c>
      <c r="H508" s="15">
        <v>0</v>
      </c>
      <c r="I508" s="15">
        <v>0</v>
      </c>
      <c r="J508" s="15">
        <v>0</v>
      </c>
      <c r="K508" s="15">
        <v>0</v>
      </c>
      <c r="L508" s="15">
        <v>0</v>
      </c>
      <c r="M508" s="15">
        <v>0</v>
      </c>
      <c r="N508" s="15">
        <v>0</v>
      </c>
      <c r="O508" s="15">
        <v>0</v>
      </c>
      <c r="P508" s="15">
        <v>0</v>
      </c>
      <c r="Q508" s="15">
        <v>0</v>
      </c>
      <c r="R508" s="15">
        <v>0</v>
      </c>
      <c r="S508" s="15">
        <v>0</v>
      </c>
      <c r="T508" s="15">
        <v>0</v>
      </c>
      <c r="U508" s="15">
        <v>0</v>
      </c>
      <c r="V508" s="15">
        <f>($J508*0.04)+($K508*4)+($L508*-2)+($N508*0.1)+($O508*6)+($Q508)+($R508*0.1)+($S508*6)+($T508*-2)</f>
        <v>0</v>
      </c>
      <c r="W508" s="15" t="e">
        <f>$P508/$H$33</f>
        <v>#DIV/0!</v>
      </c>
      <c r="X508" s="15" t="e">
        <f>$N508/$M508</f>
        <v>#DIV/0!</v>
      </c>
      <c r="Y508" s="15" t="e">
        <f>$R508/$Q508</f>
        <v>#DIV/0!</v>
      </c>
      <c r="Z508" s="15" t="e">
        <f>$I508/$H508</f>
        <v>#DIV/0!</v>
      </c>
      <c r="AA508" s="15" t="e">
        <f>$K508/$H508</f>
        <v>#DIV/0!</v>
      </c>
      <c r="AB508" s="15">
        <f>($J508*Cp_yd)+($K508*Cp_td)+($L508*Cint)+($M508*Ccar)+($N508*Cr_yd)+($O508*Cr_td)+(Q508*Crec)+($R508*Crec_yd)+($S508*Crec_td)+($T508*Cfmb)+($U508*Ctp_c)</f>
        <v>0</v>
      </c>
    </row>
    <row r="509" spans="1:28" x14ac:dyDescent="0.2">
      <c r="A509" s="16" t="s">
        <v>1215</v>
      </c>
      <c r="B509" s="16" t="s">
        <v>38</v>
      </c>
      <c r="C509" s="16">
        <v>26</v>
      </c>
      <c r="D509" s="16">
        <v>5</v>
      </c>
      <c r="E509" s="16" t="s">
        <v>100</v>
      </c>
      <c r="F509" s="16" t="s">
        <v>1176</v>
      </c>
      <c r="G509" s="16">
        <v>0</v>
      </c>
      <c r="H509" s="16">
        <v>0</v>
      </c>
      <c r="I509" s="16">
        <v>0</v>
      </c>
      <c r="J509" s="16">
        <v>0</v>
      </c>
      <c r="K509" s="16">
        <v>0</v>
      </c>
      <c r="L509" s="16">
        <v>0</v>
      </c>
      <c r="M509" s="16">
        <v>0</v>
      </c>
      <c r="N509" s="16">
        <v>0</v>
      </c>
      <c r="O509" s="16">
        <v>0</v>
      </c>
      <c r="P509" s="16">
        <v>0</v>
      </c>
      <c r="Q509" s="16">
        <v>0</v>
      </c>
      <c r="R509" s="16">
        <v>0</v>
      </c>
      <c r="S509" s="16">
        <v>0</v>
      </c>
      <c r="T509" s="16">
        <v>0</v>
      </c>
      <c r="U509" s="16">
        <v>0</v>
      </c>
      <c r="V509" s="16">
        <f>($J509*0.04)+($K509*4)+($L509*-2)+($N509*0.1)+($O509*6)+($Q509)+($R509*0.1)+($S509*6)+($T509*-2)</f>
        <v>0</v>
      </c>
      <c r="W509" s="16" t="e">
        <f>$P509/$H$33</f>
        <v>#DIV/0!</v>
      </c>
      <c r="X509" s="16" t="e">
        <f>$N509/$M509</f>
        <v>#DIV/0!</v>
      </c>
      <c r="Y509" s="16" t="e">
        <f>$R509/$Q509</f>
        <v>#DIV/0!</v>
      </c>
      <c r="Z509" s="16" t="e">
        <f>$I509/$H509</f>
        <v>#DIV/0!</v>
      </c>
      <c r="AA509" s="16" t="e">
        <f>$K509/$H509</f>
        <v>#DIV/0!</v>
      </c>
      <c r="AB509" s="16">
        <f>($J509*Cp_yd)+($K509*Cp_td)+($L509*Cint)+($M509*Ccar)+($N509*Cr_yd)+($O509*Cr_td)+(Q509*Crec)+($R509*Crec_yd)+($S509*Crec_td)+($T509*Cfmb)+($U509*Ctp_c)</f>
        <v>0</v>
      </c>
    </row>
    <row r="510" spans="1:28" x14ac:dyDescent="0.2">
      <c r="A510" s="15" t="s">
        <v>1216</v>
      </c>
      <c r="B510" s="15" t="s">
        <v>38</v>
      </c>
      <c r="C510" s="15">
        <v>28</v>
      </c>
      <c r="D510" s="15">
        <v>6</v>
      </c>
      <c r="E510" s="15" t="s">
        <v>205</v>
      </c>
      <c r="F510" s="15" t="s">
        <v>1176</v>
      </c>
      <c r="G510" s="15">
        <v>0</v>
      </c>
      <c r="H510" s="15">
        <v>0</v>
      </c>
      <c r="I510" s="15">
        <v>0</v>
      </c>
      <c r="J510" s="15">
        <v>0</v>
      </c>
      <c r="K510" s="15">
        <v>0</v>
      </c>
      <c r="L510" s="15">
        <v>0</v>
      </c>
      <c r="M510" s="15">
        <v>0</v>
      </c>
      <c r="N510" s="15">
        <v>0</v>
      </c>
      <c r="O510" s="15">
        <v>0</v>
      </c>
      <c r="P510" s="15">
        <v>0</v>
      </c>
      <c r="Q510" s="15">
        <v>0</v>
      </c>
      <c r="R510" s="15">
        <v>0</v>
      </c>
      <c r="S510" s="15">
        <v>0</v>
      </c>
      <c r="T510" s="15">
        <v>0</v>
      </c>
      <c r="U510" s="15">
        <v>0</v>
      </c>
      <c r="V510" s="15">
        <f>($J510*0.04)+($K510*4)+($L510*-2)+($N510*0.1)+($O510*6)+($Q510)+($R510*0.1)+($S510*6)+($T510*-2)</f>
        <v>0</v>
      </c>
      <c r="W510" s="15" t="e">
        <f>$P510/$H$33</f>
        <v>#DIV/0!</v>
      </c>
      <c r="X510" s="15" t="e">
        <f>$N510/$M510</f>
        <v>#DIV/0!</v>
      </c>
      <c r="Y510" s="15" t="e">
        <f>$R510/$Q510</f>
        <v>#DIV/0!</v>
      </c>
      <c r="Z510" s="15" t="e">
        <f>$I510/$H510</f>
        <v>#DIV/0!</v>
      </c>
      <c r="AA510" s="15" t="e">
        <f>$K510/$H510</f>
        <v>#DIV/0!</v>
      </c>
      <c r="AB510" s="15">
        <f>($J510*Cp_yd)+($K510*Cp_td)+($L510*Cint)+($M510*Ccar)+($N510*Cr_yd)+($O510*Cr_td)+(Q510*Crec)+($R510*Crec_yd)+($S510*Crec_td)+($T510*Cfmb)+($U510*Ctp_c)</f>
        <v>0</v>
      </c>
    </row>
    <row r="511" spans="1:28" x14ac:dyDescent="0.2">
      <c r="A511" s="16" t="s">
        <v>1217</v>
      </c>
      <c r="B511" s="16" t="s">
        <v>38</v>
      </c>
      <c r="C511" s="16">
        <v>24</v>
      </c>
      <c r="D511" s="16">
        <v>2</v>
      </c>
      <c r="E511" s="16" t="s">
        <v>341</v>
      </c>
      <c r="F511" s="16" t="s">
        <v>1176</v>
      </c>
      <c r="G511" s="16">
        <v>0</v>
      </c>
      <c r="H511" s="16">
        <v>0</v>
      </c>
      <c r="I511" s="16">
        <v>0</v>
      </c>
      <c r="J511" s="16">
        <v>0</v>
      </c>
      <c r="K511" s="16">
        <v>0</v>
      </c>
      <c r="L511" s="16">
        <v>0</v>
      </c>
      <c r="M511" s="16">
        <v>0</v>
      </c>
      <c r="N511" s="16">
        <v>0</v>
      </c>
      <c r="O511" s="16">
        <v>0</v>
      </c>
      <c r="P511" s="16">
        <v>0</v>
      </c>
      <c r="Q511" s="16">
        <v>0</v>
      </c>
      <c r="R511" s="16">
        <v>0</v>
      </c>
      <c r="S511" s="16">
        <v>0</v>
      </c>
      <c r="T511" s="16">
        <v>0</v>
      </c>
      <c r="U511" s="16">
        <v>0</v>
      </c>
      <c r="V511" s="16">
        <f>($J511*0.04)+($K511*4)+($L511*-2)+($N511*0.1)+($O511*6)+($Q511)+($R511*0.1)+($S511*6)+($T511*-2)</f>
        <v>0</v>
      </c>
      <c r="W511" s="16" t="e">
        <f>$P511/$H$33</f>
        <v>#DIV/0!</v>
      </c>
      <c r="X511" s="16" t="e">
        <f>$N511/$M511</f>
        <v>#DIV/0!</v>
      </c>
      <c r="Y511" s="16" t="e">
        <f>$R511/$Q511</f>
        <v>#DIV/0!</v>
      </c>
      <c r="Z511" s="16" t="e">
        <f>$I511/$H511</f>
        <v>#DIV/0!</v>
      </c>
      <c r="AA511" s="16" t="e">
        <f>$K511/$H511</f>
        <v>#DIV/0!</v>
      </c>
      <c r="AB511" s="16">
        <f>($J511*Cp_yd)+($K511*Cp_td)+($L511*Cint)+($M511*Ccar)+($N511*Cr_yd)+($O511*Cr_td)+(Q511*Crec)+($R511*Crec_yd)+($S511*Crec_td)+($T511*Cfmb)+($U511*Ctp_c)</f>
        <v>0</v>
      </c>
    </row>
    <row r="512" spans="1:28" x14ac:dyDescent="0.2">
      <c r="A512" s="15" t="s">
        <v>1218</v>
      </c>
      <c r="B512" s="15" t="s">
        <v>38</v>
      </c>
      <c r="C512" s="15">
        <v>26</v>
      </c>
      <c r="D512" s="15">
        <v>5</v>
      </c>
      <c r="E512" s="15" t="s">
        <v>894</v>
      </c>
      <c r="F512" s="15" t="s">
        <v>1176</v>
      </c>
      <c r="G512" s="15">
        <v>0</v>
      </c>
      <c r="H512" s="15">
        <v>0</v>
      </c>
      <c r="I512" s="15">
        <v>0</v>
      </c>
      <c r="J512" s="15">
        <v>0</v>
      </c>
      <c r="K512" s="15">
        <v>0</v>
      </c>
      <c r="L512" s="15">
        <v>0</v>
      </c>
      <c r="M512" s="15">
        <v>0</v>
      </c>
      <c r="N512" s="15">
        <v>0</v>
      </c>
      <c r="O512" s="15">
        <v>0</v>
      </c>
      <c r="P512" s="15">
        <v>0</v>
      </c>
      <c r="Q512" s="15">
        <v>0</v>
      </c>
      <c r="R512" s="15">
        <v>0</v>
      </c>
      <c r="S512" s="15">
        <v>0</v>
      </c>
      <c r="T512" s="15">
        <v>0</v>
      </c>
      <c r="U512" s="15">
        <v>0</v>
      </c>
      <c r="V512" s="15">
        <f>($J512*0.04)+($K512*4)+($L512*-2)+($N512*0.1)+($O512*6)+($Q512)+($R512*0.1)+($S512*6)+($T512*-2)</f>
        <v>0</v>
      </c>
      <c r="W512" s="15" t="e">
        <f>$P512/$H$33</f>
        <v>#DIV/0!</v>
      </c>
      <c r="X512" s="15" t="e">
        <f>$N512/$M512</f>
        <v>#DIV/0!</v>
      </c>
      <c r="Y512" s="15" t="e">
        <f>$R512/$Q512</f>
        <v>#DIV/0!</v>
      </c>
      <c r="Z512" s="15" t="e">
        <f>$I512/$H512</f>
        <v>#DIV/0!</v>
      </c>
      <c r="AA512" s="15" t="e">
        <f>$K512/$H512</f>
        <v>#DIV/0!</v>
      </c>
      <c r="AB512" s="15">
        <f>($J512*Cp_yd)+($K512*Cp_td)+($L512*Cint)+($M512*Ccar)+($N512*Cr_yd)+($O512*Cr_td)+(Q512*Crec)+($R512*Crec_yd)+($S512*Crec_td)+($T512*Cfmb)+($U512*Ctp_c)</f>
        <v>0</v>
      </c>
    </row>
    <row r="513" spans="1:28" x14ac:dyDescent="0.2">
      <c r="A513" s="16" t="s">
        <v>1219</v>
      </c>
      <c r="B513" s="16" t="s">
        <v>38</v>
      </c>
      <c r="C513" s="16">
        <v>23</v>
      </c>
      <c r="D513" s="16">
        <v>0</v>
      </c>
      <c r="E513" s="16" t="s">
        <v>393</v>
      </c>
      <c r="F513" s="16" t="s">
        <v>1176</v>
      </c>
      <c r="G513" s="16">
        <v>0</v>
      </c>
      <c r="H513" s="16">
        <v>0</v>
      </c>
      <c r="I513" s="16">
        <v>0</v>
      </c>
      <c r="J513" s="16">
        <v>0</v>
      </c>
      <c r="K513" s="16">
        <v>0</v>
      </c>
      <c r="L513" s="16">
        <v>0</v>
      </c>
      <c r="M513" s="16">
        <v>0</v>
      </c>
      <c r="N513" s="16">
        <v>0</v>
      </c>
      <c r="O513" s="16">
        <v>0</v>
      </c>
      <c r="P513" s="16">
        <v>0</v>
      </c>
      <c r="Q513" s="16">
        <v>0</v>
      </c>
      <c r="R513" s="16">
        <v>0</v>
      </c>
      <c r="S513" s="16">
        <v>0</v>
      </c>
      <c r="T513" s="16">
        <v>0</v>
      </c>
      <c r="U513" s="16">
        <v>0</v>
      </c>
      <c r="V513" s="16">
        <f>($J513*0.04)+($K513*4)+($L513*-2)+($N513*0.1)+($O513*6)+($Q513)+($R513*0.1)+($S513*6)+($T513*-2)</f>
        <v>0</v>
      </c>
      <c r="W513" s="16" t="e">
        <f>$P513/$H$33</f>
        <v>#DIV/0!</v>
      </c>
      <c r="X513" s="16" t="e">
        <f>$N513/$M513</f>
        <v>#DIV/0!</v>
      </c>
      <c r="Y513" s="16" t="e">
        <f>$R513/$Q513</f>
        <v>#DIV/0!</v>
      </c>
      <c r="Z513" s="16" t="e">
        <f>$I513/$H513</f>
        <v>#DIV/0!</v>
      </c>
      <c r="AA513" s="16" t="e">
        <f>$K513/$H513</f>
        <v>#DIV/0!</v>
      </c>
      <c r="AB513" s="16">
        <f>($J513*Cp_yd)+($K513*Cp_td)+($L513*Cint)+($M513*Ccar)+($N513*Cr_yd)+($O513*Cr_td)+(Q513*Crec)+($R513*Crec_yd)+($S513*Crec_td)+($T513*Cfmb)+($U513*Ctp_c)</f>
        <v>0</v>
      </c>
    </row>
    <row r="514" spans="1:28" x14ac:dyDescent="0.2">
      <c r="A514" s="15" t="s">
        <v>1237</v>
      </c>
      <c r="B514" s="15" t="s">
        <v>26</v>
      </c>
      <c r="C514" s="15">
        <v>24</v>
      </c>
      <c r="D514" s="15">
        <v>0</v>
      </c>
      <c r="E514" s="15" t="s">
        <v>209</v>
      </c>
      <c r="F514" s="15" t="s">
        <v>1222</v>
      </c>
      <c r="G514" s="15">
        <v>0</v>
      </c>
      <c r="H514" s="15">
        <v>0</v>
      </c>
      <c r="I514" s="15">
        <v>0</v>
      </c>
      <c r="J514" s="15">
        <v>0</v>
      </c>
      <c r="K514" s="15">
        <v>0</v>
      </c>
      <c r="L514" s="15">
        <v>0</v>
      </c>
      <c r="M514" s="15">
        <v>0</v>
      </c>
      <c r="N514" s="15">
        <v>0</v>
      </c>
      <c r="O514" s="15">
        <v>0</v>
      </c>
      <c r="P514" s="15">
        <v>0</v>
      </c>
      <c r="Q514" s="15">
        <v>0</v>
      </c>
      <c r="R514" s="15">
        <v>0</v>
      </c>
      <c r="S514" s="15">
        <v>0</v>
      </c>
      <c r="T514" s="15">
        <v>0</v>
      </c>
      <c r="U514" s="15">
        <v>0</v>
      </c>
      <c r="V514" s="15">
        <f>($J514*0.04)+($K514*4)+($L514*-2)+($N514*0.1)+($O514*6)+($Q514)+($R514*0.1)+($S514*6)+($T514*-2)</f>
        <v>0</v>
      </c>
      <c r="W514" s="15" t="e">
        <f>$P514/$H$33</f>
        <v>#DIV/0!</v>
      </c>
      <c r="X514" s="15" t="e">
        <f>$N514/$M514</f>
        <v>#DIV/0!</v>
      </c>
      <c r="Y514" s="15" t="e">
        <f>$R514/$Q514</f>
        <v>#DIV/0!</v>
      </c>
      <c r="Z514" s="15" t="e">
        <f>$I514/$H514</f>
        <v>#DIV/0!</v>
      </c>
      <c r="AA514" s="15" t="e">
        <f>$K514/$H514</f>
        <v>#DIV/0!</v>
      </c>
      <c r="AB514" s="15">
        <f>($J514*Cp_yd)+($K514*Cp_td)+($L514*Cint)+($M514*Ccar)+($N514*Cr_yd)+($O514*Cr_td)+(Q514*Crec)+($R514*Crec_yd)+($S514*Crec_td)+($T514*Cfmb)+($U514*Ctp_c)</f>
        <v>0</v>
      </c>
    </row>
    <row r="515" spans="1:28" x14ac:dyDescent="0.2">
      <c r="A515" s="16" t="s">
        <v>1238</v>
      </c>
      <c r="B515" s="16" t="s">
        <v>26</v>
      </c>
      <c r="C515" s="16">
        <v>24</v>
      </c>
      <c r="D515" s="16">
        <v>3</v>
      </c>
      <c r="E515" s="16" t="s">
        <v>153</v>
      </c>
      <c r="F515" s="16" t="s">
        <v>1222</v>
      </c>
      <c r="G515" s="16">
        <v>0</v>
      </c>
      <c r="H515" s="16">
        <v>0</v>
      </c>
      <c r="I515" s="16">
        <v>0</v>
      </c>
      <c r="J515" s="16">
        <v>0</v>
      </c>
      <c r="K515" s="16">
        <v>0</v>
      </c>
      <c r="L515" s="16">
        <v>0</v>
      </c>
      <c r="M515" s="16">
        <v>0</v>
      </c>
      <c r="N515" s="16">
        <v>0</v>
      </c>
      <c r="O515" s="16">
        <v>0</v>
      </c>
      <c r="P515" s="16">
        <v>0</v>
      </c>
      <c r="Q515" s="16">
        <v>0</v>
      </c>
      <c r="R515" s="16">
        <v>0</v>
      </c>
      <c r="S515" s="16">
        <v>0</v>
      </c>
      <c r="T515" s="16">
        <v>0</v>
      </c>
      <c r="U515" s="16">
        <v>0</v>
      </c>
      <c r="V515" s="16">
        <f>($J515*0.04)+($K515*4)+($L515*-2)+($N515*0.1)+($O515*6)+($Q515)+($R515*0.1)+($S515*6)+($T515*-2)</f>
        <v>0</v>
      </c>
      <c r="W515" s="16" t="e">
        <f>$P515/$H$33</f>
        <v>#DIV/0!</v>
      </c>
      <c r="X515" s="16" t="e">
        <f>$N515/$M515</f>
        <v>#DIV/0!</v>
      </c>
      <c r="Y515" s="16" t="e">
        <f>$R515/$Q515</f>
        <v>#DIV/0!</v>
      </c>
      <c r="Z515" s="16" t="e">
        <f>$I515/$H515</f>
        <v>#DIV/0!</v>
      </c>
      <c r="AA515" s="16" t="e">
        <f>$K515/$H515</f>
        <v>#DIV/0!</v>
      </c>
      <c r="AB515" s="16">
        <f>($J515*Cp_yd)+($K515*Cp_td)+($L515*Cint)+($M515*Ccar)+($N515*Cr_yd)+($O515*Cr_td)+(Q515*Crec)+($R515*Crec_yd)+($S515*Crec_td)+($T515*Cfmb)+($U515*Ctp_c)</f>
        <v>0</v>
      </c>
    </row>
    <row r="516" spans="1:28" x14ac:dyDescent="0.2">
      <c r="A516" s="15" t="s">
        <v>1239</v>
      </c>
      <c r="B516" s="15" t="s">
        <v>26</v>
      </c>
      <c r="C516" s="15">
        <v>27</v>
      </c>
      <c r="D516" s="15">
        <v>5</v>
      </c>
      <c r="E516" s="15" t="s">
        <v>339</v>
      </c>
      <c r="F516" s="15" t="s">
        <v>1222</v>
      </c>
      <c r="G516" s="15">
        <v>0</v>
      </c>
      <c r="H516" s="15">
        <v>0</v>
      </c>
      <c r="I516" s="15">
        <v>0</v>
      </c>
      <c r="J516" s="15">
        <v>0</v>
      </c>
      <c r="K516" s="15">
        <v>0</v>
      </c>
      <c r="L516" s="15">
        <v>0</v>
      </c>
      <c r="M516" s="15">
        <v>0</v>
      </c>
      <c r="N516" s="15">
        <v>0</v>
      </c>
      <c r="O516" s="15">
        <v>0</v>
      </c>
      <c r="P516" s="15">
        <v>0</v>
      </c>
      <c r="Q516" s="15">
        <v>0</v>
      </c>
      <c r="R516" s="15">
        <v>0</v>
      </c>
      <c r="S516" s="15">
        <v>0</v>
      </c>
      <c r="T516" s="15">
        <v>0</v>
      </c>
      <c r="U516" s="15">
        <v>0</v>
      </c>
      <c r="V516" s="15">
        <f>($J516*0.04)+($K516*4)+($L516*-2)+($N516*0.1)+($O516*6)+($Q516)+($R516*0.1)+($S516*6)+($T516*-2)</f>
        <v>0</v>
      </c>
      <c r="W516" s="15" t="e">
        <f>$P516/$H$33</f>
        <v>#DIV/0!</v>
      </c>
      <c r="X516" s="15" t="e">
        <f>$N516/$M516</f>
        <v>#DIV/0!</v>
      </c>
      <c r="Y516" s="15" t="e">
        <f>$R516/$Q516</f>
        <v>#DIV/0!</v>
      </c>
      <c r="Z516" s="15" t="e">
        <f>$I516/$H516</f>
        <v>#DIV/0!</v>
      </c>
      <c r="AA516" s="15" t="e">
        <f>$K516/$H516</f>
        <v>#DIV/0!</v>
      </c>
      <c r="AB516" s="15">
        <f>($J516*Cp_yd)+($K516*Cp_td)+($L516*Cint)+($M516*Ccar)+($N516*Cr_yd)+($O516*Cr_td)+(Q516*Crec)+($R516*Crec_yd)+($S516*Crec_td)+($T516*Cfmb)+($U516*Ctp_c)</f>
        <v>0</v>
      </c>
    </row>
    <row r="517" spans="1:28" x14ac:dyDescent="0.2">
      <c r="A517" s="16" t="s">
        <v>1241</v>
      </c>
      <c r="B517" s="16" t="s">
        <v>31</v>
      </c>
      <c r="C517" s="16">
        <v>28</v>
      </c>
      <c r="D517" s="16">
        <v>8</v>
      </c>
      <c r="E517" s="16" t="s">
        <v>213</v>
      </c>
      <c r="F517" s="16" t="s">
        <v>1222</v>
      </c>
      <c r="G517" s="16">
        <v>0</v>
      </c>
      <c r="H517" s="16">
        <v>0</v>
      </c>
      <c r="I517" s="16">
        <v>0</v>
      </c>
      <c r="J517" s="16">
        <v>0</v>
      </c>
      <c r="K517" s="16">
        <v>0</v>
      </c>
      <c r="L517" s="16">
        <v>0</v>
      </c>
      <c r="M517" s="16">
        <v>0</v>
      </c>
      <c r="N517" s="16">
        <v>0</v>
      </c>
      <c r="O517" s="16">
        <v>0</v>
      </c>
      <c r="P517" s="16">
        <v>0</v>
      </c>
      <c r="Q517" s="16">
        <v>0</v>
      </c>
      <c r="R517" s="16">
        <v>0</v>
      </c>
      <c r="S517" s="16">
        <v>0</v>
      </c>
      <c r="T517" s="16">
        <v>0</v>
      </c>
      <c r="U517" s="16">
        <v>0</v>
      </c>
      <c r="V517" s="16">
        <f>($J517*0.04)+($K517*4)+($L517*-2)+($N517*0.1)+($O517*6)+($Q517)+($R517*0.1)+($S517*6)+($T517*-2)</f>
        <v>0</v>
      </c>
      <c r="W517" s="16" t="e">
        <f>$P517/$H$33</f>
        <v>#DIV/0!</v>
      </c>
      <c r="X517" s="16" t="e">
        <f>$N517/$M517</f>
        <v>#DIV/0!</v>
      </c>
      <c r="Y517" s="16" t="e">
        <f>$R517/$Q517</f>
        <v>#DIV/0!</v>
      </c>
      <c r="Z517" s="16" t="e">
        <f>$I517/$H517</f>
        <v>#DIV/0!</v>
      </c>
      <c r="AA517" s="16" t="e">
        <f>$K517/$H517</f>
        <v>#DIV/0!</v>
      </c>
      <c r="AB517" s="16">
        <f>($J517*Cp_yd)+($K517*Cp_td)+($L517*Cint)+($M517*Ccar)+($N517*Cr_yd)+($O517*Cr_td)+(Q517*Crec)+($R517*Crec_yd)+($S517*Crec_td)+($T517*Cfmb)+($U517*Ctp_c)</f>
        <v>0</v>
      </c>
    </row>
    <row r="518" spans="1:28" x14ac:dyDescent="0.2">
      <c r="A518" s="15" t="s">
        <v>1242</v>
      </c>
      <c r="B518" s="15" t="s">
        <v>31</v>
      </c>
      <c r="C518" s="15">
        <v>22</v>
      </c>
      <c r="D518" s="15">
        <v>2</v>
      </c>
      <c r="E518" s="15" t="s">
        <v>341</v>
      </c>
      <c r="F518" s="15" t="s">
        <v>1222</v>
      </c>
      <c r="G518" s="15">
        <v>0</v>
      </c>
      <c r="H518" s="15">
        <v>0</v>
      </c>
      <c r="I518" s="15">
        <v>0</v>
      </c>
      <c r="J518" s="15">
        <v>0</v>
      </c>
      <c r="K518" s="15">
        <v>0</v>
      </c>
      <c r="L518" s="15">
        <v>0</v>
      </c>
      <c r="M518" s="15">
        <v>0</v>
      </c>
      <c r="N518" s="15">
        <v>0</v>
      </c>
      <c r="O518" s="15">
        <v>0</v>
      </c>
      <c r="P518" s="15">
        <v>0</v>
      </c>
      <c r="Q518" s="15">
        <v>0</v>
      </c>
      <c r="R518" s="15">
        <v>0</v>
      </c>
      <c r="S518" s="15">
        <v>0</v>
      </c>
      <c r="T518" s="15">
        <v>0</v>
      </c>
      <c r="U518" s="15">
        <v>0</v>
      </c>
      <c r="V518" s="15">
        <f>($J518*0.04)+($K518*4)+($L518*-2)+($N518*0.1)+($O518*6)+($Q518)+($R518*0.1)+($S518*6)+($T518*-2)</f>
        <v>0</v>
      </c>
      <c r="W518" s="15" t="e">
        <f>$P518/$H$33</f>
        <v>#DIV/0!</v>
      </c>
      <c r="X518" s="15" t="e">
        <f>$N518/$M518</f>
        <v>#DIV/0!</v>
      </c>
      <c r="Y518" s="15" t="e">
        <f>$R518/$Q518</f>
        <v>#DIV/0!</v>
      </c>
      <c r="Z518" s="15" t="e">
        <f>$I518/$H518</f>
        <v>#DIV/0!</v>
      </c>
      <c r="AA518" s="15" t="e">
        <f>$K518/$H518</f>
        <v>#DIV/0!</v>
      </c>
      <c r="AB518" s="15">
        <f>($J518*Cp_yd)+($K518*Cp_td)+($L518*Cint)+($M518*Ccar)+($N518*Cr_yd)+($O518*Cr_td)+(Q518*Crec)+($R518*Crec_yd)+($S518*Crec_td)+($T518*Cfmb)+($U518*Ctp_c)</f>
        <v>0</v>
      </c>
    </row>
    <row r="519" spans="1:28" x14ac:dyDescent="0.2">
      <c r="A519" s="16" t="s">
        <v>1243</v>
      </c>
      <c r="B519" s="16" t="s">
        <v>31</v>
      </c>
      <c r="C519" s="16">
        <v>26</v>
      </c>
      <c r="D519" s="16">
        <v>1</v>
      </c>
      <c r="E519" s="16" t="s">
        <v>246</v>
      </c>
      <c r="F519" s="16" t="s">
        <v>1222</v>
      </c>
      <c r="G519" s="16">
        <v>0</v>
      </c>
      <c r="H519" s="16">
        <v>0</v>
      </c>
      <c r="I519" s="16">
        <v>0</v>
      </c>
      <c r="J519" s="16">
        <v>0</v>
      </c>
      <c r="K519" s="16">
        <v>0</v>
      </c>
      <c r="L519" s="16">
        <v>0</v>
      </c>
      <c r="M519" s="16">
        <v>0</v>
      </c>
      <c r="N519" s="16">
        <v>0</v>
      </c>
      <c r="O519" s="16">
        <v>0</v>
      </c>
      <c r="P519" s="16">
        <v>0</v>
      </c>
      <c r="Q519" s="16">
        <v>0</v>
      </c>
      <c r="R519" s="16">
        <v>0</v>
      </c>
      <c r="S519" s="16">
        <v>0</v>
      </c>
      <c r="T519" s="16">
        <v>0</v>
      </c>
      <c r="U519" s="16">
        <v>0</v>
      </c>
      <c r="V519" s="16">
        <f>($J519*0.04)+($K519*4)+($L519*-2)+($N519*0.1)+($O519*6)+($Q519)+($R519*0.1)+($S519*6)+($T519*-2)</f>
        <v>0</v>
      </c>
      <c r="W519" s="16" t="e">
        <f>$P519/$H$33</f>
        <v>#DIV/0!</v>
      </c>
      <c r="X519" s="16" t="e">
        <f>$N519/$M519</f>
        <v>#DIV/0!</v>
      </c>
      <c r="Y519" s="16" t="e">
        <f>$R519/$Q519</f>
        <v>#DIV/0!</v>
      </c>
      <c r="Z519" s="16" t="e">
        <f>$I519/$H519</f>
        <v>#DIV/0!</v>
      </c>
      <c r="AA519" s="16" t="e">
        <f>$K519/$H519</f>
        <v>#DIV/0!</v>
      </c>
      <c r="AB519" s="16">
        <f>($J519*Cp_yd)+($K519*Cp_td)+($L519*Cint)+($M519*Ccar)+($N519*Cr_yd)+($O519*Cr_td)+(Q519*Crec)+($R519*Crec_yd)+($S519*Crec_td)+($T519*Cfmb)+($U519*Ctp_c)</f>
        <v>0</v>
      </c>
    </row>
    <row r="520" spans="1:28" x14ac:dyDescent="0.2">
      <c r="A520" s="15" t="s">
        <v>1244</v>
      </c>
      <c r="B520" s="15" t="s">
        <v>31</v>
      </c>
      <c r="C520" s="15">
        <v>25</v>
      </c>
      <c r="D520" s="15">
        <v>3</v>
      </c>
      <c r="E520" s="15" t="s">
        <v>68</v>
      </c>
      <c r="F520" s="15" t="s">
        <v>1222</v>
      </c>
      <c r="G520" s="15">
        <v>0</v>
      </c>
      <c r="H520" s="15">
        <v>0</v>
      </c>
      <c r="I520" s="15">
        <v>0</v>
      </c>
      <c r="J520" s="15">
        <v>0</v>
      </c>
      <c r="K520" s="15">
        <v>0</v>
      </c>
      <c r="L520" s="15">
        <v>0</v>
      </c>
      <c r="M520" s="15">
        <v>0</v>
      </c>
      <c r="N520" s="15">
        <v>0</v>
      </c>
      <c r="O520" s="15">
        <v>0</v>
      </c>
      <c r="P520" s="15">
        <v>0</v>
      </c>
      <c r="Q520" s="15">
        <v>0</v>
      </c>
      <c r="R520" s="15">
        <v>0</v>
      </c>
      <c r="S520" s="15">
        <v>0</v>
      </c>
      <c r="T520" s="15">
        <v>0</v>
      </c>
      <c r="U520" s="15">
        <v>0</v>
      </c>
      <c r="V520" s="15">
        <f>($J520*0.04)+($K520*4)+($L520*-2)+($N520*0.1)+($O520*6)+($Q520)+($R520*0.1)+($S520*6)+($T520*-2)</f>
        <v>0</v>
      </c>
      <c r="W520" s="15" t="e">
        <f>$P520/$H$33</f>
        <v>#DIV/0!</v>
      </c>
      <c r="X520" s="15" t="e">
        <f>$N520/$M520</f>
        <v>#DIV/0!</v>
      </c>
      <c r="Y520" s="15" t="e">
        <f>$R520/$Q520</f>
        <v>#DIV/0!</v>
      </c>
      <c r="Z520" s="15" t="e">
        <f>$I520/$H520</f>
        <v>#DIV/0!</v>
      </c>
      <c r="AA520" s="15" t="e">
        <f>$K520/$H520</f>
        <v>#DIV/0!</v>
      </c>
      <c r="AB520" s="15">
        <f>($J520*Cp_yd)+($K520*Cp_td)+($L520*Cint)+($M520*Ccar)+($N520*Cr_yd)+($O520*Cr_td)+(Q520*Crec)+($R520*Crec_yd)+($S520*Crec_td)+($T520*Cfmb)+($U520*Ctp_c)</f>
        <v>0</v>
      </c>
    </row>
    <row r="521" spans="1:28" x14ac:dyDescent="0.2">
      <c r="A521" s="16" t="s">
        <v>1245</v>
      </c>
      <c r="B521" s="16" t="s">
        <v>31</v>
      </c>
      <c r="C521" s="16">
        <v>24</v>
      </c>
      <c r="D521" s="16">
        <v>2</v>
      </c>
      <c r="E521" s="16" t="s">
        <v>753</v>
      </c>
      <c r="F521" s="16" t="s">
        <v>1222</v>
      </c>
      <c r="G521" s="16">
        <v>0</v>
      </c>
      <c r="H521" s="16">
        <v>0</v>
      </c>
      <c r="I521" s="16">
        <v>0</v>
      </c>
      <c r="J521" s="16">
        <v>0</v>
      </c>
      <c r="K521" s="16">
        <v>0</v>
      </c>
      <c r="L521" s="16">
        <v>0</v>
      </c>
      <c r="M521" s="16">
        <v>0</v>
      </c>
      <c r="N521" s="16">
        <v>0</v>
      </c>
      <c r="O521" s="16">
        <v>0</v>
      </c>
      <c r="P521" s="16">
        <v>0</v>
      </c>
      <c r="Q521" s="16">
        <v>0</v>
      </c>
      <c r="R521" s="16">
        <v>0</v>
      </c>
      <c r="S521" s="16">
        <v>0</v>
      </c>
      <c r="T521" s="16">
        <v>0</v>
      </c>
      <c r="U521" s="16">
        <v>0</v>
      </c>
      <c r="V521" s="16">
        <f>($J521*0.04)+($K521*4)+($L521*-2)+($N521*0.1)+($O521*6)+($Q521)+($R521*0.1)+($S521*6)+($T521*-2)</f>
        <v>0</v>
      </c>
      <c r="W521" s="16" t="e">
        <f>$P521/$H$33</f>
        <v>#DIV/0!</v>
      </c>
      <c r="X521" s="16" t="e">
        <f>$N521/$M521</f>
        <v>#DIV/0!</v>
      </c>
      <c r="Y521" s="16" t="e">
        <f>$R521/$Q521</f>
        <v>#DIV/0!</v>
      </c>
      <c r="Z521" s="16" t="e">
        <f>$I521/$H521</f>
        <v>#DIV/0!</v>
      </c>
      <c r="AA521" s="16" t="e">
        <f>$K521/$H521</f>
        <v>#DIV/0!</v>
      </c>
      <c r="AB521" s="16">
        <f>($J521*Cp_yd)+($K521*Cp_td)+($L521*Cint)+($M521*Ccar)+($N521*Cr_yd)+($O521*Cr_td)+(Q521*Crec)+($R521*Crec_yd)+($S521*Crec_td)+($T521*Cfmb)+($U521*Ctp_c)</f>
        <v>0</v>
      </c>
    </row>
    <row r="522" spans="1:28" x14ac:dyDescent="0.2">
      <c r="A522" s="15" t="s">
        <v>1248</v>
      </c>
      <c r="B522" s="15" t="s">
        <v>43</v>
      </c>
      <c r="C522" s="15">
        <v>28</v>
      </c>
      <c r="D522" s="15">
        <v>7</v>
      </c>
      <c r="E522" s="15" t="s">
        <v>413</v>
      </c>
      <c r="F522" s="15" t="s">
        <v>1222</v>
      </c>
      <c r="G522" s="15">
        <v>0</v>
      </c>
      <c r="H522" s="15">
        <v>0</v>
      </c>
      <c r="I522" s="15">
        <v>0</v>
      </c>
      <c r="J522" s="15">
        <v>0</v>
      </c>
      <c r="K522" s="15">
        <v>0</v>
      </c>
      <c r="L522" s="15">
        <v>0</v>
      </c>
      <c r="M522" s="15">
        <v>0</v>
      </c>
      <c r="N522" s="15">
        <v>0</v>
      </c>
      <c r="O522" s="15">
        <v>0</v>
      </c>
      <c r="P522" s="15">
        <v>0</v>
      </c>
      <c r="Q522" s="15">
        <v>0</v>
      </c>
      <c r="R522" s="15">
        <v>0</v>
      </c>
      <c r="S522" s="15">
        <v>0</v>
      </c>
      <c r="T522" s="15">
        <v>0</v>
      </c>
      <c r="U522" s="15">
        <v>0</v>
      </c>
      <c r="V522" s="15">
        <f>($J522*0.04)+($K522*4)+($L522*-2)+($N522*0.1)+($O522*6)+($Q522)+($R522*0.1)+($S522*6)+($T522*-2)</f>
        <v>0</v>
      </c>
      <c r="W522" s="15" t="e">
        <f>$P522/$H$33</f>
        <v>#DIV/0!</v>
      </c>
      <c r="X522" s="15" t="e">
        <f>$N522/$M522</f>
        <v>#DIV/0!</v>
      </c>
      <c r="Y522" s="15" t="e">
        <f>$R522/$Q522</f>
        <v>#DIV/0!</v>
      </c>
      <c r="Z522" s="15" t="e">
        <f>$I522/$H522</f>
        <v>#DIV/0!</v>
      </c>
      <c r="AA522" s="15" t="e">
        <f>$K522/$H522</f>
        <v>#DIV/0!</v>
      </c>
      <c r="AB522" s="15">
        <f>($J522*Cp_yd)+($K522*Cp_td)+($L522*Cint)+($M522*Ccar)+($N522*Cr_yd)+($O522*Cr_td)+(Q522*Crec)+($R522*Crec_yd)+($S522*Crec_td)+($T522*Cfmb)+($U522*Ctp_c)</f>
        <v>0</v>
      </c>
    </row>
    <row r="523" spans="1:28" x14ac:dyDescent="0.2">
      <c r="A523" s="16" t="s">
        <v>1249</v>
      </c>
      <c r="B523" s="16" t="s">
        <v>43</v>
      </c>
      <c r="C523" s="16">
        <v>21</v>
      </c>
      <c r="D523" s="16">
        <v>0</v>
      </c>
      <c r="E523" s="16" t="s">
        <v>227</v>
      </c>
      <c r="F523" s="16" t="s">
        <v>1222</v>
      </c>
      <c r="G523" s="16">
        <v>0</v>
      </c>
      <c r="H523" s="16">
        <v>0</v>
      </c>
      <c r="I523" s="16">
        <v>0</v>
      </c>
      <c r="J523" s="16">
        <v>0</v>
      </c>
      <c r="K523" s="16">
        <v>0</v>
      </c>
      <c r="L523" s="16">
        <v>0</v>
      </c>
      <c r="M523" s="16">
        <v>0</v>
      </c>
      <c r="N523" s="16">
        <v>0</v>
      </c>
      <c r="O523" s="16">
        <v>0</v>
      </c>
      <c r="P523" s="16">
        <v>0</v>
      </c>
      <c r="Q523" s="16">
        <v>0</v>
      </c>
      <c r="R523" s="16">
        <v>0</v>
      </c>
      <c r="S523" s="16">
        <v>0</v>
      </c>
      <c r="T523" s="16">
        <v>0</v>
      </c>
      <c r="U523" s="16">
        <v>0</v>
      </c>
      <c r="V523" s="16">
        <f>($J523*0.04)+($K523*4)+($L523*-2)+($N523*0.1)+($O523*6)+($Q523)+($R523*0.1)+($S523*6)+($T523*-2)</f>
        <v>0</v>
      </c>
      <c r="W523" s="16" t="e">
        <f>$P523/$H$33</f>
        <v>#DIV/0!</v>
      </c>
      <c r="X523" s="16" t="e">
        <f>$N523/$M523</f>
        <v>#DIV/0!</v>
      </c>
      <c r="Y523" s="16" t="e">
        <f>$R523/$Q523</f>
        <v>#DIV/0!</v>
      </c>
      <c r="Z523" s="16" t="e">
        <f>$I523/$H523</f>
        <v>#DIV/0!</v>
      </c>
      <c r="AA523" s="16" t="e">
        <f>$K523/$H523</f>
        <v>#DIV/0!</v>
      </c>
      <c r="AB523" s="16">
        <f>($J523*Cp_yd)+($K523*Cp_td)+($L523*Cint)+($M523*Ccar)+($N523*Cr_yd)+($O523*Cr_td)+(Q523*Crec)+($R523*Crec_yd)+($S523*Crec_td)+($T523*Cfmb)+($U523*Ctp_c)</f>
        <v>0</v>
      </c>
    </row>
    <row r="524" spans="1:28" x14ac:dyDescent="0.2">
      <c r="A524" s="15" t="s">
        <v>1250</v>
      </c>
      <c r="B524" s="15" t="s">
        <v>43</v>
      </c>
      <c r="C524" s="15">
        <v>22</v>
      </c>
      <c r="D524" s="15">
        <v>0</v>
      </c>
      <c r="E524" s="15" t="s">
        <v>1251</v>
      </c>
      <c r="F524" s="15" t="s">
        <v>1222</v>
      </c>
      <c r="G524" s="15">
        <v>0</v>
      </c>
      <c r="H524" s="15">
        <v>0</v>
      </c>
      <c r="I524" s="15">
        <v>0</v>
      </c>
      <c r="J524" s="15">
        <v>0</v>
      </c>
      <c r="K524" s="15">
        <v>0</v>
      </c>
      <c r="L524" s="15">
        <v>0</v>
      </c>
      <c r="M524" s="15">
        <v>0</v>
      </c>
      <c r="N524" s="15">
        <v>0</v>
      </c>
      <c r="O524" s="15">
        <v>0</v>
      </c>
      <c r="P524" s="15">
        <v>0</v>
      </c>
      <c r="Q524" s="15">
        <v>0</v>
      </c>
      <c r="R524" s="15">
        <v>0</v>
      </c>
      <c r="S524" s="15">
        <v>0</v>
      </c>
      <c r="T524" s="15">
        <v>0</v>
      </c>
      <c r="U524" s="15">
        <v>0</v>
      </c>
      <c r="V524" s="15">
        <f>($J524*0.04)+($K524*4)+($L524*-2)+($N524*0.1)+($O524*6)+($Q524)+($R524*0.1)+($S524*6)+($T524*-2)</f>
        <v>0</v>
      </c>
      <c r="W524" s="15" t="e">
        <f>$P524/$H$33</f>
        <v>#DIV/0!</v>
      </c>
      <c r="X524" s="15" t="e">
        <f>$N524/$M524</f>
        <v>#DIV/0!</v>
      </c>
      <c r="Y524" s="15" t="e">
        <f>$R524/$Q524</f>
        <v>#DIV/0!</v>
      </c>
      <c r="Z524" s="15" t="e">
        <f>$I524/$H524</f>
        <v>#DIV/0!</v>
      </c>
      <c r="AA524" s="15" t="e">
        <f>$K524/$H524</f>
        <v>#DIV/0!</v>
      </c>
      <c r="AB524" s="15">
        <f>($J524*Cp_yd)+($K524*Cp_td)+($L524*Cint)+($M524*Ccar)+($N524*Cr_yd)+($O524*Cr_td)+(Q524*Crec)+($R524*Crec_yd)+($S524*Crec_td)+($T524*Cfmb)+($U524*Ctp_c)</f>
        <v>0</v>
      </c>
    </row>
    <row r="525" spans="1:28" x14ac:dyDescent="0.2">
      <c r="A525" s="16" t="s">
        <v>1252</v>
      </c>
      <c r="B525" s="16" t="s">
        <v>43</v>
      </c>
      <c r="C525" s="16">
        <v>27</v>
      </c>
      <c r="D525" s="16">
        <v>4</v>
      </c>
      <c r="E525" s="16" t="s">
        <v>393</v>
      </c>
      <c r="F525" s="16" t="s">
        <v>1222</v>
      </c>
      <c r="G525" s="16">
        <v>0</v>
      </c>
      <c r="H525" s="16">
        <v>0</v>
      </c>
      <c r="I525" s="16">
        <v>0</v>
      </c>
      <c r="J525" s="16">
        <v>0</v>
      </c>
      <c r="K525" s="16">
        <v>0</v>
      </c>
      <c r="L525" s="16">
        <v>0</v>
      </c>
      <c r="M525" s="16">
        <v>0</v>
      </c>
      <c r="N525" s="16">
        <v>0</v>
      </c>
      <c r="O525" s="16">
        <v>0</v>
      </c>
      <c r="P525" s="16">
        <v>0</v>
      </c>
      <c r="Q525" s="16">
        <v>0</v>
      </c>
      <c r="R525" s="16">
        <v>0</v>
      </c>
      <c r="S525" s="16">
        <v>0</v>
      </c>
      <c r="T525" s="16">
        <v>0</v>
      </c>
      <c r="U525" s="16">
        <v>0</v>
      </c>
      <c r="V525" s="16">
        <f>($J525*0.04)+($K525*4)+($L525*-2)+($N525*0.1)+($O525*6)+($Q525)+($R525*0.1)+($S525*6)+($T525*-2)</f>
        <v>0</v>
      </c>
      <c r="W525" s="16" t="e">
        <f>$P525/$H$33</f>
        <v>#DIV/0!</v>
      </c>
      <c r="X525" s="16" t="e">
        <f>$N525/$M525</f>
        <v>#DIV/0!</v>
      </c>
      <c r="Y525" s="16" t="e">
        <f>$R525/$Q525</f>
        <v>#DIV/0!</v>
      </c>
      <c r="Z525" s="16" t="e">
        <f>$I525/$H525</f>
        <v>#DIV/0!</v>
      </c>
      <c r="AA525" s="16" t="e">
        <f>$K525/$H525</f>
        <v>#DIV/0!</v>
      </c>
      <c r="AB525" s="16">
        <f>($J525*Cp_yd)+($K525*Cp_td)+($L525*Cint)+($M525*Ccar)+($N525*Cr_yd)+($O525*Cr_td)+(Q525*Crec)+($R525*Crec_yd)+($S525*Crec_td)+($T525*Cfmb)+($U525*Ctp_c)</f>
        <v>0</v>
      </c>
    </row>
    <row r="526" spans="1:28" x14ac:dyDescent="0.2">
      <c r="A526" s="15" t="s">
        <v>1253</v>
      </c>
      <c r="B526" s="15" t="s">
        <v>43</v>
      </c>
      <c r="C526" s="15">
        <v>30</v>
      </c>
      <c r="D526" s="15">
        <v>9</v>
      </c>
      <c r="E526" s="15" t="s">
        <v>102</v>
      </c>
      <c r="F526" s="15" t="s">
        <v>1222</v>
      </c>
      <c r="G526" s="15">
        <v>0</v>
      </c>
      <c r="H526" s="15">
        <v>0</v>
      </c>
      <c r="I526" s="15">
        <v>0</v>
      </c>
      <c r="J526" s="15">
        <v>0</v>
      </c>
      <c r="K526" s="15">
        <v>0</v>
      </c>
      <c r="L526" s="15">
        <v>0</v>
      </c>
      <c r="M526" s="15">
        <v>0</v>
      </c>
      <c r="N526" s="15">
        <v>0</v>
      </c>
      <c r="O526" s="15">
        <v>0</v>
      </c>
      <c r="P526" s="15">
        <v>0</v>
      </c>
      <c r="Q526" s="15">
        <v>0</v>
      </c>
      <c r="R526" s="15">
        <v>0</v>
      </c>
      <c r="S526" s="15">
        <v>0</v>
      </c>
      <c r="T526" s="15">
        <v>0</v>
      </c>
      <c r="U526" s="15">
        <v>0</v>
      </c>
      <c r="V526" s="15">
        <f>($J526*0.04)+($K526*4)+($L526*-2)+($N526*0.1)+($O526*6)+($Q526)+($R526*0.1)+($S526*6)+($T526*-2)</f>
        <v>0</v>
      </c>
      <c r="W526" s="15" t="e">
        <f>$P526/$H$33</f>
        <v>#DIV/0!</v>
      </c>
      <c r="X526" s="15" t="e">
        <f>$N526/$M526</f>
        <v>#DIV/0!</v>
      </c>
      <c r="Y526" s="15" t="e">
        <f>$R526/$Q526</f>
        <v>#DIV/0!</v>
      </c>
      <c r="Z526" s="15" t="e">
        <f>$I526/$H526</f>
        <v>#DIV/0!</v>
      </c>
      <c r="AA526" s="15" t="e">
        <f>$K526/$H526</f>
        <v>#DIV/0!</v>
      </c>
      <c r="AB526" s="15">
        <f>($J526*Cp_yd)+($K526*Cp_td)+($L526*Cint)+($M526*Ccar)+($N526*Cr_yd)+($O526*Cr_td)+(Q526*Crec)+($R526*Crec_yd)+($S526*Crec_td)+($T526*Cfmb)+($U526*Ctp_c)</f>
        <v>0</v>
      </c>
    </row>
    <row r="527" spans="1:28" x14ac:dyDescent="0.2">
      <c r="A527" s="16" t="s">
        <v>1254</v>
      </c>
      <c r="B527" s="16" t="s">
        <v>43</v>
      </c>
      <c r="C527" s="16">
        <v>25</v>
      </c>
      <c r="D527" s="16">
        <v>1</v>
      </c>
      <c r="E527" s="16" t="s">
        <v>282</v>
      </c>
      <c r="F527" s="16" t="s">
        <v>1222</v>
      </c>
      <c r="G527" s="16">
        <v>0</v>
      </c>
      <c r="H527" s="16">
        <v>0</v>
      </c>
      <c r="I527" s="16">
        <v>0</v>
      </c>
      <c r="J527" s="16">
        <v>0</v>
      </c>
      <c r="K527" s="16">
        <v>0</v>
      </c>
      <c r="L527" s="16">
        <v>0</v>
      </c>
      <c r="M527" s="16">
        <v>0</v>
      </c>
      <c r="N527" s="16">
        <v>0</v>
      </c>
      <c r="O527" s="16">
        <v>0</v>
      </c>
      <c r="P527" s="16">
        <v>0</v>
      </c>
      <c r="Q527" s="16">
        <v>0</v>
      </c>
      <c r="R527" s="16">
        <v>0</v>
      </c>
      <c r="S527" s="16">
        <v>0</v>
      </c>
      <c r="T527" s="16">
        <v>0</v>
      </c>
      <c r="U527" s="16">
        <v>0</v>
      </c>
      <c r="V527" s="16">
        <f>($J527*0.04)+($K527*4)+($L527*-2)+($N527*0.1)+($O527*6)+($Q527)+($R527*0.1)+($S527*6)+($T527*-2)</f>
        <v>0</v>
      </c>
      <c r="W527" s="16" t="e">
        <f>$P527/$H$33</f>
        <v>#DIV/0!</v>
      </c>
      <c r="X527" s="16" t="e">
        <f>$N527/$M527</f>
        <v>#DIV/0!</v>
      </c>
      <c r="Y527" s="16" t="e">
        <f>$R527/$Q527</f>
        <v>#DIV/0!</v>
      </c>
      <c r="Z527" s="16" t="e">
        <f>$I527/$H527</f>
        <v>#DIV/0!</v>
      </c>
      <c r="AA527" s="16" t="e">
        <f>$K527/$H527</f>
        <v>#DIV/0!</v>
      </c>
      <c r="AB527" s="16">
        <f>($J527*Cp_yd)+($K527*Cp_td)+($L527*Cint)+($M527*Ccar)+($N527*Cr_yd)+($O527*Cr_td)+(Q527*Crec)+($R527*Crec_yd)+($S527*Crec_td)+($T527*Cfmb)+($U527*Ctp_c)</f>
        <v>0</v>
      </c>
    </row>
    <row r="528" spans="1:28" x14ac:dyDescent="0.2">
      <c r="A528" s="15" t="s">
        <v>1255</v>
      </c>
      <c r="B528" s="15" t="s">
        <v>43</v>
      </c>
      <c r="C528" s="15">
        <v>30</v>
      </c>
      <c r="D528" s="15">
        <v>9</v>
      </c>
      <c r="E528" s="15" t="s">
        <v>209</v>
      </c>
      <c r="F528" s="15" t="s">
        <v>1222</v>
      </c>
      <c r="G528" s="15">
        <v>0</v>
      </c>
      <c r="H528" s="15">
        <v>0</v>
      </c>
      <c r="I528" s="15">
        <v>0</v>
      </c>
      <c r="J528" s="15">
        <v>0</v>
      </c>
      <c r="K528" s="15">
        <v>0</v>
      </c>
      <c r="L528" s="15">
        <v>0</v>
      </c>
      <c r="M528" s="15">
        <v>0</v>
      </c>
      <c r="N528" s="15">
        <v>0</v>
      </c>
      <c r="O528" s="15">
        <v>0</v>
      </c>
      <c r="P528" s="15">
        <v>0</v>
      </c>
      <c r="Q528" s="15">
        <v>0</v>
      </c>
      <c r="R528" s="15">
        <v>0</v>
      </c>
      <c r="S528" s="15">
        <v>0</v>
      </c>
      <c r="T528" s="15">
        <v>0</v>
      </c>
      <c r="U528" s="15">
        <v>0</v>
      </c>
      <c r="V528" s="15">
        <f>($J528*0.04)+($K528*4)+($L528*-2)+($N528*0.1)+($O528*6)+($Q528)+($R528*0.1)+($S528*6)+($T528*-2)</f>
        <v>0</v>
      </c>
      <c r="W528" s="15" t="e">
        <f>$P528/$H$33</f>
        <v>#DIV/0!</v>
      </c>
      <c r="X528" s="15" t="e">
        <f>$N528/$M528</f>
        <v>#DIV/0!</v>
      </c>
      <c r="Y528" s="15" t="e">
        <f>$R528/$Q528</f>
        <v>#DIV/0!</v>
      </c>
      <c r="Z528" s="15" t="e">
        <f>$I528/$H528</f>
        <v>#DIV/0!</v>
      </c>
      <c r="AA528" s="15" t="e">
        <f>$K528/$H528</f>
        <v>#DIV/0!</v>
      </c>
      <c r="AB528" s="15">
        <f>($J528*Cp_yd)+($K528*Cp_td)+($L528*Cint)+($M528*Ccar)+($N528*Cr_yd)+($O528*Cr_td)+(Q528*Crec)+($R528*Crec_yd)+($S528*Crec_td)+($T528*Cfmb)+($U528*Ctp_c)</f>
        <v>0</v>
      </c>
    </row>
    <row r="529" spans="1:28" x14ac:dyDescent="0.2">
      <c r="A529" s="16" t="s">
        <v>1256</v>
      </c>
      <c r="B529" s="16" t="s">
        <v>43</v>
      </c>
      <c r="C529" s="16">
        <v>22</v>
      </c>
      <c r="D529" s="16">
        <v>0</v>
      </c>
      <c r="E529" s="16" t="s">
        <v>1257</v>
      </c>
      <c r="F529" s="16" t="s">
        <v>1222</v>
      </c>
      <c r="G529" s="16">
        <v>0</v>
      </c>
      <c r="H529" s="16">
        <v>0</v>
      </c>
      <c r="I529" s="16">
        <v>0</v>
      </c>
      <c r="J529" s="16">
        <v>0</v>
      </c>
      <c r="K529" s="16">
        <v>0</v>
      </c>
      <c r="L529" s="16">
        <v>0</v>
      </c>
      <c r="M529" s="16">
        <v>0</v>
      </c>
      <c r="N529" s="16">
        <v>0</v>
      </c>
      <c r="O529" s="16">
        <v>0</v>
      </c>
      <c r="P529" s="16">
        <v>0</v>
      </c>
      <c r="Q529" s="16">
        <v>0</v>
      </c>
      <c r="R529" s="16">
        <v>0</v>
      </c>
      <c r="S529" s="16">
        <v>0</v>
      </c>
      <c r="T529" s="16">
        <v>0</v>
      </c>
      <c r="U529" s="16">
        <v>0</v>
      </c>
      <c r="V529" s="16">
        <f>($J529*0.04)+($K529*4)+($L529*-2)+($N529*0.1)+($O529*6)+($Q529)+($R529*0.1)+($S529*6)+($T529*-2)</f>
        <v>0</v>
      </c>
      <c r="W529" s="16" t="e">
        <f>$P529/$H$33</f>
        <v>#DIV/0!</v>
      </c>
      <c r="X529" s="16" t="e">
        <f>$N529/$M529</f>
        <v>#DIV/0!</v>
      </c>
      <c r="Y529" s="16" t="e">
        <f>$R529/$Q529</f>
        <v>#DIV/0!</v>
      </c>
      <c r="Z529" s="16" t="e">
        <f>$I529/$H529</f>
        <v>#DIV/0!</v>
      </c>
      <c r="AA529" s="16" t="e">
        <f>$K529/$H529</f>
        <v>#DIV/0!</v>
      </c>
      <c r="AB529" s="16">
        <f>($J529*Cp_yd)+($K529*Cp_td)+($L529*Cint)+($M529*Ccar)+($N529*Cr_yd)+($O529*Cr_td)+(Q529*Crec)+($R529*Crec_yd)+($S529*Crec_td)+($T529*Cfmb)+($U529*Ctp_c)</f>
        <v>0</v>
      </c>
    </row>
    <row r="530" spans="1:28" x14ac:dyDescent="0.2">
      <c r="A530" s="15" t="s">
        <v>1258</v>
      </c>
      <c r="B530" s="15" t="s">
        <v>43</v>
      </c>
      <c r="C530" s="15">
        <v>37</v>
      </c>
      <c r="D530" s="15">
        <v>16</v>
      </c>
      <c r="E530" s="15" t="s">
        <v>418</v>
      </c>
      <c r="F530" s="15" t="s">
        <v>1222</v>
      </c>
      <c r="G530" s="15">
        <v>0</v>
      </c>
      <c r="H530" s="15">
        <v>0</v>
      </c>
      <c r="I530" s="15">
        <v>0</v>
      </c>
      <c r="J530" s="15">
        <v>0</v>
      </c>
      <c r="K530" s="15">
        <v>0</v>
      </c>
      <c r="L530" s="15">
        <v>0</v>
      </c>
      <c r="M530" s="15">
        <v>0</v>
      </c>
      <c r="N530" s="15">
        <v>0</v>
      </c>
      <c r="O530" s="15">
        <v>0</v>
      </c>
      <c r="P530" s="15">
        <v>0</v>
      </c>
      <c r="Q530" s="15">
        <v>0</v>
      </c>
      <c r="R530" s="15">
        <v>0</v>
      </c>
      <c r="S530" s="15">
        <v>0</v>
      </c>
      <c r="T530" s="15">
        <v>0</v>
      </c>
      <c r="U530" s="15">
        <v>0</v>
      </c>
      <c r="V530" s="15">
        <f>($J530*0.04)+($K530*4)+($L530*-2)+($N530*0.1)+($O530*6)+($Q530)+($R530*0.1)+($S530*6)+($T530*-2)</f>
        <v>0</v>
      </c>
      <c r="W530" s="15" t="e">
        <f>$P530/$H$33</f>
        <v>#DIV/0!</v>
      </c>
      <c r="X530" s="15" t="e">
        <f>$N530/$M530</f>
        <v>#DIV/0!</v>
      </c>
      <c r="Y530" s="15" t="e">
        <f>$R530/$Q530</f>
        <v>#DIV/0!</v>
      </c>
      <c r="Z530" s="15" t="e">
        <f>$I530/$H530</f>
        <v>#DIV/0!</v>
      </c>
      <c r="AA530" s="15" t="e">
        <f>$K530/$H530</f>
        <v>#DIV/0!</v>
      </c>
      <c r="AB530" s="15">
        <f>($J530*Cp_yd)+($K530*Cp_td)+($L530*Cint)+($M530*Ccar)+($N530*Cr_yd)+($O530*Cr_td)+(Q530*Crec)+($R530*Crec_yd)+($S530*Crec_td)+($T530*Cfmb)+($U530*Ctp_c)</f>
        <v>0</v>
      </c>
    </row>
    <row r="531" spans="1:28" x14ac:dyDescent="0.2">
      <c r="A531" s="16" t="s">
        <v>1259</v>
      </c>
      <c r="B531" s="16" t="s">
        <v>43</v>
      </c>
      <c r="C531" s="16">
        <v>26</v>
      </c>
      <c r="D531" s="16">
        <v>7</v>
      </c>
      <c r="E531" s="16" t="s">
        <v>78</v>
      </c>
      <c r="F531" s="16" t="s">
        <v>1222</v>
      </c>
      <c r="G531" s="16">
        <v>0</v>
      </c>
      <c r="H531" s="16">
        <v>0</v>
      </c>
      <c r="I531" s="16">
        <v>0</v>
      </c>
      <c r="J531" s="16">
        <v>0</v>
      </c>
      <c r="K531" s="16">
        <v>0</v>
      </c>
      <c r="L531" s="16">
        <v>0</v>
      </c>
      <c r="M531" s="16">
        <v>0</v>
      </c>
      <c r="N531" s="16">
        <v>0</v>
      </c>
      <c r="O531" s="16">
        <v>0</v>
      </c>
      <c r="P531" s="16">
        <v>0</v>
      </c>
      <c r="Q531" s="16">
        <v>0</v>
      </c>
      <c r="R531" s="16">
        <v>0</v>
      </c>
      <c r="S531" s="16">
        <v>0</v>
      </c>
      <c r="T531" s="16">
        <v>0</v>
      </c>
      <c r="U531" s="16">
        <v>0</v>
      </c>
      <c r="V531" s="16">
        <f>($J531*0.04)+($K531*4)+($L531*-2)+($N531*0.1)+($O531*6)+($Q531)+($R531*0.1)+($S531*6)+($T531*-2)</f>
        <v>0</v>
      </c>
      <c r="W531" s="16" t="e">
        <f>$P531/$H$33</f>
        <v>#DIV/0!</v>
      </c>
      <c r="X531" s="16" t="e">
        <f>$N531/$M531</f>
        <v>#DIV/0!</v>
      </c>
      <c r="Y531" s="16" t="e">
        <f>$R531/$Q531</f>
        <v>#DIV/0!</v>
      </c>
      <c r="Z531" s="16" t="e">
        <f>$I531/$H531</f>
        <v>#DIV/0!</v>
      </c>
      <c r="AA531" s="16" t="e">
        <f>$K531/$H531</f>
        <v>#DIV/0!</v>
      </c>
      <c r="AB531" s="16">
        <f>($J531*Cp_yd)+($K531*Cp_td)+($L531*Cint)+($M531*Ccar)+($N531*Cr_yd)+($O531*Cr_td)+(Q531*Crec)+($R531*Crec_yd)+($S531*Crec_td)+($T531*Cfmb)+($U531*Ctp_c)</f>
        <v>0</v>
      </c>
    </row>
    <row r="532" spans="1:28" x14ac:dyDescent="0.2">
      <c r="A532" s="15" t="s">
        <v>1260</v>
      </c>
      <c r="B532" s="15" t="s">
        <v>43</v>
      </c>
      <c r="C532" s="15">
        <v>23</v>
      </c>
      <c r="D532" s="15">
        <v>2</v>
      </c>
      <c r="E532" s="15" t="s">
        <v>393</v>
      </c>
      <c r="F532" s="15" t="s">
        <v>1222</v>
      </c>
      <c r="G532" s="15">
        <v>0</v>
      </c>
      <c r="H532" s="15">
        <v>0</v>
      </c>
      <c r="I532" s="15">
        <v>0</v>
      </c>
      <c r="J532" s="15">
        <v>0</v>
      </c>
      <c r="K532" s="15">
        <v>0</v>
      </c>
      <c r="L532" s="15">
        <v>0</v>
      </c>
      <c r="M532" s="15">
        <v>0</v>
      </c>
      <c r="N532" s="15">
        <v>0</v>
      </c>
      <c r="O532" s="15">
        <v>0</v>
      </c>
      <c r="P532" s="15">
        <v>0</v>
      </c>
      <c r="Q532" s="15">
        <v>0</v>
      </c>
      <c r="R532" s="15">
        <v>0</v>
      </c>
      <c r="S532" s="15">
        <v>0</v>
      </c>
      <c r="T532" s="15">
        <v>0</v>
      </c>
      <c r="U532" s="15">
        <v>0</v>
      </c>
      <c r="V532" s="15">
        <f>($J532*0.04)+($K532*4)+($L532*-2)+($N532*0.1)+($O532*6)+($Q532)+($R532*0.1)+($S532*6)+($T532*-2)</f>
        <v>0</v>
      </c>
      <c r="W532" s="15" t="e">
        <f>$P532/$H$33</f>
        <v>#DIV/0!</v>
      </c>
      <c r="X532" s="15" t="e">
        <f>$N532/$M532</f>
        <v>#DIV/0!</v>
      </c>
      <c r="Y532" s="15" t="e">
        <f>$R532/$Q532</f>
        <v>#DIV/0!</v>
      </c>
      <c r="Z532" s="15" t="e">
        <f>$I532/$H532</f>
        <v>#DIV/0!</v>
      </c>
      <c r="AA532" s="15" t="e">
        <f>$K532/$H532</f>
        <v>#DIV/0!</v>
      </c>
      <c r="AB532" s="15">
        <f>($J532*Cp_yd)+($K532*Cp_td)+($L532*Cint)+($M532*Ccar)+($N532*Cr_yd)+($O532*Cr_td)+(Q532*Crec)+($R532*Crec_yd)+($S532*Crec_td)+($T532*Cfmb)+($U532*Ctp_c)</f>
        <v>0</v>
      </c>
    </row>
    <row r="533" spans="1:28" x14ac:dyDescent="0.2">
      <c r="A533" s="16" t="s">
        <v>1263</v>
      </c>
      <c r="B533" s="16" t="s">
        <v>38</v>
      </c>
      <c r="C533" s="16">
        <v>28</v>
      </c>
      <c r="D533" s="16">
        <v>6</v>
      </c>
      <c r="E533" s="16" t="s">
        <v>998</v>
      </c>
      <c r="F533" s="16" t="s">
        <v>1222</v>
      </c>
      <c r="G533" s="16">
        <v>0</v>
      </c>
      <c r="H533" s="16">
        <v>0</v>
      </c>
      <c r="I533" s="16">
        <v>0</v>
      </c>
      <c r="J533" s="16">
        <v>0</v>
      </c>
      <c r="K533" s="16">
        <v>0</v>
      </c>
      <c r="L533" s="16">
        <v>0</v>
      </c>
      <c r="M533" s="16">
        <v>0</v>
      </c>
      <c r="N533" s="16">
        <v>0</v>
      </c>
      <c r="O533" s="16">
        <v>0</v>
      </c>
      <c r="P533" s="16">
        <v>0</v>
      </c>
      <c r="Q533" s="16">
        <v>0</v>
      </c>
      <c r="R533" s="16">
        <v>0</v>
      </c>
      <c r="S533" s="16">
        <v>0</v>
      </c>
      <c r="T533" s="16">
        <v>0</v>
      </c>
      <c r="U533" s="16">
        <v>0</v>
      </c>
      <c r="V533" s="16">
        <f>($J533*0.04)+($K533*4)+($L533*-2)+($N533*0.1)+($O533*6)+($Q533)+($R533*0.1)+($S533*6)+($T533*-2)</f>
        <v>0</v>
      </c>
      <c r="W533" s="16" t="e">
        <f>$P533/$H$33</f>
        <v>#DIV/0!</v>
      </c>
      <c r="X533" s="16" t="e">
        <f>$N533/$M533</f>
        <v>#DIV/0!</v>
      </c>
      <c r="Y533" s="16" t="e">
        <f>$R533/$Q533</f>
        <v>#DIV/0!</v>
      </c>
      <c r="Z533" s="16" t="e">
        <f>$I533/$H533</f>
        <v>#DIV/0!</v>
      </c>
      <c r="AA533" s="16" t="e">
        <f>$K533/$H533</f>
        <v>#DIV/0!</v>
      </c>
      <c r="AB533" s="16">
        <f>($J533*Cp_yd)+($K533*Cp_td)+($L533*Cint)+($M533*Ccar)+($N533*Cr_yd)+($O533*Cr_td)+(Q533*Crec)+($R533*Crec_yd)+($S533*Crec_td)+($T533*Cfmb)+($U533*Ctp_c)</f>
        <v>0</v>
      </c>
    </row>
    <row r="534" spans="1:28" x14ac:dyDescent="0.2">
      <c r="A534" s="15" t="s">
        <v>1264</v>
      </c>
      <c r="B534" s="15" t="s">
        <v>38</v>
      </c>
      <c r="C534" s="15">
        <v>27</v>
      </c>
      <c r="D534" s="15">
        <v>6</v>
      </c>
      <c r="E534" s="15" t="s">
        <v>339</v>
      </c>
      <c r="F534" s="15" t="s">
        <v>1222</v>
      </c>
      <c r="G534" s="15">
        <v>0</v>
      </c>
      <c r="H534" s="15">
        <v>0</v>
      </c>
      <c r="I534" s="15">
        <v>0</v>
      </c>
      <c r="J534" s="15">
        <v>0</v>
      </c>
      <c r="K534" s="15">
        <v>0</v>
      </c>
      <c r="L534" s="15">
        <v>0</v>
      </c>
      <c r="M534" s="15">
        <v>0</v>
      </c>
      <c r="N534" s="15">
        <v>0</v>
      </c>
      <c r="O534" s="15">
        <v>0</v>
      </c>
      <c r="P534" s="15">
        <v>0</v>
      </c>
      <c r="Q534" s="15">
        <v>0</v>
      </c>
      <c r="R534" s="15">
        <v>0</v>
      </c>
      <c r="S534" s="15">
        <v>0</v>
      </c>
      <c r="T534" s="15">
        <v>0</v>
      </c>
      <c r="U534" s="15">
        <v>0</v>
      </c>
      <c r="V534" s="15">
        <f>($J534*0.04)+($K534*4)+($L534*-2)+($N534*0.1)+($O534*6)+($Q534)+($R534*0.1)+($S534*6)+($T534*-2)</f>
        <v>0</v>
      </c>
      <c r="W534" s="15" t="e">
        <f>$P534/$H$33</f>
        <v>#DIV/0!</v>
      </c>
      <c r="X534" s="15" t="e">
        <f>$N534/$M534</f>
        <v>#DIV/0!</v>
      </c>
      <c r="Y534" s="15" t="e">
        <f>$R534/$Q534</f>
        <v>#DIV/0!</v>
      </c>
      <c r="Z534" s="15" t="e">
        <f>$I534/$H534</f>
        <v>#DIV/0!</v>
      </c>
      <c r="AA534" s="15" t="e">
        <f>$K534/$H534</f>
        <v>#DIV/0!</v>
      </c>
      <c r="AB534" s="15">
        <f>($J534*Cp_yd)+($K534*Cp_td)+($L534*Cint)+($M534*Ccar)+($N534*Cr_yd)+($O534*Cr_td)+(Q534*Crec)+($R534*Crec_yd)+($S534*Crec_td)+($T534*Cfmb)+($U534*Ctp_c)</f>
        <v>0</v>
      </c>
    </row>
    <row r="535" spans="1:28" x14ac:dyDescent="0.2">
      <c r="A535" s="16" t="s">
        <v>1265</v>
      </c>
      <c r="B535" s="16" t="s">
        <v>38</v>
      </c>
      <c r="C535" s="16">
        <v>28</v>
      </c>
      <c r="D535" s="16">
        <v>8</v>
      </c>
      <c r="E535" s="16" t="s">
        <v>175</v>
      </c>
      <c r="F535" s="16" t="s">
        <v>1222</v>
      </c>
      <c r="G535" s="16">
        <v>0</v>
      </c>
      <c r="H535" s="16">
        <v>0</v>
      </c>
      <c r="I535" s="16">
        <v>0</v>
      </c>
      <c r="J535" s="16">
        <v>0</v>
      </c>
      <c r="K535" s="16">
        <v>0</v>
      </c>
      <c r="L535" s="16">
        <v>0</v>
      </c>
      <c r="M535" s="16">
        <v>0</v>
      </c>
      <c r="N535" s="16">
        <v>0</v>
      </c>
      <c r="O535" s="16">
        <v>0</v>
      </c>
      <c r="P535" s="16">
        <v>0</v>
      </c>
      <c r="Q535" s="16">
        <v>0</v>
      </c>
      <c r="R535" s="16">
        <v>0</v>
      </c>
      <c r="S535" s="16">
        <v>0</v>
      </c>
      <c r="T535" s="16">
        <v>0</v>
      </c>
      <c r="U535" s="16">
        <v>0</v>
      </c>
      <c r="V535" s="16">
        <f>($J535*0.04)+($K535*4)+($L535*-2)+($N535*0.1)+($O535*6)+($Q535)+($R535*0.1)+($S535*6)+($T535*-2)</f>
        <v>0</v>
      </c>
      <c r="W535" s="16" t="e">
        <f>$P535/$H$33</f>
        <v>#DIV/0!</v>
      </c>
      <c r="X535" s="16" t="e">
        <f>$N535/$M535</f>
        <v>#DIV/0!</v>
      </c>
      <c r="Y535" s="16" t="e">
        <f>$R535/$Q535</f>
        <v>#DIV/0!</v>
      </c>
      <c r="Z535" s="16" t="e">
        <f>$I535/$H535</f>
        <v>#DIV/0!</v>
      </c>
      <c r="AA535" s="16" t="e">
        <f>$K535/$H535</f>
        <v>#DIV/0!</v>
      </c>
      <c r="AB535" s="16">
        <f>($J535*Cp_yd)+($K535*Cp_td)+($L535*Cint)+($M535*Ccar)+($N535*Cr_yd)+($O535*Cr_td)+(Q535*Crec)+($R535*Crec_yd)+($S535*Crec_td)+($T535*Cfmb)+($U535*Ctp_c)</f>
        <v>0</v>
      </c>
    </row>
    <row r="536" spans="1:28" x14ac:dyDescent="0.2">
      <c r="A536" s="15" t="s">
        <v>1266</v>
      </c>
      <c r="B536" s="15" t="s">
        <v>38</v>
      </c>
      <c r="C536" s="15">
        <v>25</v>
      </c>
      <c r="D536" s="15">
        <v>0</v>
      </c>
      <c r="E536" s="15" t="s">
        <v>574</v>
      </c>
      <c r="F536" s="15" t="s">
        <v>1222</v>
      </c>
      <c r="G536" s="15">
        <v>0</v>
      </c>
      <c r="H536" s="15">
        <v>0</v>
      </c>
      <c r="I536" s="15">
        <v>0</v>
      </c>
      <c r="J536" s="15">
        <v>0</v>
      </c>
      <c r="K536" s="15">
        <v>0</v>
      </c>
      <c r="L536" s="15">
        <v>0</v>
      </c>
      <c r="M536" s="15">
        <v>0</v>
      </c>
      <c r="N536" s="15">
        <v>0</v>
      </c>
      <c r="O536" s="15">
        <v>0</v>
      </c>
      <c r="P536" s="15">
        <v>0</v>
      </c>
      <c r="Q536" s="15">
        <v>0</v>
      </c>
      <c r="R536" s="15">
        <v>0</v>
      </c>
      <c r="S536" s="15">
        <v>0</v>
      </c>
      <c r="T536" s="15">
        <v>0</v>
      </c>
      <c r="U536" s="15">
        <v>0</v>
      </c>
      <c r="V536" s="15">
        <f>($J536*0.04)+($K536*4)+($L536*-2)+($N536*0.1)+($O536*6)+($Q536)+($R536*0.1)+($S536*6)+($T536*-2)</f>
        <v>0</v>
      </c>
      <c r="W536" s="15" t="e">
        <f>$P536/$H$33</f>
        <v>#DIV/0!</v>
      </c>
      <c r="X536" s="15" t="e">
        <f>$N536/$M536</f>
        <v>#DIV/0!</v>
      </c>
      <c r="Y536" s="15" t="e">
        <f>$R536/$Q536</f>
        <v>#DIV/0!</v>
      </c>
      <c r="Z536" s="15" t="e">
        <f>$I536/$H536</f>
        <v>#DIV/0!</v>
      </c>
      <c r="AA536" s="15" t="e">
        <f>$K536/$H536</f>
        <v>#DIV/0!</v>
      </c>
      <c r="AB536" s="15">
        <f>($J536*Cp_yd)+($K536*Cp_td)+($L536*Cint)+($M536*Ccar)+($N536*Cr_yd)+($O536*Cr_td)+(Q536*Crec)+($R536*Crec_yd)+($S536*Crec_td)+($T536*Cfmb)+($U536*Ctp_c)</f>
        <v>0</v>
      </c>
    </row>
    <row r="537" spans="1:28" x14ac:dyDescent="0.2">
      <c r="A537" s="16" t="s">
        <v>1267</v>
      </c>
      <c r="B537" s="16" t="s">
        <v>38</v>
      </c>
      <c r="C537" s="16">
        <v>27</v>
      </c>
      <c r="D537" s="16">
        <v>1</v>
      </c>
      <c r="E537" s="16" t="s">
        <v>744</v>
      </c>
      <c r="F537" s="16" t="s">
        <v>1222</v>
      </c>
      <c r="G537" s="16">
        <v>0</v>
      </c>
      <c r="H537" s="16">
        <v>0</v>
      </c>
      <c r="I537" s="16">
        <v>0</v>
      </c>
      <c r="J537" s="16">
        <v>0</v>
      </c>
      <c r="K537" s="16">
        <v>0</v>
      </c>
      <c r="L537" s="16">
        <v>0</v>
      </c>
      <c r="M537" s="16">
        <v>0</v>
      </c>
      <c r="N537" s="16">
        <v>0</v>
      </c>
      <c r="O537" s="16">
        <v>0</v>
      </c>
      <c r="P537" s="16">
        <v>0</v>
      </c>
      <c r="Q537" s="16">
        <v>0</v>
      </c>
      <c r="R537" s="16">
        <v>0</v>
      </c>
      <c r="S537" s="16">
        <v>0</v>
      </c>
      <c r="T537" s="16">
        <v>0</v>
      </c>
      <c r="U537" s="16">
        <v>0</v>
      </c>
      <c r="V537" s="16">
        <f>($J537*0.04)+($K537*4)+($L537*-2)+($N537*0.1)+($O537*6)+($Q537)+($R537*0.1)+($S537*6)+($T537*-2)</f>
        <v>0</v>
      </c>
      <c r="W537" s="16" t="e">
        <f>$P537/$H$33</f>
        <v>#DIV/0!</v>
      </c>
      <c r="X537" s="16" t="e">
        <f>$N537/$M537</f>
        <v>#DIV/0!</v>
      </c>
      <c r="Y537" s="16" t="e">
        <f>$R537/$Q537</f>
        <v>#DIV/0!</v>
      </c>
      <c r="Z537" s="16" t="e">
        <f>$I537/$H537</f>
        <v>#DIV/0!</v>
      </c>
      <c r="AA537" s="16" t="e">
        <f>$K537/$H537</f>
        <v>#DIV/0!</v>
      </c>
      <c r="AB537" s="16">
        <f>($J537*Cp_yd)+($K537*Cp_td)+($L537*Cint)+($M537*Ccar)+($N537*Cr_yd)+($O537*Cr_td)+(Q537*Crec)+($R537*Crec_yd)+($S537*Crec_td)+($T537*Cfmb)+($U537*Ctp_c)</f>
        <v>0</v>
      </c>
    </row>
    <row r="538" spans="1:28" x14ac:dyDescent="0.2">
      <c r="A538" s="15" t="s">
        <v>1287</v>
      </c>
      <c r="B538" s="15" t="s">
        <v>26</v>
      </c>
      <c r="C538" s="15">
        <v>32</v>
      </c>
      <c r="D538" s="15">
        <v>10</v>
      </c>
      <c r="E538" s="15" t="s">
        <v>280</v>
      </c>
      <c r="F538" s="15" t="s">
        <v>1270</v>
      </c>
      <c r="G538" s="15">
        <v>0</v>
      </c>
      <c r="H538" s="15">
        <v>0</v>
      </c>
      <c r="I538" s="15">
        <v>0</v>
      </c>
      <c r="J538" s="15">
        <v>0</v>
      </c>
      <c r="K538" s="15">
        <v>0</v>
      </c>
      <c r="L538" s="15">
        <v>0</v>
      </c>
      <c r="M538" s="15">
        <v>0</v>
      </c>
      <c r="N538" s="15">
        <v>0</v>
      </c>
      <c r="O538" s="15">
        <v>0</v>
      </c>
      <c r="P538" s="15">
        <v>0</v>
      </c>
      <c r="Q538" s="15">
        <v>0</v>
      </c>
      <c r="R538" s="15">
        <v>0</v>
      </c>
      <c r="S538" s="15">
        <v>0</v>
      </c>
      <c r="T538" s="15">
        <v>0</v>
      </c>
      <c r="U538" s="15">
        <v>0</v>
      </c>
      <c r="V538" s="15">
        <f>($J538*0.04)+($K538*4)+($L538*-2)+($N538*0.1)+($O538*6)+($Q538)+($R538*0.1)+($S538*6)+($T538*-2)</f>
        <v>0</v>
      </c>
      <c r="W538" s="15" t="e">
        <f>$P538/$H$33</f>
        <v>#DIV/0!</v>
      </c>
      <c r="X538" s="15" t="e">
        <f>$N538/$M538</f>
        <v>#DIV/0!</v>
      </c>
      <c r="Y538" s="15" t="e">
        <f>$R538/$Q538</f>
        <v>#DIV/0!</v>
      </c>
      <c r="Z538" s="15" t="e">
        <f>$I538/$H538</f>
        <v>#DIV/0!</v>
      </c>
      <c r="AA538" s="15" t="e">
        <f>$K538/$H538</f>
        <v>#DIV/0!</v>
      </c>
      <c r="AB538" s="15">
        <f>($J538*Cp_yd)+($K538*Cp_td)+($L538*Cint)+($M538*Ccar)+($N538*Cr_yd)+($O538*Cr_td)+(Q538*Crec)+($R538*Crec_yd)+($S538*Crec_td)+($T538*Cfmb)+($U538*Ctp_c)</f>
        <v>0</v>
      </c>
    </row>
    <row r="539" spans="1:28" x14ac:dyDescent="0.2">
      <c r="A539" s="16" t="s">
        <v>1288</v>
      </c>
      <c r="B539" s="16" t="s">
        <v>26</v>
      </c>
      <c r="C539" s="16">
        <v>24</v>
      </c>
      <c r="D539" s="16">
        <v>0</v>
      </c>
      <c r="E539" s="16" t="s">
        <v>280</v>
      </c>
      <c r="F539" s="16" t="s">
        <v>1270</v>
      </c>
      <c r="G539" s="16">
        <v>0</v>
      </c>
      <c r="H539" s="16">
        <v>0</v>
      </c>
      <c r="I539" s="16">
        <v>0</v>
      </c>
      <c r="J539" s="16">
        <v>0</v>
      </c>
      <c r="K539" s="16">
        <v>0</v>
      </c>
      <c r="L539" s="16">
        <v>0</v>
      </c>
      <c r="M539" s="16">
        <v>0</v>
      </c>
      <c r="N539" s="16">
        <v>0</v>
      </c>
      <c r="O539" s="16">
        <v>0</v>
      </c>
      <c r="P539" s="16">
        <v>0</v>
      </c>
      <c r="Q539" s="16">
        <v>0</v>
      </c>
      <c r="R539" s="16">
        <v>0</v>
      </c>
      <c r="S539" s="16">
        <v>0</v>
      </c>
      <c r="T539" s="16">
        <v>0</v>
      </c>
      <c r="U539" s="16">
        <v>0</v>
      </c>
      <c r="V539" s="16">
        <f>($J539*0.04)+($K539*4)+($L539*-2)+($N539*0.1)+($O539*6)+($Q539)+($R539*0.1)+($S539*6)+($T539*-2)</f>
        <v>0</v>
      </c>
      <c r="W539" s="16" t="e">
        <f>$P539/$H$33</f>
        <v>#DIV/0!</v>
      </c>
      <c r="X539" s="16" t="e">
        <f>$N539/$M539</f>
        <v>#DIV/0!</v>
      </c>
      <c r="Y539" s="16" t="e">
        <f>$R539/$Q539</f>
        <v>#DIV/0!</v>
      </c>
      <c r="Z539" s="16" t="e">
        <f>$I539/$H539</f>
        <v>#DIV/0!</v>
      </c>
      <c r="AA539" s="16" t="e">
        <f>$K539/$H539</f>
        <v>#DIV/0!</v>
      </c>
      <c r="AB539" s="16">
        <f>($J539*Cp_yd)+($K539*Cp_td)+($L539*Cint)+($M539*Ccar)+($N539*Cr_yd)+($O539*Cr_td)+(Q539*Crec)+($R539*Crec_yd)+($S539*Crec_td)+($T539*Cfmb)+($U539*Ctp_c)</f>
        <v>0</v>
      </c>
    </row>
    <row r="540" spans="1:28" x14ac:dyDescent="0.2">
      <c r="A540" s="15" t="s">
        <v>1290</v>
      </c>
      <c r="B540" s="15" t="s">
        <v>31</v>
      </c>
      <c r="C540" s="15">
        <v>26</v>
      </c>
      <c r="D540" s="15">
        <v>1</v>
      </c>
      <c r="E540" s="15" t="s">
        <v>163</v>
      </c>
      <c r="F540" s="15" t="s">
        <v>1270</v>
      </c>
      <c r="G540" s="15">
        <v>0</v>
      </c>
      <c r="H540" s="15">
        <v>0</v>
      </c>
      <c r="I540" s="15">
        <v>0</v>
      </c>
      <c r="J540" s="15">
        <v>0</v>
      </c>
      <c r="K540" s="15">
        <v>0</v>
      </c>
      <c r="L540" s="15">
        <v>0</v>
      </c>
      <c r="M540" s="15">
        <v>0</v>
      </c>
      <c r="N540" s="15">
        <v>0</v>
      </c>
      <c r="O540" s="15">
        <v>0</v>
      </c>
      <c r="P540" s="15">
        <v>0</v>
      </c>
      <c r="Q540" s="15">
        <v>0</v>
      </c>
      <c r="R540" s="15">
        <v>0</v>
      </c>
      <c r="S540" s="15">
        <v>0</v>
      </c>
      <c r="T540" s="15">
        <v>0</v>
      </c>
      <c r="U540" s="15">
        <v>0</v>
      </c>
      <c r="V540" s="15">
        <f>($J540*0.04)+($K540*4)+($L540*-2)+($N540*0.1)+($O540*6)+($Q540)+($R540*0.1)+($S540*6)+($T540*-2)</f>
        <v>0</v>
      </c>
      <c r="W540" s="15" t="e">
        <f>$P540/$H$33</f>
        <v>#DIV/0!</v>
      </c>
      <c r="X540" s="15" t="e">
        <f>$N540/$M540</f>
        <v>#DIV/0!</v>
      </c>
      <c r="Y540" s="15" t="e">
        <f>$R540/$Q540</f>
        <v>#DIV/0!</v>
      </c>
      <c r="Z540" s="15" t="e">
        <f>$I540/$H540</f>
        <v>#DIV/0!</v>
      </c>
      <c r="AA540" s="15" t="e">
        <f>$K540/$H540</f>
        <v>#DIV/0!</v>
      </c>
      <c r="AB540" s="15">
        <f>($J540*Cp_yd)+($K540*Cp_td)+($L540*Cint)+($M540*Ccar)+($N540*Cr_yd)+($O540*Cr_td)+(Q540*Crec)+($R540*Crec_yd)+($S540*Crec_td)+($T540*Cfmb)+($U540*Ctp_c)</f>
        <v>0</v>
      </c>
    </row>
    <row r="541" spans="1:28" x14ac:dyDescent="0.2">
      <c r="A541" s="16" t="s">
        <v>1291</v>
      </c>
      <c r="B541" s="16" t="s">
        <v>31</v>
      </c>
      <c r="C541" s="16">
        <v>24</v>
      </c>
      <c r="D541" s="16">
        <v>4</v>
      </c>
      <c r="E541" s="16" t="s">
        <v>155</v>
      </c>
      <c r="F541" s="16" t="s">
        <v>1270</v>
      </c>
      <c r="G541" s="16">
        <v>0</v>
      </c>
      <c r="H541" s="16">
        <v>0</v>
      </c>
      <c r="I541" s="16">
        <v>0</v>
      </c>
      <c r="J541" s="16">
        <v>0</v>
      </c>
      <c r="K541" s="16">
        <v>0</v>
      </c>
      <c r="L541" s="16">
        <v>0</v>
      </c>
      <c r="M541" s="16">
        <v>0</v>
      </c>
      <c r="N541" s="16">
        <v>0</v>
      </c>
      <c r="O541" s="16">
        <v>0</v>
      </c>
      <c r="P541" s="16">
        <v>0</v>
      </c>
      <c r="Q541" s="16">
        <v>0</v>
      </c>
      <c r="R541" s="16">
        <v>0</v>
      </c>
      <c r="S541" s="16">
        <v>0</v>
      </c>
      <c r="T541" s="16">
        <v>0</v>
      </c>
      <c r="U541" s="16">
        <v>0</v>
      </c>
      <c r="V541" s="16">
        <f>($J541*0.04)+($K541*4)+($L541*-2)+($N541*0.1)+($O541*6)+($Q541)+($R541*0.1)+($S541*6)+($T541*-2)</f>
        <v>0</v>
      </c>
      <c r="W541" s="16" t="e">
        <f>$P541/$H$33</f>
        <v>#DIV/0!</v>
      </c>
      <c r="X541" s="16" t="e">
        <f>$N541/$M541</f>
        <v>#DIV/0!</v>
      </c>
      <c r="Y541" s="16" t="e">
        <f>$R541/$Q541</f>
        <v>#DIV/0!</v>
      </c>
      <c r="Z541" s="16" t="e">
        <f>$I541/$H541</f>
        <v>#DIV/0!</v>
      </c>
      <c r="AA541" s="16" t="e">
        <f>$K541/$H541</f>
        <v>#DIV/0!</v>
      </c>
      <c r="AB541" s="16">
        <f>($J541*Cp_yd)+($K541*Cp_td)+($L541*Cint)+($M541*Ccar)+($N541*Cr_yd)+($O541*Cr_td)+(Q541*Crec)+($R541*Crec_yd)+($S541*Crec_td)+($T541*Cfmb)+($U541*Ctp_c)</f>
        <v>0</v>
      </c>
    </row>
    <row r="542" spans="1:28" x14ac:dyDescent="0.2">
      <c r="A542" s="15" t="s">
        <v>1292</v>
      </c>
      <c r="B542" s="15" t="s">
        <v>31</v>
      </c>
      <c r="C542" s="15">
        <v>28</v>
      </c>
      <c r="D542" s="15">
        <v>7</v>
      </c>
      <c r="E542" s="15" t="s">
        <v>143</v>
      </c>
      <c r="F542" s="15" t="s">
        <v>1270</v>
      </c>
      <c r="G542" s="15">
        <v>0</v>
      </c>
      <c r="H542" s="15">
        <v>0</v>
      </c>
      <c r="I542" s="15">
        <v>0</v>
      </c>
      <c r="J542" s="15">
        <v>0</v>
      </c>
      <c r="K542" s="15">
        <v>0</v>
      </c>
      <c r="L542" s="15">
        <v>0</v>
      </c>
      <c r="M542" s="15">
        <v>0</v>
      </c>
      <c r="N542" s="15">
        <v>0</v>
      </c>
      <c r="O542" s="15">
        <v>0</v>
      </c>
      <c r="P542" s="15">
        <v>0</v>
      </c>
      <c r="Q542" s="15">
        <v>0</v>
      </c>
      <c r="R542" s="15">
        <v>0</v>
      </c>
      <c r="S542" s="15">
        <v>0</v>
      </c>
      <c r="T542" s="15">
        <v>0</v>
      </c>
      <c r="U542" s="15">
        <v>0</v>
      </c>
      <c r="V542" s="15">
        <f>($J542*0.04)+($K542*4)+($L542*-2)+($N542*0.1)+($O542*6)+($Q542)+($R542*0.1)+($S542*6)+($T542*-2)</f>
        <v>0</v>
      </c>
      <c r="W542" s="15" t="e">
        <f>$P542/$H$33</f>
        <v>#DIV/0!</v>
      </c>
      <c r="X542" s="15" t="e">
        <f>$N542/$M542</f>
        <v>#DIV/0!</v>
      </c>
      <c r="Y542" s="15" t="e">
        <f>$R542/$Q542</f>
        <v>#DIV/0!</v>
      </c>
      <c r="Z542" s="15" t="e">
        <f>$I542/$H542</f>
        <v>#DIV/0!</v>
      </c>
      <c r="AA542" s="15" t="e">
        <f>$K542/$H542</f>
        <v>#DIV/0!</v>
      </c>
      <c r="AB542" s="15">
        <f>($J542*Cp_yd)+($K542*Cp_td)+($L542*Cint)+($M542*Ccar)+($N542*Cr_yd)+($O542*Cr_td)+(Q542*Crec)+($R542*Crec_yd)+($S542*Crec_td)+($T542*Cfmb)+($U542*Ctp_c)</f>
        <v>0</v>
      </c>
    </row>
    <row r="543" spans="1:28" x14ac:dyDescent="0.2">
      <c r="A543" s="16" t="s">
        <v>1293</v>
      </c>
      <c r="B543" s="16" t="s">
        <v>31</v>
      </c>
      <c r="C543" s="16">
        <v>24</v>
      </c>
      <c r="D543" s="16">
        <v>0</v>
      </c>
      <c r="E543" s="16" t="s">
        <v>291</v>
      </c>
      <c r="F543" s="16" t="s">
        <v>1270</v>
      </c>
      <c r="G543" s="16">
        <v>0</v>
      </c>
      <c r="H543" s="16">
        <v>0</v>
      </c>
      <c r="I543" s="16">
        <v>0</v>
      </c>
      <c r="J543" s="16">
        <v>0</v>
      </c>
      <c r="K543" s="16">
        <v>0</v>
      </c>
      <c r="L543" s="16">
        <v>0</v>
      </c>
      <c r="M543" s="16">
        <v>0</v>
      </c>
      <c r="N543" s="16">
        <v>0</v>
      </c>
      <c r="O543" s="16">
        <v>0</v>
      </c>
      <c r="P543" s="16">
        <v>0</v>
      </c>
      <c r="Q543" s="16">
        <v>0</v>
      </c>
      <c r="R543" s="16">
        <v>0</v>
      </c>
      <c r="S543" s="16">
        <v>0</v>
      </c>
      <c r="T543" s="16">
        <v>0</v>
      </c>
      <c r="U543" s="16">
        <v>0</v>
      </c>
      <c r="V543" s="16">
        <f>($J543*0.04)+($K543*4)+($L543*-2)+($N543*0.1)+($O543*6)+($Q543)+($R543*0.1)+($S543*6)+($T543*-2)</f>
        <v>0</v>
      </c>
      <c r="W543" s="16" t="e">
        <f>$P543/$H$33</f>
        <v>#DIV/0!</v>
      </c>
      <c r="X543" s="16" t="e">
        <f>$N543/$M543</f>
        <v>#DIV/0!</v>
      </c>
      <c r="Y543" s="16" t="e">
        <f>$R543/$Q543</f>
        <v>#DIV/0!</v>
      </c>
      <c r="Z543" s="16" t="e">
        <f>$I543/$H543</f>
        <v>#DIV/0!</v>
      </c>
      <c r="AA543" s="16" t="e">
        <f>$K543/$H543</f>
        <v>#DIV/0!</v>
      </c>
      <c r="AB543" s="16">
        <f>($J543*Cp_yd)+($K543*Cp_td)+($L543*Cint)+($M543*Ccar)+($N543*Cr_yd)+($O543*Cr_td)+(Q543*Crec)+($R543*Crec_yd)+($S543*Crec_td)+($T543*Cfmb)+($U543*Ctp_c)</f>
        <v>0</v>
      </c>
    </row>
    <row r="544" spans="1:28" x14ac:dyDescent="0.2">
      <c r="A544" s="15" t="s">
        <v>1294</v>
      </c>
      <c r="B544" s="15" t="s">
        <v>31</v>
      </c>
      <c r="C544" s="15">
        <v>21</v>
      </c>
      <c r="D544" s="15">
        <v>0</v>
      </c>
      <c r="E544" s="15" t="s">
        <v>76</v>
      </c>
      <c r="F544" s="15" t="s">
        <v>1270</v>
      </c>
      <c r="G544" s="15">
        <v>0</v>
      </c>
      <c r="H544" s="15">
        <v>0</v>
      </c>
      <c r="I544" s="15">
        <v>0</v>
      </c>
      <c r="J544" s="15">
        <v>0</v>
      </c>
      <c r="K544" s="15">
        <v>0</v>
      </c>
      <c r="L544" s="15">
        <v>0</v>
      </c>
      <c r="M544" s="15">
        <v>0</v>
      </c>
      <c r="N544" s="15">
        <v>0</v>
      </c>
      <c r="O544" s="15">
        <v>0</v>
      </c>
      <c r="P544" s="15">
        <v>0</v>
      </c>
      <c r="Q544" s="15">
        <v>0</v>
      </c>
      <c r="R544" s="15">
        <v>0</v>
      </c>
      <c r="S544" s="15">
        <v>0</v>
      </c>
      <c r="T544" s="15">
        <v>0</v>
      </c>
      <c r="U544" s="15">
        <v>0</v>
      </c>
      <c r="V544" s="15">
        <f>($J544*0.04)+($K544*4)+($L544*-2)+($N544*0.1)+($O544*6)+($Q544)+($R544*0.1)+($S544*6)+($T544*-2)</f>
        <v>0</v>
      </c>
      <c r="W544" s="15" t="e">
        <f>$P544/$H$33</f>
        <v>#DIV/0!</v>
      </c>
      <c r="X544" s="15" t="e">
        <f>$N544/$M544</f>
        <v>#DIV/0!</v>
      </c>
      <c r="Y544" s="15" t="e">
        <f>$R544/$Q544</f>
        <v>#DIV/0!</v>
      </c>
      <c r="Z544" s="15" t="e">
        <f>$I544/$H544</f>
        <v>#DIV/0!</v>
      </c>
      <c r="AA544" s="15" t="e">
        <f>$K544/$H544</f>
        <v>#DIV/0!</v>
      </c>
      <c r="AB544" s="15">
        <f>($J544*Cp_yd)+($K544*Cp_td)+($L544*Cint)+($M544*Ccar)+($N544*Cr_yd)+($O544*Cr_td)+(Q544*Crec)+($R544*Crec_yd)+($S544*Crec_td)+($T544*Cfmb)+($U544*Ctp_c)</f>
        <v>0</v>
      </c>
    </row>
    <row r="545" spans="1:28" x14ac:dyDescent="0.2">
      <c r="A545" s="16" t="s">
        <v>1295</v>
      </c>
      <c r="B545" s="16" t="s">
        <v>31</v>
      </c>
      <c r="C545" s="16">
        <v>28</v>
      </c>
      <c r="D545" s="16">
        <v>6</v>
      </c>
      <c r="E545" s="16" t="s">
        <v>227</v>
      </c>
      <c r="F545" s="16" t="s">
        <v>1270</v>
      </c>
      <c r="G545" s="16">
        <v>0</v>
      </c>
      <c r="H545" s="16">
        <v>0</v>
      </c>
      <c r="I545" s="16">
        <v>0</v>
      </c>
      <c r="J545" s="16">
        <v>0</v>
      </c>
      <c r="K545" s="16">
        <v>0</v>
      </c>
      <c r="L545" s="16">
        <v>0</v>
      </c>
      <c r="M545" s="16">
        <v>0</v>
      </c>
      <c r="N545" s="16">
        <v>0</v>
      </c>
      <c r="O545" s="16">
        <v>0</v>
      </c>
      <c r="P545" s="16">
        <v>0</v>
      </c>
      <c r="Q545" s="16">
        <v>0</v>
      </c>
      <c r="R545" s="16">
        <v>0</v>
      </c>
      <c r="S545" s="16">
        <v>0</v>
      </c>
      <c r="T545" s="16">
        <v>0</v>
      </c>
      <c r="U545" s="16">
        <v>0</v>
      </c>
      <c r="V545" s="16">
        <f>($J545*0.04)+($K545*4)+($L545*-2)+($N545*0.1)+($O545*6)+($Q545)+($R545*0.1)+($S545*6)+($T545*-2)</f>
        <v>0</v>
      </c>
      <c r="W545" s="16" t="e">
        <f>$P545/$H$33</f>
        <v>#DIV/0!</v>
      </c>
      <c r="X545" s="16" t="e">
        <f>$N545/$M545</f>
        <v>#DIV/0!</v>
      </c>
      <c r="Y545" s="16" t="e">
        <f>$R545/$Q545</f>
        <v>#DIV/0!</v>
      </c>
      <c r="Z545" s="16" t="e">
        <f>$I545/$H545</f>
        <v>#DIV/0!</v>
      </c>
      <c r="AA545" s="16" t="e">
        <f>$K545/$H545</f>
        <v>#DIV/0!</v>
      </c>
      <c r="AB545" s="16">
        <f>($J545*Cp_yd)+($K545*Cp_td)+($L545*Cint)+($M545*Ccar)+($N545*Cr_yd)+($O545*Cr_td)+(Q545*Crec)+($R545*Crec_yd)+($S545*Crec_td)+($T545*Cfmb)+($U545*Ctp_c)</f>
        <v>0</v>
      </c>
    </row>
    <row r="546" spans="1:28" x14ac:dyDescent="0.2">
      <c r="A546" s="15" t="s">
        <v>1297</v>
      </c>
      <c r="B546" s="15" t="s">
        <v>43</v>
      </c>
      <c r="C546" s="15">
        <v>24</v>
      </c>
      <c r="D546" s="15">
        <v>1</v>
      </c>
      <c r="E546" s="15" t="s">
        <v>519</v>
      </c>
      <c r="F546" s="15" t="s">
        <v>1270</v>
      </c>
      <c r="G546" s="15">
        <v>0</v>
      </c>
      <c r="H546" s="15">
        <v>0</v>
      </c>
      <c r="I546" s="15">
        <v>0</v>
      </c>
      <c r="J546" s="15">
        <v>0</v>
      </c>
      <c r="K546" s="15">
        <v>0</v>
      </c>
      <c r="L546" s="15">
        <v>0</v>
      </c>
      <c r="M546" s="15">
        <v>0</v>
      </c>
      <c r="N546" s="15">
        <v>0</v>
      </c>
      <c r="O546" s="15">
        <v>0</v>
      </c>
      <c r="P546" s="15">
        <v>0</v>
      </c>
      <c r="Q546" s="15">
        <v>0</v>
      </c>
      <c r="R546" s="15">
        <v>0</v>
      </c>
      <c r="S546" s="15">
        <v>0</v>
      </c>
      <c r="T546" s="15">
        <v>0</v>
      </c>
      <c r="U546" s="15">
        <v>0</v>
      </c>
      <c r="V546" s="15">
        <f>($J546*0.04)+($K546*4)+($L546*-2)+($N546*0.1)+($O546*6)+($Q546)+($R546*0.1)+($S546*6)+($T546*-2)</f>
        <v>0</v>
      </c>
      <c r="W546" s="15" t="e">
        <f>$P546/$H$33</f>
        <v>#DIV/0!</v>
      </c>
      <c r="X546" s="15" t="e">
        <f>$N546/$M546</f>
        <v>#DIV/0!</v>
      </c>
      <c r="Y546" s="15" t="e">
        <f>$R546/$Q546</f>
        <v>#DIV/0!</v>
      </c>
      <c r="Z546" s="15" t="e">
        <f>$I546/$H546</f>
        <v>#DIV/0!</v>
      </c>
      <c r="AA546" s="15" t="e">
        <f>$K546/$H546</f>
        <v>#DIV/0!</v>
      </c>
      <c r="AB546" s="15">
        <f>($J546*Cp_yd)+($K546*Cp_td)+($L546*Cint)+($M546*Ccar)+($N546*Cr_yd)+($O546*Cr_td)+(Q546*Crec)+($R546*Crec_yd)+($S546*Crec_td)+($T546*Cfmb)+($U546*Ctp_c)</f>
        <v>0</v>
      </c>
    </row>
    <row r="547" spans="1:28" x14ac:dyDescent="0.2">
      <c r="A547" s="16" t="s">
        <v>1298</v>
      </c>
      <c r="B547" s="16" t="s">
        <v>43</v>
      </c>
      <c r="C547" s="16">
        <v>25</v>
      </c>
      <c r="D547" s="16">
        <v>3</v>
      </c>
      <c r="E547" s="16" t="s">
        <v>150</v>
      </c>
      <c r="F547" s="16" t="s">
        <v>1270</v>
      </c>
      <c r="G547" s="16">
        <v>0</v>
      </c>
      <c r="H547" s="16">
        <v>0</v>
      </c>
      <c r="I547" s="16">
        <v>0</v>
      </c>
      <c r="J547" s="16">
        <v>0</v>
      </c>
      <c r="K547" s="16">
        <v>0</v>
      </c>
      <c r="L547" s="16">
        <v>0</v>
      </c>
      <c r="M547" s="16">
        <v>0</v>
      </c>
      <c r="N547" s="16">
        <v>0</v>
      </c>
      <c r="O547" s="16">
        <v>0</v>
      </c>
      <c r="P547" s="16">
        <v>0</v>
      </c>
      <c r="Q547" s="16">
        <v>0</v>
      </c>
      <c r="R547" s="16">
        <v>0</v>
      </c>
      <c r="S547" s="16">
        <v>0</v>
      </c>
      <c r="T547" s="16">
        <v>0</v>
      </c>
      <c r="U547" s="16">
        <v>0</v>
      </c>
      <c r="V547" s="16">
        <f>($J547*0.04)+($K547*4)+($L547*-2)+($N547*0.1)+($O547*6)+($Q547)+($R547*0.1)+($S547*6)+($T547*-2)</f>
        <v>0</v>
      </c>
      <c r="W547" s="16" t="e">
        <f>$P547/$H$33</f>
        <v>#DIV/0!</v>
      </c>
      <c r="X547" s="16" t="e">
        <f>$N547/$M547</f>
        <v>#DIV/0!</v>
      </c>
      <c r="Y547" s="16" t="e">
        <f>$R547/$Q547</f>
        <v>#DIV/0!</v>
      </c>
      <c r="Z547" s="16" t="e">
        <f>$I547/$H547</f>
        <v>#DIV/0!</v>
      </c>
      <c r="AA547" s="16" t="e">
        <f>$K547/$H547</f>
        <v>#DIV/0!</v>
      </c>
      <c r="AB547" s="16">
        <f>($J547*Cp_yd)+($K547*Cp_td)+($L547*Cint)+($M547*Ccar)+($N547*Cr_yd)+($O547*Cr_td)+(Q547*Crec)+($R547*Crec_yd)+($S547*Crec_td)+($T547*Cfmb)+($U547*Ctp_c)</f>
        <v>0</v>
      </c>
    </row>
    <row r="548" spans="1:28" x14ac:dyDescent="0.2">
      <c r="A548" s="15" t="s">
        <v>1299</v>
      </c>
      <c r="B548" s="15" t="s">
        <v>43</v>
      </c>
      <c r="C548" s="15">
        <v>23</v>
      </c>
      <c r="D548" s="15">
        <v>0</v>
      </c>
      <c r="E548" s="15" t="s">
        <v>1300</v>
      </c>
      <c r="F548" s="15" t="s">
        <v>1270</v>
      </c>
      <c r="G548" s="15">
        <v>0</v>
      </c>
      <c r="H548" s="15">
        <v>0</v>
      </c>
      <c r="I548" s="15">
        <v>0</v>
      </c>
      <c r="J548" s="15">
        <v>0</v>
      </c>
      <c r="K548" s="15">
        <v>0</v>
      </c>
      <c r="L548" s="15">
        <v>0</v>
      </c>
      <c r="M548" s="15">
        <v>0</v>
      </c>
      <c r="N548" s="15">
        <v>0</v>
      </c>
      <c r="O548" s="15">
        <v>0</v>
      </c>
      <c r="P548" s="15">
        <v>0</v>
      </c>
      <c r="Q548" s="15">
        <v>0</v>
      </c>
      <c r="R548" s="15">
        <v>0</v>
      </c>
      <c r="S548" s="15">
        <v>0</v>
      </c>
      <c r="T548" s="15">
        <v>0</v>
      </c>
      <c r="U548" s="15">
        <v>0</v>
      </c>
      <c r="V548" s="15">
        <f>($J548*0.04)+($K548*4)+($L548*-2)+($N548*0.1)+($O548*6)+($Q548)+($R548*0.1)+($S548*6)+($T548*-2)</f>
        <v>0</v>
      </c>
      <c r="W548" s="15" t="e">
        <f>$P548/$H$33</f>
        <v>#DIV/0!</v>
      </c>
      <c r="X548" s="15" t="e">
        <f>$N548/$M548</f>
        <v>#DIV/0!</v>
      </c>
      <c r="Y548" s="15" t="e">
        <f>$R548/$Q548</f>
        <v>#DIV/0!</v>
      </c>
      <c r="Z548" s="15" t="e">
        <f>$I548/$H548</f>
        <v>#DIV/0!</v>
      </c>
      <c r="AA548" s="15" t="e">
        <f>$K548/$H548</f>
        <v>#DIV/0!</v>
      </c>
      <c r="AB548" s="15">
        <f>($J548*Cp_yd)+($K548*Cp_td)+($L548*Cint)+($M548*Ccar)+($N548*Cr_yd)+($O548*Cr_td)+(Q548*Crec)+($R548*Crec_yd)+($S548*Crec_td)+($T548*Cfmb)+($U548*Ctp_c)</f>
        <v>0</v>
      </c>
    </row>
    <row r="549" spans="1:28" x14ac:dyDescent="0.2">
      <c r="A549" s="16" t="s">
        <v>1301</v>
      </c>
      <c r="B549" s="16" t="s">
        <v>43</v>
      </c>
      <c r="C549" s="16">
        <v>24</v>
      </c>
      <c r="D549" s="16">
        <v>4</v>
      </c>
      <c r="E549" s="16" t="s">
        <v>341</v>
      </c>
      <c r="F549" s="16" t="s">
        <v>1270</v>
      </c>
      <c r="G549" s="16">
        <v>0</v>
      </c>
      <c r="H549" s="16">
        <v>0</v>
      </c>
      <c r="I549" s="16">
        <v>0</v>
      </c>
      <c r="J549" s="16">
        <v>0</v>
      </c>
      <c r="K549" s="16">
        <v>0</v>
      </c>
      <c r="L549" s="16">
        <v>0</v>
      </c>
      <c r="M549" s="16">
        <v>0</v>
      </c>
      <c r="N549" s="16">
        <v>0</v>
      </c>
      <c r="O549" s="16">
        <v>0</v>
      </c>
      <c r="P549" s="16">
        <v>0</v>
      </c>
      <c r="Q549" s="16">
        <v>0</v>
      </c>
      <c r="R549" s="16">
        <v>0</v>
      </c>
      <c r="S549" s="16">
        <v>0</v>
      </c>
      <c r="T549" s="16">
        <v>0</v>
      </c>
      <c r="U549" s="16">
        <v>0</v>
      </c>
      <c r="V549" s="16">
        <f>($J549*0.04)+($K549*4)+($L549*-2)+($N549*0.1)+($O549*6)+($Q549)+($R549*0.1)+($S549*6)+($T549*-2)</f>
        <v>0</v>
      </c>
      <c r="W549" s="16" t="e">
        <f>$P549/$H$33</f>
        <v>#DIV/0!</v>
      </c>
      <c r="X549" s="16" t="e">
        <f>$N549/$M549</f>
        <v>#DIV/0!</v>
      </c>
      <c r="Y549" s="16" t="e">
        <f>$R549/$Q549</f>
        <v>#DIV/0!</v>
      </c>
      <c r="Z549" s="16" t="e">
        <f>$I549/$H549</f>
        <v>#DIV/0!</v>
      </c>
      <c r="AA549" s="16" t="e">
        <f>$K549/$H549</f>
        <v>#DIV/0!</v>
      </c>
      <c r="AB549" s="16">
        <f>($J549*Cp_yd)+($K549*Cp_td)+($L549*Cint)+($M549*Ccar)+($N549*Cr_yd)+($O549*Cr_td)+(Q549*Crec)+($R549*Crec_yd)+($S549*Crec_td)+($T549*Cfmb)+($U549*Ctp_c)</f>
        <v>0</v>
      </c>
    </row>
    <row r="550" spans="1:28" x14ac:dyDescent="0.2">
      <c r="A550" s="15" t="s">
        <v>1302</v>
      </c>
      <c r="B550" s="15" t="s">
        <v>43</v>
      </c>
      <c r="C550" s="15">
        <v>24</v>
      </c>
      <c r="D550" s="15">
        <v>1</v>
      </c>
      <c r="E550" s="15" t="s">
        <v>227</v>
      </c>
      <c r="F550" s="15" t="s">
        <v>1270</v>
      </c>
      <c r="G550" s="15">
        <v>0</v>
      </c>
      <c r="H550" s="15">
        <v>0</v>
      </c>
      <c r="I550" s="15">
        <v>0</v>
      </c>
      <c r="J550" s="15">
        <v>0</v>
      </c>
      <c r="K550" s="15">
        <v>0</v>
      </c>
      <c r="L550" s="15">
        <v>0</v>
      </c>
      <c r="M550" s="15">
        <v>0</v>
      </c>
      <c r="N550" s="15">
        <v>0</v>
      </c>
      <c r="O550" s="15">
        <v>0</v>
      </c>
      <c r="P550" s="15">
        <v>0</v>
      </c>
      <c r="Q550" s="15">
        <v>0</v>
      </c>
      <c r="R550" s="15">
        <v>0</v>
      </c>
      <c r="S550" s="15">
        <v>0</v>
      </c>
      <c r="T550" s="15">
        <v>0</v>
      </c>
      <c r="U550" s="15">
        <v>0</v>
      </c>
      <c r="V550" s="15">
        <f>($J550*0.04)+($K550*4)+($L550*-2)+($N550*0.1)+($O550*6)+($Q550)+($R550*0.1)+($S550*6)+($T550*-2)</f>
        <v>0</v>
      </c>
      <c r="W550" s="15" t="e">
        <f>$P550/$H$33</f>
        <v>#DIV/0!</v>
      </c>
      <c r="X550" s="15" t="e">
        <f>$N550/$M550</f>
        <v>#DIV/0!</v>
      </c>
      <c r="Y550" s="15" t="e">
        <f>$R550/$Q550</f>
        <v>#DIV/0!</v>
      </c>
      <c r="Z550" s="15" t="e">
        <f>$I550/$H550</f>
        <v>#DIV/0!</v>
      </c>
      <c r="AA550" s="15" t="e">
        <f>$K550/$H550</f>
        <v>#DIV/0!</v>
      </c>
      <c r="AB550" s="15">
        <f>($J550*Cp_yd)+($K550*Cp_td)+($L550*Cint)+($M550*Ccar)+($N550*Cr_yd)+($O550*Cr_td)+(Q550*Crec)+($R550*Crec_yd)+($S550*Crec_td)+($T550*Cfmb)+($U550*Ctp_c)</f>
        <v>0</v>
      </c>
    </row>
    <row r="551" spans="1:28" x14ac:dyDescent="0.2">
      <c r="A551" s="16" t="s">
        <v>1303</v>
      </c>
      <c r="B551" s="16" t="s">
        <v>43</v>
      </c>
      <c r="C551" s="16">
        <v>29</v>
      </c>
      <c r="D551" s="16">
        <v>4</v>
      </c>
      <c r="E551" s="16" t="s">
        <v>391</v>
      </c>
      <c r="F551" s="16" t="s">
        <v>1270</v>
      </c>
      <c r="G551" s="16">
        <v>0</v>
      </c>
      <c r="H551" s="16">
        <v>0</v>
      </c>
      <c r="I551" s="16">
        <v>0</v>
      </c>
      <c r="J551" s="16">
        <v>0</v>
      </c>
      <c r="K551" s="16">
        <v>0</v>
      </c>
      <c r="L551" s="16">
        <v>0</v>
      </c>
      <c r="M551" s="16">
        <v>0</v>
      </c>
      <c r="N551" s="16">
        <v>0</v>
      </c>
      <c r="O551" s="16">
        <v>0</v>
      </c>
      <c r="P551" s="16">
        <v>0</v>
      </c>
      <c r="Q551" s="16">
        <v>0</v>
      </c>
      <c r="R551" s="16">
        <v>0</v>
      </c>
      <c r="S551" s="16">
        <v>0</v>
      </c>
      <c r="T551" s="16">
        <v>0</v>
      </c>
      <c r="U551" s="16">
        <v>0</v>
      </c>
      <c r="V551" s="16">
        <f>($J551*0.04)+($K551*4)+($L551*-2)+($N551*0.1)+($O551*6)+($Q551)+($R551*0.1)+($S551*6)+($T551*-2)</f>
        <v>0</v>
      </c>
      <c r="W551" s="16" t="e">
        <f>$P551/$H$33</f>
        <v>#DIV/0!</v>
      </c>
      <c r="X551" s="16" t="e">
        <f>$N551/$M551</f>
        <v>#DIV/0!</v>
      </c>
      <c r="Y551" s="16" t="e">
        <f>$R551/$Q551</f>
        <v>#DIV/0!</v>
      </c>
      <c r="Z551" s="16" t="e">
        <f>$I551/$H551</f>
        <v>#DIV/0!</v>
      </c>
      <c r="AA551" s="16" t="e">
        <f>$K551/$H551</f>
        <v>#DIV/0!</v>
      </c>
      <c r="AB551" s="16">
        <f>($J551*Cp_yd)+($K551*Cp_td)+($L551*Cint)+($M551*Ccar)+($N551*Cr_yd)+($O551*Cr_td)+(Q551*Crec)+($R551*Crec_yd)+($S551*Crec_td)+($T551*Cfmb)+($U551*Ctp_c)</f>
        <v>0</v>
      </c>
    </row>
    <row r="552" spans="1:28" x14ac:dyDescent="0.2">
      <c r="A552" s="15" t="s">
        <v>1304</v>
      </c>
      <c r="B552" s="15" t="s">
        <v>43</v>
      </c>
      <c r="C552" s="15">
        <v>26</v>
      </c>
      <c r="D552" s="15">
        <v>1</v>
      </c>
      <c r="E552" s="15" t="s">
        <v>1305</v>
      </c>
      <c r="F552" s="15" t="s">
        <v>1270</v>
      </c>
      <c r="G552" s="15">
        <v>0</v>
      </c>
      <c r="H552" s="15">
        <v>0</v>
      </c>
      <c r="I552" s="15">
        <v>0</v>
      </c>
      <c r="J552" s="15">
        <v>0</v>
      </c>
      <c r="K552" s="15">
        <v>0</v>
      </c>
      <c r="L552" s="15">
        <v>0</v>
      </c>
      <c r="M552" s="15">
        <v>0</v>
      </c>
      <c r="N552" s="15">
        <v>0</v>
      </c>
      <c r="O552" s="15">
        <v>0</v>
      </c>
      <c r="P552" s="15">
        <v>0</v>
      </c>
      <c r="Q552" s="15">
        <v>0</v>
      </c>
      <c r="R552" s="15">
        <v>0</v>
      </c>
      <c r="S552" s="15">
        <v>0</v>
      </c>
      <c r="T552" s="15">
        <v>0</v>
      </c>
      <c r="U552" s="15">
        <v>0</v>
      </c>
      <c r="V552" s="15">
        <f>($J552*0.04)+($K552*4)+($L552*-2)+($N552*0.1)+($O552*6)+($Q552)+($R552*0.1)+($S552*6)+($T552*-2)</f>
        <v>0</v>
      </c>
      <c r="W552" s="15" t="e">
        <f>$P552/$H$33</f>
        <v>#DIV/0!</v>
      </c>
      <c r="X552" s="15" t="e">
        <f>$N552/$M552</f>
        <v>#DIV/0!</v>
      </c>
      <c r="Y552" s="15" t="e">
        <f>$R552/$Q552</f>
        <v>#DIV/0!</v>
      </c>
      <c r="Z552" s="15" t="e">
        <f>$I552/$H552</f>
        <v>#DIV/0!</v>
      </c>
      <c r="AA552" s="15" t="e">
        <f>$K552/$H552</f>
        <v>#DIV/0!</v>
      </c>
      <c r="AB552" s="15">
        <f>($J552*Cp_yd)+($K552*Cp_td)+($L552*Cint)+($M552*Ccar)+($N552*Cr_yd)+($O552*Cr_td)+(Q552*Crec)+($R552*Crec_yd)+($S552*Crec_td)+($T552*Cfmb)+($U552*Ctp_c)</f>
        <v>0</v>
      </c>
    </row>
    <row r="553" spans="1:28" x14ac:dyDescent="0.2">
      <c r="A553" s="16" t="s">
        <v>1306</v>
      </c>
      <c r="B553" s="16" t="s">
        <v>43</v>
      </c>
      <c r="C553" s="16">
        <v>23</v>
      </c>
      <c r="D553" s="16">
        <v>2</v>
      </c>
      <c r="E553" s="16" t="s">
        <v>213</v>
      </c>
      <c r="F553" s="16" t="s">
        <v>1270</v>
      </c>
      <c r="G553" s="16">
        <v>0</v>
      </c>
      <c r="H553" s="16">
        <v>0</v>
      </c>
      <c r="I553" s="16">
        <v>0</v>
      </c>
      <c r="J553" s="16">
        <v>0</v>
      </c>
      <c r="K553" s="16">
        <v>0</v>
      </c>
      <c r="L553" s="16">
        <v>0</v>
      </c>
      <c r="M553" s="16">
        <v>0</v>
      </c>
      <c r="N553" s="16">
        <v>0</v>
      </c>
      <c r="O553" s="16">
        <v>0</v>
      </c>
      <c r="P553" s="16">
        <v>0</v>
      </c>
      <c r="Q553" s="16">
        <v>0</v>
      </c>
      <c r="R553" s="16">
        <v>0</v>
      </c>
      <c r="S553" s="16">
        <v>0</v>
      </c>
      <c r="T553" s="16">
        <v>0</v>
      </c>
      <c r="U553" s="16">
        <v>0</v>
      </c>
      <c r="V553" s="16">
        <f>($J553*0.04)+($K553*4)+($L553*-2)+($N553*0.1)+($O553*6)+($Q553)+($R553*0.1)+($S553*6)+($T553*-2)</f>
        <v>0</v>
      </c>
      <c r="W553" s="16" t="e">
        <f>$P553/$H$33</f>
        <v>#DIV/0!</v>
      </c>
      <c r="X553" s="16" t="e">
        <f>$N553/$M553</f>
        <v>#DIV/0!</v>
      </c>
      <c r="Y553" s="16" t="e">
        <f>$R553/$Q553</f>
        <v>#DIV/0!</v>
      </c>
      <c r="Z553" s="16" t="e">
        <f>$I553/$H553</f>
        <v>#DIV/0!</v>
      </c>
      <c r="AA553" s="16" t="e">
        <f>$K553/$H553</f>
        <v>#DIV/0!</v>
      </c>
      <c r="AB553" s="16">
        <f>($J553*Cp_yd)+($K553*Cp_td)+($L553*Cint)+($M553*Ccar)+($N553*Cr_yd)+($O553*Cr_td)+(Q553*Crec)+($R553*Crec_yd)+($S553*Crec_td)+($T553*Cfmb)+($U553*Ctp_c)</f>
        <v>0</v>
      </c>
    </row>
    <row r="554" spans="1:28" x14ac:dyDescent="0.2">
      <c r="A554" s="15" t="s">
        <v>1307</v>
      </c>
      <c r="B554" s="15" t="s">
        <v>43</v>
      </c>
      <c r="C554" s="15">
        <v>23</v>
      </c>
      <c r="D554" s="15">
        <v>0</v>
      </c>
      <c r="E554" s="15" t="s">
        <v>95</v>
      </c>
      <c r="F554" s="15" t="s">
        <v>1270</v>
      </c>
      <c r="G554" s="15">
        <v>0</v>
      </c>
      <c r="H554" s="15">
        <v>0</v>
      </c>
      <c r="I554" s="15">
        <v>0</v>
      </c>
      <c r="J554" s="15">
        <v>0</v>
      </c>
      <c r="K554" s="15">
        <v>0</v>
      </c>
      <c r="L554" s="15">
        <v>0</v>
      </c>
      <c r="M554" s="15">
        <v>0</v>
      </c>
      <c r="N554" s="15">
        <v>0</v>
      </c>
      <c r="O554" s="15">
        <v>0</v>
      </c>
      <c r="P554" s="15">
        <v>0</v>
      </c>
      <c r="Q554" s="15">
        <v>0</v>
      </c>
      <c r="R554" s="15">
        <v>0</v>
      </c>
      <c r="S554" s="15">
        <v>0</v>
      </c>
      <c r="T554" s="15">
        <v>0</v>
      </c>
      <c r="U554" s="15">
        <v>0</v>
      </c>
      <c r="V554" s="15">
        <f>($J554*0.04)+($K554*4)+($L554*-2)+($N554*0.1)+($O554*6)+($Q554)+($R554*0.1)+($S554*6)+($T554*-2)</f>
        <v>0</v>
      </c>
      <c r="W554" s="15" t="e">
        <f>$P554/$H$33</f>
        <v>#DIV/0!</v>
      </c>
      <c r="X554" s="15" t="e">
        <f>$N554/$M554</f>
        <v>#DIV/0!</v>
      </c>
      <c r="Y554" s="15" t="e">
        <f>$R554/$Q554</f>
        <v>#DIV/0!</v>
      </c>
      <c r="Z554" s="15" t="e">
        <f>$I554/$H554</f>
        <v>#DIV/0!</v>
      </c>
      <c r="AA554" s="15" t="e">
        <f>$K554/$H554</f>
        <v>#DIV/0!</v>
      </c>
      <c r="AB554" s="15">
        <f>($J554*Cp_yd)+($K554*Cp_td)+($L554*Cint)+($M554*Ccar)+($N554*Cr_yd)+($O554*Cr_td)+(Q554*Crec)+($R554*Crec_yd)+($S554*Crec_td)+($T554*Cfmb)+($U554*Ctp_c)</f>
        <v>0</v>
      </c>
    </row>
    <row r="555" spans="1:28" x14ac:dyDescent="0.2">
      <c r="A555" s="16" t="s">
        <v>1308</v>
      </c>
      <c r="B555" s="16" t="s">
        <v>43</v>
      </c>
      <c r="C555" s="16">
        <v>24</v>
      </c>
      <c r="D555" s="16">
        <v>2</v>
      </c>
      <c r="E555" s="16" t="s">
        <v>1309</v>
      </c>
      <c r="F555" s="16" t="s">
        <v>1270</v>
      </c>
      <c r="G555" s="16">
        <v>0</v>
      </c>
      <c r="H555" s="16">
        <v>0</v>
      </c>
      <c r="I555" s="16">
        <v>0</v>
      </c>
      <c r="J555" s="16">
        <v>0</v>
      </c>
      <c r="K555" s="16">
        <v>0</v>
      </c>
      <c r="L555" s="16">
        <v>0</v>
      </c>
      <c r="M555" s="16">
        <v>0</v>
      </c>
      <c r="N555" s="16">
        <v>0</v>
      </c>
      <c r="O555" s="16">
        <v>0</v>
      </c>
      <c r="P555" s="16">
        <v>0</v>
      </c>
      <c r="Q555" s="16">
        <v>0</v>
      </c>
      <c r="R555" s="16">
        <v>0</v>
      </c>
      <c r="S555" s="16">
        <v>0</v>
      </c>
      <c r="T555" s="16">
        <v>0</v>
      </c>
      <c r="U555" s="16">
        <v>0</v>
      </c>
      <c r="V555" s="16">
        <f>($J555*0.04)+($K555*4)+($L555*-2)+($N555*0.1)+($O555*6)+($Q555)+($R555*0.1)+($S555*6)+($T555*-2)</f>
        <v>0</v>
      </c>
      <c r="W555" s="16" t="e">
        <f>$P555/$H$33</f>
        <v>#DIV/0!</v>
      </c>
      <c r="X555" s="16" t="e">
        <f>$N555/$M555</f>
        <v>#DIV/0!</v>
      </c>
      <c r="Y555" s="16" t="e">
        <f>$R555/$Q555</f>
        <v>#DIV/0!</v>
      </c>
      <c r="Z555" s="16" t="e">
        <f>$I555/$H555</f>
        <v>#DIV/0!</v>
      </c>
      <c r="AA555" s="16" t="e">
        <f>$K555/$H555</f>
        <v>#DIV/0!</v>
      </c>
      <c r="AB555" s="16">
        <f>($J555*Cp_yd)+($K555*Cp_td)+($L555*Cint)+($M555*Ccar)+($N555*Cr_yd)+($O555*Cr_td)+(Q555*Crec)+($R555*Crec_yd)+($S555*Crec_td)+($T555*Cfmb)+($U555*Ctp_c)</f>
        <v>0</v>
      </c>
    </row>
    <row r="556" spans="1:28" x14ac:dyDescent="0.2">
      <c r="A556" s="15" t="s">
        <v>1310</v>
      </c>
      <c r="B556" s="15" t="s">
        <v>43</v>
      </c>
      <c r="C556" s="15">
        <v>27</v>
      </c>
      <c r="D556" s="15">
        <v>6</v>
      </c>
      <c r="E556" s="15" t="s">
        <v>282</v>
      </c>
      <c r="F556" s="15" t="s">
        <v>1270</v>
      </c>
      <c r="G556" s="15">
        <v>0</v>
      </c>
      <c r="H556" s="15">
        <v>0</v>
      </c>
      <c r="I556" s="15">
        <v>0</v>
      </c>
      <c r="J556" s="15">
        <v>0</v>
      </c>
      <c r="K556" s="15">
        <v>0</v>
      </c>
      <c r="L556" s="15">
        <v>0</v>
      </c>
      <c r="M556" s="15">
        <v>0</v>
      </c>
      <c r="N556" s="15">
        <v>0</v>
      </c>
      <c r="O556" s="15">
        <v>0</v>
      </c>
      <c r="P556" s="15">
        <v>0</v>
      </c>
      <c r="Q556" s="15">
        <v>0</v>
      </c>
      <c r="R556" s="15">
        <v>0</v>
      </c>
      <c r="S556" s="15">
        <v>0</v>
      </c>
      <c r="T556" s="15">
        <v>0</v>
      </c>
      <c r="U556" s="15">
        <v>0</v>
      </c>
      <c r="V556" s="15">
        <f>($J556*0.04)+($K556*4)+($L556*-2)+($N556*0.1)+($O556*6)+($Q556)+($R556*0.1)+($S556*6)+($T556*-2)</f>
        <v>0</v>
      </c>
      <c r="W556" s="15" t="e">
        <f>$P556/$H$33</f>
        <v>#DIV/0!</v>
      </c>
      <c r="X556" s="15" t="e">
        <f>$N556/$M556</f>
        <v>#DIV/0!</v>
      </c>
      <c r="Y556" s="15" t="e">
        <f>$R556/$Q556</f>
        <v>#DIV/0!</v>
      </c>
      <c r="Z556" s="15" t="e">
        <f>$I556/$H556</f>
        <v>#DIV/0!</v>
      </c>
      <c r="AA556" s="15" t="e">
        <f>$K556/$H556</f>
        <v>#DIV/0!</v>
      </c>
      <c r="AB556" s="15">
        <f>($J556*Cp_yd)+($K556*Cp_td)+($L556*Cint)+($M556*Ccar)+($N556*Cr_yd)+($O556*Cr_td)+(Q556*Crec)+($R556*Crec_yd)+($S556*Crec_td)+($T556*Cfmb)+($U556*Ctp_c)</f>
        <v>0</v>
      </c>
    </row>
    <row r="557" spans="1:28" x14ac:dyDescent="0.2">
      <c r="A557" s="16" t="s">
        <v>1312</v>
      </c>
      <c r="B557" s="16" t="s">
        <v>38</v>
      </c>
      <c r="C557" s="16">
        <v>36</v>
      </c>
      <c r="D557" s="16">
        <v>13</v>
      </c>
      <c r="E557" s="16" t="s">
        <v>397</v>
      </c>
      <c r="F557" s="16" t="s">
        <v>1270</v>
      </c>
      <c r="G557" s="16">
        <v>0</v>
      </c>
      <c r="H557" s="16">
        <v>0</v>
      </c>
      <c r="I557" s="16">
        <v>0</v>
      </c>
      <c r="J557" s="16">
        <v>0</v>
      </c>
      <c r="K557" s="16">
        <v>0</v>
      </c>
      <c r="L557" s="16">
        <v>0</v>
      </c>
      <c r="M557" s="16">
        <v>0</v>
      </c>
      <c r="N557" s="16">
        <v>0</v>
      </c>
      <c r="O557" s="16">
        <v>0</v>
      </c>
      <c r="P557" s="16">
        <v>0</v>
      </c>
      <c r="Q557" s="16">
        <v>0</v>
      </c>
      <c r="R557" s="16">
        <v>0</v>
      </c>
      <c r="S557" s="16">
        <v>0</v>
      </c>
      <c r="T557" s="16">
        <v>0</v>
      </c>
      <c r="U557" s="16">
        <v>0</v>
      </c>
      <c r="V557" s="16">
        <f>($J557*0.04)+($K557*4)+($L557*-2)+($N557*0.1)+($O557*6)+($Q557)+($R557*0.1)+($S557*6)+($T557*-2)</f>
        <v>0</v>
      </c>
      <c r="W557" s="16" t="e">
        <f>$P557/$H$33</f>
        <v>#DIV/0!</v>
      </c>
      <c r="X557" s="16" t="e">
        <f>$N557/$M557</f>
        <v>#DIV/0!</v>
      </c>
      <c r="Y557" s="16" t="e">
        <f>$R557/$Q557</f>
        <v>#DIV/0!</v>
      </c>
      <c r="Z557" s="16" t="e">
        <f>$I557/$H557</f>
        <v>#DIV/0!</v>
      </c>
      <c r="AA557" s="16" t="e">
        <f>$K557/$H557</f>
        <v>#DIV/0!</v>
      </c>
      <c r="AB557" s="16">
        <f>($J557*Cp_yd)+($K557*Cp_td)+($L557*Cint)+($M557*Ccar)+($N557*Cr_yd)+($O557*Cr_td)+(Q557*Crec)+($R557*Crec_yd)+($S557*Crec_td)+($T557*Cfmb)+($U557*Ctp_c)</f>
        <v>0</v>
      </c>
    </row>
    <row r="558" spans="1:28" x14ac:dyDescent="0.2">
      <c r="A558" s="15" t="s">
        <v>1313</v>
      </c>
      <c r="B558" s="15" t="s">
        <v>38</v>
      </c>
      <c r="C558" s="15">
        <v>32</v>
      </c>
      <c r="D558" s="15">
        <v>7</v>
      </c>
      <c r="E558" s="15" t="s">
        <v>82</v>
      </c>
      <c r="F558" s="15" t="s">
        <v>1270</v>
      </c>
      <c r="G558" s="15">
        <v>0</v>
      </c>
      <c r="H558" s="15">
        <v>0</v>
      </c>
      <c r="I558" s="15">
        <v>0</v>
      </c>
      <c r="J558" s="15">
        <v>0</v>
      </c>
      <c r="K558" s="15">
        <v>0</v>
      </c>
      <c r="L558" s="15">
        <v>0</v>
      </c>
      <c r="M558" s="15">
        <v>0</v>
      </c>
      <c r="N558" s="15">
        <v>0</v>
      </c>
      <c r="O558" s="15">
        <v>0</v>
      </c>
      <c r="P558" s="15">
        <v>0</v>
      </c>
      <c r="Q558" s="15">
        <v>0</v>
      </c>
      <c r="R558" s="15">
        <v>0</v>
      </c>
      <c r="S558" s="15">
        <v>0</v>
      </c>
      <c r="T558" s="15">
        <v>0</v>
      </c>
      <c r="U558" s="15">
        <v>0</v>
      </c>
      <c r="V558" s="15">
        <f>($J558*0.04)+($K558*4)+($L558*-2)+($N558*0.1)+($O558*6)+($Q558)+($R558*0.1)+($S558*6)+($T558*-2)</f>
        <v>0</v>
      </c>
      <c r="W558" s="15" t="e">
        <f>$P558/$H$33</f>
        <v>#DIV/0!</v>
      </c>
      <c r="X558" s="15" t="e">
        <f>$N558/$M558</f>
        <v>#DIV/0!</v>
      </c>
      <c r="Y558" s="15" t="e">
        <f>$R558/$Q558</f>
        <v>#DIV/0!</v>
      </c>
      <c r="Z558" s="15" t="e">
        <f>$I558/$H558</f>
        <v>#DIV/0!</v>
      </c>
      <c r="AA558" s="15" t="e">
        <f>$K558/$H558</f>
        <v>#DIV/0!</v>
      </c>
      <c r="AB558" s="15">
        <f>($J558*Cp_yd)+($K558*Cp_td)+($L558*Cint)+($M558*Ccar)+($N558*Cr_yd)+($O558*Cr_td)+(Q558*Crec)+($R558*Crec_yd)+($S558*Crec_td)+($T558*Cfmb)+($U558*Ctp_c)</f>
        <v>0</v>
      </c>
    </row>
    <row r="559" spans="1:28" x14ac:dyDescent="0.2">
      <c r="A559" s="16" t="s">
        <v>1314</v>
      </c>
      <c r="B559" s="16" t="s">
        <v>38</v>
      </c>
      <c r="C559" s="16">
        <v>29</v>
      </c>
      <c r="D559" s="16">
        <v>7</v>
      </c>
      <c r="E559" s="16" t="s">
        <v>74</v>
      </c>
      <c r="F559" s="16" t="s">
        <v>1270</v>
      </c>
      <c r="G559" s="16">
        <v>0</v>
      </c>
      <c r="H559" s="16">
        <v>0</v>
      </c>
      <c r="I559" s="16">
        <v>0</v>
      </c>
      <c r="J559" s="16">
        <v>0</v>
      </c>
      <c r="K559" s="16">
        <v>0</v>
      </c>
      <c r="L559" s="16">
        <v>0</v>
      </c>
      <c r="M559" s="16">
        <v>0</v>
      </c>
      <c r="N559" s="16">
        <v>0</v>
      </c>
      <c r="O559" s="16">
        <v>0</v>
      </c>
      <c r="P559" s="16">
        <v>0</v>
      </c>
      <c r="Q559" s="16">
        <v>0</v>
      </c>
      <c r="R559" s="16">
        <v>0</v>
      </c>
      <c r="S559" s="16">
        <v>0</v>
      </c>
      <c r="T559" s="16">
        <v>0</v>
      </c>
      <c r="U559" s="16">
        <v>0</v>
      </c>
      <c r="V559" s="16">
        <f>($J559*0.04)+($K559*4)+($L559*-2)+($N559*0.1)+($O559*6)+($Q559)+($R559*0.1)+($S559*6)+($T559*-2)</f>
        <v>0</v>
      </c>
      <c r="W559" s="16" t="e">
        <f>$P559/$H$33</f>
        <v>#DIV/0!</v>
      </c>
      <c r="X559" s="16" t="e">
        <f>$N559/$M559</f>
        <v>#DIV/0!</v>
      </c>
      <c r="Y559" s="16" t="e">
        <f>$R559/$Q559</f>
        <v>#DIV/0!</v>
      </c>
      <c r="Z559" s="16" t="e">
        <f>$I559/$H559</f>
        <v>#DIV/0!</v>
      </c>
      <c r="AA559" s="16" t="e">
        <f>$K559/$H559</f>
        <v>#DIV/0!</v>
      </c>
      <c r="AB559" s="16">
        <f>($J559*Cp_yd)+($K559*Cp_td)+($L559*Cint)+($M559*Ccar)+($N559*Cr_yd)+($O559*Cr_td)+(Q559*Crec)+($R559*Crec_yd)+($S559*Crec_td)+($T559*Cfmb)+($U559*Ctp_c)</f>
        <v>0</v>
      </c>
    </row>
    <row r="560" spans="1:28" x14ac:dyDescent="0.2">
      <c r="A560" s="15" t="s">
        <v>1315</v>
      </c>
      <c r="B560" s="15" t="s">
        <v>38</v>
      </c>
      <c r="C560" s="15">
        <v>29</v>
      </c>
      <c r="D560" s="15">
        <v>9</v>
      </c>
      <c r="E560" s="15" t="s">
        <v>339</v>
      </c>
      <c r="F560" s="15" t="s">
        <v>1270</v>
      </c>
      <c r="G560" s="15">
        <v>0</v>
      </c>
      <c r="H560" s="15">
        <v>0</v>
      </c>
      <c r="I560" s="15">
        <v>0</v>
      </c>
      <c r="J560" s="15">
        <v>0</v>
      </c>
      <c r="K560" s="15">
        <v>0</v>
      </c>
      <c r="L560" s="15">
        <v>0</v>
      </c>
      <c r="M560" s="15">
        <v>0</v>
      </c>
      <c r="N560" s="15">
        <v>0</v>
      </c>
      <c r="O560" s="15">
        <v>0</v>
      </c>
      <c r="P560" s="15">
        <v>0</v>
      </c>
      <c r="Q560" s="15">
        <v>0</v>
      </c>
      <c r="R560" s="15">
        <v>0</v>
      </c>
      <c r="S560" s="15">
        <v>0</v>
      </c>
      <c r="T560" s="15">
        <v>0</v>
      </c>
      <c r="U560" s="15">
        <v>0</v>
      </c>
      <c r="V560" s="15">
        <f>($J560*0.04)+($K560*4)+($L560*-2)+($N560*0.1)+($O560*6)+($Q560)+($R560*0.1)+($S560*6)+($T560*-2)</f>
        <v>0</v>
      </c>
      <c r="W560" s="15" t="e">
        <f>$P560/$H$33</f>
        <v>#DIV/0!</v>
      </c>
      <c r="X560" s="15" t="e">
        <f>$N560/$M560</f>
        <v>#DIV/0!</v>
      </c>
      <c r="Y560" s="15" t="e">
        <f>$R560/$Q560</f>
        <v>#DIV/0!</v>
      </c>
      <c r="Z560" s="15" t="e">
        <f>$I560/$H560</f>
        <v>#DIV/0!</v>
      </c>
      <c r="AA560" s="15" t="e">
        <f>$K560/$H560</f>
        <v>#DIV/0!</v>
      </c>
      <c r="AB560" s="15">
        <f>($J560*Cp_yd)+($K560*Cp_td)+($L560*Cint)+($M560*Ccar)+($N560*Cr_yd)+($O560*Cr_td)+(Q560*Crec)+($R560*Crec_yd)+($S560*Crec_td)+($T560*Cfmb)+($U560*Ctp_c)</f>
        <v>0</v>
      </c>
    </row>
    <row r="561" spans="1:28" x14ac:dyDescent="0.2">
      <c r="A561" s="16" t="s">
        <v>1316</v>
      </c>
      <c r="B561" s="16" t="s">
        <v>38</v>
      </c>
      <c r="C561" s="16">
        <v>26</v>
      </c>
      <c r="D561" s="16">
        <v>4</v>
      </c>
      <c r="E561" s="16" t="s">
        <v>205</v>
      </c>
      <c r="F561" s="16" t="s">
        <v>1270</v>
      </c>
      <c r="G561" s="16">
        <v>0</v>
      </c>
      <c r="H561" s="16">
        <v>0</v>
      </c>
      <c r="I561" s="16">
        <v>0</v>
      </c>
      <c r="J561" s="16">
        <v>0</v>
      </c>
      <c r="K561" s="16">
        <v>0</v>
      </c>
      <c r="L561" s="16">
        <v>0</v>
      </c>
      <c r="M561" s="16">
        <v>0</v>
      </c>
      <c r="N561" s="16">
        <v>0</v>
      </c>
      <c r="O561" s="16">
        <v>0</v>
      </c>
      <c r="P561" s="16">
        <v>0</v>
      </c>
      <c r="Q561" s="16">
        <v>0</v>
      </c>
      <c r="R561" s="16">
        <v>0</v>
      </c>
      <c r="S561" s="16">
        <v>0</v>
      </c>
      <c r="T561" s="16">
        <v>0</v>
      </c>
      <c r="U561" s="16">
        <v>0</v>
      </c>
      <c r="V561" s="16">
        <f>($J561*0.04)+($K561*4)+($L561*-2)+($N561*0.1)+($O561*6)+($Q561)+($R561*0.1)+($S561*6)+($T561*-2)</f>
        <v>0</v>
      </c>
      <c r="W561" s="16" t="e">
        <f>$P561/$H$33</f>
        <v>#DIV/0!</v>
      </c>
      <c r="X561" s="16" t="e">
        <f>$N561/$M561</f>
        <v>#DIV/0!</v>
      </c>
      <c r="Y561" s="16" t="e">
        <f>$R561/$Q561</f>
        <v>#DIV/0!</v>
      </c>
      <c r="Z561" s="16" t="e">
        <f>$I561/$H561</f>
        <v>#DIV/0!</v>
      </c>
      <c r="AA561" s="16" t="e">
        <f>$K561/$H561</f>
        <v>#DIV/0!</v>
      </c>
      <c r="AB561" s="16">
        <f>($J561*Cp_yd)+($K561*Cp_td)+($L561*Cint)+($M561*Ccar)+($N561*Cr_yd)+($O561*Cr_td)+(Q561*Crec)+($R561*Crec_yd)+($S561*Crec_td)+($T561*Cfmb)+($U561*Ctp_c)</f>
        <v>0</v>
      </c>
    </row>
    <row r="562" spans="1:28" x14ac:dyDescent="0.2">
      <c r="A562" s="15" t="s">
        <v>1317</v>
      </c>
      <c r="B562" s="15" t="s">
        <v>38</v>
      </c>
      <c r="C562" s="15">
        <v>25</v>
      </c>
      <c r="D562" s="15">
        <v>1</v>
      </c>
      <c r="E562" s="15" t="s">
        <v>74</v>
      </c>
      <c r="F562" s="15" t="s">
        <v>1270</v>
      </c>
      <c r="G562" s="15">
        <v>0</v>
      </c>
      <c r="H562" s="15">
        <v>0</v>
      </c>
      <c r="I562" s="15">
        <v>0</v>
      </c>
      <c r="J562" s="15">
        <v>0</v>
      </c>
      <c r="K562" s="15">
        <v>0</v>
      </c>
      <c r="L562" s="15">
        <v>0</v>
      </c>
      <c r="M562" s="15">
        <v>0</v>
      </c>
      <c r="N562" s="15">
        <v>0</v>
      </c>
      <c r="O562" s="15">
        <v>0</v>
      </c>
      <c r="P562" s="15">
        <v>0</v>
      </c>
      <c r="Q562" s="15">
        <v>0</v>
      </c>
      <c r="R562" s="15">
        <v>0</v>
      </c>
      <c r="S562" s="15">
        <v>0</v>
      </c>
      <c r="T562" s="15">
        <v>0</v>
      </c>
      <c r="U562" s="15">
        <v>0</v>
      </c>
      <c r="V562" s="15">
        <f>($J562*0.04)+($K562*4)+($L562*-2)+($N562*0.1)+($O562*6)+($Q562)+($R562*0.1)+($S562*6)+($T562*-2)</f>
        <v>0</v>
      </c>
      <c r="W562" s="15" t="e">
        <f>$P562/$H$33</f>
        <v>#DIV/0!</v>
      </c>
      <c r="X562" s="15" t="e">
        <f>$N562/$M562</f>
        <v>#DIV/0!</v>
      </c>
      <c r="Y562" s="15" t="e">
        <f>$R562/$Q562</f>
        <v>#DIV/0!</v>
      </c>
      <c r="Z562" s="15" t="e">
        <f>$I562/$H562</f>
        <v>#DIV/0!</v>
      </c>
      <c r="AA562" s="15" t="e">
        <f>$K562/$H562</f>
        <v>#DIV/0!</v>
      </c>
      <c r="AB562" s="15">
        <f>($J562*Cp_yd)+($K562*Cp_td)+($L562*Cint)+($M562*Ccar)+($N562*Cr_yd)+($O562*Cr_td)+(Q562*Crec)+($R562*Crec_yd)+($S562*Crec_td)+($T562*Cfmb)+($U562*Ctp_c)</f>
        <v>0</v>
      </c>
    </row>
    <row r="563" spans="1:28" x14ac:dyDescent="0.2">
      <c r="A563" s="16" t="s">
        <v>1336</v>
      </c>
      <c r="B563" s="16" t="s">
        <v>26</v>
      </c>
      <c r="C563" s="16">
        <v>25</v>
      </c>
      <c r="D563" s="16">
        <v>0</v>
      </c>
      <c r="E563" s="16" t="s">
        <v>446</v>
      </c>
      <c r="F563" s="16" t="s">
        <v>1320</v>
      </c>
      <c r="G563" s="16">
        <v>0</v>
      </c>
      <c r="H563" s="16">
        <v>0</v>
      </c>
      <c r="I563" s="16">
        <v>0</v>
      </c>
      <c r="J563" s="16">
        <v>0</v>
      </c>
      <c r="K563" s="16">
        <v>0</v>
      </c>
      <c r="L563" s="16">
        <v>0</v>
      </c>
      <c r="M563" s="16">
        <v>0</v>
      </c>
      <c r="N563" s="16">
        <v>0</v>
      </c>
      <c r="O563" s="16">
        <v>0</v>
      </c>
      <c r="P563" s="16">
        <v>0</v>
      </c>
      <c r="Q563" s="16">
        <v>0</v>
      </c>
      <c r="R563" s="16">
        <v>0</v>
      </c>
      <c r="S563" s="16">
        <v>0</v>
      </c>
      <c r="T563" s="16">
        <v>0</v>
      </c>
      <c r="U563" s="16">
        <v>0</v>
      </c>
      <c r="V563" s="16">
        <f>($J563*0.04)+($K563*4)+($L563*-2)+($N563*0.1)+($O563*6)+($Q563)+($R563*0.1)+($S563*6)+($T563*-2)</f>
        <v>0</v>
      </c>
      <c r="W563" s="16" t="e">
        <f>$P563/$H$33</f>
        <v>#DIV/0!</v>
      </c>
      <c r="X563" s="16" t="e">
        <f>$N563/$M563</f>
        <v>#DIV/0!</v>
      </c>
      <c r="Y563" s="16" t="e">
        <f>$R563/$Q563</f>
        <v>#DIV/0!</v>
      </c>
      <c r="Z563" s="16" t="e">
        <f>$I563/$H563</f>
        <v>#DIV/0!</v>
      </c>
      <c r="AA563" s="16" t="e">
        <f>$K563/$H563</f>
        <v>#DIV/0!</v>
      </c>
      <c r="AB563" s="16">
        <f>($J563*Cp_yd)+($K563*Cp_td)+($L563*Cint)+($M563*Ccar)+($N563*Cr_yd)+($O563*Cr_td)+(Q563*Crec)+($R563*Crec_yd)+($S563*Crec_td)+($T563*Cfmb)+($U563*Ctp_c)</f>
        <v>0</v>
      </c>
    </row>
    <row r="564" spans="1:28" x14ac:dyDescent="0.2">
      <c r="A564" s="15" t="s">
        <v>1337</v>
      </c>
      <c r="B564" s="15" t="s">
        <v>26</v>
      </c>
      <c r="C564" s="15">
        <v>26</v>
      </c>
      <c r="D564" s="15">
        <v>5</v>
      </c>
      <c r="E564" s="15" t="s">
        <v>697</v>
      </c>
      <c r="F564" s="15" t="s">
        <v>1320</v>
      </c>
      <c r="G564" s="15">
        <v>0</v>
      </c>
      <c r="H564" s="15">
        <v>0</v>
      </c>
      <c r="I564" s="15">
        <v>0</v>
      </c>
      <c r="J564" s="15">
        <v>0</v>
      </c>
      <c r="K564" s="15">
        <v>0</v>
      </c>
      <c r="L564" s="15">
        <v>0</v>
      </c>
      <c r="M564" s="15">
        <v>0</v>
      </c>
      <c r="N564" s="15">
        <v>0</v>
      </c>
      <c r="O564" s="15">
        <v>0</v>
      </c>
      <c r="P564" s="15">
        <v>0</v>
      </c>
      <c r="Q564" s="15">
        <v>0</v>
      </c>
      <c r="R564" s="15">
        <v>0</v>
      </c>
      <c r="S564" s="15">
        <v>0</v>
      </c>
      <c r="T564" s="15">
        <v>0</v>
      </c>
      <c r="U564" s="15">
        <v>0</v>
      </c>
      <c r="V564" s="15">
        <f>($J564*0.04)+($K564*4)+($L564*-2)+($N564*0.1)+($O564*6)+($Q564)+($R564*0.1)+($S564*6)+($T564*-2)</f>
        <v>0</v>
      </c>
      <c r="W564" s="15" t="e">
        <f>$P564/$H$33</f>
        <v>#DIV/0!</v>
      </c>
      <c r="X564" s="15" t="e">
        <f>$N564/$M564</f>
        <v>#DIV/0!</v>
      </c>
      <c r="Y564" s="15" t="e">
        <f>$R564/$Q564</f>
        <v>#DIV/0!</v>
      </c>
      <c r="Z564" s="15" t="e">
        <f>$I564/$H564</f>
        <v>#DIV/0!</v>
      </c>
      <c r="AA564" s="15" t="e">
        <f>$K564/$H564</f>
        <v>#DIV/0!</v>
      </c>
      <c r="AB564" s="15">
        <f>($J564*Cp_yd)+($K564*Cp_td)+($L564*Cint)+($M564*Ccar)+($N564*Cr_yd)+($O564*Cr_td)+(Q564*Crec)+($R564*Crec_yd)+($S564*Crec_td)+($T564*Cfmb)+($U564*Ctp_c)</f>
        <v>0</v>
      </c>
    </row>
    <row r="565" spans="1:28" x14ac:dyDescent="0.2">
      <c r="A565" s="16" t="s">
        <v>1339</v>
      </c>
      <c r="B565" s="16" t="s">
        <v>31</v>
      </c>
      <c r="C565" s="16">
        <v>26</v>
      </c>
      <c r="D565" s="16">
        <v>6</v>
      </c>
      <c r="E565" s="16" t="s">
        <v>339</v>
      </c>
      <c r="F565" s="16" t="s">
        <v>1320</v>
      </c>
      <c r="G565" s="16">
        <v>0</v>
      </c>
      <c r="H565" s="16">
        <v>0</v>
      </c>
      <c r="I565" s="16">
        <v>0</v>
      </c>
      <c r="J565" s="16">
        <v>0</v>
      </c>
      <c r="K565" s="16">
        <v>0</v>
      </c>
      <c r="L565" s="16">
        <v>0</v>
      </c>
      <c r="M565" s="16">
        <v>0</v>
      </c>
      <c r="N565" s="16">
        <v>0</v>
      </c>
      <c r="O565" s="16">
        <v>0</v>
      </c>
      <c r="P565" s="16">
        <v>0</v>
      </c>
      <c r="Q565" s="16">
        <v>0</v>
      </c>
      <c r="R565" s="16">
        <v>0</v>
      </c>
      <c r="S565" s="16">
        <v>0</v>
      </c>
      <c r="T565" s="16">
        <v>0</v>
      </c>
      <c r="U565" s="16">
        <v>0</v>
      </c>
      <c r="V565" s="16">
        <f>($J565*0.04)+($K565*4)+($L565*-2)+($N565*0.1)+($O565*6)+($Q565)+($R565*0.1)+($S565*6)+($T565*-2)</f>
        <v>0</v>
      </c>
      <c r="W565" s="16" t="e">
        <f>$P565/$H$33</f>
        <v>#DIV/0!</v>
      </c>
      <c r="X565" s="16" t="e">
        <f>$N565/$M565</f>
        <v>#DIV/0!</v>
      </c>
      <c r="Y565" s="16" t="e">
        <f>$R565/$Q565</f>
        <v>#DIV/0!</v>
      </c>
      <c r="Z565" s="16" t="e">
        <f>$I565/$H565</f>
        <v>#DIV/0!</v>
      </c>
      <c r="AA565" s="16" t="e">
        <f>$K565/$H565</f>
        <v>#DIV/0!</v>
      </c>
      <c r="AB565" s="16">
        <f>($J565*Cp_yd)+($K565*Cp_td)+($L565*Cint)+($M565*Ccar)+($N565*Cr_yd)+($O565*Cr_td)+(Q565*Crec)+($R565*Crec_yd)+($S565*Crec_td)+($T565*Cfmb)+($U565*Ctp_c)</f>
        <v>0</v>
      </c>
    </row>
    <row r="566" spans="1:28" x14ac:dyDescent="0.2">
      <c r="A566" s="15" t="s">
        <v>1340</v>
      </c>
      <c r="B566" s="15" t="s">
        <v>31</v>
      </c>
      <c r="C566" s="15">
        <v>28</v>
      </c>
      <c r="D566" s="15">
        <v>7</v>
      </c>
      <c r="E566" s="15" t="s">
        <v>939</v>
      </c>
      <c r="F566" s="15" t="s">
        <v>1320</v>
      </c>
      <c r="G566" s="15">
        <v>0</v>
      </c>
      <c r="H566" s="15">
        <v>0</v>
      </c>
      <c r="I566" s="15">
        <v>0</v>
      </c>
      <c r="J566" s="15">
        <v>0</v>
      </c>
      <c r="K566" s="15">
        <v>0</v>
      </c>
      <c r="L566" s="15">
        <v>0</v>
      </c>
      <c r="M566" s="15">
        <v>0</v>
      </c>
      <c r="N566" s="15">
        <v>0</v>
      </c>
      <c r="O566" s="15">
        <v>0</v>
      </c>
      <c r="P566" s="15">
        <v>0</v>
      </c>
      <c r="Q566" s="15">
        <v>0</v>
      </c>
      <c r="R566" s="15">
        <v>0</v>
      </c>
      <c r="S566" s="15">
        <v>0</v>
      </c>
      <c r="T566" s="15">
        <v>0</v>
      </c>
      <c r="U566" s="15">
        <v>0</v>
      </c>
      <c r="V566" s="15">
        <f>($J566*0.04)+($K566*4)+($L566*-2)+($N566*0.1)+($O566*6)+($Q566)+($R566*0.1)+($S566*6)+($T566*-2)</f>
        <v>0</v>
      </c>
      <c r="W566" s="15" t="e">
        <f>$P566/$H$33</f>
        <v>#DIV/0!</v>
      </c>
      <c r="X566" s="15" t="e">
        <f>$N566/$M566</f>
        <v>#DIV/0!</v>
      </c>
      <c r="Y566" s="15" t="e">
        <f>$R566/$Q566</f>
        <v>#DIV/0!</v>
      </c>
      <c r="Z566" s="15" t="e">
        <f>$I566/$H566</f>
        <v>#DIV/0!</v>
      </c>
      <c r="AA566" s="15" t="e">
        <f>$K566/$H566</f>
        <v>#DIV/0!</v>
      </c>
      <c r="AB566" s="15">
        <f>($J566*Cp_yd)+($K566*Cp_td)+($L566*Cint)+($M566*Ccar)+($N566*Cr_yd)+($O566*Cr_td)+(Q566*Crec)+($R566*Crec_yd)+($S566*Crec_td)+($T566*Cfmb)+($U566*Ctp_c)</f>
        <v>0</v>
      </c>
    </row>
    <row r="567" spans="1:28" x14ac:dyDescent="0.2">
      <c r="A567" s="16" t="s">
        <v>1341</v>
      </c>
      <c r="B567" s="16" t="s">
        <v>31</v>
      </c>
      <c r="C567" s="16">
        <v>25</v>
      </c>
      <c r="D567" s="16">
        <v>3</v>
      </c>
      <c r="E567" s="16" t="s">
        <v>1247</v>
      </c>
      <c r="F567" s="16" t="s">
        <v>1320</v>
      </c>
      <c r="G567" s="16">
        <v>0</v>
      </c>
      <c r="H567" s="16">
        <v>0</v>
      </c>
      <c r="I567" s="16">
        <v>0</v>
      </c>
      <c r="J567" s="16">
        <v>0</v>
      </c>
      <c r="K567" s="16">
        <v>0</v>
      </c>
      <c r="L567" s="16">
        <v>0</v>
      </c>
      <c r="M567" s="16">
        <v>0</v>
      </c>
      <c r="N567" s="16">
        <v>0</v>
      </c>
      <c r="O567" s="16">
        <v>0</v>
      </c>
      <c r="P567" s="16">
        <v>0</v>
      </c>
      <c r="Q567" s="16">
        <v>0</v>
      </c>
      <c r="R567" s="16">
        <v>0</v>
      </c>
      <c r="S567" s="16">
        <v>0</v>
      </c>
      <c r="T567" s="16">
        <v>0</v>
      </c>
      <c r="U567" s="16">
        <v>0</v>
      </c>
      <c r="V567" s="16">
        <f>($J567*0.04)+($K567*4)+($L567*-2)+($N567*0.1)+($O567*6)+($Q567)+($R567*0.1)+($S567*6)+($T567*-2)</f>
        <v>0</v>
      </c>
      <c r="W567" s="16" t="e">
        <f>$P567/$H$33</f>
        <v>#DIV/0!</v>
      </c>
      <c r="X567" s="16" t="e">
        <f>$N567/$M567</f>
        <v>#DIV/0!</v>
      </c>
      <c r="Y567" s="16" t="e">
        <f>$R567/$Q567</f>
        <v>#DIV/0!</v>
      </c>
      <c r="Z567" s="16" t="e">
        <f>$I567/$H567</f>
        <v>#DIV/0!</v>
      </c>
      <c r="AA567" s="16" t="e">
        <f>$K567/$H567</f>
        <v>#DIV/0!</v>
      </c>
      <c r="AB567" s="16">
        <f>($J567*Cp_yd)+($K567*Cp_td)+($L567*Cint)+($M567*Ccar)+($N567*Cr_yd)+($O567*Cr_td)+(Q567*Crec)+($R567*Crec_yd)+($S567*Crec_td)+($T567*Cfmb)+($U567*Ctp_c)</f>
        <v>0</v>
      </c>
    </row>
    <row r="568" spans="1:28" x14ac:dyDescent="0.2">
      <c r="A568" s="15" t="s">
        <v>1342</v>
      </c>
      <c r="B568" s="15" t="s">
        <v>31</v>
      </c>
      <c r="C568" s="15">
        <v>22</v>
      </c>
      <c r="D568" s="15">
        <v>1</v>
      </c>
      <c r="E568" s="15" t="s">
        <v>1012</v>
      </c>
      <c r="F568" s="15" t="s">
        <v>1320</v>
      </c>
      <c r="G568" s="15">
        <v>0</v>
      </c>
      <c r="H568" s="15">
        <v>0</v>
      </c>
      <c r="I568" s="15">
        <v>0</v>
      </c>
      <c r="J568" s="15">
        <v>0</v>
      </c>
      <c r="K568" s="15">
        <v>0</v>
      </c>
      <c r="L568" s="15">
        <v>0</v>
      </c>
      <c r="M568" s="15">
        <v>0</v>
      </c>
      <c r="N568" s="15">
        <v>0</v>
      </c>
      <c r="O568" s="15">
        <v>0</v>
      </c>
      <c r="P568" s="15">
        <v>0</v>
      </c>
      <c r="Q568" s="15">
        <v>0</v>
      </c>
      <c r="R568" s="15">
        <v>0</v>
      </c>
      <c r="S568" s="15">
        <v>0</v>
      </c>
      <c r="T568" s="15">
        <v>0</v>
      </c>
      <c r="U568" s="15">
        <v>0</v>
      </c>
      <c r="V568" s="15">
        <f>($J568*0.04)+($K568*4)+($L568*-2)+($N568*0.1)+($O568*6)+($Q568)+($R568*0.1)+($S568*6)+($T568*-2)</f>
        <v>0</v>
      </c>
      <c r="W568" s="15" t="e">
        <f>$P568/$H$33</f>
        <v>#DIV/0!</v>
      </c>
      <c r="X568" s="15" t="e">
        <f>$N568/$M568</f>
        <v>#DIV/0!</v>
      </c>
      <c r="Y568" s="15" t="e">
        <f>$R568/$Q568</f>
        <v>#DIV/0!</v>
      </c>
      <c r="Z568" s="15" t="e">
        <f>$I568/$H568</f>
        <v>#DIV/0!</v>
      </c>
      <c r="AA568" s="15" t="e">
        <f>$K568/$H568</f>
        <v>#DIV/0!</v>
      </c>
      <c r="AB568" s="15">
        <f>($J568*Cp_yd)+($K568*Cp_td)+($L568*Cint)+($M568*Ccar)+($N568*Cr_yd)+($O568*Cr_td)+(Q568*Crec)+($R568*Crec_yd)+($S568*Crec_td)+($T568*Cfmb)+($U568*Ctp_c)</f>
        <v>0</v>
      </c>
    </row>
    <row r="569" spans="1:28" x14ac:dyDescent="0.2">
      <c r="A569" s="16" t="s">
        <v>1343</v>
      </c>
      <c r="B569" s="16" t="s">
        <v>31</v>
      </c>
      <c r="C569" s="16">
        <v>23</v>
      </c>
      <c r="D569" s="16">
        <v>0</v>
      </c>
      <c r="E569" s="16" t="s">
        <v>68</v>
      </c>
      <c r="F569" s="16" t="s">
        <v>1320</v>
      </c>
      <c r="G569" s="16">
        <v>0</v>
      </c>
      <c r="H569" s="16">
        <v>0</v>
      </c>
      <c r="I569" s="16">
        <v>0</v>
      </c>
      <c r="J569" s="16">
        <v>0</v>
      </c>
      <c r="K569" s="16">
        <v>0</v>
      </c>
      <c r="L569" s="16">
        <v>0</v>
      </c>
      <c r="M569" s="16">
        <v>0</v>
      </c>
      <c r="N569" s="16">
        <v>0</v>
      </c>
      <c r="O569" s="16">
        <v>0</v>
      </c>
      <c r="P569" s="16">
        <v>0</v>
      </c>
      <c r="Q569" s="16">
        <v>0</v>
      </c>
      <c r="R569" s="16">
        <v>0</v>
      </c>
      <c r="S569" s="16">
        <v>0</v>
      </c>
      <c r="T569" s="16">
        <v>0</v>
      </c>
      <c r="U569" s="16">
        <v>0</v>
      </c>
      <c r="V569" s="16">
        <f>($J569*0.04)+($K569*4)+($L569*-2)+($N569*0.1)+($O569*6)+($Q569)+($R569*0.1)+($S569*6)+($T569*-2)</f>
        <v>0</v>
      </c>
      <c r="W569" s="16" t="e">
        <f>$P569/$H$33</f>
        <v>#DIV/0!</v>
      </c>
      <c r="X569" s="16" t="e">
        <f>$N569/$M569</f>
        <v>#DIV/0!</v>
      </c>
      <c r="Y569" s="16" t="e">
        <f>$R569/$Q569</f>
        <v>#DIV/0!</v>
      </c>
      <c r="Z569" s="16" t="e">
        <f>$I569/$H569</f>
        <v>#DIV/0!</v>
      </c>
      <c r="AA569" s="16" t="e">
        <f>$K569/$H569</f>
        <v>#DIV/0!</v>
      </c>
      <c r="AB569" s="16">
        <f>($J569*Cp_yd)+($K569*Cp_td)+($L569*Cint)+($M569*Ccar)+($N569*Cr_yd)+($O569*Cr_td)+(Q569*Crec)+($R569*Crec_yd)+($S569*Crec_td)+($T569*Cfmb)+($U569*Ctp_c)</f>
        <v>0</v>
      </c>
    </row>
    <row r="570" spans="1:28" x14ac:dyDescent="0.2">
      <c r="A570" s="15" t="s">
        <v>1346</v>
      </c>
      <c r="B570" s="15" t="s">
        <v>43</v>
      </c>
      <c r="C570" s="15">
        <v>34</v>
      </c>
      <c r="D570" s="15">
        <v>12</v>
      </c>
      <c r="E570" s="15" t="s">
        <v>237</v>
      </c>
      <c r="F570" s="15" t="s">
        <v>1320</v>
      </c>
      <c r="G570" s="15">
        <v>0</v>
      </c>
      <c r="H570" s="15">
        <v>0</v>
      </c>
      <c r="I570" s="15">
        <v>0</v>
      </c>
      <c r="J570" s="15">
        <v>0</v>
      </c>
      <c r="K570" s="15">
        <v>0</v>
      </c>
      <c r="L570" s="15">
        <v>0</v>
      </c>
      <c r="M570" s="15">
        <v>0</v>
      </c>
      <c r="N570" s="15">
        <v>0</v>
      </c>
      <c r="O570" s="15">
        <v>0</v>
      </c>
      <c r="P570" s="15">
        <v>0</v>
      </c>
      <c r="Q570" s="15">
        <v>0</v>
      </c>
      <c r="R570" s="15">
        <v>0</v>
      </c>
      <c r="S570" s="15">
        <v>0</v>
      </c>
      <c r="T570" s="15">
        <v>0</v>
      </c>
      <c r="U570" s="15">
        <v>0</v>
      </c>
      <c r="V570" s="15">
        <f>($J570*0.04)+($K570*4)+($L570*-2)+($N570*0.1)+($O570*6)+($Q570)+($R570*0.1)+($S570*6)+($T570*-2)</f>
        <v>0</v>
      </c>
      <c r="W570" s="15" t="e">
        <f>$P570/$H$33</f>
        <v>#DIV/0!</v>
      </c>
      <c r="X570" s="15" t="e">
        <f>$N570/$M570</f>
        <v>#DIV/0!</v>
      </c>
      <c r="Y570" s="15" t="e">
        <f>$R570/$Q570</f>
        <v>#DIV/0!</v>
      </c>
      <c r="Z570" s="15" t="e">
        <f>$I570/$H570</f>
        <v>#DIV/0!</v>
      </c>
      <c r="AA570" s="15" t="e">
        <f>$K570/$H570</f>
        <v>#DIV/0!</v>
      </c>
      <c r="AB570" s="15">
        <f>($J570*Cp_yd)+($K570*Cp_td)+($L570*Cint)+($M570*Ccar)+($N570*Cr_yd)+($O570*Cr_td)+(Q570*Crec)+($R570*Crec_yd)+($S570*Crec_td)+($T570*Cfmb)+($U570*Ctp_c)</f>
        <v>0</v>
      </c>
    </row>
    <row r="571" spans="1:28" x14ac:dyDescent="0.2">
      <c r="A571" s="16" t="s">
        <v>1347</v>
      </c>
      <c r="B571" s="16" t="s">
        <v>43</v>
      </c>
      <c r="C571" s="16">
        <v>26</v>
      </c>
      <c r="D571" s="16">
        <v>5</v>
      </c>
      <c r="E571" s="16" t="s">
        <v>213</v>
      </c>
      <c r="F571" s="16" t="s">
        <v>1320</v>
      </c>
      <c r="G571" s="16">
        <v>0</v>
      </c>
      <c r="H571" s="16">
        <v>0</v>
      </c>
      <c r="I571" s="16">
        <v>0</v>
      </c>
      <c r="J571" s="16">
        <v>0</v>
      </c>
      <c r="K571" s="16">
        <v>0</v>
      </c>
      <c r="L571" s="16">
        <v>0</v>
      </c>
      <c r="M571" s="16">
        <v>0</v>
      </c>
      <c r="N571" s="16">
        <v>0</v>
      </c>
      <c r="O571" s="16">
        <v>0</v>
      </c>
      <c r="P571" s="16">
        <v>0</v>
      </c>
      <c r="Q571" s="16">
        <v>0</v>
      </c>
      <c r="R571" s="16">
        <v>0</v>
      </c>
      <c r="S571" s="16">
        <v>0</v>
      </c>
      <c r="T571" s="16">
        <v>0</v>
      </c>
      <c r="U571" s="16">
        <v>0</v>
      </c>
      <c r="V571" s="16">
        <f>($J571*0.04)+($K571*4)+($L571*-2)+($N571*0.1)+($O571*6)+($Q571)+($R571*0.1)+($S571*6)+($T571*-2)</f>
        <v>0</v>
      </c>
      <c r="W571" s="16" t="e">
        <f>$P571/$H$33</f>
        <v>#DIV/0!</v>
      </c>
      <c r="X571" s="16" t="e">
        <f>$N571/$M571</f>
        <v>#DIV/0!</v>
      </c>
      <c r="Y571" s="16" t="e">
        <f>$R571/$Q571</f>
        <v>#DIV/0!</v>
      </c>
      <c r="Z571" s="16" t="e">
        <f>$I571/$H571</f>
        <v>#DIV/0!</v>
      </c>
      <c r="AA571" s="16" t="e">
        <f>$K571/$H571</f>
        <v>#DIV/0!</v>
      </c>
      <c r="AB571" s="16">
        <f>($J571*Cp_yd)+($K571*Cp_td)+($L571*Cint)+($M571*Ccar)+($N571*Cr_yd)+($O571*Cr_td)+(Q571*Crec)+($R571*Crec_yd)+($S571*Crec_td)+($T571*Cfmb)+($U571*Ctp_c)</f>
        <v>0</v>
      </c>
    </row>
    <row r="572" spans="1:28" x14ac:dyDescent="0.2">
      <c r="A572" s="15" t="s">
        <v>1348</v>
      </c>
      <c r="B572" s="15" t="s">
        <v>43</v>
      </c>
      <c r="C572" s="15">
        <v>30</v>
      </c>
      <c r="D572" s="15">
        <v>9</v>
      </c>
      <c r="E572" s="15" t="s">
        <v>697</v>
      </c>
      <c r="F572" s="15" t="s">
        <v>1320</v>
      </c>
      <c r="G572" s="15">
        <v>0</v>
      </c>
      <c r="H572" s="15">
        <v>0</v>
      </c>
      <c r="I572" s="15">
        <v>0</v>
      </c>
      <c r="J572" s="15">
        <v>0</v>
      </c>
      <c r="K572" s="15">
        <v>0</v>
      </c>
      <c r="L572" s="15">
        <v>0</v>
      </c>
      <c r="M572" s="15">
        <v>0</v>
      </c>
      <c r="N572" s="15">
        <v>0</v>
      </c>
      <c r="O572" s="15">
        <v>0</v>
      </c>
      <c r="P572" s="15">
        <v>0</v>
      </c>
      <c r="Q572" s="15">
        <v>0</v>
      </c>
      <c r="R572" s="15">
        <v>0</v>
      </c>
      <c r="S572" s="15">
        <v>0</v>
      </c>
      <c r="T572" s="15">
        <v>0</v>
      </c>
      <c r="U572" s="15">
        <v>0</v>
      </c>
      <c r="V572" s="15">
        <f>($J572*0.04)+($K572*4)+($L572*-2)+($N572*0.1)+($O572*6)+($Q572)+($R572*0.1)+($S572*6)+($T572*-2)</f>
        <v>0</v>
      </c>
      <c r="W572" s="15" t="e">
        <f>$P572/$H$33</f>
        <v>#DIV/0!</v>
      </c>
      <c r="X572" s="15" t="e">
        <f>$N572/$M572</f>
        <v>#DIV/0!</v>
      </c>
      <c r="Y572" s="15" t="e">
        <f>$R572/$Q572</f>
        <v>#DIV/0!</v>
      </c>
      <c r="Z572" s="15" t="e">
        <f>$I572/$H572</f>
        <v>#DIV/0!</v>
      </c>
      <c r="AA572" s="15" t="e">
        <f>$K572/$H572</f>
        <v>#DIV/0!</v>
      </c>
      <c r="AB572" s="15">
        <f>($J572*Cp_yd)+($K572*Cp_td)+($L572*Cint)+($M572*Ccar)+($N572*Cr_yd)+($O572*Cr_td)+(Q572*Crec)+($R572*Crec_yd)+($S572*Crec_td)+($T572*Cfmb)+($U572*Ctp_c)</f>
        <v>0</v>
      </c>
    </row>
    <row r="573" spans="1:28" x14ac:dyDescent="0.2">
      <c r="A573" s="16" t="s">
        <v>1349</v>
      </c>
      <c r="B573" s="16" t="s">
        <v>43</v>
      </c>
      <c r="C573" s="16">
        <v>23</v>
      </c>
      <c r="D573" s="16">
        <v>0</v>
      </c>
      <c r="E573" s="16" t="s">
        <v>344</v>
      </c>
      <c r="F573" s="16" t="s">
        <v>1320</v>
      </c>
      <c r="G573" s="16">
        <v>0</v>
      </c>
      <c r="H573" s="16">
        <v>0</v>
      </c>
      <c r="I573" s="16">
        <v>0</v>
      </c>
      <c r="J573" s="16">
        <v>0</v>
      </c>
      <c r="K573" s="16">
        <v>0</v>
      </c>
      <c r="L573" s="16">
        <v>0</v>
      </c>
      <c r="M573" s="16">
        <v>0</v>
      </c>
      <c r="N573" s="16">
        <v>0</v>
      </c>
      <c r="O573" s="16">
        <v>0</v>
      </c>
      <c r="P573" s="16">
        <v>0</v>
      </c>
      <c r="Q573" s="16">
        <v>0</v>
      </c>
      <c r="R573" s="16">
        <v>0</v>
      </c>
      <c r="S573" s="16">
        <v>0</v>
      </c>
      <c r="T573" s="16">
        <v>0</v>
      </c>
      <c r="U573" s="16">
        <v>0</v>
      </c>
      <c r="V573" s="16">
        <f>($J573*0.04)+($K573*4)+($L573*-2)+($N573*0.1)+($O573*6)+($Q573)+($R573*0.1)+($S573*6)+($T573*-2)</f>
        <v>0</v>
      </c>
      <c r="W573" s="16" t="e">
        <f>$P573/$H$33</f>
        <v>#DIV/0!</v>
      </c>
      <c r="X573" s="16" t="e">
        <f>$N573/$M573</f>
        <v>#DIV/0!</v>
      </c>
      <c r="Y573" s="16" t="e">
        <f>$R573/$Q573</f>
        <v>#DIV/0!</v>
      </c>
      <c r="Z573" s="16" t="e">
        <f>$I573/$H573</f>
        <v>#DIV/0!</v>
      </c>
      <c r="AA573" s="16" t="e">
        <f>$K573/$H573</f>
        <v>#DIV/0!</v>
      </c>
      <c r="AB573" s="16">
        <f>($J573*Cp_yd)+($K573*Cp_td)+($L573*Cint)+($M573*Ccar)+($N573*Cr_yd)+($O573*Cr_td)+(Q573*Crec)+($R573*Crec_yd)+($S573*Crec_td)+($T573*Cfmb)+($U573*Ctp_c)</f>
        <v>0</v>
      </c>
    </row>
    <row r="574" spans="1:28" x14ac:dyDescent="0.2">
      <c r="A574" s="15" t="s">
        <v>1350</v>
      </c>
      <c r="B574" s="15" t="s">
        <v>43</v>
      </c>
      <c r="C574" s="15">
        <v>24</v>
      </c>
      <c r="D574" s="15">
        <v>3</v>
      </c>
      <c r="E574" s="15" t="s">
        <v>111</v>
      </c>
      <c r="F574" s="15" t="s">
        <v>1320</v>
      </c>
      <c r="G574" s="15">
        <v>0</v>
      </c>
      <c r="H574" s="15">
        <v>0</v>
      </c>
      <c r="I574" s="15">
        <v>0</v>
      </c>
      <c r="J574" s="15">
        <v>0</v>
      </c>
      <c r="K574" s="15">
        <v>0</v>
      </c>
      <c r="L574" s="15">
        <v>0</v>
      </c>
      <c r="M574" s="15">
        <v>0</v>
      </c>
      <c r="N574" s="15">
        <v>0</v>
      </c>
      <c r="O574" s="15">
        <v>0</v>
      </c>
      <c r="P574" s="15">
        <v>0</v>
      </c>
      <c r="Q574" s="15">
        <v>0</v>
      </c>
      <c r="R574" s="15">
        <v>0</v>
      </c>
      <c r="S574" s="15">
        <v>0</v>
      </c>
      <c r="T574" s="15">
        <v>0</v>
      </c>
      <c r="U574" s="15">
        <v>0</v>
      </c>
      <c r="V574" s="15">
        <f>($J574*0.04)+($K574*4)+($L574*-2)+($N574*0.1)+($O574*6)+($Q574)+($R574*0.1)+($S574*6)+($T574*-2)</f>
        <v>0</v>
      </c>
      <c r="W574" s="15" t="e">
        <f>$P574/$H$33</f>
        <v>#DIV/0!</v>
      </c>
      <c r="X574" s="15" t="e">
        <f>$N574/$M574</f>
        <v>#DIV/0!</v>
      </c>
      <c r="Y574" s="15" t="e">
        <f>$R574/$Q574</f>
        <v>#DIV/0!</v>
      </c>
      <c r="Z574" s="15" t="e">
        <f>$I574/$H574</f>
        <v>#DIV/0!</v>
      </c>
      <c r="AA574" s="15" t="e">
        <f>$K574/$H574</f>
        <v>#DIV/0!</v>
      </c>
      <c r="AB574" s="15">
        <f>($J574*Cp_yd)+($K574*Cp_td)+($L574*Cint)+($M574*Ccar)+($N574*Cr_yd)+($O574*Cr_td)+(Q574*Crec)+($R574*Crec_yd)+($S574*Crec_td)+($T574*Cfmb)+($U574*Ctp_c)</f>
        <v>0</v>
      </c>
    </row>
    <row r="575" spans="1:28" x14ac:dyDescent="0.2">
      <c r="A575" s="16" t="s">
        <v>1351</v>
      </c>
      <c r="B575" s="16" t="s">
        <v>43</v>
      </c>
      <c r="C575" s="16">
        <v>21</v>
      </c>
      <c r="D575" s="16">
        <v>0</v>
      </c>
      <c r="E575" s="16" t="s">
        <v>143</v>
      </c>
      <c r="F575" s="16" t="s">
        <v>1320</v>
      </c>
      <c r="G575" s="16">
        <v>0</v>
      </c>
      <c r="H575" s="16">
        <v>0</v>
      </c>
      <c r="I575" s="16">
        <v>0</v>
      </c>
      <c r="J575" s="16">
        <v>0</v>
      </c>
      <c r="K575" s="16">
        <v>0</v>
      </c>
      <c r="L575" s="16">
        <v>0</v>
      </c>
      <c r="M575" s="16">
        <v>0</v>
      </c>
      <c r="N575" s="16">
        <v>0</v>
      </c>
      <c r="O575" s="16">
        <v>0</v>
      </c>
      <c r="P575" s="16">
        <v>0</v>
      </c>
      <c r="Q575" s="16">
        <v>0</v>
      </c>
      <c r="R575" s="16">
        <v>0</v>
      </c>
      <c r="S575" s="16">
        <v>0</v>
      </c>
      <c r="T575" s="16">
        <v>0</v>
      </c>
      <c r="U575" s="16">
        <v>0</v>
      </c>
      <c r="V575" s="16">
        <f>($J575*0.04)+($K575*4)+($L575*-2)+($N575*0.1)+($O575*6)+($Q575)+($R575*0.1)+($S575*6)+($T575*-2)</f>
        <v>0</v>
      </c>
      <c r="W575" s="16" t="e">
        <f>$P575/$H$33</f>
        <v>#DIV/0!</v>
      </c>
      <c r="X575" s="16" t="e">
        <f>$N575/$M575</f>
        <v>#DIV/0!</v>
      </c>
      <c r="Y575" s="16" t="e">
        <f>$R575/$Q575</f>
        <v>#DIV/0!</v>
      </c>
      <c r="Z575" s="16" t="e">
        <f>$I575/$H575</f>
        <v>#DIV/0!</v>
      </c>
      <c r="AA575" s="16" t="e">
        <f>$K575/$H575</f>
        <v>#DIV/0!</v>
      </c>
      <c r="AB575" s="16">
        <f>($J575*Cp_yd)+($K575*Cp_td)+($L575*Cint)+($M575*Ccar)+($N575*Cr_yd)+($O575*Cr_td)+(Q575*Crec)+($R575*Crec_yd)+($S575*Crec_td)+($T575*Cfmb)+($U575*Ctp_c)</f>
        <v>0</v>
      </c>
    </row>
    <row r="576" spans="1:28" x14ac:dyDescent="0.2">
      <c r="A576" s="15" t="s">
        <v>1352</v>
      </c>
      <c r="B576" s="15" t="s">
        <v>43</v>
      </c>
      <c r="C576" s="15">
        <v>25</v>
      </c>
      <c r="D576" s="15">
        <v>4</v>
      </c>
      <c r="E576" s="15" t="s">
        <v>66</v>
      </c>
      <c r="F576" s="15" t="s">
        <v>1320</v>
      </c>
      <c r="G576" s="15">
        <v>0</v>
      </c>
      <c r="H576" s="15">
        <v>0</v>
      </c>
      <c r="I576" s="15">
        <v>0</v>
      </c>
      <c r="J576" s="15">
        <v>0</v>
      </c>
      <c r="K576" s="15">
        <v>0</v>
      </c>
      <c r="L576" s="15">
        <v>0</v>
      </c>
      <c r="M576" s="15">
        <v>0</v>
      </c>
      <c r="N576" s="15">
        <v>0</v>
      </c>
      <c r="O576" s="15">
        <v>0</v>
      </c>
      <c r="P576" s="15">
        <v>0</v>
      </c>
      <c r="Q576" s="15">
        <v>0</v>
      </c>
      <c r="R576" s="15">
        <v>0</v>
      </c>
      <c r="S576" s="15">
        <v>0</v>
      </c>
      <c r="T576" s="15">
        <v>0</v>
      </c>
      <c r="U576" s="15">
        <v>0</v>
      </c>
      <c r="V576" s="15">
        <f>($J576*0.04)+($K576*4)+($L576*-2)+($N576*0.1)+($O576*6)+($Q576)+($R576*0.1)+($S576*6)+($T576*-2)</f>
        <v>0</v>
      </c>
      <c r="W576" s="15" t="e">
        <f>$P576/$H$33</f>
        <v>#DIV/0!</v>
      </c>
      <c r="X576" s="15" t="e">
        <f>$N576/$M576</f>
        <v>#DIV/0!</v>
      </c>
      <c r="Y576" s="15" t="e">
        <f>$R576/$Q576</f>
        <v>#DIV/0!</v>
      </c>
      <c r="Z576" s="15" t="e">
        <f>$I576/$H576</f>
        <v>#DIV/0!</v>
      </c>
      <c r="AA576" s="15" t="e">
        <f>$K576/$H576</f>
        <v>#DIV/0!</v>
      </c>
      <c r="AB576" s="15">
        <f>($J576*Cp_yd)+($K576*Cp_td)+($L576*Cint)+($M576*Ccar)+($N576*Cr_yd)+($O576*Cr_td)+(Q576*Crec)+($R576*Crec_yd)+($S576*Crec_td)+($T576*Cfmb)+($U576*Ctp_c)</f>
        <v>0</v>
      </c>
    </row>
    <row r="577" spans="1:28" x14ac:dyDescent="0.2">
      <c r="A577" s="16" t="s">
        <v>1353</v>
      </c>
      <c r="B577" s="16" t="s">
        <v>43</v>
      </c>
      <c r="C577" s="16">
        <v>29</v>
      </c>
      <c r="D577" s="16">
        <v>5</v>
      </c>
      <c r="E577" s="16" t="s">
        <v>86</v>
      </c>
      <c r="F577" s="16" t="s">
        <v>1320</v>
      </c>
      <c r="G577" s="16">
        <v>0</v>
      </c>
      <c r="H577" s="16">
        <v>0</v>
      </c>
      <c r="I577" s="16">
        <v>0</v>
      </c>
      <c r="J577" s="16">
        <v>0</v>
      </c>
      <c r="K577" s="16">
        <v>0</v>
      </c>
      <c r="L577" s="16">
        <v>0</v>
      </c>
      <c r="M577" s="16">
        <v>0</v>
      </c>
      <c r="N577" s="16">
        <v>0</v>
      </c>
      <c r="O577" s="16">
        <v>0</v>
      </c>
      <c r="P577" s="16">
        <v>0</v>
      </c>
      <c r="Q577" s="16">
        <v>0</v>
      </c>
      <c r="R577" s="16">
        <v>0</v>
      </c>
      <c r="S577" s="16">
        <v>0</v>
      </c>
      <c r="T577" s="16">
        <v>0</v>
      </c>
      <c r="U577" s="16">
        <v>0</v>
      </c>
      <c r="V577" s="16">
        <f>($J577*0.04)+($K577*4)+($L577*-2)+($N577*0.1)+($O577*6)+($Q577)+($R577*0.1)+($S577*6)+($T577*-2)</f>
        <v>0</v>
      </c>
      <c r="W577" s="16" t="e">
        <f>$P577/$H$33</f>
        <v>#DIV/0!</v>
      </c>
      <c r="X577" s="16" t="e">
        <f>$N577/$M577</f>
        <v>#DIV/0!</v>
      </c>
      <c r="Y577" s="16" t="e">
        <f>$R577/$Q577</f>
        <v>#DIV/0!</v>
      </c>
      <c r="Z577" s="16" t="e">
        <f>$I577/$H577</f>
        <v>#DIV/0!</v>
      </c>
      <c r="AA577" s="16" t="e">
        <f>$K577/$H577</f>
        <v>#DIV/0!</v>
      </c>
      <c r="AB577" s="16">
        <f>($J577*Cp_yd)+($K577*Cp_td)+($L577*Cint)+($M577*Ccar)+($N577*Cr_yd)+($O577*Cr_td)+(Q577*Crec)+($R577*Crec_yd)+($S577*Crec_td)+($T577*Cfmb)+($U577*Ctp_c)</f>
        <v>0</v>
      </c>
    </row>
    <row r="578" spans="1:28" x14ac:dyDescent="0.2">
      <c r="A578" s="15" t="s">
        <v>1354</v>
      </c>
      <c r="B578" s="15" t="s">
        <v>43</v>
      </c>
      <c r="C578" s="15">
        <v>24</v>
      </c>
      <c r="D578" s="15">
        <v>1</v>
      </c>
      <c r="E578" s="15" t="s">
        <v>309</v>
      </c>
      <c r="F578" s="15" t="s">
        <v>1320</v>
      </c>
      <c r="G578" s="15">
        <v>0</v>
      </c>
      <c r="H578" s="15">
        <v>0</v>
      </c>
      <c r="I578" s="15">
        <v>0</v>
      </c>
      <c r="J578" s="15">
        <v>0</v>
      </c>
      <c r="K578" s="15">
        <v>0</v>
      </c>
      <c r="L578" s="15">
        <v>0</v>
      </c>
      <c r="M578" s="15">
        <v>0</v>
      </c>
      <c r="N578" s="15">
        <v>0</v>
      </c>
      <c r="O578" s="15">
        <v>0</v>
      </c>
      <c r="P578" s="15">
        <v>0</v>
      </c>
      <c r="Q578" s="15">
        <v>0</v>
      </c>
      <c r="R578" s="15">
        <v>0</v>
      </c>
      <c r="S578" s="15">
        <v>0</v>
      </c>
      <c r="T578" s="15">
        <v>0</v>
      </c>
      <c r="U578" s="15">
        <v>0</v>
      </c>
      <c r="V578" s="15">
        <f>($J578*0.04)+($K578*4)+($L578*-2)+($N578*0.1)+($O578*6)+($Q578)+($R578*0.1)+($S578*6)+($T578*-2)</f>
        <v>0</v>
      </c>
      <c r="W578" s="15" t="e">
        <f>$P578/$H$33</f>
        <v>#DIV/0!</v>
      </c>
      <c r="X578" s="15" t="e">
        <f>$N578/$M578</f>
        <v>#DIV/0!</v>
      </c>
      <c r="Y578" s="15" t="e">
        <f>$R578/$Q578</f>
        <v>#DIV/0!</v>
      </c>
      <c r="Z578" s="15" t="e">
        <f>$I578/$H578</f>
        <v>#DIV/0!</v>
      </c>
      <c r="AA578" s="15" t="e">
        <f>$K578/$H578</f>
        <v>#DIV/0!</v>
      </c>
      <c r="AB578" s="15">
        <f>($J578*Cp_yd)+($K578*Cp_td)+($L578*Cint)+($M578*Ccar)+($N578*Cr_yd)+($O578*Cr_td)+(Q578*Crec)+($R578*Crec_yd)+($S578*Crec_td)+($T578*Cfmb)+($U578*Ctp_c)</f>
        <v>0</v>
      </c>
    </row>
    <row r="579" spans="1:28" x14ac:dyDescent="0.2">
      <c r="A579" s="16" t="s">
        <v>1355</v>
      </c>
      <c r="B579" s="16" t="s">
        <v>43</v>
      </c>
      <c r="C579" s="16">
        <v>22</v>
      </c>
      <c r="D579" s="16">
        <v>2</v>
      </c>
      <c r="E579" s="16" t="s">
        <v>150</v>
      </c>
      <c r="F579" s="16" t="s">
        <v>1320</v>
      </c>
      <c r="G579" s="16">
        <v>0</v>
      </c>
      <c r="H579" s="16">
        <v>0</v>
      </c>
      <c r="I579" s="16">
        <v>0</v>
      </c>
      <c r="J579" s="16">
        <v>0</v>
      </c>
      <c r="K579" s="16">
        <v>0</v>
      </c>
      <c r="L579" s="16">
        <v>0</v>
      </c>
      <c r="M579" s="16">
        <v>0</v>
      </c>
      <c r="N579" s="16">
        <v>0</v>
      </c>
      <c r="O579" s="16">
        <v>0</v>
      </c>
      <c r="P579" s="16">
        <v>0</v>
      </c>
      <c r="Q579" s="16">
        <v>0</v>
      </c>
      <c r="R579" s="16">
        <v>0</v>
      </c>
      <c r="S579" s="16">
        <v>0</v>
      </c>
      <c r="T579" s="16">
        <v>0</v>
      </c>
      <c r="U579" s="16">
        <v>0</v>
      </c>
      <c r="V579" s="16">
        <f>($J579*0.04)+($K579*4)+($L579*-2)+($N579*0.1)+($O579*6)+($Q579)+($R579*0.1)+($S579*6)+($T579*-2)</f>
        <v>0</v>
      </c>
      <c r="W579" s="16" t="e">
        <f>$P579/$H$33</f>
        <v>#DIV/0!</v>
      </c>
      <c r="X579" s="16" t="e">
        <f>$N579/$M579</f>
        <v>#DIV/0!</v>
      </c>
      <c r="Y579" s="16" t="e">
        <f>$R579/$Q579</f>
        <v>#DIV/0!</v>
      </c>
      <c r="Z579" s="16" t="e">
        <f>$I579/$H579</f>
        <v>#DIV/0!</v>
      </c>
      <c r="AA579" s="16" t="e">
        <f>$K579/$H579</f>
        <v>#DIV/0!</v>
      </c>
      <c r="AB579" s="16">
        <f>($J579*Cp_yd)+($K579*Cp_td)+($L579*Cint)+($M579*Ccar)+($N579*Cr_yd)+($O579*Cr_td)+(Q579*Crec)+($R579*Crec_yd)+($S579*Crec_td)+($T579*Cfmb)+($U579*Ctp_c)</f>
        <v>0</v>
      </c>
    </row>
    <row r="580" spans="1:28" x14ac:dyDescent="0.2">
      <c r="A580" s="15" t="s">
        <v>1356</v>
      </c>
      <c r="B580" s="15" t="s">
        <v>43</v>
      </c>
      <c r="C580" s="15">
        <v>30</v>
      </c>
      <c r="D580" s="15">
        <v>8</v>
      </c>
      <c r="E580" s="15" t="s">
        <v>68</v>
      </c>
      <c r="F580" s="15" t="s">
        <v>1320</v>
      </c>
      <c r="G580" s="15">
        <v>0</v>
      </c>
      <c r="H580" s="15">
        <v>0</v>
      </c>
      <c r="I580" s="15">
        <v>0</v>
      </c>
      <c r="J580" s="15">
        <v>0</v>
      </c>
      <c r="K580" s="15">
        <v>0</v>
      </c>
      <c r="L580" s="15">
        <v>0</v>
      </c>
      <c r="M580" s="15">
        <v>0</v>
      </c>
      <c r="N580" s="15">
        <v>0</v>
      </c>
      <c r="O580" s="15">
        <v>0</v>
      </c>
      <c r="P580" s="15">
        <v>0</v>
      </c>
      <c r="Q580" s="15">
        <v>0</v>
      </c>
      <c r="R580" s="15">
        <v>0</v>
      </c>
      <c r="S580" s="15">
        <v>0</v>
      </c>
      <c r="T580" s="15">
        <v>0</v>
      </c>
      <c r="U580" s="15">
        <v>0</v>
      </c>
      <c r="V580" s="15">
        <f>($J580*0.04)+($K580*4)+($L580*-2)+($N580*0.1)+($O580*6)+($Q580)+($R580*0.1)+($S580*6)+($T580*-2)</f>
        <v>0</v>
      </c>
      <c r="W580" s="15" t="e">
        <f>$P580/$H$33</f>
        <v>#DIV/0!</v>
      </c>
      <c r="X580" s="15" t="e">
        <f>$N580/$M580</f>
        <v>#DIV/0!</v>
      </c>
      <c r="Y580" s="15" t="e">
        <f>$R580/$Q580</f>
        <v>#DIV/0!</v>
      </c>
      <c r="Z580" s="15" t="e">
        <f>$I580/$H580</f>
        <v>#DIV/0!</v>
      </c>
      <c r="AA580" s="15" t="e">
        <f>$K580/$H580</f>
        <v>#DIV/0!</v>
      </c>
      <c r="AB580" s="15">
        <f>($J580*Cp_yd)+($K580*Cp_td)+($L580*Cint)+($M580*Ccar)+($N580*Cr_yd)+($O580*Cr_td)+(Q580*Crec)+($R580*Crec_yd)+($S580*Crec_td)+($T580*Cfmb)+($U580*Ctp_c)</f>
        <v>0</v>
      </c>
    </row>
    <row r="581" spans="1:28" x14ac:dyDescent="0.2">
      <c r="A581" s="16" t="s">
        <v>1357</v>
      </c>
      <c r="B581" s="16" t="s">
        <v>43</v>
      </c>
      <c r="C581" s="16">
        <v>27</v>
      </c>
      <c r="D581" s="16">
        <v>3</v>
      </c>
      <c r="E581" s="16" t="s">
        <v>344</v>
      </c>
      <c r="F581" s="16" t="s">
        <v>1320</v>
      </c>
      <c r="G581" s="16">
        <v>0</v>
      </c>
      <c r="H581" s="16">
        <v>0</v>
      </c>
      <c r="I581" s="16">
        <v>0</v>
      </c>
      <c r="J581" s="16">
        <v>0</v>
      </c>
      <c r="K581" s="16">
        <v>0</v>
      </c>
      <c r="L581" s="16">
        <v>0</v>
      </c>
      <c r="M581" s="16">
        <v>0</v>
      </c>
      <c r="N581" s="16">
        <v>0</v>
      </c>
      <c r="O581" s="16">
        <v>0</v>
      </c>
      <c r="P581" s="16">
        <v>0</v>
      </c>
      <c r="Q581" s="16">
        <v>0</v>
      </c>
      <c r="R581" s="16">
        <v>0</v>
      </c>
      <c r="S581" s="16">
        <v>0</v>
      </c>
      <c r="T581" s="16">
        <v>0</v>
      </c>
      <c r="U581" s="16">
        <v>0</v>
      </c>
      <c r="V581" s="16">
        <f>($J581*0.04)+($K581*4)+($L581*-2)+($N581*0.1)+($O581*6)+($Q581)+($R581*0.1)+($S581*6)+($T581*-2)</f>
        <v>0</v>
      </c>
      <c r="W581" s="16" t="e">
        <f>$P581/$H$33</f>
        <v>#DIV/0!</v>
      </c>
      <c r="X581" s="16" t="e">
        <f>$N581/$M581</f>
        <v>#DIV/0!</v>
      </c>
      <c r="Y581" s="16" t="e">
        <f>$R581/$Q581</f>
        <v>#DIV/0!</v>
      </c>
      <c r="Z581" s="16" t="e">
        <f>$I581/$H581</f>
        <v>#DIV/0!</v>
      </c>
      <c r="AA581" s="16" t="e">
        <f>$K581/$H581</f>
        <v>#DIV/0!</v>
      </c>
      <c r="AB581" s="16">
        <f>($J581*Cp_yd)+($K581*Cp_td)+($L581*Cint)+($M581*Ccar)+($N581*Cr_yd)+($O581*Cr_td)+(Q581*Crec)+($R581*Crec_yd)+($S581*Crec_td)+($T581*Cfmb)+($U581*Ctp_c)</f>
        <v>0</v>
      </c>
    </row>
    <row r="582" spans="1:28" x14ac:dyDescent="0.2">
      <c r="A582" s="15" t="s">
        <v>1359</v>
      </c>
      <c r="B582" s="15" t="s">
        <v>38</v>
      </c>
      <c r="C582" s="15">
        <v>22</v>
      </c>
      <c r="D582" s="15">
        <v>2</v>
      </c>
      <c r="E582" s="15" t="s">
        <v>795</v>
      </c>
      <c r="F582" s="15" t="s">
        <v>1320</v>
      </c>
      <c r="G582" s="15">
        <v>0</v>
      </c>
      <c r="H582" s="15">
        <v>0</v>
      </c>
      <c r="I582" s="15">
        <v>0</v>
      </c>
      <c r="J582" s="15">
        <v>0</v>
      </c>
      <c r="K582" s="15">
        <v>0</v>
      </c>
      <c r="L582" s="15">
        <v>0</v>
      </c>
      <c r="M582" s="15">
        <v>0</v>
      </c>
      <c r="N582" s="15">
        <v>0</v>
      </c>
      <c r="O582" s="15">
        <v>0</v>
      </c>
      <c r="P582" s="15">
        <v>0</v>
      </c>
      <c r="Q582" s="15">
        <v>0</v>
      </c>
      <c r="R582" s="15">
        <v>0</v>
      </c>
      <c r="S582" s="15">
        <v>0</v>
      </c>
      <c r="T582" s="15">
        <v>0</v>
      </c>
      <c r="U582" s="15">
        <v>0</v>
      </c>
      <c r="V582" s="15">
        <f>($J582*0.04)+($K582*4)+($L582*-2)+($N582*0.1)+($O582*6)+($Q582)+($R582*0.1)+($S582*6)+($T582*-2)</f>
        <v>0</v>
      </c>
      <c r="W582" s="15" t="e">
        <f>$P582/$H$33</f>
        <v>#DIV/0!</v>
      </c>
      <c r="X582" s="15" t="e">
        <f>$N582/$M582</f>
        <v>#DIV/0!</v>
      </c>
      <c r="Y582" s="15" t="e">
        <f>$R582/$Q582</f>
        <v>#DIV/0!</v>
      </c>
      <c r="Z582" s="15" t="e">
        <f>$I582/$H582</f>
        <v>#DIV/0!</v>
      </c>
      <c r="AA582" s="15" t="e">
        <f>$J582/$H582</f>
        <v>#DIV/0!</v>
      </c>
      <c r="AB582" s="15">
        <f>($J582*Cp_yd)+($K582*Cp_td)+($L582*Cint)+($M582*Ccar)+($N582*Cr_yd)+($O582*Cr_td)+(Q582*Crec)+($R582*Crec_yd)+($S582*Crec_td)+($T582*Cfmb)+($U582*Ctp_c)</f>
        <v>0</v>
      </c>
    </row>
    <row r="583" spans="1:28" x14ac:dyDescent="0.2">
      <c r="A583" s="16" t="s">
        <v>1360</v>
      </c>
      <c r="B583" s="16" t="s">
        <v>38</v>
      </c>
      <c r="C583" s="16">
        <v>25</v>
      </c>
      <c r="D583" s="16">
        <v>3</v>
      </c>
      <c r="E583" s="16" t="s">
        <v>173</v>
      </c>
      <c r="F583" s="16" t="s">
        <v>1320</v>
      </c>
      <c r="G583" s="16">
        <v>0</v>
      </c>
      <c r="H583" s="16">
        <v>0</v>
      </c>
      <c r="I583" s="16">
        <v>0</v>
      </c>
      <c r="J583" s="16">
        <v>0</v>
      </c>
      <c r="K583" s="16">
        <v>0</v>
      </c>
      <c r="L583" s="16">
        <v>0</v>
      </c>
      <c r="M583" s="16">
        <v>0</v>
      </c>
      <c r="N583" s="16">
        <v>0</v>
      </c>
      <c r="O583" s="16">
        <v>0</v>
      </c>
      <c r="P583" s="16">
        <v>0</v>
      </c>
      <c r="Q583" s="16">
        <v>0</v>
      </c>
      <c r="R583" s="16">
        <v>0</v>
      </c>
      <c r="S583" s="16">
        <v>0</v>
      </c>
      <c r="T583" s="16">
        <v>0</v>
      </c>
      <c r="U583" s="16">
        <v>0</v>
      </c>
      <c r="V583" s="16">
        <f>($J583*0.04)+($K583*4)+($L583*-2)+($N583*0.1)+($O583*6)+($Q583)+($R583*0.1)+($S583*6)+($T583*-2)</f>
        <v>0</v>
      </c>
      <c r="W583" s="16" t="e">
        <f>$P583/$H$33</f>
        <v>#DIV/0!</v>
      </c>
      <c r="X583" s="16" t="e">
        <f>$N583/$M583</f>
        <v>#DIV/0!</v>
      </c>
      <c r="Y583" s="16" t="e">
        <f>$R583/$Q583</f>
        <v>#DIV/0!</v>
      </c>
      <c r="Z583" s="16" t="e">
        <f>$I583/$H583</f>
        <v>#DIV/0!</v>
      </c>
      <c r="AA583" s="16" t="e">
        <f>$J583/$H583</f>
        <v>#DIV/0!</v>
      </c>
      <c r="AB583" s="16">
        <f>($J583*Cp_yd)+($K583*Cp_td)+($L583*Cint)+($M583*Ccar)+($N583*Cr_yd)+($O583*Cr_td)+(Q583*Crec)+($R583*Crec_yd)+($S583*Crec_td)+($T583*Cfmb)+($U583*Ctp_c)</f>
        <v>0</v>
      </c>
    </row>
    <row r="584" spans="1:28" x14ac:dyDescent="0.2">
      <c r="A584" s="15" t="s">
        <v>1361</v>
      </c>
      <c r="B584" s="15" t="s">
        <v>38</v>
      </c>
      <c r="C584" s="15">
        <v>23</v>
      </c>
      <c r="D584" s="15">
        <v>0</v>
      </c>
      <c r="E584" s="15" t="s">
        <v>220</v>
      </c>
      <c r="F584" s="15" t="s">
        <v>1320</v>
      </c>
      <c r="G584" s="15">
        <v>0</v>
      </c>
      <c r="H584" s="15">
        <v>0</v>
      </c>
      <c r="I584" s="15">
        <v>0</v>
      </c>
      <c r="J584" s="15">
        <v>0</v>
      </c>
      <c r="K584" s="15">
        <v>0</v>
      </c>
      <c r="L584" s="15">
        <v>0</v>
      </c>
      <c r="M584" s="15">
        <v>0</v>
      </c>
      <c r="N584" s="15">
        <v>0</v>
      </c>
      <c r="O584" s="15">
        <v>0</v>
      </c>
      <c r="P584" s="15">
        <v>0</v>
      </c>
      <c r="Q584" s="15">
        <v>0</v>
      </c>
      <c r="R584" s="15">
        <v>0</v>
      </c>
      <c r="S584" s="15">
        <v>0</v>
      </c>
      <c r="T584" s="15">
        <v>0</v>
      </c>
      <c r="U584" s="15">
        <v>0</v>
      </c>
      <c r="V584" s="15">
        <f>($J584*0.04)+($K584*4)+($L584*-2)+($N584*0.1)+($O584*6)+($Q584)+($R584*0.1)+($S584*6)+($T584*-2)</f>
        <v>0</v>
      </c>
      <c r="W584" s="15" t="e">
        <f>$P584/$H$33</f>
        <v>#DIV/0!</v>
      </c>
      <c r="X584" s="15" t="e">
        <f>$N584/$M584</f>
        <v>#DIV/0!</v>
      </c>
      <c r="Y584" s="15" t="e">
        <f>$R584/$Q584</f>
        <v>#DIV/0!</v>
      </c>
      <c r="Z584" s="15" t="e">
        <f>$I584/$H584</f>
        <v>#DIV/0!</v>
      </c>
      <c r="AA584" s="15" t="e">
        <f>$J584/$H584</f>
        <v>#DIV/0!</v>
      </c>
      <c r="AB584" s="15">
        <f>($J584*Cp_yd)+($K584*Cp_td)+($L584*Cint)+($M584*Ccar)+($N584*Cr_yd)+($O584*Cr_td)+(Q584*Crec)+($R584*Crec_yd)+($S584*Crec_td)+($T584*Cfmb)+($U584*Ctp_c)</f>
        <v>0</v>
      </c>
    </row>
    <row r="585" spans="1:28" x14ac:dyDescent="0.2">
      <c r="A585" s="16" t="s">
        <v>1362</v>
      </c>
      <c r="B585" s="16" t="s">
        <v>38</v>
      </c>
      <c r="C585" s="16">
        <v>28</v>
      </c>
      <c r="D585" s="16">
        <v>5</v>
      </c>
      <c r="E585" s="16" t="s">
        <v>235</v>
      </c>
      <c r="F585" s="16" t="s">
        <v>1320</v>
      </c>
      <c r="G585" s="16">
        <v>0</v>
      </c>
      <c r="H585" s="16">
        <v>0</v>
      </c>
      <c r="I585" s="16">
        <v>0</v>
      </c>
      <c r="J585" s="16">
        <v>0</v>
      </c>
      <c r="K585" s="16">
        <v>0</v>
      </c>
      <c r="L585" s="16">
        <v>0</v>
      </c>
      <c r="M585" s="16">
        <v>0</v>
      </c>
      <c r="N585" s="16">
        <v>0</v>
      </c>
      <c r="O585" s="16">
        <v>0</v>
      </c>
      <c r="P585" s="16">
        <v>0</v>
      </c>
      <c r="Q585" s="16">
        <v>0</v>
      </c>
      <c r="R585" s="16">
        <v>0</v>
      </c>
      <c r="S585" s="16">
        <v>0</v>
      </c>
      <c r="T585" s="16">
        <v>0</v>
      </c>
      <c r="U585" s="16">
        <v>0</v>
      </c>
      <c r="V585" s="16">
        <f>($J585*0.04)+($K585*4)+($L585*-2)+($N585*0.1)+($O585*6)+($Q585)+($R585*0.1)+($S585*6)+($T585*-2)</f>
        <v>0</v>
      </c>
      <c r="W585" s="16" t="e">
        <f>$P585/$H$33</f>
        <v>#DIV/0!</v>
      </c>
      <c r="X585" s="16" t="e">
        <f>$N585/$M585</f>
        <v>#DIV/0!</v>
      </c>
      <c r="Y585" s="16" t="e">
        <f>$R585/$Q585</f>
        <v>#DIV/0!</v>
      </c>
      <c r="Z585" s="16" t="e">
        <f>$I585/$H585</f>
        <v>#DIV/0!</v>
      </c>
      <c r="AA585" s="16" t="e">
        <f>$J585/$H585</f>
        <v>#DIV/0!</v>
      </c>
      <c r="AB585" s="16">
        <f>($J585*Cp_yd)+($K585*Cp_td)+($L585*Cint)+($M585*Ccar)+($N585*Cr_yd)+($O585*Cr_td)+(Q585*Crec)+($R585*Crec_yd)+($S585*Crec_td)+($T585*Cfmb)+($U585*Ctp_c)</f>
        <v>0</v>
      </c>
    </row>
    <row r="586" spans="1:28" x14ac:dyDescent="0.2">
      <c r="A586" s="15" t="s">
        <v>1380</v>
      </c>
      <c r="B586" s="15" t="s">
        <v>26</v>
      </c>
      <c r="C586" s="15">
        <v>28</v>
      </c>
      <c r="D586" s="15">
        <v>5</v>
      </c>
      <c r="E586" s="15" t="s">
        <v>1381</v>
      </c>
      <c r="F586" s="15" t="s">
        <v>1365</v>
      </c>
      <c r="G586" s="15">
        <v>0</v>
      </c>
      <c r="H586" s="15">
        <v>0</v>
      </c>
      <c r="I586" s="15">
        <v>0</v>
      </c>
      <c r="J586" s="15">
        <v>0</v>
      </c>
      <c r="K586" s="15">
        <v>0</v>
      </c>
      <c r="L586" s="15">
        <v>0</v>
      </c>
      <c r="M586" s="15">
        <v>0</v>
      </c>
      <c r="N586" s="15">
        <v>0</v>
      </c>
      <c r="O586" s="15">
        <v>0</v>
      </c>
      <c r="P586" s="15">
        <v>0</v>
      </c>
      <c r="Q586" s="15">
        <v>0</v>
      </c>
      <c r="R586" s="15">
        <v>0</v>
      </c>
      <c r="S586" s="15">
        <v>0</v>
      </c>
      <c r="T586" s="15">
        <v>0</v>
      </c>
      <c r="U586" s="15">
        <v>0</v>
      </c>
      <c r="V586" s="15">
        <f>($J586*0.04)+($K586*4)+($L586*-2)+($N586*0.1)+($O586*6)+($Q586)+($R586*0.1)+($S586*6)+($T586*-2)</f>
        <v>0</v>
      </c>
      <c r="W586" s="15" t="e">
        <f>$P586/$H$33</f>
        <v>#DIV/0!</v>
      </c>
      <c r="X586" s="15" t="e">
        <f>$N586/$M586</f>
        <v>#DIV/0!</v>
      </c>
      <c r="Y586" s="15" t="e">
        <f>$R586/$Q586</f>
        <v>#DIV/0!</v>
      </c>
      <c r="Z586" s="15" t="e">
        <f>$I586/$H586</f>
        <v>#DIV/0!</v>
      </c>
      <c r="AA586" s="15" t="e">
        <f>$K586/$H586</f>
        <v>#DIV/0!</v>
      </c>
      <c r="AB586" s="15">
        <f>($J586*Cp_yd)+($K586*Cp_td)+($L586*Cint)+($M586*Ccar)+($N586*Cr_yd)+($O586*Cr_td)+(Q586*Crec)+($R586*Crec_yd)+($S586*Crec_td)+($T586*Cfmb)+($U586*Ctp_c)</f>
        <v>0</v>
      </c>
    </row>
    <row r="587" spans="1:28" x14ac:dyDescent="0.2">
      <c r="A587" s="16" t="s">
        <v>1382</v>
      </c>
      <c r="B587" s="16" t="s">
        <v>26</v>
      </c>
      <c r="C587" s="16">
        <v>39</v>
      </c>
      <c r="D587" s="16">
        <v>19</v>
      </c>
      <c r="E587" s="16" t="s">
        <v>666</v>
      </c>
      <c r="F587" s="16" t="s">
        <v>1365</v>
      </c>
      <c r="G587" s="16">
        <v>0</v>
      </c>
      <c r="H587" s="16">
        <v>0</v>
      </c>
      <c r="I587" s="16">
        <v>0</v>
      </c>
      <c r="J587" s="16">
        <v>0</v>
      </c>
      <c r="K587" s="16">
        <v>0</v>
      </c>
      <c r="L587" s="16">
        <v>0</v>
      </c>
      <c r="M587" s="16">
        <v>0</v>
      </c>
      <c r="N587" s="16">
        <v>0</v>
      </c>
      <c r="O587" s="16">
        <v>0</v>
      </c>
      <c r="P587" s="16">
        <v>0</v>
      </c>
      <c r="Q587" s="16">
        <v>0</v>
      </c>
      <c r="R587" s="16">
        <v>0</v>
      </c>
      <c r="S587" s="16">
        <v>0</v>
      </c>
      <c r="T587" s="16">
        <v>0</v>
      </c>
      <c r="U587" s="16">
        <v>0</v>
      </c>
      <c r="V587" s="16">
        <f>($J587*0.04)+($K587*4)+($L587*-2)+($N587*0.1)+($O587*6)+($Q587)+($R587*0.1)+($S587*6)+($T587*-2)</f>
        <v>0</v>
      </c>
      <c r="W587" s="16" t="e">
        <f>$P587/$H$33</f>
        <v>#DIV/0!</v>
      </c>
      <c r="X587" s="16" t="e">
        <f>$N587/$M587</f>
        <v>#DIV/0!</v>
      </c>
      <c r="Y587" s="16" t="e">
        <f>$R587/$Q587</f>
        <v>#DIV/0!</v>
      </c>
      <c r="Z587" s="16" t="e">
        <f>$I587/$H587</f>
        <v>#DIV/0!</v>
      </c>
      <c r="AA587" s="16" t="e">
        <f>$K587/$H587</f>
        <v>#DIV/0!</v>
      </c>
      <c r="AB587" s="16">
        <f>($J587*Cp_yd)+($K587*Cp_td)+($L587*Cint)+($M587*Ccar)+($N587*Cr_yd)+($O587*Cr_td)+(Q587*Crec)+($R587*Crec_yd)+($S587*Crec_td)+($T587*Cfmb)+($U587*Ctp_c)</f>
        <v>0</v>
      </c>
    </row>
    <row r="588" spans="1:28" x14ac:dyDescent="0.2">
      <c r="A588" s="15" t="s">
        <v>1384</v>
      </c>
      <c r="B588" s="15" t="s">
        <v>31</v>
      </c>
      <c r="C588" s="15">
        <v>20</v>
      </c>
      <c r="D588" s="15">
        <v>0</v>
      </c>
      <c r="E588" s="15" t="s">
        <v>74</v>
      </c>
      <c r="F588" s="15" t="s">
        <v>1365</v>
      </c>
      <c r="G588" s="15">
        <v>0</v>
      </c>
      <c r="H588" s="15">
        <v>0</v>
      </c>
      <c r="I588" s="15">
        <v>0</v>
      </c>
      <c r="J588" s="15">
        <v>0</v>
      </c>
      <c r="K588" s="15">
        <v>0</v>
      </c>
      <c r="L588" s="15">
        <v>0</v>
      </c>
      <c r="M588" s="15">
        <v>0</v>
      </c>
      <c r="N588" s="15">
        <v>0</v>
      </c>
      <c r="O588" s="15">
        <v>0</v>
      </c>
      <c r="P588" s="15">
        <v>0</v>
      </c>
      <c r="Q588" s="15">
        <v>0</v>
      </c>
      <c r="R588" s="15">
        <v>0</v>
      </c>
      <c r="S588" s="15">
        <v>0</v>
      </c>
      <c r="T588" s="15">
        <v>0</v>
      </c>
      <c r="U588" s="15">
        <v>0</v>
      </c>
      <c r="V588" s="15">
        <f>($J588*0.04)+($K588*4)+($L588*-2)+($N588*0.1)+($O588*6)+($Q588)+($R588*0.1)+($S588*6)+($T588*-2)</f>
        <v>0</v>
      </c>
      <c r="W588" s="15" t="e">
        <f>$P588/$H$33</f>
        <v>#DIV/0!</v>
      </c>
      <c r="X588" s="15" t="e">
        <f>$N588/$M588</f>
        <v>#DIV/0!</v>
      </c>
      <c r="Y588" s="15" t="e">
        <f>$R588/$Q588</f>
        <v>#DIV/0!</v>
      </c>
      <c r="Z588" s="15" t="e">
        <f>$I588/$H588</f>
        <v>#DIV/0!</v>
      </c>
      <c r="AA588" s="15" t="e">
        <f>$K588/$H588</f>
        <v>#DIV/0!</v>
      </c>
      <c r="AB588" s="15">
        <f>($J588*Cp_yd)+($K588*Cp_td)+($L588*Cint)+($M588*Ccar)+($N588*Cr_yd)+($O588*Cr_td)+(Q588*Crec)+($R588*Crec_yd)+($S588*Crec_td)+($T588*Cfmb)+($U588*Ctp_c)</f>
        <v>0</v>
      </c>
    </row>
    <row r="589" spans="1:28" x14ac:dyDescent="0.2">
      <c r="A589" s="16" t="s">
        <v>1385</v>
      </c>
      <c r="B589" s="16" t="s">
        <v>31</v>
      </c>
      <c r="C589" s="16">
        <v>24</v>
      </c>
      <c r="D589" s="16">
        <v>3</v>
      </c>
      <c r="E589" s="16" t="s">
        <v>163</v>
      </c>
      <c r="F589" s="16" t="s">
        <v>1365</v>
      </c>
      <c r="G589" s="16">
        <v>0</v>
      </c>
      <c r="H589" s="16">
        <v>0</v>
      </c>
      <c r="I589" s="16">
        <v>0</v>
      </c>
      <c r="J589" s="16">
        <v>0</v>
      </c>
      <c r="K589" s="16">
        <v>0</v>
      </c>
      <c r="L589" s="16">
        <v>0</v>
      </c>
      <c r="M589" s="16">
        <v>0</v>
      </c>
      <c r="N589" s="16">
        <v>0</v>
      </c>
      <c r="O589" s="16">
        <v>0</v>
      </c>
      <c r="P589" s="16">
        <v>0</v>
      </c>
      <c r="Q589" s="16">
        <v>0</v>
      </c>
      <c r="R589" s="16">
        <v>0</v>
      </c>
      <c r="S589" s="16">
        <v>0</v>
      </c>
      <c r="T589" s="16">
        <v>0</v>
      </c>
      <c r="U589" s="16">
        <v>0</v>
      </c>
      <c r="V589" s="16">
        <f>($J589*0.04)+($K589*4)+($L589*-2)+($N589*0.1)+($O589*6)+($Q589)+($R589*0.1)+($S589*6)+($T589*-2)</f>
        <v>0</v>
      </c>
      <c r="W589" s="16" t="e">
        <f>$P589/$H$33</f>
        <v>#DIV/0!</v>
      </c>
      <c r="X589" s="16" t="e">
        <f>$N589/$M589</f>
        <v>#DIV/0!</v>
      </c>
      <c r="Y589" s="16" t="e">
        <f>$R589/$Q589</f>
        <v>#DIV/0!</v>
      </c>
      <c r="Z589" s="16" t="e">
        <f>$I589/$H589</f>
        <v>#DIV/0!</v>
      </c>
      <c r="AA589" s="16" t="e">
        <f>$K589/$H589</f>
        <v>#DIV/0!</v>
      </c>
      <c r="AB589" s="16">
        <f>($J589*Cp_yd)+($K589*Cp_td)+($L589*Cint)+($M589*Ccar)+($N589*Cr_yd)+($O589*Cr_td)+(Q589*Crec)+($R589*Crec_yd)+($S589*Crec_td)+($T589*Cfmb)+($U589*Ctp_c)</f>
        <v>0</v>
      </c>
    </row>
    <row r="590" spans="1:28" x14ac:dyDescent="0.2">
      <c r="A590" s="15" t="s">
        <v>1386</v>
      </c>
      <c r="B590" s="15" t="s">
        <v>31</v>
      </c>
      <c r="C590" s="15">
        <v>28</v>
      </c>
      <c r="D590" s="15">
        <v>7</v>
      </c>
      <c r="E590" s="15" t="s">
        <v>1012</v>
      </c>
      <c r="F590" s="15" t="s">
        <v>1365</v>
      </c>
      <c r="G590" s="15">
        <v>0</v>
      </c>
      <c r="H590" s="15">
        <v>0</v>
      </c>
      <c r="I590" s="15">
        <v>0</v>
      </c>
      <c r="J590" s="15">
        <v>0</v>
      </c>
      <c r="K590" s="15">
        <v>0</v>
      </c>
      <c r="L590" s="15">
        <v>0</v>
      </c>
      <c r="M590" s="15">
        <v>0</v>
      </c>
      <c r="N590" s="15">
        <v>0</v>
      </c>
      <c r="O590" s="15">
        <v>0</v>
      </c>
      <c r="P590" s="15">
        <v>0</v>
      </c>
      <c r="Q590" s="15">
        <v>0</v>
      </c>
      <c r="R590" s="15">
        <v>0</v>
      </c>
      <c r="S590" s="15">
        <v>0</v>
      </c>
      <c r="T590" s="15">
        <v>0</v>
      </c>
      <c r="U590" s="15">
        <v>0</v>
      </c>
      <c r="V590" s="15">
        <f>($J590*0.04)+($K590*4)+($L590*-2)+($N590*0.1)+($O590*6)+($Q590)+($R590*0.1)+($S590*6)+($T590*-2)</f>
        <v>0</v>
      </c>
      <c r="W590" s="15" t="e">
        <f>$P590/$H$33</f>
        <v>#DIV/0!</v>
      </c>
      <c r="X590" s="15" t="e">
        <f>$N590/$M590</f>
        <v>#DIV/0!</v>
      </c>
      <c r="Y590" s="15" t="e">
        <f>$R590/$Q590</f>
        <v>#DIV/0!</v>
      </c>
      <c r="Z590" s="15" t="e">
        <f>$I590/$H590</f>
        <v>#DIV/0!</v>
      </c>
      <c r="AA590" s="15" t="e">
        <f>$K590/$H590</f>
        <v>#DIV/0!</v>
      </c>
      <c r="AB590" s="15">
        <f>($J590*Cp_yd)+($K590*Cp_td)+($L590*Cint)+($M590*Ccar)+($N590*Cr_yd)+($O590*Cr_td)+(Q590*Crec)+($R590*Crec_yd)+($S590*Crec_td)+($T590*Cfmb)+($U590*Ctp_c)</f>
        <v>0</v>
      </c>
    </row>
    <row r="591" spans="1:28" x14ac:dyDescent="0.2">
      <c r="A591" s="16" t="s">
        <v>1387</v>
      </c>
      <c r="B591" s="16" t="s">
        <v>31</v>
      </c>
      <c r="C591" s="16">
        <v>23</v>
      </c>
      <c r="D591" s="16">
        <v>0</v>
      </c>
      <c r="E591" s="16" t="s">
        <v>78</v>
      </c>
      <c r="F591" s="16" t="s">
        <v>1365</v>
      </c>
      <c r="G591" s="16">
        <v>0</v>
      </c>
      <c r="H591" s="16">
        <v>0</v>
      </c>
      <c r="I591" s="16">
        <v>0</v>
      </c>
      <c r="J591" s="16">
        <v>0</v>
      </c>
      <c r="K591" s="16">
        <v>0</v>
      </c>
      <c r="L591" s="16">
        <v>0</v>
      </c>
      <c r="M591" s="16">
        <v>0</v>
      </c>
      <c r="N591" s="16">
        <v>0</v>
      </c>
      <c r="O591" s="16">
        <v>0</v>
      </c>
      <c r="P591" s="16">
        <v>0</v>
      </c>
      <c r="Q591" s="16">
        <v>0</v>
      </c>
      <c r="R591" s="16">
        <v>0</v>
      </c>
      <c r="S591" s="16">
        <v>0</v>
      </c>
      <c r="T591" s="16">
        <v>0</v>
      </c>
      <c r="U591" s="16">
        <v>0</v>
      </c>
      <c r="V591" s="16">
        <f>($J591*0.04)+($K591*4)+($L591*-2)+($N591*0.1)+($O591*6)+($Q591)+($R591*0.1)+($S591*6)+($T591*-2)</f>
        <v>0</v>
      </c>
      <c r="W591" s="16" t="e">
        <f>$P591/$H$33</f>
        <v>#DIV/0!</v>
      </c>
      <c r="X591" s="16" t="e">
        <f>$N591/$M591</f>
        <v>#DIV/0!</v>
      </c>
      <c r="Y591" s="16" t="e">
        <f>$R591/$Q591</f>
        <v>#DIV/0!</v>
      </c>
      <c r="Z591" s="16" t="e">
        <f>$I591/$H591</f>
        <v>#DIV/0!</v>
      </c>
      <c r="AA591" s="16" t="e">
        <f>$K591/$H591</f>
        <v>#DIV/0!</v>
      </c>
      <c r="AB591" s="16">
        <f>($J591*Cp_yd)+($K591*Cp_td)+($L591*Cint)+($M591*Ccar)+($N591*Cr_yd)+($O591*Cr_td)+(Q591*Crec)+($R591*Crec_yd)+($S591*Crec_td)+($T591*Cfmb)+($U591*Ctp_c)</f>
        <v>0</v>
      </c>
    </row>
    <row r="592" spans="1:28" x14ac:dyDescent="0.2">
      <c r="A592" s="15" t="s">
        <v>1388</v>
      </c>
      <c r="B592" s="15" t="s">
        <v>31</v>
      </c>
      <c r="C592" s="15">
        <v>22</v>
      </c>
      <c r="D592" s="15">
        <v>2</v>
      </c>
      <c r="E592" s="15" t="s">
        <v>244</v>
      </c>
      <c r="F592" s="15" t="s">
        <v>1365</v>
      </c>
      <c r="G592" s="15">
        <v>0</v>
      </c>
      <c r="H592" s="15">
        <v>0</v>
      </c>
      <c r="I592" s="15">
        <v>0</v>
      </c>
      <c r="J592" s="15">
        <v>0</v>
      </c>
      <c r="K592" s="15">
        <v>0</v>
      </c>
      <c r="L592" s="15">
        <v>0</v>
      </c>
      <c r="M592" s="15">
        <v>0</v>
      </c>
      <c r="N592" s="15">
        <v>0</v>
      </c>
      <c r="O592" s="15">
        <v>0</v>
      </c>
      <c r="P592" s="15">
        <v>0</v>
      </c>
      <c r="Q592" s="15">
        <v>0</v>
      </c>
      <c r="R592" s="15">
        <v>0</v>
      </c>
      <c r="S592" s="15">
        <v>0</v>
      </c>
      <c r="T592" s="15">
        <v>0</v>
      </c>
      <c r="U592" s="15">
        <v>0</v>
      </c>
      <c r="V592" s="15">
        <f>($J592*0.04)+($K592*4)+($L592*-2)+($N592*0.1)+($O592*6)+($Q592)+($R592*0.1)+($S592*6)+($T592*-2)</f>
        <v>0</v>
      </c>
      <c r="W592" s="15" t="e">
        <f>$P592/$H$33</f>
        <v>#DIV/0!</v>
      </c>
      <c r="X592" s="15" t="e">
        <f>$N592/$M592</f>
        <v>#DIV/0!</v>
      </c>
      <c r="Y592" s="15" t="e">
        <f>$R592/$Q592</f>
        <v>#DIV/0!</v>
      </c>
      <c r="Z592" s="15" t="e">
        <f>$I592/$H592</f>
        <v>#DIV/0!</v>
      </c>
      <c r="AA592" s="15" t="e">
        <f>$K592/$H592</f>
        <v>#DIV/0!</v>
      </c>
      <c r="AB592" s="15">
        <f>($J592*Cp_yd)+($K592*Cp_td)+($L592*Cint)+($M592*Ccar)+($N592*Cr_yd)+($O592*Cr_td)+(Q592*Crec)+($R592*Crec_yd)+($S592*Crec_td)+($T592*Cfmb)+($U592*Ctp_c)</f>
        <v>0</v>
      </c>
    </row>
    <row r="593" spans="1:28" x14ac:dyDescent="0.2">
      <c r="A593" s="16" t="s">
        <v>1390</v>
      </c>
      <c r="B593" s="16" t="s">
        <v>43</v>
      </c>
      <c r="C593" s="16">
        <v>24</v>
      </c>
      <c r="D593" s="16">
        <v>0</v>
      </c>
      <c r="E593" s="16" t="s">
        <v>898</v>
      </c>
      <c r="F593" s="16" t="s">
        <v>1365</v>
      </c>
      <c r="G593" s="16">
        <v>0</v>
      </c>
      <c r="H593" s="16">
        <v>0</v>
      </c>
      <c r="I593" s="16">
        <v>0</v>
      </c>
      <c r="J593" s="16">
        <v>0</v>
      </c>
      <c r="K593" s="16">
        <v>0</v>
      </c>
      <c r="L593" s="16">
        <v>0</v>
      </c>
      <c r="M593" s="16">
        <v>0</v>
      </c>
      <c r="N593" s="16">
        <v>0</v>
      </c>
      <c r="O593" s="16">
        <v>0</v>
      </c>
      <c r="P593" s="16">
        <v>0</v>
      </c>
      <c r="Q593" s="16">
        <v>0</v>
      </c>
      <c r="R593" s="16">
        <v>0</v>
      </c>
      <c r="S593" s="16">
        <v>0</v>
      </c>
      <c r="T593" s="16">
        <v>0</v>
      </c>
      <c r="U593" s="16">
        <v>0</v>
      </c>
      <c r="V593" s="16">
        <f>($J593*0.04)+($K593*4)+($L593*-2)+($N593*0.1)+($O593*6)+($Q593)+($R593*0.1)+($S593*6)+($T593*-2)</f>
        <v>0</v>
      </c>
      <c r="W593" s="16" t="e">
        <f>$P593/$H$33</f>
        <v>#DIV/0!</v>
      </c>
      <c r="X593" s="16" t="e">
        <f>$N593/$M593</f>
        <v>#DIV/0!</v>
      </c>
      <c r="Y593" s="16" t="e">
        <f>$R593/$Q593</f>
        <v>#DIV/0!</v>
      </c>
      <c r="Z593" s="16" t="e">
        <f>$I593/$H593</f>
        <v>#DIV/0!</v>
      </c>
      <c r="AA593" s="16" t="e">
        <f>$K593/$H593</f>
        <v>#DIV/0!</v>
      </c>
      <c r="AB593" s="16">
        <f>($J593*Cp_yd)+($K593*Cp_td)+($L593*Cint)+($M593*Ccar)+($N593*Cr_yd)+($O593*Cr_td)+(Q593*Crec)+($R593*Crec_yd)+($S593*Crec_td)+($T593*Cfmb)+($U593*Ctp_c)</f>
        <v>0</v>
      </c>
    </row>
    <row r="594" spans="1:28" x14ac:dyDescent="0.2">
      <c r="A594" s="15" t="s">
        <v>1391</v>
      </c>
      <c r="B594" s="15" t="s">
        <v>43</v>
      </c>
      <c r="C594" s="15">
        <v>26</v>
      </c>
      <c r="D594" s="15">
        <v>1</v>
      </c>
      <c r="E594" s="15" t="s">
        <v>1392</v>
      </c>
      <c r="F594" s="15" t="s">
        <v>1365</v>
      </c>
      <c r="G594" s="15">
        <v>0</v>
      </c>
      <c r="H594" s="15">
        <v>0</v>
      </c>
      <c r="I594" s="15">
        <v>0</v>
      </c>
      <c r="J594" s="15">
        <v>0</v>
      </c>
      <c r="K594" s="15">
        <v>0</v>
      </c>
      <c r="L594" s="15">
        <v>0</v>
      </c>
      <c r="M594" s="15">
        <v>0</v>
      </c>
      <c r="N594" s="15">
        <v>0</v>
      </c>
      <c r="O594" s="15">
        <v>0</v>
      </c>
      <c r="P594" s="15">
        <v>0</v>
      </c>
      <c r="Q594" s="15">
        <v>0</v>
      </c>
      <c r="R594" s="15">
        <v>0</v>
      </c>
      <c r="S594" s="15">
        <v>0</v>
      </c>
      <c r="T594" s="15">
        <v>0</v>
      </c>
      <c r="U594" s="15">
        <v>0</v>
      </c>
      <c r="V594" s="15">
        <f>($J594*0.04)+($K594*4)+($L594*-2)+($N594*0.1)+($O594*6)+($Q594)+($R594*0.1)+($S594*6)+($T594*-2)</f>
        <v>0</v>
      </c>
      <c r="W594" s="15" t="e">
        <f>$P594/$H$33</f>
        <v>#DIV/0!</v>
      </c>
      <c r="X594" s="15" t="e">
        <f>$N594/$M594</f>
        <v>#DIV/0!</v>
      </c>
      <c r="Y594" s="15" t="e">
        <f>$R594/$Q594</f>
        <v>#DIV/0!</v>
      </c>
      <c r="Z594" s="15" t="e">
        <f>$I594/$H594</f>
        <v>#DIV/0!</v>
      </c>
      <c r="AA594" s="15" t="e">
        <f>$K594/$H594</f>
        <v>#DIV/0!</v>
      </c>
      <c r="AB594" s="15">
        <f>($J594*Cp_yd)+($K594*Cp_td)+($L594*Cint)+($M594*Ccar)+($N594*Cr_yd)+($O594*Cr_td)+(Q594*Crec)+($R594*Crec_yd)+($S594*Crec_td)+($T594*Cfmb)+($U594*Ctp_c)</f>
        <v>0</v>
      </c>
    </row>
    <row r="595" spans="1:28" x14ac:dyDescent="0.2">
      <c r="A595" s="16" t="s">
        <v>1393</v>
      </c>
      <c r="B595" s="16" t="s">
        <v>43</v>
      </c>
      <c r="C595" s="16">
        <v>32</v>
      </c>
      <c r="D595" s="16">
        <v>13</v>
      </c>
      <c r="E595" s="16" t="s">
        <v>150</v>
      </c>
      <c r="F595" s="16" t="s">
        <v>1365</v>
      </c>
      <c r="G595" s="16">
        <v>0</v>
      </c>
      <c r="H595" s="16">
        <v>0</v>
      </c>
      <c r="I595" s="16">
        <v>0</v>
      </c>
      <c r="J595" s="16">
        <v>0</v>
      </c>
      <c r="K595" s="16">
        <v>0</v>
      </c>
      <c r="L595" s="16">
        <v>0</v>
      </c>
      <c r="M595" s="16">
        <v>0</v>
      </c>
      <c r="N595" s="16">
        <v>0</v>
      </c>
      <c r="O595" s="16">
        <v>0</v>
      </c>
      <c r="P595" s="16">
        <v>0</v>
      </c>
      <c r="Q595" s="16">
        <v>0</v>
      </c>
      <c r="R595" s="16">
        <v>0</v>
      </c>
      <c r="S595" s="16">
        <v>0</v>
      </c>
      <c r="T595" s="16">
        <v>0</v>
      </c>
      <c r="U595" s="16">
        <v>0</v>
      </c>
      <c r="V595" s="16">
        <f>($J595*0.04)+($K595*4)+($L595*-2)+($N595*0.1)+($O595*6)+($Q595)+($R595*0.1)+($S595*6)+($T595*-2)</f>
        <v>0</v>
      </c>
      <c r="W595" s="16" t="e">
        <f>$P595/$H$33</f>
        <v>#DIV/0!</v>
      </c>
      <c r="X595" s="16" t="e">
        <f>$N595/$M595</f>
        <v>#DIV/0!</v>
      </c>
      <c r="Y595" s="16" t="e">
        <f>$R595/$Q595</f>
        <v>#DIV/0!</v>
      </c>
      <c r="Z595" s="16" t="e">
        <f>$I595/$H595</f>
        <v>#DIV/0!</v>
      </c>
      <c r="AA595" s="16" t="e">
        <f>$K595/$H595</f>
        <v>#DIV/0!</v>
      </c>
      <c r="AB595" s="16">
        <f>($J595*Cp_yd)+($K595*Cp_td)+($L595*Cint)+($M595*Ccar)+($N595*Cr_yd)+($O595*Cr_td)+(Q595*Crec)+($R595*Crec_yd)+($S595*Crec_td)+($T595*Cfmb)+($U595*Ctp_c)</f>
        <v>0</v>
      </c>
    </row>
    <row r="596" spans="1:28" x14ac:dyDescent="0.2">
      <c r="A596" s="15" t="s">
        <v>1394</v>
      </c>
      <c r="B596" s="15" t="s">
        <v>43</v>
      </c>
      <c r="C596" s="15">
        <v>28</v>
      </c>
      <c r="D596" s="15">
        <v>7</v>
      </c>
      <c r="E596" s="15" t="s">
        <v>357</v>
      </c>
      <c r="F596" s="15" t="s">
        <v>1365</v>
      </c>
      <c r="G596" s="15">
        <v>0</v>
      </c>
      <c r="H596" s="15">
        <v>0</v>
      </c>
      <c r="I596" s="15">
        <v>0</v>
      </c>
      <c r="J596" s="15">
        <v>0</v>
      </c>
      <c r="K596" s="15">
        <v>0</v>
      </c>
      <c r="L596" s="15">
        <v>0</v>
      </c>
      <c r="M596" s="15">
        <v>0</v>
      </c>
      <c r="N596" s="15">
        <v>0</v>
      </c>
      <c r="O596" s="15">
        <v>0</v>
      </c>
      <c r="P596" s="15">
        <v>0</v>
      </c>
      <c r="Q596" s="15">
        <v>0</v>
      </c>
      <c r="R596" s="15">
        <v>0</v>
      </c>
      <c r="S596" s="15">
        <v>0</v>
      </c>
      <c r="T596" s="15">
        <v>0</v>
      </c>
      <c r="U596" s="15">
        <v>0</v>
      </c>
      <c r="V596" s="15">
        <f>($J596*0.04)+($K596*4)+($L596*-2)+($N596*0.1)+($O596*6)+($Q596)+($R596*0.1)+($S596*6)+($T596*-2)</f>
        <v>0</v>
      </c>
      <c r="W596" s="15" t="e">
        <f>$P596/$H$33</f>
        <v>#DIV/0!</v>
      </c>
      <c r="X596" s="15" t="e">
        <f>$N596/$M596</f>
        <v>#DIV/0!</v>
      </c>
      <c r="Y596" s="15" t="e">
        <f>$R596/$Q596</f>
        <v>#DIV/0!</v>
      </c>
      <c r="Z596" s="15" t="e">
        <f>$I596/$H596</f>
        <v>#DIV/0!</v>
      </c>
      <c r="AA596" s="15" t="e">
        <f>$K596/$H596</f>
        <v>#DIV/0!</v>
      </c>
      <c r="AB596" s="15">
        <f>($J596*Cp_yd)+($K596*Cp_td)+($L596*Cint)+($M596*Ccar)+($N596*Cr_yd)+($O596*Cr_td)+(Q596*Crec)+($R596*Crec_yd)+($S596*Crec_td)+($T596*Cfmb)+($U596*Ctp_c)</f>
        <v>0</v>
      </c>
    </row>
    <row r="597" spans="1:28" x14ac:dyDescent="0.2">
      <c r="A597" s="16" t="s">
        <v>1395</v>
      </c>
      <c r="B597" s="16" t="s">
        <v>43</v>
      </c>
      <c r="C597" s="16">
        <v>30</v>
      </c>
      <c r="D597" s="16">
        <v>7</v>
      </c>
      <c r="E597" s="16" t="s">
        <v>72</v>
      </c>
      <c r="F597" s="16" t="s">
        <v>1365</v>
      </c>
      <c r="G597" s="16">
        <v>0</v>
      </c>
      <c r="H597" s="16">
        <v>0</v>
      </c>
      <c r="I597" s="16">
        <v>0</v>
      </c>
      <c r="J597" s="16">
        <v>0</v>
      </c>
      <c r="K597" s="16">
        <v>0</v>
      </c>
      <c r="L597" s="16">
        <v>0</v>
      </c>
      <c r="M597" s="16">
        <v>0</v>
      </c>
      <c r="N597" s="16">
        <v>0</v>
      </c>
      <c r="O597" s="16">
        <v>0</v>
      </c>
      <c r="P597" s="16">
        <v>0</v>
      </c>
      <c r="Q597" s="16">
        <v>0</v>
      </c>
      <c r="R597" s="16">
        <v>0</v>
      </c>
      <c r="S597" s="16">
        <v>0</v>
      </c>
      <c r="T597" s="16">
        <v>0</v>
      </c>
      <c r="U597" s="16">
        <v>0</v>
      </c>
      <c r="V597" s="16">
        <f>($J597*0.04)+($K597*4)+($L597*-2)+($N597*0.1)+($O597*6)+($Q597)+($R597*0.1)+($S597*6)+($T597*-2)</f>
        <v>0</v>
      </c>
      <c r="W597" s="16" t="e">
        <f>$P597/$H$33</f>
        <v>#DIV/0!</v>
      </c>
      <c r="X597" s="16" t="e">
        <f>$N597/$M597</f>
        <v>#DIV/0!</v>
      </c>
      <c r="Y597" s="16" t="e">
        <f>$R597/$Q597</f>
        <v>#DIV/0!</v>
      </c>
      <c r="Z597" s="16" t="e">
        <f>$I597/$H597</f>
        <v>#DIV/0!</v>
      </c>
      <c r="AA597" s="16" t="e">
        <f>$K597/$H597</f>
        <v>#DIV/0!</v>
      </c>
      <c r="AB597" s="16">
        <f>($J597*Cp_yd)+($K597*Cp_td)+($L597*Cint)+($M597*Ccar)+($N597*Cr_yd)+($O597*Cr_td)+(Q597*Crec)+($R597*Crec_yd)+($S597*Crec_td)+($T597*Cfmb)+($U597*Ctp_c)</f>
        <v>0</v>
      </c>
    </row>
    <row r="598" spans="1:28" x14ac:dyDescent="0.2">
      <c r="A598" s="15" t="s">
        <v>1396</v>
      </c>
      <c r="B598" s="15" t="s">
        <v>43</v>
      </c>
      <c r="C598" s="15">
        <v>22</v>
      </c>
      <c r="D598" s="15">
        <v>0</v>
      </c>
      <c r="E598" s="15" t="s">
        <v>1397</v>
      </c>
      <c r="F598" s="15" t="s">
        <v>1365</v>
      </c>
      <c r="G598" s="15">
        <v>0</v>
      </c>
      <c r="H598" s="15">
        <v>0</v>
      </c>
      <c r="I598" s="15">
        <v>0</v>
      </c>
      <c r="J598" s="15">
        <v>0</v>
      </c>
      <c r="K598" s="15">
        <v>0</v>
      </c>
      <c r="L598" s="15">
        <v>0</v>
      </c>
      <c r="M598" s="15">
        <v>0</v>
      </c>
      <c r="N598" s="15">
        <v>0</v>
      </c>
      <c r="O598" s="15">
        <v>0</v>
      </c>
      <c r="P598" s="15">
        <v>0</v>
      </c>
      <c r="Q598" s="15">
        <v>0</v>
      </c>
      <c r="R598" s="15">
        <v>0</v>
      </c>
      <c r="S598" s="15">
        <v>0</v>
      </c>
      <c r="T598" s="15">
        <v>0</v>
      </c>
      <c r="U598" s="15">
        <v>0</v>
      </c>
      <c r="V598" s="15">
        <f>($J598*0.04)+($K598*4)+($L598*-2)+($N598*0.1)+($O598*6)+($Q598)+($R598*0.1)+($S598*6)+($T598*-2)</f>
        <v>0</v>
      </c>
      <c r="W598" s="15" t="e">
        <f>$P598/$H$33</f>
        <v>#DIV/0!</v>
      </c>
      <c r="X598" s="15" t="e">
        <f>$N598/$M598</f>
        <v>#DIV/0!</v>
      </c>
      <c r="Y598" s="15" t="e">
        <f>$R598/$Q598</f>
        <v>#DIV/0!</v>
      </c>
      <c r="Z598" s="15" t="e">
        <f>$I598/$H598</f>
        <v>#DIV/0!</v>
      </c>
      <c r="AA598" s="15" t="e">
        <f>$K598/$H598</f>
        <v>#DIV/0!</v>
      </c>
      <c r="AB598" s="15">
        <f>($J598*Cp_yd)+($K598*Cp_td)+($L598*Cint)+($M598*Ccar)+($N598*Cr_yd)+($O598*Cr_td)+(Q598*Crec)+($R598*Crec_yd)+($S598*Crec_td)+($T598*Cfmb)+($U598*Ctp_c)</f>
        <v>0</v>
      </c>
    </row>
    <row r="599" spans="1:28" x14ac:dyDescent="0.2">
      <c r="A599" s="16" t="s">
        <v>1398</v>
      </c>
      <c r="B599" s="16" t="s">
        <v>43</v>
      </c>
      <c r="C599" s="16">
        <v>25</v>
      </c>
      <c r="D599" s="16">
        <v>5</v>
      </c>
      <c r="E599" s="16" t="s">
        <v>173</v>
      </c>
      <c r="F599" s="16" t="s">
        <v>1365</v>
      </c>
      <c r="G599" s="16">
        <v>0</v>
      </c>
      <c r="H599" s="16">
        <v>0</v>
      </c>
      <c r="I599" s="16">
        <v>0</v>
      </c>
      <c r="J599" s="16">
        <v>0</v>
      </c>
      <c r="K599" s="16">
        <v>0</v>
      </c>
      <c r="L599" s="16">
        <v>0</v>
      </c>
      <c r="M599" s="16">
        <v>0</v>
      </c>
      <c r="N599" s="16">
        <v>0</v>
      </c>
      <c r="O599" s="16">
        <v>0</v>
      </c>
      <c r="P599" s="16">
        <v>0</v>
      </c>
      <c r="Q599" s="16">
        <v>0</v>
      </c>
      <c r="R599" s="16">
        <v>0</v>
      </c>
      <c r="S599" s="16">
        <v>0</v>
      </c>
      <c r="T599" s="16">
        <v>0</v>
      </c>
      <c r="U599" s="16">
        <v>0</v>
      </c>
      <c r="V599" s="16">
        <f>($J599*0.04)+($K599*4)+($L599*-2)+($N599*0.1)+($O599*6)+($Q599)+($R599*0.1)+($S599*6)+($T599*-2)</f>
        <v>0</v>
      </c>
      <c r="W599" s="16" t="e">
        <f>$P599/$H$33</f>
        <v>#DIV/0!</v>
      </c>
      <c r="X599" s="16" t="e">
        <f>$N599/$M599</f>
        <v>#DIV/0!</v>
      </c>
      <c r="Y599" s="16" t="e">
        <f>$R599/$Q599</f>
        <v>#DIV/0!</v>
      </c>
      <c r="Z599" s="16" t="e">
        <f>$I599/$H599</f>
        <v>#DIV/0!</v>
      </c>
      <c r="AA599" s="16" t="e">
        <f>$K599/$H599</f>
        <v>#DIV/0!</v>
      </c>
      <c r="AB599" s="16">
        <f>($J599*Cp_yd)+($K599*Cp_td)+($L599*Cint)+($M599*Ccar)+($N599*Cr_yd)+($O599*Cr_td)+(Q599*Crec)+($R599*Crec_yd)+($S599*Crec_td)+($T599*Cfmb)+($U599*Ctp_c)</f>
        <v>0</v>
      </c>
    </row>
    <row r="600" spans="1:28" x14ac:dyDescent="0.2">
      <c r="A600" s="15" t="s">
        <v>1399</v>
      </c>
      <c r="B600" s="15" t="s">
        <v>43</v>
      </c>
      <c r="C600" s="15">
        <v>24</v>
      </c>
      <c r="D600" s="15">
        <v>0</v>
      </c>
      <c r="E600" s="15" t="s">
        <v>677</v>
      </c>
      <c r="F600" s="15" t="s">
        <v>1365</v>
      </c>
      <c r="G600" s="15">
        <v>0</v>
      </c>
      <c r="H600" s="15">
        <v>0</v>
      </c>
      <c r="I600" s="15">
        <v>0</v>
      </c>
      <c r="J600" s="15">
        <v>0</v>
      </c>
      <c r="K600" s="15">
        <v>0</v>
      </c>
      <c r="L600" s="15">
        <v>0</v>
      </c>
      <c r="M600" s="15">
        <v>0</v>
      </c>
      <c r="N600" s="15">
        <v>0</v>
      </c>
      <c r="O600" s="15">
        <v>0</v>
      </c>
      <c r="P600" s="15">
        <v>0</v>
      </c>
      <c r="Q600" s="15">
        <v>0</v>
      </c>
      <c r="R600" s="15">
        <v>0</v>
      </c>
      <c r="S600" s="15">
        <v>0</v>
      </c>
      <c r="T600" s="15">
        <v>0</v>
      </c>
      <c r="U600" s="15">
        <v>0</v>
      </c>
      <c r="V600" s="15">
        <f>($J600*0.04)+($K600*4)+($L600*-2)+($N600*0.1)+($O600*6)+($Q600)+($R600*0.1)+($S600*6)+($T600*-2)</f>
        <v>0</v>
      </c>
      <c r="W600" s="15" t="e">
        <f>$P600/$H$33</f>
        <v>#DIV/0!</v>
      </c>
      <c r="X600" s="15" t="e">
        <f>$N600/$M600</f>
        <v>#DIV/0!</v>
      </c>
      <c r="Y600" s="15" t="e">
        <f>$R600/$Q600</f>
        <v>#DIV/0!</v>
      </c>
      <c r="Z600" s="15" t="e">
        <f>$I600/$H600</f>
        <v>#DIV/0!</v>
      </c>
      <c r="AA600" s="15" t="e">
        <f>$K600/$H600</f>
        <v>#DIV/0!</v>
      </c>
      <c r="AB600" s="15">
        <f>($J600*Cp_yd)+($K600*Cp_td)+($L600*Cint)+($M600*Ccar)+($N600*Cr_yd)+($O600*Cr_td)+(Q600*Crec)+($R600*Crec_yd)+($S600*Crec_td)+($T600*Cfmb)+($U600*Ctp_c)</f>
        <v>0</v>
      </c>
    </row>
    <row r="601" spans="1:28" x14ac:dyDescent="0.2">
      <c r="A601" s="16" t="s">
        <v>1400</v>
      </c>
      <c r="B601" s="16" t="s">
        <v>43</v>
      </c>
      <c r="C601" s="16">
        <v>27</v>
      </c>
      <c r="D601" s="16">
        <v>5</v>
      </c>
      <c r="E601" s="16" t="s">
        <v>244</v>
      </c>
      <c r="F601" s="16" t="s">
        <v>1365</v>
      </c>
      <c r="G601" s="16">
        <v>0</v>
      </c>
      <c r="H601" s="16">
        <v>0</v>
      </c>
      <c r="I601" s="16">
        <v>0</v>
      </c>
      <c r="J601" s="16">
        <v>0</v>
      </c>
      <c r="K601" s="16">
        <v>0</v>
      </c>
      <c r="L601" s="16">
        <v>0</v>
      </c>
      <c r="M601" s="16">
        <v>0</v>
      </c>
      <c r="N601" s="16">
        <v>0</v>
      </c>
      <c r="O601" s="16">
        <v>0</v>
      </c>
      <c r="P601" s="16">
        <v>0</v>
      </c>
      <c r="Q601" s="16">
        <v>0</v>
      </c>
      <c r="R601" s="16">
        <v>0</v>
      </c>
      <c r="S601" s="16">
        <v>0</v>
      </c>
      <c r="T601" s="16">
        <v>0</v>
      </c>
      <c r="U601" s="16">
        <v>0</v>
      </c>
      <c r="V601" s="16">
        <f>($J601*0.04)+($K601*4)+($L601*-2)+($N601*0.1)+($O601*6)+($Q601)+($R601*0.1)+($S601*6)+($T601*-2)</f>
        <v>0</v>
      </c>
      <c r="W601" s="16" t="e">
        <f>$P601/$H$33</f>
        <v>#DIV/0!</v>
      </c>
      <c r="X601" s="16" t="e">
        <f>$N601/$M601</f>
        <v>#DIV/0!</v>
      </c>
      <c r="Y601" s="16" t="e">
        <f>$R601/$Q601</f>
        <v>#DIV/0!</v>
      </c>
      <c r="Z601" s="16" t="e">
        <f>$I601/$H601</f>
        <v>#DIV/0!</v>
      </c>
      <c r="AA601" s="16" t="e">
        <f>$K601/$H601</f>
        <v>#DIV/0!</v>
      </c>
      <c r="AB601" s="16">
        <f>($J601*Cp_yd)+($K601*Cp_td)+($L601*Cint)+($M601*Ccar)+($N601*Cr_yd)+($O601*Cr_td)+(Q601*Crec)+($R601*Crec_yd)+($S601*Crec_td)+($T601*Cfmb)+($U601*Ctp_c)</f>
        <v>0</v>
      </c>
    </row>
    <row r="602" spans="1:28" x14ac:dyDescent="0.2">
      <c r="A602" s="15" t="s">
        <v>1401</v>
      </c>
      <c r="B602" s="15" t="s">
        <v>43</v>
      </c>
      <c r="C602" s="15">
        <v>23</v>
      </c>
      <c r="D602" s="15">
        <v>0</v>
      </c>
      <c r="E602" s="15" t="s">
        <v>1402</v>
      </c>
      <c r="F602" s="15" t="s">
        <v>1365</v>
      </c>
      <c r="G602" s="15">
        <v>0</v>
      </c>
      <c r="H602" s="15">
        <v>0</v>
      </c>
      <c r="I602" s="15">
        <v>0</v>
      </c>
      <c r="J602" s="15">
        <v>0</v>
      </c>
      <c r="K602" s="15">
        <v>0</v>
      </c>
      <c r="L602" s="15">
        <v>0</v>
      </c>
      <c r="M602" s="15">
        <v>0</v>
      </c>
      <c r="N602" s="15">
        <v>0</v>
      </c>
      <c r="O602" s="15">
        <v>0</v>
      </c>
      <c r="P602" s="15">
        <v>0</v>
      </c>
      <c r="Q602" s="15">
        <v>0</v>
      </c>
      <c r="R602" s="15">
        <v>0</v>
      </c>
      <c r="S602" s="15">
        <v>0</v>
      </c>
      <c r="T602" s="15">
        <v>0</v>
      </c>
      <c r="U602" s="15">
        <v>0</v>
      </c>
      <c r="V602" s="15">
        <f>($J602*0.04)+($K602*4)+($L602*-2)+($N602*0.1)+($O602*6)+($Q602)+($R602*0.1)+($S602*6)+($T602*-2)</f>
        <v>0</v>
      </c>
      <c r="W602" s="15" t="e">
        <f>$P602/$H$33</f>
        <v>#DIV/0!</v>
      </c>
      <c r="X602" s="15" t="e">
        <f>$N602/$M602</f>
        <v>#DIV/0!</v>
      </c>
      <c r="Y602" s="15" t="e">
        <f>$R602/$Q602</f>
        <v>#DIV/0!</v>
      </c>
      <c r="Z602" s="15" t="e">
        <f>$I602/$H602</f>
        <v>#DIV/0!</v>
      </c>
      <c r="AA602" s="15" t="e">
        <f>$K602/$H602</f>
        <v>#DIV/0!</v>
      </c>
      <c r="AB602" s="15">
        <f>($J602*Cp_yd)+($K602*Cp_td)+($L602*Cint)+($M602*Ccar)+($N602*Cr_yd)+($O602*Cr_td)+(Q602*Crec)+($R602*Crec_yd)+($S602*Crec_td)+($T602*Cfmb)+($U602*Ctp_c)</f>
        <v>0</v>
      </c>
    </row>
    <row r="603" spans="1:28" x14ac:dyDescent="0.2">
      <c r="A603" s="16" t="s">
        <v>1403</v>
      </c>
      <c r="B603" s="16" t="s">
        <v>43</v>
      </c>
      <c r="C603" s="16">
        <v>27</v>
      </c>
      <c r="D603" s="16">
        <v>3</v>
      </c>
      <c r="E603" s="16" t="s">
        <v>1404</v>
      </c>
      <c r="F603" s="16" t="s">
        <v>1365</v>
      </c>
      <c r="G603" s="16">
        <v>0</v>
      </c>
      <c r="H603" s="16">
        <v>0</v>
      </c>
      <c r="I603" s="16">
        <v>0</v>
      </c>
      <c r="J603" s="16">
        <v>0</v>
      </c>
      <c r="K603" s="16">
        <v>0</v>
      </c>
      <c r="L603" s="16">
        <v>0</v>
      </c>
      <c r="M603" s="16">
        <v>0</v>
      </c>
      <c r="N603" s="16">
        <v>0</v>
      </c>
      <c r="O603" s="16">
        <v>0</v>
      </c>
      <c r="P603" s="16">
        <v>0</v>
      </c>
      <c r="Q603" s="16">
        <v>0</v>
      </c>
      <c r="R603" s="16">
        <v>0</v>
      </c>
      <c r="S603" s="16">
        <v>0</v>
      </c>
      <c r="T603" s="16">
        <v>0</v>
      </c>
      <c r="U603" s="16">
        <v>0</v>
      </c>
      <c r="V603" s="16">
        <f>($J603*0.04)+($K603*4)+($L603*-2)+($N603*0.1)+($O603*6)+($Q603)+($R603*0.1)+($S603*6)+($T603*-2)</f>
        <v>0</v>
      </c>
      <c r="W603" s="16" t="e">
        <f>$P603/$H$33</f>
        <v>#DIV/0!</v>
      </c>
      <c r="X603" s="16" t="e">
        <f>$N603/$M603</f>
        <v>#DIV/0!</v>
      </c>
      <c r="Y603" s="16" t="e">
        <f>$R603/$Q603</f>
        <v>#DIV/0!</v>
      </c>
      <c r="Z603" s="16" t="e">
        <f>$I603/$H603</f>
        <v>#DIV/0!</v>
      </c>
      <c r="AA603" s="16" t="e">
        <f>$K603/$H603</f>
        <v>#DIV/0!</v>
      </c>
      <c r="AB603" s="16">
        <f>($J603*Cp_yd)+($K603*Cp_td)+($L603*Cint)+($M603*Ccar)+($N603*Cr_yd)+($O603*Cr_td)+(Q603*Crec)+($R603*Crec_yd)+($S603*Crec_td)+($T603*Cfmb)+($U603*Ctp_c)</f>
        <v>0</v>
      </c>
    </row>
    <row r="604" spans="1:28" x14ac:dyDescent="0.2">
      <c r="A604" s="15" t="s">
        <v>1406</v>
      </c>
      <c r="B604" s="15" t="s">
        <v>38</v>
      </c>
      <c r="C604" s="15">
        <v>28</v>
      </c>
      <c r="D604" s="15">
        <v>6</v>
      </c>
      <c r="E604" s="15" t="s">
        <v>309</v>
      </c>
      <c r="F604" s="15" t="s">
        <v>1365</v>
      </c>
      <c r="G604" s="15">
        <v>0</v>
      </c>
      <c r="H604" s="15">
        <v>0</v>
      </c>
      <c r="I604" s="15">
        <v>0</v>
      </c>
      <c r="J604" s="15">
        <v>0</v>
      </c>
      <c r="K604" s="15">
        <v>0</v>
      </c>
      <c r="L604" s="15">
        <v>0</v>
      </c>
      <c r="M604" s="15">
        <v>0</v>
      </c>
      <c r="N604" s="15">
        <v>0</v>
      </c>
      <c r="O604" s="15">
        <v>0</v>
      </c>
      <c r="P604" s="15">
        <v>0</v>
      </c>
      <c r="Q604" s="15">
        <v>0</v>
      </c>
      <c r="R604" s="15">
        <v>0</v>
      </c>
      <c r="S604" s="15">
        <v>0</v>
      </c>
      <c r="T604" s="15">
        <v>0</v>
      </c>
      <c r="U604" s="15">
        <v>0</v>
      </c>
      <c r="V604" s="15">
        <f>($J604*0.04)+($K604*4)+($L604*-2)+($N604*0.1)+($O604*6)+($Q604)+($R604*0.1)+($S604*6)+($T604*-2)</f>
        <v>0</v>
      </c>
      <c r="W604" s="15" t="e">
        <f>$P604/$H$33</f>
        <v>#DIV/0!</v>
      </c>
      <c r="X604" s="15" t="e">
        <f>$N604/$M604</f>
        <v>#DIV/0!</v>
      </c>
      <c r="Y604" s="15" t="e">
        <f>$R604/$Q604</f>
        <v>#DIV/0!</v>
      </c>
      <c r="Z604" s="15" t="e">
        <f>$I604/$H604</f>
        <v>#DIV/0!</v>
      </c>
      <c r="AA604" s="15" t="e">
        <f>$K604/$H604</f>
        <v>#DIV/0!</v>
      </c>
      <c r="AB604" s="15">
        <f>($J604*Cp_yd)+($K604*Cp_td)+($L604*Cint)+($M604*Ccar)+($N604*Cr_yd)+($O604*Cr_td)+(Q604*Crec)+($R604*Crec_yd)+($S604*Crec_td)+($T604*Cfmb)+($U604*Ctp_c)</f>
        <v>0</v>
      </c>
    </row>
    <row r="605" spans="1:28" x14ac:dyDescent="0.2">
      <c r="A605" s="16" t="s">
        <v>1407</v>
      </c>
      <c r="B605" s="16" t="s">
        <v>38</v>
      </c>
      <c r="C605" s="16">
        <v>24</v>
      </c>
      <c r="D605" s="16">
        <v>0</v>
      </c>
      <c r="E605" s="16" t="s">
        <v>455</v>
      </c>
      <c r="F605" s="16" t="s">
        <v>1365</v>
      </c>
      <c r="G605" s="16">
        <v>0</v>
      </c>
      <c r="H605" s="16">
        <v>0</v>
      </c>
      <c r="I605" s="16">
        <v>0</v>
      </c>
      <c r="J605" s="16">
        <v>0</v>
      </c>
      <c r="K605" s="16">
        <v>0</v>
      </c>
      <c r="L605" s="16">
        <v>0</v>
      </c>
      <c r="M605" s="16">
        <v>0</v>
      </c>
      <c r="N605" s="16">
        <v>0</v>
      </c>
      <c r="O605" s="16">
        <v>0</v>
      </c>
      <c r="P605" s="16">
        <v>0</v>
      </c>
      <c r="Q605" s="16">
        <v>0</v>
      </c>
      <c r="R605" s="16">
        <v>0</v>
      </c>
      <c r="S605" s="16">
        <v>0</v>
      </c>
      <c r="T605" s="16">
        <v>0</v>
      </c>
      <c r="U605" s="16">
        <v>0</v>
      </c>
      <c r="V605" s="16">
        <f>($J605*0.04)+($K605*4)+($L605*-2)+($N605*0.1)+($O605*6)+($Q605)+($R605*0.1)+($S605*6)+($T605*-2)</f>
        <v>0</v>
      </c>
      <c r="W605" s="16" t="e">
        <f>$P605/$H$33</f>
        <v>#DIV/0!</v>
      </c>
      <c r="X605" s="16" t="e">
        <f>$N605/$M605</f>
        <v>#DIV/0!</v>
      </c>
      <c r="Y605" s="16" t="e">
        <f>$R605/$Q605</f>
        <v>#DIV/0!</v>
      </c>
      <c r="Z605" s="16" t="e">
        <f>$I605/$H605</f>
        <v>#DIV/0!</v>
      </c>
      <c r="AA605" s="16" t="e">
        <f>$K605/$H605</f>
        <v>#DIV/0!</v>
      </c>
      <c r="AB605" s="16">
        <f>($J605*Cp_yd)+($K605*Cp_td)+($L605*Cint)+($M605*Ccar)+($N605*Cr_yd)+($O605*Cr_td)+(Q605*Crec)+($R605*Crec_yd)+($S605*Crec_td)+($T605*Cfmb)+($U605*Ctp_c)</f>
        <v>0</v>
      </c>
    </row>
    <row r="606" spans="1:28" x14ac:dyDescent="0.2">
      <c r="A606" s="15" t="s">
        <v>1408</v>
      </c>
      <c r="B606" s="15" t="s">
        <v>38</v>
      </c>
      <c r="C606" s="15">
        <v>24</v>
      </c>
      <c r="D606" s="15">
        <v>0</v>
      </c>
      <c r="E606" s="15" t="s">
        <v>98</v>
      </c>
      <c r="F606" s="15" t="s">
        <v>1365</v>
      </c>
      <c r="G606" s="15">
        <v>0</v>
      </c>
      <c r="H606" s="15">
        <v>0</v>
      </c>
      <c r="I606" s="15">
        <v>0</v>
      </c>
      <c r="J606" s="15">
        <v>0</v>
      </c>
      <c r="K606" s="15">
        <v>0</v>
      </c>
      <c r="L606" s="15">
        <v>0</v>
      </c>
      <c r="M606" s="15">
        <v>0</v>
      </c>
      <c r="N606" s="15">
        <v>0</v>
      </c>
      <c r="O606" s="15">
        <v>0</v>
      </c>
      <c r="P606" s="15">
        <v>0</v>
      </c>
      <c r="Q606" s="15">
        <v>0</v>
      </c>
      <c r="R606" s="15">
        <v>0</v>
      </c>
      <c r="S606" s="15">
        <v>0</v>
      </c>
      <c r="T606" s="15">
        <v>0</v>
      </c>
      <c r="U606" s="15">
        <v>0</v>
      </c>
      <c r="V606" s="15">
        <f>($J606*0.04)+($K606*4)+($L606*-2)+($N606*0.1)+($O606*6)+($Q606)+($R606*0.1)+($S606*6)+($T606*-2)</f>
        <v>0</v>
      </c>
      <c r="W606" s="15" t="e">
        <f>$P606/$H$33</f>
        <v>#DIV/0!</v>
      </c>
      <c r="X606" s="15" t="e">
        <f>$N606/$M606</f>
        <v>#DIV/0!</v>
      </c>
      <c r="Y606" s="15" t="e">
        <f>$R606/$Q606</f>
        <v>#DIV/0!</v>
      </c>
      <c r="Z606" s="15" t="e">
        <f>$I606/$H606</f>
        <v>#DIV/0!</v>
      </c>
      <c r="AA606" s="15" t="e">
        <f>$K606/$H606</f>
        <v>#DIV/0!</v>
      </c>
      <c r="AB606" s="15">
        <f>($J606*Cp_yd)+($K606*Cp_td)+($L606*Cint)+($M606*Ccar)+($N606*Cr_yd)+($O606*Cr_td)+(Q606*Crec)+($R606*Crec_yd)+($S606*Crec_td)+($T606*Cfmb)+($U606*Ctp_c)</f>
        <v>0</v>
      </c>
    </row>
    <row r="607" spans="1:28" x14ac:dyDescent="0.2">
      <c r="A607" s="16" t="s">
        <v>1409</v>
      </c>
      <c r="B607" s="16" t="s">
        <v>38</v>
      </c>
      <c r="C607" s="16">
        <v>23</v>
      </c>
      <c r="D607" s="16">
        <v>2</v>
      </c>
      <c r="E607" s="16" t="s">
        <v>213</v>
      </c>
      <c r="F607" s="16" t="s">
        <v>1365</v>
      </c>
      <c r="G607" s="16">
        <v>0</v>
      </c>
      <c r="H607" s="16">
        <v>0</v>
      </c>
      <c r="I607" s="16">
        <v>0</v>
      </c>
      <c r="J607" s="16">
        <v>0</v>
      </c>
      <c r="K607" s="16">
        <v>0</v>
      </c>
      <c r="L607" s="16">
        <v>0</v>
      </c>
      <c r="M607" s="16">
        <v>0</v>
      </c>
      <c r="N607" s="16">
        <v>0</v>
      </c>
      <c r="O607" s="16">
        <v>0</v>
      </c>
      <c r="P607" s="16">
        <v>0</v>
      </c>
      <c r="Q607" s="16">
        <v>0</v>
      </c>
      <c r="R607" s="16">
        <v>0</v>
      </c>
      <c r="S607" s="16">
        <v>0</v>
      </c>
      <c r="T607" s="16">
        <v>0</v>
      </c>
      <c r="U607" s="16">
        <v>0</v>
      </c>
      <c r="V607" s="16">
        <f>($J607*0.04)+($K607*4)+($L607*-2)+($N607*0.1)+($O607*6)+($Q607)+($R607*0.1)+($S607*6)+($T607*-2)</f>
        <v>0</v>
      </c>
      <c r="W607" s="16" t="e">
        <f>$P607/$H$33</f>
        <v>#DIV/0!</v>
      </c>
      <c r="X607" s="16" t="e">
        <f>$N607/$M607</f>
        <v>#DIV/0!</v>
      </c>
      <c r="Y607" s="16" t="e">
        <f>$R607/$Q607</f>
        <v>#DIV/0!</v>
      </c>
      <c r="Z607" s="16" t="e">
        <f>$I607/$H607</f>
        <v>#DIV/0!</v>
      </c>
      <c r="AA607" s="16" t="e">
        <f>$K607/$H607</f>
        <v>#DIV/0!</v>
      </c>
      <c r="AB607" s="16">
        <f>($J607*Cp_yd)+($K607*Cp_td)+($L607*Cint)+($M607*Ccar)+($N607*Cr_yd)+($O607*Cr_td)+(Q607*Crec)+($R607*Crec_yd)+($S607*Crec_td)+($T607*Cfmb)+($U607*Ctp_c)</f>
        <v>0</v>
      </c>
    </row>
    <row r="608" spans="1:28" x14ac:dyDescent="0.2">
      <c r="A608" s="15" t="s">
        <v>1410</v>
      </c>
      <c r="B608" s="15" t="s">
        <v>38</v>
      </c>
      <c r="C608" s="15">
        <v>30</v>
      </c>
      <c r="D608" s="15">
        <v>9</v>
      </c>
      <c r="E608" s="15" t="s">
        <v>464</v>
      </c>
      <c r="F608" s="15" t="s">
        <v>1365</v>
      </c>
      <c r="G608" s="15">
        <v>0</v>
      </c>
      <c r="H608" s="15">
        <v>0</v>
      </c>
      <c r="I608" s="15">
        <v>0</v>
      </c>
      <c r="J608" s="15">
        <v>0</v>
      </c>
      <c r="K608" s="15">
        <v>0</v>
      </c>
      <c r="L608" s="15">
        <v>0</v>
      </c>
      <c r="M608" s="15">
        <v>0</v>
      </c>
      <c r="N608" s="15">
        <v>0</v>
      </c>
      <c r="O608" s="15">
        <v>0</v>
      </c>
      <c r="P608" s="15">
        <v>0</v>
      </c>
      <c r="Q608" s="15">
        <v>0</v>
      </c>
      <c r="R608" s="15">
        <v>0</v>
      </c>
      <c r="S608" s="15">
        <v>0</v>
      </c>
      <c r="T608" s="15">
        <v>0</v>
      </c>
      <c r="U608" s="15">
        <v>0</v>
      </c>
      <c r="V608" s="15">
        <f>($J608*0.04)+($K608*4)+($L608*-2)+($N608*0.1)+($O608*6)+($Q608)+($R608*0.1)+($S608*6)+($T608*-2)</f>
        <v>0</v>
      </c>
      <c r="W608" s="15" t="e">
        <f>$P608/$H$33</f>
        <v>#DIV/0!</v>
      </c>
      <c r="X608" s="15" t="e">
        <f>$N608/$M608</f>
        <v>#DIV/0!</v>
      </c>
      <c r="Y608" s="15" t="e">
        <f>$R608/$Q608</f>
        <v>#DIV/0!</v>
      </c>
      <c r="Z608" s="15" t="e">
        <f>$I608/$H608</f>
        <v>#DIV/0!</v>
      </c>
      <c r="AA608" s="15" t="e">
        <f>$K608/$H608</f>
        <v>#DIV/0!</v>
      </c>
      <c r="AB608" s="15">
        <f>($J608*Cp_yd)+($K608*Cp_td)+($L608*Cint)+($M608*Ccar)+($N608*Cr_yd)+($O608*Cr_td)+(Q608*Crec)+($R608*Crec_yd)+($S608*Crec_td)+($T608*Cfmb)+($U608*Ctp_c)</f>
        <v>0</v>
      </c>
    </row>
    <row r="609" spans="1:28" x14ac:dyDescent="0.2">
      <c r="A609" s="16" t="s">
        <v>1426</v>
      </c>
      <c r="B609" s="16" t="s">
        <v>26</v>
      </c>
      <c r="C609" s="16">
        <v>25</v>
      </c>
      <c r="D609" s="16">
        <v>3</v>
      </c>
      <c r="E609" s="16" t="s">
        <v>362</v>
      </c>
      <c r="F609" s="16" t="s">
        <v>1413</v>
      </c>
      <c r="G609" s="16">
        <v>0</v>
      </c>
      <c r="H609" s="16">
        <v>0</v>
      </c>
      <c r="I609" s="16">
        <v>0</v>
      </c>
      <c r="J609" s="16">
        <v>0</v>
      </c>
      <c r="K609" s="16">
        <v>0</v>
      </c>
      <c r="L609" s="16">
        <v>0</v>
      </c>
      <c r="M609" s="16">
        <v>0</v>
      </c>
      <c r="N609" s="16">
        <v>0</v>
      </c>
      <c r="O609" s="16">
        <v>0</v>
      </c>
      <c r="P609" s="16">
        <v>0</v>
      </c>
      <c r="Q609" s="16">
        <v>0</v>
      </c>
      <c r="R609" s="16">
        <v>0</v>
      </c>
      <c r="S609" s="16">
        <v>0</v>
      </c>
      <c r="T609" s="16">
        <v>0</v>
      </c>
      <c r="U609" s="16">
        <v>0</v>
      </c>
      <c r="V609" s="16">
        <f>($J609*0.04)+($K609*4)+($L609*-2)+($N609*0.1)+($O609*6)+($Q609)+($R609*0.1)+($S609*6)+($T609*-2)</f>
        <v>0</v>
      </c>
      <c r="W609" s="16" t="e">
        <f>$P609/$H$33</f>
        <v>#DIV/0!</v>
      </c>
      <c r="X609" s="16" t="e">
        <f>$N609/$M609</f>
        <v>#DIV/0!</v>
      </c>
      <c r="Y609" s="16" t="e">
        <f>$R609/$Q609</f>
        <v>#DIV/0!</v>
      </c>
      <c r="Z609" s="16" t="e">
        <f>$I609/$H609</f>
        <v>#DIV/0!</v>
      </c>
      <c r="AA609" s="16" t="e">
        <f>$K609/$H609</f>
        <v>#DIV/0!</v>
      </c>
      <c r="AB609" s="16">
        <f>($J609*Cp_yd)+($K609*Cp_td)+($L609*Cint)+($M609*Ccar)+($N609*Cr_yd)+($O609*Cr_td)+(Q609*Crec)+($R609*Crec_yd)+($S609*Crec_td)+($T609*Cfmb)+($U609*Ctp_c)</f>
        <v>0</v>
      </c>
    </row>
    <row r="610" spans="1:28" x14ac:dyDescent="0.2">
      <c r="A610" s="15" t="s">
        <v>1427</v>
      </c>
      <c r="B610" s="15" t="s">
        <v>26</v>
      </c>
      <c r="C610" s="15">
        <v>25</v>
      </c>
      <c r="D610" s="15">
        <v>4</v>
      </c>
      <c r="E610" s="15" t="s">
        <v>68</v>
      </c>
      <c r="F610" s="15" t="s">
        <v>1413</v>
      </c>
      <c r="G610" s="15">
        <v>0</v>
      </c>
      <c r="H610" s="15">
        <v>0</v>
      </c>
      <c r="I610" s="15">
        <v>0</v>
      </c>
      <c r="J610" s="15">
        <v>0</v>
      </c>
      <c r="K610" s="15">
        <v>0</v>
      </c>
      <c r="L610" s="15">
        <v>0</v>
      </c>
      <c r="M610" s="15">
        <v>0</v>
      </c>
      <c r="N610" s="15">
        <v>0</v>
      </c>
      <c r="O610" s="15">
        <v>0</v>
      </c>
      <c r="P610" s="15">
        <v>0</v>
      </c>
      <c r="Q610" s="15">
        <v>0</v>
      </c>
      <c r="R610" s="15">
        <v>0</v>
      </c>
      <c r="S610" s="15">
        <v>0</v>
      </c>
      <c r="T610" s="15">
        <v>0</v>
      </c>
      <c r="U610" s="15">
        <v>0</v>
      </c>
      <c r="V610" s="15">
        <f>($J610*0.04)+($K610*4)+($L610*-2)+($N610*0.1)+($O610*6)+($Q610)+($R610*0.1)+($S610*6)+($T610*-2)</f>
        <v>0</v>
      </c>
      <c r="W610" s="15" t="e">
        <f>$P610/$H$33</f>
        <v>#DIV/0!</v>
      </c>
      <c r="X610" s="15" t="e">
        <f>$N610/$M610</f>
        <v>#DIV/0!</v>
      </c>
      <c r="Y610" s="15" t="e">
        <f>$R610/$Q610</f>
        <v>#DIV/0!</v>
      </c>
      <c r="Z610" s="15" t="e">
        <f>$I610/$H610</f>
        <v>#DIV/0!</v>
      </c>
      <c r="AA610" s="15" t="e">
        <f>$K610/$H610</f>
        <v>#DIV/0!</v>
      </c>
      <c r="AB610" s="15">
        <f>($J610*Cp_yd)+($K610*Cp_td)+($L610*Cint)+($M610*Ccar)+($N610*Cr_yd)+($O610*Cr_td)+(Q610*Crec)+($R610*Crec_yd)+($S610*Crec_td)+($T610*Cfmb)+($U610*Ctp_c)</f>
        <v>0</v>
      </c>
    </row>
    <row r="611" spans="1:28" x14ac:dyDescent="0.2">
      <c r="A611" s="16" t="s">
        <v>1428</v>
      </c>
      <c r="B611" s="16" t="s">
        <v>26</v>
      </c>
      <c r="C611" s="16">
        <v>29</v>
      </c>
      <c r="D611" s="16">
        <v>9</v>
      </c>
      <c r="E611" s="16" t="s">
        <v>205</v>
      </c>
      <c r="F611" s="16" t="s">
        <v>1413</v>
      </c>
      <c r="G611" s="16">
        <v>0</v>
      </c>
      <c r="H611" s="16">
        <v>0</v>
      </c>
      <c r="I611" s="16">
        <v>0</v>
      </c>
      <c r="J611" s="16">
        <v>0</v>
      </c>
      <c r="K611" s="16">
        <v>0</v>
      </c>
      <c r="L611" s="16">
        <v>0</v>
      </c>
      <c r="M611" s="16">
        <v>0</v>
      </c>
      <c r="N611" s="16">
        <v>0</v>
      </c>
      <c r="O611" s="16">
        <v>0</v>
      </c>
      <c r="P611" s="16">
        <v>0</v>
      </c>
      <c r="Q611" s="16">
        <v>0</v>
      </c>
      <c r="R611" s="16">
        <v>0</v>
      </c>
      <c r="S611" s="16">
        <v>0</v>
      </c>
      <c r="T611" s="16">
        <v>0</v>
      </c>
      <c r="U611" s="16">
        <v>0</v>
      </c>
      <c r="V611" s="16">
        <f>($J611*0.04)+($K611*4)+($L611*-2)+($N611*0.1)+($O611*6)+($Q611)+($R611*0.1)+($S611*6)+($T611*-2)</f>
        <v>0</v>
      </c>
      <c r="W611" s="16" t="e">
        <f>$P611/$H$33</f>
        <v>#DIV/0!</v>
      </c>
      <c r="X611" s="16" t="e">
        <f>$N611/$M611</f>
        <v>#DIV/0!</v>
      </c>
      <c r="Y611" s="16" t="e">
        <f>$R611/$Q611</f>
        <v>#DIV/0!</v>
      </c>
      <c r="Z611" s="16" t="e">
        <f>$I611/$H611</f>
        <v>#DIV/0!</v>
      </c>
      <c r="AA611" s="16" t="e">
        <f>$K611/$H611</f>
        <v>#DIV/0!</v>
      </c>
      <c r="AB611" s="16">
        <f>($J611*Cp_yd)+($K611*Cp_td)+($L611*Cint)+($M611*Ccar)+($N611*Cr_yd)+($O611*Cr_td)+(Q611*Crec)+($R611*Crec_yd)+($S611*Crec_td)+($T611*Cfmb)+($U611*Ctp_c)</f>
        <v>0</v>
      </c>
    </row>
    <row r="612" spans="1:28" x14ac:dyDescent="0.2">
      <c r="A612" s="15" t="s">
        <v>1430</v>
      </c>
      <c r="B612" s="15" t="s">
        <v>31</v>
      </c>
      <c r="C612" s="15">
        <v>24</v>
      </c>
      <c r="D612" s="15">
        <v>1</v>
      </c>
      <c r="E612" s="15" t="s">
        <v>68</v>
      </c>
      <c r="F612" s="15" t="s">
        <v>1413</v>
      </c>
      <c r="G612" s="15">
        <v>0</v>
      </c>
      <c r="H612" s="15">
        <v>0</v>
      </c>
      <c r="I612" s="15">
        <v>0</v>
      </c>
      <c r="J612" s="15">
        <v>0</v>
      </c>
      <c r="K612" s="15">
        <v>0</v>
      </c>
      <c r="L612" s="15">
        <v>0</v>
      </c>
      <c r="M612" s="15">
        <v>0</v>
      </c>
      <c r="N612" s="15">
        <v>0</v>
      </c>
      <c r="O612" s="15">
        <v>0</v>
      </c>
      <c r="P612" s="15">
        <v>0</v>
      </c>
      <c r="Q612" s="15">
        <v>0</v>
      </c>
      <c r="R612" s="15">
        <v>0</v>
      </c>
      <c r="S612" s="15">
        <v>0</v>
      </c>
      <c r="T612" s="15">
        <v>0</v>
      </c>
      <c r="U612" s="15">
        <v>0</v>
      </c>
      <c r="V612" s="15">
        <f>($J612*0.04)+($K612*4)+($L612*-2)+($N612*0.1)+($O612*6)+($Q612)+($R612*0.1)+($S612*6)+($T612*-2)</f>
        <v>0</v>
      </c>
      <c r="W612" s="15" t="e">
        <f>$P612/$H$33</f>
        <v>#DIV/0!</v>
      </c>
      <c r="X612" s="15" t="e">
        <f>$N612/$M612</f>
        <v>#DIV/0!</v>
      </c>
      <c r="Y612" s="15" t="e">
        <f>$R612/$Q612</f>
        <v>#DIV/0!</v>
      </c>
      <c r="Z612" s="15" t="e">
        <f>$I612/$H612</f>
        <v>#DIV/0!</v>
      </c>
      <c r="AA612" s="15" t="e">
        <f>$K612/$H612</f>
        <v>#DIV/0!</v>
      </c>
      <c r="AB612" s="15">
        <f>($J612*Cp_yd)+($K612*Cp_td)+($L612*Cint)+($M612*Ccar)+($N612*Cr_yd)+($O612*Cr_td)+(Q612*Crec)+($R612*Crec_yd)+($S612*Crec_td)+($T612*Cfmb)+($U612*Ctp_c)</f>
        <v>0</v>
      </c>
    </row>
    <row r="613" spans="1:28" x14ac:dyDescent="0.2">
      <c r="A613" s="16" t="s">
        <v>1431</v>
      </c>
      <c r="B613" s="16" t="s">
        <v>31</v>
      </c>
      <c r="C613" s="16">
        <v>24</v>
      </c>
      <c r="D613" s="16">
        <v>3</v>
      </c>
      <c r="E613" s="16" t="s">
        <v>557</v>
      </c>
      <c r="F613" s="16" t="s">
        <v>1413</v>
      </c>
      <c r="G613" s="16">
        <v>0</v>
      </c>
      <c r="H613" s="16">
        <v>0</v>
      </c>
      <c r="I613" s="16">
        <v>0</v>
      </c>
      <c r="J613" s="16">
        <v>0</v>
      </c>
      <c r="K613" s="16">
        <v>0</v>
      </c>
      <c r="L613" s="16">
        <v>0</v>
      </c>
      <c r="M613" s="16">
        <v>0</v>
      </c>
      <c r="N613" s="16">
        <v>0</v>
      </c>
      <c r="O613" s="16">
        <v>0</v>
      </c>
      <c r="P613" s="16">
        <v>0</v>
      </c>
      <c r="Q613" s="16">
        <v>0</v>
      </c>
      <c r="R613" s="16">
        <v>0</v>
      </c>
      <c r="S613" s="16">
        <v>0</v>
      </c>
      <c r="T613" s="16">
        <v>0</v>
      </c>
      <c r="U613" s="16">
        <v>0</v>
      </c>
      <c r="V613" s="16">
        <f>($J613*0.04)+($K613*4)+($L613*-2)+($N613*0.1)+($O613*6)+($Q613)+($R613*0.1)+($S613*6)+($T613*-2)</f>
        <v>0</v>
      </c>
      <c r="W613" s="16" t="e">
        <f>$P613/$H$33</f>
        <v>#DIV/0!</v>
      </c>
      <c r="X613" s="16" t="e">
        <f>$N613/$M613</f>
        <v>#DIV/0!</v>
      </c>
      <c r="Y613" s="16" t="e">
        <f>$R613/$Q613</f>
        <v>#DIV/0!</v>
      </c>
      <c r="Z613" s="16" t="e">
        <f>$I613/$H613</f>
        <v>#DIV/0!</v>
      </c>
      <c r="AA613" s="16" t="e">
        <f>$K613/$H613</f>
        <v>#DIV/0!</v>
      </c>
      <c r="AB613" s="16">
        <f>($J613*Cp_yd)+($K613*Cp_td)+($L613*Cint)+($M613*Ccar)+($N613*Cr_yd)+($O613*Cr_td)+(Q613*Crec)+($R613*Crec_yd)+($S613*Crec_td)+($T613*Cfmb)+($U613*Ctp_c)</f>
        <v>0</v>
      </c>
    </row>
    <row r="614" spans="1:28" x14ac:dyDescent="0.2">
      <c r="A614" s="15" t="s">
        <v>1432</v>
      </c>
      <c r="B614" s="15" t="s">
        <v>31</v>
      </c>
      <c r="C614" s="15">
        <v>27</v>
      </c>
      <c r="D614" s="15">
        <v>6</v>
      </c>
      <c r="E614" s="15" t="s">
        <v>795</v>
      </c>
      <c r="F614" s="15" t="s">
        <v>1413</v>
      </c>
      <c r="G614" s="15">
        <v>0</v>
      </c>
      <c r="H614" s="15">
        <v>0</v>
      </c>
      <c r="I614" s="15">
        <v>0</v>
      </c>
      <c r="J614" s="15">
        <v>0</v>
      </c>
      <c r="K614" s="15">
        <v>0</v>
      </c>
      <c r="L614" s="15">
        <v>0</v>
      </c>
      <c r="M614" s="15">
        <v>0</v>
      </c>
      <c r="N614" s="15">
        <v>0</v>
      </c>
      <c r="O614" s="15">
        <v>0</v>
      </c>
      <c r="P614" s="15">
        <v>0</v>
      </c>
      <c r="Q614" s="15">
        <v>0</v>
      </c>
      <c r="R614" s="15">
        <v>0</v>
      </c>
      <c r="S614" s="15">
        <v>0</v>
      </c>
      <c r="T614" s="15">
        <v>0</v>
      </c>
      <c r="U614" s="15">
        <v>0</v>
      </c>
      <c r="V614" s="15">
        <f>($J614*0.04)+($K614*4)+($L614*-2)+($N614*0.1)+($O614*6)+($Q614)+($R614*0.1)+($S614*6)+($T614*-2)</f>
        <v>0</v>
      </c>
      <c r="W614" s="15" t="e">
        <f>$P614/$H$33</f>
        <v>#DIV/0!</v>
      </c>
      <c r="X614" s="15" t="e">
        <f>$N614/$M614</f>
        <v>#DIV/0!</v>
      </c>
      <c r="Y614" s="15" t="e">
        <f>$R614/$Q614</f>
        <v>#DIV/0!</v>
      </c>
      <c r="Z614" s="15" t="e">
        <f>$I614/$H614</f>
        <v>#DIV/0!</v>
      </c>
      <c r="AA614" s="15" t="e">
        <f>$K614/$H614</f>
        <v>#DIV/0!</v>
      </c>
      <c r="AB614" s="15">
        <f>($J614*Cp_yd)+($K614*Cp_td)+($L614*Cint)+($M614*Ccar)+($N614*Cr_yd)+($O614*Cr_td)+(Q614*Crec)+($R614*Crec_yd)+($S614*Crec_td)+($T614*Cfmb)+($U614*Ctp_c)</f>
        <v>0</v>
      </c>
    </row>
    <row r="615" spans="1:28" x14ac:dyDescent="0.2">
      <c r="A615" s="16" t="s">
        <v>1433</v>
      </c>
      <c r="B615" s="16" t="s">
        <v>31</v>
      </c>
      <c r="C615" s="16">
        <v>28</v>
      </c>
      <c r="D615" s="16">
        <v>5</v>
      </c>
      <c r="E615" s="16" t="s">
        <v>64</v>
      </c>
      <c r="F615" s="16" t="s">
        <v>1413</v>
      </c>
      <c r="G615" s="16">
        <v>0</v>
      </c>
      <c r="H615" s="16">
        <v>0</v>
      </c>
      <c r="I615" s="16">
        <v>0</v>
      </c>
      <c r="J615" s="16">
        <v>0</v>
      </c>
      <c r="K615" s="16">
        <v>0</v>
      </c>
      <c r="L615" s="16">
        <v>0</v>
      </c>
      <c r="M615" s="16">
        <v>0</v>
      </c>
      <c r="N615" s="16">
        <v>0</v>
      </c>
      <c r="O615" s="16">
        <v>0</v>
      </c>
      <c r="P615" s="16">
        <v>0</v>
      </c>
      <c r="Q615" s="16">
        <v>0</v>
      </c>
      <c r="R615" s="16">
        <v>0</v>
      </c>
      <c r="S615" s="16">
        <v>0</v>
      </c>
      <c r="T615" s="16">
        <v>0</v>
      </c>
      <c r="U615" s="16">
        <v>0</v>
      </c>
      <c r="V615" s="16">
        <f>($J615*0.04)+($K615*4)+($L615*-2)+($N615*0.1)+($O615*6)+($Q615)+($R615*0.1)+($S615*6)+($T615*-2)</f>
        <v>0</v>
      </c>
      <c r="W615" s="16" t="e">
        <f>$P615/$H$33</f>
        <v>#DIV/0!</v>
      </c>
      <c r="X615" s="16" t="e">
        <f>$N615/$M615</f>
        <v>#DIV/0!</v>
      </c>
      <c r="Y615" s="16" t="e">
        <f>$R615/$Q615</f>
        <v>#DIV/0!</v>
      </c>
      <c r="Z615" s="16" t="e">
        <f>$I615/$H615</f>
        <v>#DIV/0!</v>
      </c>
      <c r="AA615" s="16" t="e">
        <f>$K615/$H615</f>
        <v>#DIV/0!</v>
      </c>
      <c r="AB615" s="16">
        <f>($J615*Cp_yd)+($K615*Cp_td)+($L615*Cint)+($M615*Ccar)+($N615*Cr_yd)+($O615*Cr_td)+(Q615*Crec)+($R615*Crec_yd)+($S615*Crec_td)+($T615*Cfmb)+($U615*Ctp_c)</f>
        <v>0</v>
      </c>
    </row>
    <row r="616" spans="1:28" x14ac:dyDescent="0.2">
      <c r="A616" s="15" t="s">
        <v>1434</v>
      </c>
      <c r="B616" s="15" t="s">
        <v>31</v>
      </c>
      <c r="C616" s="15">
        <v>24</v>
      </c>
      <c r="D616" s="15">
        <v>3</v>
      </c>
      <c r="E616" s="15" t="s">
        <v>213</v>
      </c>
      <c r="F616" s="15" t="s">
        <v>1413</v>
      </c>
      <c r="G616" s="15">
        <v>0</v>
      </c>
      <c r="H616" s="15">
        <v>0</v>
      </c>
      <c r="I616" s="15">
        <v>0</v>
      </c>
      <c r="J616" s="15">
        <v>0</v>
      </c>
      <c r="K616" s="15">
        <v>0</v>
      </c>
      <c r="L616" s="15">
        <v>0</v>
      </c>
      <c r="M616" s="15">
        <v>0</v>
      </c>
      <c r="N616" s="15">
        <v>0</v>
      </c>
      <c r="O616" s="15">
        <v>0</v>
      </c>
      <c r="P616" s="15">
        <v>0</v>
      </c>
      <c r="Q616" s="15">
        <v>0</v>
      </c>
      <c r="R616" s="15">
        <v>0</v>
      </c>
      <c r="S616" s="15">
        <v>0</v>
      </c>
      <c r="T616" s="15">
        <v>0</v>
      </c>
      <c r="U616" s="15">
        <v>0</v>
      </c>
      <c r="V616" s="15">
        <f>($J616*0.04)+($K616*4)+($L616*-2)+($N616*0.1)+($O616*6)+($Q616)+($R616*0.1)+($S616*6)+($T616*-2)</f>
        <v>0</v>
      </c>
      <c r="W616" s="15" t="e">
        <f>$P616/$H$33</f>
        <v>#DIV/0!</v>
      </c>
      <c r="X616" s="15" t="e">
        <f>$N616/$M616</f>
        <v>#DIV/0!</v>
      </c>
      <c r="Y616" s="15" t="e">
        <f>$R616/$Q616</f>
        <v>#DIV/0!</v>
      </c>
      <c r="Z616" s="15" t="e">
        <f>$I616/$H616</f>
        <v>#DIV/0!</v>
      </c>
      <c r="AA616" s="15" t="e">
        <f>$K616/$H616</f>
        <v>#DIV/0!</v>
      </c>
      <c r="AB616" s="15">
        <f>($J616*Cp_yd)+($K616*Cp_td)+($L616*Cint)+($M616*Ccar)+($N616*Cr_yd)+($O616*Cr_td)+(Q616*Crec)+($R616*Crec_yd)+($S616*Crec_td)+($T616*Cfmb)+($U616*Ctp_c)</f>
        <v>0</v>
      </c>
    </row>
    <row r="617" spans="1:28" x14ac:dyDescent="0.2">
      <c r="A617" s="16" t="s">
        <v>1436</v>
      </c>
      <c r="B617" s="16" t="s">
        <v>43</v>
      </c>
      <c r="C617" s="16">
        <v>28</v>
      </c>
      <c r="D617" s="16">
        <v>1</v>
      </c>
      <c r="E617" s="16" t="s">
        <v>205</v>
      </c>
      <c r="F617" s="16" t="s">
        <v>1413</v>
      </c>
      <c r="G617" s="16">
        <v>0</v>
      </c>
      <c r="H617" s="16">
        <v>0</v>
      </c>
      <c r="I617" s="16">
        <v>0</v>
      </c>
      <c r="J617" s="16">
        <v>0</v>
      </c>
      <c r="K617" s="16">
        <v>0</v>
      </c>
      <c r="L617" s="16">
        <v>0</v>
      </c>
      <c r="M617" s="16">
        <v>0</v>
      </c>
      <c r="N617" s="16">
        <v>0</v>
      </c>
      <c r="O617" s="16">
        <v>0</v>
      </c>
      <c r="P617" s="16">
        <v>0</v>
      </c>
      <c r="Q617" s="16">
        <v>0</v>
      </c>
      <c r="R617" s="16">
        <v>0</v>
      </c>
      <c r="S617" s="16">
        <v>0</v>
      </c>
      <c r="T617" s="16">
        <v>0</v>
      </c>
      <c r="U617" s="16">
        <v>0</v>
      </c>
      <c r="V617" s="16">
        <f>($J617*0.04)+($K617*4)+($L617*-2)+($N617*0.1)+($O617*6)+($Q617)+($R617*0.1)+($S617*6)+($T617*-2)</f>
        <v>0</v>
      </c>
      <c r="W617" s="16" t="e">
        <f>$P617/$H$33</f>
        <v>#DIV/0!</v>
      </c>
      <c r="X617" s="16" t="e">
        <f>$N617/$M617</f>
        <v>#DIV/0!</v>
      </c>
      <c r="Y617" s="16" t="e">
        <f>$R617/$Q617</f>
        <v>#DIV/0!</v>
      </c>
      <c r="Z617" s="16" t="e">
        <f>$I617/$H617</f>
        <v>#DIV/0!</v>
      </c>
      <c r="AA617" s="16" t="e">
        <f>$K617/$H617</f>
        <v>#DIV/0!</v>
      </c>
      <c r="AB617" s="16">
        <f>($J617*Cp_yd)+($K617*Cp_td)+($L617*Cint)+($M617*Ccar)+($N617*Cr_yd)+($O617*Cr_td)+(Q617*Crec)+($R617*Crec_yd)+($S617*Crec_td)+($T617*Cfmb)+($U617*Ctp_c)</f>
        <v>0</v>
      </c>
    </row>
    <row r="618" spans="1:28" x14ac:dyDescent="0.2">
      <c r="A618" s="15" t="s">
        <v>1437</v>
      </c>
      <c r="B618" s="15" t="s">
        <v>43</v>
      </c>
      <c r="C618" s="15">
        <v>26</v>
      </c>
      <c r="D618" s="15">
        <v>5</v>
      </c>
      <c r="E618" s="15" t="s">
        <v>240</v>
      </c>
      <c r="F618" s="15" t="s">
        <v>1413</v>
      </c>
      <c r="G618" s="15">
        <v>0</v>
      </c>
      <c r="H618" s="15">
        <v>0</v>
      </c>
      <c r="I618" s="15">
        <v>0</v>
      </c>
      <c r="J618" s="15">
        <v>0</v>
      </c>
      <c r="K618" s="15">
        <v>0</v>
      </c>
      <c r="L618" s="15">
        <v>0</v>
      </c>
      <c r="M618" s="15">
        <v>0</v>
      </c>
      <c r="N618" s="15">
        <v>0</v>
      </c>
      <c r="O618" s="15">
        <v>0</v>
      </c>
      <c r="P618" s="15">
        <v>0</v>
      </c>
      <c r="Q618" s="15">
        <v>0</v>
      </c>
      <c r="R618" s="15">
        <v>0</v>
      </c>
      <c r="S618" s="15">
        <v>0</v>
      </c>
      <c r="T618" s="15">
        <v>0</v>
      </c>
      <c r="U618" s="15">
        <v>0</v>
      </c>
      <c r="V618" s="15">
        <f>($J618*0.04)+($K618*4)+($L618*-2)+($N618*0.1)+($O618*6)+($Q618)+($R618*0.1)+($S618*6)+($T618*-2)</f>
        <v>0</v>
      </c>
      <c r="W618" s="15" t="e">
        <f>$P618/$H$33</f>
        <v>#DIV/0!</v>
      </c>
      <c r="X618" s="15" t="e">
        <f>$N618/$M618</f>
        <v>#DIV/0!</v>
      </c>
      <c r="Y618" s="15" t="e">
        <f>$R618/$Q618</f>
        <v>#DIV/0!</v>
      </c>
      <c r="Z618" s="15" t="e">
        <f>$I618/$H618</f>
        <v>#DIV/0!</v>
      </c>
      <c r="AA618" s="15" t="e">
        <f>$K618/$H618</f>
        <v>#DIV/0!</v>
      </c>
      <c r="AB618" s="15">
        <f>($J618*Cp_yd)+($K618*Cp_td)+($L618*Cint)+($M618*Ccar)+($N618*Cr_yd)+($O618*Cr_td)+(Q618*Crec)+($R618*Crec_yd)+($S618*Crec_td)+($T618*Cfmb)+($U618*Ctp_c)</f>
        <v>0</v>
      </c>
    </row>
    <row r="619" spans="1:28" x14ac:dyDescent="0.2">
      <c r="A619" s="16" t="s">
        <v>1438</v>
      </c>
      <c r="B619" s="16" t="s">
        <v>43</v>
      </c>
      <c r="C619" s="16">
        <v>27</v>
      </c>
      <c r="D619" s="16">
        <v>3</v>
      </c>
      <c r="E619" s="16" t="s">
        <v>458</v>
      </c>
      <c r="F619" s="16" t="s">
        <v>1413</v>
      </c>
      <c r="G619" s="16">
        <v>0</v>
      </c>
      <c r="H619" s="16">
        <v>0</v>
      </c>
      <c r="I619" s="16">
        <v>0</v>
      </c>
      <c r="J619" s="16">
        <v>0</v>
      </c>
      <c r="K619" s="16">
        <v>0</v>
      </c>
      <c r="L619" s="16">
        <v>0</v>
      </c>
      <c r="M619" s="16">
        <v>0</v>
      </c>
      <c r="N619" s="16">
        <v>0</v>
      </c>
      <c r="O619" s="16">
        <v>0</v>
      </c>
      <c r="P619" s="16">
        <v>0</v>
      </c>
      <c r="Q619" s="16">
        <v>0</v>
      </c>
      <c r="R619" s="16">
        <v>0</v>
      </c>
      <c r="S619" s="16">
        <v>0</v>
      </c>
      <c r="T619" s="16">
        <v>0</v>
      </c>
      <c r="U619" s="16">
        <v>0</v>
      </c>
      <c r="V619" s="16">
        <f>($J619*0.04)+($K619*4)+($L619*-2)+($N619*0.1)+($O619*6)+($Q619)+($R619*0.1)+($S619*6)+($T619*-2)</f>
        <v>0</v>
      </c>
      <c r="W619" s="16" t="e">
        <f>$P619/$H$33</f>
        <v>#DIV/0!</v>
      </c>
      <c r="X619" s="16" t="e">
        <f>$N619/$M619</f>
        <v>#DIV/0!</v>
      </c>
      <c r="Y619" s="16" t="e">
        <f>$R619/$Q619</f>
        <v>#DIV/0!</v>
      </c>
      <c r="Z619" s="16" t="e">
        <f>$I619/$H619</f>
        <v>#DIV/0!</v>
      </c>
      <c r="AA619" s="16" t="e">
        <f>$K619/$H619</f>
        <v>#DIV/0!</v>
      </c>
      <c r="AB619" s="16">
        <f>($J619*Cp_yd)+($K619*Cp_td)+($L619*Cint)+($M619*Ccar)+($N619*Cr_yd)+($O619*Cr_td)+(Q619*Crec)+($R619*Crec_yd)+($S619*Crec_td)+($T619*Cfmb)+($U619*Ctp_c)</f>
        <v>0</v>
      </c>
    </row>
    <row r="620" spans="1:28" x14ac:dyDescent="0.2">
      <c r="A620" s="15" t="s">
        <v>1439</v>
      </c>
      <c r="B620" s="15" t="s">
        <v>43</v>
      </c>
      <c r="C620" s="15">
        <v>25</v>
      </c>
      <c r="D620" s="15">
        <v>4</v>
      </c>
      <c r="E620" s="15" t="s">
        <v>178</v>
      </c>
      <c r="F620" s="15" t="s">
        <v>1413</v>
      </c>
      <c r="G620" s="15">
        <v>0</v>
      </c>
      <c r="H620" s="15">
        <v>0</v>
      </c>
      <c r="I620" s="15">
        <v>0</v>
      </c>
      <c r="J620" s="15">
        <v>0</v>
      </c>
      <c r="K620" s="15">
        <v>0</v>
      </c>
      <c r="L620" s="15">
        <v>0</v>
      </c>
      <c r="M620" s="15">
        <v>0</v>
      </c>
      <c r="N620" s="15">
        <v>0</v>
      </c>
      <c r="O620" s="15">
        <v>0</v>
      </c>
      <c r="P620" s="15">
        <v>0</v>
      </c>
      <c r="Q620" s="15">
        <v>0</v>
      </c>
      <c r="R620" s="15">
        <v>0</v>
      </c>
      <c r="S620" s="15">
        <v>0</v>
      </c>
      <c r="T620" s="15">
        <v>0</v>
      </c>
      <c r="U620" s="15">
        <v>0</v>
      </c>
      <c r="V620" s="15">
        <f>($J620*0.04)+($K620*4)+($L620*-2)+($N620*0.1)+($O620*6)+($Q620)+($R620*0.1)+($S620*6)+($T620*-2)</f>
        <v>0</v>
      </c>
      <c r="W620" s="15" t="e">
        <f>$P620/$H$33</f>
        <v>#DIV/0!</v>
      </c>
      <c r="X620" s="15" t="e">
        <f>$N620/$M620</f>
        <v>#DIV/0!</v>
      </c>
      <c r="Y620" s="15" t="e">
        <f>$R620/$Q620</f>
        <v>#DIV/0!</v>
      </c>
      <c r="Z620" s="15" t="e">
        <f>$I620/$H620</f>
        <v>#DIV/0!</v>
      </c>
      <c r="AA620" s="15" t="e">
        <f>$K620/$H620</f>
        <v>#DIV/0!</v>
      </c>
      <c r="AB620" s="15">
        <f>($J620*Cp_yd)+($K620*Cp_td)+($L620*Cint)+($M620*Ccar)+($N620*Cr_yd)+($O620*Cr_td)+(Q620*Crec)+($R620*Crec_yd)+($S620*Crec_td)+($T620*Cfmb)+($U620*Ctp_c)</f>
        <v>0</v>
      </c>
    </row>
    <row r="621" spans="1:28" x14ac:dyDescent="0.2">
      <c r="A621" s="16" t="s">
        <v>1440</v>
      </c>
      <c r="B621" s="16" t="s">
        <v>43</v>
      </c>
      <c r="C621" s="16">
        <v>26</v>
      </c>
      <c r="D621" s="16">
        <v>2</v>
      </c>
      <c r="E621" s="16" t="s">
        <v>207</v>
      </c>
      <c r="F621" s="16" t="s">
        <v>1413</v>
      </c>
      <c r="G621" s="16">
        <v>0</v>
      </c>
      <c r="H621" s="16">
        <v>0</v>
      </c>
      <c r="I621" s="16">
        <v>0</v>
      </c>
      <c r="J621" s="16">
        <v>0</v>
      </c>
      <c r="K621" s="16">
        <v>0</v>
      </c>
      <c r="L621" s="16">
        <v>0</v>
      </c>
      <c r="M621" s="16">
        <v>0</v>
      </c>
      <c r="N621" s="16">
        <v>0</v>
      </c>
      <c r="O621" s="16">
        <v>0</v>
      </c>
      <c r="P621" s="16">
        <v>0</v>
      </c>
      <c r="Q621" s="16">
        <v>0</v>
      </c>
      <c r="R621" s="16">
        <v>0</v>
      </c>
      <c r="S621" s="16">
        <v>0</v>
      </c>
      <c r="T621" s="16">
        <v>0</v>
      </c>
      <c r="U621" s="16">
        <v>0</v>
      </c>
      <c r="V621" s="16">
        <f>($J621*0.04)+($K621*4)+($L621*-2)+($N621*0.1)+($O621*6)+($Q621)+($R621*0.1)+($S621*6)+($T621*-2)</f>
        <v>0</v>
      </c>
      <c r="W621" s="16" t="e">
        <f>$P621/$H$33</f>
        <v>#DIV/0!</v>
      </c>
      <c r="X621" s="16" t="e">
        <f>$N621/$M621</f>
        <v>#DIV/0!</v>
      </c>
      <c r="Y621" s="16" t="e">
        <f>$R621/$Q621</f>
        <v>#DIV/0!</v>
      </c>
      <c r="Z621" s="16" t="e">
        <f>$I621/$H621</f>
        <v>#DIV/0!</v>
      </c>
      <c r="AA621" s="16" t="e">
        <f>$K621/$H621</f>
        <v>#DIV/0!</v>
      </c>
      <c r="AB621" s="16">
        <f>($J621*Cp_yd)+($K621*Cp_td)+($L621*Cint)+($M621*Ccar)+($N621*Cr_yd)+($O621*Cr_td)+(Q621*Crec)+($R621*Crec_yd)+($S621*Crec_td)+($T621*Cfmb)+($U621*Ctp_c)</f>
        <v>0</v>
      </c>
    </row>
    <row r="622" spans="1:28" x14ac:dyDescent="0.2">
      <c r="A622" s="15" t="s">
        <v>1441</v>
      </c>
      <c r="B622" s="15" t="s">
        <v>43</v>
      </c>
      <c r="C622" s="15">
        <v>22</v>
      </c>
      <c r="D622" s="15">
        <v>0</v>
      </c>
      <c r="E622" s="15" t="s">
        <v>175</v>
      </c>
      <c r="F622" s="15" t="s">
        <v>1413</v>
      </c>
      <c r="G622" s="15">
        <v>0</v>
      </c>
      <c r="H622" s="15">
        <v>0</v>
      </c>
      <c r="I622" s="15">
        <v>0</v>
      </c>
      <c r="J622" s="15">
        <v>0</v>
      </c>
      <c r="K622" s="15">
        <v>0</v>
      </c>
      <c r="L622" s="15">
        <v>0</v>
      </c>
      <c r="M622" s="15">
        <v>0</v>
      </c>
      <c r="N622" s="15">
        <v>0</v>
      </c>
      <c r="O622" s="15">
        <v>0</v>
      </c>
      <c r="P622" s="15">
        <v>0</v>
      </c>
      <c r="Q622" s="15">
        <v>0</v>
      </c>
      <c r="R622" s="15">
        <v>0</v>
      </c>
      <c r="S622" s="15">
        <v>0</v>
      </c>
      <c r="T622" s="15">
        <v>0</v>
      </c>
      <c r="U622" s="15">
        <v>0</v>
      </c>
      <c r="V622" s="15">
        <f>($J622*0.04)+($K622*4)+($L622*-2)+($N622*0.1)+($O622*6)+($Q622)+($R622*0.1)+($S622*6)+($T622*-2)</f>
        <v>0</v>
      </c>
      <c r="W622" s="15" t="e">
        <f>$P622/$H$33</f>
        <v>#DIV/0!</v>
      </c>
      <c r="X622" s="15" t="e">
        <f>$N622/$M622</f>
        <v>#DIV/0!</v>
      </c>
      <c r="Y622" s="15" t="e">
        <f>$R622/$Q622</f>
        <v>#DIV/0!</v>
      </c>
      <c r="Z622" s="15" t="e">
        <f>$I622/$H622</f>
        <v>#DIV/0!</v>
      </c>
      <c r="AA622" s="15" t="e">
        <f>$K622/$H622</f>
        <v>#DIV/0!</v>
      </c>
      <c r="AB622" s="15">
        <f>($J622*Cp_yd)+($K622*Cp_td)+($L622*Cint)+($M622*Ccar)+($N622*Cr_yd)+($O622*Cr_td)+(Q622*Crec)+($R622*Crec_yd)+($S622*Crec_td)+($T622*Cfmb)+($U622*Ctp_c)</f>
        <v>0</v>
      </c>
    </row>
    <row r="623" spans="1:28" x14ac:dyDescent="0.2">
      <c r="A623" s="16" t="s">
        <v>1442</v>
      </c>
      <c r="B623" s="16" t="s">
        <v>43</v>
      </c>
      <c r="C623" s="16">
        <v>23</v>
      </c>
      <c r="D623" s="16">
        <v>0</v>
      </c>
      <c r="E623" s="16" t="s">
        <v>1118</v>
      </c>
      <c r="F623" s="16" t="s">
        <v>1413</v>
      </c>
      <c r="G623" s="16">
        <v>0</v>
      </c>
      <c r="H623" s="16">
        <v>0</v>
      </c>
      <c r="I623" s="16">
        <v>0</v>
      </c>
      <c r="J623" s="16">
        <v>0</v>
      </c>
      <c r="K623" s="16">
        <v>0</v>
      </c>
      <c r="L623" s="16">
        <v>0</v>
      </c>
      <c r="M623" s="16">
        <v>0</v>
      </c>
      <c r="N623" s="16">
        <v>0</v>
      </c>
      <c r="O623" s="16">
        <v>0</v>
      </c>
      <c r="P623" s="16">
        <v>0</v>
      </c>
      <c r="Q623" s="16">
        <v>0</v>
      </c>
      <c r="R623" s="16">
        <v>0</v>
      </c>
      <c r="S623" s="16">
        <v>0</v>
      </c>
      <c r="T623" s="16">
        <v>0</v>
      </c>
      <c r="U623" s="16">
        <v>0</v>
      </c>
      <c r="V623" s="16">
        <f>($J623*0.04)+($K623*4)+($L623*-2)+($N623*0.1)+($O623*6)+($Q623)+($R623*0.1)+($S623*6)+($T623*-2)</f>
        <v>0</v>
      </c>
      <c r="W623" s="16" t="e">
        <f>$P623/$H$33</f>
        <v>#DIV/0!</v>
      </c>
      <c r="X623" s="16" t="e">
        <f>$N623/$M623</f>
        <v>#DIV/0!</v>
      </c>
      <c r="Y623" s="16" t="e">
        <f>$R623/$Q623</f>
        <v>#DIV/0!</v>
      </c>
      <c r="Z623" s="16" t="e">
        <f>$I623/$H623</f>
        <v>#DIV/0!</v>
      </c>
      <c r="AA623" s="16" t="e">
        <f>$K623/$H623</f>
        <v>#DIV/0!</v>
      </c>
      <c r="AB623" s="16">
        <f>($J623*Cp_yd)+($K623*Cp_td)+($L623*Cint)+($M623*Ccar)+($N623*Cr_yd)+($O623*Cr_td)+(Q623*Crec)+($R623*Crec_yd)+($S623*Crec_td)+($T623*Cfmb)+($U623*Ctp_c)</f>
        <v>0</v>
      </c>
    </row>
    <row r="624" spans="1:28" x14ac:dyDescent="0.2">
      <c r="A624" s="15" t="s">
        <v>1443</v>
      </c>
      <c r="B624" s="15" t="s">
        <v>43</v>
      </c>
      <c r="C624" s="15">
        <v>22</v>
      </c>
      <c r="D624" s="15">
        <v>0</v>
      </c>
      <c r="E624" s="15" t="s">
        <v>458</v>
      </c>
      <c r="F624" s="15" t="s">
        <v>1413</v>
      </c>
      <c r="G624" s="15">
        <v>0</v>
      </c>
      <c r="H624" s="15">
        <v>0</v>
      </c>
      <c r="I624" s="15">
        <v>0</v>
      </c>
      <c r="J624" s="15">
        <v>0</v>
      </c>
      <c r="K624" s="15">
        <v>0</v>
      </c>
      <c r="L624" s="15">
        <v>0</v>
      </c>
      <c r="M624" s="15">
        <v>0</v>
      </c>
      <c r="N624" s="15">
        <v>0</v>
      </c>
      <c r="O624" s="15">
        <v>0</v>
      </c>
      <c r="P624" s="15">
        <v>0</v>
      </c>
      <c r="Q624" s="15">
        <v>0</v>
      </c>
      <c r="R624" s="15">
        <v>0</v>
      </c>
      <c r="S624" s="15">
        <v>0</v>
      </c>
      <c r="T624" s="15">
        <v>0</v>
      </c>
      <c r="U624" s="15">
        <v>0</v>
      </c>
      <c r="V624" s="15">
        <f>($J624*0.04)+($K624*4)+($L624*-2)+($N624*0.1)+($O624*6)+($Q624)+($R624*0.1)+($S624*6)+($T624*-2)</f>
        <v>0</v>
      </c>
      <c r="W624" s="15" t="e">
        <f>$P624/$H$33</f>
        <v>#DIV/0!</v>
      </c>
      <c r="X624" s="15" t="e">
        <f>$N624/$M624</f>
        <v>#DIV/0!</v>
      </c>
      <c r="Y624" s="15" t="e">
        <f>$R624/$Q624</f>
        <v>#DIV/0!</v>
      </c>
      <c r="Z624" s="15" t="e">
        <f>$I624/$H624</f>
        <v>#DIV/0!</v>
      </c>
      <c r="AA624" s="15" t="e">
        <f>$K624/$H624</f>
        <v>#DIV/0!</v>
      </c>
      <c r="AB624" s="15">
        <f>($J624*Cp_yd)+($K624*Cp_td)+($L624*Cint)+($M624*Ccar)+($N624*Cr_yd)+($O624*Cr_td)+(Q624*Crec)+($R624*Crec_yd)+($S624*Crec_td)+($T624*Cfmb)+($U624*Ctp_c)</f>
        <v>0</v>
      </c>
    </row>
    <row r="625" spans="1:28" x14ac:dyDescent="0.2">
      <c r="A625" s="16" t="s">
        <v>1444</v>
      </c>
      <c r="B625" s="16" t="s">
        <v>43</v>
      </c>
      <c r="C625" s="16">
        <v>24</v>
      </c>
      <c r="D625" s="16">
        <v>1</v>
      </c>
      <c r="E625" s="16" t="s">
        <v>397</v>
      </c>
      <c r="F625" s="16" t="s">
        <v>1413</v>
      </c>
      <c r="G625" s="16">
        <v>0</v>
      </c>
      <c r="H625" s="16">
        <v>0</v>
      </c>
      <c r="I625" s="16">
        <v>0</v>
      </c>
      <c r="J625" s="16">
        <v>0</v>
      </c>
      <c r="K625" s="16">
        <v>0</v>
      </c>
      <c r="L625" s="16">
        <v>0</v>
      </c>
      <c r="M625" s="16">
        <v>0</v>
      </c>
      <c r="N625" s="16">
        <v>0</v>
      </c>
      <c r="O625" s="16">
        <v>0</v>
      </c>
      <c r="P625" s="16">
        <v>0</v>
      </c>
      <c r="Q625" s="16">
        <v>0</v>
      </c>
      <c r="R625" s="16">
        <v>0</v>
      </c>
      <c r="S625" s="16">
        <v>0</v>
      </c>
      <c r="T625" s="16">
        <v>0</v>
      </c>
      <c r="U625" s="16">
        <v>0</v>
      </c>
      <c r="V625" s="16">
        <f>($J625*0.04)+($K625*4)+($L625*-2)+($N625*0.1)+($O625*6)+($Q625)+($R625*0.1)+($S625*6)+($T625*-2)</f>
        <v>0</v>
      </c>
      <c r="W625" s="16" t="e">
        <f>$P625/$H$33</f>
        <v>#DIV/0!</v>
      </c>
      <c r="X625" s="16" t="e">
        <f>$N625/$M625</f>
        <v>#DIV/0!</v>
      </c>
      <c r="Y625" s="16" t="e">
        <f>$R625/$Q625</f>
        <v>#DIV/0!</v>
      </c>
      <c r="Z625" s="16" t="e">
        <f>$I625/$H625</f>
        <v>#DIV/0!</v>
      </c>
      <c r="AA625" s="16" t="e">
        <f>$K625/$H625</f>
        <v>#DIV/0!</v>
      </c>
      <c r="AB625" s="16">
        <f>($J625*Cp_yd)+($K625*Cp_td)+($L625*Cint)+($M625*Ccar)+($N625*Cr_yd)+($O625*Cr_td)+(Q625*Crec)+($R625*Crec_yd)+($S625*Crec_td)+($T625*Cfmb)+($U625*Ctp_c)</f>
        <v>0</v>
      </c>
    </row>
    <row r="626" spans="1:28" x14ac:dyDescent="0.2">
      <c r="A626" s="15" t="s">
        <v>1445</v>
      </c>
      <c r="B626" s="15" t="s">
        <v>43</v>
      </c>
      <c r="C626" s="15">
        <v>24</v>
      </c>
      <c r="D626" s="15">
        <v>3</v>
      </c>
      <c r="E626" s="15" t="s">
        <v>153</v>
      </c>
      <c r="F626" s="15" t="s">
        <v>1413</v>
      </c>
      <c r="G626" s="15">
        <v>0</v>
      </c>
      <c r="H626" s="15">
        <v>0</v>
      </c>
      <c r="I626" s="15">
        <v>0</v>
      </c>
      <c r="J626" s="15">
        <v>0</v>
      </c>
      <c r="K626" s="15">
        <v>0</v>
      </c>
      <c r="L626" s="15">
        <v>0</v>
      </c>
      <c r="M626" s="15">
        <v>0</v>
      </c>
      <c r="N626" s="15">
        <v>0</v>
      </c>
      <c r="O626" s="15">
        <v>0</v>
      </c>
      <c r="P626" s="15">
        <v>0</v>
      </c>
      <c r="Q626" s="15">
        <v>0</v>
      </c>
      <c r="R626" s="15">
        <v>0</v>
      </c>
      <c r="S626" s="15">
        <v>0</v>
      </c>
      <c r="T626" s="15">
        <v>0</v>
      </c>
      <c r="U626" s="15">
        <v>0</v>
      </c>
      <c r="V626" s="15">
        <f>($J626*0.04)+($K626*4)+($L626*-2)+($N626*0.1)+($O626*6)+($Q626)+($R626*0.1)+($S626*6)+($T626*-2)</f>
        <v>0</v>
      </c>
      <c r="W626" s="15" t="e">
        <f>$P626/$H$33</f>
        <v>#DIV/0!</v>
      </c>
      <c r="X626" s="15" t="e">
        <f>$N626/$M626</f>
        <v>#DIV/0!</v>
      </c>
      <c r="Y626" s="15" t="e">
        <f>$R626/$Q626</f>
        <v>#DIV/0!</v>
      </c>
      <c r="Z626" s="15" t="e">
        <f>$I626/$H626</f>
        <v>#DIV/0!</v>
      </c>
      <c r="AA626" s="15" t="e">
        <f>$K626/$H626</f>
        <v>#DIV/0!</v>
      </c>
      <c r="AB626" s="15">
        <f>($J626*Cp_yd)+($K626*Cp_td)+($L626*Cint)+($M626*Ccar)+($N626*Cr_yd)+($O626*Cr_td)+(Q626*Crec)+($R626*Crec_yd)+($S626*Crec_td)+($T626*Cfmb)+($U626*Ctp_c)</f>
        <v>0</v>
      </c>
    </row>
    <row r="627" spans="1:28" x14ac:dyDescent="0.2">
      <c r="A627" s="16" t="s">
        <v>1446</v>
      </c>
      <c r="B627" s="16" t="s">
        <v>43</v>
      </c>
      <c r="C627" s="16">
        <v>28</v>
      </c>
      <c r="D627" s="16">
        <v>4</v>
      </c>
      <c r="E627" s="16" t="s">
        <v>70</v>
      </c>
      <c r="F627" s="16" t="s">
        <v>1413</v>
      </c>
      <c r="G627" s="16">
        <v>0</v>
      </c>
      <c r="H627" s="16">
        <v>0</v>
      </c>
      <c r="I627" s="16">
        <v>0</v>
      </c>
      <c r="J627" s="16">
        <v>0</v>
      </c>
      <c r="K627" s="16">
        <v>0</v>
      </c>
      <c r="L627" s="16">
        <v>0</v>
      </c>
      <c r="M627" s="16">
        <v>0</v>
      </c>
      <c r="N627" s="16">
        <v>0</v>
      </c>
      <c r="O627" s="16">
        <v>0</v>
      </c>
      <c r="P627" s="16">
        <v>0</v>
      </c>
      <c r="Q627" s="16">
        <v>0</v>
      </c>
      <c r="R627" s="16">
        <v>0</v>
      </c>
      <c r="S627" s="16">
        <v>0</v>
      </c>
      <c r="T627" s="16">
        <v>0</v>
      </c>
      <c r="U627" s="16">
        <v>0</v>
      </c>
      <c r="V627" s="16">
        <f>($J627*0.04)+($K627*4)+($L627*-2)+($N627*0.1)+($O627*6)+($Q627)+($R627*0.1)+($S627*6)+($T627*-2)</f>
        <v>0</v>
      </c>
      <c r="W627" s="16" t="e">
        <f>$P627/$H$33</f>
        <v>#DIV/0!</v>
      </c>
      <c r="X627" s="16" t="e">
        <f>$N627/$M627</f>
        <v>#DIV/0!</v>
      </c>
      <c r="Y627" s="16" t="e">
        <f>$R627/$Q627</f>
        <v>#DIV/0!</v>
      </c>
      <c r="Z627" s="16" t="e">
        <f>$I627/$H627</f>
        <v>#DIV/0!</v>
      </c>
      <c r="AA627" s="16" t="e">
        <f>$K627/$H627</f>
        <v>#DIV/0!</v>
      </c>
      <c r="AB627" s="16">
        <f>($J627*Cp_yd)+($K627*Cp_td)+($L627*Cint)+($M627*Ccar)+($N627*Cr_yd)+($O627*Cr_td)+(Q627*Crec)+($R627*Crec_yd)+($S627*Crec_td)+($T627*Cfmb)+($U627*Ctp_c)</f>
        <v>0</v>
      </c>
    </row>
    <row r="628" spans="1:28" x14ac:dyDescent="0.2">
      <c r="A628" s="15" t="s">
        <v>1447</v>
      </c>
      <c r="B628" s="15" t="s">
        <v>43</v>
      </c>
      <c r="C628" s="15">
        <v>25</v>
      </c>
      <c r="D628" s="15">
        <v>4</v>
      </c>
      <c r="E628" s="15" t="s">
        <v>898</v>
      </c>
      <c r="F628" s="15" t="s">
        <v>1413</v>
      </c>
      <c r="G628" s="15">
        <v>0</v>
      </c>
      <c r="H628" s="15">
        <v>0</v>
      </c>
      <c r="I628" s="15">
        <v>0</v>
      </c>
      <c r="J628" s="15">
        <v>0</v>
      </c>
      <c r="K628" s="15">
        <v>0</v>
      </c>
      <c r="L628" s="15">
        <v>0</v>
      </c>
      <c r="M628" s="15">
        <v>0</v>
      </c>
      <c r="N628" s="15">
        <v>0</v>
      </c>
      <c r="O628" s="15">
        <v>0</v>
      </c>
      <c r="P628" s="15">
        <v>0</v>
      </c>
      <c r="Q628" s="15">
        <v>0</v>
      </c>
      <c r="R628" s="15">
        <v>0</v>
      </c>
      <c r="S628" s="15">
        <v>0</v>
      </c>
      <c r="T628" s="15">
        <v>0</v>
      </c>
      <c r="U628" s="15">
        <v>0</v>
      </c>
      <c r="V628" s="15">
        <f>($J628*0.04)+($K628*4)+($L628*-2)+($N628*0.1)+($O628*6)+($Q628)+($R628*0.1)+($S628*6)+($T628*-2)</f>
        <v>0</v>
      </c>
      <c r="W628" s="15" t="e">
        <f>$P628/$H$33</f>
        <v>#DIV/0!</v>
      </c>
      <c r="X628" s="15" t="e">
        <f>$N628/$M628</f>
        <v>#DIV/0!</v>
      </c>
      <c r="Y628" s="15" t="e">
        <f>$R628/$Q628</f>
        <v>#DIV/0!</v>
      </c>
      <c r="Z628" s="15" t="e">
        <f>$I628/$H628</f>
        <v>#DIV/0!</v>
      </c>
      <c r="AA628" s="15" t="e">
        <f>$K628/$H628</f>
        <v>#DIV/0!</v>
      </c>
      <c r="AB628" s="15">
        <f>($J628*Cp_yd)+($K628*Cp_td)+($L628*Cint)+($M628*Ccar)+($N628*Cr_yd)+($O628*Cr_td)+(Q628*Crec)+($R628*Crec_yd)+($S628*Crec_td)+($T628*Cfmb)+($U628*Ctp_c)</f>
        <v>0</v>
      </c>
    </row>
    <row r="629" spans="1:28" x14ac:dyDescent="0.2">
      <c r="A629" s="16" t="s">
        <v>1449</v>
      </c>
      <c r="B629" s="16" t="s">
        <v>38</v>
      </c>
      <c r="C629" s="16">
        <v>28</v>
      </c>
      <c r="D629" s="16">
        <v>7</v>
      </c>
      <c r="E629" s="16" t="s">
        <v>1450</v>
      </c>
      <c r="F629" s="16" t="s">
        <v>1413</v>
      </c>
      <c r="G629" s="16">
        <v>0</v>
      </c>
      <c r="H629" s="16">
        <v>0</v>
      </c>
      <c r="I629" s="16">
        <v>0</v>
      </c>
      <c r="J629" s="16">
        <v>0</v>
      </c>
      <c r="K629" s="16">
        <v>0</v>
      </c>
      <c r="L629" s="16">
        <v>0</v>
      </c>
      <c r="M629" s="16">
        <v>0</v>
      </c>
      <c r="N629" s="16">
        <v>0</v>
      </c>
      <c r="O629" s="16">
        <v>0</v>
      </c>
      <c r="P629" s="16">
        <v>0</v>
      </c>
      <c r="Q629" s="16">
        <v>0</v>
      </c>
      <c r="R629" s="16">
        <v>0</v>
      </c>
      <c r="S629" s="16">
        <v>0</v>
      </c>
      <c r="T629" s="16">
        <v>0</v>
      </c>
      <c r="U629" s="16">
        <v>0</v>
      </c>
      <c r="V629" s="16">
        <f>($J629*0.04)+($K629*4)+($L629*-2)+($N629*0.1)+($O629*6)+($Q629)+($R629*0.1)+($S629*6)+($T629*-2)</f>
        <v>0</v>
      </c>
      <c r="W629" s="16" t="e">
        <f>$P629/$H$33</f>
        <v>#DIV/0!</v>
      </c>
      <c r="X629" s="16" t="e">
        <f>$N629/$M629</f>
        <v>#DIV/0!</v>
      </c>
      <c r="Y629" s="16" t="e">
        <f>$R629/$Q629</f>
        <v>#DIV/0!</v>
      </c>
      <c r="Z629" s="16" t="e">
        <f>$I629/$H629</f>
        <v>#DIV/0!</v>
      </c>
      <c r="AA629" s="16" t="e">
        <f>$K629/$H629</f>
        <v>#DIV/0!</v>
      </c>
      <c r="AB629" s="16">
        <f>($J629*Cp_yd)+($K629*Cp_td)+($L629*Cint)+($M629*Ccar)+($N629*Cr_yd)+($O629*Cr_td)+(Q629*Crec)+($R629*Crec_yd)+($S629*Crec_td)+($T629*Cfmb)+($U629*Ctp_c)</f>
        <v>0</v>
      </c>
    </row>
    <row r="630" spans="1:28" x14ac:dyDescent="0.2">
      <c r="A630" s="15" t="s">
        <v>1451</v>
      </c>
      <c r="B630" s="15" t="s">
        <v>38</v>
      </c>
      <c r="C630" s="15">
        <v>24</v>
      </c>
      <c r="D630" s="15">
        <v>2</v>
      </c>
      <c r="E630" s="15" t="s">
        <v>237</v>
      </c>
      <c r="F630" s="15" t="s">
        <v>1413</v>
      </c>
      <c r="G630" s="15">
        <v>0</v>
      </c>
      <c r="H630" s="15">
        <v>0</v>
      </c>
      <c r="I630" s="15">
        <v>0</v>
      </c>
      <c r="J630" s="15">
        <v>0</v>
      </c>
      <c r="K630" s="15">
        <v>0</v>
      </c>
      <c r="L630" s="15">
        <v>0</v>
      </c>
      <c r="M630" s="15">
        <v>0</v>
      </c>
      <c r="N630" s="15">
        <v>0</v>
      </c>
      <c r="O630" s="15">
        <v>0</v>
      </c>
      <c r="P630" s="15">
        <v>0</v>
      </c>
      <c r="Q630" s="15">
        <v>0</v>
      </c>
      <c r="R630" s="15">
        <v>0</v>
      </c>
      <c r="S630" s="15">
        <v>0</v>
      </c>
      <c r="T630" s="15">
        <v>0</v>
      </c>
      <c r="U630" s="15">
        <v>0</v>
      </c>
      <c r="V630" s="15">
        <f>($J630*0.04)+($K630*4)+($L630*-2)+($N630*0.1)+($O630*6)+($Q630)+($R630*0.1)+($S630*6)+($T630*-2)</f>
        <v>0</v>
      </c>
      <c r="W630" s="15" t="e">
        <f>$P630/$H$33</f>
        <v>#DIV/0!</v>
      </c>
      <c r="X630" s="15" t="e">
        <f>$N630/$M630</f>
        <v>#DIV/0!</v>
      </c>
      <c r="Y630" s="15" t="e">
        <f>$R630/$Q630</f>
        <v>#DIV/0!</v>
      </c>
      <c r="Z630" s="15" t="e">
        <f>$I630/$H630</f>
        <v>#DIV/0!</v>
      </c>
      <c r="AA630" s="15" t="e">
        <f>$K630/$H630</f>
        <v>#DIV/0!</v>
      </c>
      <c r="AB630" s="15">
        <f>($J630*Cp_yd)+($K630*Cp_td)+($L630*Cint)+($M630*Ccar)+($N630*Cr_yd)+($O630*Cr_td)+(Q630*Crec)+($R630*Crec_yd)+($S630*Crec_td)+($T630*Cfmb)+($U630*Ctp_c)</f>
        <v>0</v>
      </c>
    </row>
    <row r="631" spans="1:28" x14ac:dyDescent="0.2">
      <c r="A631" s="16" t="s">
        <v>1452</v>
      </c>
      <c r="B631" s="16" t="s">
        <v>38</v>
      </c>
      <c r="C631" s="16">
        <v>28</v>
      </c>
      <c r="D631" s="16">
        <v>6</v>
      </c>
      <c r="E631" s="16" t="s">
        <v>753</v>
      </c>
      <c r="F631" s="16" t="s">
        <v>1413</v>
      </c>
      <c r="G631" s="16">
        <v>0</v>
      </c>
      <c r="H631" s="16">
        <v>0</v>
      </c>
      <c r="I631" s="16">
        <v>0</v>
      </c>
      <c r="J631" s="16">
        <v>0</v>
      </c>
      <c r="K631" s="16">
        <v>0</v>
      </c>
      <c r="L631" s="16">
        <v>0</v>
      </c>
      <c r="M631" s="16">
        <v>0</v>
      </c>
      <c r="N631" s="16">
        <v>0</v>
      </c>
      <c r="O631" s="16">
        <v>0</v>
      </c>
      <c r="P631" s="16">
        <v>0</v>
      </c>
      <c r="Q631" s="16">
        <v>0</v>
      </c>
      <c r="R631" s="16">
        <v>0</v>
      </c>
      <c r="S631" s="16">
        <v>0</v>
      </c>
      <c r="T631" s="16">
        <v>0</v>
      </c>
      <c r="U631" s="16">
        <v>0</v>
      </c>
      <c r="V631" s="16">
        <f>($J631*0.04)+($K631*4)+($L631*-2)+($N631*0.1)+($O631*6)+($Q631)+($R631*0.1)+($S631*6)+($T631*-2)</f>
        <v>0</v>
      </c>
      <c r="W631" s="16" t="e">
        <f>$P631/$H$33</f>
        <v>#DIV/0!</v>
      </c>
      <c r="X631" s="16" t="e">
        <f>$N631/$M631</f>
        <v>#DIV/0!</v>
      </c>
      <c r="Y631" s="16" t="e">
        <f>$R631/$Q631</f>
        <v>#DIV/0!</v>
      </c>
      <c r="Z631" s="16" t="e">
        <f>$I631/$H631</f>
        <v>#DIV/0!</v>
      </c>
      <c r="AA631" s="16" t="e">
        <f>$K631/$H631</f>
        <v>#DIV/0!</v>
      </c>
      <c r="AB631" s="16">
        <f>($J631*Cp_yd)+($K631*Cp_td)+($L631*Cint)+($M631*Ccar)+($N631*Cr_yd)+($O631*Cr_td)+(Q631*Crec)+($R631*Crec_yd)+($S631*Crec_td)+($T631*Cfmb)+($U631*Ctp_c)</f>
        <v>0</v>
      </c>
    </row>
    <row r="632" spans="1:28" x14ac:dyDescent="0.2">
      <c r="A632" s="15" t="s">
        <v>1453</v>
      </c>
      <c r="B632" s="15" t="s">
        <v>38</v>
      </c>
      <c r="C632" s="15">
        <v>25</v>
      </c>
      <c r="D632" s="15">
        <v>3</v>
      </c>
      <c r="E632" s="15" t="s">
        <v>806</v>
      </c>
      <c r="F632" s="15" t="s">
        <v>1413</v>
      </c>
      <c r="G632" s="15">
        <v>0</v>
      </c>
      <c r="H632" s="15">
        <v>0</v>
      </c>
      <c r="I632" s="15">
        <v>0</v>
      </c>
      <c r="J632" s="15">
        <v>0</v>
      </c>
      <c r="K632" s="15">
        <v>0</v>
      </c>
      <c r="L632" s="15">
        <v>0</v>
      </c>
      <c r="M632" s="15">
        <v>0</v>
      </c>
      <c r="N632" s="15">
        <v>0</v>
      </c>
      <c r="O632" s="15">
        <v>0</v>
      </c>
      <c r="P632" s="15">
        <v>0</v>
      </c>
      <c r="Q632" s="15">
        <v>0</v>
      </c>
      <c r="R632" s="15">
        <v>0</v>
      </c>
      <c r="S632" s="15">
        <v>0</v>
      </c>
      <c r="T632" s="15">
        <v>0</v>
      </c>
      <c r="U632" s="15">
        <v>0</v>
      </c>
      <c r="V632" s="15">
        <f>($J632*0.04)+($K632*4)+($L632*-2)+($N632*0.1)+($O632*6)+($Q632)+($R632*0.1)+($S632*6)+($T632*-2)</f>
        <v>0</v>
      </c>
      <c r="W632" s="15" t="e">
        <f>$P632/$H$33</f>
        <v>#DIV/0!</v>
      </c>
      <c r="X632" s="15" t="e">
        <f>$N632/$M632</f>
        <v>#DIV/0!</v>
      </c>
      <c r="Y632" s="15" t="e">
        <f>$R632/$Q632</f>
        <v>#DIV/0!</v>
      </c>
      <c r="Z632" s="15" t="e">
        <f>$I632/$H632</f>
        <v>#DIV/0!</v>
      </c>
      <c r="AA632" s="15" t="e">
        <f>$K632/$H632</f>
        <v>#DIV/0!</v>
      </c>
      <c r="AB632" s="15">
        <f>($J632*Cp_yd)+($K632*Cp_td)+($L632*Cint)+($M632*Ccar)+($N632*Cr_yd)+($O632*Cr_td)+(Q632*Crec)+($R632*Crec_yd)+($S632*Crec_td)+($T632*Cfmb)+($U632*Ctp_c)</f>
        <v>0</v>
      </c>
    </row>
    <row r="633" spans="1:28" x14ac:dyDescent="0.2">
      <c r="A633" s="16" t="s">
        <v>1454</v>
      </c>
      <c r="B633" s="16" t="s">
        <v>38</v>
      </c>
      <c r="C633" s="16">
        <v>24</v>
      </c>
      <c r="D633" s="16">
        <v>0</v>
      </c>
      <c r="E633" s="16" t="s">
        <v>84</v>
      </c>
      <c r="F633" s="16" t="s">
        <v>1413</v>
      </c>
      <c r="G633" s="16">
        <v>0</v>
      </c>
      <c r="H633" s="16">
        <v>0</v>
      </c>
      <c r="I633" s="16">
        <v>0</v>
      </c>
      <c r="J633" s="16">
        <v>0</v>
      </c>
      <c r="K633" s="16">
        <v>0</v>
      </c>
      <c r="L633" s="16">
        <v>0</v>
      </c>
      <c r="M633" s="16">
        <v>0</v>
      </c>
      <c r="N633" s="16">
        <v>0</v>
      </c>
      <c r="O633" s="16">
        <v>0</v>
      </c>
      <c r="P633" s="16">
        <v>0</v>
      </c>
      <c r="Q633" s="16">
        <v>0</v>
      </c>
      <c r="R633" s="16">
        <v>0</v>
      </c>
      <c r="S633" s="16">
        <v>0</v>
      </c>
      <c r="T633" s="16">
        <v>0</v>
      </c>
      <c r="U633" s="16">
        <v>0</v>
      </c>
      <c r="V633" s="16">
        <f>($J633*0.04)+($K633*4)+($L633*-2)+($N633*0.1)+($O633*6)+($Q633)+($R633*0.1)+($S633*6)+($T633*-2)</f>
        <v>0</v>
      </c>
      <c r="W633" s="16" t="e">
        <f>$P633/$H$33</f>
        <v>#DIV/0!</v>
      </c>
      <c r="X633" s="16" t="e">
        <f>$N633/$M633</f>
        <v>#DIV/0!</v>
      </c>
      <c r="Y633" s="16" t="e">
        <f>$R633/$Q633</f>
        <v>#DIV/0!</v>
      </c>
      <c r="Z633" s="16" t="e">
        <f>$I633/$H633</f>
        <v>#DIV/0!</v>
      </c>
      <c r="AA633" s="16" t="e">
        <f>$K633/$H633</f>
        <v>#DIV/0!</v>
      </c>
      <c r="AB633" s="16">
        <f>($J633*Cp_yd)+($K633*Cp_td)+($L633*Cint)+($M633*Ccar)+($N633*Cr_yd)+($O633*Cr_td)+(Q633*Crec)+($R633*Crec_yd)+($S633*Crec_td)+($T633*Cfmb)+($U633*Ctp_c)</f>
        <v>0</v>
      </c>
    </row>
    <row r="634" spans="1:28" x14ac:dyDescent="0.2">
      <c r="A634" s="15" t="s">
        <v>1472</v>
      </c>
      <c r="B634" s="15" t="s">
        <v>26</v>
      </c>
      <c r="C634" s="15">
        <v>24</v>
      </c>
      <c r="D634" s="15">
        <v>0</v>
      </c>
      <c r="E634" s="15" t="s">
        <v>225</v>
      </c>
      <c r="F634" s="15" t="s">
        <v>1457</v>
      </c>
      <c r="G634" s="15">
        <v>0</v>
      </c>
      <c r="H634" s="15">
        <v>0</v>
      </c>
      <c r="I634" s="15">
        <v>0</v>
      </c>
      <c r="J634" s="15">
        <v>0</v>
      </c>
      <c r="K634" s="15">
        <v>0</v>
      </c>
      <c r="L634" s="15">
        <v>0</v>
      </c>
      <c r="M634" s="15">
        <v>0</v>
      </c>
      <c r="N634" s="15">
        <v>0</v>
      </c>
      <c r="O634" s="15">
        <v>0</v>
      </c>
      <c r="P634" s="15">
        <v>0</v>
      </c>
      <c r="Q634" s="15">
        <v>0</v>
      </c>
      <c r="R634" s="15">
        <v>0</v>
      </c>
      <c r="S634" s="15">
        <v>0</v>
      </c>
      <c r="T634" s="15">
        <v>0</v>
      </c>
      <c r="U634" s="15">
        <v>0</v>
      </c>
      <c r="V634" s="15">
        <f>($J634*0.04)+($K634*4)+($L634*-2)+($N634*0.1)+($O634*6)+($Q634)+($R634*0.1)+($S634*6)+($T634*-2)</f>
        <v>0</v>
      </c>
      <c r="W634" s="15" t="e">
        <f>$P634/$H$33</f>
        <v>#DIV/0!</v>
      </c>
      <c r="X634" s="15" t="e">
        <f>$N634/$M634</f>
        <v>#DIV/0!</v>
      </c>
      <c r="Y634" s="15" t="e">
        <f>$R634/$Q634</f>
        <v>#DIV/0!</v>
      </c>
      <c r="Z634" s="15" t="e">
        <f>$I634/$H634</f>
        <v>#DIV/0!</v>
      </c>
      <c r="AA634" s="15" t="e">
        <f>$K634/$H634</f>
        <v>#DIV/0!</v>
      </c>
      <c r="AB634" s="15">
        <f>($J634*Cp_yd)+($K634*Cp_td)+($L634*Cint)+($M634*Ccar)+($N634*Cr_yd)+($O634*Cr_td)+(Q634*Crec)+($R634*Crec_yd)+($S634*Crec_td)+($T634*Cfmb)+($U634*Ctp_c)</f>
        <v>0</v>
      </c>
    </row>
    <row r="635" spans="1:28" x14ac:dyDescent="0.2">
      <c r="A635" s="16" t="s">
        <v>1473</v>
      </c>
      <c r="B635" s="16" t="s">
        <v>26</v>
      </c>
      <c r="C635" s="16">
        <v>25</v>
      </c>
      <c r="D635" s="16">
        <v>2</v>
      </c>
      <c r="E635" s="16" t="s">
        <v>74</v>
      </c>
      <c r="F635" s="16" t="s">
        <v>1457</v>
      </c>
      <c r="G635" s="16">
        <v>0</v>
      </c>
      <c r="H635" s="16">
        <v>0</v>
      </c>
      <c r="I635" s="16">
        <v>0</v>
      </c>
      <c r="J635" s="16">
        <v>0</v>
      </c>
      <c r="K635" s="16">
        <v>0</v>
      </c>
      <c r="L635" s="16">
        <v>0</v>
      </c>
      <c r="M635" s="16">
        <v>0</v>
      </c>
      <c r="N635" s="16">
        <v>0</v>
      </c>
      <c r="O635" s="16">
        <v>0</v>
      </c>
      <c r="P635" s="16">
        <v>0</v>
      </c>
      <c r="Q635" s="16">
        <v>0</v>
      </c>
      <c r="R635" s="16">
        <v>0</v>
      </c>
      <c r="S635" s="16">
        <v>0</v>
      </c>
      <c r="T635" s="16">
        <v>0</v>
      </c>
      <c r="U635" s="16">
        <v>0</v>
      </c>
      <c r="V635" s="16">
        <f>($J635*0.04)+($K635*4)+($L635*-2)+($N635*0.1)+($O635*6)+($Q635)+($R635*0.1)+($S635*6)+($T635*-2)</f>
        <v>0</v>
      </c>
      <c r="W635" s="16" t="e">
        <f>$P635/$H$33</f>
        <v>#DIV/0!</v>
      </c>
      <c r="X635" s="16" t="e">
        <f>$N635/$M635</f>
        <v>#DIV/0!</v>
      </c>
      <c r="Y635" s="16" t="e">
        <f>$R635/$Q635</f>
        <v>#DIV/0!</v>
      </c>
      <c r="Z635" s="16" t="e">
        <f>$I635/$H635</f>
        <v>#DIV/0!</v>
      </c>
      <c r="AA635" s="16" t="e">
        <f>$K635/$H635</f>
        <v>#DIV/0!</v>
      </c>
      <c r="AB635" s="16">
        <f>($J635*Cp_yd)+($K635*Cp_td)+($L635*Cint)+($M635*Ccar)+($N635*Cr_yd)+($O635*Cr_td)+(Q635*Crec)+($R635*Crec_yd)+($S635*Crec_td)+($T635*Cfmb)+($U635*Ctp_c)</f>
        <v>0</v>
      </c>
    </row>
    <row r="636" spans="1:28" x14ac:dyDescent="0.2">
      <c r="A636" s="15" t="s">
        <v>1474</v>
      </c>
      <c r="B636" s="15" t="s">
        <v>26</v>
      </c>
      <c r="C636" s="15">
        <v>28</v>
      </c>
      <c r="D636" s="15">
        <v>6</v>
      </c>
      <c r="E636" s="15" t="s">
        <v>218</v>
      </c>
      <c r="F636" s="15" t="s">
        <v>1457</v>
      </c>
      <c r="G636" s="15">
        <v>0</v>
      </c>
      <c r="H636" s="15">
        <v>0</v>
      </c>
      <c r="I636" s="15">
        <v>0</v>
      </c>
      <c r="J636" s="15">
        <v>0</v>
      </c>
      <c r="K636" s="15">
        <v>0</v>
      </c>
      <c r="L636" s="15">
        <v>0</v>
      </c>
      <c r="M636" s="15">
        <v>0</v>
      </c>
      <c r="N636" s="15">
        <v>0</v>
      </c>
      <c r="O636" s="15">
        <v>0</v>
      </c>
      <c r="P636" s="15">
        <v>0</v>
      </c>
      <c r="Q636" s="15">
        <v>0</v>
      </c>
      <c r="R636" s="15">
        <v>0</v>
      </c>
      <c r="S636" s="15">
        <v>0</v>
      </c>
      <c r="T636" s="15">
        <v>0</v>
      </c>
      <c r="U636" s="15">
        <v>0</v>
      </c>
      <c r="V636" s="15">
        <f>($J636*0.04)+($K636*4)+($L636*-2)+($N636*0.1)+($O636*6)+($Q636)+($R636*0.1)+($S636*6)+($T636*-2)</f>
        <v>0</v>
      </c>
      <c r="W636" s="15" t="e">
        <f>$P636/$H$33</f>
        <v>#DIV/0!</v>
      </c>
      <c r="X636" s="15" t="e">
        <f>$N636/$M636</f>
        <v>#DIV/0!</v>
      </c>
      <c r="Y636" s="15" t="e">
        <f>$R636/$Q636</f>
        <v>#DIV/0!</v>
      </c>
      <c r="Z636" s="15" t="e">
        <f>$I636/$H636</f>
        <v>#DIV/0!</v>
      </c>
      <c r="AA636" s="15" t="e">
        <f>$K636/$H636</f>
        <v>#DIV/0!</v>
      </c>
      <c r="AB636" s="15">
        <f>($J636*Cp_yd)+($K636*Cp_td)+($L636*Cint)+($M636*Ccar)+($N636*Cr_yd)+($O636*Cr_td)+(Q636*Crec)+($R636*Crec_yd)+($S636*Crec_td)+($T636*Cfmb)+($U636*Ctp_c)</f>
        <v>0</v>
      </c>
    </row>
    <row r="637" spans="1:28" x14ac:dyDescent="0.2">
      <c r="A637" s="16" t="s">
        <v>1476</v>
      </c>
      <c r="B637" s="16" t="s">
        <v>31</v>
      </c>
      <c r="C637" s="16">
        <v>25</v>
      </c>
      <c r="D637" s="16">
        <v>2</v>
      </c>
      <c r="E637" s="16" t="s">
        <v>795</v>
      </c>
      <c r="F637" s="16" t="s">
        <v>1457</v>
      </c>
      <c r="G637" s="16">
        <v>0</v>
      </c>
      <c r="H637" s="16">
        <v>0</v>
      </c>
      <c r="I637" s="16">
        <v>0</v>
      </c>
      <c r="J637" s="16">
        <v>0</v>
      </c>
      <c r="K637" s="16">
        <v>0</v>
      </c>
      <c r="L637" s="16">
        <v>0</v>
      </c>
      <c r="M637" s="16">
        <v>0</v>
      </c>
      <c r="N637" s="16">
        <v>0</v>
      </c>
      <c r="O637" s="16">
        <v>0</v>
      </c>
      <c r="P637" s="16">
        <v>0</v>
      </c>
      <c r="Q637" s="16">
        <v>0</v>
      </c>
      <c r="R637" s="16">
        <v>0</v>
      </c>
      <c r="S637" s="16">
        <v>0</v>
      </c>
      <c r="T637" s="16">
        <v>0</v>
      </c>
      <c r="U637" s="16">
        <v>0</v>
      </c>
      <c r="V637" s="16">
        <f>($J637*0.04)+($K637*4)+($L637*-2)+($N637*0.1)+($O637*6)+($Q637)+($R637*0.1)+($S637*6)+($T637*-2)</f>
        <v>0</v>
      </c>
      <c r="W637" s="16" t="e">
        <f>$P637/$H$33</f>
        <v>#DIV/0!</v>
      </c>
      <c r="X637" s="16" t="e">
        <f>$N637/$M637</f>
        <v>#DIV/0!</v>
      </c>
      <c r="Y637" s="16" t="e">
        <f>$R637/$Q637</f>
        <v>#DIV/0!</v>
      </c>
      <c r="Z637" s="16" t="e">
        <f>$I637/$H637</f>
        <v>#DIV/0!</v>
      </c>
      <c r="AA637" s="16" t="e">
        <f>$K637/$H637</f>
        <v>#DIV/0!</v>
      </c>
      <c r="AB637" s="16">
        <f>($J637*Cp_yd)+($K637*Cp_td)+($L637*Cint)+($M637*Ccar)+($N637*Cr_yd)+($O637*Cr_td)+(Q637*Crec)+($R637*Crec_yd)+($S637*Crec_td)+($T637*Cfmb)+($U637*Ctp_c)</f>
        <v>0</v>
      </c>
    </row>
    <row r="638" spans="1:28" x14ac:dyDescent="0.2">
      <c r="A638" s="15" t="s">
        <v>1477</v>
      </c>
      <c r="B638" s="15" t="s">
        <v>31</v>
      </c>
      <c r="C638" s="15">
        <v>23</v>
      </c>
      <c r="D638" s="15">
        <v>0</v>
      </c>
      <c r="E638" s="15" t="s">
        <v>1478</v>
      </c>
      <c r="F638" s="15" t="s">
        <v>1457</v>
      </c>
      <c r="G638" s="15">
        <v>0</v>
      </c>
      <c r="H638" s="15">
        <v>0</v>
      </c>
      <c r="I638" s="15">
        <v>0</v>
      </c>
      <c r="J638" s="15">
        <v>0</v>
      </c>
      <c r="K638" s="15">
        <v>0</v>
      </c>
      <c r="L638" s="15">
        <v>0</v>
      </c>
      <c r="M638" s="15">
        <v>0</v>
      </c>
      <c r="N638" s="15">
        <v>0</v>
      </c>
      <c r="O638" s="15">
        <v>0</v>
      </c>
      <c r="P638" s="15">
        <v>0</v>
      </c>
      <c r="Q638" s="15">
        <v>0</v>
      </c>
      <c r="R638" s="15">
        <v>0</v>
      </c>
      <c r="S638" s="15">
        <v>0</v>
      </c>
      <c r="T638" s="15">
        <v>0</v>
      </c>
      <c r="U638" s="15">
        <v>0</v>
      </c>
      <c r="V638" s="15">
        <f>($J638*0.04)+($K638*4)+($L638*-2)+($N638*0.1)+($O638*6)+($Q638)+($R638*0.1)+($S638*6)+($T638*-2)</f>
        <v>0</v>
      </c>
      <c r="W638" s="15" t="e">
        <f>$P638/$H$33</f>
        <v>#DIV/0!</v>
      </c>
      <c r="X638" s="15" t="e">
        <f>$N638/$M638</f>
        <v>#DIV/0!</v>
      </c>
      <c r="Y638" s="15" t="e">
        <f>$R638/$Q638</f>
        <v>#DIV/0!</v>
      </c>
      <c r="Z638" s="15" t="e">
        <f>$I638/$H638</f>
        <v>#DIV/0!</v>
      </c>
      <c r="AA638" s="15" t="e">
        <f>$K638/$H638</f>
        <v>#DIV/0!</v>
      </c>
      <c r="AB638" s="15">
        <f>($J638*Cp_yd)+($K638*Cp_td)+($L638*Cint)+($M638*Ccar)+($N638*Cr_yd)+($O638*Cr_td)+(Q638*Crec)+($R638*Crec_yd)+($S638*Crec_td)+($T638*Cfmb)+($U638*Ctp_c)</f>
        <v>0</v>
      </c>
    </row>
    <row r="639" spans="1:28" x14ac:dyDescent="0.2">
      <c r="A639" s="16" t="s">
        <v>1479</v>
      </c>
      <c r="B639" s="16" t="s">
        <v>31</v>
      </c>
      <c r="C639" s="16">
        <v>24</v>
      </c>
      <c r="D639" s="16">
        <v>0</v>
      </c>
      <c r="E639" s="16" t="s">
        <v>1480</v>
      </c>
      <c r="F639" s="16" t="s">
        <v>1457</v>
      </c>
      <c r="G639" s="16">
        <v>0</v>
      </c>
      <c r="H639" s="16">
        <v>0</v>
      </c>
      <c r="I639" s="16">
        <v>0</v>
      </c>
      <c r="J639" s="16">
        <v>0</v>
      </c>
      <c r="K639" s="16">
        <v>0</v>
      </c>
      <c r="L639" s="16">
        <v>0</v>
      </c>
      <c r="M639" s="16">
        <v>0</v>
      </c>
      <c r="N639" s="16">
        <v>0</v>
      </c>
      <c r="O639" s="16">
        <v>0</v>
      </c>
      <c r="P639" s="16">
        <v>0</v>
      </c>
      <c r="Q639" s="16">
        <v>0</v>
      </c>
      <c r="R639" s="16">
        <v>0</v>
      </c>
      <c r="S639" s="16">
        <v>0</v>
      </c>
      <c r="T639" s="16">
        <v>0</v>
      </c>
      <c r="U639" s="16">
        <v>0</v>
      </c>
      <c r="V639" s="16">
        <f>($J639*0.04)+($K639*4)+($L639*-2)+($N639*0.1)+($O639*6)+($Q639)+($R639*0.1)+($S639*6)+($T639*-2)</f>
        <v>0</v>
      </c>
      <c r="W639" s="16" t="e">
        <f>$P639/$H$33</f>
        <v>#DIV/0!</v>
      </c>
      <c r="X639" s="16" t="e">
        <f>$N639/$M639</f>
        <v>#DIV/0!</v>
      </c>
      <c r="Y639" s="16" t="e">
        <f>$R639/$Q639</f>
        <v>#DIV/0!</v>
      </c>
      <c r="Z639" s="16" t="e">
        <f>$I639/$H639</f>
        <v>#DIV/0!</v>
      </c>
      <c r="AA639" s="16" t="e">
        <f>$K639/$H639</f>
        <v>#DIV/0!</v>
      </c>
      <c r="AB639" s="16">
        <f>($J639*Cp_yd)+($K639*Cp_td)+($L639*Cint)+($M639*Ccar)+($N639*Cr_yd)+($O639*Cr_td)+(Q639*Crec)+($R639*Crec_yd)+($S639*Crec_td)+($T639*Cfmb)+($U639*Ctp_c)</f>
        <v>0</v>
      </c>
    </row>
    <row r="640" spans="1:28" x14ac:dyDescent="0.2">
      <c r="A640" s="15" t="s">
        <v>1481</v>
      </c>
      <c r="B640" s="15" t="s">
        <v>31</v>
      </c>
      <c r="C640" s="15">
        <v>25</v>
      </c>
      <c r="D640" s="15">
        <v>3</v>
      </c>
      <c r="E640" s="15" t="s">
        <v>153</v>
      </c>
      <c r="F640" s="15" t="s">
        <v>1457</v>
      </c>
      <c r="G640" s="15">
        <v>0</v>
      </c>
      <c r="H640" s="15">
        <v>0</v>
      </c>
      <c r="I640" s="15">
        <v>0</v>
      </c>
      <c r="J640" s="15">
        <v>0</v>
      </c>
      <c r="K640" s="15">
        <v>0</v>
      </c>
      <c r="L640" s="15">
        <v>0</v>
      </c>
      <c r="M640" s="15">
        <v>0</v>
      </c>
      <c r="N640" s="15">
        <v>0</v>
      </c>
      <c r="O640" s="15">
        <v>0</v>
      </c>
      <c r="P640" s="15">
        <v>0</v>
      </c>
      <c r="Q640" s="15">
        <v>0</v>
      </c>
      <c r="R640" s="15">
        <v>0</v>
      </c>
      <c r="S640" s="15">
        <v>0</v>
      </c>
      <c r="T640" s="15">
        <v>0</v>
      </c>
      <c r="U640" s="15">
        <v>0</v>
      </c>
      <c r="V640" s="15">
        <f>($J640*0.04)+($K640*4)+($L640*-2)+($N640*0.1)+($O640*6)+($Q640)+($R640*0.1)+($S640*6)+($T640*-2)</f>
        <v>0</v>
      </c>
      <c r="W640" s="15" t="e">
        <f>$P640/$H$33</f>
        <v>#DIV/0!</v>
      </c>
      <c r="X640" s="15" t="e">
        <f>$N640/$M640</f>
        <v>#DIV/0!</v>
      </c>
      <c r="Y640" s="15" t="e">
        <f>$R640/$Q640</f>
        <v>#DIV/0!</v>
      </c>
      <c r="Z640" s="15" t="e">
        <f>$I640/$H640</f>
        <v>#DIV/0!</v>
      </c>
      <c r="AA640" s="15" t="e">
        <f>$K640/$H640</f>
        <v>#DIV/0!</v>
      </c>
      <c r="AB640" s="15">
        <f>($J640*Cp_yd)+($K640*Cp_td)+($L640*Cint)+($M640*Ccar)+($N640*Cr_yd)+($O640*Cr_td)+(Q640*Crec)+($R640*Crec_yd)+($S640*Crec_td)+($T640*Cfmb)+($U640*Ctp_c)</f>
        <v>0</v>
      </c>
    </row>
    <row r="641" spans="1:28" x14ac:dyDescent="0.2">
      <c r="A641" s="16" t="s">
        <v>1482</v>
      </c>
      <c r="B641" s="16" t="s">
        <v>31</v>
      </c>
      <c r="C641" s="16">
        <v>24</v>
      </c>
      <c r="D641" s="16">
        <v>3</v>
      </c>
      <c r="E641" s="16" t="s">
        <v>232</v>
      </c>
      <c r="F641" s="16" t="s">
        <v>1457</v>
      </c>
      <c r="G641" s="16">
        <v>0</v>
      </c>
      <c r="H641" s="16">
        <v>0</v>
      </c>
      <c r="I641" s="16">
        <v>0</v>
      </c>
      <c r="J641" s="16">
        <v>0</v>
      </c>
      <c r="K641" s="16">
        <v>0</v>
      </c>
      <c r="L641" s="16">
        <v>0</v>
      </c>
      <c r="M641" s="16">
        <v>0</v>
      </c>
      <c r="N641" s="16">
        <v>0</v>
      </c>
      <c r="O641" s="16">
        <v>0</v>
      </c>
      <c r="P641" s="16">
        <v>0</v>
      </c>
      <c r="Q641" s="16">
        <v>0</v>
      </c>
      <c r="R641" s="16">
        <v>0</v>
      </c>
      <c r="S641" s="16">
        <v>0</v>
      </c>
      <c r="T641" s="16">
        <v>0</v>
      </c>
      <c r="U641" s="16">
        <v>0</v>
      </c>
      <c r="V641" s="16">
        <f>($J641*0.04)+($K641*4)+($L641*-2)+($N641*0.1)+($O641*6)+($Q641)+($R641*0.1)+($S641*6)+($T641*-2)</f>
        <v>0</v>
      </c>
      <c r="W641" s="16" t="e">
        <f>$P641/$H$33</f>
        <v>#DIV/0!</v>
      </c>
      <c r="X641" s="16" t="e">
        <f>$N641/$M641</f>
        <v>#DIV/0!</v>
      </c>
      <c r="Y641" s="16" t="e">
        <f>$R641/$Q641</f>
        <v>#DIV/0!</v>
      </c>
      <c r="Z641" s="16" t="e">
        <f>$I641/$H641</f>
        <v>#DIV/0!</v>
      </c>
      <c r="AA641" s="16" t="e">
        <f>$K641/$H641</f>
        <v>#DIV/0!</v>
      </c>
      <c r="AB641" s="16">
        <f>($J641*Cp_yd)+($K641*Cp_td)+($L641*Cint)+($M641*Ccar)+($N641*Cr_yd)+($O641*Cr_td)+(Q641*Crec)+($R641*Crec_yd)+($S641*Crec_td)+($T641*Cfmb)+($U641*Ctp_c)</f>
        <v>0</v>
      </c>
    </row>
    <row r="642" spans="1:28" x14ac:dyDescent="0.2">
      <c r="A642" s="15" t="s">
        <v>1483</v>
      </c>
      <c r="B642" s="15" t="s">
        <v>31</v>
      </c>
      <c r="C642" s="15">
        <v>25</v>
      </c>
      <c r="D642" s="15">
        <v>0</v>
      </c>
      <c r="E642" s="15" t="s">
        <v>155</v>
      </c>
      <c r="F642" s="15" t="s">
        <v>1457</v>
      </c>
      <c r="G642" s="15">
        <v>0</v>
      </c>
      <c r="H642" s="15">
        <v>0</v>
      </c>
      <c r="I642" s="15">
        <v>0</v>
      </c>
      <c r="J642" s="15">
        <v>0</v>
      </c>
      <c r="K642" s="15">
        <v>0</v>
      </c>
      <c r="L642" s="15">
        <v>0</v>
      </c>
      <c r="M642" s="15">
        <v>0</v>
      </c>
      <c r="N642" s="15">
        <v>0</v>
      </c>
      <c r="O642" s="15">
        <v>0</v>
      </c>
      <c r="P642" s="15">
        <v>0</v>
      </c>
      <c r="Q642" s="15">
        <v>0</v>
      </c>
      <c r="R642" s="15">
        <v>0</v>
      </c>
      <c r="S642" s="15">
        <v>0</v>
      </c>
      <c r="T642" s="15">
        <v>0</v>
      </c>
      <c r="U642" s="15">
        <v>0</v>
      </c>
      <c r="V642" s="15">
        <f>($J642*0.04)+($K642*4)+($L642*-2)+($N642*0.1)+($O642*6)+($Q642)+($R642*0.1)+($S642*6)+($T642*-2)</f>
        <v>0</v>
      </c>
      <c r="W642" s="15" t="e">
        <f>$P642/$H$33</f>
        <v>#DIV/0!</v>
      </c>
      <c r="X642" s="15" t="e">
        <f>$N642/$M642</f>
        <v>#DIV/0!</v>
      </c>
      <c r="Y642" s="15" t="e">
        <f>$R642/$Q642</f>
        <v>#DIV/0!</v>
      </c>
      <c r="Z642" s="15" t="e">
        <f>$I642/$H642</f>
        <v>#DIV/0!</v>
      </c>
      <c r="AA642" s="15" t="e">
        <f>$K642/$H642</f>
        <v>#DIV/0!</v>
      </c>
      <c r="AB642" s="15">
        <f>($J642*Cp_yd)+($K642*Cp_td)+($L642*Cint)+($M642*Ccar)+($N642*Cr_yd)+($O642*Cr_td)+(Q642*Crec)+($R642*Crec_yd)+($S642*Crec_td)+($T642*Cfmb)+($U642*Ctp_c)</f>
        <v>0</v>
      </c>
    </row>
    <row r="643" spans="1:28" x14ac:dyDescent="0.2">
      <c r="A643" s="16" t="s">
        <v>1485</v>
      </c>
      <c r="B643" s="16" t="s">
        <v>43</v>
      </c>
      <c r="C643" s="16">
        <v>24</v>
      </c>
      <c r="D643" s="16">
        <v>2</v>
      </c>
      <c r="E643" s="16" t="s">
        <v>557</v>
      </c>
      <c r="F643" s="16" t="s">
        <v>1457</v>
      </c>
      <c r="G643" s="16">
        <v>0</v>
      </c>
      <c r="H643" s="16">
        <v>0</v>
      </c>
      <c r="I643" s="16">
        <v>0</v>
      </c>
      <c r="J643" s="16">
        <v>0</v>
      </c>
      <c r="K643" s="16">
        <v>0</v>
      </c>
      <c r="L643" s="16">
        <v>0</v>
      </c>
      <c r="M643" s="16">
        <v>0</v>
      </c>
      <c r="N643" s="16">
        <v>0</v>
      </c>
      <c r="O643" s="16">
        <v>0</v>
      </c>
      <c r="P643" s="16">
        <v>0</v>
      </c>
      <c r="Q643" s="16">
        <v>0</v>
      </c>
      <c r="R643" s="16">
        <v>0</v>
      </c>
      <c r="S643" s="16">
        <v>0</v>
      </c>
      <c r="T643" s="16">
        <v>0</v>
      </c>
      <c r="U643" s="16">
        <v>0</v>
      </c>
      <c r="V643" s="16">
        <f>($J643*0.04)+($K643*4)+($L643*-2)+($N643*0.1)+($O643*6)+($Q643)+($R643*0.1)+($S643*6)+($T643*-2)</f>
        <v>0</v>
      </c>
      <c r="W643" s="16" t="e">
        <f>$P643/$H$33</f>
        <v>#DIV/0!</v>
      </c>
      <c r="X643" s="16" t="e">
        <f>$N643/$M643</f>
        <v>#DIV/0!</v>
      </c>
      <c r="Y643" s="16" t="e">
        <f>$R643/$Q643</f>
        <v>#DIV/0!</v>
      </c>
      <c r="Z643" s="16" t="e">
        <f>$I643/$H643</f>
        <v>#DIV/0!</v>
      </c>
      <c r="AA643" s="16" t="e">
        <f>$K643/$H643</f>
        <v>#DIV/0!</v>
      </c>
      <c r="AB643" s="16">
        <f>($J643*Cp_yd)+($K643*Cp_td)+($L643*Cint)+($M643*Ccar)+($N643*Cr_yd)+($O643*Cr_td)+(Q643*Crec)+($R643*Crec_yd)+($S643*Crec_td)+($T643*Cfmb)+($U643*Ctp_c)</f>
        <v>0</v>
      </c>
    </row>
    <row r="644" spans="1:28" x14ac:dyDescent="0.2">
      <c r="A644" s="15" t="s">
        <v>1486</v>
      </c>
      <c r="B644" s="15" t="s">
        <v>43</v>
      </c>
      <c r="C644" s="15">
        <v>26</v>
      </c>
      <c r="D644" s="15">
        <v>5</v>
      </c>
      <c r="E644" s="15" t="s">
        <v>362</v>
      </c>
      <c r="F644" s="15" t="s">
        <v>1457</v>
      </c>
      <c r="G644" s="15">
        <v>0</v>
      </c>
      <c r="H644" s="15">
        <v>0</v>
      </c>
      <c r="I644" s="15">
        <v>0</v>
      </c>
      <c r="J644" s="15">
        <v>0</v>
      </c>
      <c r="K644" s="15">
        <v>0</v>
      </c>
      <c r="L644" s="15">
        <v>0</v>
      </c>
      <c r="M644" s="15">
        <v>0</v>
      </c>
      <c r="N644" s="15">
        <v>0</v>
      </c>
      <c r="O644" s="15">
        <v>0</v>
      </c>
      <c r="P644" s="15">
        <v>0</v>
      </c>
      <c r="Q644" s="15">
        <v>0</v>
      </c>
      <c r="R644" s="15">
        <v>0</v>
      </c>
      <c r="S644" s="15">
        <v>0</v>
      </c>
      <c r="T644" s="15">
        <v>0</v>
      </c>
      <c r="U644" s="15">
        <v>0</v>
      </c>
      <c r="V644" s="15">
        <f>($J644*0.04)+($K644*4)+($L644*-2)+($N644*0.1)+($O644*6)+($Q644)+($R644*0.1)+($S644*6)+($T644*-2)</f>
        <v>0</v>
      </c>
      <c r="W644" s="15" t="e">
        <f>$P644/$H$33</f>
        <v>#DIV/0!</v>
      </c>
      <c r="X644" s="15" t="e">
        <f>$N644/$M644</f>
        <v>#DIV/0!</v>
      </c>
      <c r="Y644" s="15" t="e">
        <f>$R644/$Q644</f>
        <v>#DIV/0!</v>
      </c>
      <c r="Z644" s="15" t="e">
        <f>$I644/$H644</f>
        <v>#DIV/0!</v>
      </c>
      <c r="AA644" s="15" t="e">
        <f>$K644/$H644</f>
        <v>#DIV/0!</v>
      </c>
      <c r="AB644" s="15">
        <f>($J644*Cp_yd)+($K644*Cp_td)+($L644*Cint)+($M644*Ccar)+($N644*Cr_yd)+($O644*Cr_td)+(Q644*Crec)+($R644*Crec_yd)+($S644*Crec_td)+($T644*Cfmb)+($U644*Ctp_c)</f>
        <v>0</v>
      </c>
    </row>
    <row r="645" spans="1:28" x14ac:dyDescent="0.2">
      <c r="A645" s="16" t="s">
        <v>1487</v>
      </c>
      <c r="B645" s="16" t="s">
        <v>43</v>
      </c>
      <c r="C645" s="16">
        <v>27</v>
      </c>
      <c r="D645" s="16">
        <v>2</v>
      </c>
      <c r="E645" s="16" t="s">
        <v>244</v>
      </c>
      <c r="F645" s="16" t="s">
        <v>1457</v>
      </c>
      <c r="G645" s="16">
        <v>0</v>
      </c>
      <c r="H645" s="16">
        <v>0</v>
      </c>
      <c r="I645" s="16">
        <v>0</v>
      </c>
      <c r="J645" s="16">
        <v>0</v>
      </c>
      <c r="K645" s="16">
        <v>0</v>
      </c>
      <c r="L645" s="16">
        <v>0</v>
      </c>
      <c r="M645" s="16">
        <v>0</v>
      </c>
      <c r="N645" s="16">
        <v>0</v>
      </c>
      <c r="O645" s="16">
        <v>0</v>
      </c>
      <c r="P645" s="16">
        <v>0</v>
      </c>
      <c r="Q645" s="16">
        <v>0</v>
      </c>
      <c r="R645" s="16">
        <v>0</v>
      </c>
      <c r="S645" s="16">
        <v>0</v>
      </c>
      <c r="T645" s="16">
        <v>0</v>
      </c>
      <c r="U645" s="16">
        <v>0</v>
      </c>
      <c r="V645" s="16">
        <f>($J645*0.04)+($K645*4)+($L645*-2)+($N645*0.1)+($O645*6)+($Q645)+($R645*0.1)+($S645*6)+($T645*-2)</f>
        <v>0</v>
      </c>
      <c r="W645" s="16" t="e">
        <f>$P645/$H$33</f>
        <v>#DIV/0!</v>
      </c>
      <c r="X645" s="16" t="e">
        <f>$N645/$M645</f>
        <v>#DIV/0!</v>
      </c>
      <c r="Y645" s="16" t="e">
        <f>$R645/$Q645</f>
        <v>#DIV/0!</v>
      </c>
      <c r="Z645" s="16" t="e">
        <f>$I645/$H645</f>
        <v>#DIV/0!</v>
      </c>
      <c r="AA645" s="16" t="e">
        <f>$K645/$H645</f>
        <v>#DIV/0!</v>
      </c>
      <c r="AB645" s="16">
        <f>($J645*Cp_yd)+($K645*Cp_td)+($L645*Cint)+($M645*Ccar)+($N645*Cr_yd)+($O645*Cr_td)+(Q645*Crec)+($R645*Crec_yd)+($S645*Crec_td)+($T645*Cfmb)+($U645*Ctp_c)</f>
        <v>0</v>
      </c>
    </row>
    <row r="646" spans="1:28" x14ac:dyDescent="0.2">
      <c r="A646" s="15" t="s">
        <v>1488</v>
      </c>
      <c r="B646" s="15" t="s">
        <v>43</v>
      </c>
      <c r="C646" s="15">
        <v>23</v>
      </c>
      <c r="D646" s="15">
        <v>0</v>
      </c>
      <c r="E646" s="15" t="s">
        <v>795</v>
      </c>
      <c r="F646" s="15" t="s">
        <v>1457</v>
      </c>
      <c r="G646" s="15">
        <v>0</v>
      </c>
      <c r="H646" s="15">
        <v>0</v>
      </c>
      <c r="I646" s="15">
        <v>0</v>
      </c>
      <c r="J646" s="15">
        <v>0</v>
      </c>
      <c r="K646" s="15">
        <v>0</v>
      </c>
      <c r="L646" s="15">
        <v>0</v>
      </c>
      <c r="M646" s="15">
        <v>0</v>
      </c>
      <c r="N646" s="15">
        <v>0</v>
      </c>
      <c r="O646" s="15">
        <v>0</v>
      </c>
      <c r="P646" s="15">
        <v>0</v>
      </c>
      <c r="Q646" s="15">
        <v>0</v>
      </c>
      <c r="R646" s="15">
        <v>0</v>
      </c>
      <c r="S646" s="15">
        <v>0</v>
      </c>
      <c r="T646" s="15">
        <v>0</v>
      </c>
      <c r="U646" s="15">
        <v>0</v>
      </c>
      <c r="V646" s="15">
        <f>($J646*0.04)+($K646*4)+($L646*-2)+($N646*0.1)+($O646*6)+($Q646)+($R646*0.1)+($S646*6)+($T646*-2)</f>
        <v>0</v>
      </c>
      <c r="W646" s="15" t="e">
        <f>$P646/$H$33</f>
        <v>#DIV/0!</v>
      </c>
      <c r="X646" s="15" t="e">
        <f>$N646/$M646</f>
        <v>#DIV/0!</v>
      </c>
      <c r="Y646" s="15" t="e">
        <f>$R646/$Q646</f>
        <v>#DIV/0!</v>
      </c>
      <c r="Z646" s="15" t="e">
        <f>$I646/$H646</f>
        <v>#DIV/0!</v>
      </c>
      <c r="AA646" s="15" t="e">
        <f>$K646/$H646</f>
        <v>#DIV/0!</v>
      </c>
      <c r="AB646" s="15">
        <f>($J646*Cp_yd)+($K646*Cp_td)+($L646*Cint)+($M646*Ccar)+($N646*Cr_yd)+($O646*Cr_td)+(Q646*Crec)+($R646*Crec_yd)+($S646*Crec_td)+($T646*Cfmb)+($U646*Ctp_c)</f>
        <v>0</v>
      </c>
    </row>
    <row r="647" spans="1:28" x14ac:dyDescent="0.2">
      <c r="A647" s="16" t="s">
        <v>1489</v>
      </c>
      <c r="B647" s="16" t="s">
        <v>43</v>
      </c>
      <c r="C647" s="16">
        <v>26</v>
      </c>
      <c r="D647" s="16">
        <v>3</v>
      </c>
      <c r="E647" s="16" t="s">
        <v>339</v>
      </c>
      <c r="F647" s="16" t="s">
        <v>1457</v>
      </c>
      <c r="G647" s="16">
        <v>0</v>
      </c>
      <c r="H647" s="16">
        <v>0</v>
      </c>
      <c r="I647" s="16">
        <v>0</v>
      </c>
      <c r="J647" s="16">
        <v>0</v>
      </c>
      <c r="K647" s="16">
        <v>0</v>
      </c>
      <c r="L647" s="16">
        <v>0</v>
      </c>
      <c r="M647" s="16">
        <v>0</v>
      </c>
      <c r="N647" s="16">
        <v>0</v>
      </c>
      <c r="O647" s="16">
        <v>0</v>
      </c>
      <c r="P647" s="16">
        <v>0</v>
      </c>
      <c r="Q647" s="16">
        <v>0</v>
      </c>
      <c r="R647" s="16">
        <v>0</v>
      </c>
      <c r="S647" s="16">
        <v>0</v>
      </c>
      <c r="T647" s="16">
        <v>0</v>
      </c>
      <c r="U647" s="16">
        <v>0</v>
      </c>
      <c r="V647" s="16">
        <f>($J647*0.04)+($K647*4)+($L647*-2)+($N647*0.1)+($O647*6)+($Q647)+($R647*0.1)+($S647*6)+($T647*-2)</f>
        <v>0</v>
      </c>
      <c r="W647" s="16" t="e">
        <f>$P647/$H$33</f>
        <v>#DIV/0!</v>
      </c>
      <c r="X647" s="16" t="e">
        <f>$N647/$M647</f>
        <v>#DIV/0!</v>
      </c>
      <c r="Y647" s="16" t="e">
        <f>$R647/$Q647</f>
        <v>#DIV/0!</v>
      </c>
      <c r="Z647" s="16" t="e">
        <f>$I647/$H647</f>
        <v>#DIV/0!</v>
      </c>
      <c r="AA647" s="16" t="e">
        <f>$K647/$H647</f>
        <v>#DIV/0!</v>
      </c>
      <c r="AB647" s="16">
        <f>($J647*Cp_yd)+($K647*Cp_td)+($L647*Cint)+($M647*Ccar)+($N647*Cr_yd)+($O647*Cr_td)+(Q647*Crec)+($R647*Crec_yd)+($S647*Crec_td)+($T647*Cfmb)+($U647*Ctp_c)</f>
        <v>0</v>
      </c>
    </row>
    <row r="648" spans="1:28" x14ac:dyDescent="0.2">
      <c r="A648" s="15" t="s">
        <v>1490</v>
      </c>
      <c r="B648" s="15" t="s">
        <v>43</v>
      </c>
      <c r="C648" s="15">
        <v>25</v>
      </c>
      <c r="D648" s="15">
        <v>2</v>
      </c>
      <c r="E648" s="15" t="s">
        <v>209</v>
      </c>
      <c r="F648" s="15" t="s">
        <v>1457</v>
      </c>
      <c r="G648" s="15">
        <v>0</v>
      </c>
      <c r="H648" s="15">
        <v>0</v>
      </c>
      <c r="I648" s="15">
        <v>0</v>
      </c>
      <c r="J648" s="15">
        <v>0</v>
      </c>
      <c r="K648" s="15">
        <v>0</v>
      </c>
      <c r="L648" s="15">
        <v>0</v>
      </c>
      <c r="M648" s="15">
        <v>0</v>
      </c>
      <c r="N648" s="15">
        <v>0</v>
      </c>
      <c r="O648" s="15">
        <v>0</v>
      </c>
      <c r="P648" s="15">
        <v>0</v>
      </c>
      <c r="Q648" s="15">
        <v>0</v>
      </c>
      <c r="R648" s="15">
        <v>0</v>
      </c>
      <c r="S648" s="15">
        <v>0</v>
      </c>
      <c r="T648" s="15">
        <v>0</v>
      </c>
      <c r="U648" s="15">
        <v>0</v>
      </c>
      <c r="V648" s="15">
        <f>($J648*0.04)+($K648*4)+($L648*-2)+($N648*0.1)+($O648*6)+($Q648)+($R648*0.1)+($S648*6)+($T648*-2)</f>
        <v>0</v>
      </c>
      <c r="W648" s="15" t="e">
        <f>$P648/$H$33</f>
        <v>#DIV/0!</v>
      </c>
      <c r="X648" s="15" t="e">
        <f>$N648/$M648</f>
        <v>#DIV/0!</v>
      </c>
      <c r="Y648" s="15" t="e">
        <f>$R648/$Q648</f>
        <v>#DIV/0!</v>
      </c>
      <c r="Z648" s="15" t="e">
        <f>$I648/$H648</f>
        <v>#DIV/0!</v>
      </c>
      <c r="AA648" s="15" t="e">
        <f>$K648/$H648</f>
        <v>#DIV/0!</v>
      </c>
      <c r="AB648" s="15">
        <f>($J648*Cp_yd)+($K648*Cp_td)+($L648*Cint)+($M648*Ccar)+($N648*Cr_yd)+($O648*Cr_td)+(Q648*Crec)+($R648*Crec_yd)+($S648*Crec_td)+($T648*Cfmb)+($U648*Ctp_c)</f>
        <v>0</v>
      </c>
    </row>
    <row r="649" spans="1:28" x14ac:dyDescent="0.2">
      <c r="A649" s="16" t="s">
        <v>1491</v>
      </c>
      <c r="B649" s="16" t="s">
        <v>43</v>
      </c>
      <c r="C649" s="16">
        <v>27</v>
      </c>
      <c r="D649" s="16">
        <v>5</v>
      </c>
      <c r="E649" s="16" t="s">
        <v>138</v>
      </c>
      <c r="F649" s="16" t="s">
        <v>1457</v>
      </c>
      <c r="G649" s="16">
        <v>0</v>
      </c>
      <c r="H649" s="16">
        <v>0</v>
      </c>
      <c r="I649" s="16">
        <v>0</v>
      </c>
      <c r="J649" s="16">
        <v>0</v>
      </c>
      <c r="K649" s="16">
        <v>0</v>
      </c>
      <c r="L649" s="16">
        <v>0</v>
      </c>
      <c r="M649" s="16">
        <v>0</v>
      </c>
      <c r="N649" s="16">
        <v>0</v>
      </c>
      <c r="O649" s="16">
        <v>0</v>
      </c>
      <c r="P649" s="16">
        <v>0</v>
      </c>
      <c r="Q649" s="16">
        <v>0</v>
      </c>
      <c r="R649" s="16">
        <v>0</v>
      </c>
      <c r="S649" s="16">
        <v>0</v>
      </c>
      <c r="T649" s="16">
        <v>0</v>
      </c>
      <c r="U649" s="16">
        <v>0</v>
      </c>
      <c r="V649" s="16">
        <f>($J649*0.04)+($K649*4)+($L649*-2)+($N649*0.1)+($O649*6)+($Q649)+($R649*0.1)+($S649*6)+($T649*-2)</f>
        <v>0</v>
      </c>
      <c r="W649" s="16" t="e">
        <f>$P649/$H$33</f>
        <v>#DIV/0!</v>
      </c>
      <c r="X649" s="16" t="e">
        <f>$N649/$M649</f>
        <v>#DIV/0!</v>
      </c>
      <c r="Y649" s="16" t="e">
        <f>$R649/$Q649</f>
        <v>#DIV/0!</v>
      </c>
      <c r="Z649" s="16" t="e">
        <f>$I649/$H649</f>
        <v>#DIV/0!</v>
      </c>
      <c r="AA649" s="16" t="e">
        <f>$K649/$H649</f>
        <v>#DIV/0!</v>
      </c>
      <c r="AB649" s="16">
        <f>($J649*Cp_yd)+($K649*Cp_td)+($L649*Cint)+($M649*Ccar)+($N649*Cr_yd)+($O649*Cr_td)+(Q649*Crec)+($R649*Crec_yd)+($S649*Crec_td)+($T649*Cfmb)+($U649*Ctp_c)</f>
        <v>0</v>
      </c>
    </row>
    <row r="650" spans="1:28" x14ac:dyDescent="0.2">
      <c r="A650" s="15" t="s">
        <v>1492</v>
      </c>
      <c r="B650" s="15" t="s">
        <v>43</v>
      </c>
      <c r="C650" s="15">
        <v>26</v>
      </c>
      <c r="D650" s="15">
        <v>5</v>
      </c>
      <c r="E650" s="15" t="s">
        <v>1493</v>
      </c>
      <c r="F650" s="15" t="s">
        <v>1457</v>
      </c>
      <c r="G650" s="15">
        <v>0</v>
      </c>
      <c r="H650" s="15">
        <v>0</v>
      </c>
      <c r="I650" s="15">
        <v>0</v>
      </c>
      <c r="J650" s="15">
        <v>0</v>
      </c>
      <c r="K650" s="15">
        <v>0</v>
      </c>
      <c r="L650" s="15">
        <v>0</v>
      </c>
      <c r="M650" s="15">
        <v>0</v>
      </c>
      <c r="N650" s="15">
        <v>0</v>
      </c>
      <c r="O650" s="15">
        <v>0</v>
      </c>
      <c r="P650" s="15">
        <v>0</v>
      </c>
      <c r="Q650" s="15">
        <v>0</v>
      </c>
      <c r="R650" s="15">
        <v>0</v>
      </c>
      <c r="S650" s="15">
        <v>0</v>
      </c>
      <c r="T650" s="15">
        <v>0</v>
      </c>
      <c r="U650" s="15">
        <v>0</v>
      </c>
      <c r="V650" s="15">
        <f>($J650*0.04)+($K650*4)+($L650*-2)+($N650*0.1)+($O650*6)+($Q650)+($R650*0.1)+($S650*6)+($T650*-2)</f>
        <v>0</v>
      </c>
      <c r="W650" s="15" t="e">
        <f>$P650/$H$33</f>
        <v>#DIV/0!</v>
      </c>
      <c r="X650" s="15" t="e">
        <f>$N650/$M650</f>
        <v>#DIV/0!</v>
      </c>
      <c r="Y650" s="15" t="e">
        <f>$R650/$Q650</f>
        <v>#DIV/0!</v>
      </c>
      <c r="Z650" s="15" t="e">
        <f>$I650/$H650</f>
        <v>#DIV/0!</v>
      </c>
      <c r="AA650" s="15" t="e">
        <f>$K650/$H650</f>
        <v>#DIV/0!</v>
      </c>
      <c r="AB650" s="15">
        <f>($J650*Cp_yd)+($K650*Cp_td)+($L650*Cint)+($M650*Ccar)+($N650*Cr_yd)+($O650*Cr_td)+(Q650*Crec)+($R650*Crec_yd)+($S650*Crec_td)+($T650*Cfmb)+($U650*Ctp_c)</f>
        <v>0</v>
      </c>
    </row>
    <row r="651" spans="1:28" x14ac:dyDescent="0.2">
      <c r="A651" s="16" t="s">
        <v>1494</v>
      </c>
      <c r="B651" s="16" t="s">
        <v>43</v>
      </c>
      <c r="C651" s="16">
        <v>22</v>
      </c>
      <c r="D651" s="16">
        <v>2</v>
      </c>
      <c r="E651" s="16" t="s">
        <v>173</v>
      </c>
      <c r="F651" s="16" t="s">
        <v>1457</v>
      </c>
      <c r="G651" s="16">
        <v>0</v>
      </c>
      <c r="H651" s="16">
        <v>0</v>
      </c>
      <c r="I651" s="16">
        <v>0</v>
      </c>
      <c r="J651" s="16">
        <v>0</v>
      </c>
      <c r="K651" s="16">
        <v>0</v>
      </c>
      <c r="L651" s="16">
        <v>0</v>
      </c>
      <c r="M651" s="16">
        <v>0</v>
      </c>
      <c r="N651" s="16">
        <v>0</v>
      </c>
      <c r="O651" s="16">
        <v>0</v>
      </c>
      <c r="P651" s="16">
        <v>0</v>
      </c>
      <c r="Q651" s="16">
        <v>0</v>
      </c>
      <c r="R651" s="16">
        <v>0</v>
      </c>
      <c r="S651" s="16">
        <v>0</v>
      </c>
      <c r="T651" s="16">
        <v>0</v>
      </c>
      <c r="U651" s="16">
        <v>0</v>
      </c>
      <c r="V651" s="16">
        <f>($J651*0.04)+($K651*4)+($L651*-2)+($N651*0.1)+($O651*6)+($Q651)+($R651*0.1)+($S651*6)+($T651*-2)</f>
        <v>0</v>
      </c>
      <c r="W651" s="16" t="e">
        <f>$P651/$H$33</f>
        <v>#DIV/0!</v>
      </c>
      <c r="X651" s="16" t="e">
        <f>$N651/$M651</f>
        <v>#DIV/0!</v>
      </c>
      <c r="Y651" s="16" t="e">
        <f>$R651/$Q651</f>
        <v>#DIV/0!</v>
      </c>
      <c r="Z651" s="16" t="e">
        <f>$I651/$H651</f>
        <v>#DIV/0!</v>
      </c>
      <c r="AA651" s="16" t="e">
        <f>$K651/$H651</f>
        <v>#DIV/0!</v>
      </c>
      <c r="AB651" s="16">
        <f>($J651*Cp_yd)+($K651*Cp_td)+($L651*Cint)+($M651*Ccar)+($N651*Cr_yd)+($O651*Cr_td)+(Q651*Crec)+($R651*Crec_yd)+($S651*Crec_td)+($T651*Cfmb)+($U651*Ctp_c)</f>
        <v>0</v>
      </c>
    </row>
    <row r="652" spans="1:28" x14ac:dyDescent="0.2">
      <c r="A652" s="15" t="s">
        <v>1495</v>
      </c>
      <c r="B652" s="15" t="s">
        <v>43</v>
      </c>
      <c r="C652" s="15">
        <v>29</v>
      </c>
      <c r="D652" s="15">
        <v>10</v>
      </c>
      <c r="E652" s="15" t="s">
        <v>339</v>
      </c>
      <c r="F652" s="15" t="s">
        <v>1457</v>
      </c>
      <c r="G652" s="15">
        <v>0</v>
      </c>
      <c r="H652" s="15">
        <v>0</v>
      </c>
      <c r="I652" s="15">
        <v>0</v>
      </c>
      <c r="J652" s="15">
        <v>0</v>
      </c>
      <c r="K652" s="15">
        <v>0</v>
      </c>
      <c r="L652" s="15">
        <v>0</v>
      </c>
      <c r="M652" s="15">
        <v>0</v>
      </c>
      <c r="N652" s="15">
        <v>0</v>
      </c>
      <c r="O652" s="15">
        <v>0</v>
      </c>
      <c r="P652" s="15">
        <v>0</v>
      </c>
      <c r="Q652" s="15">
        <v>0</v>
      </c>
      <c r="R652" s="15">
        <v>0</v>
      </c>
      <c r="S652" s="15">
        <v>0</v>
      </c>
      <c r="T652" s="15">
        <v>0</v>
      </c>
      <c r="U652" s="15">
        <v>0</v>
      </c>
      <c r="V652" s="15">
        <f>($J652*0.04)+($K652*4)+($L652*-2)+($N652*0.1)+($O652*6)+($Q652)+($R652*0.1)+($S652*6)+($T652*-2)</f>
        <v>0</v>
      </c>
      <c r="W652" s="15" t="e">
        <f>$P652/$H$33</f>
        <v>#DIV/0!</v>
      </c>
      <c r="X652" s="15" t="e">
        <f>$N652/$M652</f>
        <v>#DIV/0!</v>
      </c>
      <c r="Y652" s="15" t="e">
        <f>$R652/$Q652</f>
        <v>#DIV/0!</v>
      </c>
      <c r="Z652" s="15" t="e">
        <f>$I652/$H652</f>
        <v>#DIV/0!</v>
      </c>
      <c r="AA652" s="15" t="e">
        <f>$K652/$H652</f>
        <v>#DIV/0!</v>
      </c>
      <c r="AB652" s="15">
        <f>($J652*Cp_yd)+($K652*Cp_td)+($L652*Cint)+($M652*Ccar)+($N652*Cr_yd)+($O652*Cr_td)+(Q652*Crec)+($R652*Crec_yd)+($S652*Crec_td)+($T652*Cfmb)+($U652*Ctp_c)</f>
        <v>0</v>
      </c>
    </row>
    <row r="653" spans="1:28" x14ac:dyDescent="0.2">
      <c r="A653" s="16" t="s">
        <v>1497</v>
      </c>
      <c r="B653" s="16" t="s">
        <v>38</v>
      </c>
      <c r="C653" s="16">
        <v>24</v>
      </c>
      <c r="D653" s="16">
        <v>3</v>
      </c>
      <c r="E653" s="16" t="s">
        <v>339</v>
      </c>
      <c r="F653" s="16" t="s">
        <v>1457</v>
      </c>
      <c r="G653" s="16">
        <v>0</v>
      </c>
      <c r="H653" s="16">
        <v>0</v>
      </c>
      <c r="I653" s="16">
        <v>0</v>
      </c>
      <c r="J653" s="16">
        <v>0</v>
      </c>
      <c r="K653" s="16">
        <v>0</v>
      </c>
      <c r="L653" s="16">
        <v>0</v>
      </c>
      <c r="M653" s="16">
        <v>0</v>
      </c>
      <c r="N653" s="16">
        <v>0</v>
      </c>
      <c r="O653" s="16">
        <v>0</v>
      </c>
      <c r="P653" s="16">
        <v>0</v>
      </c>
      <c r="Q653" s="16">
        <v>0</v>
      </c>
      <c r="R653" s="16">
        <v>0</v>
      </c>
      <c r="S653" s="16">
        <v>0</v>
      </c>
      <c r="T653" s="16">
        <v>0</v>
      </c>
      <c r="U653" s="16">
        <v>0</v>
      </c>
      <c r="V653" s="16">
        <f>($J653*0.04)+($K653*4)+($L653*-2)+($N653*0.1)+($O653*6)+($Q653)+($R653*0.1)+($S653*6)+($T653*-2)</f>
        <v>0</v>
      </c>
      <c r="W653" s="16" t="e">
        <f>$P653/$H$33</f>
        <v>#DIV/0!</v>
      </c>
      <c r="X653" s="16" t="e">
        <f>$N653/$M653</f>
        <v>#DIV/0!</v>
      </c>
      <c r="Y653" s="16" t="e">
        <f>$R653/$Q653</f>
        <v>#DIV/0!</v>
      </c>
      <c r="Z653" s="16" t="e">
        <f>$I653/$H653</f>
        <v>#DIV/0!</v>
      </c>
      <c r="AA653" s="16" t="e">
        <f>$K653/$H653</f>
        <v>#DIV/0!</v>
      </c>
      <c r="AB653" s="16">
        <f>($J653*Cp_yd)+($K653*Cp_td)+($L653*Cint)+($M653*Ccar)+($N653*Cr_yd)+($O653*Cr_td)+(Q653*Crec)+($R653*Crec_yd)+($S653*Crec_td)+($T653*Cfmb)+($U653*Ctp_c)</f>
        <v>0</v>
      </c>
    </row>
    <row r="654" spans="1:28" x14ac:dyDescent="0.2">
      <c r="A654" s="15" t="s">
        <v>1498</v>
      </c>
      <c r="B654" s="15" t="s">
        <v>38</v>
      </c>
      <c r="C654" s="15">
        <v>26</v>
      </c>
      <c r="D654" s="15">
        <v>5</v>
      </c>
      <c r="E654" s="15" t="s">
        <v>105</v>
      </c>
      <c r="F654" s="15" t="s">
        <v>1457</v>
      </c>
      <c r="G654" s="15">
        <v>0</v>
      </c>
      <c r="H654" s="15">
        <v>0</v>
      </c>
      <c r="I654" s="15">
        <v>0</v>
      </c>
      <c r="J654" s="15">
        <v>0</v>
      </c>
      <c r="K654" s="15">
        <v>0</v>
      </c>
      <c r="L654" s="15">
        <v>0</v>
      </c>
      <c r="M654" s="15">
        <v>0</v>
      </c>
      <c r="N654" s="15">
        <v>0</v>
      </c>
      <c r="O654" s="15">
        <v>0</v>
      </c>
      <c r="P654" s="15">
        <v>0</v>
      </c>
      <c r="Q654" s="15">
        <v>0</v>
      </c>
      <c r="R654" s="15">
        <v>0</v>
      </c>
      <c r="S654" s="15">
        <v>0</v>
      </c>
      <c r="T654" s="15">
        <v>0</v>
      </c>
      <c r="U654" s="15">
        <v>0</v>
      </c>
      <c r="V654" s="15">
        <f>($J654*0.04)+($K654*4)+($L654*-2)+($N654*0.1)+($O654*6)+($Q654)+($R654*0.1)+($S654*6)+($T654*-2)</f>
        <v>0</v>
      </c>
      <c r="W654" s="15" t="e">
        <f>$P654/$H$33</f>
        <v>#DIV/0!</v>
      </c>
      <c r="X654" s="15" t="e">
        <f>$N654/$M654</f>
        <v>#DIV/0!</v>
      </c>
      <c r="Y654" s="15" t="e">
        <f>$R654/$Q654</f>
        <v>#DIV/0!</v>
      </c>
      <c r="Z654" s="15" t="e">
        <f>$I654/$H654</f>
        <v>#DIV/0!</v>
      </c>
      <c r="AA654" s="15" t="e">
        <f>$K654/$H654</f>
        <v>#DIV/0!</v>
      </c>
      <c r="AB654" s="15">
        <f>($J654*Cp_yd)+($K654*Cp_td)+($L654*Cint)+($M654*Ccar)+($N654*Cr_yd)+($O654*Cr_td)+(Q654*Crec)+($R654*Crec_yd)+($S654*Crec_td)+($T654*Cfmb)+($U654*Ctp_c)</f>
        <v>0</v>
      </c>
    </row>
    <row r="655" spans="1:28" x14ac:dyDescent="0.2">
      <c r="A655" s="16" t="s">
        <v>1499</v>
      </c>
      <c r="B655" s="16" t="s">
        <v>38</v>
      </c>
      <c r="C655" s="16">
        <v>24</v>
      </c>
      <c r="D655" s="16">
        <v>2</v>
      </c>
      <c r="E655" s="16" t="s">
        <v>744</v>
      </c>
      <c r="F655" s="16" t="s">
        <v>1457</v>
      </c>
      <c r="G655" s="16">
        <v>0</v>
      </c>
      <c r="H655" s="16">
        <v>0</v>
      </c>
      <c r="I655" s="16">
        <v>0</v>
      </c>
      <c r="J655" s="16">
        <v>0</v>
      </c>
      <c r="K655" s="16">
        <v>0</v>
      </c>
      <c r="L655" s="16">
        <v>0</v>
      </c>
      <c r="M655" s="16">
        <v>0</v>
      </c>
      <c r="N655" s="16">
        <v>0</v>
      </c>
      <c r="O655" s="16">
        <v>0</v>
      </c>
      <c r="P655" s="16">
        <v>0</v>
      </c>
      <c r="Q655" s="16">
        <v>0</v>
      </c>
      <c r="R655" s="16">
        <v>0</v>
      </c>
      <c r="S655" s="16">
        <v>0</v>
      </c>
      <c r="T655" s="16">
        <v>0</v>
      </c>
      <c r="U655" s="16">
        <v>0</v>
      </c>
      <c r="V655" s="16">
        <f>($J655*0.04)+($K655*4)+($L655*-2)+($N655*0.1)+($O655*6)+($Q655)+($R655*0.1)+($S655*6)+($T655*-2)</f>
        <v>0</v>
      </c>
      <c r="W655" s="16" t="e">
        <f>$P655/$H$33</f>
        <v>#DIV/0!</v>
      </c>
      <c r="X655" s="16" t="e">
        <f>$N655/$M655</f>
        <v>#DIV/0!</v>
      </c>
      <c r="Y655" s="16" t="e">
        <f>$R655/$Q655</f>
        <v>#DIV/0!</v>
      </c>
      <c r="Z655" s="16" t="e">
        <f>$I655/$H655</f>
        <v>#DIV/0!</v>
      </c>
      <c r="AA655" s="16" t="e">
        <f>$K655/$H655</f>
        <v>#DIV/0!</v>
      </c>
      <c r="AB655" s="16">
        <f>($J655*Cp_yd)+($K655*Cp_td)+($L655*Cint)+($M655*Ccar)+($N655*Cr_yd)+($O655*Cr_td)+(Q655*Crec)+($R655*Crec_yd)+($S655*Crec_td)+($T655*Cfmb)+($U655*Ctp_c)</f>
        <v>0</v>
      </c>
    </row>
    <row r="656" spans="1:28" x14ac:dyDescent="0.2">
      <c r="A656" s="15" t="s">
        <v>1500</v>
      </c>
      <c r="B656" s="15" t="s">
        <v>38</v>
      </c>
      <c r="C656" s="15">
        <v>21</v>
      </c>
      <c r="D656" s="15">
        <v>0</v>
      </c>
      <c r="E656" s="15" t="s">
        <v>173</v>
      </c>
      <c r="F656" s="15" t="s">
        <v>1457</v>
      </c>
      <c r="G656" s="15">
        <v>0</v>
      </c>
      <c r="H656" s="15">
        <v>0</v>
      </c>
      <c r="I656" s="15">
        <v>0</v>
      </c>
      <c r="J656" s="15">
        <v>0</v>
      </c>
      <c r="K656" s="15">
        <v>0</v>
      </c>
      <c r="L656" s="15">
        <v>0</v>
      </c>
      <c r="M656" s="15">
        <v>0</v>
      </c>
      <c r="N656" s="15">
        <v>0</v>
      </c>
      <c r="O656" s="15">
        <v>0</v>
      </c>
      <c r="P656" s="15">
        <v>0</v>
      </c>
      <c r="Q656" s="15">
        <v>0</v>
      </c>
      <c r="R656" s="15">
        <v>0</v>
      </c>
      <c r="S656" s="15">
        <v>0</v>
      </c>
      <c r="T656" s="15">
        <v>0</v>
      </c>
      <c r="U656" s="15">
        <v>0</v>
      </c>
      <c r="V656" s="15">
        <f>($J656*0.04)+($K656*4)+($L656*-2)+($N656*0.1)+($O656*6)+($Q656)+($R656*0.1)+($S656*6)+($T656*-2)</f>
        <v>0</v>
      </c>
      <c r="W656" s="15" t="e">
        <f>$P656/$H$33</f>
        <v>#DIV/0!</v>
      </c>
      <c r="X656" s="15" t="e">
        <f>$N656/$M656</f>
        <v>#DIV/0!</v>
      </c>
      <c r="Y656" s="15" t="e">
        <f>$R656/$Q656</f>
        <v>#DIV/0!</v>
      </c>
      <c r="Z656" s="15" t="e">
        <f>$I656/$H656</f>
        <v>#DIV/0!</v>
      </c>
      <c r="AA656" s="15" t="e">
        <f>$K656/$H656</f>
        <v>#DIV/0!</v>
      </c>
      <c r="AB656" s="15">
        <f>($J656*Cp_yd)+($K656*Cp_td)+($L656*Cint)+($M656*Ccar)+($N656*Cr_yd)+($O656*Cr_td)+(Q656*Crec)+($R656*Crec_yd)+($S656*Crec_td)+($T656*Cfmb)+($U656*Ctp_c)</f>
        <v>0</v>
      </c>
    </row>
    <row r="657" spans="1:28" x14ac:dyDescent="0.2">
      <c r="A657" s="16" t="s">
        <v>1521</v>
      </c>
      <c r="B657" s="16" t="s">
        <v>26</v>
      </c>
      <c r="C657" s="16">
        <v>23</v>
      </c>
      <c r="D657" s="16">
        <v>0</v>
      </c>
      <c r="E657" s="16" t="s">
        <v>220</v>
      </c>
      <c r="F657" s="16" t="s">
        <v>1503</v>
      </c>
      <c r="G657" s="16">
        <v>0</v>
      </c>
      <c r="H657" s="16">
        <v>0</v>
      </c>
      <c r="I657" s="16">
        <v>0</v>
      </c>
      <c r="J657" s="16">
        <v>0</v>
      </c>
      <c r="K657" s="16">
        <v>0</v>
      </c>
      <c r="L657" s="16">
        <v>0</v>
      </c>
      <c r="M657" s="16">
        <v>0</v>
      </c>
      <c r="N657" s="16">
        <v>0</v>
      </c>
      <c r="O657" s="16">
        <v>0</v>
      </c>
      <c r="P657" s="16">
        <v>0</v>
      </c>
      <c r="Q657" s="16">
        <v>0</v>
      </c>
      <c r="R657" s="16">
        <v>0</v>
      </c>
      <c r="S657" s="16">
        <v>0</v>
      </c>
      <c r="T657" s="16">
        <v>0</v>
      </c>
      <c r="U657" s="16">
        <v>0</v>
      </c>
      <c r="V657" s="16">
        <f>($J657*0.04)+($K657*4)+($L657*-2)+($N657*0.1)+($O657*6)+($Q657)+($R657*0.1)+($S657*6)+($T657*-2)</f>
        <v>0</v>
      </c>
      <c r="W657" s="16" t="e">
        <f>$P657/$H$33</f>
        <v>#DIV/0!</v>
      </c>
      <c r="X657" s="16" t="e">
        <f>$N657/$M657</f>
        <v>#DIV/0!</v>
      </c>
      <c r="Y657" s="16" t="e">
        <f>$R657/$Q657</f>
        <v>#DIV/0!</v>
      </c>
      <c r="Z657" s="16" t="e">
        <f>$I657/$H657</f>
        <v>#DIV/0!</v>
      </c>
      <c r="AA657" s="16" t="e">
        <f>$K657/$H657</f>
        <v>#DIV/0!</v>
      </c>
      <c r="AB657" s="16">
        <f>($J657*Cp_yd)+($K657*Cp_td)+($L657*Cint)+($M657*Ccar)+($N657*Cr_yd)+($O657*Cr_td)+(Q657*Crec)+($R657*Crec_yd)+($S657*Crec_td)+($T657*Cfmb)+($U657*Ctp_c)</f>
        <v>0</v>
      </c>
    </row>
    <row r="658" spans="1:28" x14ac:dyDescent="0.2">
      <c r="A658" s="15" t="s">
        <v>1522</v>
      </c>
      <c r="B658" s="15" t="s">
        <v>26</v>
      </c>
      <c r="C658" s="15">
        <v>26</v>
      </c>
      <c r="D658" s="15">
        <v>5</v>
      </c>
      <c r="E658" s="15" t="s">
        <v>613</v>
      </c>
      <c r="F658" s="15" t="s">
        <v>1503</v>
      </c>
      <c r="G658" s="15">
        <v>0</v>
      </c>
      <c r="H658" s="15">
        <v>0</v>
      </c>
      <c r="I658" s="15">
        <v>0</v>
      </c>
      <c r="J658" s="15">
        <v>0</v>
      </c>
      <c r="K658" s="15">
        <v>0</v>
      </c>
      <c r="L658" s="15">
        <v>0</v>
      </c>
      <c r="M658" s="15">
        <v>0</v>
      </c>
      <c r="N658" s="15">
        <v>0</v>
      </c>
      <c r="O658" s="15">
        <v>0</v>
      </c>
      <c r="P658" s="15">
        <v>0</v>
      </c>
      <c r="Q658" s="15">
        <v>0</v>
      </c>
      <c r="R658" s="15">
        <v>0</v>
      </c>
      <c r="S658" s="15">
        <v>0</v>
      </c>
      <c r="T658" s="15">
        <v>0</v>
      </c>
      <c r="U658" s="15">
        <v>0</v>
      </c>
      <c r="V658" s="15">
        <f>($J658*0.04)+($K658*4)+($L658*-2)+($N658*0.1)+($O658*6)+($Q658)+($R658*0.1)+($S658*6)+($T658*-2)</f>
        <v>0</v>
      </c>
      <c r="W658" s="15" t="e">
        <f>$P658/$H$33</f>
        <v>#DIV/0!</v>
      </c>
      <c r="X658" s="15" t="e">
        <f>$N658/$M658</f>
        <v>#DIV/0!</v>
      </c>
      <c r="Y658" s="15" t="e">
        <f>$R658/$Q658</f>
        <v>#DIV/0!</v>
      </c>
      <c r="Z658" s="15" t="e">
        <f>$I658/$H658</f>
        <v>#DIV/0!</v>
      </c>
      <c r="AA658" s="15" t="e">
        <f>$K658/$H658</f>
        <v>#DIV/0!</v>
      </c>
      <c r="AB658" s="15">
        <f>($J658*Cp_yd)+($K658*Cp_td)+($L658*Cint)+($M658*Ccar)+($N658*Cr_yd)+($O658*Cr_td)+(Q658*Crec)+($R658*Crec_yd)+($S658*Crec_td)+($T658*Cfmb)+($U658*Ctp_c)</f>
        <v>0</v>
      </c>
    </row>
    <row r="659" spans="1:28" x14ac:dyDescent="0.2">
      <c r="A659" s="16" t="s">
        <v>1524</v>
      </c>
      <c r="B659" s="16" t="s">
        <v>31</v>
      </c>
      <c r="C659" s="16">
        <v>22</v>
      </c>
      <c r="D659" s="16">
        <v>0</v>
      </c>
      <c r="E659" s="16" t="s">
        <v>418</v>
      </c>
      <c r="F659" s="16" t="s">
        <v>1503</v>
      </c>
      <c r="G659" s="16">
        <v>0</v>
      </c>
      <c r="H659" s="16">
        <v>0</v>
      </c>
      <c r="I659" s="16">
        <v>0</v>
      </c>
      <c r="J659" s="16">
        <v>0</v>
      </c>
      <c r="K659" s="16">
        <v>0</v>
      </c>
      <c r="L659" s="16">
        <v>0</v>
      </c>
      <c r="M659" s="16">
        <v>0</v>
      </c>
      <c r="N659" s="16">
        <v>0</v>
      </c>
      <c r="O659" s="16">
        <v>0</v>
      </c>
      <c r="P659" s="16">
        <v>0</v>
      </c>
      <c r="Q659" s="16">
        <v>0</v>
      </c>
      <c r="R659" s="16">
        <v>0</v>
      </c>
      <c r="S659" s="16">
        <v>0</v>
      </c>
      <c r="T659" s="16">
        <v>0</v>
      </c>
      <c r="U659" s="16">
        <v>0</v>
      </c>
      <c r="V659" s="16">
        <f>($J659*0.04)+($K659*4)+($L659*-2)+($N659*0.1)+($O659*6)+($Q659)+($R659*0.1)+($S659*6)+($T659*-2)</f>
        <v>0</v>
      </c>
      <c r="W659" s="16" t="e">
        <f>$P659/$H$33</f>
        <v>#DIV/0!</v>
      </c>
      <c r="X659" s="16" t="e">
        <f>$N659/$M659</f>
        <v>#DIV/0!</v>
      </c>
      <c r="Y659" s="16" t="e">
        <f>$R659/$Q659</f>
        <v>#DIV/0!</v>
      </c>
      <c r="Z659" s="16" t="e">
        <f>$I659/$H659</f>
        <v>#DIV/0!</v>
      </c>
      <c r="AA659" s="16" t="e">
        <f>$K659/$H659</f>
        <v>#DIV/0!</v>
      </c>
      <c r="AB659" s="16">
        <f>($J659*Cp_yd)+($K659*Cp_td)+($L659*Cint)+($M659*Ccar)+($N659*Cr_yd)+($O659*Cr_td)+(Q659*Crec)+($R659*Crec_yd)+($S659*Crec_td)+($T659*Cfmb)+($U659*Ctp_c)</f>
        <v>0</v>
      </c>
    </row>
    <row r="660" spans="1:28" x14ac:dyDescent="0.2">
      <c r="A660" s="15" t="s">
        <v>1525</v>
      </c>
      <c r="B660" s="15" t="s">
        <v>31</v>
      </c>
      <c r="C660" s="15">
        <v>24</v>
      </c>
      <c r="D660" s="15">
        <v>4</v>
      </c>
      <c r="E660" s="15" t="s">
        <v>397</v>
      </c>
      <c r="F660" s="15" t="s">
        <v>1503</v>
      </c>
      <c r="G660" s="15">
        <v>0</v>
      </c>
      <c r="H660" s="15">
        <v>0</v>
      </c>
      <c r="I660" s="15">
        <v>0</v>
      </c>
      <c r="J660" s="15">
        <v>0</v>
      </c>
      <c r="K660" s="15">
        <v>0</v>
      </c>
      <c r="L660" s="15">
        <v>0</v>
      </c>
      <c r="M660" s="15">
        <v>0</v>
      </c>
      <c r="N660" s="15">
        <v>0</v>
      </c>
      <c r="O660" s="15">
        <v>0</v>
      </c>
      <c r="P660" s="15">
        <v>0</v>
      </c>
      <c r="Q660" s="15">
        <v>0</v>
      </c>
      <c r="R660" s="15">
        <v>0</v>
      </c>
      <c r="S660" s="15">
        <v>0</v>
      </c>
      <c r="T660" s="15">
        <v>0</v>
      </c>
      <c r="U660" s="15">
        <v>0</v>
      </c>
      <c r="V660" s="15">
        <f>($J660*0.04)+($K660*4)+($L660*-2)+($N660*0.1)+($O660*6)+($Q660)+($R660*0.1)+($S660*6)+($T660*-2)</f>
        <v>0</v>
      </c>
      <c r="W660" s="15" t="e">
        <f>$P660/$H$33</f>
        <v>#DIV/0!</v>
      </c>
      <c r="X660" s="15" t="e">
        <f>$N660/$M660</f>
        <v>#DIV/0!</v>
      </c>
      <c r="Y660" s="15" t="e">
        <f>$R660/$Q660</f>
        <v>#DIV/0!</v>
      </c>
      <c r="Z660" s="15" t="e">
        <f>$I660/$H660</f>
        <v>#DIV/0!</v>
      </c>
      <c r="AA660" s="15" t="e">
        <f>$K660/$H660</f>
        <v>#DIV/0!</v>
      </c>
      <c r="AB660" s="15">
        <f>($J660*Cp_yd)+($K660*Cp_td)+($L660*Cint)+($M660*Ccar)+($N660*Cr_yd)+($O660*Cr_td)+(Q660*Crec)+($R660*Crec_yd)+($S660*Crec_td)+($T660*Cfmb)+($U660*Ctp_c)</f>
        <v>0</v>
      </c>
    </row>
    <row r="661" spans="1:28" x14ac:dyDescent="0.2">
      <c r="A661" s="16" t="s">
        <v>1526</v>
      </c>
      <c r="B661" s="16" t="s">
        <v>31</v>
      </c>
      <c r="C661" s="16">
        <v>25</v>
      </c>
      <c r="D661" s="16">
        <v>1</v>
      </c>
      <c r="E661" s="16" t="s">
        <v>138</v>
      </c>
      <c r="F661" s="16" t="s">
        <v>1503</v>
      </c>
      <c r="G661" s="16">
        <v>0</v>
      </c>
      <c r="H661" s="16">
        <v>0</v>
      </c>
      <c r="I661" s="16">
        <v>0</v>
      </c>
      <c r="J661" s="16">
        <v>0</v>
      </c>
      <c r="K661" s="16">
        <v>0</v>
      </c>
      <c r="L661" s="16">
        <v>0</v>
      </c>
      <c r="M661" s="16">
        <v>0</v>
      </c>
      <c r="N661" s="16">
        <v>0</v>
      </c>
      <c r="O661" s="16">
        <v>0</v>
      </c>
      <c r="P661" s="16">
        <v>0</v>
      </c>
      <c r="Q661" s="16">
        <v>0</v>
      </c>
      <c r="R661" s="16">
        <v>0</v>
      </c>
      <c r="S661" s="16">
        <v>0</v>
      </c>
      <c r="T661" s="16">
        <v>0</v>
      </c>
      <c r="U661" s="16">
        <v>0</v>
      </c>
      <c r="V661" s="16">
        <f>($J661*0.04)+($K661*4)+($L661*-2)+($N661*0.1)+($O661*6)+($Q661)+($R661*0.1)+($S661*6)+($T661*-2)</f>
        <v>0</v>
      </c>
      <c r="W661" s="16" t="e">
        <f>$P661/$H$33</f>
        <v>#DIV/0!</v>
      </c>
      <c r="X661" s="16" t="e">
        <f>$N661/$M661</f>
        <v>#DIV/0!</v>
      </c>
      <c r="Y661" s="16" t="e">
        <f>$R661/$Q661</f>
        <v>#DIV/0!</v>
      </c>
      <c r="Z661" s="16" t="e">
        <f>$I661/$H661</f>
        <v>#DIV/0!</v>
      </c>
      <c r="AA661" s="16" t="e">
        <f>$K661/$H661</f>
        <v>#DIV/0!</v>
      </c>
      <c r="AB661" s="16">
        <f>($J661*Cp_yd)+($K661*Cp_td)+($L661*Cint)+($M661*Ccar)+($N661*Cr_yd)+($O661*Cr_td)+(Q661*Crec)+($R661*Crec_yd)+($S661*Crec_td)+($T661*Cfmb)+($U661*Ctp_c)</f>
        <v>0</v>
      </c>
    </row>
    <row r="662" spans="1:28" x14ac:dyDescent="0.2">
      <c r="A662" s="15" t="s">
        <v>1527</v>
      </c>
      <c r="B662" s="15" t="s">
        <v>31</v>
      </c>
      <c r="C662" s="15">
        <v>23</v>
      </c>
      <c r="D662" s="15">
        <v>0</v>
      </c>
      <c r="E662" s="15" t="s">
        <v>173</v>
      </c>
      <c r="F662" s="15" t="s">
        <v>1503</v>
      </c>
      <c r="G662" s="15">
        <v>0</v>
      </c>
      <c r="H662" s="15">
        <v>0</v>
      </c>
      <c r="I662" s="15">
        <v>0</v>
      </c>
      <c r="J662" s="15">
        <v>0</v>
      </c>
      <c r="K662" s="15">
        <v>0</v>
      </c>
      <c r="L662" s="15">
        <v>0</v>
      </c>
      <c r="M662" s="15">
        <v>0</v>
      </c>
      <c r="N662" s="15">
        <v>0</v>
      </c>
      <c r="O662" s="15">
        <v>0</v>
      </c>
      <c r="P662" s="15">
        <v>0</v>
      </c>
      <c r="Q662" s="15">
        <v>0</v>
      </c>
      <c r="R662" s="15">
        <v>0</v>
      </c>
      <c r="S662" s="15">
        <v>0</v>
      </c>
      <c r="T662" s="15">
        <v>0</v>
      </c>
      <c r="U662" s="15">
        <v>0</v>
      </c>
      <c r="V662" s="15">
        <f>($J662*0.04)+($K662*4)+($L662*-2)+($N662*0.1)+($O662*6)+($Q662)+($R662*0.1)+($S662*6)+($T662*-2)</f>
        <v>0</v>
      </c>
      <c r="W662" s="15" t="e">
        <f>$P662/$H$33</f>
        <v>#DIV/0!</v>
      </c>
      <c r="X662" s="15" t="e">
        <f>$N662/$M662</f>
        <v>#DIV/0!</v>
      </c>
      <c r="Y662" s="15" t="e">
        <f>$R662/$Q662</f>
        <v>#DIV/0!</v>
      </c>
      <c r="Z662" s="15" t="e">
        <f>$I662/$H662</f>
        <v>#DIV/0!</v>
      </c>
      <c r="AA662" s="15" t="e">
        <f>$K662/$H662</f>
        <v>#DIV/0!</v>
      </c>
      <c r="AB662" s="15">
        <f>($J662*Cp_yd)+($K662*Cp_td)+($L662*Cint)+($M662*Ccar)+($N662*Cr_yd)+($O662*Cr_td)+(Q662*Crec)+($R662*Crec_yd)+($S662*Crec_td)+($T662*Cfmb)+($U662*Ctp_c)</f>
        <v>0</v>
      </c>
    </row>
    <row r="663" spans="1:28" x14ac:dyDescent="0.2">
      <c r="A663" s="16" t="s">
        <v>1528</v>
      </c>
      <c r="B663" s="16" t="s">
        <v>31</v>
      </c>
      <c r="C663" s="16">
        <v>25</v>
      </c>
      <c r="D663" s="16">
        <v>0</v>
      </c>
      <c r="E663" s="16" t="s">
        <v>86</v>
      </c>
      <c r="F663" s="16" t="s">
        <v>1503</v>
      </c>
      <c r="G663" s="16">
        <v>0</v>
      </c>
      <c r="H663" s="16">
        <v>0</v>
      </c>
      <c r="I663" s="16">
        <v>0</v>
      </c>
      <c r="J663" s="16">
        <v>0</v>
      </c>
      <c r="K663" s="16">
        <v>0</v>
      </c>
      <c r="L663" s="16">
        <v>0</v>
      </c>
      <c r="M663" s="16">
        <v>0</v>
      </c>
      <c r="N663" s="16">
        <v>0</v>
      </c>
      <c r="O663" s="16">
        <v>0</v>
      </c>
      <c r="P663" s="16">
        <v>0</v>
      </c>
      <c r="Q663" s="16">
        <v>0</v>
      </c>
      <c r="R663" s="16">
        <v>0</v>
      </c>
      <c r="S663" s="16">
        <v>0</v>
      </c>
      <c r="T663" s="16">
        <v>0</v>
      </c>
      <c r="U663" s="16">
        <v>0</v>
      </c>
      <c r="V663" s="16">
        <f>($J663*0.04)+($K663*4)+($L663*-2)+($N663*0.1)+($O663*6)+($Q663)+($R663*0.1)+($S663*6)+($T663*-2)</f>
        <v>0</v>
      </c>
      <c r="W663" s="16" t="e">
        <f>$P663/$H$33</f>
        <v>#DIV/0!</v>
      </c>
      <c r="X663" s="16" t="e">
        <f>$N663/$M663</f>
        <v>#DIV/0!</v>
      </c>
      <c r="Y663" s="16" t="e">
        <f>$R663/$Q663</f>
        <v>#DIV/0!</v>
      </c>
      <c r="Z663" s="16" t="e">
        <f>$I663/$H663</f>
        <v>#DIV/0!</v>
      </c>
      <c r="AA663" s="16" t="e">
        <f>$K663/$H663</f>
        <v>#DIV/0!</v>
      </c>
      <c r="AB663" s="16">
        <f>($J663*Cp_yd)+($K663*Cp_td)+($L663*Cint)+($M663*Ccar)+($N663*Cr_yd)+($O663*Cr_td)+(Q663*Crec)+($R663*Crec_yd)+($S663*Crec_td)+($T663*Cfmb)+($U663*Ctp_c)</f>
        <v>0</v>
      </c>
    </row>
    <row r="664" spans="1:28" x14ac:dyDescent="0.2">
      <c r="A664" s="15" t="s">
        <v>1529</v>
      </c>
      <c r="B664" s="15" t="s">
        <v>31</v>
      </c>
      <c r="C664" s="15">
        <v>23</v>
      </c>
      <c r="D664" s="15">
        <v>1</v>
      </c>
      <c r="E664" s="15" t="s">
        <v>511</v>
      </c>
      <c r="F664" s="15" t="s">
        <v>1503</v>
      </c>
      <c r="G664" s="15">
        <v>0</v>
      </c>
      <c r="H664" s="15">
        <v>0</v>
      </c>
      <c r="I664" s="15">
        <v>0</v>
      </c>
      <c r="J664" s="15">
        <v>0</v>
      </c>
      <c r="K664" s="15">
        <v>0</v>
      </c>
      <c r="L664" s="15">
        <v>0</v>
      </c>
      <c r="M664" s="15">
        <v>0</v>
      </c>
      <c r="N664" s="15">
        <v>0</v>
      </c>
      <c r="O664" s="15">
        <v>0</v>
      </c>
      <c r="P664" s="15">
        <v>0</v>
      </c>
      <c r="Q664" s="15">
        <v>0</v>
      </c>
      <c r="R664" s="15">
        <v>0</v>
      </c>
      <c r="S664" s="15">
        <v>0</v>
      </c>
      <c r="T664" s="15">
        <v>0</v>
      </c>
      <c r="U664" s="15">
        <v>0</v>
      </c>
      <c r="V664" s="15">
        <f>($J664*0.04)+($K664*4)+($L664*-2)+($N664*0.1)+($O664*6)+($Q664)+($R664*0.1)+($S664*6)+($T664*-2)</f>
        <v>0</v>
      </c>
      <c r="W664" s="15" t="e">
        <f>$P664/$H$33</f>
        <v>#DIV/0!</v>
      </c>
      <c r="X664" s="15" t="e">
        <f>$N664/$M664</f>
        <v>#DIV/0!</v>
      </c>
      <c r="Y664" s="15" t="e">
        <f>$R664/$Q664</f>
        <v>#DIV/0!</v>
      </c>
      <c r="Z664" s="15" t="e">
        <f>$I664/$H664</f>
        <v>#DIV/0!</v>
      </c>
      <c r="AA664" s="15" t="e">
        <f>$K664/$H664</f>
        <v>#DIV/0!</v>
      </c>
      <c r="AB664" s="15">
        <f>($J664*Cp_yd)+($K664*Cp_td)+($L664*Cint)+($M664*Ccar)+($N664*Cr_yd)+($O664*Cr_td)+(Q664*Crec)+($R664*Crec_yd)+($S664*Crec_td)+($T664*Cfmb)+($U664*Ctp_c)</f>
        <v>0</v>
      </c>
    </row>
    <row r="665" spans="1:28" x14ac:dyDescent="0.2">
      <c r="A665" s="16" t="s">
        <v>1531</v>
      </c>
      <c r="B665" s="16" t="s">
        <v>43</v>
      </c>
      <c r="C665" s="16">
        <v>25</v>
      </c>
      <c r="D665" s="16">
        <v>0</v>
      </c>
      <c r="E665" s="16" t="s">
        <v>418</v>
      </c>
      <c r="F665" s="16" t="s">
        <v>1503</v>
      </c>
      <c r="G665" s="16">
        <v>0</v>
      </c>
      <c r="H665" s="16">
        <v>0</v>
      </c>
      <c r="I665" s="16">
        <v>0</v>
      </c>
      <c r="J665" s="16">
        <v>0</v>
      </c>
      <c r="K665" s="16">
        <v>0</v>
      </c>
      <c r="L665" s="16">
        <v>0</v>
      </c>
      <c r="M665" s="16">
        <v>0</v>
      </c>
      <c r="N665" s="16">
        <v>0</v>
      </c>
      <c r="O665" s="16">
        <v>0</v>
      </c>
      <c r="P665" s="16">
        <v>0</v>
      </c>
      <c r="Q665" s="16">
        <v>0</v>
      </c>
      <c r="R665" s="16">
        <v>0</v>
      </c>
      <c r="S665" s="16">
        <v>0</v>
      </c>
      <c r="T665" s="16">
        <v>0</v>
      </c>
      <c r="U665" s="16">
        <v>0</v>
      </c>
      <c r="V665" s="16">
        <f>($J665*0.04)+($K665*4)+($L665*-2)+($N665*0.1)+($O665*6)+($Q665)+($R665*0.1)+($S665*6)+($T665*-2)</f>
        <v>0</v>
      </c>
      <c r="W665" s="16" t="e">
        <f>$P665/$H$33</f>
        <v>#DIV/0!</v>
      </c>
      <c r="X665" s="16" t="e">
        <f>$N665/$M665</f>
        <v>#DIV/0!</v>
      </c>
      <c r="Y665" s="16" t="e">
        <f>$R665/$Q665</f>
        <v>#DIV/0!</v>
      </c>
      <c r="Z665" s="16" t="e">
        <f>$I665/$H665</f>
        <v>#DIV/0!</v>
      </c>
      <c r="AA665" s="16" t="e">
        <f>$K665/$H665</f>
        <v>#DIV/0!</v>
      </c>
      <c r="AB665" s="16">
        <f>($J665*Cp_yd)+($K665*Cp_td)+($L665*Cint)+($M665*Ccar)+($N665*Cr_yd)+($O665*Cr_td)+(Q665*Crec)+($R665*Crec_yd)+($S665*Crec_td)+($T665*Cfmb)+($U665*Ctp_c)</f>
        <v>0</v>
      </c>
    </row>
    <row r="666" spans="1:28" x14ac:dyDescent="0.2">
      <c r="A666" s="15" t="s">
        <v>1532</v>
      </c>
      <c r="B666" s="15" t="s">
        <v>43</v>
      </c>
      <c r="C666" s="15">
        <v>26</v>
      </c>
      <c r="D666" s="15">
        <v>3</v>
      </c>
      <c r="E666" s="15" t="s">
        <v>357</v>
      </c>
      <c r="F666" s="15" t="s">
        <v>1503</v>
      </c>
      <c r="G666" s="15">
        <v>0</v>
      </c>
      <c r="H666" s="15">
        <v>0</v>
      </c>
      <c r="I666" s="15">
        <v>0</v>
      </c>
      <c r="J666" s="15">
        <v>0</v>
      </c>
      <c r="K666" s="15">
        <v>0</v>
      </c>
      <c r="L666" s="15">
        <v>0</v>
      </c>
      <c r="M666" s="15">
        <v>0</v>
      </c>
      <c r="N666" s="15">
        <v>0</v>
      </c>
      <c r="O666" s="15">
        <v>0</v>
      </c>
      <c r="P666" s="15">
        <v>0</v>
      </c>
      <c r="Q666" s="15">
        <v>0</v>
      </c>
      <c r="R666" s="15">
        <v>0</v>
      </c>
      <c r="S666" s="15">
        <v>0</v>
      </c>
      <c r="T666" s="15">
        <v>0</v>
      </c>
      <c r="U666" s="15">
        <v>0</v>
      </c>
      <c r="V666" s="15">
        <f>($J666*0.04)+($K666*4)+($L666*-2)+($N666*0.1)+($O666*6)+($Q666)+($R666*0.1)+($S666*6)+($T666*-2)</f>
        <v>0</v>
      </c>
      <c r="W666" s="15" t="e">
        <f>$P666/$H$33</f>
        <v>#DIV/0!</v>
      </c>
      <c r="X666" s="15" t="e">
        <f>$N666/$M666</f>
        <v>#DIV/0!</v>
      </c>
      <c r="Y666" s="15" t="e">
        <f>$R666/$Q666</f>
        <v>#DIV/0!</v>
      </c>
      <c r="Z666" s="15" t="e">
        <f>$I666/$H666</f>
        <v>#DIV/0!</v>
      </c>
      <c r="AA666" s="15" t="e">
        <f>$K666/$H666</f>
        <v>#DIV/0!</v>
      </c>
      <c r="AB666" s="15">
        <f>($J666*Cp_yd)+($K666*Cp_td)+($L666*Cint)+($M666*Ccar)+($N666*Cr_yd)+($O666*Cr_td)+(Q666*Crec)+($R666*Crec_yd)+($S666*Crec_td)+($T666*Cfmb)+($U666*Ctp_c)</f>
        <v>0</v>
      </c>
    </row>
    <row r="667" spans="1:28" x14ac:dyDescent="0.2">
      <c r="A667" s="16" t="s">
        <v>1533</v>
      </c>
      <c r="B667" s="16" t="s">
        <v>43</v>
      </c>
      <c r="C667" s="16">
        <v>25</v>
      </c>
      <c r="D667" s="16">
        <v>0</v>
      </c>
      <c r="E667" s="16" t="s">
        <v>1534</v>
      </c>
      <c r="F667" s="16" t="s">
        <v>1503</v>
      </c>
      <c r="G667" s="16">
        <v>0</v>
      </c>
      <c r="H667" s="16">
        <v>0</v>
      </c>
      <c r="I667" s="16">
        <v>0</v>
      </c>
      <c r="J667" s="16">
        <v>0</v>
      </c>
      <c r="K667" s="16">
        <v>0</v>
      </c>
      <c r="L667" s="16">
        <v>0</v>
      </c>
      <c r="M667" s="16">
        <v>0</v>
      </c>
      <c r="N667" s="16">
        <v>0</v>
      </c>
      <c r="O667" s="16">
        <v>0</v>
      </c>
      <c r="P667" s="16">
        <v>0</v>
      </c>
      <c r="Q667" s="16">
        <v>0</v>
      </c>
      <c r="R667" s="16">
        <v>0</v>
      </c>
      <c r="S667" s="16">
        <v>0</v>
      </c>
      <c r="T667" s="16">
        <v>0</v>
      </c>
      <c r="U667" s="16">
        <v>0</v>
      </c>
      <c r="V667" s="16">
        <f>($J667*0.04)+($K667*4)+($L667*-2)+($N667*0.1)+($O667*6)+($Q667)+($R667*0.1)+($S667*6)+($T667*-2)</f>
        <v>0</v>
      </c>
      <c r="W667" s="16" t="e">
        <f>$P667/$H$33</f>
        <v>#DIV/0!</v>
      </c>
      <c r="X667" s="16" t="e">
        <f>$N667/$M667</f>
        <v>#DIV/0!</v>
      </c>
      <c r="Y667" s="16" t="e">
        <f>$R667/$Q667</f>
        <v>#DIV/0!</v>
      </c>
      <c r="Z667" s="16" t="e">
        <f>$I667/$H667</f>
        <v>#DIV/0!</v>
      </c>
      <c r="AA667" s="16" t="e">
        <f>$K667/$H667</f>
        <v>#DIV/0!</v>
      </c>
      <c r="AB667" s="16">
        <f>($J667*Cp_yd)+($K667*Cp_td)+($L667*Cint)+($M667*Ccar)+($N667*Cr_yd)+($O667*Cr_td)+(Q667*Crec)+($R667*Crec_yd)+($S667*Crec_td)+($T667*Cfmb)+($U667*Ctp_c)</f>
        <v>0</v>
      </c>
    </row>
    <row r="668" spans="1:28" x14ac:dyDescent="0.2">
      <c r="A668" s="15" t="s">
        <v>1535</v>
      </c>
      <c r="B668" s="15" t="s">
        <v>43</v>
      </c>
      <c r="C668" s="15">
        <v>25</v>
      </c>
      <c r="D668" s="15">
        <v>1</v>
      </c>
      <c r="E668" s="15" t="s">
        <v>753</v>
      </c>
      <c r="F668" s="15" t="s">
        <v>1503</v>
      </c>
      <c r="G668" s="15">
        <v>0</v>
      </c>
      <c r="H668" s="15">
        <v>0</v>
      </c>
      <c r="I668" s="15">
        <v>0</v>
      </c>
      <c r="J668" s="15">
        <v>0</v>
      </c>
      <c r="K668" s="15">
        <v>0</v>
      </c>
      <c r="L668" s="15">
        <v>0</v>
      </c>
      <c r="M668" s="15">
        <v>0</v>
      </c>
      <c r="N668" s="15">
        <v>0</v>
      </c>
      <c r="O668" s="15">
        <v>0</v>
      </c>
      <c r="P668" s="15">
        <v>0</v>
      </c>
      <c r="Q668" s="15">
        <v>0</v>
      </c>
      <c r="R668" s="15">
        <v>0</v>
      </c>
      <c r="S668" s="15">
        <v>0</v>
      </c>
      <c r="T668" s="15">
        <v>0</v>
      </c>
      <c r="U668" s="15">
        <v>0</v>
      </c>
      <c r="V668" s="15">
        <f>($J668*0.04)+($K668*4)+($L668*-2)+($N668*0.1)+($O668*6)+($Q668)+($R668*0.1)+($S668*6)+($T668*-2)</f>
        <v>0</v>
      </c>
      <c r="W668" s="15" t="e">
        <f>$P668/$H$33</f>
        <v>#DIV/0!</v>
      </c>
      <c r="X668" s="15" t="e">
        <f>$N668/$M668</f>
        <v>#DIV/0!</v>
      </c>
      <c r="Y668" s="15" t="e">
        <f>$R668/$Q668</f>
        <v>#DIV/0!</v>
      </c>
      <c r="Z668" s="15" t="e">
        <f>$I668/$H668</f>
        <v>#DIV/0!</v>
      </c>
      <c r="AA668" s="15" t="e">
        <f>$K668/$H668</f>
        <v>#DIV/0!</v>
      </c>
      <c r="AB668" s="15">
        <f>($J668*Cp_yd)+($K668*Cp_td)+($L668*Cint)+($M668*Ccar)+($N668*Cr_yd)+($O668*Cr_td)+(Q668*Crec)+($R668*Crec_yd)+($S668*Crec_td)+($T668*Cfmb)+($U668*Ctp_c)</f>
        <v>0</v>
      </c>
    </row>
    <row r="669" spans="1:28" x14ac:dyDescent="0.2">
      <c r="A669" s="16" t="s">
        <v>1536</v>
      </c>
      <c r="B669" s="16" t="s">
        <v>43</v>
      </c>
      <c r="C669" s="16">
        <v>24</v>
      </c>
      <c r="D669" s="16">
        <v>0</v>
      </c>
      <c r="E669" s="16" t="s">
        <v>467</v>
      </c>
      <c r="F669" s="16" t="s">
        <v>1503</v>
      </c>
      <c r="G669" s="16">
        <v>0</v>
      </c>
      <c r="H669" s="16">
        <v>0</v>
      </c>
      <c r="I669" s="16">
        <v>0</v>
      </c>
      <c r="J669" s="16">
        <v>0</v>
      </c>
      <c r="K669" s="16">
        <v>0</v>
      </c>
      <c r="L669" s="16">
        <v>0</v>
      </c>
      <c r="M669" s="16">
        <v>0</v>
      </c>
      <c r="N669" s="16">
        <v>0</v>
      </c>
      <c r="O669" s="16">
        <v>0</v>
      </c>
      <c r="P669" s="16">
        <v>0</v>
      </c>
      <c r="Q669" s="16">
        <v>0</v>
      </c>
      <c r="R669" s="16">
        <v>0</v>
      </c>
      <c r="S669" s="16">
        <v>0</v>
      </c>
      <c r="T669" s="16">
        <v>0</v>
      </c>
      <c r="U669" s="16">
        <v>0</v>
      </c>
      <c r="V669" s="16">
        <f>($J669*0.04)+($K669*4)+($L669*-2)+($N669*0.1)+($O669*6)+($Q669)+($R669*0.1)+($S669*6)+($T669*-2)</f>
        <v>0</v>
      </c>
      <c r="W669" s="16" t="e">
        <f>$P669/$H$33</f>
        <v>#DIV/0!</v>
      </c>
      <c r="X669" s="16" t="e">
        <f>$N669/$M669</f>
        <v>#DIV/0!</v>
      </c>
      <c r="Y669" s="16" t="e">
        <f>$R669/$Q669</f>
        <v>#DIV/0!</v>
      </c>
      <c r="Z669" s="16" t="e">
        <f>$I669/$H669</f>
        <v>#DIV/0!</v>
      </c>
      <c r="AA669" s="16" t="e">
        <f>$K669/$H669</f>
        <v>#DIV/0!</v>
      </c>
      <c r="AB669" s="16">
        <f>($J669*Cp_yd)+($K669*Cp_td)+($L669*Cint)+($M669*Ccar)+($N669*Cr_yd)+($O669*Cr_td)+(Q669*Crec)+($R669*Crec_yd)+($S669*Crec_td)+($T669*Cfmb)+($U669*Ctp_c)</f>
        <v>0</v>
      </c>
    </row>
    <row r="670" spans="1:28" x14ac:dyDescent="0.2">
      <c r="A670" s="15" t="s">
        <v>1537</v>
      </c>
      <c r="B670" s="15" t="s">
        <v>43</v>
      </c>
      <c r="C670" s="15">
        <v>24</v>
      </c>
      <c r="D670" s="15">
        <v>0</v>
      </c>
      <c r="E670" s="15" t="s">
        <v>111</v>
      </c>
      <c r="F670" s="15" t="s">
        <v>1503</v>
      </c>
      <c r="G670" s="15">
        <v>0</v>
      </c>
      <c r="H670" s="15">
        <v>0</v>
      </c>
      <c r="I670" s="15">
        <v>0</v>
      </c>
      <c r="J670" s="15">
        <v>0</v>
      </c>
      <c r="K670" s="15">
        <v>0</v>
      </c>
      <c r="L670" s="15">
        <v>0</v>
      </c>
      <c r="M670" s="15">
        <v>0</v>
      </c>
      <c r="N670" s="15">
        <v>0</v>
      </c>
      <c r="O670" s="15">
        <v>0</v>
      </c>
      <c r="P670" s="15">
        <v>0</v>
      </c>
      <c r="Q670" s="15">
        <v>0</v>
      </c>
      <c r="R670" s="15">
        <v>0</v>
      </c>
      <c r="S670" s="15">
        <v>0</v>
      </c>
      <c r="T670" s="15">
        <v>0</v>
      </c>
      <c r="U670" s="15">
        <v>0</v>
      </c>
      <c r="V670" s="15">
        <f>($J670*0.04)+($K670*4)+($L670*-2)+($N670*0.1)+($O670*6)+($Q670)+($R670*0.1)+($S670*6)+($T670*-2)</f>
        <v>0</v>
      </c>
      <c r="W670" s="15" t="e">
        <f>$P670/$H$33</f>
        <v>#DIV/0!</v>
      </c>
      <c r="X670" s="15" t="e">
        <f>$N670/$M670</f>
        <v>#DIV/0!</v>
      </c>
      <c r="Y670" s="15" t="e">
        <f>$R670/$Q670</f>
        <v>#DIV/0!</v>
      </c>
      <c r="Z670" s="15" t="e">
        <f>$I670/$H670</f>
        <v>#DIV/0!</v>
      </c>
      <c r="AA670" s="15" t="e">
        <f>$K670/$H670</f>
        <v>#DIV/0!</v>
      </c>
      <c r="AB670" s="15">
        <f>($J670*Cp_yd)+($K670*Cp_td)+($L670*Cint)+($M670*Ccar)+($N670*Cr_yd)+($O670*Cr_td)+(Q670*Crec)+($R670*Crec_yd)+($S670*Crec_td)+($T670*Cfmb)+($U670*Ctp_c)</f>
        <v>0</v>
      </c>
    </row>
    <row r="671" spans="1:28" x14ac:dyDescent="0.2">
      <c r="A671" s="16" t="s">
        <v>1538</v>
      </c>
      <c r="B671" s="16" t="s">
        <v>43</v>
      </c>
      <c r="C671" s="16">
        <v>30</v>
      </c>
      <c r="D671" s="16">
        <v>9</v>
      </c>
      <c r="E671" s="16" t="s">
        <v>559</v>
      </c>
      <c r="F671" s="16" t="s">
        <v>1503</v>
      </c>
      <c r="G671" s="16">
        <v>0</v>
      </c>
      <c r="H671" s="16">
        <v>0</v>
      </c>
      <c r="I671" s="16">
        <v>0</v>
      </c>
      <c r="J671" s="16">
        <v>0</v>
      </c>
      <c r="K671" s="16">
        <v>0</v>
      </c>
      <c r="L671" s="16">
        <v>0</v>
      </c>
      <c r="M671" s="16">
        <v>0</v>
      </c>
      <c r="N671" s="16">
        <v>0</v>
      </c>
      <c r="O671" s="16">
        <v>0</v>
      </c>
      <c r="P671" s="16">
        <v>0</v>
      </c>
      <c r="Q671" s="16">
        <v>0</v>
      </c>
      <c r="R671" s="16">
        <v>0</v>
      </c>
      <c r="S671" s="16">
        <v>0</v>
      </c>
      <c r="T671" s="16">
        <v>0</v>
      </c>
      <c r="U671" s="16">
        <v>0</v>
      </c>
      <c r="V671" s="16">
        <f>($J671*0.04)+($K671*4)+($L671*-2)+($N671*0.1)+($O671*6)+($Q671)+($R671*0.1)+($S671*6)+($T671*-2)</f>
        <v>0</v>
      </c>
      <c r="W671" s="16" t="e">
        <f>$P671/$H$33</f>
        <v>#DIV/0!</v>
      </c>
      <c r="X671" s="16" t="e">
        <f>$N671/$M671</f>
        <v>#DIV/0!</v>
      </c>
      <c r="Y671" s="16" t="e">
        <f>$R671/$Q671</f>
        <v>#DIV/0!</v>
      </c>
      <c r="Z671" s="16" t="e">
        <f>$I671/$H671</f>
        <v>#DIV/0!</v>
      </c>
      <c r="AA671" s="16" t="e">
        <f>$K671/$H671</f>
        <v>#DIV/0!</v>
      </c>
      <c r="AB671" s="16">
        <f>($J671*Cp_yd)+($K671*Cp_td)+($L671*Cint)+($M671*Ccar)+($N671*Cr_yd)+($O671*Cr_td)+(Q671*Crec)+($R671*Crec_yd)+($S671*Crec_td)+($T671*Cfmb)+($U671*Ctp_c)</f>
        <v>0</v>
      </c>
    </row>
    <row r="672" spans="1:28" x14ac:dyDescent="0.2">
      <c r="A672" s="15" t="s">
        <v>1539</v>
      </c>
      <c r="B672" s="15" t="s">
        <v>43</v>
      </c>
      <c r="C672" s="15"/>
      <c r="D672" s="15">
        <v>0</v>
      </c>
      <c r="E672" s="15" t="s">
        <v>806</v>
      </c>
      <c r="F672" s="15" t="s">
        <v>1503</v>
      </c>
      <c r="G672" s="15">
        <v>0</v>
      </c>
      <c r="H672" s="15">
        <v>0</v>
      </c>
      <c r="I672" s="15">
        <v>0</v>
      </c>
      <c r="J672" s="15">
        <v>0</v>
      </c>
      <c r="K672" s="15">
        <v>0</v>
      </c>
      <c r="L672" s="15">
        <v>0</v>
      </c>
      <c r="M672" s="15">
        <v>0</v>
      </c>
      <c r="N672" s="15">
        <v>0</v>
      </c>
      <c r="O672" s="15">
        <v>0</v>
      </c>
      <c r="P672" s="15">
        <v>0</v>
      </c>
      <c r="Q672" s="15">
        <v>0</v>
      </c>
      <c r="R672" s="15">
        <v>0</v>
      </c>
      <c r="S672" s="15">
        <v>0</v>
      </c>
      <c r="T672" s="15">
        <v>0</v>
      </c>
      <c r="U672" s="15">
        <v>0</v>
      </c>
      <c r="V672" s="15">
        <f>($J672*0.04)+($K672*4)+($L672*-2)+($N672*0.1)+($O672*6)+($Q672)+($R672*0.1)+($S672*6)+($T672*-2)</f>
        <v>0</v>
      </c>
      <c r="W672" s="15" t="e">
        <f>$P672/$H$33</f>
        <v>#DIV/0!</v>
      </c>
      <c r="X672" s="15" t="e">
        <f>$N672/$M672</f>
        <v>#DIV/0!</v>
      </c>
      <c r="Y672" s="15" t="e">
        <f>$R672/$Q672</f>
        <v>#DIV/0!</v>
      </c>
      <c r="Z672" s="15" t="e">
        <f>$I672/$H672</f>
        <v>#DIV/0!</v>
      </c>
      <c r="AA672" s="15" t="e">
        <f>$K672/$H672</f>
        <v>#DIV/0!</v>
      </c>
      <c r="AB672" s="15">
        <f>($J672*Cp_yd)+($K672*Cp_td)+($L672*Cint)+($M672*Ccar)+($N672*Cr_yd)+($O672*Cr_td)+(Q672*Crec)+($R672*Crec_yd)+($S672*Crec_td)+($T672*Cfmb)+($U672*Ctp_c)</f>
        <v>0</v>
      </c>
    </row>
    <row r="673" spans="1:28" x14ac:dyDescent="0.2">
      <c r="A673" s="16" t="s">
        <v>1540</v>
      </c>
      <c r="B673" s="16" t="s">
        <v>43</v>
      </c>
      <c r="C673" s="16">
        <v>25</v>
      </c>
      <c r="D673" s="16">
        <v>5</v>
      </c>
      <c r="E673" s="16" t="s">
        <v>240</v>
      </c>
      <c r="F673" s="16" t="s">
        <v>1503</v>
      </c>
      <c r="G673" s="16">
        <v>0</v>
      </c>
      <c r="H673" s="16">
        <v>0</v>
      </c>
      <c r="I673" s="16">
        <v>0</v>
      </c>
      <c r="J673" s="16">
        <v>0</v>
      </c>
      <c r="K673" s="16">
        <v>0</v>
      </c>
      <c r="L673" s="16">
        <v>0</v>
      </c>
      <c r="M673" s="16">
        <v>0</v>
      </c>
      <c r="N673" s="16">
        <v>0</v>
      </c>
      <c r="O673" s="16">
        <v>0</v>
      </c>
      <c r="P673" s="16">
        <v>0</v>
      </c>
      <c r="Q673" s="16">
        <v>0</v>
      </c>
      <c r="R673" s="16">
        <v>0</v>
      </c>
      <c r="S673" s="16">
        <v>0</v>
      </c>
      <c r="T673" s="16">
        <v>0</v>
      </c>
      <c r="U673" s="16">
        <v>0</v>
      </c>
      <c r="V673" s="16">
        <f>($J673*0.04)+($K673*4)+($L673*-2)+($N673*0.1)+($O673*6)+($Q673)+($R673*0.1)+($S673*6)+($T673*-2)</f>
        <v>0</v>
      </c>
      <c r="W673" s="16" t="e">
        <f>$P673/$H$33</f>
        <v>#DIV/0!</v>
      </c>
      <c r="X673" s="16" t="e">
        <f>$N673/$M673</f>
        <v>#DIV/0!</v>
      </c>
      <c r="Y673" s="16" t="e">
        <f>$R673/$Q673</f>
        <v>#DIV/0!</v>
      </c>
      <c r="Z673" s="16" t="e">
        <f>$I673/$H673</f>
        <v>#DIV/0!</v>
      </c>
      <c r="AA673" s="16" t="e">
        <f>$K673/$H673</f>
        <v>#DIV/0!</v>
      </c>
      <c r="AB673" s="16">
        <f>($J673*Cp_yd)+($K673*Cp_td)+($L673*Cint)+($M673*Ccar)+($N673*Cr_yd)+($O673*Cr_td)+(Q673*Crec)+($R673*Crec_yd)+($S673*Crec_td)+($T673*Cfmb)+($U673*Ctp_c)</f>
        <v>0</v>
      </c>
    </row>
    <row r="674" spans="1:28" x14ac:dyDescent="0.2">
      <c r="A674" s="15" t="s">
        <v>1541</v>
      </c>
      <c r="B674" s="15" t="s">
        <v>43</v>
      </c>
      <c r="C674" s="15">
        <v>21</v>
      </c>
      <c r="D674" s="15">
        <v>0</v>
      </c>
      <c r="E674" s="15" t="s">
        <v>213</v>
      </c>
      <c r="F674" s="15" t="s">
        <v>1503</v>
      </c>
      <c r="G674" s="15">
        <v>0</v>
      </c>
      <c r="H674" s="15">
        <v>0</v>
      </c>
      <c r="I674" s="15">
        <v>0</v>
      </c>
      <c r="J674" s="15">
        <v>0</v>
      </c>
      <c r="K674" s="15">
        <v>0</v>
      </c>
      <c r="L674" s="15">
        <v>0</v>
      </c>
      <c r="M674" s="15">
        <v>0</v>
      </c>
      <c r="N674" s="15">
        <v>0</v>
      </c>
      <c r="O674" s="15">
        <v>0</v>
      </c>
      <c r="P674" s="15">
        <v>0</v>
      </c>
      <c r="Q674" s="15">
        <v>0</v>
      </c>
      <c r="R674" s="15">
        <v>0</v>
      </c>
      <c r="S674" s="15">
        <v>0</v>
      </c>
      <c r="T674" s="15">
        <v>0</v>
      </c>
      <c r="U674" s="15">
        <v>0</v>
      </c>
      <c r="V674" s="15">
        <f>($J674*0.04)+($K674*4)+($L674*-2)+($N674*0.1)+($O674*6)+($Q674)+($R674*0.1)+($S674*6)+($T674*-2)</f>
        <v>0</v>
      </c>
      <c r="W674" s="15" t="e">
        <f>$P674/$H$33</f>
        <v>#DIV/0!</v>
      </c>
      <c r="X674" s="15" t="e">
        <f>$N674/$M674</f>
        <v>#DIV/0!</v>
      </c>
      <c r="Y674" s="15" t="e">
        <f>$R674/$Q674</f>
        <v>#DIV/0!</v>
      </c>
      <c r="Z674" s="15" t="e">
        <f>$I674/$H674</f>
        <v>#DIV/0!</v>
      </c>
      <c r="AA674" s="15" t="e">
        <f>$K674/$H674</f>
        <v>#DIV/0!</v>
      </c>
      <c r="AB674" s="15">
        <f>($J674*Cp_yd)+($K674*Cp_td)+($L674*Cint)+($M674*Ccar)+($N674*Cr_yd)+($O674*Cr_td)+(Q674*Crec)+($R674*Crec_yd)+($S674*Crec_td)+($T674*Cfmb)+($U674*Ctp_c)</f>
        <v>0</v>
      </c>
    </row>
    <row r="675" spans="1:28" x14ac:dyDescent="0.2">
      <c r="A675" s="16" t="s">
        <v>1542</v>
      </c>
      <c r="B675" s="16" t="s">
        <v>43</v>
      </c>
      <c r="C675" s="16">
        <v>27</v>
      </c>
      <c r="D675" s="16">
        <v>2</v>
      </c>
      <c r="E675" s="16" t="s">
        <v>138</v>
      </c>
      <c r="F675" s="16" t="s">
        <v>1503</v>
      </c>
      <c r="G675" s="16">
        <v>0</v>
      </c>
      <c r="H675" s="16">
        <v>0</v>
      </c>
      <c r="I675" s="16">
        <v>0</v>
      </c>
      <c r="J675" s="16">
        <v>0</v>
      </c>
      <c r="K675" s="16">
        <v>0</v>
      </c>
      <c r="L675" s="16">
        <v>0</v>
      </c>
      <c r="M675" s="16">
        <v>0</v>
      </c>
      <c r="N675" s="16">
        <v>0</v>
      </c>
      <c r="O675" s="16">
        <v>0</v>
      </c>
      <c r="P675" s="16">
        <v>0</v>
      </c>
      <c r="Q675" s="16">
        <v>0</v>
      </c>
      <c r="R675" s="16">
        <v>0</v>
      </c>
      <c r="S675" s="16">
        <v>0</v>
      </c>
      <c r="T675" s="16">
        <v>0</v>
      </c>
      <c r="U675" s="16">
        <v>0</v>
      </c>
      <c r="V675" s="16">
        <f>($J675*0.04)+($K675*4)+($L675*-2)+($N675*0.1)+($O675*6)+($Q675)+($R675*0.1)+($S675*6)+($T675*-2)</f>
        <v>0</v>
      </c>
      <c r="W675" s="16" t="e">
        <f>$P675/$H$33</f>
        <v>#DIV/0!</v>
      </c>
      <c r="X675" s="16" t="e">
        <f>$N675/$M675</f>
        <v>#DIV/0!</v>
      </c>
      <c r="Y675" s="16" t="e">
        <f>$R675/$Q675</f>
        <v>#DIV/0!</v>
      </c>
      <c r="Z675" s="16" t="e">
        <f>$I675/$H675</f>
        <v>#DIV/0!</v>
      </c>
      <c r="AA675" s="16" t="e">
        <f>$K675/$H675</f>
        <v>#DIV/0!</v>
      </c>
      <c r="AB675" s="16">
        <f>($J675*Cp_yd)+($K675*Cp_td)+($L675*Cint)+($M675*Ccar)+($N675*Cr_yd)+($O675*Cr_td)+(Q675*Crec)+($R675*Crec_yd)+($S675*Crec_td)+($T675*Cfmb)+($U675*Ctp_c)</f>
        <v>0</v>
      </c>
    </row>
    <row r="676" spans="1:28" x14ac:dyDescent="0.2">
      <c r="A676" s="15" t="s">
        <v>1543</v>
      </c>
      <c r="B676" s="15" t="s">
        <v>43</v>
      </c>
      <c r="C676" s="15">
        <v>26</v>
      </c>
      <c r="D676" s="15">
        <v>1</v>
      </c>
      <c r="E676" s="15" t="s">
        <v>294</v>
      </c>
      <c r="F676" s="15" t="s">
        <v>1503</v>
      </c>
      <c r="G676" s="15">
        <v>0</v>
      </c>
      <c r="H676" s="15">
        <v>0</v>
      </c>
      <c r="I676" s="15">
        <v>0</v>
      </c>
      <c r="J676" s="15">
        <v>0</v>
      </c>
      <c r="K676" s="15">
        <v>0</v>
      </c>
      <c r="L676" s="15">
        <v>0</v>
      </c>
      <c r="M676" s="15">
        <v>0</v>
      </c>
      <c r="N676" s="15">
        <v>0</v>
      </c>
      <c r="O676" s="15">
        <v>0</v>
      </c>
      <c r="P676" s="15">
        <v>0</v>
      </c>
      <c r="Q676" s="15">
        <v>0</v>
      </c>
      <c r="R676" s="15">
        <v>0</v>
      </c>
      <c r="S676" s="15">
        <v>0</v>
      </c>
      <c r="T676" s="15">
        <v>0</v>
      </c>
      <c r="U676" s="15">
        <v>0</v>
      </c>
      <c r="V676" s="15">
        <f>($J676*0.04)+($K676*4)+($L676*-2)+($N676*0.1)+($O676*6)+($Q676)+($R676*0.1)+($S676*6)+($T676*-2)</f>
        <v>0</v>
      </c>
      <c r="W676" s="15" t="e">
        <f>$P676/$H$33</f>
        <v>#DIV/0!</v>
      </c>
      <c r="X676" s="15" t="e">
        <f>$N676/$M676</f>
        <v>#DIV/0!</v>
      </c>
      <c r="Y676" s="15" t="e">
        <f>$R676/$Q676</f>
        <v>#DIV/0!</v>
      </c>
      <c r="Z676" s="15" t="e">
        <f>$I676/$H676</f>
        <v>#DIV/0!</v>
      </c>
      <c r="AA676" s="15" t="e">
        <f>$K676/$H676</f>
        <v>#DIV/0!</v>
      </c>
      <c r="AB676" s="15">
        <f>($J676*Cp_yd)+($K676*Cp_td)+($L676*Cint)+($M676*Ccar)+($N676*Cr_yd)+($O676*Cr_td)+(Q676*Crec)+($R676*Crec_yd)+($S676*Crec_td)+($T676*Cfmb)+($U676*Ctp_c)</f>
        <v>0</v>
      </c>
    </row>
    <row r="677" spans="1:28" x14ac:dyDescent="0.2">
      <c r="A677" s="16" t="s">
        <v>1546</v>
      </c>
      <c r="B677" s="16" t="s">
        <v>38</v>
      </c>
      <c r="C677" s="16">
        <v>27</v>
      </c>
      <c r="D677" s="16">
        <v>6</v>
      </c>
      <c r="E677" s="16" t="s">
        <v>86</v>
      </c>
      <c r="F677" s="16" t="s">
        <v>1503</v>
      </c>
      <c r="G677" s="16">
        <v>0</v>
      </c>
      <c r="H677" s="16">
        <v>0</v>
      </c>
      <c r="I677" s="16">
        <v>0</v>
      </c>
      <c r="J677" s="16">
        <v>0</v>
      </c>
      <c r="K677" s="16">
        <v>0</v>
      </c>
      <c r="L677" s="16">
        <v>0</v>
      </c>
      <c r="M677" s="16">
        <v>0</v>
      </c>
      <c r="N677" s="16">
        <v>0</v>
      </c>
      <c r="O677" s="16">
        <v>0</v>
      </c>
      <c r="P677" s="16">
        <v>0</v>
      </c>
      <c r="Q677" s="16">
        <v>0</v>
      </c>
      <c r="R677" s="16">
        <v>0</v>
      </c>
      <c r="S677" s="16">
        <v>0</v>
      </c>
      <c r="T677" s="16">
        <v>0</v>
      </c>
      <c r="U677" s="16">
        <v>0</v>
      </c>
      <c r="V677" s="16">
        <f>($J677*0.04)+($K677*4)+($L677*-2)+($N677*0.1)+($O677*6)+($Q677)+($R677*0.1)+($S677*6)+($T677*-2)</f>
        <v>0</v>
      </c>
      <c r="W677" s="16" t="e">
        <f>$P677/$H$33</f>
        <v>#DIV/0!</v>
      </c>
      <c r="X677" s="16" t="e">
        <f>$N677/$M677</f>
        <v>#DIV/0!</v>
      </c>
      <c r="Y677" s="16" t="e">
        <f>$R677/$Q677</f>
        <v>#DIV/0!</v>
      </c>
      <c r="Z677" s="16" t="e">
        <f>$I677/$H677</f>
        <v>#DIV/0!</v>
      </c>
      <c r="AA677" s="16" t="e">
        <f>$K677/$H677</f>
        <v>#DIV/0!</v>
      </c>
      <c r="AB677" s="16">
        <f>($J677*Cp_yd)+($K677*Cp_td)+($L677*Cint)+($M677*Ccar)+($N677*Cr_yd)+($O677*Cr_td)+(Q677*Crec)+($R677*Crec_yd)+($S677*Crec_td)+($T677*Cfmb)+($U677*Ctp_c)</f>
        <v>0</v>
      </c>
    </row>
    <row r="678" spans="1:28" x14ac:dyDescent="0.2">
      <c r="A678" s="15" t="s">
        <v>1547</v>
      </c>
      <c r="B678" s="15" t="s">
        <v>38</v>
      </c>
      <c r="C678" s="15">
        <v>25</v>
      </c>
      <c r="D678" s="15">
        <v>5</v>
      </c>
      <c r="E678" s="15" t="s">
        <v>100</v>
      </c>
      <c r="F678" s="15" t="s">
        <v>1503</v>
      </c>
      <c r="G678" s="15">
        <v>0</v>
      </c>
      <c r="H678" s="15">
        <v>0</v>
      </c>
      <c r="I678" s="15">
        <v>0</v>
      </c>
      <c r="J678" s="15">
        <v>0</v>
      </c>
      <c r="K678" s="15">
        <v>0</v>
      </c>
      <c r="L678" s="15">
        <v>0</v>
      </c>
      <c r="M678" s="15">
        <v>0</v>
      </c>
      <c r="N678" s="15">
        <v>0</v>
      </c>
      <c r="O678" s="15">
        <v>0</v>
      </c>
      <c r="P678" s="15">
        <v>0</v>
      </c>
      <c r="Q678" s="15">
        <v>0</v>
      </c>
      <c r="R678" s="15">
        <v>0</v>
      </c>
      <c r="S678" s="15">
        <v>0</v>
      </c>
      <c r="T678" s="15">
        <v>0</v>
      </c>
      <c r="U678" s="15">
        <v>0</v>
      </c>
      <c r="V678" s="15">
        <f>($J678*0.04)+($K678*4)+($L678*-2)+($N678*0.1)+($O678*6)+($Q678)+($R678*0.1)+($S678*6)+($T678*-2)</f>
        <v>0</v>
      </c>
      <c r="W678" s="15" t="e">
        <f>$P678/$H$33</f>
        <v>#DIV/0!</v>
      </c>
      <c r="X678" s="15" t="e">
        <f>$N678/$M678</f>
        <v>#DIV/0!</v>
      </c>
      <c r="Y678" s="15" t="e">
        <f>$R678/$Q678</f>
        <v>#DIV/0!</v>
      </c>
      <c r="Z678" s="15" t="e">
        <f>$I678/$H678</f>
        <v>#DIV/0!</v>
      </c>
      <c r="AA678" s="15" t="e">
        <f>$K678/$H678</f>
        <v>#DIV/0!</v>
      </c>
      <c r="AB678" s="15">
        <f>($J678*Cp_yd)+($K678*Cp_td)+($L678*Cint)+($M678*Ccar)+($N678*Cr_yd)+($O678*Cr_td)+(Q678*Crec)+($R678*Crec_yd)+($S678*Crec_td)+($T678*Cfmb)+($U678*Ctp_c)</f>
        <v>0</v>
      </c>
    </row>
    <row r="679" spans="1:28" x14ac:dyDescent="0.2">
      <c r="A679" s="16" t="s">
        <v>1548</v>
      </c>
      <c r="B679" s="16" t="s">
        <v>38</v>
      </c>
      <c r="C679" s="16">
        <v>24</v>
      </c>
      <c r="D679" s="16">
        <v>0</v>
      </c>
      <c r="E679" s="16" t="s">
        <v>64</v>
      </c>
      <c r="F679" s="16" t="s">
        <v>1503</v>
      </c>
      <c r="G679" s="16">
        <v>0</v>
      </c>
      <c r="H679" s="16">
        <v>0</v>
      </c>
      <c r="I679" s="16">
        <v>0</v>
      </c>
      <c r="J679" s="16">
        <v>0</v>
      </c>
      <c r="K679" s="16">
        <v>0</v>
      </c>
      <c r="L679" s="16">
        <v>0</v>
      </c>
      <c r="M679" s="16">
        <v>0</v>
      </c>
      <c r="N679" s="16">
        <v>0</v>
      </c>
      <c r="O679" s="16">
        <v>0</v>
      </c>
      <c r="P679" s="16">
        <v>0</v>
      </c>
      <c r="Q679" s="16">
        <v>0</v>
      </c>
      <c r="R679" s="16">
        <v>0</v>
      </c>
      <c r="S679" s="16">
        <v>0</v>
      </c>
      <c r="T679" s="16">
        <v>0</v>
      </c>
      <c r="U679" s="16">
        <v>0</v>
      </c>
      <c r="V679" s="16">
        <f>($J679*0.04)+($K679*4)+($L679*-2)+($N679*0.1)+($O679*6)+($Q679)+($R679*0.1)+($S679*6)+($T679*-2)</f>
        <v>0</v>
      </c>
      <c r="W679" s="16" t="e">
        <f>$P679/$H$33</f>
        <v>#DIV/0!</v>
      </c>
      <c r="X679" s="16" t="e">
        <f>$N679/$M679</f>
        <v>#DIV/0!</v>
      </c>
      <c r="Y679" s="16" t="e">
        <f>$R679/$Q679</f>
        <v>#DIV/0!</v>
      </c>
      <c r="Z679" s="16" t="e">
        <f>$I679/$H679</f>
        <v>#DIV/0!</v>
      </c>
      <c r="AA679" s="16" t="e">
        <f>$K679/$H679</f>
        <v>#DIV/0!</v>
      </c>
      <c r="AB679" s="16">
        <f>($J679*Cp_yd)+($K679*Cp_td)+($L679*Cint)+($M679*Ccar)+($N679*Cr_yd)+($O679*Cr_td)+(Q679*Crec)+($R679*Crec_yd)+($S679*Crec_td)+($T679*Cfmb)+($U679*Ctp_c)</f>
        <v>0</v>
      </c>
    </row>
    <row r="680" spans="1:28" x14ac:dyDescent="0.2">
      <c r="A680" s="15" t="s">
        <v>1549</v>
      </c>
      <c r="B680" s="15" t="s">
        <v>38</v>
      </c>
      <c r="C680" s="15">
        <v>26</v>
      </c>
      <c r="D680" s="15">
        <v>2</v>
      </c>
      <c r="E680" s="15" t="s">
        <v>232</v>
      </c>
      <c r="F680" s="15" t="s">
        <v>1503</v>
      </c>
      <c r="G680" s="15">
        <v>0</v>
      </c>
      <c r="H680" s="15">
        <v>0</v>
      </c>
      <c r="I680" s="15">
        <v>0</v>
      </c>
      <c r="J680" s="15">
        <v>0</v>
      </c>
      <c r="K680" s="15">
        <v>0</v>
      </c>
      <c r="L680" s="15">
        <v>0</v>
      </c>
      <c r="M680" s="15">
        <v>0</v>
      </c>
      <c r="N680" s="15">
        <v>0</v>
      </c>
      <c r="O680" s="15">
        <v>0</v>
      </c>
      <c r="P680" s="15">
        <v>0</v>
      </c>
      <c r="Q680" s="15">
        <v>0</v>
      </c>
      <c r="R680" s="15">
        <v>0</v>
      </c>
      <c r="S680" s="15">
        <v>0</v>
      </c>
      <c r="T680" s="15">
        <v>0</v>
      </c>
      <c r="U680" s="15">
        <v>0</v>
      </c>
      <c r="V680" s="15">
        <f>($J680*0.04)+($K680*4)+($L680*-2)+($N680*0.1)+($O680*6)+($Q680)+($R680*0.1)+($S680*6)+($T680*-2)</f>
        <v>0</v>
      </c>
      <c r="W680" s="15" t="e">
        <f>$P680/$H$33</f>
        <v>#DIV/0!</v>
      </c>
      <c r="X680" s="15" t="e">
        <f>$N680/$M680</f>
        <v>#DIV/0!</v>
      </c>
      <c r="Y680" s="15" t="e">
        <f>$R680/$Q680</f>
        <v>#DIV/0!</v>
      </c>
      <c r="Z680" s="15" t="e">
        <f>$I680/$H680</f>
        <v>#DIV/0!</v>
      </c>
      <c r="AA680" s="15" t="e">
        <f>$K680/$H680</f>
        <v>#DIV/0!</v>
      </c>
      <c r="AB680" s="15">
        <f>($J680*Cp_yd)+($K680*Cp_td)+($L680*Cint)+($M680*Ccar)+($N680*Cr_yd)+($O680*Cr_td)+(Q680*Crec)+($R680*Crec_yd)+($S680*Crec_td)+($T680*Cfmb)+($U680*Ctp_c)</f>
        <v>0</v>
      </c>
    </row>
    <row r="681" spans="1:28" x14ac:dyDescent="0.2">
      <c r="A681" s="16" t="s">
        <v>1569</v>
      </c>
      <c r="B681" s="16" t="s">
        <v>26</v>
      </c>
      <c r="C681" s="16">
        <v>30</v>
      </c>
      <c r="D681" s="16">
        <v>7</v>
      </c>
      <c r="E681" s="16" t="s">
        <v>175</v>
      </c>
      <c r="F681" s="16" t="s">
        <v>1552</v>
      </c>
      <c r="G681" s="16">
        <v>0</v>
      </c>
      <c r="H681" s="16">
        <v>0</v>
      </c>
      <c r="I681" s="16">
        <v>0</v>
      </c>
      <c r="J681" s="16">
        <v>0</v>
      </c>
      <c r="K681" s="16">
        <v>0</v>
      </c>
      <c r="L681" s="16">
        <v>0</v>
      </c>
      <c r="M681" s="16">
        <v>0</v>
      </c>
      <c r="N681" s="16">
        <v>0</v>
      </c>
      <c r="O681" s="16">
        <v>0</v>
      </c>
      <c r="P681" s="16">
        <v>0</v>
      </c>
      <c r="Q681" s="16">
        <v>0</v>
      </c>
      <c r="R681" s="16">
        <v>0</v>
      </c>
      <c r="S681" s="16">
        <v>0</v>
      </c>
      <c r="T681" s="16">
        <v>0</v>
      </c>
      <c r="U681" s="16">
        <v>0</v>
      </c>
      <c r="V681" s="16">
        <f>($J681*0.04)+($K681*4)+($L681*-2)+($N681*0.1)+($O681*6)+($Q681)+($R681*0.1)+($S681*6)+($T681*-2)</f>
        <v>0</v>
      </c>
      <c r="W681" s="16" t="e">
        <f>$P681/$H$33</f>
        <v>#DIV/0!</v>
      </c>
      <c r="X681" s="16" t="e">
        <f>$N681/$M681</f>
        <v>#DIV/0!</v>
      </c>
      <c r="Y681" s="16" t="e">
        <f>$R681/$Q681</f>
        <v>#DIV/0!</v>
      </c>
      <c r="Z681" s="16" t="e">
        <f>$I681/$H681</f>
        <v>#DIV/0!</v>
      </c>
      <c r="AA681" s="16" t="e">
        <f>$K681/$H681</f>
        <v>#DIV/0!</v>
      </c>
      <c r="AB681" s="16">
        <f>($J681*Cp_yd)+($K681*Cp_td)+($L681*Cint)+($M681*Ccar)+($N681*Cr_yd)+($O681*Cr_td)+(Q681*Crec)+($R681*Crec_yd)+($S681*Crec_td)+($T681*Cfmb)+($U681*Ctp_c)</f>
        <v>0</v>
      </c>
    </row>
    <row r="682" spans="1:28" x14ac:dyDescent="0.2">
      <c r="A682" s="15" t="s">
        <v>1570</v>
      </c>
      <c r="B682" s="15" t="s">
        <v>26</v>
      </c>
      <c r="C682" s="15">
        <v>26</v>
      </c>
      <c r="D682" s="15">
        <v>6</v>
      </c>
      <c r="E682" s="15" t="s">
        <v>78</v>
      </c>
      <c r="F682" s="15" t="s">
        <v>1552</v>
      </c>
      <c r="G682" s="15">
        <v>0</v>
      </c>
      <c r="H682" s="15">
        <v>0</v>
      </c>
      <c r="I682" s="15">
        <v>0</v>
      </c>
      <c r="J682" s="15">
        <v>0</v>
      </c>
      <c r="K682" s="15">
        <v>0</v>
      </c>
      <c r="L682" s="15">
        <v>0</v>
      </c>
      <c r="M682" s="15">
        <v>0</v>
      </c>
      <c r="N682" s="15">
        <v>0</v>
      </c>
      <c r="O682" s="15">
        <v>0</v>
      </c>
      <c r="P682" s="15">
        <v>0</v>
      </c>
      <c r="Q682" s="15">
        <v>0</v>
      </c>
      <c r="R682" s="15">
        <v>0</v>
      </c>
      <c r="S682" s="15">
        <v>0</v>
      </c>
      <c r="T682" s="15">
        <v>0</v>
      </c>
      <c r="U682" s="15">
        <v>0</v>
      </c>
      <c r="V682" s="15">
        <f>($J682*0.04)+($K682*4)+($L682*-2)+($N682*0.1)+($O682*6)+($Q682)+($R682*0.1)+($S682*6)+($T682*-2)</f>
        <v>0</v>
      </c>
      <c r="W682" s="15" t="e">
        <f>$P682/$H$33</f>
        <v>#DIV/0!</v>
      </c>
      <c r="X682" s="15" t="e">
        <f>$N682/$M682</f>
        <v>#DIV/0!</v>
      </c>
      <c r="Y682" s="15" t="e">
        <f>$R682/$Q682</f>
        <v>#DIV/0!</v>
      </c>
      <c r="Z682" s="15" t="e">
        <f>$I682/$H682</f>
        <v>#DIV/0!</v>
      </c>
      <c r="AA682" s="15" t="e">
        <f>$K682/$H682</f>
        <v>#DIV/0!</v>
      </c>
      <c r="AB682" s="15">
        <f>($J682*Cp_yd)+($K682*Cp_td)+($L682*Cint)+($M682*Ccar)+($N682*Cr_yd)+($O682*Cr_td)+(Q682*Crec)+($R682*Crec_yd)+($S682*Crec_td)+($T682*Cfmb)+($U682*Ctp_c)</f>
        <v>0</v>
      </c>
    </row>
    <row r="683" spans="1:28" x14ac:dyDescent="0.2">
      <c r="A683" s="16" t="s">
        <v>1571</v>
      </c>
      <c r="B683" s="16" t="s">
        <v>26</v>
      </c>
      <c r="C683" s="16">
        <v>23</v>
      </c>
      <c r="D683" s="16">
        <v>3</v>
      </c>
      <c r="E683" s="16" t="s">
        <v>555</v>
      </c>
      <c r="F683" s="16" t="s">
        <v>1552</v>
      </c>
      <c r="G683" s="16">
        <v>0</v>
      </c>
      <c r="H683" s="16">
        <v>0</v>
      </c>
      <c r="I683" s="16">
        <v>0</v>
      </c>
      <c r="J683" s="16">
        <v>0</v>
      </c>
      <c r="K683" s="16">
        <v>0</v>
      </c>
      <c r="L683" s="16">
        <v>0</v>
      </c>
      <c r="M683" s="16">
        <v>0</v>
      </c>
      <c r="N683" s="16">
        <v>0</v>
      </c>
      <c r="O683" s="16">
        <v>0</v>
      </c>
      <c r="P683" s="16">
        <v>0</v>
      </c>
      <c r="Q683" s="16">
        <v>0</v>
      </c>
      <c r="R683" s="16">
        <v>0</v>
      </c>
      <c r="S683" s="16">
        <v>0</v>
      </c>
      <c r="T683" s="16">
        <v>0</v>
      </c>
      <c r="U683" s="16">
        <v>0</v>
      </c>
      <c r="V683" s="16">
        <f>($J683*0.04)+($K683*4)+($L683*-2)+($N683*0.1)+($O683*6)+($Q683)+($R683*0.1)+($S683*6)+($T683*-2)</f>
        <v>0</v>
      </c>
      <c r="W683" s="16" t="e">
        <f>$P683/$H$33</f>
        <v>#DIV/0!</v>
      </c>
      <c r="X683" s="16" t="e">
        <f>$N683/$M683</f>
        <v>#DIV/0!</v>
      </c>
      <c r="Y683" s="16" t="e">
        <f>$R683/$Q683</f>
        <v>#DIV/0!</v>
      </c>
      <c r="Z683" s="16" t="e">
        <f>$I683/$H683</f>
        <v>#DIV/0!</v>
      </c>
      <c r="AA683" s="16" t="e">
        <f>$K683/$H683</f>
        <v>#DIV/0!</v>
      </c>
      <c r="AB683" s="16">
        <f>($J683*Cp_yd)+($K683*Cp_td)+($L683*Cint)+($M683*Ccar)+($N683*Cr_yd)+($O683*Cr_td)+(Q683*Crec)+($R683*Crec_yd)+($S683*Crec_td)+($T683*Cfmb)+($U683*Ctp_c)</f>
        <v>0</v>
      </c>
    </row>
    <row r="684" spans="1:28" x14ac:dyDescent="0.2">
      <c r="A684" s="15" t="s">
        <v>1573</v>
      </c>
      <c r="B684" s="15" t="s">
        <v>31</v>
      </c>
      <c r="C684" s="15">
        <v>22</v>
      </c>
      <c r="D684" s="15">
        <v>2</v>
      </c>
      <c r="E684" s="15" t="s">
        <v>227</v>
      </c>
      <c r="F684" s="15" t="s">
        <v>1552</v>
      </c>
      <c r="G684" s="15">
        <v>0</v>
      </c>
      <c r="H684" s="15">
        <v>0</v>
      </c>
      <c r="I684" s="15">
        <v>0</v>
      </c>
      <c r="J684" s="15">
        <v>0</v>
      </c>
      <c r="K684" s="15">
        <v>0</v>
      </c>
      <c r="L684" s="15">
        <v>0</v>
      </c>
      <c r="M684" s="15">
        <v>0</v>
      </c>
      <c r="N684" s="15">
        <v>0</v>
      </c>
      <c r="O684" s="15">
        <v>0</v>
      </c>
      <c r="P684" s="15">
        <v>0</v>
      </c>
      <c r="Q684" s="15">
        <v>0</v>
      </c>
      <c r="R684" s="15">
        <v>0</v>
      </c>
      <c r="S684" s="15">
        <v>0</v>
      </c>
      <c r="T684" s="15">
        <v>0</v>
      </c>
      <c r="U684" s="15">
        <v>0</v>
      </c>
      <c r="V684" s="15">
        <f>($J684*0.04)+($K684*4)+($L684*-2)+($N684*0.1)+($O684*6)+($Q684)+($R684*0.1)+($S684*6)+($T684*-2)</f>
        <v>0</v>
      </c>
      <c r="W684" s="15" t="e">
        <f>$P684/$H$33</f>
        <v>#DIV/0!</v>
      </c>
      <c r="X684" s="15" t="e">
        <f>$N684/$M684</f>
        <v>#DIV/0!</v>
      </c>
      <c r="Y684" s="15" t="e">
        <f>$R684/$Q684</f>
        <v>#DIV/0!</v>
      </c>
      <c r="Z684" s="15" t="e">
        <f>$I684/$H684</f>
        <v>#DIV/0!</v>
      </c>
      <c r="AA684" s="15" t="e">
        <f>$K684/$H684</f>
        <v>#DIV/0!</v>
      </c>
      <c r="AB684" s="15">
        <f>($J684*Cp_yd)+($K684*Cp_td)+($L684*Cint)+($M684*Ccar)+($N684*Cr_yd)+($O684*Cr_td)+(Q684*Crec)+($R684*Crec_yd)+($S684*Crec_td)+($T684*Cfmb)+($U684*Ctp_c)</f>
        <v>0</v>
      </c>
    </row>
    <row r="685" spans="1:28" x14ac:dyDescent="0.2">
      <c r="A685" s="16" t="s">
        <v>1574</v>
      </c>
      <c r="B685" s="16" t="s">
        <v>31</v>
      </c>
      <c r="C685" s="16">
        <v>24</v>
      </c>
      <c r="D685" s="16">
        <v>0</v>
      </c>
      <c r="E685" s="16" t="s">
        <v>1575</v>
      </c>
      <c r="F685" s="16" t="s">
        <v>1552</v>
      </c>
      <c r="G685" s="16">
        <v>0</v>
      </c>
      <c r="H685" s="16">
        <v>0</v>
      </c>
      <c r="I685" s="16">
        <v>0</v>
      </c>
      <c r="J685" s="16">
        <v>0</v>
      </c>
      <c r="K685" s="16">
        <v>0</v>
      </c>
      <c r="L685" s="16">
        <v>0</v>
      </c>
      <c r="M685" s="16">
        <v>0</v>
      </c>
      <c r="N685" s="16">
        <v>0</v>
      </c>
      <c r="O685" s="16">
        <v>0</v>
      </c>
      <c r="P685" s="16">
        <v>0</v>
      </c>
      <c r="Q685" s="16">
        <v>0</v>
      </c>
      <c r="R685" s="16">
        <v>0</v>
      </c>
      <c r="S685" s="16">
        <v>0</v>
      </c>
      <c r="T685" s="16">
        <v>0</v>
      </c>
      <c r="U685" s="16">
        <v>0</v>
      </c>
      <c r="V685" s="16">
        <f>($J685*0.04)+($K685*4)+($L685*-2)+($N685*0.1)+($O685*6)+($Q685)+($R685*0.1)+($S685*6)+($T685*-2)</f>
        <v>0</v>
      </c>
      <c r="W685" s="16" t="e">
        <f>$P685/$H$33</f>
        <v>#DIV/0!</v>
      </c>
      <c r="X685" s="16" t="e">
        <f>$N685/$M685</f>
        <v>#DIV/0!</v>
      </c>
      <c r="Y685" s="16" t="e">
        <f>$R685/$Q685</f>
        <v>#DIV/0!</v>
      </c>
      <c r="Z685" s="16" t="e">
        <f>$I685/$H685</f>
        <v>#DIV/0!</v>
      </c>
      <c r="AA685" s="16" t="e">
        <f>$K685/$H685</f>
        <v>#DIV/0!</v>
      </c>
      <c r="AB685" s="16">
        <f>($J685*Cp_yd)+($K685*Cp_td)+($L685*Cint)+($M685*Ccar)+($N685*Cr_yd)+($O685*Cr_td)+(Q685*Crec)+($R685*Crec_yd)+($S685*Crec_td)+($T685*Cfmb)+($U685*Ctp_c)</f>
        <v>0</v>
      </c>
    </row>
    <row r="686" spans="1:28" x14ac:dyDescent="0.2">
      <c r="A686" s="15" t="s">
        <v>1576</v>
      </c>
      <c r="B686" s="15" t="s">
        <v>31</v>
      </c>
      <c r="C686" s="15">
        <v>24</v>
      </c>
      <c r="D686" s="15">
        <v>2</v>
      </c>
      <c r="E686" s="15" t="s">
        <v>455</v>
      </c>
      <c r="F686" s="15" t="s">
        <v>1552</v>
      </c>
      <c r="G686" s="15">
        <v>0</v>
      </c>
      <c r="H686" s="15">
        <v>0</v>
      </c>
      <c r="I686" s="15">
        <v>0</v>
      </c>
      <c r="J686" s="15">
        <v>0</v>
      </c>
      <c r="K686" s="15">
        <v>0</v>
      </c>
      <c r="L686" s="15">
        <v>0</v>
      </c>
      <c r="M686" s="15">
        <v>0</v>
      </c>
      <c r="N686" s="15">
        <v>0</v>
      </c>
      <c r="O686" s="15">
        <v>0</v>
      </c>
      <c r="P686" s="15">
        <v>0</v>
      </c>
      <c r="Q686" s="15">
        <v>0</v>
      </c>
      <c r="R686" s="15">
        <v>0</v>
      </c>
      <c r="S686" s="15">
        <v>0</v>
      </c>
      <c r="T686" s="15">
        <v>0</v>
      </c>
      <c r="U686" s="15">
        <v>0</v>
      </c>
      <c r="V686" s="15">
        <f>($J686*0.04)+($K686*4)+($L686*-2)+($N686*0.1)+($O686*6)+($Q686)+($R686*0.1)+($S686*6)+($T686*-2)</f>
        <v>0</v>
      </c>
      <c r="W686" s="15" t="e">
        <f>$P686/$H$33</f>
        <v>#DIV/0!</v>
      </c>
      <c r="X686" s="15" t="e">
        <f>$N686/$M686</f>
        <v>#DIV/0!</v>
      </c>
      <c r="Y686" s="15" t="e">
        <f>$R686/$Q686</f>
        <v>#DIV/0!</v>
      </c>
      <c r="Z686" s="15" t="e">
        <f>$I686/$H686</f>
        <v>#DIV/0!</v>
      </c>
      <c r="AA686" s="15" t="e">
        <f>$K686/$H686</f>
        <v>#DIV/0!</v>
      </c>
      <c r="AB686" s="15">
        <f>($J686*Cp_yd)+($K686*Cp_td)+($L686*Cint)+($M686*Ccar)+($N686*Cr_yd)+($O686*Cr_td)+(Q686*Crec)+($R686*Crec_yd)+($S686*Crec_td)+($T686*Cfmb)+($U686*Ctp_c)</f>
        <v>0</v>
      </c>
    </row>
    <row r="687" spans="1:28" x14ac:dyDescent="0.2">
      <c r="A687" s="16" t="s">
        <v>1577</v>
      </c>
      <c r="B687" s="16" t="s">
        <v>31</v>
      </c>
      <c r="C687" s="16">
        <v>27</v>
      </c>
      <c r="D687" s="16">
        <v>7</v>
      </c>
      <c r="E687" s="16" t="s">
        <v>102</v>
      </c>
      <c r="F687" s="16" t="s">
        <v>1552</v>
      </c>
      <c r="G687" s="16">
        <v>0</v>
      </c>
      <c r="H687" s="16">
        <v>0</v>
      </c>
      <c r="I687" s="16">
        <v>0</v>
      </c>
      <c r="J687" s="16">
        <v>0</v>
      </c>
      <c r="K687" s="16">
        <v>0</v>
      </c>
      <c r="L687" s="16">
        <v>0</v>
      </c>
      <c r="M687" s="16">
        <v>0</v>
      </c>
      <c r="N687" s="16">
        <v>0</v>
      </c>
      <c r="O687" s="16">
        <v>0</v>
      </c>
      <c r="P687" s="16">
        <v>0</v>
      </c>
      <c r="Q687" s="16">
        <v>0</v>
      </c>
      <c r="R687" s="16">
        <v>0</v>
      </c>
      <c r="S687" s="16">
        <v>0</v>
      </c>
      <c r="T687" s="16">
        <v>0</v>
      </c>
      <c r="U687" s="16">
        <v>0</v>
      </c>
      <c r="V687" s="16">
        <f>($J687*0.04)+($K687*4)+($L687*-2)+($N687*0.1)+($O687*6)+($Q687)+($R687*0.1)+($S687*6)+($T687*-2)</f>
        <v>0</v>
      </c>
      <c r="W687" s="16" t="e">
        <f>$P687/$H$33</f>
        <v>#DIV/0!</v>
      </c>
      <c r="X687" s="16" t="e">
        <f>$N687/$M687</f>
        <v>#DIV/0!</v>
      </c>
      <c r="Y687" s="16" t="e">
        <f>$R687/$Q687</f>
        <v>#DIV/0!</v>
      </c>
      <c r="Z687" s="16" t="e">
        <f>$I687/$H687</f>
        <v>#DIV/0!</v>
      </c>
      <c r="AA687" s="16" t="e">
        <f>$K687/$H687</f>
        <v>#DIV/0!</v>
      </c>
      <c r="AB687" s="16">
        <f>($J687*Cp_yd)+($K687*Cp_td)+($L687*Cint)+($M687*Ccar)+($N687*Cr_yd)+($O687*Cr_td)+(Q687*Crec)+($R687*Crec_yd)+($S687*Crec_td)+($T687*Cfmb)+($U687*Ctp_c)</f>
        <v>0</v>
      </c>
    </row>
    <row r="688" spans="1:28" x14ac:dyDescent="0.2">
      <c r="A688" s="15" t="s">
        <v>1578</v>
      </c>
      <c r="B688" s="15" t="s">
        <v>31</v>
      </c>
      <c r="C688" s="15">
        <v>27</v>
      </c>
      <c r="D688" s="15">
        <v>4</v>
      </c>
      <c r="E688" s="15" t="s">
        <v>296</v>
      </c>
      <c r="F688" s="15" t="s">
        <v>1552</v>
      </c>
      <c r="G688" s="15">
        <v>0</v>
      </c>
      <c r="H688" s="15">
        <v>0</v>
      </c>
      <c r="I688" s="15">
        <v>0</v>
      </c>
      <c r="J688" s="15">
        <v>0</v>
      </c>
      <c r="K688" s="15">
        <v>0</v>
      </c>
      <c r="L688" s="15">
        <v>0</v>
      </c>
      <c r="M688" s="15">
        <v>0</v>
      </c>
      <c r="N688" s="15">
        <v>0</v>
      </c>
      <c r="O688" s="15">
        <v>0</v>
      </c>
      <c r="P688" s="15">
        <v>0</v>
      </c>
      <c r="Q688" s="15">
        <v>0</v>
      </c>
      <c r="R688" s="15">
        <v>0</v>
      </c>
      <c r="S688" s="15">
        <v>0</v>
      </c>
      <c r="T688" s="15">
        <v>0</v>
      </c>
      <c r="U688" s="15">
        <v>0</v>
      </c>
      <c r="V688" s="15">
        <f>($J688*0.04)+($K688*4)+($L688*-2)+($N688*0.1)+($O688*6)+($Q688)+($R688*0.1)+($S688*6)+($T688*-2)</f>
        <v>0</v>
      </c>
      <c r="W688" s="15" t="e">
        <f>$P688/$H$33</f>
        <v>#DIV/0!</v>
      </c>
      <c r="X688" s="15" t="e">
        <f>$N688/$M688</f>
        <v>#DIV/0!</v>
      </c>
      <c r="Y688" s="15" t="e">
        <f>$R688/$Q688</f>
        <v>#DIV/0!</v>
      </c>
      <c r="Z688" s="15" t="e">
        <f>$I688/$H688</f>
        <v>#DIV/0!</v>
      </c>
      <c r="AA688" s="15" t="e">
        <f>$K688/$H688</f>
        <v>#DIV/0!</v>
      </c>
      <c r="AB688" s="15">
        <f>($J688*Cp_yd)+($K688*Cp_td)+($L688*Cint)+($M688*Ccar)+($N688*Cr_yd)+($O688*Cr_td)+(Q688*Crec)+($R688*Crec_yd)+($S688*Crec_td)+($T688*Cfmb)+($U688*Ctp_c)</f>
        <v>0</v>
      </c>
    </row>
    <row r="689" spans="1:28" x14ac:dyDescent="0.2">
      <c r="A689" s="16" t="s">
        <v>1580</v>
      </c>
      <c r="B689" s="16" t="s">
        <v>43</v>
      </c>
      <c r="C689" s="16">
        <v>25</v>
      </c>
      <c r="D689" s="16">
        <v>4</v>
      </c>
      <c r="E689" s="16" t="s">
        <v>155</v>
      </c>
      <c r="F689" s="16" t="s">
        <v>1552</v>
      </c>
      <c r="G689" s="16">
        <v>0</v>
      </c>
      <c r="H689" s="16">
        <v>0</v>
      </c>
      <c r="I689" s="16">
        <v>0</v>
      </c>
      <c r="J689" s="16">
        <v>0</v>
      </c>
      <c r="K689" s="16">
        <v>0</v>
      </c>
      <c r="L689" s="16">
        <v>0</v>
      </c>
      <c r="M689" s="16">
        <v>0</v>
      </c>
      <c r="N689" s="16">
        <v>0</v>
      </c>
      <c r="O689" s="16">
        <v>0</v>
      </c>
      <c r="P689" s="16">
        <v>0</v>
      </c>
      <c r="Q689" s="16">
        <v>0</v>
      </c>
      <c r="R689" s="16">
        <v>0</v>
      </c>
      <c r="S689" s="16">
        <v>0</v>
      </c>
      <c r="T689" s="16">
        <v>0</v>
      </c>
      <c r="U689" s="16">
        <v>0</v>
      </c>
      <c r="V689" s="16">
        <f>($J689*0.04)+($K689*4)+($L689*-2)+($N689*0.1)+($O689*6)+($Q689)+($R689*0.1)+($S689*6)+($T689*-2)</f>
        <v>0</v>
      </c>
      <c r="W689" s="16" t="e">
        <f>$P689/$H$33</f>
        <v>#DIV/0!</v>
      </c>
      <c r="X689" s="16" t="e">
        <f>$N689/$M689</f>
        <v>#DIV/0!</v>
      </c>
      <c r="Y689" s="16" t="e">
        <f>$R689/$Q689</f>
        <v>#DIV/0!</v>
      </c>
      <c r="Z689" s="16" t="e">
        <f>$I689/$H689</f>
        <v>#DIV/0!</v>
      </c>
      <c r="AA689" s="16" t="e">
        <f>$K689/$H689</f>
        <v>#DIV/0!</v>
      </c>
      <c r="AB689" s="16">
        <f>($J689*Cp_yd)+($K689*Cp_td)+($L689*Cint)+($M689*Ccar)+($N689*Cr_yd)+($O689*Cr_td)+(Q689*Crec)+($R689*Crec_yd)+($S689*Crec_td)+($T689*Cfmb)+($U689*Ctp_c)</f>
        <v>0</v>
      </c>
    </row>
    <row r="690" spans="1:28" x14ac:dyDescent="0.2">
      <c r="A690" s="15" t="s">
        <v>1581</v>
      </c>
      <c r="B690" s="15" t="s">
        <v>43</v>
      </c>
      <c r="C690" s="15">
        <v>23</v>
      </c>
      <c r="D690" s="15">
        <v>0</v>
      </c>
      <c r="E690" s="15" t="s">
        <v>105</v>
      </c>
      <c r="F690" s="15" t="s">
        <v>1552</v>
      </c>
      <c r="G690" s="15">
        <v>0</v>
      </c>
      <c r="H690" s="15">
        <v>0</v>
      </c>
      <c r="I690" s="15">
        <v>0</v>
      </c>
      <c r="J690" s="15">
        <v>0</v>
      </c>
      <c r="K690" s="15">
        <v>0</v>
      </c>
      <c r="L690" s="15">
        <v>0</v>
      </c>
      <c r="M690" s="15">
        <v>0</v>
      </c>
      <c r="N690" s="15">
        <v>0</v>
      </c>
      <c r="O690" s="15">
        <v>0</v>
      </c>
      <c r="P690" s="15">
        <v>0</v>
      </c>
      <c r="Q690" s="15">
        <v>0</v>
      </c>
      <c r="R690" s="15">
        <v>0</v>
      </c>
      <c r="S690" s="15">
        <v>0</v>
      </c>
      <c r="T690" s="15">
        <v>0</v>
      </c>
      <c r="U690" s="15">
        <v>0</v>
      </c>
      <c r="V690" s="15">
        <f>($J690*0.04)+($K690*4)+($L690*-2)+($N690*0.1)+($O690*6)+($Q690)+($R690*0.1)+($S690*6)+($T690*-2)</f>
        <v>0</v>
      </c>
      <c r="W690" s="15" t="e">
        <f>$P690/$H$33</f>
        <v>#DIV/0!</v>
      </c>
      <c r="X690" s="15" t="e">
        <f>$N690/$M690</f>
        <v>#DIV/0!</v>
      </c>
      <c r="Y690" s="15" t="e">
        <f>$R690/$Q690</f>
        <v>#DIV/0!</v>
      </c>
      <c r="Z690" s="15" t="e">
        <f>$I690/$H690</f>
        <v>#DIV/0!</v>
      </c>
      <c r="AA690" s="15" t="e">
        <f>$K690/$H690</f>
        <v>#DIV/0!</v>
      </c>
      <c r="AB690" s="15">
        <f>($J690*Cp_yd)+($K690*Cp_td)+($L690*Cint)+($M690*Ccar)+($N690*Cr_yd)+($O690*Cr_td)+(Q690*Crec)+($R690*Crec_yd)+($S690*Crec_td)+($T690*Cfmb)+($U690*Ctp_c)</f>
        <v>0</v>
      </c>
    </row>
    <row r="691" spans="1:28" x14ac:dyDescent="0.2">
      <c r="A691" s="16" t="s">
        <v>1582</v>
      </c>
      <c r="B691" s="16" t="s">
        <v>43</v>
      </c>
      <c r="C691" s="16">
        <v>30</v>
      </c>
      <c r="D691" s="16">
        <v>9</v>
      </c>
      <c r="E691" s="16" t="s">
        <v>173</v>
      </c>
      <c r="F691" s="16" t="s">
        <v>1552</v>
      </c>
      <c r="G691" s="16">
        <v>0</v>
      </c>
      <c r="H691" s="16">
        <v>0</v>
      </c>
      <c r="I691" s="16">
        <v>0</v>
      </c>
      <c r="J691" s="16">
        <v>0</v>
      </c>
      <c r="K691" s="16">
        <v>0</v>
      </c>
      <c r="L691" s="16">
        <v>0</v>
      </c>
      <c r="M691" s="16">
        <v>0</v>
      </c>
      <c r="N691" s="16">
        <v>0</v>
      </c>
      <c r="O691" s="16">
        <v>0</v>
      </c>
      <c r="P691" s="16">
        <v>0</v>
      </c>
      <c r="Q691" s="16">
        <v>0</v>
      </c>
      <c r="R691" s="16">
        <v>0</v>
      </c>
      <c r="S691" s="16">
        <v>0</v>
      </c>
      <c r="T691" s="16">
        <v>0</v>
      </c>
      <c r="U691" s="16">
        <v>0</v>
      </c>
      <c r="V691" s="16">
        <f>($J691*0.04)+($K691*4)+($L691*-2)+($N691*0.1)+($O691*6)+($Q691)+($R691*0.1)+($S691*6)+($T691*-2)</f>
        <v>0</v>
      </c>
      <c r="W691" s="16" t="e">
        <f>$P691/$H$33</f>
        <v>#DIV/0!</v>
      </c>
      <c r="X691" s="16" t="e">
        <f>$N691/$M691</f>
        <v>#DIV/0!</v>
      </c>
      <c r="Y691" s="16" t="e">
        <f>$R691/$Q691</f>
        <v>#DIV/0!</v>
      </c>
      <c r="Z691" s="16" t="e">
        <f>$I691/$H691</f>
        <v>#DIV/0!</v>
      </c>
      <c r="AA691" s="16" t="e">
        <f>$K691/$H691</f>
        <v>#DIV/0!</v>
      </c>
      <c r="AB691" s="16">
        <f>($J691*Cp_yd)+($K691*Cp_td)+($L691*Cint)+($M691*Ccar)+($N691*Cr_yd)+($O691*Cr_td)+(Q691*Crec)+($R691*Crec_yd)+($S691*Crec_td)+($T691*Cfmb)+($U691*Ctp_c)</f>
        <v>0</v>
      </c>
    </row>
    <row r="692" spans="1:28" x14ac:dyDescent="0.2">
      <c r="A692" s="15" t="s">
        <v>1583</v>
      </c>
      <c r="B692" s="15" t="s">
        <v>43</v>
      </c>
      <c r="C692" s="15">
        <v>24</v>
      </c>
      <c r="D692" s="15">
        <v>2</v>
      </c>
      <c r="E692" s="15" t="s">
        <v>237</v>
      </c>
      <c r="F692" s="15" t="s">
        <v>1552</v>
      </c>
      <c r="G692" s="15">
        <v>0</v>
      </c>
      <c r="H692" s="15">
        <v>0</v>
      </c>
      <c r="I692" s="15">
        <v>0</v>
      </c>
      <c r="J692" s="15">
        <v>0</v>
      </c>
      <c r="K692" s="15">
        <v>0</v>
      </c>
      <c r="L692" s="15">
        <v>0</v>
      </c>
      <c r="M692" s="15">
        <v>0</v>
      </c>
      <c r="N692" s="15">
        <v>0</v>
      </c>
      <c r="O692" s="15">
        <v>0</v>
      </c>
      <c r="P692" s="15">
        <v>0</v>
      </c>
      <c r="Q692" s="15">
        <v>0</v>
      </c>
      <c r="R692" s="15">
        <v>0</v>
      </c>
      <c r="S692" s="15">
        <v>0</v>
      </c>
      <c r="T692" s="15">
        <v>0</v>
      </c>
      <c r="U692" s="15">
        <v>0</v>
      </c>
      <c r="V692" s="15">
        <f>($J692*0.04)+($K692*4)+($L692*-2)+($N692*0.1)+($O692*6)+($Q692)+($R692*0.1)+($S692*6)+($T692*-2)</f>
        <v>0</v>
      </c>
      <c r="W692" s="15" t="e">
        <f>$P692/$H$33</f>
        <v>#DIV/0!</v>
      </c>
      <c r="X692" s="15" t="e">
        <f>$N692/$M692</f>
        <v>#DIV/0!</v>
      </c>
      <c r="Y692" s="15" t="e">
        <f>$R692/$Q692</f>
        <v>#DIV/0!</v>
      </c>
      <c r="Z692" s="15" t="e">
        <f>$I692/$H692</f>
        <v>#DIV/0!</v>
      </c>
      <c r="AA692" s="15" t="e">
        <f>$K692/$H692</f>
        <v>#DIV/0!</v>
      </c>
      <c r="AB692" s="15">
        <f>($J692*Cp_yd)+($K692*Cp_td)+($L692*Cint)+($M692*Ccar)+($N692*Cr_yd)+($O692*Cr_td)+(Q692*Crec)+($R692*Crec_yd)+($S692*Crec_td)+($T692*Cfmb)+($U692*Ctp_c)</f>
        <v>0</v>
      </c>
    </row>
    <row r="693" spans="1:28" x14ac:dyDescent="0.2">
      <c r="A693" s="16" t="s">
        <v>1584</v>
      </c>
      <c r="B693" s="16" t="s">
        <v>43</v>
      </c>
      <c r="C693" s="16">
        <v>26</v>
      </c>
      <c r="D693" s="16">
        <v>3</v>
      </c>
      <c r="E693" s="16" t="s">
        <v>143</v>
      </c>
      <c r="F693" s="16" t="s">
        <v>1552</v>
      </c>
      <c r="G693" s="16">
        <v>0</v>
      </c>
      <c r="H693" s="16">
        <v>0</v>
      </c>
      <c r="I693" s="16">
        <v>0</v>
      </c>
      <c r="J693" s="16">
        <v>0</v>
      </c>
      <c r="K693" s="16">
        <v>0</v>
      </c>
      <c r="L693" s="16">
        <v>0</v>
      </c>
      <c r="M693" s="16">
        <v>0</v>
      </c>
      <c r="N693" s="16">
        <v>0</v>
      </c>
      <c r="O693" s="16">
        <v>0</v>
      </c>
      <c r="P693" s="16">
        <v>0</v>
      </c>
      <c r="Q693" s="16">
        <v>0</v>
      </c>
      <c r="R693" s="16">
        <v>0</v>
      </c>
      <c r="S693" s="16">
        <v>0</v>
      </c>
      <c r="T693" s="16">
        <v>0</v>
      </c>
      <c r="U693" s="16">
        <v>0</v>
      </c>
      <c r="V693" s="16">
        <f>($J693*0.04)+($K693*4)+($L693*-2)+($N693*0.1)+($O693*6)+($Q693)+($R693*0.1)+($S693*6)+($T693*-2)</f>
        <v>0</v>
      </c>
      <c r="W693" s="16" t="e">
        <f>$P693/$H$33</f>
        <v>#DIV/0!</v>
      </c>
      <c r="X693" s="16" t="e">
        <f>$N693/$M693</f>
        <v>#DIV/0!</v>
      </c>
      <c r="Y693" s="16" t="e">
        <f>$R693/$Q693</f>
        <v>#DIV/0!</v>
      </c>
      <c r="Z693" s="16" t="e">
        <f>$I693/$H693</f>
        <v>#DIV/0!</v>
      </c>
      <c r="AA693" s="16" t="e">
        <f>$K693/$H693</f>
        <v>#DIV/0!</v>
      </c>
      <c r="AB693" s="16">
        <f>($J693*Cp_yd)+($K693*Cp_td)+($L693*Cint)+($M693*Ccar)+($N693*Cr_yd)+($O693*Cr_td)+(Q693*Crec)+($R693*Crec_yd)+($S693*Crec_td)+($T693*Cfmb)+($U693*Ctp_c)</f>
        <v>0</v>
      </c>
    </row>
    <row r="694" spans="1:28" x14ac:dyDescent="0.2">
      <c r="A694" s="15" t="s">
        <v>1585</v>
      </c>
      <c r="B694" s="15" t="s">
        <v>43</v>
      </c>
      <c r="C694" s="15">
        <v>25</v>
      </c>
      <c r="D694" s="15">
        <v>1</v>
      </c>
      <c r="E694" s="15" t="s">
        <v>218</v>
      </c>
      <c r="F694" s="15" t="s">
        <v>1552</v>
      </c>
      <c r="G694" s="15">
        <v>0</v>
      </c>
      <c r="H694" s="15">
        <v>0</v>
      </c>
      <c r="I694" s="15">
        <v>0</v>
      </c>
      <c r="J694" s="15">
        <v>0</v>
      </c>
      <c r="K694" s="15">
        <v>0</v>
      </c>
      <c r="L694" s="15">
        <v>0</v>
      </c>
      <c r="M694" s="15">
        <v>0</v>
      </c>
      <c r="N694" s="15">
        <v>0</v>
      </c>
      <c r="O694" s="15">
        <v>0</v>
      </c>
      <c r="P694" s="15">
        <v>0</v>
      </c>
      <c r="Q694" s="15">
        <v>0</v>
      </c>
      <c r="R694" s="15">
        <v>0</v>
      </c>
      <c r="S694" s="15">
        <v>0</v>
      </c>
      <c r="T694" s="15">
        <v>0</v>
      </c>
      <c r="U694" s="15">
        <v>0</v>
      </c>
      <c r="V694" s="15">
        <f>($J694*0.04)+($K694*4)+($L694*-2)+($N694*0.1)+($O694*6)+($Q694)+($R694*0.1)+($S694*6)+($T694*-2)</f>
        <v>0</v>
      </c>
      <c r="W694" s="15" t="e">
        <f>$P694/$H$33</f>
        <v>#DIV/0!</v>
      </c>
      <c r="X694" s="15" t="e">
        <f>$N694/$M694</f>
        <v>#DIV/0!</v>
      </c>
      <c r="Y694" s="15" t="e">
        <f>$R694/$Q694</f>
        <v>#DIV/0!</v>
      </c>
      <c r="Z694" s="15" t="e">
        <f>$I694/$H694</f>
        <v>#DIV/0!</v>
      </c>
      <c r="AA694" s="15" t="e">
        <f>$K694/$H694</f>
        <v>#DIV/0!</v>
      </c>
      <c r="AB694" s="15">
        <f>($J694*Cp_yd)+($K694*Cp_td)+($L694*Cint)+($M694*Ccar)+($N694*Cr_yd)+($O694*Cr_td)+(Q694*Crec)+($R694*Crec_yd)+($S694*Crec_td)+($T694*Cfmb)+($U694*Ctp_c)</f>
        <v>0</v>
      </c>
    </row>
    <row r="695" spans="1:28" x14ac:dyDescent="0.2">
      <c r="A695" s="16" t="s">
        <v>1586</v>
      </c>
      <c r="B695" s="16" t="s">
        <v>43</v>
      </c>
      <c r="C695" s="16">
        <v>26</v>
      </c>
      <c r="D695" s="16">
        <v>6</v>
      </c>
      <c r="E695" s="16" t="s">
        <v>458</v>
      </c>
      <c r="F695" s="16" t="s">
        <v>1552</v>
      </c>
      <c r="G695" s="16">
        <v>0</v>
      </c>
      <c r="H695" s="16">
        <v>0</v>
      </c>
      <c r="I695" s="16">
        <v>0</v>
      </c>
      <c r="J695" s="16">
        <v>0</v>
      </c>
      <c r="K695" s="16">
        <v>0</v>
      </c>
      <c r="L695" s="16">
        <v>0</v>
      </c>
      <c r="M695" s="16">
        <v>0</v>
      </c>
      <c r="N695" s="16">
        <v>0</v>
      </c>
      <c r="O695" s="16">
        <v>0</v>
      </c>
      <c r="P695" s="16">
        <v>0</v>
      </c>
      <c r="Q695" s="16">
        <v>0</v>
      </c>
      <c r="R695" s="16">
        <v>0</v>
      </c>
      <c r="S695" s="16">
        <v>0</v>
      </c>
      <c r="T695" s="16">
        <v>0</v>
      </c>
      <c r="U695" s="16">
        <v>0</v>
      </c>
      <c r="V695" s="16">
        <f>($J695*0.04)+($K695*4)+($L695*-2)+($N695*0.1)+($O695*6)+($Q695)+($R695*0.1)+($S695*6)+($T695*-2)</f>
        <v>0</v>
      </c>
      <c r="W695" s="16" t="e">
        <f>$P695/$H$33</f>
        <v>#DIV/0!</v>
      </c>
      <c r="X695" s="16" t="e">
        <f>$N695/$M695</f>
        <v>#DIV/0!</v>
      </c>
      <c r="Y695" s="16" t="e">
        <f>$R695/$Q695</f>
        <v>#DIV/0!</v>
      </c>
      <c r="Z695" s="16" t="e">
        <f>$I695/$H695</f>
        <v>#DIV/0!</v>
      </c>
      <c r="AA695" s="16" t="e">
        <f>$K695/$H695</f>
        <v>#DIV/0!</v>
      </c>
      <c r="AB695" s="16">
        <f>($J695*Cp_yd)+($K695*Cp_td)+($L695*Cint)+($M695*Ccar)+($N695*Cr_yd)+($O695*Cr_td)+(Q695*Crec)+($R695*Crec_yd)+($S695*Crec_td)+($T695*Cfmb)+($U695*Ctp_c)</f>
        <v>0</v>
      </c>
    </row>
    <row r="696" spans="1:28" x14ac:dyDescent="0.2">
      <c r="A696" s="15" t="s">
        <v>1587</v>
      </c>
      <c r="B696" s="15" t="s">
        <v>43</v>
      </c>
      <c r="C696" s="15">
        <v>24</v>
      </c>
      <c r="D696" s="15">
        <v>1</v>
      </c>
      <c r="E696" s="15" t="s">
        <v>163</v>
      </c>
      <c r="F696" s="15" t="s">
        <v>1552</v>
      </c>
      <c r="G696" s="15">
        <v>0</v>
      </c>
      <c r="H696" s="15">
        <v>0</v>
      </c>
      <c r="I696" s="15">
        <v>0</v>
      </c>
      <c r="J696" s="15">
        <v>0</v>
      </c>
      <c r="K696" s="15">
        <v>0</v>
      </c>
      <c r="L696" s="15">
        <v>0</v>
      </c>
      <c r="M696" s="15">
        <v>0</v>
      </c>
      <c r="N696" s="15">
        <v>0</v>
      </c>
      <c r="O696" s="15">
        <v>0</v>
      </c>
      <c r="P696" s="15">
        <v>0</v>
      </c>
      <c r="Q696" s="15">
        <v>0</v>
      </c>
      <c r="R696" s="15">
        <v>0</v>
      </c>
      <c r="S696" s="15">
        <v>0</v>
      </c>
      <c r="T696" s="15">
        <v>0</v>
      </c>
      <c r="U696" s="15">
        <v>0</v>
      </c>
      <c r="V696" s="15">
        <f>($J696*0.04)+($K696*4)+($L696*-2)+($N696*0.1)+($O696*6)+($Q696)+($R696*0.1)+($S696*6)+($T696*-2)</f>
        <v>0</v>
      </c>
      <c r="W696" s="15" t="e">
        <f>$P696/$H$33</f>
        <v>#DIV/0!</v>
      </c>
      <c r="X696" s="15" t="e">
        <f>$N696/$M696</f>
        <v>#DIV/0!</v>
      </c>
      <c r="Y696" s="15" t="e">
        <f>$R696/$Q696</f>
        <v>#DIV/0!</v>
      </c>
      <c r="Z696" s="15" t="e">
        <f>$I696/$H696</f>
        <v>#DIV/0!</v>
      </c>
      <c r="AA696" s="15" t="e">
        <f>$K696/$H696</f>
        <v>#DIV/0!</v>
      </c>
      <c r="AB696" s="15">
        <f>($J696*Cp_yd)+($K696*Cp_td)+($L696*Cint)+($M696*Ccar)+($N696*Cr_yd)+($O696*Cr_td)+(Q696*Crec)+($R696*Crec_yd)+($S696*Crec_td)+($T696*Cfmb)+($U696*Ctp_c)</f>
        <v>0</v>
      </c>
    </row>
    <row r="697" spans="1:28" x14ac:dyDescent="0.2">
      <c r="A697" s="16" t="s">
        <v>1588</v>
      </c>
      <c r="B697" s="16" t="s">
        <v>43</v>
      </c>
      <c r="C697" s="16">
        <v>27</v>
      </c>
      <c r="D697" s="16">
        <v>5</v>
      </c>
      <c r="E697" s="16" t="s">
        <v>341</v>
      </c>
      <c r="F697" s="16" t="s">
        <v>1552</v>
      </c>
      <c r="G697" s="16">
        <v>0</v>
      </c>
      <c r="H697" s="16">
        <v>0</v>
      </c>
      <c r="I697" s="16">
        <v>0</v>
      </c>
      <c r="J697" s="16">
        <v>0</v>
      </c>
      <c r="K697" s="16">
        <v>0</v>
      </c>
      <c r="L697" s="16">
        <v>0</v>
      </c>
      <c r="M697" s="16">
        <v>0</v>
      </c>
      <c r="N697" s="16">
        <v>0</v>
      </c>
      <c r="O697" s="16">
        <v>0</v>
      </c>
      <c r="P697" s="16">
        <v>0</v>
      </c>
      <c r="Q697" s="16">
        <v>0</v>
      </c>
      <c r="R697" s="16">
        <v>0</v>
      </c>
      <c r="S697" s="16">
        <v>0</v>
      </c>
      <c r="T697" s="16">
        <v>0</v>
      </c>
      <c r="U697" s="16">
        <v>0</v>
      </c>
      <c r="V697" s="16">
        <f>($J697*0.04)+($K697*4)+($L697*-2)+($N697*0.1)+($O697*6)+($Q697)+($R697*0.1)+($S697*6)+($T697*-2)</f>
        <v>0</v>
      </c>
      <c r="W697" s="16" t="e">
        <f>$P697/$H$33</f>
        <v>#DIV/0!</v>
      </c>
      <c r="X697" s="16" t="e">
        <f>$N697/$M697</f>
        <v>#DIV/0!</v>
      </c>
      <c r="Y697" s="16" t="e">
        <f>$R697/$Q697</f>
        <v>#DIV/0!</v>
      </c>
      <c r="Z697" s="16" t="e">
        <f>$I697/$H697</f>
        <v>#DIV/0!</v>
      </c>
      <c r="AA697" s="16" t="e">
        <f>$K697/$H697</f>
        <v>#DIV/0!</v>
      </c>
      <c r="AB697" s="16">
        <f>($J697*Cp_yd)+($K697*Cp_td)+($L697*Cint)+($M697*Ccar)+($N697*Cr_yd)+($O697*Cr_td)+(Q697*Crec)+($R697*Crec_yd)+($S697*Crec_td)+($T697*Cfmb)+($U697*Ctp_c)</f>
        <v>0</v>
      </c>
    </row>
    <row r="698" spans="1:28" x14ac:dyDescent="0.2">
      <c r="A698" s="15" t="s">
        <v>1589</v>
      </c>
      <c r="B698" s="15" t="s">
        <v>43</v>
      </c>
      <c r="C698" s="15">
        <v>30</v>
      </c>
      <c r="D698" s="15">
        <v>8</v>
      </c>
      <c r="E698" s="15" t="s">
        <v>1590</v>
      </c>
      <c r="F698" s="15" t="s">
        <v>1552</v>
      </c>
      <c r="G698" s="15">
        <v>0</v>
      </c>
      <c r="H698" s="15">
        <v>0</v>
      </c>
      <c r="I698" s="15">
        <v>0</v>
      </c>
      <c r="J698" s="15">
        <v>0</v>
      </c>
      <c r="K698" s="15">
        <v>0</v>
      </c>
      <c r="L698" s="15">
        <v>0</v>
      </c>
      <c r="M698" s="15">
        <v>0</v>
      </c>
      <c r="N698" s="15">
        <v>0</v>
      </c>
      <c r="O698" s="15">
        <v>0</v>
      </c>
      <c r="P698" s="15">
        <v>0</v>
      </c>
      <c r="Q698" s="15">
        <v>0</v>
      </c>
      <c r="R698" s="15">
        <v>0</v>
      </c>
      <c r="S698" s="15">
        <v>0</v>
      </c>
      <c r="T698" s="15">
        <v>0</v>
      </c>
      <c r="U698" s="15">
        <v>0</v>
      </c>
      <c r="V698" s="15">
        <f>($J698*0.04)+($K698*4)+($L698*-2)+($N698*0.1)+($O698*6)+($Q698)+($R698*0.1)+($S698*6)+($T698*-2)</f>
        <v>0</v>
      </c>
      <c r="W698" s="15" t="e">
        <f>$P698/$H$33</f>
        <v>#DIV/0!</v>
      </c>
      <c r="X698" s="15" t="e">
        <f>$N698/$M698</f>
        <v>#DIV/0!</v>
      </c>
      <c r="Y698" s="15" t="e">
        <f>$R698/$Q698</f>
        <v>#DIV/0!</v>
      </c>
      <c r="Z698" s="15" t="e">
        <f>$I698/$H698</f>
        <v>#DIV/0!</v>
      </c>
      <c r="AA698" s="15" t="e">
        <f>$K698/$H698</f>
        <v>#DIV/0!</v>
      </c>
      <c r="AB698" s="15">
        <f>($J698*Cp_yd)+($K698*Cp_td)+($L698*Cint)+($M698*Ccar)+($N698*Cr_yd)+($O698*Cr_td)+(Q698*Crec)+($R698*Crec_yd)+($S698*Crec_td)+($T698*Cfmb)+($U698*Ctp_c)</f>
        <v>0</v>
      </c>
    </row>
    <row r="699" spans="1:28" x14ac:dyDescent="0.2">
      <c r="A699" s="16" t="s">
        <v>1592</v>
      </c>
      <c r="B699" s="16" t="s">
        <v>38</v>
      </c>
      <c r="C699" s="16">
        <v>28</v>
      </c>
      <c r="D699" s="16">
        <v>6</v>
      </c>
      <c r="E699" s="16" t="s">
        <v>211</v>
      </c>
      <c r="F699" s="16" t="s">
        <v>1552</v>
      </c>
      <c r="G699" s="16">
        <v>0</v>
      </c>
      <c r="H699" s="16">
        <v>0</v>
      </c>
      <c r="I699" s="16">
        <v>0</v>
      </c>
      <c r="J699" s="16">
        <v>0</v>
      </c>
      <c r="K699" s="16">
        <v>0</v>
      </c>
      <c r="L699" s="16">
        <v>0</v>
      </c>
      <c r="M699" s="16">
        <v>0</v>
      </c>
      <c r="N699" s="16">
        <v>0</v>
      </c>
      <c r="O699" s="16">
        <v>0</v>
      </c>
      <c r="P699" s="16">
        <v>0</v>
      </c>
      <c r="Q699" s="16">
        <v>0</v>
      </c>
      <c r="R699" s="16">
        <v>0</v>
      </c>
      <c r="S699" s="16">
        <v>0</v>
      </c>
      <c r="T699" s="16">
        <v>0</v>
      </c>
      <c r="U699" s="16">
        <v>0</v>
      </c>
      <c r="V699" s="16">
        <f>($J699*0.04)+($K699*4)+($L699*-2)+($N699*0.1)+($O699*6)+($Q699)+($R699*0.1)+($S699*6)+($T699*-2)</f>
        <v>0</v>
      </c>
      <c r="W699" s="16" t="e">
        <f>$P699/$H$33</f>
        <v>#DIV/0!</v>
      </c>
      <c r="X699" s="16" t="e">
        <f>$N699/$M699</f>
        <v>#DIV/0!</v>
      </c>
      <c r="Y699" s="16" t="e">
        <f>$R699/$Q699</f>
        <v>#DIV/0!</v>
      </c>
      <c r="Z699" s="16" t="e">
        <f>$I699/$H699</f>
        <v>#DIV/0!</v>
      </c>
      <c r="AA699" s="16" t="e">
        <f>$K699/$H699</f>
        <v>#DIV/0!</v>
      </c>
      <c r="AB699" s="16">
        <f>($J699*Cp_yd)+($K699*Cp_td)+($L699*Cint)+($M699*Ccar)+($N699*Cr_yd)+($O699*Cr_td)+(Q699*Crec)+($R699*Crec_yd)+($S699*Crec_td)+($T699*Cfmb)+($U699*Ctp_c)</f>
        <v>0</v>
      </c>
    </row>
    <row r="700" spans="1:28" x14ac:dyDescent="0.2">
      <c r="A700" s="15" t="s">
        <v>1593</v>
      </c>
      <c r="B700" s="15" t="s">
        <v>38</v>
      </c>
      <c r="C700" s="15">
        <v>28</v>
      </c>
      <c r="D700" s="15">
        <v>5</v>
      </c>
      <c r="E700" s="15" t="s">
        <v>72</v>
      </c>
      <c r="F700" s="15" t="s">
        <v>1552</v>
      </c>
      <c r="G700" s="15">
        <v>0</v>
      </c>
      <c r="H700" s="15">
        <v>0</v>
      </c>
      <c r="I700" s="15">
        <v>0</v>
      </c>
      <c r="J700" s="15">
        <v>0</v>
      </c>
      <c r="K700" s="15">
        <v>0</v>
      </c>
      <c r="L700" s="15">
        <v>0</v>
      </c>
      <c r="M700" s="15">
        <v>0</v>
      </c>
      <c r="N700" s="15">
        <v>0</v>
      </c>
      <c r="O700" s="15">
        <v>0</v>
      </c>
      <c r="P700" s="15">
        <v>0</v>
      </c>
      <c r="Q700" s="15">
        <v>0</v>
      </c>
      <c r="R700" s="15">
        <v>0</v>
      </c>
      <c r="S700" s="15">
        <v>0</v>
      </c>
      <c r="T700" s="15">
        <v>0</v>
      </c>
      <c r="U700" s="15">
        <v>0</v>
      </c>
      <c r="V700" s="15">
        <f>($J700*0.04)+($K700*4)+($L700*-2)+($N700*0.1)+($O700*6)+($Q700)+($R700*0.1)+($S700*6)+($T700*-2)</f>
        <v>0</v>
      </c>
      <c r="W700" s="15" t="e">
        <f>$P700/$H$33</f>
        <v>#DIV/0!</v>
      </c>
      <c r="X700" s="15" t="e">
        <f>$N700/$M700</f>
        <v>#DIV/0!</v>
      </c>
      <c r="Y700" s="15" t="e">
        <f>$R700/$Q700</f>
        <v>#DIV/0!</v>
      </c>
      <c r="Z700" s="15" t="e">
        <f>$I700/$H700</f>
        <v>#DIV/0!</v>
      </c>
      <c r="AA700" s="15" t="e">
        <f>$K700/$H700</f>
        <v>#DIV/0!</v>
      </c>
      <c r="AB700" s="15">
        <f>($J700*Cp_yd)+($K700*Cp_td)+($L700*Cint)+($M700*Ccar)+($N700*Cr_yd)+($O700*Cr_td)+(Q700*Crec)+($R700*Crec_yd)+($S700*Crec_td)+($T700*Cfmb)+($U700*Ctp_c)</f>
        <v>0</v>
      </c>
    </row>
    <row r="701" spans="1:28" x14ac:dyDescent="0.2">
      <c r="A701" s="16" t="s">
        <v>1594</v>
      </c>
      <c r="B701" s="16" t="s">
        <v>38</v>
      </c>
      <c r="C701" s="16">
        <v>29</v>
      </c>
      <c r="D701" s="16">
        <v>7</v>
      </c>
      <c r="E701" s="16" t="s">
        <v>100</v>
      </c>
      <c r="F701" s="16" t="s">
        <v>1552</v>
      </c>
      <c r="G701" s="16">
        <v>0</v>
      </c>
      <c r="H701" s="16">
        <v>0</v>
      </c>
      <c r="I701" s="16">
        <v>0</v>
      </c>
      <c r="J701" s="16">
        <v>0</v>
      </c>
      <c r="K701" s="16">
        <v>0</v>
      </c>
      <c r="L701" s="16">
        <v>0</v>
      </c>
      <c r="M701" s="16">
        <v>0</v>
      </c>
      <c r="N701" s="16">
        <v>0</v>
      </c>
      <c r="O701" s="16">
        <v>0</v>
      </c>
      <c r="P701" s="16">
        <v>0</v>
      </c>
      <c r="Q701" s="16">
        <v>0</v>
      </c>
      <c r="R701" s="16">
        <v>0</v>
      </c>
      <c r="S701" s="16">
        <v>0</v>
      </c>
      <c r="T701" s="16">
        <v>0</v>
      </c>
      <c r="U701" s="16">
        <v>0</v>
      </c>
      <c r="V701" s="16">
        <f>($J701*0.04)+($K701*4)+($L701*-2)+($N701*0.1)+($O701*6)+($Q701)+($R701*0.1)+($S701*6)+($T701*-2)</f>
        <v>0</v>
      </c>
      <c r="W701" s="16" t="e">
        <f>$P701/$H$33</f>
        <v>#DIV/0!</v>
      </c>
      <c r="X701" s="16" t="e">
        <f>$N701/$M701</f>
        <v>#DIV/0!</v>
      </c>
      <c r="Y701" s="16" t="e">
        <f>$R701/$Q701</f>
        <v>#DIV/0!</v>
      </c>
      <c r="Z701" s="16" t="e">
        <f>$I701/$H701</f>
        <v>#DIV/0!</v>
      </c>
      <c r="AA701" s="16" t="e">
        <f>$K701/$H701</f>
        <v>#DIV/0!</v>
      </c>
      <c r="AB701" s="16">
        <f>($J701*Cp_yd)+($K701*Cp_td)+($L701*Cint)+($M701*Ccar)+($N701*Cr_yd)+($O701*Cr_td)+(Q701*Crec)+($R701*Crec_yd)+($S701*Crec_td)+($T701*Cfmb)+($U701*Ctp_c)</f>
        <v>0</v>
      </c>
    </row>
    <row r="702" spans="1:28" x14ac:dyDescent="0.2">
      <c r="A702" s="15" t="s">
        <v>1595</v>
      </c>
      <c r="B702" s="15" t="s">
        <v>38</v>
      </c>
      <c r="C702" s="15">
        <v>23</v>
      </c>
      <c r="D702" s="15">
        <v>0</v>
      </c>
      <c r="E702" s="15" t="s">
        <v>153</v>
      </c>
      <c r="F702" s="15" t="s">
        <v>1552</v>
      </c>
      <c r="G702" s="15">
        <v>0</v>
      </c>
      <c r="H702" s="15">
        <v>0</v>
      </c>
      <c r="I702" s="15">
        <v>0</v>
      </c>
      <c r="J702" s="15">
        <v>0</v>
      </c>
      <c r="K702" s="15">
        <v>0</v>
      </c>
      <c r="L702" s="15">
        <v>0</v>
      </c>
      <c r="M702" s="15">
        <v>0</v>
      </c>
      <c r="N702" s="15">
        <v>0</v>
      </c>
      <c r="O702" s="15">
        <v>0</v>
      </c>
      <c r="P702" s="15">
        <v>0</v>
      </c>
      <c r="Q702" s="15">
        <v>0</v>
      </c>
      <c r="R702" s="15">
        <v>0</v>
      </c>
      <c r="S702" s="15">
        <v>0</v>
      </c>
      <c r="T702" s="15">
        <v>0</v>
      </c>
      <c r="U702" s="15">
        <v>0</v>
      </c>
      <c r="V702" s="15">
        <f>($J702*0.04)+($K702*4)+($L702*-2)+($N702*0.1)+($O702*6)+($Q702)+($R702*0.1)+($S702*6)+($T702*-2)</f>
        <v>0</v>
      </c>
      <c r="W702" s="15" t="e">
        <f>$P702/$H$33</f>
        <v>#DIV/0!</v>
      </c>
      <c r="X702" s="15" t="e">
        <f>$N702/$M702</f>
        <v>#DIV/0!</v>
      </c>
      <c r="Y702" s="15" t="e">
        <f>$R702/$Q702</f>
        <v>#DIV/0!</v>
      </c>
      <c r="Z702" s="15" t="e">
        <f>$I702/$H702</f>
        <v>#DIV/0!</v>
      </c>
      <c r="AA702" s="15" t="e">
        <f>$K702/$H702</f>
        <v>#DIV/0!</v>
      </c>
      <c r="AB702" s="15">
        <f>($J702*Cp_yd)+($K702*Cp_td)+($L702*Cint)+($M702*Ccar)+($N702*Cr_yd)+($O702*Cr_td)+(Q702*Crec)+($R702*Crec_yd)+($S702*Crec_td)+($T702*Cfmb)+($U702*Ctp_c)</f>
        <v>0</v>
      </c>
    </row>
    <row r="703" spans="1:28" x14ac:dyDescent="0.2">
      <c r="A703" s="16" t="s">
        <v>1596</v>
      </c>
      <c r="B703" s="16" t="s">
        <v>38</v>
      </c>
      <c r="C703" s="16">
        <v>23</v>
      </c>
      <c r="D703" s="16">
        <v>0</v>
      </c>
      <c r="E703" s="16" t="s">
        <v>68</v>
      </c>
      <c r="F703" s="16" t="s">
        <v>1552</v>
      </c>
      <c r="G703" s="16">
        <v>0</v>
      </c>
      <c r="H703" s="16">
        <v>0</v>
      </c>
      <c r="I703" s="16">
        <v>0</v>
      </c>
      <c r="J703" s="16">
        <v>0</v>
      </c>
      <c r="K703" s="16">
        <v>0</v>
      </c>
      <c r="L703" s="16">
        <v>0</v>
      </c>
      <c r="M703" s="16">
        <v>0</v>
      </c>
      <c r="N703" s="16">
        <v>0</v>
      </c>
      <c r="O703" s="16">
        <v>0</v>
      </c>
      <c r="P703" s="16">
        <v>0</v>
      </c>
      <c r="Q703" s="16">
        <v>0</v>
      </c>
      <c r="R703" s="16">
        <v>0</v>
      </c>
      <c r="S703" s="16">
        <v>0</v>
      </c>
      <c r="T703" s="16">
        <v>0</v>
      </c>
      <c r="U703" s="16">
        <v>0</v>
      </c>
      <c r="V703" s="16">
        <f>($J703*0.04)+($K703*4)+($L703*-2)+($N703*0.1)+($O703*6)+($Q703)+($R703*0.1)+($S703*6)+($T703*-2)</f>
        <v>0</v>
      </c>
      <c r="W703" s="16" t="e">
        <f>$P703/$H$33</f>
        <v>#DIV/0!</v>
      </c>
      <c r="X703" s="16" t="e">
        <f>$N703/$M703</f>
        <v>#DIV/0!</v>
      </c>
      <c r="Y703" s="16" t="e">
        <f>$R703/$Q703</f>
        <v>#DIV/0!</v>
      </c>
      <c r="Z703" s="16" t="e">
        <f>$I703/$H703</f>
        <v>#DIV/0!</v>
      </c>
      <c r="AA703" s="16" t="e">
        <f>$K703/$H703</f>
        <v>#DIV/0!</v>
      </c>
      <c r="AB703" s="16">
        <f>($J703*Cp_yd)+($K703*Cp_td)+($L703*Cint)+($M703*Ccar)+($N703*Cr_yd)+($O703*Cr_td)+(Q703*Crec)+($R703*Crec_yd)+($S703*Crec_td)+($T703*Cfmb)+($U703*Ctp_c)</f>
        <v>0</v>
      </c>
    </row>
    <row r="704" spans="1:28" x14ac:dyDescent="0.2">
      <c r="A704" s="15" t="s">
        <v>1618</v>
      </c>
      <c r="B704" s="15" t="s">
        <v>26</v>
      </c>
      <c r="C704" s="15">
        <v>28</v>
      </c>
      <c r="D704" s="15">
        <v>6</v>
      </c>
      <c r="E704" s="15" t="s">
        <v>68</v>
      </c>
      <c r="F704" s="15" t="s">
        <v>1599</v>
      </c>
      <c r="G704" s="15">
        <v>0</v>
      </c>
      <c r="H704" s="15">
        <v>0</v>
      </c>
      <c r="I704" s="15">
        <v>0</v>
      </c>
      <c r="J704" s="15">
        <v>0</v>
      </c>
      <c r="K704" s="15">
        <v>0</v>
      </c>
      <c r="L704" s="15">
        <v>0</v>
      </c>
      <c r="M704" s="15">
        <v>0</v>
      </c>
      <c r="N704" s="15">
        <v>0</v>
      </c>
      <c r="O704" s="15">
        <v>0</v>
      </c>
      <c r="P704" s="15">
        <v>0</v>
      </c>
      <c r="Q704" s="15">
        <v>0</v>
      </c>
      <c r="R704" s="15">
        <v>0</v>
      </c>
      <c r="S704" s="15">
        <v>0</v>
      </c>
      <c r="T704" s="15">
        <v>0</v>
      </c>
      <c r="U704" s="15">
        <v>0</v>
      </c>
      <c r="V704" s="15">
        <f>($J704*0.04)+($K704*4)+($L704*-2)+($N704*0.1)+($O704*6)+($Q704)+($R704*0.1)+($S704*6)+($T704*-2)</f>
        <v>0</v>
      </c>
      <c r="W704" s="15" t="e">
        <f>$P704/$H$33</f>
        <v>#DIV/0!</v>
      </c>
      <c r="X704" s="15" t="e">
        <f>$N704/$M704</f>
        <v>#DIV/0!</v>
      </c>
      <c r="Y704" s="15" t="e">
        <f>$R704/$Q704</f>
        <v>#DIV/0!</v>
      </c>
      <c r="Z704" s="15" t="e">
        <f>$I704/$H704</f>
        <v>#DIV/0!</v>
      </c>
      <c r="AA704" s="15" t="e">
        <f>$K704/$H704</f>
        <v>#DIV/0!</v>
      </c>
      <c r="AB704" s="15">
        <f>($J704*Cp_yd)+($K704*Cp_td)+($L704*Cint)+($M704*Ccar)+($N704*Cr_yd)+($O704*Cr_td)+(Q704*Crec)+($R704*Crec_yd)+($S704*Crec_td)+($T704*Cfmb)+($U704*Ctp_c)</f>
        <v>0</v>
      </c>
    </row>
    <row r="705" spans="1:28" x14ac:dyDescent="0.2">
      <c r="A705" s="16" t="s">
        <v>1619</v>
      </c>
      <c r="B705" s="16" t="s">
        <v>26</v>
      </c>
      <c r="C705" s="16">
        <v>25</v>
      </c>
      <c r="D705" s="16">
        <v>3</v>
      </c>
      <c r="E705" s="16" t="s">
        <v>178</v>
      </c>
      <c r="F705" s="16" t="s">
        <v>1599</v>
      </c>
      <c r="G705" s="16">
        <v>0</v>
      </c>
      <c r="H705" s="16">
        <v>0</v>
      </c>
      <c r="I705" s="16">
        <v>0</v>
      </c>
      <c r="J705" s="16">
        <v>0</v>
      </c>
      <c r="K705" s="16">
        <v>0</v>
      </c>
      <c r="L705" s="16">
        <v>0</v>
      </c>
      <c r="M705" s="16">
        <v>0</v>
      </c>
      <c r="N705" s="16">
        <v>0</v>
      </c>
      <c r="O705" s="16">
        <v>0</v>
      </c>
      <c r="P705" s="16">
        <v>0</v>
      </c>
      <c r="Q705" s="16">
        <v>0</v>
      </c>
      <c r="R705" s="16">
        <v>0</v>
      </c>
      <c r="S705" s="16">
        <v>0</v>
      </c>
      <c r="T705" s="16">
        <v>0</v>
      </c>
      <c r="U705" s="16">
        <v>0</v>
      </c>
      <c r="V705" s="16">
        <f>($J705*0.04)+($K705*4)+($L705*-2)+($N705*0.1)+($O705*6)+($Q705)+($R705*0.1)+($S705*6)+($T705*-2)</f>
        <v>0</v>
      </c>
      <c r="W705" s="16" t="e">
        <f>$P705/$H$33</f>
        <v>#DIV/0!</v>
      </c>
      <c r="X705" s="16" t="e">
        <f>$N705/$M705</f>
        <v>#DIV/0!</v>
      </c>
      <c r="Y705" s="16" t="e">
        <f>$R705/$Q705</f>
        <v>#DIV/0!</v>
      </c>
      <c r="Z705" s="16" t="e">
        <f>$I705/$H705</f>
        <v>#DIV/0!</v>
      </c>
      <c r="AA705" s="16" t="e">
        <f>$K705/$H705</f>
        <v>#DIV/0!</v>
      </c>
      <c r="AB705" s="16">
        <f>($J705*Cp_yd)+($K705*Cp_td)+($L705*Cint)+($M705*Ccar)+($N705*Cr_yd)+($O705*Cr_td)+(Q705*Crec)+($R705*Crec_yd)+($S705*Crec_td)+($T705*Cfmb)+($U705*Ctp_c)</f>
        <v>0</v>
      </c>
    </row>
    <row r="706" spans="1:28" x14ac:dyDescent="0.2">
      <c r="A706" s="15" t="s">
        <v>1621</v>
      </c>
      <c r="B706" s="15" t="s">
        <v>31</v>
      </c>
      <c r="C706" s="15">
        <v>23</v>
      </c>
      <c r="D706" s="15">
        <v>0</v>
      </c>
      <c r="E706" s="15" t="s">
        <v>93</v>
      </c>
      <c r="F706" s="15" t="s">
        <v>1599</v>
      </c>
      <c r="G706" s="15">
        <v>0</v>
      </c>
      <c r="H706" s="15">
        <v>0</v>
      </c>
      <c r="I706" s="15">
        <v>0</v>
      </c>
      <c r="J706" s="15">
        <v>0</v>
      </c>
      <c r="K706" s="15">
        <v>0</v>
      </c>
      <c r="L706" s="15">
        <v>0</v>
      </c>
      <c r="M706" s="15">
        <v>0</v>
      </c>
      <c r="N706" s="15">
        <v>0</v>
      </c>
      <c r="O706" s="15">
        <v>0</v>
      </c>
      <c r="P706" s="15">
        <v>0</v>
      </c>
      <c r="Q706" s="15">
        <v>0</v>
      </c>
      <c r="R706" s="15">
        <v>0</v>
      </c>
      <c r="S706" s="15">
        <v>0</v>
      </c>
      <c r="T706" s="15">
        <v>0</v>
      </c>
      <c r="U706" s="15">
        <v>0</v>
      </c>
      <c r="V706" s="15">
        <f>($J706*0.04)+($K706*4)+($L706*-2)+($N706*0.1)+($O706*6)+($Q706)+($R706*0.1)+($S706*6)+($T706*-2)</f>
        <v>0</v>
      </c>
      <c r="W706" s="15" t="e">
        <f>$P706/$H$33</f>
        <v>#DIV/0!</v>
      </c>
      <c r="X706" s="15" t="e">
        <f>$N706/$M706</f>
        <v>#DIV/0!</v>
      </c>
      <c r="Y706" s="15" t="e">
        <f>$R706/$Q706</f>
        <v>#DIV/0!</v>
      </c>
      <c r="Z706" s="15" t="e">
        <f>$I706/$H706</f>
        <v>#DIV/0!</v>
      </c>
      <c r="AA706" s="15" t="e">
        <f>$K706/$H706</f>
        <v>#DIV/0!</v>
      </c>
      <c r="AB706" s="15">
        <f>($J706*Cp_yd)+($K706*Cp_td)+($L706*Cint)+($M706*Ccar)+($N706*Cr_yd)+($O706*Cr_td)+(Q706*Crec)+($R706*Crec_yd)+($S706*Crec_td)+($T706*Cfmb)+($U706*Ctp_c)</f>
        <v>0</v>
      </c>
    </row>
    <row r="707" spans="1:28" x14ac:dyDescent="0.2">
      <c r="A707" s="16" t="s">
        <v>1622</v>
      </c>
      <c r="B707" s="16" t="s">
        <v>31</v>
      </c>
      <c r="C707" s="16">
        <v>27</v>
      </c>
      <c r="D707" s="16">
        <v>6</v>
      </c>
      <c r="E707" s="16" t="s">
        <v>1623</v>
      </c>
      <c r="F707" s="16" t="s">
        <v>1599</v>
      </c>
      <c r="G707" s="16">
        <v>0</v>
      </c>
      <c r="H707" s="16">
        <v>0</v>
      </c>
      <c r="I707" s="16">
        <v>0</v>
      </c>
      <c r="J707" s="16">
        <v>0</v>
      </c>
      <c r="K707" s="16">
        <v>0</v>
      </c>
      <c r="L707" s="16">
        <v>0</v>
      </c>
      <c r="M707" s="16">
        <v>0</v>
      </c>
      <c r="N707" s="16">
        <v>0</v>
      </c>
      <c r="O707" s="16">
        <v>0</v>
      </c>
      <c r="P707" s="16">
        <v>0</v>
      </c>
      <c r="Q707" s="16">
        <v>0</v>
      </c>
      <c r="R707" s="16">
        <v>0</v>
      </c>
      <c r="S707" s="16">
        <v>0</v>
      </c>
      <c r="T707" s="16">
        <v>0</v>
      </c>
      <c r="U707" s="16">
        <v>0</v>
      </c>
      <c r="V707" s="16">
        <f>($J707*0.04)+($K707*4)+($L707*-2)+($N707*0.1)+($O707*6)+($Q707)+($R707*0.1)+($S707*6)+($T707*-2)</f>
        <v>0</v>
      </c>
      <c r="W707" s="16" t="e">
        <f>$P707/$H$33</f>
        <v>#DIV/0!</v>
      </c>
      <c r="X707" s="16" t="e">
        <f>$N707/$M707</f>
        <v>#DIV/0!</v>
      </c>
      <c r="Y707" s="16" t="e">
        <f>$R707/$Q707</f>
        <v>#DIV/0!</v>
      </c>
      <c r="Z707" s="16" t="e">
        <f>$I707/$H707</f>
        <v>#DIV/0!</v>
      </c>
      <c r="AA707" s="16" t="e">
        <f>$K707/$H707</f>
        <v>#DIV/0!</v>
      </c>
      <c r="AB707" s="16">
        <f>($J707*Cp_yd)+($K707*Cp_td)+($L707*Cint)+($M707*Ccar)+($N707*Cr_yd)+($O707*Cr_td)+(Q707*Crec)+($R707*Crec_yd)+($S707*Crec_td)+($T707*Cfmb)+($U707*Ctp_c)</f>
        <v>0</v>
      </c>
    </row>
    <row r="708" spans="1:28" x14ac:dyDescent="0.2">
      <c r="A708" s="15" t="s">
        <v>1624</v>
      </c>
      <c r="B708" s="15" t="s">
        <v>31</v>
      </c>
      <c r="C708" s="15">
        <v>28</v>
      </c>
      <c r="D708" s="15">
        <v>4</v>
      </c>
      <c r="E708" s="15" t="s">
        <v>666</v>
      </c>
      <c r="F708" s="15" t="s">
        <v>1599</v>
      </c>
      <c r="G708" s="15">
        <v>0</v>
      </c>
      <c r="H708" s="15">
        <v>0</v>
      </c>
      <c r="I708" s="15">
        <v>0</v>
      </c>
      <c r="J708" s="15">
        <v>0</v>
      </c>
      <c r="K708" s="15">
        <v>0</v>
      </c>
      <c r="L708" s="15">
        <v>0</v>
      </c>
      <c r="M708" s="15">
        <v>0</v>
      </c>
      <c r="N708" s="15">
        <v>0</v>
      </c>
      <c r="O708" s="15">
        <v>0</v>
      </c>
      <c r="P708" s="15">
        <v>0</v>
      </c>
      <c r="Q708" s="15">
        <v>0</v>
      </c>
      <c r="R708" s="15">
        <v>0</v>
      </c>
      <c r="S708" s="15">
        <v>0</v>
      </c>
      <c r="T708" s="15">
        <v>0</v>
      </c>
      <c r="U708" s="15">
        <v>0</v>
      </c>
      <c r="V708" s="15">
        <f>($J708*0.04)+($K708*4)+($L708*-2)+($N708*0.1)+($O708*6)+($Q708)+($R708*0.1)+($S708*6)+($T708*-2)</f>
        <v>0</v>
      </c>
      <c r="W708" s="15" t="e">
        <f>$P708/$H$33</f>
        <v>#DIV/0!</v>
      </c>
      <c r="X708" s="15" t="e">
        <f>$N708/$M708</f>
        <v>#DIV/0!</v>
      </c>
      <c r="Y708" s="15" t="e">
        <f>$R708/$Q708</f>
        <v>#DIV/0!</v>
      </c>
      <c r="Z708" s="15" t="e">
        <f>$I708/$H708</f>
        <v>#DIV/0!</v>
      </c>
      <c r="AA708" s="15" t="e">
        <f>$K708/$H708</f>
        <v>#DIV/0!</v>
      </c>
      <c r="AB708" s="15">
        <f>($J708*Cp_yd)+($K708*Cp_td)+($L708*Cint)+($M708*Ccar)+($N708*Cr_yd)+($O708*Cr_td)+(Q708*Crec)+($R708*Crec_yd)+($S708*Crec_td)+($T708*Cfmb)+($U708*Ctp_c)</f>
        <v>0</v>
      </c>
    </row>
    <row r="709" spans="1:28" x14ac:dyDescent="0.2">
      <c r="A709" s="16" t="s">
        <v>1625</v>
      </c>
      <c r="B709" s="16" t="s">
        <v>31</v>
      </c>
      <c r="C709" s="16">
        <v>21</v>
      </c>
      <c r="D709" s="16">
        <v>0</v>
      </c>
      <c r="E709" s="16" t="s">
        <v>1206</v>
      </c>
      <c r="F709" s="16" t="s">
        <v>1599</v>
      </c>
      <c r="G709" s="16">
        <v>0</v>
      </c>
      <c r="H709" s="16">
        <v>0</v>
      </c>
      <c r="I709" s="16">
        <v>0</v>
      </c>
      <c r="J709" s="16">
        <v>0</v>
      </c>
      <c r="K709" s="16">
        <v>0</v>
      </c>
      <c r="L709" s="16">
        <v>0</v>
      </c>
      <c r="M709" s="16">
        <v>0</v>
      </c>
      <c r="N709" s="16">
        <v>0</v>
      </c>
      <c r="O709" s="16">
        <v>0</v>
      </c>
      <c r="P709" s="16">
        <v>0</v>
      </c>
      <c r="Q709" s="16">
        <v>0</v>
      </c>
      <c r="R709" s="16">
        <v>0</v>
      </c>
      <c r="S709" s="16">
        <v>0</v>
      </c>
      <c r="T709" s="16">
        <v>0</v>
      </c>
      <c r="U709" s="16">
        <v>0</v>
      </c>
      <c r="V709" s="16">
        <f>($J709*0.04)+($K709*4)+($L709*-2)+($N709*0.1)+($O709*6)+($Q709)+($R709*0.1)+($S709*6)+($T709*-2)</f>
        <v>0</v>
      </c>
      <c r="W709" s="16" t="e">
        <f>$P709/$H$33</f>
        <v>#DIV/0!</v>
      </c>
      <c r="X709" s="16" t="e">
        <f>$N709/$M709</f>
        <v>#DIV/0!</v>
      </c>
      <c r="Y709" s="16" t="e">
        <f>$R709/$Q709</f>
        <v>#DIV/0!</v>
      </c>
      <c r="Z709" s="16" t="e">
        <f>$I709/$H709</f>
        <v>#DIV/0!</v>
      </c>
      <c r="AA709" s="16" t="e">
        <f>$K709/$H709</f>
        <v>#DIV/0!</v>
      </c>
      <c r="AB709" s="16">
        <f>($J709*Cp_yd)+($K709*Cp_td)+($L709*Cint)+($M709*Ccar)+($N709*Cr_yd)+($O709*Cr_td)+(Q709*Crec)+($R709*Crec_yd)+($S709*Crec_td)+($T709*Cfmb)+($U709*Ctp_c)</f>
        <v>0</v>
      </c>
    </row>
    <row r="710" spans="1:28" x14ac:dyDescent="0.2">
      <c r="A710" s="15" t="s">
        <v>1626</v>
      </c>
      <c r="B710" s="15" t="s">
        <v>31</v>
      </c>
      <c r="C710" s="15">
        <v>26</v>
      </c>
      <c r="D710" s="15">
        <v>4</v>
      </c>
      <c r="E710" s="15" t="s">
        <v>300</v>
      </c>
      <c r="F710" s="15" t="s">
        <v>1599</v>
      </c>
      <c r="G710" s="15">
        <v>0</v>
      </c>
      <c r="H710" s="15">
        <v>0</v>
      </c>
      <c r="I710" s="15">
        <v>0</v>
      </c>
      <c r="J710" s="15">
        <v>0</v>
      </c>
      <c r="K710" s="15">
        <v>0</v>
      </c>
      <c r="L710" s="15">
        <v>0</v>
      </c>
      <c r="M710" s="15">
        <v>0</v>
      </c>
      <c r="N710" s="15">
        <v>0</v>
      </c>
      <c r="O710" s="15">
        <v>0</v>
      </c>
      <c r="P710" s="15">
        <v>0</v>
      </c>
      <c r="Q710" s="15">
        <v>0</v>
      </c>
      <c r="R710" s="15">
        <v>0</v>
      </c>
      <c r="S710" s="15">
        <v>0</v>
      </c>
      <c r="T710" s="15">
        <v>0</v>
      </c>
      <c r="U710" s="15">
        <v>0</v>
      </c>
      <c r="V710" s="15">
        <f>($J710*0.04)+($K710*4)+($L710*-2)+($N710*0.1)+($O710*6)+($Q710)+($R710*0.1)+($S710*6)+($T710*-2)</f>
        <v>0</v>
      </c>
      <c r="W710" s="15" t="e">
        <f>$P710/$H$33</f>
        <v>#DIV/0!</v>
      </c>
      <c r="X710" s="15" t="e">
        <f>$N710/$M710</f>
        <v>#DIV/0!</v>
      </c>
      <c r="Y710" s="15" t="e">
        <f>$R710/$Q710</f>
        <v>#DIV/0!</v>
      </c>
      <c r="Z710" s="15" t="e">
        <f>$I710/$H710</f>
        <v>#DIV/0!</v>
      </c>
      <c r="AA710" s="15" t="e">
        <f>$K710/$H710</f>
        <v>#DIV/0!</v>
      </c>
      <c r="AB710" s="15">
        <f>($J710*Cp_yd)+($K710*Cp_td)+($L710*Cint)+($M710*Ccar)+($N710*Cr_yd)+($O710*Cr_td)+(Q710*Crec)+($R710*Crec_yd)+($S710*Crec_td)+($T710*Cfmb)+($U710*Ctp_c)</f>
        <v>0</v>
      </c>
    </row>
    <row r="711" spans="1:28" x14ac:dyDescent="0.2">
      <c r="A711" s="16" t="s">
        <v>1628</v>
      </c>
      <c r="B711" s="16" t="s">
        <v>43</v>
      </c>
      <c r="C711" s="16">
        <v>23</v>
      </c>
      <c r="D711" s="16">
        <v>0</v>
      </c>
      <c r="E711" s="16" t="s">
        <v>76</v>
      </c>
      <c r="F711" s="16" t="s">
        <v>1599</v>
      </c>
      <c r="G711" s="16">
        <v>0</v>
      </c>
      <c r="H711" s="16">
        <v>0</v>
      </c>
      <c r="I711" s="16">
        <v>0</v>
      </c>
      <c r="J711" s="16">
        <v>0</v>
      </c>
      <c r="K711" s="16">
        <v>0</v>
      </c>
      <c r="L711" s="16">
        <v>0</v>
      </c>
      <c r="M711" s="16">
        <v>0</v>
      </c>
      <c r="N711" s="16">
        <v>0</v>
      </c>
      <c r="O711" s="16">
        <v>0</v>
      </c>
      <c r="P711" s="16">
        <v>0</v>
      </c>
      <c r="Q711" s="16">
        <v>0</v>
      </c>
      <c r="R711" s="16">
        <v>0</v>
      </c>
      <c r="S711" s="16">
        <v>0</v>
      </c>
      <c r="T711" s="16">
        <v>0</v>
      </c>
      <c r="U711" s="16">
        <v>0</v>
      </c>
      <c r="V711" s="16">
        <f>($J711*0.04)+($K711*4)+($L711*-2)+($N711*0.1)+($O711*6)+($Q711)+($R711*0.1)+($S711*6)+($T711*-2)</f>
        <v>0</v>
      </c>
      <c r="W711" s="16" t="e">
        <f>$P711/$H$33</f>
        <v>#DIV/0!</v>
      </c>
      <c r="X711" s="16" t="e">
        <f>$N711/$M711</f>
        <v>#DIV/0!</v>
      </c>
      <c r="Y711" s="16" t="e">
        <f>$R711/$Q711</f>
        <v>#DIV/0!</v>
      </c>
      <c r="Z711" s="16" t="e">
        <f>$I711/$H711</f>
        <v>#DIV/0!</v>
      </c>
      <c r="AA711" s="16" t="e">
        <f>$K711/$H711</f>
        <v>#DIV/0!</v>
      </c>
      <c r="AB711" s="16">
        <f>($J711*Cp_yd)+($K711*Cp_td)+($L711*Cint)+($M711*Ccar)+($N711*Cr_yd)+($O711*Cr_td)+(Q711*Crec)+($R711*Crec_yd)+($S711*Crec_td)+($T711*Cfmb)+($U711*Ctp_c)</f>
        <v>0</v>
      </c>
    </row>
    <row r="712" spans="1:28" x14ac:dyDescent="0.2">
      <c r="A712" s="15" t="s">
        <v>1629</v>
      </c>
      <c r="B712" s="15" t="s">
        <v>43</v>
      </c>
      <c r="C712" s="15">
        <v>29</v>
      </c>
      <c r="D712" s="15">
        <v>10</v>
      </c>
      <c r="E712" s="15" t="s">
        <v>307</v>
      </c>
      <c r="F712" s="15" t="s">
        <v>1599</v>
      </c>
      <c r="G712" s="15">
        <v>0</v>
      </c>
      <c r="H712" s="15">
        <v>0</v>
      </c>
      <c r="I712" s="15">
        <v>0</v>
      </c>
      <c r="J712" s="15">
        <v>0</v>
      </c>
      <c r="K712" s="15">
        <v>0</v>
      </c>
      <c r="L712" s="15">
        <v>0</v>
      </c>
      <c r="M712" s="15">
        <v>0</v>
      </c>
      <c r="N712" s="15">
        <v>0</v>
      </c>
      <c r="O712" s="15">
        <v>0</v>
      </c>
      <c r="P712" s="15">
        <v>0</v>
      </c>
      <c r="Q712" s="15">
        <v>0</v>
      </c>
      <c r="R712" s="15">
        <v>0</v>
      </c>
      <c r="S712" s="15">
        <v>0</v>
      </c>
      <c r="T712" s="15">
        <v>0</v>
      </c>
      <c r="U712" s="15">
        <v>0</v>
      </c>
      <c r="V712" s="15">
        <f>($J712*0.04)+($K712*4)+($L712*-2)+($N712*0.1)+($O712*6)+($Q712)+($R712*0.1)+($S712*6)+($T712*-2)</f>
        <v>0</v>
      </c>
      <c r="W712" s="15" t="e">
        <f>$P712/$H$33</f>
        <v>#DIV/0!</v>
      </c>
      <c r="X712" s="15" t="e">
        <f>$N712/$M712</f>
        <v>#DIV/0!</v>
      </c>
      <c r="Y712" s="15" t="e">
        <f>$R712/$Q712</f>
        <v>#DIV/0!</v>
      </c>
      <c r="Z712" s="15" t="e">
        <f>$I712/$H712</f>
        <v>#DIV/0!</v>
      </c>
      <c r="AA712" s="15" t="e">
        <f>$K712/$H712</f>
        <v>#DIV/0!</v>
      </c>
      <c r="AB712" s="15">
        <f>($J712*Cp_yd)+($K712*Cp_td)+($L712*Cint)+($M712*Ccar)+($N712*Cr_yd)+($O712*Cr_td)+(Q712*Crec)+($R712*Crec_yd)+($S712*Crec_td)+($T712*Cfmb)+($U712*Ctp_c)</f>
        <v>0</v>
      </c>
    </row>
    <row r="713" spans="1:28" x14ac:dyDescent="0.2">
      <c r="A713" s="16" t="s">
        <v>1630</v>
      </c>
      <c r="B713" s="16" t="s">
        <v>43</v>
      </c>
      <c r="C713" s="16">
        <v>27</v>
      </c>
      <c r="D713" s="16">
        <v>6</v>
      </c>
      <c r="E713" s="16" t="s">
        <v>227</v>
      </c>
      <c r="F713" s="16" t="s">
        <v>1599</v>
      </c>
      <c r="G713" s="16">
        <v>0</v>
      </c>
      <c r="H713" s="16">
        <v>0</v>
      </c>
      <c r="I713" s="16">
        <v>0</v>
      </c>
      <c r="J713" s="16">
        <v>0</v>
      </c>
      <c r="K713" s="16">
        <v>0</v>
      </c>
      <c r="L713" s="16">
        <v>0</v>
      </c>
      <c r="M713" s="16">
        <v>0</v>
      </c>
      <c r="N713" s="16">
        <v>0</v>
      </c>
      <c r="O713" s="16">
        <v>0</v>
      </c>
      <c r="P713" s="16">
        <v>0</v>
      </c>
      <c r="Q713" s="16">
        <v>0</v>
      </c>
      <c r="R713" s="16">
        <v>0</v>
      </c>
      <c r="S713" s="16">
        <v>0</v>
      </c>
      <c r="T713" s="16">
        <v>0</v>
      </c>
      <c r="U713" s="16">
        <v>0</v>
      </c>
      <c r="V713" s="16">
        <f>($J713*0.04)+($K713*4)+($L713*-2)+($N713*0.1)+($O713*6)+($Q713)+($R713*0.1)+($S713*6)+($T713*-2)</f>
        <v>0</v>
      </c>
      <c r="W713" s="16" t="e">
        <f>$P713/$H$33</f>
        <v>#DIV/0!</v>
      </c>
      <c r="X713" s="16" t="e">
        <f>$N713/$M713</f>
        <v>#DIV/0!</v>
      </c>
      <c r="Y713" s="16" t="e">
        <f>$R713/$Q713</f>
        <v>#DIV/0!</v>
      </c>
      <c r="Z713" s="16" t="e">
        <f>$I713/$H713</f>
        <v>#DIV/0!</v>
      </c>
      <c r="AA713" s="16" t="e">
        <f>$K713/$H713</f>
        <v>#DIV/0!</v>
      </c>
      <c r="AB713" s="16">
        <f>($J713*Cp_yd)+($K713*Cp_td)+($L713*Cint)+($M713*Ccar)+($N713*Cr_yd)+($O713*Cr_td)+(Q713*Crec)+($R713*Crec_yd)+($S713*Crec_td)+($T713*Cfmb)+($U713*Ctp_c)</f>
        <v>0</v>
      </c>
    </row>
    <row r="714" spans="1:28" x14ac:dyDescent="0.2">
      <c r="A714" s="15" t="s">
        <v>1631</v>
      </c>
      <c r="B714" s="15" t="s">
        <v>43</v>
      </c>
      <c r="C714" s="15">
        <v>25</v>
      </c>
      <c r="D714" s="15">
        <v>1</v>
      </c>
      <c r="E714" s="15" t="s">
        <v>511</v>
      </c>
      <c r="F714" s="15" t="s">
        <v>1599</v>
      </c>
      <c r="G714" s="15">
        <v>0</v>
      </c>
      <c r="H714" s="15">
        <v>0</v>
      </c>
      <c r="I714" s="15">
        <v>0</v>
      </c>
      <c r="J714" s="15">
        <v>0</v>
      </c>
      <c r="K714" s="15">
        <v>0</v>
      </c>
      <c r="L714" s="15">
        <v>0</v>
      </c>
      <c r="M714" s="15">
        <v>0</v>
      </c>
      <c r="N714" s="15">
        <v>0</v>
      </c>
      <c r="O714" s="15">
        <v>0</v>
      </c>
      <c r="P714" s="15">
        <v>0</v>
      </c>
      <c r="Q714" s="15">
        <v>0</v>
      </c>
      <c r="R714" s="15">
        <v>0</v>
      </c>
      <c r="S714" s="15">
        <v>0</v>
      </c>
      <c r="T714" s="15">
        <v>0</v>
      </c>
      <c r="U714" s="15">
        <v>0</v>
      </c>
      <c r="V714" s="15">
        <f>($J714*0.04)+($K714*4)+($L714*-2)+($N714*0.1)+($O714*6)+($Q714)+($R714*0.1)+($S714*6)+($T714*-2)</f>
        <v>0</v>
      </c>
      <c r="W714" s="15" t="e">
        <f>$P714/$H$33</f>
        <v>#DIV/0!</v>
      </c>
      <c r="X714" s="15" t="e">
        <f>$N714/$M714</f>
        <v>#DIV/0!</v>
      </c>
      <c r="Y714" s="15" t="e">
        <f>$R714/$Q714</f>
        <v>#DIV/0!</v>
      </c>
      <c r="Z714" s="15" t="e">
        <f>$I714/$H714</f>
        <v>#DIV/0!</v>
      </c>
      <c r="AA714" s="15" t="e">
        <f>$K714/$H714</f>
        <v>#DIV/0!</v>
      </c>
      <c r="AB714" s="15">
        <f>($J714*Cp_yd)+($K714*Cp_td)+($L714*Cint)+($M714*Ccar)+($N714*Cr_yd)+($O714*Cr_td)+(Q714*Crec)+($R714*Crec_yd)+($S714*Crec_td)+($T714*Cfmb)+($U714*Ctp_c)</f>
        <v>0</v>
      </c>
    </row>
    <row r="715" spans="1:28" x14ac:dyDescent="0.2">
      <c r="A715" s="16" t="s">
        <v>1632</v>
      </c>
      <c r="B715" s="16" t="s">
        <v>43</v>
      </c>
      <c r="C715" s="16">
        <v>27</v>
      </c>
      <c r="D715" s="16">
        <v>7</v>
      </c>
      <c r="E715" s="16" t="s">
        <v>339</v>
      </c>
      <c r="F715" s="16" t="s">
        <v>1599</v>
      </c>
      <c r="G715" s="16">
        <v>0</v>
      </c>
      <c r="H715" s="16">
        <v>0</v>
      </c>
      <c r="I715" s="16">
        <v>0</v>
      </c>
      <c r="J715" s="16">
        <v>0</v>
      </c>
      <c r="K715" s="16">
        <v>0</v>
      </c>
      <c r="L715" s="16">
        <v>0</v>
      </c>
      <c r="M715" s="16">
        <v>0</v>
      </c>
      <c r="N715" s="16">
        <v>0</v>
      </c>
      <c r="O715" s="16">
        <v>0</v>
      </c>
      <c r="P715" s="16">
        <v>0</v>
      </c>
      <c r="Q715" s="16">
        <v>0</v>
      </c>
      <c r="R715" s="16">
        <v>0</v>
      </c>
      <c r="S715" s="16">
        <v>0</v>
      </c>
      <c r="T715" s="16">
        <v>0</v>
      </c>
      <c r="U715" s="16">
        <v>0</v>
      </c>
      <c r="V715" s="16">
        <f>($J715*0.04)+($K715*4)+($L715*-2)+($N715*0.1)+($O715*6)+($Q715)+($R715*0.1)+($S715*6)+($T715*-2)</f>
        <v>0</v>
      </c>
      <c r="W715" s="16" t="e">
        <f>$P715/$H$33</f>
        <v>#DIV/0!</v>
      </c>
      <c r="X715" s="16" t="e">
        <f>$N715/$M715</f>
        <v>#DIV/0!</v>
      </c>
      <c r="Y715" s="16" t="e">
        <f>$R715/$Q715</f>
        <v>#DIV/0!</v>
      </c>
      <c r="Z715" s="16" t="e">
        <f>$I715/$H715</f>
        <v>#DIV/0!</v>
      </c>
      <c r="AA715" s="16" t="e">
        <f>$K715/$H715</f>
        <v>#DIV/0!</v>
      </c>
      <c r="AB715" s="16">
        <f>($J715*Cp_yd)+($K715*Cp_td)+($L715*Cint)+($M715*Ccar)+($N715*Cr_yd)+($O715*Cr_td)+(Q715*Crec)+($R715*Crec_yd)+($S715*Crec_td)+($T715*Cfmb)+($U715*Ctp_c)</f>
        <v>0</v>
      </c>
    </row>
    <row r="716" spans="1:28" x14ac:dyDescent="0.2">
      <c r="A716" s="15" t="s">
        <v>1633</v>
      </c>
      <c r="B716" s="15" t="s">
        <v>43</v>
      </c>
      <c r="C716" s="15">
        <v>22</v>
      </c>
      <c r="D716" s="15">
        <v>0</v>
      </c>
      <c r="E716" s="15" t="s">
        <v>232</v>
      </c>
      <c r="F716" s="15" t="s">
        <v>1599</v>
      </c>
      <c r="G716" s="15">
        <v>0</v>
      </c>
      <c r="H716" s="15">
        <v>0</v>
      </c>
      <c r="I716" s="15">
        <v>0</v>
      </c>
      <c r="J716" s="15">
        <v>0</v>
      </c>
      <c r="K716" s="15">
        <v>0</v>
      </c>
      <c r="L716" s="15">
        <v>0</v>
      </c>
      <c r="M716" s="15">
        <v>0</v>
      </c>
      <c r="N716" s="15">
        <v>0</v>
      </c>
      <c r="O716" s="15">
        <v>0</v>
      </c>
      <c r="P716" s="15">
        <v>0</v>
      </c>
      <c r="Q716" s="15">
        <v>0</v>
      </c>
      <c r="R716" s="15">
        <v>0</v>
      </c>
      <c r="S716" s="15">
        <v>0</v>
      </c>
      <c r="T716" s="15">
        <v>0</v>
      </c>
      <c r="U716" s="15">
        <v>0</v>
      </c>
      <c r="V716" s="15">
        <f>($J716*0.04)+($K716*4)+($L716*-2)+($N716*0.1)+($O716*6)+($Q716)+($R716*0.1)+($S716*6)+($T716*-2)</f>
        <v>0</v>
      </c>
      <c r="W716" s="15" t="e">
        <f>$P716/$H$33</f>
        <v>#DIV/0!</v>
      </c>
      <c r="X716" s="15" t="e">
        <f>$N716/$M716</f>
        <v>#DIV/0!</v>
      </c>
      <c r="Y716" s="15" t="e">
        <f>$R716/$Q716</f>
        <v>#DIV/0!</v>
      </c>
      <c r="Z716" s="15" t="e">
        <f>$I716/$H716</f>
        <v>#DIV/0!</v>
      </c>
      <c r="AA716" s="15" t="e">
        <f>$K716/$H716</f>
        <v>#DIV/0!</v>
      </c>
      <c r="AB716" s="15">
        <f>($J716*Cp_yd)+($K716*Cp_td)+($L716*Cint)+($M716*Ccar)+($N716*Cr_yd)+($O716*Cr_td)+(Q716*Crec)+($R716*Crec_yd)+($S716*Crec_td)+($T716*Cfmb)+($U716*Ctp_c)</f>
        <v>0</v>
      </c>
    </row>
    <row r="717" spans="1:28" x14ac:dyDescent="0.2">
      <c r="A717" s="16" t="s">
        <v>1634</v>
      </c>
      <c r="B717" s="16" t="s">
        <v>43</v>
      </c>
      <c r="C717" s="16">
        <v>23</v>
      </c>
      <c r="D717" s="16">
        <v>0</v>
      </c>
      <c r="E717" s="16" t="s">
        <v>148</v>
      </c>
      <c r="F717" s="16" t="s">
        <v>1599</v>
      </c>
      <c r="G717" s="16">
        <v>0</v>
      </c>
      <c r="H717" s="16">
        <v>0</v>
      </c>
      <c r="I717" s="16">
        <v>0</v>
      </c>
      <c r="J717" s="16">
        <v>0</v>
      </c>
      <c r="K717" s="16">
        <v>0</v>
      </c>
      <c r="L717" s="16">
        <v>0</v>
      </c>
      <c r="M717" s="16">
        <v>0</v>
      </c>
      <c r="N717" s="16">
        <v>0</v>
      </c>
      <c r="O717" s="16">
        <v>0</v>
      </c>
      <c r="P717" s="16">
        <v>0</v>
      </c>
      <c r="Q717" s="16">
        <v>0</v>
      </c>
      <c r="R717" s="16">
        <v>0</v>
      </c>
      <c r="S717" s="16">
        <v>0</v>
      </c>
      <c r="T717" s="16">
        <v>0</v>
      </c>
      <c r="U717" s="16">
        <v>0</v>
      </c>
      <c r="V717" s="16">
        <f>($J717*0.04)+($K717*4)+($L717*-2)+($N717*0.1)+($O717*6)+($Q717)+($R717*0.1)+($S717*6)+($T717*-2)</f>
        <v>0</v>
      </c>
      <c r="W717" s="16" t="e">
        <f>$P717/$H$33</f>
        <v>#DIV/0!</v>
      </c>
      <c r="X717" s="16" t="e">
        <f>$N717/$M717</f>
        <v>#DIV/0!</v>
      </c>
      <c r="Y717" s="16" t="e">
        <f>$R717/$Q717</f>
        <v>#DIV/0!</v>
      </c>
      <c r="Z717" s="16" t="e">
        <f>$I717/$H717</f>
        <v>#DIV/0!</v>
      </c>
      <c r="AA717" s="16" t="e">
        <f>$K717/$H717</f>
        <v>#DIV/0!</v>
      </c>
      <c r="AB717" s="16">
        <f>($J717*Cp_yd)+($K717*Cp_td)+($L717*Cint)+($M717*Ccar)+($N717*Cr_yd)+($O717*Cr_td)+(Q717*Crec)+($R717*Crec_yd)+($S717*Crec_td)+($T717*Cfmb)+($U717*Ctp_c)</f>
        <v>0</v>
      </c>
    </row>
    <row r="718" spans="1:28" x14ac:dyDescent="0.2">
      <c r="A718" s="15" t="s">
        <v>1635</v>
      </c>
      <c r="B718" s="15" t="s">
        <v>43</v>
      </c>
      <c r="C718" s="15">
        <v>23</v>
      </c>
      <c r="D718" s="15">
        <v>0</v>
      </c>
      <c r="E718" s="15" t="s">
        <v>1636</v>
      </c>
      <c r="F718" s="15" t="s">
        <v>1599</v>
      </c>
      <c r="G718" s="15">
        <v>0</v>
      </c>
      <c r="H718" s="15">
        <v>0</v>
      </c>
      <c r="I718" s="15">
        <v>0</v>
      </c>
      <c r="J718" s="15">
        <v>0</v>
      </c>
      <c r="K718" s="15">
        <v>0</v>
      </c>
      <c r="L718" s="15">
        <v>0</v>
      </c>
      <c r="M718" s="15">
        <v>0</v>
      </c>
      <c r="N718" s="15">
        <v>0</v>
      </c>
      <c r="O718" s="15">
        <v>0</v>
      </c>
      <c r="P718" s="15">
        <v>0</v>
      </c>
      <c r="Q718" s="15">
        <v>0</v>
      </c>
      <c r="R718" s="15">
        <v>0</v>
      </c>
      <c r="S718" s="15">
        <v>0</v>
      </c>
      <c r="T718" s="15">
        <v>0</v>
      </c>
      <c r="U718" s="15">
        <v>0</v>
      </c>
      <c r="V718" s="15">
        <f>($J718*0.04)+($K718*4)+($L718*-2)+($N718*0.1)+($O718*6)+($Q718)+($R718*0.1)+($S718*6)+($T718*-2)</f>
        <v>0</v>
      </c>
      <c r="W718" s="15" t="e">
        <f>$P718/$H$33</f>
        <v>#DIV/0!</v>
      </c>
      <c r="X718" s="15" t="e">
        <f>$N718/$M718</f>
        <v>#DIV/0!</v>
      </c>
      <c r="Y718" s="15" t="e">
        <f>$R718/$Q718</f>
        <v>#DIV/0!</v>
      </c>
      <c r="Z718" s="15" t="e">
        <f>$I718/$H718</f>
        <v>#DIV/0!</v>
      </c>
      <c r="AA718" s="15" t="e">
        <f>$K718/$H718</f>
        <v>#DIV/0!</v>
      </c>
      <c r="AB718" s="15">
        <f>($J718*Cp_yd)+($K718*Cp_td)+($L718*Cint)+($M718*Ccar)+($N718*Cr_yd)+($O718*Cr_td)+(Q718*Crec)+($R718*Crec_yd)+($S718*Crec_td)+($T718*Cfmb)+($U718*Ctp_c)</f>
        <v>0</v>
      </c>
    </row>
    <row r="719" spans="1:28" x14ac:dyDescent="0.2">
      <c r="A719" s="16" t="s">
        <v>1637</v>
      </c>
      <c r="B719" s="16" t="s">
        <v>43</v>
      </c>
      <c r="C719" s="16">
        <v>28</v>
      </c>
      <c r="D719" s="16">
        <v>5</v>
      </c>
      <c r="E719" s="16" t="s">
        <v>681</v>
      </c>
      <c r="F719" s="16" t="s">
        <v>1599</v>
      </c>
      <c r="G719" s="16">
        <v>0</v>
      </c>
      <c r="H719" s="16">
        <v>0</v>
      </c>
      <c r="I719" s="16">
        <v>0</v>
      </c>
      <c r="J719" s="16">
        <v>0</v>
      </c>
      <c r="K719" s="16">
        <v>0</v>
      </c>
      <c r="L719" s="16">
        <v>0</v>
      </c>
      <c r="M719" s="16">
        <v>0</v>
      </c>
      <c r="N719" s="16">
        <v>0</v>
      </c>
      <c r="O719" s="16">
        <v>0</v>
      </c>
      <c r="P719" s="16">
        <v>0</v>
      </c>
      <c r="Q719" s="16">
        <v>0</v>
      </c>
      <c r="R719" s="16">
        <v>0</v>
      </c>
      <c r="S719" s="16">
        <v>0</v>
      </c>
      <c r="T719" s="16">
        <v>0</v>
      </c>
      <c r="U719" s="16">
        <v>0</v>
      </c>
      <c r="V719" s="16">
        <f>($J719*0.04)+($K719*4)+($L719*-2)+($N719*0.1)+($O719*6)+($Q719)+($R719*0.1)+($S719*6)+($T719*-2)</f>
        <v>0</v>
      </c>
      <c r="W719" s="16" t="e">
        <f>$P719/$H$33</f>
        <v>#DIV/0!</v>
      </c>
      <c r="X719" s="16" t="e">
        <f>$N719/$M719</f>
        <v>#DIV/0!</v>
      </c>
      <c r="Y719" s="16" t="e">
        <f>$R719/$Q719</f>
        <v>#DIV/0!</v>
      </c>
      <c r="Z719" s="16" t="e">
        <f>$I719/$H719</f>
        <v>#DIV/0!</v>
      </c>
      <c r="AA719" s="16" t="e">
        <f>$K719/$H719</f>
        <v>#DIV/0!</v>
      </c>
      <c r="AB719" s="16">
        <f>($J719*Cp_yd)+($K719*Cp_td)+($L719*Cint)+($M719*Ccar)+($N719*Cr_yd)+($O719*Cr_td)+(Q719*Crec)+($R719*Crec_yd)+($S719*Crec_td)+($T719*Cfmb)+($U719*Ctp_c)</f>
        <v>0</v>
      </c>
    </row>
    <row r="720" spans="1:28" x14ac:dyDescent="0.2">
      <c r="A720" s="15" t="s">
        <v>1638</v>
      </c>
      <c r="B720" s="15" t="s">
        <v>43</v>
      </c>
      <c r="C720" s="15">
        <v>22</v>
      </c>
      <c r="D720" s="15">
        <v>0</v>
      </c>
      <c r="E720" s="15" t="s">
        <v>248</v>
      </c>
      <c r="F720" s="15" t="s">
        <v>1599</v>
      </c>
      <c r="G720" s="15">
        <v>0</v>
      </c>
      <c r="H720" s="15">
        <v>0</v>
      </c>
      <c r="I720" s="15">
        <v>0</v>
      </c>
      <c r="J720" s="15">
        <v>0</v>
      </c>
      <c r="K720" s="15">
        <v>0</v>
      </c>
      <c r="L720" s="15">
        <v>0</v>
      </c>
      <c r="M720" s="15">
        <v>0</v>
      </c>
      <c r="N720" s="15">
        <v>0</v>
      </c>
      <c r="O720" s="15">
        <v>0</v>
      </c>
      <c r="P720" s="15">
        <v>0</v>
      </c>
      <c r="Q720" s="15">
        <v>0</v>
      </c>
      <c r="R720" s="15">
        <v>0</v>
      </c>
      <c r="S720" s="15">
        <v>0</v>
      </c>
      <c r="T720" s="15">
        <v>0</v>
      </c>
      <c r="U720" s="15">
        <v>0</v>
      </c>
      <c r="V720" s="15">
        <f>($J720*0.04)+($K720*4)+($L720*-2)+($N720*0.1)+($O720*6)+($Q720)+($R720*0.1)+($S720*6)+($T720*-2)</f>
        <v>0</v>
      </c>
      <c r="W720" s="15" t="e">
        <f>$P720/$H$33</f>
        <v>#DIV/0!</v>
      </c>
      <c r="X720" s="15" t="e">
        <f>$N720/$M720</f>
        <v>#DIV/0!</v>
      </c>
      <c r="Y720" s="15" t="e">
        <f>$R720/$Q720</f>
        <v>#DIV/0!</v>
      </c>
      <c r="Z720" s="15" t="e">
        <f>$I720/$H720</f>
        <v>#DIV/0!</v>
      </c>
      <c r="AA720" s="15" t="e">
        <f>$K720/$H720</f>
        <v>#DIV/0!</v>
      </c>
      <c r="AB720" s="15">
        <f>($J720*Cp_yd)+($K720*Cp_td)+($L720*Cint)+($M720*Ccar)+($N720*Cr_yd)+($O720*Cr_td)+(Q720*Crec)+($R720*Crec_yd)+($S720*Crec_td)+($T720*Cfmb)+($U720*Ctp_c)</f>
        <v>0</v>
      </c>
    </row>
    <row r="721" spans="1:28" x14ac:dyDescent="0.2">
      <c r="A721" s="16" t="s">
        <v>1639</v>
      </c>
      <c r="B721" s="16" t="s">
        <v>43</v>
      </c>
      <c r="C721" s="16">
        <v>23</v>
      </c>
      <c r="D721" s="16">
        <v>2</v>
      </c>
      <c r="E721" s="16" t="s">
        <v>89</v>
      </c>
      <c r="F721" s="16" t="s">
        <v>1599</v>
      </c>
      <c r="G721" s="16">
        <v>0</v>
      </c>
      <c r="H721" s="16">
        <v>0</v>
      </c>
      <c r="I721" s="16">
        <v>0</v>
      </c>
      <c r="J721" s="16">
        <v>0</v>
      </c>
      <c r="K721" s="16">
        <v>0</v>
      </c>
      <c r="L721" s="16">
        <v>0</v>
      </c>
      <c r="M721" s="16">
        <v>0</v>
      </c>
      <c r="N721" s="16">
        <v>0</v>
      </c>
      <c r="O721" s="16">
        <v>0</v>
      </c>
      <c r="P721" s="16">
        <v>0</v>
      </c>
      <c r="Q721" s="16">
        <v>0</v>
      </c>
      <c r="R721" s="16">
        <v>0</v>
      </c>
      <c r="S721" s="16">
        <v>0</v>
      </c>
      <c r="T721" s="16">
        <v>0</v>
      </c>
      <c r="U721" s="16">
        <v>0</v>
      </c>
      <c r="V721" s="16">
        <f>($J721*0.04)+($K721*4)+($L721*-2)+($N721*0.1)+($O721*6)+($Q721)+($R721*0.1)+($S721*6)+($T721*-2)</f>
        <v>0</v>
      </c>
      <c r="W721" s="16" t="e">
        <f>$P721/$H$33</f>
        <v>#DIV/0!</v>
      </c>
      <c r="X721" s="16" t="e">
        <f>$N721/$M721</f>
        <v>#DIV/0!</v>
      </c>
      <c r="Y721" s="16" t="e">
        <f>$R721/$Q721</f>
        <v>#DIV/0!</v>
      </c>
      <c r="Z721" s="16" t="e">
        <f>$I721/$H721</f>
        <v>#DIV/0!</v>
      </c>
      <c r="AA721" s="16" t="e">
        <f>$K721/$H721</f>
        <v>#DIV/0!</v>
      </c>
      <c r="AB721" s="16">
        <f>($J721*Cp_yd)+($K721*Cp_td)+($L721*Cint)+($M721*Ccar)+($N721*Cr_yd)+($O721*Cr_td)+(Q721*Crec)+($R721*Crec_yd)+($S721*Crec_td)+($T721*Cfmb)+($U721*Ctp_c)</f>
        <v>0</v>
      </c>
    </row>
    <row r="722" spans="1:28" x14ac:dyDescent="0.2">
      <c r="A722" s="15" t="s">
        <v>1641</v>
      </c>
      <c r="B722" s="15" t="s">
        <v>38</v>
      </c>
      <c r="C722" s="15">
        <v>26</v>
      </c>
      <c r="D722" s="15">
        <v>2</v>
      </c>
      <c r="E722" s="15" t="s">
        <v>423</v>
      </c>
      <c r="F722" s="15" t="s">
        <v>1599</v>
      </c>
      <c r="G722" s="15">
        <v>0</v>
      </c>
      <c r="H722" s="15">
        <v>0</v>
      </c>
      <c r="I722" s="15">
        <v>0</v>
      </c>
      <c r="J722" s="15">
        <v>0</v>
      </c>
      <c r="K722" s="15">
        <v>0</v>
      </c>
      <c r="L722" s="15">
        <v>0</v>
      </c>
      <c r="M722" s="15">
        <v>0</v>
      </c>
      <c r="N722" s="15">
        <v>0</v>
      </c>
      <c r="O722" s="15">
        <v>0</v>
      </c>
      <c r="P722" s="15">
        <v>0</v>
      </c>
      <c r="Q722" s="15">
        <v>0</v>
      </c>
      <c r="R722" s="15">
        <v>0</v>
      </c>
      <c r="S722" s="15">
        <v>0</v>
      </c>
      <c r="T722" s="15">
        <v>0</v>
      </c>
      <c r="U722" s="15">
        <v>0</v>
      </c>
      <c r="V722" s="15">
        <f>($J722*0.04)+($K722*4)+($L722*-2)+($N722*0.1)+($O722*6)+($Q722)+($R722*0.1)+($S722*6)+($T722*-2)</f>
        <v>0</v>
      </c>
      <c r="W722" s="15" t="e">
        <f>$P722/$H$33</f>
        <v>#DIV/0!</v>
      </c>
      <c r="X722" s="15" t="e">
        <f>$N722/$M722</f>
        <v>#DIV/0!</v>
      </c>
      <c r="Y722" s="15" t="e">
        <f>$R722/$Q722</f>
        <v>#DIV/0!</v>
      </c>
      <c r="Z722" s="15" t="e">
        <f>$I722/$H722</f>
        <v>#DIV/0!</v>
      </c>
      <c r="AA722" s="15" t="e">
        <f>$K722/$H722</f>
        <v>#DIV/0!</v>
      </c>
      <c r="AB722" s="15">
        <f>($J722*Cp_yd)+($K722*Cp_td)+($L722*Cint)+($M722*Ccar)+($N722*Cr_yd)+($O722*Cr_td)+(Q722*Crec)+($R722*Crec_yd)+($S722*Crec_td)+($T722*Cfmb)+($U722*Ctp_c)</f>
        <v>0</v>
      </c>
    </row>
    <row r="723" spans="1:28" x14ac:dyDescent="0.2">
      <c r="A723" s="16" t="s">
        <v>1642</v>
      </c>
      <c r="B723" s="16" t="s">
        <v>38</v>
      </c>
      <c r="C723" s="16">
        <v>23</v>
      </c>
      <c r="D723" s="16">
        <v>0</v>
      </c>
      <c r="E723" s="16" t="s">
        <v>62</v>
      </c>
      <c r="F723" s="16" t="s">
        <v>1599</v>
      </c>
      <c r="G723" s="16">
        <v>0</v>
      </c>
      <c r="H723" s="16">
        <v>0</v>
      </c>
      <c r="I723" s="16">
        <v>0</v>
      </c>
      <c r="J723" s="16">
        <v>0</v>
      </c>
      <c r="K723" s="16">
        <v>0</v>
      </c>
      <c r="L723" s="16">
        <v>0</v>
      </c>
      <c r="M723" s="16">
        <v>0</v>
      </c>
      <c r="N723" s="16">
        <v>0</v>
      </c>
      <c r="O723" s="16">
        <v>0</v>
      </c>
      <c r="P723" s="16">
        <v>0</v>
      </c>
      <c r="Q723" s="16">
        <v>0</v>
      </c>
      <c r="R723" s="16">
        <v>0</v>
      </c>
      <c r="S723" s="16">
        <v>0</v>
      </c>
      <c r="T723" s="16">
        <v>0</v>
      </c>
      <c r="U723" s="16">
        <v>0</v>
      </c>
      <c r="V723" s="16">
        <f>($J723*0.04)+($K723*4)+($L723*-2)+($N723*0.1)+($O723*6)+($Q723)+($R723*0.1)+($S723*6)+($T723*-2)</f>
        <v>0</v>
      </c>
      <c r="W723" s="16" t="e">
        <f>$P723/$H$33</f>
        <v>#DIV/0!</v>
      </c>
      <c r="X723" s="16" t="e">
        <f>$N723/$M723</f>
        <v>#DIV/0!</v>
      </c>
      <c r="Y723" s="16" t="e">
        <f>$R723/$Q723</f>
        <v>#DIV/0!</v>
      </c>
      <c r="Z723" s="16" t="e">
        <f>$I723/$H723</f>
        <v>#DIV/0!</v>
      </c>
      <c r="AA723" s="16" t="e">
        <f>$K723/$H723</f>
        <v>#DIV/0!</v>
      </c>
      <c r="AB723" s="16">
        <f>($J723*Cp_yd)+($K723*Cp_td)+($L723*Cint)+($M723*Ccar)+($N723*Cr_yd)+($O723*Cr_td)+(Q723*Crec)+($R723*Crec_yd)+($S723*Crec_td)+($T723*Cfmb)+($U723*Ctp_c)</f>
        <v>0</v>
      </c>
    </row>
    <row r="724" spans="1:28" x14ac:dyDescent="0.2">
      <c r="A724" s="15" t="s">
        <v>1643</v>
      </c>
      <c r="B724" s="15" t="s">
        <v>38</v>
      </c>
      <c r="C724" s="15">
        <v>25</v>
      </c>
      <c r="D724" s="15">
        <v>2</v>
      </c>
      <c r="E724" s="15" t="s">
        <v>225</v>
      </c>
      <c r="F724" s="15" t="s">
        <v>1599</v>
      </c>
      <c r="G724" s="15">
        <v>0</v>
      </c>
      <c r="H724" s="15">
        <v>0</v>
      </c>
      <c r="I724" s="15">
        <v>0</v>
      </c>
      <c r="J724" s="15">
        <v>0</v>
      </c>
      <c r="K724" s="15">
        <v>0</v>
      </c>
      <c r="L724" s="15">
        <v>0</v>
      </c>
      <c r="M724" s="15">
        <v>0</v>
      </c>
      <c r="N724" s="15">
        <v>0</v>
      </c>
      <c r="O724" s="15">
        <v>0</v>
      </c>
      <c r="P724" s="15">
        <v>0</v>
      </c>
      <c r="Q724" s="15">
        <v>0</v>
      </c>
      <c r="R724" s="15">
        <v>0</v>
      </c>
      <c r="S724" s="15">
        <v>0</v>
      </c>
      <c r="T724" s="15">
        <v>0</v>
      </c>
      <c r="U724" s="15">
        <v>0</v>
      </c>
      <c r="V724" s="15">
        <f>($J724*0.04)+($K724*4)+($L724*-2)+($N724*0.1)+($O724*6)+($Q724)+($R724*0.1)+($S724*6)+($T724*-2)</f>
        <v>0</v>
      </c>
      <c r="W724" s="15" t="e">
        <f>$P724/$H$33</f>
        <v>#DIV/0!</v>
      </c>
      <c r="X724" s="15" t="e">
        <f>$N724/$M724</f>
        <v>#DIV/0!</v>
      </c>
      <c r="Y724" s="15" t="e">
        <f>$R724/$Q724</f>
        <v>#DIV/0!</v>
      </c>
      <c r="Z724" s="15" t="e">
        <f>$I724/$H724</f>
        <v>#DIV/0!</v>
      </c>
      <c r="AA724" s="15" t="e">
        <f>$K724/$H724</f>
        <v>#DIV/0!</v>
      </c>
      <c r="AB724" s="15">
        <f>($J724*Cp_yd)+($K724*Cp_td)+($L724*Cint)+($M724*Ccar)+($N724*Cr_yd)+($O724*Cr_td)+(Q724*Crec)+($R724*Crec_yd)+($S724*Crec_td)+($T724*Cfmb)+($U724*Ctp_c)</f>
        <v>0</v>
      </c>
    </row>
    <row r="725" spans="1:28" x14ac:dyDescent="0.2">
      <c r="A725" s="16" t="s">
        <v>1644</v>
      </c>
      <c r="B725" s="16" t="s">
        <v>38</v>
      </c>
      <c r="C725" s="16">
        <v>24</v>
      </c>
      <c r="D725" s="16">
        <v>2</v>
      </c>
      <c r="E725" s="16" t="s">
        <v>86</v>
      </c>
      <c r="F725" s="16" t="s">
        <v>1599</v>
      </c>
      <c r="G725" s="16">
        <v>0</v>
      </c>
      <c r="H725" s="16">
        <v>0</v>
      </c>
      <c r="I725" s="16">
        <v>0</v>
      </c>
      <c r="J725" s="16">
        <v>0</v>
      </c>
      <c r="K725" s="16">
        <v>0</v>
      </c>
      <c r="L725" s="16">
        <v>0</v>
      </c>
      <c r="M725" s="16">
        <v>0</v>
      </c>
      <c r="N725" s="16">
        <v>0</v>
      </c>
      <c r="O725" s="16">
        <v>0</v>
      </c>
      <c r="P725" s="16">
        <v>0</v>
      </c>
      <c r="Q725" s="16">
        <v>0</v>
      </c>
      <c r="R725" s="16">
        <v>0</v>
      </c>
      <c r="S725" s="16">
        <v>0</v>
      </c>
      <c r="T725" s="16">
        <v>0</v>
      </c>
      <c r="U725" s="16">
        <v>0</v>
      </c>
      <c r="V725" s="16">
        <f>($J725*0.04)+($K725*4)+($L725*-2)+($N725*0.1)+($O725*6)+($Q725)+($R725*0.1)+($S725*6)+($T725*-2)</f>
        <v>0</v>
      </c>
      <c r="W725" s="16" t="e">
        <f>$P725/$H$33</f>
        <v>#DIV/0!</v>
      </c>
      <c r="X725" s="16" t="e">
        <f>$N725/$M725</f>
        <v>#DIV/0!</v>
      </c>
      <c r="Y725" s="16" t="e">
        <f>$R725/$Q725</f>
        <v>#DIV/0!</v>
      </c>
      <c r="Z725" s="16" t="e">
        <f>$I725/$H725</f>
        <v>#DIV/0!</v>
      </c>
      <c r="AA725" s="16" t="e">
        <f>$K725/$H725</f>
        <v>#DIV/0!</v>
      </c>
      <c r="AB725" s="16">
        <f>($J725*Cp_yd)+($K725*Cp_td)+($L725*Cint)+($M725*Ccar)+($N725*Cr_yd)+($O725*Cr_td)+(Q725*Crec)+($R725*Crec_yd)+($S725*Crec_td)+($T725*Cfmb)+($U725*Ctp_c)</f>
        <v>0</v>
      </c>
    </row>
    <row r="726" spans="1:28" x14ac:dyDescent="0.2">
      <c r="A726" s="15" t="s">
        <v>1645</v>
      </c>
      <c r="B726" s="15" t="s">
        <v>38</v>
      </c>
      <c r="C726" s="15">
        <v>24</v>
      </c>
      <c r="D726" s="15">
        <v>0</v>
      </c>
      <c r="E726" s="15" t="s">
        <v>1345</v>
      </c>
      <c r="F726" s="15" t="s">
        <v>1599</v>
      </c>
      <c r="G726" s="15">
        <v>0</v>
      </c>
      <c r="H726" s="15">
        <v>0</v>
      </c>
      <c r="I726" s="15">
        <v>0</v>
      </c>
      <c r="J726" s="15">
        <v>0</v>
      </c>
      <c r="K726" s="15">
        <v>0</v>
      </c>
      <c r="L726" s="15">
        <v>0</v>
      </c>
      <c r="M726" s="15">
        <v>0</v>
      </c>
      <c r="N726" s="15">
        <v>0</v>
      </c>
      <c r="O726" s="15">
        <v>0</v>
      </c>
      <c r="P726" s="15">
        <v>0</v>
      </c>
      <c r="Q726" s="15">
        <v>0</v>
      </c>
      <c r="R726" s="15">
        <v>0</v>
      </c>
      <c r="S726" s="15">
        <v>0</v>
      </c>
      <c r="T726" s="15">
        <v>0</v>
      </c>
      <c r="U726" s="15">
        <v>0</v>
      </c>
      <c r="V726" s="15">
        <f>($J726*0.04)+($K726*4)+($L726*-2)+($N726*0.1)+($O726*6)+($Q726)+($R726*0.1)+($S726*6)+($T726*-2)</f>
        <v>0</v>
      </c>
      <c r="W726" s="15" t="e">
        <f>$P726/$H$33</f>
        <v>#DIV/0!</v>
      </c>
      <c r="X726" s="15" t="e">
        <f>$N726/$M726</f>
        <v>#DIV/0!</v>
      </c>
      <c r="Y726" s="15" t="e">
        <f>$R726/$Q726</f>
        <v>#DIV/0!</v>
      </c>
      <c r="Z726" s="15" t="e">
        <f>$I726/$H726</f>
        <v>#DIV/0!</v>
      </c>
      <c r="AA726" s="15" t="e">
        <f>$K726/$H726</f>
        <v>#DIV/0!</v>
      </c>
      <c r="AB726" s="15">
        <f>($J726*Cp_yd)+($K726*Cp_td)+($L726*Cint)+($M726*Ccar)+($N726*Cr_yd)+($O726*Cr_td)+(Q726*Crec)+($R726*Crec_yd)+($S726*Crec_td)+($T726*Cfmb)+($U726*Ctp_c)</f>
        <v>0</v>
      </c>
    </row>
    <row r="727" spans="1:28" x14ac:dyDescent="0.2">
      <c r="A727" s="16" t="s">
        <v>1668</v>
      </c>
      <c r="B727" s="16" t="s">
        <v>26</v>
      </c>
      <c r="C727" s="16">
        <v>24</v>
      </c>
      <c r="D727" s="16">
        <v>0</v>
      </c>
      <c r="E727" s="16" t="s">
        <v>150</v>
      </c>
      <c r="F727" s="16" t="s">
        <v>1648</v>
      </c>
      <c r="G727" s="16">
        <v>0</v>
      </c>
      <c r="H727" s="16">
        <v>0</v>
      </c>
      <c r="I727" s="16">
        <v>0</v>
      </c>
      <c r="J727" s="16">
        <v>0</v>
      </c>
      <c r="K727" s="16">
        <v>0</v>
      </c>
      <c r="L727" s="16">
        <v>0</v>
      </c>
      <c r="M727" s="16">
        <v>0</v>
      </c>
      <c r="N727" s="16">
        <v>0</v>
      </c>
      <c r="O727" s="16">
        <v>0</v>
      </c>
      <c r="P727" s="16">
        <v>0</v>
      </c>
      <c r="Q727" s="16">
        <v>0</v>
      </c>
      <c r="R727" s="16">
        <v>0</v>
      </c>
      <c r="S727" s="16">
        <v>0</v>
      </c>
      <c r="T727" s="16">
        <v>0</v>
      </c>
      <c r="U727" s="16">
        <v>0</v>
      </c>
      <c r="V727" s="16">
        <f>($J727*0.04)+($K727*4)+($L727*-2)+($N727*0.1)+($O727*6)+($Q727)+($R727*0.1)+($S727*6)+($T727*-2)</f>
        <v>0</v>
      </c>
      <c r="W727" s="16" t="e">
        <f>$P727/$H$33</f>
        <v>#DIV/0!</v>
      </c>
      <c r="X727" s="16" t="e">
        <f>$N727/$M727</f>
        <v>#DIV/0!</v>
      </c>
      <c r="Y727" s="16" t="e">
        <f>$R727/$Q727</f>
        <v>#DIV/0!</v>
      </c>
      <c r="Z727" s="16" t="e">
        <f>$I727/$H727</f>
        <v>#DIV/0!</v>
      </c>
      <c r="AA727" s="16" t="e">
        <f>$K727/$H727</f>
        <v>#DIV/0!</v>
      </c>
      <c r="AB727" s="16">
        <f>($J727*Cp_yd)+($K727*Cp_td)+($L727*Cint)+($M727*Ccar)+($N727*Cr_yd)+($O727*Cr_td)+(Q727*Crec)+($R727*Crec_yd)+($S727*Crec_td)+($T727*Cfmb)+($U727*Ctp_c)</f>
        <v>0</v>
      </c>
    </row>
    <row r="728" spans="1:28" x14ac:dyDescent="0.2">
      <c r="A728" s="15" t="s">
        <v>1669</v>
      </c>
      <c r="B728" s="15" t="s">
        <v>26</v>
      </c>
      <c r="C728" s="15">
        <v>35</v>
      </c>
      <c r="D728" s="15">
        <v>12</v>
      </c>
      <c r="E728" s="15" t="s">
        <v>307</v>
      </c>
      <c r="F728" s="15" t="s">
        <v>1648</v>
      </c>
      <c r="G728" s="15">
        <v>0</v>
      </c>
      <c r="H728" s="15">
        <v>0</v>
      </c>
      <c r="I728" s="15">
        <v>0</v>
      </c>
      <c r="J728" s="15">
        <v>0</v>
      </c>
      <c r="K728" s="15">
        <v>0</v>
      </c>
      <c r="L728" s="15">
        <v>0</v>
      </c>
      <c r="M728" s="15">
        <v>0</v>
      </c>
      <c r="N728" s="15">
        <v>0</v>
      </c>
      <c r="O728" s="15">
        <v>0</v>
      </c>
      <c r="P728" s="15">
        <v>0</v>
      </c>
      <c r="Q728" s="15">
        <v>0</v>
      </c>
      <c r="R728" s="15">
        <v>0</v>
      </c>
      <c r="S728" s="15">
        <v>0</v>
      </c>
      <c r="T728" s="15">
        <v>0</v>
      </c>
      <c r="U728" s="15">
        <v>0</v>
      </c>
      <c r="V728" s="15">
        <f>($J728*0.04)+($K728*4)+($L728*-2)+($N728*0.1)+($O728*6)+($Q728)+($R728*0.1)+($S728*6)+($T728*-2)</f>
        <v>0</v>
      </c>
      <c r="W728" s="15" t="e">
        <f>$P728/$H$33</f>
        <v>#DIV/0!</v>
      </c>
      <c r="X728" s="15" t="e">
        <f>$N728/$M728</f>
        <v>#DIV/0!</v>
      </c>
      <c r="Y728" s="15" t="e">
        <f>$R728/$Q728</f>
        <v>#DIV/0!</v>
      </c>
      <c r="Z728" s="15" t="e">
        <f>$I728/$H728</f>
        <v>#DIV/0!</v>
      </c>
      <c r="AA728" s="15" t="e">
        <f>$K728/$H728</f>
        <v>#DIV/0!</v>
      </c>
      <c r="AB728" s="15">
        <f>($J728*Cp_yd)+($K728*Cp_td)+($L728*Cint)+($M728*Ccar)+($N728*Cr_yd)+($O728*Cr_td)+(Q728*Crec)+($R728*Crec_yd)+($S728*Crec_td)+($T728*Cfmb)+($U728*Ctp_c)</f>
        <v>0</v>
      </c>
    </row>
    <row r="729" spans="1:28" x14ac:dyDescent="0.2">
      <c r="A729" s="16" t="s">
        <v>1671</v>
      </c>
      <c r="B729" s="16" t="s">
        <v>31</v>
      </c>
      <c r="C729" s="16">
        <v>22</v>
      </c>
      <c r="D729" s="16">
        <v>0</v>
      </c>
      <c r="E729" s="16" t="s">
        <v>1672</v>
      </c>
      <c r="F729" s="16" t="s">
        <v>1648</v>
      </c>
      <c r="G729" s="16">
        <v>0</v>
      </c>
      <c r="H729" s="16">
        <v>0</v>
      </c>
      <c r="I729" s="16">
        <v>0</v>
      </c>
      <c r="J729" s="16">
        <v>0</v>
      </c>
      <c r="K729" s="16">
        <v>0</v>
      </c>
      <c r="L729" s="16">
        <v>0</v>
      </c>
      <c r="M729" s="16">
        <v>0</v>
      </c>
      <c r="N729" s="16">
        <v>0</v>
      </c>
      <c r="O729" s="16">
        <v>0</v>
      </c>
      <c r="P729" s="16">
        <v>0</v>
      </c>
      <c r="Q729" s="16">
        <v>0</v>
      </c>
      <c r="R729" s="16">
        <v>0</v>
      </c>
      <c r="S729" s="16">
        <v>0</v>
      </c>
      <c r="T729" s="16">
        <v>0</v>
      </c>
      <c r="U729" s="16">
        <v>0</v>
      </c>
      <c r="V729" s="16">
        <f>($J729*0.04)+($K729*4)+($L729*-2)+($N729*0.1)+($O729*6)+($Q729)+($R729*0.1)+($S729*6)+($T729*-2)</f>
        <v>0</v>
      </c>
      <c r="W729" s="16" t="e">
        <f>$P729/$H$33</f>
        <v>#DIV/0!</v>
      </c>
      <c r="X729" s="16" t="e">
        <f>$N729/$M729</f>
        <v>#DIV/0!</v>
      </c>
      <c r="Y729" s="16" t="e">
        <f>$R729/$Q729</f>
        <v>#DIV/0!</v>
      </c>
      <c r="Z729" s="16" t="e">
        <f>$I729/$H729</f>
        <v>#DIV/0!</v>
      </c>
      <c r="AA729" s="16" t="e">
        <f>$K729/$H729</f>
        <v>#DIV/0!</v>
      </c>
      <c r="AB729" s="16">
        <f>($J729*Cp_yd)+($K729*Cp_td)+($L729*Cint)+($M729*Ccar)+($N729*Cr_yd)+($O729*Cr_td)+(Q729*Crec)+($R729*Crec_yd)+($S729*Crec_td)+($T729*Cfmb)+($U729*Ctp_c)</f>
        <v>0</v>
      </c>
    </row>
    <row r="730" spans="1:28" x14ac:dyDescent="0.2">
      <c r="A730" s="15" t="s">
        <v>1673</v>
      </c>
      <c r="B730" s="15" t="s">
        <v>31</v>
      </c>
      <c r="C730" s="15">
        <v>23</v>
      </c>
      <c r="D730" s="15">
        <v>2</v>
      </c>
      <c r="E730" s="15" t="s">
        <v>105</v>
      </c>
      <c r="F730" s="15" t="s">
        <v>1648</v>
      </c>
      <c r="G730" s="15">
        <v>0</v>
      </c>
      <c r="H730" s="15">
        <v>0</v>
      </c>
      <c r="I730" s="15">
        <v>0</v>
      </c>
      <c r="J730" s="15">
        <v>0</v>
      </c>
      <c r="K730" s="15">
        <v>0</v>
      </c>
      <c r="L730" s="15">
        <v>0</v>
      </c>
      <c r="M730" s="15">
        <v>0</v>
      </c>
      <c r="N730" s="15">
        <v>0</v>
      </c>
      <c r="O730" s="15">
        <v>0</v>
      </c>
      <c r="P730" s="15">
        <v>0</v>
      </c>
      <c r="Q730" s="15">
        <v>0</v>
      </c>
      <c r="R730" s="15">
        <v>0</v>
      </c>
      <c r="S730" s="15">
        <v>0</v>
      </c>
      <c r="T730" s="15">
        <v>0</v>
      </c>
      <c r="U730" s="15">
        <v>0</v>
      </c>
      <c r="V730" s="15">
        <f>($J730*0.04)+($K730*4)+($L730*-2)+($N730*0.1)+($O730*6)+($Q730)+($R730*0.1)+($S730*6)+($T730*-2)</f>
        <v>0</v>
      </c>
      <c r="W730" s="15" t="e">
        <f>$P730/$H$33</f>
        <v>#DIV/0!</v>
      </c>
      <c r="X730" s="15" t="e">
        <f>$N730/$M730</f>
        <v>#DIV/0!</v>
      </c>
      <c r="Y730" s="15" t="e">
        <f>$R730/$Q730</f>
        <v>#DIV/0!</v>
      </c>
      <c r="Z730" s="15" t="e">
        <f>$I730/$H730</f>
        <v>#DIV/0!</v>
      </c>
      <c r="AA730" s="15" t="e">
        <f>$K730/$H730</f>
        <v>#DIV/0!</v>
      </c>
      <c r="AB730" s="15">
        <f>($J730*Cp_yd)+($K730*Cp_td)+($L730*Cint)+($M730*Ccar)+($N730*Cr_yd)+($O730*Cr_td)+(Q730*Crec)+($R730*Crec_yd)+($S730*Crec_td)+($T730*Cfmb)+($U730*Ctp_c)</f>
        <v>0</v>
      </c>
    </row>
    <row r="731" spans="1:28" x14ac:dyDescent="0.2">
      <c r="A731" s="16" t="s">
        <v>1674</v>
      </c>
      <c r="B731" s="16" t="s">
        <v>31</v>
      </c>
      <c r="C731" s="16">
        <v>29</v>
      </c>
      <c r="D731" s="16">
        <v>8</v>
      </c>
      <c r="E731" s="16" t="s">
        <v>153</v>
      </c>
      <c r="F731" s="16" t="s">
        <v>1648</v>
      </c>
      <c r="G731" s="16">
        <v>0</v>
      </c>
      <c r="H731" s="16">
        <v>0</v>
      </c>
      <c r="I731" s="16">
        <v>0</v>
      </c>
      <c r="J731" s="16">
        <v>0</v>
      </c>
      <c r="K731" s="16">
        <v>0</v>
      </c>
      <c r="L731" s="16">
        <v>0</v>
      </c>
      <c r="M731" s="16">
        <v>0</v>
      </c>
      <c r="N731" s="16">
        <v>0</v>
      </c>
      <c r="O731" s="16">
        <v>0</v>
      </c>
      <c r="P731" s="16">
        <v>0</v>
      </c>
      <c r="Q731" s="16">
        <v>0</v>
      </c>
      <c r="R731" s="16">
        <v>0</v>
      </c>
      <c r="S731" s="16">
        <v>0</v>
      </c>
      <c r="T731" s="16">
        <v>0</v>
      </c>
      <c r="U731" s="16">
        <v>0</v>
      </c>
      <c r="V731" s="16">
        <f>($J731*0.04)+($K731*4)+($L731*-2)+($N731*0.1)+($O731*6)+($Q731)+($R731*0.1)+($S731*6)+($T731*-2)</f>
        <v>0</v>
      </c>
      <c r="W731" s="16" t="e">
        <f>$P731/$H$33</f>
        <v>#DIV/0!</v>
      </c>
      <c r="X731" s="16" t="e">
        <f>$N731/$M731</f>
        <v>#DIV/0!</v>
      </c>
      <c r="Y731" s="16" t="e">
        <f>$R731/$Q731</f>
        <v>#DIV/0!</v>
      </c>
      <c r="Z731" s="16" t="e">
        <f>$I731/$H731</f>
        <v>#DIV/0!</v>
      </c>
      <c r="AA731" s="16" t="e">
        <f>$K731/$H731</f>
        <v>#DIV/0!</v>
      </c>
      <c r="AB731" s="16">
        <f>($J731*Cp_yd)+($K731*Cp_td)+($L731*Cint)+($M731*Ccar)+($N731*Cr_yd)+($O731*Cr_td)+(Q731*Crec)+($R731*Crec_yd)+($S731*Crec_td)+($T731*Cfmb)+($U731*Ctp_c)</f>
        <v>0</v>
      </c>
    </row>
    <row r="732" spans="1:28" x14ac:dyDescent="0.2">
      <c r="A732" s="15" t="s">
        <v>1675</v>
      </c>
      <c r="B732" s="15" t="s">
        <v>31</v>
      </c>
      <c r="C732" s="15">
        <v>26</v>
      </c>
      <c r="D732" s="15">
        <v>1</v>
      </c>
      <c r="E732" s="15" t="s">
        <v>1012</v>
      </c>
      <c r="F732" s="15" t="s">
        <v>1648</v>
      </c>
      <c r="G732" s="15">
        <v>0</v>
      </c>
      <c r="H732" s="15">
        <v>0</v>
      </c>
      <c r="I732" s="15">
        <v>0</v>
      </c>
      <c r="J732" s="15">
        <v>0</v>
      </c>
      <c r="K732" s="15">
        <v>0</v>
      </c>
      <c r="L732" s="15">
        <v>0</v>
      </c>
      <c r="M732" s="15">
        <v>0</v>
      </c>
      <c r="N732" s="15">
        <v>0</v>
      </c>
      <c r="O732" s="15">
        <v>0</v>
      </c>
      <c r="P732" s="15">
        <v>0</v>
      </c>
      <c r="Q732" s="15">
        <v>0</v>
      </c>
      <c r="R732" s="15">
        <v>0</v>
      </c>
      <c r="S732" s="15">
        <v>0</v>
      </c>
      <c r="T732" s="15">
        <v>0</v>
      </c>
      <c r="U732" s="15">
        <v>0</v>
      </c>
      <c r="V732" s="15">
        <f>($J732*0.04)+($K732*4)+($L732*-2)+($N732*0.1)+($O732*6)+($Q732)+($R732*0.1)+($S732*6)+($T732*-2)</f>
        <v>0</v>
      </c>
      <c r="W732" s="15" t="e">
        <f>$P732/$H$33</f>
        <v>#DIV/0!</v>
      </c>
      <c r="X732" s="15" t="e">
        <f>$N732/$M732</f>
        <v>#DIV/0!</v>
      </c>
      <c r="Y732" s="15" t="e">
        <f>$R732/$Q732</f>
        <v>#DIV/0!</v>
      </c>
      <c r="Z732" s="15" t="e">
        <f>$I732/$H732</f>
        <v>#DIV/0!</v>
      </c>
      <c r="AA732" s="15" t="e">
        <f>$K732/$H732</f>
        <v>#DIV/0!</v>
      </c>
      <c r="AB732" s="15">
        <f>($J732*Cp_yd)+($K732*Cp_td)+($L732*Cint)+($M732*Ccar)+($N732*Cr_yd)+($O732*Cr_td)+(Q732*Crec)+($R732*Crec_yd)+($S732*Crec_td)+($T732*Cfmb)+($U732*Ctp_c)</f>
        <v>0</v>
      </c>
    </row>
    <row r="733" spans="1:28" x14ac:dyDescent="0.2">
      <c r="A733" s="16" t="s">
        <v>1676</v>
      </c>
      <c r="B733" s="16" t="s">
        <v>31</v>
      </c>
      <c r="C733" s="16">
        <v>22</v>
      </c>
      <c r="D733" s="16">
        <v>0</v>
      </c>
      <c r="E733" s="16" t="s">
        <v>405</v>
      </c>
      <c r="F733" s="16" t="s">
        <v>1648</v>
      </c>
      <c r="G733" s="16">
        <v>0</v>
      </c>
      <c r="H733" s="16">
        <v>0</v>
      </c>
      <c r="I733" s="16">
        <v>0</v>
      </c>
      <c r="J733" s="16">
        <v>0</v>
      </c>
      <c r="K733" s="16">
        <v>0</v>
      </c>
      <c r="L733" s="16">
        <v>0</v>
      </c>
      <c r="M733" s="16">
        <v>0</v>
      </c>
      <c r="N733" s="16">
        <v>0</v>
      </c>
      <c r="O733" s="16">
        <v>0</v>
      </c>
      <c r="P733" s="16">
        <v>0</v>
      </c>
      <c r="Q733" s="16">
        <v>0</v>
      </c>
      <c r="R733" s="16">
        <v>0</v>
      </c>
      <c r="S733" s="16">
        <v>0</v>
      </c>
      <c r="T733" s="16">
        <v>0</v>
      </c>
      <c r="U733" s="16">
        <v>0</v>
      </c>
      <c r="V733" s="16">
        <f>($J733*0.04)+($K733*4)+($L733*-2)+($N733*0.1)+($O733*6)+($Q733)+($R733*0.1)+($S733*6)+($T733*-2)</f>
        <v>0</v>
      </c>
      <c r="W733" s="16" t="e">
        <f>$P733/$H$33</f>
        <v>#DIV/0!</v>
      </c>
      <c r="X733" s="16" t="e">
        <f>$N733/$M733</f>
        <v>#DIV/0!</v>
      </c>
      <c r="Y733" s="16" t="e">
        <f>$R733/$Q733</f>
        <v>#DIV/0!</v>
      </c>
      <c r="Z733" s="16" t="e">
        <f>$I733/$H733</f>
        <v>#DIV/0!</v>
      </c>
      <c r="AA733" s="16" t="e">
        <f>$K733/$H733</f>
        <v>#DIV/0!</v>
      </c>
      <c r="AB733" s="16">
        <f>($J733*Cp_yd)+($K733*Cp_td)+($L733*Cint)+($M733*Ccar)+($N733*Cr_yd)+($O733*Cr_td)+(Q733*Crec)+($R733*Crec_yd)+($S733*Crec_td)+($T733*Cfmb)+($U733*Ctp_c)</f>
        <v>0</v>
      </c>
    </row>
    <row r="734" spans="1:28" x14ac:dyDescent="0.2">
      <c r="A734" s="15" t="s">
        <v>1678</v>
      </c>
      <c r="B734" s="15" t="s">
        <v>43</v>
      </c>
      <c r="C734" s="15">
        <v>23</v>
      </c>
      <c r="D734" s="15">
        <v>2</v>
      </c>
      <c r="E734" s="15" t="s">
        <v>175</v>
      </c>
      <c r="F734" s="15" t="s">
        <v>1648</v>
      </c>
      <c r="G734" s="15">
        <v>0</v>
      </c>
      <c r="H734" s="15">
        <v>0</v>
      </c>
      <c r="I734" s="15">
        <v>0</v>
      </c>
      <c r="J734" s="15">
        <v>0</v>
      </c>
      <c r="K734" s="15">
        <v>0</v>
      </c>
      <c r="L734" s="15">
        <v>0</v>
      </c>
      <c r="M734" s="15">
        <v>0</v>
      </c>
      <c r="N734" s="15">
        <v>0</v>
      </c>
      <c r="O734" s="15">
        <v>0</v>
      </c>
      <c r="P734" s="15">
        <v>0</v>
      </c>
      <c r="Q734" s="15">
        <v>0</v>
      </c>
      <c r="R734" s="15">
        <v>0</v>
      </c>
      <c r="S734" s="15">
        <v>0</v>
      </c>
      <c r="T734" s="15">
        <v>0</v>
      </c>
      <c r="U734" s="15">
        <v>0</v>
      </c>
      <c r="V734" s="15">
        <f>($J734*0.04)+($K734*4)+($L734*-2)+($N734*0.1)+($O734*6)+($Q734)+($R734*0.1)+($S734*6)+($T734*-2)</f>
        <v>0</v>
      </c>
      <c r="W734" s="15" t="e">
        <f>$P734/$H$33</f>
        <v>#DIV/0!</v>
      </c>
      <c r="X734" s="15" t="e">
        <f>$N734/$M734</f>
        <v>#DIV/0!</v>
      </c>
      <c r="Y734" s="15" t="e">
        <f>$R734/$Q734</f>
        <v>#DIV/0!</v>
      </c>
      <c r="Z734" s="15" t="e">
        <f>$I734/$H734</f>
        <v>#DIV/0!</v>
      </c>
      <c r="AA734" s="15" t="e">
        <f>$K734/$H734</f>
        <v>#DIV/0!</v>
      </c>
      <c r="AB734" s="15">
        <f>($J734*Cp_yd)+($K734*Cp_td)+($L734*Cint)+($M734*Ccar)+($N734*Cr_yd)+($O734*Cr_td)+(Q734*Crec)+($R734*Crec_yd)+($S734*Crec_td)+($T734*Cfmb)+($U734*Ctp_c)</f>
        <v>0</v>
      </c>
    </row>
    <row r="735" spans="1:28" x14ac:dyDescent="0.2">
      <c r="A735" s="16" t="s">
        <v>1679</v>
      </c>
      <c r="B735" s="16" t="s">
        <v>43</v>
      </c>
      <c r="C735" s="16">
        <v>24</v>
      </c>
      <c r="D735" s="16">
        <v>0</v>
      </c>
      <c r="E735" s="16" t="s">
        <v>1045</v>
      </c>
      <c r="F735" s="16" t="s">
        <v>1648</v>
      </c>
      <c r="G735" s="16">
        <v>0</v>
      </c>
      <c r="H735" s="16">
        <v>0</v>
      </c>
      <c r="I735" s="16">
        <v>0</v>
      </c>
      <c r="J735" s="16">
        <v>0</v>
      </c>
      <c r="K735" s="16">
        <v>0</v>
      </c>
      <c r="L735" s="16">
        <v>0</v>
      </c>
      <c r="M735" s="16">
        <v>0</v>
      </c>
      <c r="N735" s="16">
        <v>0</v>
      </c>
      <c r="O735" s="16">
        <v>0</v>
      </c>
      <c r="P735" s="16">
        <v>0</v>
      </c>
      <c r="Q735" s="16">
        <v>0</v>
      </c>
      <c r="R735" s="16">
        <v>0</v>
      </c>
      <c r="S735" s="16">
        <v>0</v>
      </c>
      <c r="T735" s="16">
        <v>0</v>
      </c>
      <c r="U735" s="16">
        <v>0</v>
      </c>
      <c r="V735" s="16">
        <f>($J735*0.04)+($K735*4)+($L735*-2)+($N735*0.1)+($O735*6)+($Q735)+($R735*0.1)+($S735*6)+($T735*-2)</f>
        <v>0</v>
      </c>
      <c r="W735" s="16" t="e">
        <f>$P735/$H$33</f>
        <v>#DIV/0!</v>
      </c>
      <c r="X735" s="16" t="e">
        <f>$N735/$M735</f>
        <v>#DIV/0!</v>
      </c>
      <c r="Y735" s="16" t="e">
        <f>$R735/$Q735</f>
        <v>#DIV/0!</v>
      </c>
      <c r="Z735" s="16" t="e">
        <f>$I735/$H735</f>
        <v>#DIV/0!</v>
      </c>
      <c r="AA735" s="16" t="e">
        <f>$K735/$H735</f>
        <v>#DIV/0!</v>
      </c>
      <c r="AB735" s="16">
        <f>($J735*Cp_yd)+($K735*Cp_td)+($L735*Cint)+($M735*Ccar)+($N735*Cr_yd)+($O735*Cr_td)+(Q735*Crec)+($R735*Crec_yd)+($S735*Crec_td)+($T735*Cfmb)+($U735*Ctp_c)</f>
        <v>0</v>
      </c>
    </row>
    <row r="736" spans="1:28" x14ac:dyDescent="0.2">
      <c r="A736" s="15" t="s">
        <v>1680</v>
      </c>
      <c r="B736" s="15" t="s">
        <v>43</v>
      </c>
      <c r="C736" s="15">
        <v>23</v>
      </c>
      <c r="D736" s="15">
        <v>0</v>
      </c>
      <c r="E736" s="15" t="s">
        <v>111</v>
      </c>
      <c r="F736" s="15" t="s">
        <v>1648</v>
      </c>
      <c r="G736" s="15">
        <v>0</v>
      </c>
      <c r="H736" s="15">
        <v>0</v>
      </c>
      <c r="I736" s="15">
        <v>0</v>
      </c>
      <c r="J736" s="15">
        <v>0</v>
      </c>
      <c r="K736" s="15">
        <v>0</v>
      </c>
      <c r="L736" s="15">
        <v>0</v>
      </c>
      <c r="M736" s="15">
        <v>0</v>
      </c>
      <c r="N736" s="15">
        <v>0</v>
      </c>
      <c r="O736" s="15">
        <v>0</v>
      </c>
      <c r="P736" s="15">
        <v>0</v>
      </c>
      <c r="Q736" s="15">
        <v>0</v>
      </c>
      <c r="R736" s="15">
        <v>0</v>
      </c>
      <c r="S736" s="15">
        <v>0</v>
      </c>
      <c r="T736" s="15">
        <v>0</v>
      </c>
      <c r="U736" s="15">
        <v>0</v>
      </c>
      <c r="V736" s="15">
        <f>($J736*0.04)+($K736*4)+($L736*-2)+($N736*0.1)+($O736*6)+($Q736)+($R736*0.1)+($S736*6)+($T736*-2)</f>
        <v>0</v>
      </c>
      <c r="W736" s="15" t="e">
        <f>$P736/$H$33</f>
        <v>#DIV/0!</v>
      </c>
      <c r="X736" s="15" t="e">
        <f>$N736/$M736</f>
        <v>#DIV/0!</v>
      </c>
      <c r="Y736" s="15" t="e">
        <f>$R736/$Q736</f>
        <v>#DIV/0!</v>
      </c>
      <c r="Z736" s="15" t="e">
        <f>$I736/$H736</f>
        <v>#DIV/0!</v>
      </c>
      <c r="AA736" s="15" t="e">
        <f>$K736/$H736</f>
        <v>#DIV/0!</v>
      </c>
      <c r="AB736" s="15">
        <f>($J736*Cp_yd)+($K736*Cp_td)+($L736*Cint)+($M736*Ccar)+($N736*Cr_yd)+($O736*Cr_td)+(Q736*Crec)+($R736*Crec_yd)+($S736*Crec_td)+($T736*Cfmb)+($U736*Ctp_c)</f>
        <v>0</v>
      </c>
    </row>
    <row r="737" spans="1:28" x14ac:dyDescent="0.2">
      <c r="A737" s="16" t="s">
        <v>1681</v>
      </c>
      <c r="B737" s="16" t="s">
        <v>43</v>
      </c>
      <c r="C737" s="16">
        <v>24</v>
      </c>
      <c r="D737" s="16">
        <v>0</v>
      </c>
      <c r="E737" s="16" t="s">
        <v>393</v>
      </c>
      <c r="F737" s="16" t="s">
        <v>1648</v>
      </c>
      <c r="G737" s="16">
        <v>0</v>
      </c>
      <c r="H737" s="16">
        <v>0</v>
      </c>
      <c r="I737" s="16">
        <v>0</v>
      </c>
      <c r="J737" s="16">
        <v>0</v>
      </c>
      <c r="K737" s="16">
        <v>0</v>
      </c>
      <c r="L737" s="16">
        <v>0</v>
      </c>
      <c r="M737" s="16">
        <v>0</v>
      </c>
      <c r="N737" s="16">
        <v>0</v>
      </c>
      <c r="O737" s="16">
        <v>0</v>
      </c>
      <c r="P737" s="16">
        <v>0</v>
      </c>
      <c r="Q737" s="16">
        <v>0</v>
      </c>
      <c r="R737" s="16">
        <v>0</v>
      </c>
      <c r="S737" s="16">
        <v>0</v>
      </c>
      <c r="T737" s="16">
        <v>0</v>
      </c>
      <c r="U737" s="16">
        <v>0</v>
      </c>
      <c r="V737" s="16">
        <f>($J737*0.04)+($K737*4)+($L737*-2)+($N737*0.1)+($O737*6)+($Q737)+($R737*0.1)+($S737*6)+($T737*-2)</f>
        <v>0</v>
      </c>
      <c r="W737" s="16" t="e">
        <f>$P737/$H$33</f>
        <v>#DIV/0!</v>
      </c>
      <c r="X737" s="16" t="e">
        <f>$N737/$M737</f>
        <v>#DIV/0!</v>
      </c>
      <c r="Y737" s="16" t="e">
        <f>$R737/$Q737</f>
        <v>#DIV/0!</v>
      </c>
      <c r="Z737" s="16" t="e">
        <f>$I737/$H737</f>
        <v>#DIV/0!</v>
      </c>
      <c r="AA737" s="16" t="e">
        <f>$K737/$H737</f>
        <v>#DIV/0!</v>
      </c>
      <c r="AB737" s="16">
        <f>($J737*Cp_yd)+($K737*Cp_td)+($L737*Cint)+($M737*Ccar)+($N737*Cr_yd)+($O737*Cr_td)+(Q737*Crec)+($R737*Crec_yd)+($S737*Crec_td)+($T737*Cfmb)+($U737*Ctp_c)</f>
        <v>0</v>
      </c>
    </row>
    <row r="738" spans="1:28" x14ac:dyDescent="0.2">
      <c r="A738" s="15" t="s">
        <v>1682</v>
      </c>
      <c r="B738" s="15" t="s">
        <v>43</v>
      </c>
      <c r="C738" s="15">
        <v>31</v>
      </c>
      <c r="D738" s="15">
        <v>10</v>
      </c>
      <c r="E738" s="15" t="s">
        <v>458</v>
      </c>
      <c r="F738" s="15" t="s">
        <v>1648</v>
      </c>
      <c r="G738" s="15">
        <v>0</v>
      </c>
      <c r="H738" s="15">
        <v>0</v>
      </c>
      <c r="I738" s="15">
        <v>0</v>
      </c>
      <c r="J738" s="15">
        <v>0</v>
      </c>
      <c r="K738" s="15">
        <v>0</v>
      </c>
      <c r="L738" s="15">
        <v>0</v>
      </c>
      <c r="M738" s="15">
        <v>0</v>
      </c>
      <c r="N738" s="15">
        <v>0</v>
      </c>
      <c r="O738" s="15">
        <v>0</v>
      </c>
      <c r="P738" s="15">
        <v>0</v>
      </c>
      <c r="Q738" s="15">
        <v>0</v>
      </c>
      <c r="R738" s="15">
        <v>0</v>
      </c>
      <c r="S738" s="15">
        <v>0</v>
      </c>
      <c r="T738" s="15">
        <v>0</v>
      </c>
      <c r="U738" s="15">
        <v>0</v>
      </c>
      <c r="V738" s="15">
        <f>($J738*0.04)+($K738*4)+($L738*-2)+($N738*0.1)+($O738*6)+($Q738)+($R738*0.1)+($S738*6)+($T738*-2)</f>
        <v>0</v>
      </c>
      <c r="W738" s="15" t="e">
        <f>$P738/$H$33</f>
        <v>#DIV/0!</v>
      </c>
      <c r="X738" s="15" t="e">
        <f>$N738/$M738</f>
        <v>#DIV/0!</v>
      </c>
      <c r="Y738" s="15" t="e">
        <f>$R738/$Q738</f>
        <v>#DIV/0!</v>
      </c>
      <c r="Z738" s="15" t="e">
        <f>$I738/$H738</f>
        <v>#DIV/0!</v>
      </c>
      <c r="AA738" s="15" t="e">
        <f>$K738/$H738</f>
        <v>#DIV/0!</v>
      </c>
      <c r="AB738" s="15">
        <f>($J738*Cp_yd)+($K738*Cp_td)+($L738*Cint)+($M738*Ccar)+($N738*Cr_yd)+($O738*Cr_td)+(Q738*Crec)+($R738*Crec_yd)+($S738*Crec_td)+($T738*Cfmb)+($U738*Ctp_c)</f>
        <v>0</v>
      </c>
    </row>
    <row r="739" spans="1:28" x14ac:dyDescent="0.2">
      <c r="A739" s="16" t="s">
        <v>1683</v>
      </c>
      <c r="B739" s="16" t="s">
        <v>43</v>
      </c>
      <c r="C739" s="16">
        <v>23</v>
      </c>
      <c r="D739" s="16">
        <v>0</v>
      </c>
      <c r="E739" s="16" t="s">
        <v>173</v>
      </c>
      <c r="F739" s="16" t="s">
        <v>1648</v>
      </c>
      <c r="G739" s="16">
        <v>0</v>
      </c>
      <c r="H739" s="16">
        <v>0</v>
      </c>
      <c r="I739" s="16">
        <v>0</v>
      </c>
      <c r="J739" s="16">
        <v>0</v>
      </c>
      <c r="K739" s="16">
        <v>0</v>
      </c>
      <c r="L739" s="16">
        <v>0</v>
      </c>
      <c r="M739" s="16">
        <v>0</v>
      </c>
      <c r="N739" s="16">
        <v>0</v>
      </c>
      <c r="O739" s="16">
        <v>0</v>
      </c>
      <c r="P739" s="16">
        <v>0</v>
      </c>
      <c r="Q739" s="16">
        <v>0</v>
      </c>
      <c r="R739" s="16">
        <v>0</v>
      </c>
      <c r="S739" s="16">
        <v>0</v>
      </c>
      <c r="T739" s="16">
        <v>0</v>
      </c>
      <c r="U739" s="16">
        <v>0</v>
      </c>
      <c r="V739" s="16">
        <f>($J739*0.04)+($K739*4)+($L739*-2)+($N739*0.1)+($O739*6)+($Q739)+($R739*0.1)+($S739*6)+($T739*-2)</f>
        <v>0</v>
      </c>
      <c r="W739" s="16" t="e">
        <f>$P739/$H$33</f>
        <v>#DIV/0!</v>
      </c>
      <c r="X739" s="16" t="e">
        <f>$N739/$M739</f>
        <v>#DIV/0!</v>
      </c>
      <c r="Y739" s="16" t="e">
        <f>$R739/$Q739</f>
        <v>#DIV/0!</v>
      </c>
      <c r="Z739" s="16" t="e">
        <f>$I739/$H739</f>
        <v>#DIV/0!</v>
      </c>
      <c r="AA739" s="16" t="e">
        <f>$K739/$H739</f>
        <v>#DIV/0!</v>
      </c>
      <c r="AB739" s="16">
        <f>($J739*Cp_yd)+($K739*Cp_td)+($L739*Cint)+($M739*Ccar)+($N739*Cr_yd)+($O739*Cr_td)+(Q739*Crec)+($R739*Crec_yd)+($S739*Crec_td)+($T739*Cfmb)+($U739*Ctp_c)</f>
        <v>0</v>
      </c>
    </row>
    <row r="740" spans="1:28" x14ac:dyDescent="0.2">
      <c r="A740" s="15" t="s">
        <v>1684</v>
      </c>
      <c r="B740" s="15" t="s">
        <v>43</v>
      </c>
      <c r="C740" s="15">
        <v>24</v>
      </c>
      <c r="D740" s="15">
        <v>1</v>
      </c>
      <c r="E740" s="15" t="s">
        <v>1685</v>
      </c>
      <c r="F740" s="15" t="s">
        <v>1648</v>
      </c>
      <c r="G740" s="15">
        <v>0</v>
      </c>
      <c r="H740" s="15">
        <v>0</v>
      </c>
      <c r="I740" s="15">
        <v>0</v>
      </c>
      <c r="J740" s="15">
        <v>0</v>
      </c>
      <c r="K740" s="15">
        <v>0</v>
      </c>
      <c r="L740" s="15">
        <v>0</v>
      </c>
      <c r="M740" s="15">
        <v>0</v>
      </c>
      <c r="N740" s="15">
        <v>0</v>
      </c>
      <c r="O740" s="15">
        <v>0</v>
      </c>
      <c r="P740" s="15">
        <v>0</v>
      </c>
      <c r="Q740" s="15">
        <v>0</v>
      </c>
      <c r="R740" s="15">
        <v>0</v>
      </c>
      <c r="S740" s="15">
        <v>0</v>
      </c>
      <c r="T740" s="15">
        <v>0</v>
      </c>
      <c r="U740" s="15">
        <v>0</v>
      </c>
      <c r="V740" s="15">
        <f>($J740*0.04)+($K740*4)+($L740*-2)+($N740*0.1)+($O740*6)+($Q740)+($R740*0.1)+($S740*6)+($T740*-2)</f>
        <v>0</v>
      </c>
      <c r="W740" s="15" t="e">
        <f>$P740/$H$33</f>
        <v>#DIV/0!</v>
      </c>
      <c r="X740" s="15" t="e">
        <f>$N740/$M740</f>
        <v>#DIV/0!</v>
      </c>
      <c r="Y740" s="15" t="e">
        <f>$R740/$Q740</f>
        <v>#DIV/0!</v>
      </c>
      <c r="Z740" s="15" t="e">
        <f>$I740/$H740</f>
        <v>#DIV/0!</v>
      </c>
      <c r="AA740" s="15" t="e">
        <f>$K740/$H740</f>
        <v>#DIV/0!</v>
      </c>
      <c r="AB740" s="15">
        <f>($J740*Cp_yd)+($K740*Cp_td)+($L740*Cint)+($M740*Ccar)+($N740*Cr_yd)+($O740*Cr_td)+(Q740*Crec)+($R740*Crec_yd)+($S740*Crec_td)+($T740*Cfmb)+($U740*Ctp_c)</f>
        <v>0</v>
      </c>
    </row>
    <row r="741" spans="1:28" x14ac:dyDescent="0.2">
      <c r="A741" s="16" t="s">
        <v>1686</v>
      </c>
      <c r="B741" s="16" t="s">
        <v>43</v>
      </c>
      <c r="C741" s="16">
        <v>24</v>
      </c>
      <c r="D741" s="16">
        <v>3</v>
      </c>
      <c r="E741" s="16" t="s">
        <v>227</v>
      </c>
      <c r="F741" s="16" t="s">
        <v>1648</v>
      </c>
      <c r="G741" s="16">
        <v>0</v>
      </c>
      <c r="H741" s="16">
        <v>0</v>
      </c>
      <c r="I741" s="16">
        <v>0</v>
      </c>
      <c r="J741" s="16">
        <v>0</v>
      </c>
      <c r="K741" s="16">
        <v>0</v>
      </c>
      <c r="L741" s="16">
        <v>0</v>
      </c>
      <c r="M741" s="16">
        <v>0</v>
      </c>
      <c r="N741" s="16">
        <v>0</v>
      </c>
      <c r="O741" s="16">
        <v>0</v>
      </c>
      <c r="P741" s="16">
        <v>0</v>
      </c>
      <c r="Q741" s="16">
        <v>0</v>
      </c>
      <c r="R741" s="16">
        <v>0</v>
      </c>
      <c r="S741" s="16">
        <v>0</v>
      </c>
      <c r="T741" s="16">
        <v>0</v>
      </c>
      <c r="U741" s="16">
        <v>0</v>
      </c>
      <c r="V741" s="16">
        <f>($J741*0.04)+($K741*4)+($L741*-2)+($N741*0.1)+($O741*6)+($Q741)+($R741*0.1)+($S741*6)+($T741*-2)</f>
        <v>0</v>
      </c>
      <c r="W741" s="16" t="e">
        <f>$P741/$H$33</f>
        <v>#DIV/0!</v>
      </c>
      <c r="X741" s="16" t="e">
        <f>$N741/$M741</f>
        <v>#DIV/0!</v>
      </c>
      <c r="Y741" s="16" t="e">
        <f>$R741/$Q741</f>
        <v>#DIV/0!</v>
      </c>
      <c r="Z741" s="16" t="e">
        <f>$I741/$H741</f>
        <v>#DIV/0!</v>
      </c>
      <c r="AA741" s="16" t="e">
        <f>$K741/$H741</f>
        <v>#DIV/0!</v>
      </c>
      <c r="AB741" s="16">
        <f>($J741*Cp_yd)+($K741*Cp_td)+($L741*Cint)+($M741*Ccar)+($N741*Cr_yd)+($O741*Cr_td)+(Q741*Crec)+($R741*Crec_yd)+($S741*Crec_td)+($T741*Cfmb)+($U741*Ctp_c)</f>
        <v>0</v>
      </c>
    </row>
    <row r="742" spans="1:28" x14ac:dyDescent="0.2">
      <c r="A742" s="15" t="s">
        <v>1687</v>
      </c>
      <c r="B742" s="15" t="s">
        <v>43</v>
      </c>
      <c r="C742" s="15">
        <v>30</v>
      </c>
      <c r="D742" s="15">
        <v>8</v>
      </c>
      <c r="E742" s="15" t="s">
        <v>136</v>
      </c>
      <c r="F742" s="15" t="s">
        <v>1648</v>
      </c>
      <c r="G742" s="15">
        <v>0</v>
      </c>
      <c r="H742" s="15">
        <v>0</v>
      </c>
      <c r="I742" s="15">
        <v>0</v>
      </c>
      <c r="J742" s="15">
        <v>0</v>
      </c>
      <c r="K742" s="15">
        <v>0</v>
      </c>
      <c r="L742" s="15">
        <v>0</v>
      </c>
      <c r="M742" s="15">
        <v>0</v>
      </c>
      <c r="N742" s="15">
        <v>0</v>
      </c>
      <c r="O742" s="15">
        <v>0</v>
      </c>
      <c r="P742" s="15">
        <v>0</v>
      </c>
      <c r="Q742" s="15">
        <v>0</v>
      </c>
      <c r="R742" s="15">
        <v>0</v>
      </c>
      <c r="S742" s="15">
        <v>0</v>
      </c>
      <c r="T742" s="15">
        <v>0</v>
      </c>
      <c r="U742" s="15">
        <v>0</v>
      </c>
      <c r="V742" s="15">
        <f>($J742*0.04)+($K742*4)+($L742*-2)+($N742*0.1)+($O742*6)+($Q742)+($R742*0.1)+($S742*6)+($T742*-2)</f>
        <v>0</v>
      </c>
      <c r="W742" s="15" t="e">
        <f>$P742/$H$33</f>
        <v>#DIV/0!</v>
      </c>
      <c r="X742" s="15" t="e">
        <f>$N742/$M742</f>
        <v>#DIV/0!</v>
      </c>
      <c r="Y742" s="15" t="e">
        <f>$R742/$Q742</f>
        <v>#DIV/0!</v>
      </c>
      <c r="Z742" s="15" t="e">
        <f>$I742/$H742</f>
        <v>#DIV/0!</v>
      </c>
      <c r="AA742" s="15" t="e">
        <f>$K742/$H742</f>
        <v>#DIV/0!</v>
      </c>
      <c r="AB742" s="15">
        <f>($J742*Cp_yd)+($K742*Cp_td)+($L742*Cint)+($M742*Ccar)+($N742*Cr_yd)+($O742*Cr_td)+(Q742*Crec)+($R742*Crec_yd)+($S742*Crec_td)+($T742*Cfmb)+($U742*Ctp_c)</f>
        <v>0</v>
      </c>
    </row>
    <row r="743" spans="1:28" x14ac:dyDescent="0.2">
      <c r="A743" s="16" t="s">
        <v>1688</v>
      </c>
      <c r="B743" s="16" t="s">
        <v>43</v>
      </c>
      <c r="C743" s="16">
        <v>24</v>
      </c>
      <c r="D743" s="16">
        <v>2</v>
      </c>
      <c r="E743" s="16" t="s">
        <v>418</v>
      </c>
      <c r="F743" s="16" t="s">
        <v>1648</v>
      </c>
      <c r="G743" s="16">
        <v>0</v>
      </c>
      <c r="H743" s="16">
        <v>0</v>
      </c>
      <c r="I743" s="16">
        <v>0</v>
      </c>
      <c r="J743" s="16">
        <v>0</v>
      </c>
      <c r="K743" s="16">
        <v>0</v>
      </c>
      <c r="L743" s="16">
        <v>0</v>
      </c>
      <c r="M743" s="16">
        <v>0</v>
      </c>
      <c r="N743" s="16">
        <v>0</v>
      </c>
      <c r="O743" s="16">
        <v>0</v>
      </c>
      <c r="P743" s="16">
        <v>0</v>
      </c>
      <c r="Q743" s="16">
        <v>0</v>
      </c>
      <c r="R743" s="16">
        <v>0</v>
      </c>
      <c r="S743" s="16">
        <v>0</v>
      </c>
      <c r="T743" s="16">
        <v>0</v>
      </c>
      <c r="U743" s="16">
        <v>0</v>
      </c>
      <c r="V743" s="16">
        <f>($J743*0.04)+($K743*4)+($L743*-2)+($N743*0.1)+($O743*6)+($Q743)+($R743*0.1)+($S743*6)+($T743*-2)</f>
        <v>0</v>
      </c>
      <c r="W743" s="16" t="e">
        <f>$P743/$H$33</f>
        <v>#DIV/0!</v>
      </c>
      <c r="X743" s="16" t="e">
        <f>$N743/$M743</f>
        <v>#DIV/0!</v>
      </c>
      <c r="Y743" s="16" t="e">
        <f>$R743/$Q743</f>
        <v>#DIV/0!</v>
      </c>
      <c r="Z743" s="16" t="e">
        <f>$I743/$H743</f>
        <v>#DIV/0!</v>
      </c>
      <c r="AA743" s="16" t="e">
        <f>$K743/$H743</f>
        <v>#DIV/0!</v>
      </c>
      <c r="AB743" s="16">
        <f>($J743*Cp_yd)+($K743*Cp_td)+($L743*Cint)+($M743*Ccar)+($N743*Cr_yd)+($O743*Cr_td)+(Q743*Crec)+($R743*Crec_yd)+($S743*Crec_td)+($T743*Cfmb)+($U743*Ctp_c)</f>
        <v>0</v>
      </c>
    </row>
    <row r="744" spans="1:28" x14ac:dyDescent="0.2">
      <c r="A744" s="15" t="s">
        <v>1689</v>
      </c>
      <c r="B744" s="15" t="s">
        <v>43</v>
      </c>
      <c r="C744" s="15">
        <v>24</v>
      </c>
      <c r="D744" s="15">
        <v>1</v>
      </c>
      <c r="E744" s="15" t="s">
        <v>237</v>
      </c>
      <c r="F744" s="15" t="s">
        <v>1648</v>
      </c>
      <c r="G744" s="15">
        <v>0</v>
      </c>
      <c r="H744" s="15">
        <v>0</v>
      </c>
      <c r="I744" s="15">
        <v>0</v>
      </c>
      <c r="J744" s="15">
        <v>0</v>
      </c>
      <c r="K744" s="15">
        <v>0</v>
      </c>
      <c r="L744" s="15">
        <v>0</v>
      </c>
      <c r="M744" s="15">
        <v>0</v>
      </c>
      <c r="N744" s="15">
        <v>0</v>
      </c>
      <c r="O744" s="15">
        <v>0</v>
      </c>
      <c r="P744" s="15">
        <v>0</v>
      </c>
      <c r="Q744" s="15">
        <v>0</v>
      </c>
      <c r="R744" s="15">
        <v>0</v>
      </c>
      <c r="S744" s="15">
        <v>0</v>
      </c>
      <c r="T744" s="15">
        <v>0</v>
      </c>
      <c r="U744" s="15">
        <v>0</v>
      </c>
      <c r="V744" s="15">
        <f>($J744*0.04)+($K744*4)+($L744*-2)+($N744*0.1)+($O744*6)+($Q744)+($R744*0.1)+($S744*6)+($T744*-2)</f>
        <v>0</v>
      </c>
      <c r="W744" s="15" t="e">
        <f>$P744/$H$33</f>
        <v>#DIV/0!</v>
      </c>
      <c r="X744" s="15" t="e">
        <f>$N744/$M744</f>
        <v>#DIV/0!</v>
      </c>
      <c r="Y744" s="15" t="e">
        <f>$R744/$Q744</f>
        <v>#DIV/0!</v>
      </c>
      <c r="Z744" s="15" t="e">
        <f>$I744/$H744</f>
        <v>#DIV/0!</v>
      </c>
      <c r="AA744" s="15" t="e">
        <f>$K744/$H744</f>
        <v>#DIV/0!</v>
      </c>
      <c r="AB744" s="15">
        <f>($J744*Cp_yd)+($K744*Cp_td)+($L744*Cint)+($M744*Ccar)+($N744*Cr_yd)+($O744*Cr_td)+(Q744*Crec)+($R744*Crec_yd)+($S744*Crec_td)+($T744*Cfmb)+($U744*Ctp_c)</f>
        <v>0</v>
      </c>
    </row>
    <row r="745" spans="1:28" x14ac:dyDescent="0.2">
      <c r="A745" s="16" t="s">
        <v>1691</v>
      </c>
      <c r="B745" s="16" t="s">
        <v>38</v>
      </c>
      <c r="C745" s="16">
        <v>26</v>
      </c>
      <c r="D745" s="16">
        <v>1</v>
      </c>
      <c r="E745" s="16" t="s">
        <v>362</v>
      </c>
      <c r="F745" s="16" t="s">
        <v>1648</v>
      </c>
      <c r="G745" s="16">
        <v>0</v>
      </c>
      <c r="H745" s="16">
        <v>0</v>
      </c>
      <c r="I745" s="16">
        <v>0</v>
      </c>
      <c r="J745" s="16">
        <v>0</v>
      </c>
      <c r="K745" s="16">
        <v>0</v>
      </c>
      <c r="L745" s="16">
        <v>0</v>
      </c>
      <c r="M745" s="16">
        <v>0</v>
      </c>
      <c r="N745" s="16">
        <v>0</v>
      </c>
      <c r="O745" s="16">
        <v>0</v>
      </c>
      <c r="P745" s="16">
        <v>0</v>
      </c>
      <c r="Q745" s="16">
        <v>0</v>
      </c>
      <c r="R745" s="16">
        <v>0</v>
      </c>
      <c r="S745" s="16">
        <v>0</v>
      </c>
      <c r="T745" s="16">
        <v>0</v>
      </c>
      <c r="U745" s="16">
        <v>0</v>
      </c>
      <c r="V745" s="16">
        <f>($J745*0.04)+($K745*4)+($L745*-2)+($N745*0.1)+($O745*6)+($Q745)+($R745*0.1)+($S745*6)+($T745*-2)</f>
        <v>0</v>
      </c>
      <c r="W745" s="16" t="e">
        <f>$P745/$H$33</f>
        <v>#DIV/0!</v>
      </c>
      <c r="X745" s="16" t="e">
        <f>$N745/$M745</f>
        <v>#DIV/0!</v>
      </c>
      <c r="Y745" s="16" t="e">
        <f>$R745/$Q745</f>
        <v>#DIV/0!</v>
      </c>
      <c r="Z745" s="16" t="e">
        <f>$I745/$H745</f>
        <v>#DIV/0!</v>
      </c>
      <c r="AA745" s="16" t="e">
        <f>$K745/$H745</f>
        <v>#DIV/0!</v>
      </c>
      <c r="AB745" s="16">
        <f>($J745*Cp_yd)+($K745*Cp_td)+($L745*Cint)+($M745*Ccar)+($N745*Cr_yd)+($O745*Cr_td)+(Q745*Crec)+($R745*Crec_yd)+($S745*Crec_td)+($T745*Cfmb)+($U745*Ctp_c)</f>
        <v>0</v>
      </c>
    </row>
    <row r="746" spans="1:28" x14ac:dyDescent="0.2">
      <c r="A746" s="15" t="s">
        <v>1692</v>
      </c>
      <c r="B746" s="15" t="s">
        <v>38</v>
      </c>
      <c r="C746" s="15">
        <v>26</v>
      </c>
      <c r="D746" s="15">
        <v>1</v>
      </c>
      <c r="E746" s="15" t="s">
        <v>170</v>
      </c>
      <c r="F746" s="15" t="s">
        <v>1648</v>
      </c>
      <c r="G746" s="15">
        <v>0</v>
      </c>
      <c r="H746" s="15">
        <v>0</v>
      </c>
      <c r="I746" s="15">
        <v>0</v>
      </c>
      <c r="J746" s="15">
        <v>0</v>
      </c>
      <c r="K746" s="15">
        <v>0</v>
      </c>
      <c r="L746" s="15">
        <v>0</v>
      </c>
      <c r="M746" s="15">
        <v>0</v>
      </c>
      <c r="N746" s="15">
        <v>0</v>
      </c>
      <c r="O746" s="15">
        <v>0</v>
      </c>
      <c r="P746" s="15">
        <v>0</v>
      </c>
      <c r="Q746" s="15">
        <v>0</v>
      </c>
      <c r="R746" s="15">
        <v>0</v>
      </c>
      <c r="S746" s="15">
        <v>0</v>
      </c>
      <c r="T746" s="15">
        <v>0</v>
      </c>
      <c r="U746" s="15">
        <v>0</v>
      </c>
      <c r="V746" s="15">
        <f>($J746*0.04)+($K746*4)+($L746*-2)+($N746*0.1)+($O746*6)+($Q746)+($R746*0.1)+($S746*6)+($T746*-2)</f>
        <v>0</v>
      </c>
      <c r="W746" s="15" t="e">
        <f>$P746/$H$33</f>
        <v>#DIV/0!</v>
      </c>
      <c r="X746" s="15" t="e">
        <f>$N746/$M746</f>
        <v>#DIV/0!</v>
      </c>
      <c r="Y746" s="15" t="e">
        <f>$R746/$Q746</f>
        <v>#DIV/0!</v>
      </c>
      <c r="Z746" s="15" t="e">
        <f>$I746/$H746</f>
        <v>#DIV/0!</v>
      </c>
      <c r="AA746" s="15" t="e">
        <f>$K746/$H746</f>
        <v>#DIV/0!</v>
      </c>
      <c r="AB746" s="15">
        <f>($J746*Cp_yd)+($K746*Cp_td)+($L746*Cint)+($M746*Ccar)+($N746*Cr_yd)+($O746*Cr_td)+(Q746*Crec)+($R746*Crec_yd)+($S746*Crec_td)+($T746*Cfmb)+($U746*Ctp_c)</f>
        <v>0</v>
      </c>
    </row>
    <row r="747" spans="1:28" x14ac:dyDescent="0.2">
      <c r="A747" s="16" t="s">
        <v>1693</v>
      </c>
      <c r="B747" s="16" t="s">
        <v>38</v>
      </c>
      <c r="C747" s="16">
        <v>23</v>
      </c>
      <c r="D747" s="16">
        <v>2</v>
      </c>
      <c r="E747" s="16" t="s">
        <v>232</v>
      </c>
      <c r="F747" s="16" t="s">
        <v>1648</v>
      </c>
      <c r="G747" s="16">
        <v>0</v>
      </c>
      <c r="H747" s="16">
        <v>0</v>
      </c>
      <c r="I747" s="16">
        <v>0</v>
      </c>
      <c r="J747" s="16">
        <v>0</v>
      </c>
      <c r="K747" s="16">
        <v>0</v>
      </c>
      <c r="L747" s="16">
        <v>0</v>
      </c>
      <c r="M747" s="16">
        <v>0</v>
      </c>
      <c r="N747" s="16">
        <v>0</v>
      </c>
      <c r="O747" s="16">
        <v>0</v>
      </c>
      <c r="P747" s="16">
        <v>0</v>
      </c>
      <c r="Q747" s="16">
        <v>0</v>
      </c>
      <c r="R747" s="16">
        <v>0</v>
      </c>
      <c r="S747" s="16">
        <v>0</v>
      </c>
      <c r="T747" s="16">
        <v>0</v>
      </c>
      <c r="U747" s="16">
        <v>0</v>
      </c>
      <c r="V747" s="16">
        <f>($J747*0.04)+($K747*4)+($L747*-2)+($N747*0.1)+($O747*6)+($Q747)+($R747*0.1)+($S747*6)+($T747*-2)</f>
        <v>0</v>
      </c>
      <c r="W747" s="16" t="e">
        <f>$P747/$H$33</f>
        <v>#DIV/0!</v>
      </c>
      <c r="X747" s="16" t="e">
        <f>$N747/$M747</f>
        <v>#DIV/0!</v>
      </c>
      <c r="Y747" s="16" t="e">
        <f>$R747/$Q747</f>
        <v>#DIV/0!</v>
      </c>
      <c r="Z747" s="16" t="e">
        <f>$I747/$H747</f>
        <v>#DIV/0!</v>
      </c>
      <c r="AA747" s="16" t="e">
        <f>$K747/$H747</f>
        <v>#DIV/0!</v>
      </c>
      <c r="AB747" s="16">
        <f>($J747*Cp_yd)+($K747*Cp_td)+($L747*Cint)+($M747*Ccar)+($N747*Cr_yd)+($O747*Cr_td)+(Q747*Crec)+($R747*Crec_yd)+($S747*Crec_td)+($T747*Cfmb)+($U747*Ctp_c)</f>
        <v>0</v>
      </c>
    </row>
    <row r="748" spans="1:28" x14ac:dyDescent="0.2">
      <c r="A748" s="15" t="s">
        <v>1694</v>
      </c>
      <c r="B748" s="15" t="s">
        <v>38</v>
      </c>
      <c r="C748" s="15">
        <v>28</v>
      </c>
      <c r="D748" s="15">
        <v>3</v>
      </c>
      <c r="E748" s="15" t="s">
        <v>616</v>
      </c>
      <c r="F748" s="15" t="s">
        <v>1648</v>
      </c>
      <c r="G748" s="15">
        <v>0</v>
      </c>
      <c r="H748" s="15">
        <v>0</v>
      </c>
      <c r="I748" s="15">
        <v>0</v>
      </c>
      <c r="J748" s="15">
        <v>0</v>
      </c>
      <c r="K748" s="15">
        <v>0</v>
      </c>
      <c r="L748" s="15">
        <v>0</v>
      </c>
      <c r="M748" s="15">
        <v>0</v>
      </c>
      <c r="N748" s="15">
        <v>0</v>
      </c>
      <c r="O748" s="15">
        <v>0</v>
      </c>
      <c r="P748" s="15">
        <v>0</v>
      </c>
      <c r="Q748" s="15">
        <v>0</v>
      </c>
      <c r="R748" s="15">
        <v>0</v>
      </c>
      <c r="S748" s="15">
        <v>0</v>
      </c>
      <c r="T748" s="15">
        <v>0</v>
      </c>
      <c r="U748" s="15">
        <v>0</v>
      </c>
      <c r="V748" s="15">
        <f>($J748*0.04)+($K748*4)+($L748*-2)+($N748*0.1)+($O748*6)+($Q748)+($R748*0.1)+($S748*6)+($T748*-2)</f>
        <v>0</v>
      </c>
      <c r="W748" s="15" t="e">
        <f>$P748/$H$33</f>
        <v>#DIV/0!</v>
      </c>
      <c r="X748" s="15" t="e">
        <f>$N748/$M748</f>
        <v>#DIV/0!</v>
      </c>
      <c r="Y748" s="15" t="e">
        <f>$R748/$Q748</f>
        <v>#DIV/0!</v>
      </c>
      <c r="Z748" s="15" t="e">
        <f>$I748/$H748</f>
        <v>#DIV/0!</v>
      </c>
      <c r="AA748" s="15" t="e">
        <f>$K748/$H748</f>
        <v>#DIV/0!</v>
      </c>
      <c r="AB748" s="15">
        <f>($J748*Cp_yd)+($K748*Cp_td)+($L748*Cint)+($M748*Ccar)+($N748*Cr_yd)+($O748*Cr_td)+(Q748*Crec)+($R748*Crec_yd)+($S748*Crec_td)+($T748*Cfmb)+($U748*Ctp_c)</f>
        <v>0</v>
      </c>
    </row>
    <row r="749" spans="1:28" x14ac:dyDescent="0.2">
      <c r="A749" s="16" t="s">
        <v>1695</v>
      </c>
      <c r="B749" s="16" t="s">
        <v>38</v>
      </c>
      <c r="C749" s="16">
        <v>25</v>
      </c>
      <c r="D749" s="16">
        <v>1</v>
      </c>
      <c r="E749" s="16" t="s">
        <v>150</v>
      </c>
      <c r="F749" s="16" t="s">
        <v>1648</v>
      </c>
      <c r="G749" s="16">
        <v>0</v>
      </c>
      <c r="H749" s="16">
        <v>0</v>
      </c>
      <c r="I749" s="16">
        <v>0</v>
      </c>
      <c r="J749" s="16">
        <v>0</v>
      </c>
      <c r="K749" s="16">
        <v>0</v>
      </c>
      <c r="L749" s="16">
        <v>0</v>
      </c>
      <c r="M749" s="16">
        <v>0</v>
      </c>
      <c r="N749" s="16">
        <v>0</v>
      </c>
      <c r="O749" s="16">
        <v>0</v>
      </c>
      <c r="P749" s="16">
        <v>0</v>
      </c>
      <c r="Q749" s="16">
        <v>0</v>
      </c>
      <c r="R749" s="16">
        <v>0</v>
      </c>
      <c r="S749" s="16">
        <v>0</v>
      </c>
      <c r="T749" s="16">
        <v>0</v>
      </c>
      <c r="U749" s="16">
        <v>0</v>
      </c>
      <c r="V749" s="16">
        <f>($J749*0.04)+($K749*4)+($L749*-2)+($N749*0.1)+($O749*6)+($Q749)+($R749*0.1)+($S749*6)+($T749*-2)</f>
        <v>0</v>
      </c>
      <c r="W749" s="16" t="e">
        <f>$P749/$H$33</f>
        <v>#DIV/0!</v>
      </c>
      <c r="X749" s="16" t="e">
        <f>$N749/$M749</f>
        <v>#DIV/0!</v>
      </c>
      <c r="Y749" s="16" t="e">
        <f>$R749/$Q749</f>
        <v>#DIV/0!</v>
      </c>
      <c r="Z749" s="16" t="e">
        <f>$I749/$H749</f>
        <v>#DIV/0!</v>
      </c>
      <c r="AA749" s="16" t="e">
        <f>$K749/$H749</f>
        <v>#DIV/0!</v>
      </c>
      <c r="AB749" s="16">
        <f>($J749*Cp_yd)+($K749*Cp_td)+($L749*Cint)+($M749*Ccar)+($N749*Cr_yd)+($O749*Cr_td)+(Q749*Crec)+($R749*Crec_yd)+($S749*Crec_td)+($T749*Cfmb)+($U749*Ctp_c)</f>
        <v>0</v>
      </c>
    </row>
    <row r="750" spans="1:28" x14ac:dyDescent="0.2">
      <c r="A750" s="15" t="s">
        <v>1696</v>
      </c>
      <c r="B750" s="15" t="s">
        <v>38</v>
      </c>
      <c r="C750" s="15">
        <v>27</v>
      </c>
      <c r="D750" s="15">
        <v>5</v>
      </c>
      <c r="E750" s="15" t="s">
        <v>344</v>
      </c>
      <c r="F750" s="15" t="s">
        <v>1648</v>
      </c>
      <c r="G750" s="15">
        <v>0</v>
      </c>
      <c r="H750" s="15">
        <v>0</v>
      </c>
      <c r="I750" s="15">
        <v>0</v>
      </c>
      <c r="J750" s="15">
        <v>0</v>
      </c>
      <c r="K750" s="15">
        <v>0</v>
      </c>
      <c r="L750" s="15">
        <v>0</v>
      </c>
      <c r="M750" s="15">
        <v>0</v>
      </c>
      <c r="N750" s="15">
        <v>0</v>
      </c>
      <c r="O750" s="15">
        <v>0</v>
      </c>
      <c r="P750" s="15">
        <v>0</v>
      </c>
      <c r="Q750" s="15">
        <v>0</v>
      </c>
      <c r="R750" s="15">
        <v>0</v>
      </c>
      <c r="S750" s="15">
        <v>0</v>
      </c>
      <c r="T750" s="15">
        <v>0</v>
      </c>
      <c r="U750" s="15">
        <v>0</v>
      </c>
      <c r="V750" s="15">
        <f>($J750*0.04)+($K750*4)+($L750*-2)+($N750*0.1)+($O750*6)+($Q750)+($R750*0.1)+($S750*6)+($T750*-2)</f>
        <v>0</v>
      </c>
      <c r="W750" s="15" t="e">
        <f>$P750/$H$33</f>
        <v>#DIV/0!</v>
      </c>
      <c r="X750" s="15" t="e">
        <f>$N750/$M750</f>
        <v>#DIV/0!</v>
      </c>
      <c r="Y750" s="15" t="e">
        <f>$R750/$Q750</f>
        <v>#DIV/0!</v>
      </c>
      <c r="Z750" s="15" t="e">
        <f>$I750/$H750</f>
        <v>#DIV/0!</v>
      </c>
      <c r="AA750" s="15" t="e">
        <f>$K750/$H750</f>
        <v>#DIV/0!</v>
      </c>
      <c r="AB750" s="15">
        <f>($J750*Cp_yd)+($K750*Cp_td)+($L750*Cint)+($M750*Ccar)+($N750*Cr_yd)+($O750*Cr_td)+(Q750*Crec)+($R750*Crec_yd)+($S750*Crec_td)+($T750*Cfmb)+($U750*Ctp_c)</f>
        <v>0</v>
      </c>
    </row>
    <row r="751" spans="1:28" x14ac:dyDescent="0.2">
      <c r="A751" s="16" t="s">
        <v>1717</v>
      </c>
      <c r="B751" s="16" t="s">
        <v>26</v>
      </c>
      <c r="C751" s="16">
        <v>30</v>
      </c>
      <c r="D751" s="16">
        <v>8</v>
      </c>
      <c r="E751" s="16" t="s">
        <v>1113</v>
      </c>
      <c r="F751" s="16" t="s">
        <v>1699</v>
      </c>
      <c r="G751" s="16">
        <v>0</v>
      </c>
      <c r="H751" s="16">
        <v>0</v>
      </c>
      <c r="I751" s="16">
        <v>0</v>
      </c>
      <c r="J751" s="16">
        <v>0</v>
      </c>
      <c r="K751" s="16">
        <v>0</v>
      </c>
      <c r="L751" s="16">
        <v>0</v>
      </c>
      <c r="M751" s="16">
        <v>0</v>
      </c>
      <c r="N751" s="16">
        <v>0</v>
      </c>
      <c r="O751" s="16">
        <v>0</v>
      </c>
      <c r="P751" s="16">
        <v>0</v>
      </c>
      <c r="Q751" s="16">
        <v>0</v>
      </c>
      <c r="R751" s="16">
        <v>0</v>
      </c>
      <c r="S751" s="16">
        <v>0</v>
      </c>
      <c r="T751" s="16">
        <v>0</v>
      </c>
      <c r="U751" s="16">
        <v>0</v>
      </c>
      <c r="V751" s="16">
        <f>($J751*0.04)+($K751*4)+($L751*-2)+($N751*0.1)+($O751*6)+($Q751)+($R751*0.1)+($S751*6)+($T751*-2)</f>
        <v>0</v>
      </c>
      <c r="W751" s="16" t="e">
        <f>$P751/$H$33</f>
        <v>#DIV/0!</v>
      </c>
      <c r="X751" s="16" t="e">
        <f>$N751/$M751</f>
        <v>#DIV/0!</v>
      </c>
      <c r="Y751" s="16" t="e">
        <f>$R751/$Q751</f>
        <v>#DIV/0!</v>
      </c>
      <c r="Z751" s="16" t="e">
        <f>$I751/$H751</f>
        <v>#DIV/0!</v>
      </c>
      <c r="AA751" s="16" t="e">
        <f>$K751/$H751</f>
        <v>#DIV/0!</v>
      </c>
      <c r="AB751" s="16">
        <f>($J751*Cp_yd)+($K751*Cp_td)+($L751*Cint)+($M751*Ccar)+($N751*Cr_yd)+($O751*Cr_td)+(Q751*Crec)+($R751*Crec_yd)+($S751*Crec_td)+($T751*Cfmb)+($U751*Ctp_c)</f>
        <v>0</v>
      </c>
    </row>
    <row r="752" spans="1:28" x14ac:dyDescent="0.2">
      <c r="A752" s="15" t="s">
        <v>1718</v>
      </c>
      <c r="B752" s="15" t="s">
        <v>26</v>
      </c>
      <c r="C752" s="15">
        <v>25</v>
      </c>
      <c r="D752" s="15">
        <v>3</v>
      </c>
      <c r="E752" s="15" t="s">
        <v>173</v>
      </c>
      <c r="F752" s="15" t="s">
        <v>1699</v>
      </c>
      <c r="G752" s="15">
        <v>0</v>
      </c>
      <c r="H752" s="15">
        <v>0</v>
      </c>
      <c r="I752" s="15">
        <v>0</v>
      </c>
      <c r="J752" s="15">
        <v>0</v>
      </c>
      <c r="K752" s="15">
        <v>0</v>
      </c>
      <c r="L752" s="15">
        <v>0</v>
      </c>
      <c r="M752" s="15">
        <v>0</v>
      </c>
      <c r="N752" s="15">
        <v>0</v>
      </c>
      <c r="O752" s="15">
        <v>0</v>
      </c>
      <c r="P752" s="15">
        <v>0</v>
      </c>
      <c r="Q752" s="15">
        <v>0</v>
      </c>
      <c r="R752" s="15">
        <v>0</v>
      </c>
      <c r="S752" s="15">
        <v>0</v>
      </c>
      <c r="T752" s="15">
        <v>0</v>
      </c>
      <c r="U752" s="15">
        <v>0</v>
      </c>
      <c r="V752" s="15">
        <f>($J752*0.04)+($K752*4)+($L752*-2)+($N752*0.1)+($O752*6)+($Q752)+($R752*0.1)+($S752*6)+($T752*-2)</f>
        <v>0</v>
      </c>
      <c r="W752" s="15" t="e">
        <f>$P752/$H$33</f>
        <v>#DIV/0!</v>
      </c>
      <c r="X752" s="15" t="e">
        <f>$N752/$M752</f>
        <v>#DIV/0!</v>
      </c>
      <c r="Y752" s="15" t="e">
        <f>$R752/$Q752</f>
        <v>#DIV/0!</v>
      </c>
      <c r="Z752" s="15" t="e">
        <f>$I752/$H752</f>
        <v>#DIV/0!</v>
      </c>
      <c r="AA752" s="15" t="e">
        <f>$K752/$H752</f>
        <v>#DIV/0!</v>
      </c>
      <c r="AB752" s="15">
        <f>($J752*Cp_yd)+($K752*Cp_td)+($L752*Cint)+($M752*Ccar)+($N752*Cr_yd)+($O752*Cr_td)+(Q752*Crec)+($R752*Crec_yd)+($S752*Crec_td)+($T752*Cfmb)+($U752*Ctp_c)</f>
        <v>0</v>
      </c>
    </row>
    <row r="753" spans="1:28" x14ac:dyDescent="0.2">
      <c r="A753" s="16" t="s">
        <v>1720</v>
      </c>
      <c r="B753" s="16" t="s">
        <v>31</v>
      </c>
      <c r="C753" s="16">
        <v>29</v>
      </c>
      <c r="D753" s="16">
        <v>5</v>
      </c>
      <c r="E753" s="16" t="s">
        <v>1721</v>
      </c>
      <c r="F753" s="16" t="s">
        <v>1699</v>
      </c>
      <c r="G753" s="16">
        <v>0</v>
      </c>
      <c r="H753" s="16">
        <v>0</v>
      </c>
      <c r="I753" s="16">
        <v>0</v>
      </c>
      <c r="J753" s="16">
        <v>0</v>
      </c>
      <c r="K753" s="16">
        <v>0</v>
      </c>
      <c r="L753" s="16">
        <v>0</v>
      </c>
      <c r="M753" s="16">
        <v>0</v>
      </c>
      <c r="N753" s="16">
        <v>0</v>
      </c>
      <c r="O753" s="16">
        <v>0</v>
      </c>
      <c r="P753" s="16">
        <v>0</v>
      </c>
      <c r="Q753" s="16">
        <v>0</v>
      </c>
      <c r="R753" s="16">
        <v>0</v>
      </c>
      <c r="S753" s="16">
        <v>0</v>
      </c>
      <c r="T753" s="16">
        <v>0</v>
      </c>
      <c r="U753" s="16">
        <v>0</v>
      </c>
      <c r="V753" s="16">
        <f>($J753*0.04)+($K753*4)+($L753*-2)+($N753*0.1)+($O753*6)+($Q753)+($R753*0.1)+($S753*6)+($T753*-2)</f>
        <v>0</v>
      </c>
      <c r="W753" s="16" t="e">
        <f>$P753/$H$33</f>
        <v>#DIV/0!</v>
      </c>
      <c r="X753" s="16" t="e">
        <f>$N753/$M753</f>
        <v>#DIV/0!</v>
      </c>
      <c r="Y753" s="16" t="e">
        <f>$R753/$Q753</f>
        <v>#DIV/0!</v>
      </c>
      <c r="Z753" s="16" t="e">
        <f>$I753/$H753</f>
        <v>#DIV/0!</v>
      </c>
      <c r="AA753" s="16" t="e">
        <f>$K753/$H753</f>
        <v>#DIV/0!</v>
      </c>
      <c r="AB753" s="16">
        <f>($J753*Cp_yd)+($K753*Cp_td)+($L753*Cint)+($M753*Ccar)+($N753*Cr_yd)+($O753*Cr_td)+(Q753*Crec)+($R753*Crec_yd)+($S753*Crec_td)+($T753*Cfmb)+($U753*Ctp_c)</f>
        <v>0</v>
      </c>
    </row>
    <row r="754" spans="1:28" x14ac:dyDescent="0.2">
      <c r="A754" s="15" t="s">
        <v>1722</v>
      </c>
      <c r="B754" s="15" t="s">
        <v>31</v>
      </c>
      <c r="C754" s="15">
        <v>25</v>
      </c>
      <c r="D754" s="15">
        <v>4</v>
      </c>
      <c r="E754" s="15" t="s">
        <v>557</v>
      </c>
      <c r="F754" s="15" t="s">
        <v>1699</v>
      </c>
      <c r="G754" s="15">
        <v>0</v>
      </c>
      <c r="H754" s="15">
        <v>0</v>
      </c>
      <c r="I754" s="15">
        <v>0</v>
      </c>
      <c r="J754" s="15">
        <v>0</v>
      </c>
      <c r="K754" s="15">
        <v>0</v>
      </c>
      <c r="L754" s="15">
        <v>0</v>
      </c>
      <c r="M754" s="15">
        <v>0</v>
      </c>
      <c r="N754" s="15">
        <v>0</v>
      </c>
      <c r="O754" s="15">
        <v>0</v>
      </c>
      <c r="P754" s="15">
        <v>0</v>
      </c>
      <c r="Q754" s="15">
        <v>0</v>
      </c>
      <c r="R754" s="15">
        <v>0</v>
      </c>
      <c r="S754" s="15">
        <v>0</v>
      </c>
      <c r="T754" s="15">
        <v>0</v>
      </c>
      <c r="U754" s="15">
        <v>0</v>
      </c>
      <c r="V754" s="15">
        <f>($J754*0.04)+($K754*4)+($L754*-2)+($N754*0.1)+($O754*6)+($Q754)+($R754*0.1)+($S754*6)+($T754*-2)</f>
        <v>0</v>
      </c>
      <c r="W754" s="15" t="e">
        <f>$P754/$H$33</f>
        <v>#DIV/0!</v>
      </c>
      <c r="X754" s="15" t="e">
        <f>$N754/$M754</f>
        <v>#DIV/0!</v>
      </c>
      <c r="Y754" s="15" t="e">
        <f>$R754/$Q754</f>
        <v>#DIV/0!</v>
      </c>
      <c r="Z754" s="15" t="e">
        <f>$I754/$H754</f>
        <v>#DIV/0!</v>
      </c>
      <c r="AA754" s="15" t="e">
        <f>$K754/$H754</f>
        <v>#DIV/0!</v>
      </c>
      <c r="AB754" s="15">
        <f>($J754*Cp_yd)+($K754*Cp_td)+($L754*Cint)+($M754*Ccar)+($N754*Cr_yd)+($O754*Cr_td)+(Q754*Crec)+($R754*Crec_yd)+($S754*Crec_td)+($T754*Cfmb)+($U754*Ctp_c)</f>
        <v>0</v>
      </c>
    </row>
    <row r="755" spans="1:28" x14ac:dyDescent="0.2">
      <c r="A755" s="16" t="s">
        <v>1723</v>
      </c>
      <c r="B755" s="16" t="s">
        <v>31</v>
      </c>
      <c r="C755" s="16">
        <v>28</v>
      </c>
      <c r="D755" s="16">
        <v>5</v>
      </c>
      <c r="E755" s="16" t="s">
        <v>909</v>
      </c>
      <c r="F755" s="16" t="s">
        <v>1699</v>
      </c>
      <c r="G755" s="16">
        <v>0</v>
      </c>
      <c r="H755" s="16">
        <v>0</v>
      </c>
      <c r="I755" s="16">
        <v>0</v>
      </c>
      <c r="J755" s="16">
        <v>0</v>
      </c>
      <c r="K755" s="16">
        <v>0</v>
      </c>
      <c r="L755" s="16">
        <v>0</v>
      </c>
      <c r="M755" s="16">
        <v>0</v>
      </c>
      <c r="N755" s="16">
        <v>0</v>
      </c>
      <c r="O755" s="16">
        <v>0</v>
      </c>
      <c r="P755" s="16">
        <v>0</v>
      </c>
      <c r="Q755" s="16">
        <v>0</v>
      </c>
      <c r="R755" s="16">
        <v>0</v>
      </c>
      <c r="S755" s="16">
        <v>0</v>
      </c>
      <c r="T755" s="16">
        <v>0</v>
      </c>
      <c r="U755" s="16">
        <v>0</v>
      </c>
      <c r="V755" s="16">
        <f>($J755*0.04)+($K755*4)+($L755*-2)+($N755*0.1)+($O755*6)+($Q755)+($R755*0.1)+($S755*6)+($T755*-2)</f>
        <v>0</v>
      </c>
      <c r="W755" s="16" t="e">
        <f>$P755/$H$33</f>
        <v>#DIV/0!</v>
      </c>
      <c r="X755" s="16" t="e">
        <f>$N755/$M755</f>
        <v>#DIV/0!</v>
      </c>
      <c r="Y755" s="16" t="e">
        <f>$R755/$Q755</f>
        <v>#DIV/0!</v>
      </c>
      <c r="Z755" s="16" t="e">
        <f>$I755/$H755</f>
        <v>#DIV/0!</v>
      </c>
      <c r="AA755" s="16" t="e">
        <f>$K755/$H755</f>
        <v>#DIV/0!</v>
      </c>
      <c r="AB755" s="16">
        <f>($J755*Cp_yd)+($K755*Cp_td)+($L755*Cint)+($M755*Ccar)+($N755*Cr_yd)+($O755*Cr_td)+(Q755*Crec)+($R755*Crec_yd)+($S755*Crec_td)+($T755*Cfmb)+($U755*Ctp_c)</f>
        <v>0</v>
      </c>
    </row>
    <row r="756" spans="1:28" x14ac:dyDescent="0.2">
      <c r="A756" s="15" t="s">
        <v>1724</v>
      </c>
      <c r="B756" s="15" t="s">
        <v>31</v>
      </c>
      <c r="C756" s="15">
        <v>23</v>
      </c>
      <c r="D756" s="15">
        <v>2</v>
      </c>
      <c r="E756" s="15" t="s">
        <v>806</v>
      </c>
      <c r="F756" s="15" t="s">
        <v>1699</v>
      </c>
      <c r="G756" s="15">
        <v>0</v>
      </c>
      <c r="H756" s="15">
        <v>0</v>
      </c>
      <c r="I756" s="15">
        <v>0</v>
      </c>
      <c r="J756" s="15">
        <v>0</v>
      </c>
      <c r="K756" s="15">
        <v>0</v>
      </c>
      <c r="L756" s="15">
        <v>0</v>
      </c>
      <c r="M756" s="15">
        <v>0</v>
      </c>
      <c r="N756" s="15">
        <v>0</v>
      </c>
      <c r="O756" s="15">
        <v>0</v>
      </c>
      <c r="P756" s="15">
        <v>0</v>
      </c>
      <c r="Q756" s="15">
        <v>0</v>
      </c>
      <c r="R756" s="15">
        <v>0</v>
      </c>
      <c r="S756" s="15">
        <v>0</v>
      </c>
      <c r="T756" s="15">
        <v>0</v>
      </c>
      <c r="U756" s="15">
        <v>0</v>
      </c>
      <c r="V756" s="15">
        <f>($J756*0.04)+($K756*4)+($L756*-2)+($N756*0.1)+($O756*6)+($Q756)+($R756*0.1)+($S756*6)+($T756*-2)</f>
        <v>0</v>
      </c>
      <c r="W756" s="15" t="e">
        <f>$P756/$H$33</f>
        <v>#DIV/0!</v>
      </c>
      <c r="X756" s="15" t="e">
        <f>$N756/$M756</f>
        <v>#DIV/0!</v>
      </c>
      <c r="Y756" s="15" t="e">
        <f>$R756/$Q756</f>
        <v>#DIV/0!</v>
      </c>
      <c r="Z756" s="15" t="e">
        <f>$I756/$H756</f>
        <v>#DIV/0!</v>
      </c>
      <c r="AA756" s="15" t="e">
        <f>$K756/$H756</f>
        <v>#DIV/0!</v>
      </c>
      <c r="AB756" s="15">
        <f>($J756*Cp_yd)+($K756*Cp_td)+($L756*Cint)+($M756*Ccar)+($N756*Cr_yd)+($O756*Cr_td)+(Q756*Crec)+($R756*Crec_yd)+($S756*Crec_td)+($T756*Cfmb)+($U756*Ctp_c)</f>
        <v>0</v>
      </c>
    </row>
    <row r="757" spans="1:28" x14ac:dyDescent="0.2">
      <c r="A757" s="16" t="s">
        <v>1725</v>
      </c>
      <c r="B757" s="16" t="s">
        <v>31</v>
      </c>
      <c r="C757" s="16">
        <v>24</v>
      </c>
      <c r="D757" s="16">
        <v>2</v>
      </c>
      <c r="E757" s="16" t="s">
        <v>153</v>
      </c>
      <c r="F757" s="16" t="s">
        <v>1699</v>
      </c>
      <c r="G757" s="16">
        <v>0</v>
      </c>
      <c r="H757" s="16">
        <v>0</v>
      </c>
      <c r="I757" s="16">
        <v>0</v>
      </c>
      <c r="J757" s="16">
        <v>0</v>
      </c>
      <c r="K757" s="16">
        <v>0</v>
      </c>
      <c r="L757" s="16">
        <v>0</v>
      </c>
      <c r="M757" s="16">
        <v>0</v>
      </c>
      <c r="N757" s="16">
        <v>0</v>
      </c>
      <c r="O757" s="16">
        <v>0</v>
      </c>
      <c r="P757" s="16">
        <v>0</v>
      </c>
      <c r="Q757" s="16">
        <v>0</v>
      </c>
      <c r="R757" s="16">
        <v>0</v>
      </c>
      <c r="S757" s="16">
        <v>0</v>
      </c>
      <c r="T757" s="16">
        <v>0</v>
      </c>
      <c r="U757" s="16">
        <v>0</v>
      </c>
      <c r="V757" s="16">
        <f>($J757*0.04)+($K757*4)+($L757*-2)+($N757*0.1)+($O757*6)+($Q757)+($R757*0.1)+($S757*6)+($T757*-2)</f>
        <v>0</v>
      </c>
      <c r="W757" s="16" t="e">
        <f>$P757/$H$33</f>
        <v>#DIV/0!</v>
      </c>
      <c r="X757" s="16" t="e">
        <f>$N757/$M757</f>
        <v>#DIV/0!</v>
      </c>
      <c r="Y757" s="16" t="e">
        <f>$R757/$Q757</f>
        <v>#DIV/0!</v>
      </c>
      <c r="Z757" s="16" t="e">
        <f>$I757/$H757</f>
        <v>#DIV/0!</v>
      </c>
      <c r="AA757" s="16" t="e">
        <f>$K757/$H757</f>
        <v>#DIV/0!</v>
      </c>
      <c r="AB757" s="16">
        <f>($J757*Cp_yd)+($K757*Cp_td)+($L757*Cint)+($M757*Ccar)+($N757*Cr_yd)+($O757*Cr_td)+(Q757*Crec)+($R757*Crec_yd)+($S757*Crec_td)+($T757*Cfmb)+($U757*Ctp_c)</f>
        <v>0</v>
      </c>
    </row>
    <row r="758" spans="1:28" x14ac:dyDescent="0.2">
      <c r="A758" s="15" t="s">
        <v>1726</v>
      </c>
      <c r="B758" s="15" t="s">
        <v>31</v>
      </c>
      <c r="C758" s="15">
        <v>23</v>
      </c>
      <c r="D758" s="15">
        <v>0</v>
      </c>
      <c r="E758" s="15" t="s">
        <v>150</v>
      </c>
      <c r="F758" s="15" t="s">
        <v>1699</v>
      </c>
      <c r="G758" s="15">
        <v>0</v>
      </c>
      <c r="H758" s="15">
        <v>0</v>
      </c>
      <c r="I758" s="15">
        <v>0</v>
      </c>
      <c r="J758" s="15">
        <v>0</v>
      </c>
      <c r="K758" s="15">
        <v>0</v>
      </c>
      <c r="L758" s="15">
        <v>0</v>
      </c>
      <c r="M758" s="15">
        <v>0</v>
      </c>
      <c r="N758" s="15">
        <v>0</v>
      </c>
      <c r="O758" s="15">
        <v>0</v>
      </c>
      <c r="P758" s="15">
        <v>0</v>
      </c>
      <c r="Q758" s="15">
        <v>0</v>
      </c>
      <c r="R758" s="15">
        <v>0</v>
      </c>
      <c r="S758" s="15">
        <v>0</v>
      </c>
      <c r="T758" s="15">
        <v>0</v>
      </c>
      <c r="U758" s="15">
        <v>0</v>
      </c>
      <c r="V758" s="15">
        <f>($J758*0.04)+($K758*4)+($L758*-2)+($N758*0.1)+($O758*6)+($Q758)+($R758*0.1)+($S758*6)+($T758*-2)</f>
        <v>0</v>
      </c>
      <c r="W758" s="15" t="e">
        <f>$P758/$H$33</f>
        <v>#DIV/0!</v>
      </c>
      <c r="X758" s="15" t="e">
        <f>$N758/$M758</f>
        <v>#DIV/0!</v>
      </c>
      <c r="Y758" s="15" t="e">
        <f>$R758/$Q758</f>
        <v>#DIV/0!</v>
      </c>
      <c r="Z758" s="15" t="e">
        <f>$I758/$H758</f>
        <v>#DIV/0!</v>
      </c>
      <c r="AA758" s="15" t="e">
        <f>$K758/$H758</f>
        <v>#DIV/0!</v>
      </c>
      <c r="AB758" s="15">
        <f>($J758*Cp_yd)+($K758*Cp_td)+($L758*Cint)+($M758*Ccar)+($N758*Cr_yd)+($O758*Cr_td)+(Q758*Crec)+($R758*Crec_yd)+($S758*Crec_td)+($T758*Cfmb)+($U758*Ctp_c)</f>
        <v>0</v>
      </c>
    </row>
    <row r="759" spans="1:28" x14ac:dyDescent="0.2">
      <c r="A759" s="16" t="s">
        <v>1728</v>
      </c>
      <c r="B759" s="16" t="s">
        <v>43</v>
      </c>
      <c r="C759" s="16">
        <v>23</v>
      </c>
      <c r="D759" s="16">
        <v>0</v>
      </c>
      <c r="E759" s="16" t="s">
        <v>418</v>
      </c>
      <c r="F759" s="16" t="s">
        <v>1699</v>
      </c>
      <c r="G759" s="16">
        <v>0</v>
      </c>
      <c r="H759" s="16">
        <v>0</v>
      </c>
      <c r="I759" s="16">
        <v>0</v>
      </c>
      <c r="J759" s="16">
        <v>0</v>
      </c>
      <c r="K759" s="16">
        <v>0</v>
      </c>
      <c r="L759" s="16">
        <v>0</v>
      </c>
      <c r="M759" s="16">
        <v>0</v>
      </c>
      <c r="N759" s="16">
        <v>0</v>
      </c>
      <c r="O759" s="16">
        <v>0</v>
      </c>
      <c r="P759" s="16">
        <v>0</v>
      </c>
      <c r="Q759" s="16">
        <v>0</v>
      </c>
      <c r="R759" s="16">
        <v>0</v>
      </c>
      <c r="S759" s="16">
        <v>0</v>
      </c>
      <c r="T759" s="16">
        <v>0</v>
      </c>
      <c r="U759" s="16">
        <v>0</v>
      </c>
      <c r="V759" s="16">
        <f>($J759*0.04)+($K759*4)+($L759*-2)+($N759*0.1)+($O759*6)+($Q759)+($R759*0.1)+($S759*6)+($T759*-2)</f>
        <v>0</v>
      </c>
      <c r="W759" s="16" t="e">
        <f>$P759/$H$33</f>
        <v>#DIV/0!</v>
      </c>
      <c r="X759" s="16" t="e">
        <f>$N759/$M759</f>
        <v>#DIV/0!</v>
      </c>
      <c r="Y759" s="16" t="e">
        <f>$R759/$Q759</f>
        <v>#DIV/0!</v>
      </c>
      <c r="Z759" s="16" t="e">
        <f>$I759/$H759</f>
        <v>#DIV/0!</v>
      </c>
      <c r="AA759" s="16" t="e">
        <f>$K759/$H759</f>
        <v>#DIV/0!</v>
      </c>
      <c r="AB759" s="16">
        <f>($J759*Cp_yd)+($K759*Cp_td)+($L759*Cint)+($M759*Ccar)+($N759*Cr_yd)+($O759*Cr_td)+(Q759*Crec)+($R759*Crec_yd)+($S759*Crec_td)+($T759*Cfmb)+($U759*Ctp_c)</f>
        <v>0</v>
      </c>
    </row>
    <row r="760" spans="1:28" x14ac:dyDescent="0.2">
      <c r="A760" s="15" t="s">
        <v>1729</v>
      </c>
      <c r="B760" s="15" t="s">
        <v>43</v>
      </c>
      <c r="C760" s="15">
        <v>24</v>
      </c>
      <c r="D760" s="15">
        <v>0</v>
      </c>
      <c r="E760" s="15" t="s">
        <v>803</v>
      </c>
      <c r="F760" s="15" t="s">
        <v>1699</v>
      </c>
      <c r="G760" s="15">
        <v>0</v>
      </c>
      <c r="H760" s="15">
        <v>0</v>
      </c>
      <c r="I760" s="15">
        <v>0</v>
      </c>
      <c r="J760" s="15">
        <v>0</v>
      </c>
      <c r="K760" s="15">
        <v>0</v>
      </c>
      <c r="L760" s="15">
        <v>0</v>
      </c>
      <c r="M760" s="15">
        <v>0</v>
      </c>
      <c r="N760" s="15">
        <v>0</v>
      </c>
      <c r="O760" s="15">
        <v>0</v>
      </c>
      <c r="P760" s="15">
        <v>0</v>
      </c>
      <c r="Q760" s="15">
        <v>0</v>
      </c>
      <c r="R760" s="15">
        <v>0</v>
      </c>
      <c r="S760" s="15">
        <v>0</v>
      </c>
      <c r="T760" s="15">
        <v>0</v>
      </c>
      <c r="U760" s="15">
        <v>0</v>
      </c>
      <c r="V760" s="15">
        <f>($J760*0.04)+($K760*4)+($L760*-2)+($N760*0.1)+($O760*6)+($Q760)+($R760*0.1)+($S760*6)+($T760*-2)</f>
        <v>0</v>
      </c>
      <c r="W760" s="15" t="e">
        <f>$P760/$H$33</f>
        <v>#DIV/0!</v>
      </c>
      <c r="X760" s="15" t="e">
        <f>$N760/$M760</f>
        <v>#DIV/0!</v>
      </c>
      <c r="Y760" s="15" t="e">
        <f>$R760/$Q760</f>
        <v>#DIV/0!</v>
      </c>
      <c r="Z760" s="15" t="e">
        <f>$I760/$H760</f>
        <v>#DIV/0!</v>
      </c>
      <c r="AA760" s="15" t="e">
        <f>$K760/$H760</f>
        <v>#DIV/0!</v>
      </c>
      <c r="AB760" s="15">
        <f>($J760*Cp_yd)+($K760*Cp_td)+($L760*Cint)+($M760*Ccar)+($N760*Cr_yd)+($O760*Cr_td)+(Q760*Crec)+($R760*Crec_yd)+($S760*Crec_td)+($T760*Cfmb)+($U760*Ctp_c)</f>
        <v>0</v>
      </c>
    </row>
    <row r="761" spans="1:28" x14ac:dyDescent="0.2">
      <c r="A761" s="16" t="s">
        <v>1730</v>
      </c>
      <c r="B761" s="16" t="s">
        <v>43</v>
      </c>
      <c r="C761" s="16">
        <v>23</v>
      </c>
      <c r="D761" s="16">
        <v>3</v>
      </c>
      <c r="E761" s="16" t="s">
        <v>163</v>
      </c>
      <c r="F761" s="16" t="s">
        <v>1699</v>
      </c>
      <c r="G761" s="16">
        <v>0</v>
      </c>
      <c r="H761" s="16">
        <v>0</v>
      </c>
      <c r="I761" s="16">
        <v>0</v>
      </c>
      <c r="J761" s="16">
        <v>0</v>
      </c>
      <c r="K761" s="16">
        <v>0</v>
      </c>
      <c r="L761" s="16">
        <v>0</v>
      </c>
      <c r="M761" s="16">
        <v>0</v>
      </c>
      <c r="N761" s="16">
        <v>0</v>
      </c>
      <c r="O761" s="16">
        <v>0</v>
      </c>
      <c r="P761" s="16">
        <v>0</v>
      </c>
      <c r="Q761" s="16">
        <v>0</v>
      </c>
      <c r="R761" s="16">
        <v>0</v>
      </c>
      <c r="S761" s="16">
        <v>0</v>
      </c>
      <c r="T761" s="16">
        <v>0</v>
      </c>
      <c r="U761" s="16">
        <v>0</v>
      </c>
      <c r="V761" s="16">
        <f>($J761*0.04)+($K761*4)+($L761*-2)+($N761*0.1)+($O761*6)+($Q761)+($R761*0.1)+($S761*6)+($T761*-2)</f>
        <v>0</v>
      </c>
      <c r="W761" s="16" t="e">
        <f>$P761/$H$33</f>
        <v>#DIV/0!</v>
      </c>
      <c r="X761" s="16" t="e">
        <f>$N761/$M761</f>
        <v>#DIV/0!</v>
      </c>
      <c r="Y761" s="16" t="e">
        <f>$R761/$Q761</f>
        <v>#DIV/0!</v>
      </c>
      <c r="Z761" s="16" t="e">
        <f>$I761/$H761</f>
        <v>#DIV/0!</v>
      </c>
      <c r="AA761" s="16" t="e">
        <f>$K761/$H761</f>
        <v>#DIV/0!</v>
      </c>
      <c r="AB761" s="16">
        <f>($J761*Cp_yd)+($K761*Cp_td)+($L761*Cint)+($M761*Ccar)+($N761*Cr_yd)+($O761*Cr_td)+(Q761*Crec)+($R761*Crec_yd)+($S761*Crec_td)+($T761*Cfmb)+($U761*Ctp_c)</f>
        <v>0</v>
      </c>
    </row>
    <row r="762" spans="1:28" x14ac:dyDescent="0.2">
      <c r="A762" s="15" t="s">
        <v>1731</v>
      </c>
      <c r="B762" s="15" t="s">
        <v>43</v>
      </c>
      <c r="C762" s="15">
        <v>23</v>
      </c>
      <c r="D762" s="15">
        <v>2</v>
      </c>
      <c r="E762" s="15" t="s">
        <v>339</v>
      </c>
      <c r="F762" s="15" t="s">
        <v>1699</v>
      </c>
      <c r="G762" s="15">
        <v>0</v>
      </c>
      <c r="H762" s="15">
        <v>0</v>
      </c>
      <c r="I762" s="15">
        <v>0</v>
      </c>
      <c r="J762" s="15">
        <v>0</v>
      </c>
      <c r="K762" s="15">
        <v>0</v>
      </c>
      <c r="L762" s="15">
        <v>0</v>
      </c>
      <c r="M762" s="15">
        <v>0</v>
      </c>
      <c r="N762" s="15">
        <v>0</v>
      </c>
      <c r="O762" s="15">
        <v>0</v>
      </c>
      <c r="P762" s="15">
        <v>0</v>
      </c>
      <c r="Q762" s="15">
        <v>0</v>
      </c>
      <c r="R762" s="15">
        <v>0</v>
      </c>
      <c r="S762" s="15">
        <v>0</v>
      </c>
      <c r="T762" s="15">
        <v>0</v>
      </c>
      <c r="U762" s="15">
        <v>0</v>
      </c>
      <c r="V762" s="15">
        <f>($J762*0.04)+($K762*4)+($L762*-2)+($N762*0.1)+($O762*6)+($Q762)+($R762*0.1)+($S762*6)+($T762*-2)</f>
        <v>0</v>
      </c>
      <c r="W762" s="15" t="e">
        <f>$P762/$H$33</f>
        <v>#DIV/0!</v>
      </c>
      <c r="X762" s="15" t="e">
        <f>$N762/$M762</f>
        <v>#DIV/0!</v>
      </c>
      <c r="Y762" s="15" t="e">
        <f>$R762/$Q762</f>
        <v>#DIV/0!</v>
      </c>
      <c r="Z762" s="15" t="e">
        <f>$I762/$H762</f>
        <v>#DIV/0!</v>
      </c>
      <c r="AA762" s="15" t="e">
        <f>$K762/$H762</f>
        <v>#DIV/0!</v>
      </c>
      <c r="AB762" s="15">
        <f>($J762*Cp_yd)+($K762*Cp_td)+($L762*Cint)+($M762*Ccar)+($N762*Cr_yd)+($O762*Cr_td)+(Q762*Crec)+($R762*Crec_yd)+($S762*Crec_td)+($T762*Cfmb)+($U762*Ctp_c)</f>
        <v>0</v>
      </c>
    </row>
    <row r="763" spans="1:28" x14ac:dyDescent="0.2">
      <c r="A763" s="16" t="s">
        <v>1732</v>
      </c>
      <c r="B763" s="16" t="s">
        <v>43</v>
      </c>
      <c r="C763" s="16">
        <v>28</v>
      </c>
      <c r="D763" s="16">
        <v>5</v>
      </c>
      <c r="E763" s="16" t="s">
        <v>803</v>
      </c>
      <c r="F763" s="16" t="s">
        <v>1699</v>
      </c>
      <c r="G763" s="16">
        <v>0</v>
      </c>
      <c r="H763" s="16">
        <v>0</v>
      </c>
      <c r="I763" s="16">
        <v>0</v>
      </c>
      <c r="J763" s="16">
        <v>0</v>
      </c>
      <c r="K763" s="16">
        <v>0</v>
      </c>
      <c r="L763" s="16">
        <v>0</v>
      </c>
      <c r="M763" s="16">
        <v>0</v>
      </c>
      <c r="N763" s="16">
        <v>0</v>
      </c>
      <c r="O763" s="16">
        <v>0</v>
      </c>
      <c r="P763" s="16">
        <v>0</v>
      </c>
      <c r="Q763" s="16">
        <v>0</v>
      </c>
      <c r="R763" s="16">
        <v>0</v>
      </c>
      <c r="S763" s="16">
        <v>0</v>
      </c>
      <c r="T763" s="16">
        <v>0</v>
      </c>
      <c r="U763" s="16">
        <v>0</v>
      </c>
      <c r="V763" s="16">
        <f>($J763*0.04)+($K763*4)+($L763*-2)+($N763*0.1)+($O763*6)+($Q763)+($R763*0.1)+($S763*6)+($T763*-2)</f>
        <v>0</v>
      </c>
      <c r="W763" s="16" t="e">
        <f>$P763/$H$33</f>
        <v>#DIV/0!</v>
      </c>
      <c r="X763" s="16" t="e">
        <f>$N763/$M763</f>
        <v>#DIV/0!</v>
      </c>
      <c r="Y763" s="16" t="e">
        <f>$R763/$Q763</f>
        <v>#DIV/0!</v>
      </c>
      <c r="Z763" s="16" t="e">
        <f>$I763/$H763</f>
        <v>#DIV/0!</v>
      </c>
      <c r="AA763" s="16" t="e">
        <f>$K763/$H763</f>
        <v>#DIV/0!</v>
      </c>
      <c r="AB763" s="16">
        <f>($J763*Cp_yd)+($K763*Cp_td)+($L763*Cint)+($M763*Ccar)+($N763*Cr_yd)+($O763*Cr_td)+(Q763*Crec)+($R763*Crec_yd)+($S763*Crec_td)+($T763*Cfmb)+($U763*Ctp_c)</f>
        <v>0</v>
      </c>
    </row>
    <row r="764" spans="1:28" x14ac:dyDescent="0.2">
      <c r="A764" s="15" t="s">
        <v>1733</v>
      </c>
      <c r="B764" s="15" t="s">
        <v>43</v>
      </c>
      <c r="C764" s="15">
        <v>23</v>
      </c>
      <c r="D764" s="15">
        <v>1</v>
      </c>
      <c r="E764" s="15" t="s">
        <v>455</v>
      </c>
      <c r="F764" s="15" t="s">
        <v>1699</v>
      </c>
      <c r="G764" s="15">
        <v>0</v>
      </c>
      <c r="H764" s="15">
        <v>0</v>
      </c>
      <c r="I764" s="15">
        <v>0</v>
      </c>
      <c r="J764" s="15">
        <v>0</v>
      </c>
      <c r="K764" s="15">
        <v>0</v>
      </c>
      <c r="L764" s="15">
        <v>0</v>
      </c>
      <c r="M764" s="15">
        <v>0</v>
      </c>
      <c r="N764" s="15">
        <v>0</v>
      </c>
      <c r="O764" s="15">
        <v>0</v>
      </c>
      <c r="P764" s="15">
        <v>0</v>
      </c>
      <c r="Q764" s="15">
        <v>0</v>
      </c>
      <c r="R764" s="15">
        <v>0</v>
      </c>
      <c r="S764" s="15">
        <v>0</v>
      </c>
      <c r="T764" s="15">
        <v>0</v>
      </c>
      <c r="U764" s="15">
        <v>0</v>
      </c>
      <c r="V764" s="15">
        <f>($J764*0.04)+($K764*4)+($L764*-2)+($N764*0.1)+($O764*6)+($Q764)+($R764*0.1)+($S764*6)+($T764*-2)</f>
        <v>0</v>
      </c>
      <c r="W764" s="15" t="e">
        <f>$P764/$H$33</f>
        <v>#DIV/0!</v>
      </c>
      <c r="X764" s="15" t="e">
        <f>$N764/$M764</f>
        <v>#DIV/0!</v>
      </c>
      <c r="Y764" s="15" t="e">
        <f>$R764/$Q764</f>
        <v>#DIV/0!</v>
      </c>
      <c r="Z764" s="15" t="e">
        <f>$I764/$H764</f>
        <v>#DIV/0!</v>
      </c>
      <c r="AA764" s="15" t="e">
        <f>$K764/$H764</f>
        <v>#DIV/0!</v>
      </c>
      <c r="AB764" s="15">
        <f>($J764*Cp_yd)+($K764*Cp_td)+($L764*Cint)+($M764*Ccar)+($N764*Cr_yd)+($O764*Cr_td)+(Q764*Crec)+($R764*Crec_yd)+($S764*Crec_td)+($T764*Cfmb)+($U764*Ctp_c)</f>
        <v>0</v>
      </c>
    </row>
    <row r="765" spans="1:28" x14ac:dyDescent="0.2">
      <c r="A765" s="16" t="s">
        <v>1734</v>
      </c>
      <c r="B765" s="16" t="s">
        <v>43</v>
      </c>
      <c r="C765" s="16">
        <v>27</v>
      </c>
      <c r="D765" s="16">
        <v>5</v>
      </c>
      <c r="E765" s="16" t="s">
        <v>213</v>
      </c>
      <c r="F765" s="16" t="s">
        <v>1699</v>
      </c>
      <c r="G765" s="16">
        <v>0</v>
      </c>
      <c r="H765" s="16">
        <v>0</v>
      </c>
      <c r="I765" s="16">
        <v>0</v>
      </c>
      <c r="J765" s="16">
        <v>0</v>
      </c>
      <c r="K765" s="16">
        <v>0</v>
      </c>
      <c r="L765" s="16">
        <v>0</v>
      </c>
      <c r="M765" s="16">
        <v>0</v>
      </c>
      <c r="N765" s="16">
        <v>0</v>
      </c>
      <c r="O765" s="16">
        <v>0</v>
      </c>
      <c r="P765" s="16">
        <v>0</v>
      </c>
      <c r="Q765" s="16">
        <v>0</v>
      </c>
      <c r="R765" s="16">
        <v>0</v>
      </c>
      <c r="S765" s="16">
        <v>0</v>
      </c>
      <c r="T765" s="16">
        <v>0</v>
      </c>
      <c r="U765" s="16">
        <v>0</v>
      </c>
      <c r="V765" s="16">
        <f>($J765*0.04)+($K765*4)+($L765*-2)+($N765*0.1)+($O765*6)+($Q765)+($R765*0.1)+($S765*6)+($T765*-2)</f>
        <v>0</v>
      </c>
      <c r="W765" s="16" t="e">
        <f>$P765/$H$33</f>
        <v>#DIV/0!</v>
      </c>
      <c r="X765" s="16" t="e">
        <f>$N765/$M765</f>
        <v>#DIV/0!</v>
      </c>
      <c r="Y765" s="16" t="e">
        <f>$R765/$Q765</f>
        <v>#DIV/0!</v>
      </c>
      <c r="Z765" s="16" t="e">
        <f>$I765/$H765</f>
        <v>#DIV/0!</v>
      </c>
      <c r="AA765" s="16" t="e">
        <f>$K765/$H765</f>
        <v>#DIV/0!</v>
      </c>
      <c r="AB765" s="16">
        <f>($J765*Cp_yd)+($K765*Cp_td)+($L765*Cint)+($M765*Ccar)+($N765*Cr_yd)+($O765*Cr_td)+(Q765*Crec)+($R765*Crec_yd)+($S765*Crec_td)+($T765*Cfmb)+($U765*Ctp_c)</f>
        <v>0</v>
      </c>
    </row>
    <row r="766" spans="1:28" x14ac:dyDescent="0.2">
      <c r="A766" s="15" t="s">
        <v>1735</v>
      </c>
      <c r="B766" s="15" t="s">
        <v>43</v>
      </c>
      <c r="C766" s="15">
        <v>24</v>
      </c>
      <c r="D766" s="15">
        <v>3</v>
      </c>
      <c r="E766" s="15" t="s">
        <v>82</v>
      </c>
      <c r="F766" s="15" t="s">
        <v>1699</v>
      </c>
      <c r="G766" s="15">
        <v>0</v>
      </c>
      <c r="H766" s="15">
        <v>0</v>
      </c>
      <c r="I766" s="15">
        <v>0</v>
      </c>
      <c r="J766" s="15">
        <v>0</v>
      </c>
      <c r="K766" s="15">
        <v>0</v>
      </c>
      <c r="L766" s="15">
        <v>0</v>
      </c>
      <c r="M766" s="15">
        <v>0</v>
      </c>
      <c r="N766" s="15">
        <v>0</v>
      </c>
      <c r="O766" s="15">
        <v>0</v>
      </c>
      <c r="P766" s="15">
        <v>0</v>
      </c>
      <c r="Q766" s="15">
        <v>0</v>
      </c>
      <c r="R766" s="15">
        <v>0</v>
      </c>
      <c r="S766" s="15">
        <v>0</v>
      </c>
      <c r="T766" s="15">
        <v>0</v>
      </c>
      <c r="U766" s="15">
        <v>0</v>
      </c>
      <c r="V766" s="15">
        <f>($J766*0.04)+($K766*4)+($L766*-2)+($N766*0.1)+($O766*6)+($Q766)+($R766*0.1)+($S766*6)+($T766*-2)</f>
        <v>0</v>
      </c>
      <c r="W766" s="15" t="e">
        <f>$P766/$H$33</f>
        <v>#DIV/0!</v>
      </c>
      <c r="X766" s="15" t="e">
        <f>$N766/$M766</f>
        <v>#DIV/0!</v>
      </c>
      <c r="Y766" s="15" t="e">
        <f>$R766/$Q766</f>
        <v>#DIV/0!</v>
      </c>
      <c r="Z766" s="15" t="e">
        <f>$I766/$H766</f>
        <v>#DIV/0!</v>
      </c>
      <c r="AA766" s="15" t="e">
        <f>$K766/$H766</f>
        <v>#DIV/0!</v>
      </c>
      <c r="AB766" s="15">
        <f>($J766*Cp_yd)+($K766*Cp_td)+($L766*Cint)+($M766*Ccar)+($N766*Cr_yd)+($O766*Cr_td)+(Q766*Crec)+($R766*Crec_yd)+($S766*Crec_td)+($T766*Cfmb)+($U766*Ctp_c)</f>
        <v>0</v>
      </c>
    </row>
    <row r="767" spans="1:28" x14ac:dyDescent="0.2">
      <c r="A767" s="16" t="s">
        <v>1736</v>
      </c>
      <c r="B767" s="16" t="s">
        <v>43</v>
      </c>
      <c r="C767" s="16">
        <v>29</v>
      </c>
      <c r="D767" s="16">
        <v>6</v>
      </c>
      <c r="E767" s="16" t="s">
        <v>559</v>
      </c>
      <c r="F767" s="16" t="s">
        <v>1699</v>
      </c>
      <c r="G767" s="16">
        <v>0</v>
      </c>
      <c r="H767" s="16">
        <v>0</v>
      </c>
      <c r="I767" s="16">
        <v>0</v>
      </c>
      <c r="J767" s="16">
        <v>0</v>
      </c>
      <c r="K767" s="16">
        <v>0</v>
      </c>
      <c r="L767" s="16">
        <v>0</v>
      </c>
      <c r="M767" s="16">
        <v>0</v>
      </c>
      <c r="N767" s="16">
        <v>0</v>
      </c>
      <c r="O767" s="16">
        <v>0</v>
      </c>
      <c r="P767" s="16">
        <v>0</v>
      </c>
      <c r="Q767" s="16">
        <v>0</v>
      </c>
      <c r="R767" s="16">
        <v>0</v>
      </c>
      <c r="S767" s="16">
        <v>0</v>
      </c>
      <c r="T767" s="16">
        <v>0</v>
      </c>
      <c r="U767" s="16">
        <v>0</v>
      </c>
      <c r="V767" s="16">
        <f>($J767*0.04)+($K767*4)+($L767*-2)+($N767*0.1)+($O767*6)+($Q767)+($R767*0.1)+($S767*6)+($T767*-2)</f>
        <v>0</v>
      </c>
      <c r="W767" s="16" t="e">
        <f>$P767/$H$33</f>
        <v>#DIV/0!</v>
      </c>
      <c r="X767" s="16" t="e">
        <f>$N767/$M767</f>
        <v>#DIV/0!</v>
      </c>
      <c r="Y767" s="16" t="e">
        <f>$R767/$Q767</f>
        <v>#DIV/0!</v>
      </c>
      <c r="Z767" s="16" t="e">
        <f>$I767/$H767</f>
        <v>#DIV/0!</v>
      </c>
      <c r="AA767" s="16" t="e">
        <f>$K767/$H767</f>
        <v>#DIV/0!</v>
      </c>
      <c r="AB767" s="16">
        <f>($J767*Cp_yd)+($K767*Cp_td)+($L767*Cint)+($M767*Ccar)+($N767*Cr_yd)+($O767*Cr_td)+(Q767*Crec)+($R767*Crec_yd)+($S767*Crec_td)+($T767*Cfmb)+($U767*Ctp_c)</f>
        <v>0</v>
      </c>
    </row>
    <row r="768" spans="1:28" x14ac:dyDescent="0.2">
      <c r="A768" s="15" t="s">
        <v>1737</v>
      </c>
      <c r="B768" s="15" t="s">
        <v>43</v>
      </c>
      <c r="C768" s="15">
        <v>24</v>
      </c>
      <c r="D768" s="15">
        <v>0</v>
      </c>
      <c r="E768" s="15" t="s">
        <v>702</v>
      </c>
      <c r="F768" s="15" t="s">
        <v>1699</v>
      </c>
      <c r="G768" s="15">
        <v>0</v>
      </c>
      <c r="H768" s="15">
        <v>0</v>
      </c>
      <c r="I768" s="15">
        <v>0</v>
      </c>
      <c r="J768" s="15">
        <v>0</v>
      </c>
      <c r="K768" s="15">
        <v>0</v>
      </c>
      <c r="L768" s="15">
        <v>0</v>
      </c>
      <c r="M768" s="15">
        <v>0</v>
      </c>
      <c r="N768" s="15">
        <v>0</v>
      </c>
      <c r="O768" s="15">
        <v>0</v>
      </c>
      <c r="P768" s="15">
        <v>0</v>
      </c>
      <c r="Q768" s="15">
        <v>0</v>
      </c>
      <c r="R768" s="15">
        <v>0</v>
      </c>
      <c r="S768" s="15">
        <v>0</v>
      </c>
      <c r="T768" s="15">
        <v>0</v>
      </c>
      <c r="U768" s="15">
        <v>0</v>
      </c>
      <c r="V768" s="15">
        <f>($J768*0.04)+($K768*4)+($L768*-2)+($N768*0.1)+($O768*6)+($Q768)+($R768*0.1)+($S768*6)+($T768*-2)</f>
        <v>0</v>
      </c>
      <c r="W768" s="15" t="e">
        <f>$P768/$H$33</f>
        <v>#DIV/0!</v>
      </c>
      <c r="X768" s="15" t="e">
        <f>$N768/$M768</f>
        <v>#DIV/0!</v>
      </c>
      <c r="Y768" s="15" t="e">
        <f>$R768/$Q768</f>
        <v>#DIV/0!</v>
      </c>
      <c r="Z768" s="15" t="e">
        <f>$I768/$H768</f>
        <v>#DIV/0!</v>
      </c>
      <c r="AA768" s="15" t="e">
        <f>$K768/$H768</f>
        <v>#DIV/0!</v>
      </c>
      <c r="AB768" s="15">
        <f>($J768*Cp_yd)+($K768*Cp_td)+($L768*Cint)+($M768*Ccar)+($N768*Cr_yd)+($O768*Cr_td)+(Q768*Crec)+($R768*Crec_yd)+($S768*Crec_td)+($T768*Cfmb)+($U768*Ctp_c)</f>
        <v>0</v>
      </c>
    </row>
    <row r="769" spans="1:28" x14ac:dyDescent="0.2">
      <c r="A769" s="16" t="s">
        <v>1738</v>
      </c>
      <c r="B769" s="16" t="s">
        <v>43</v>
      </c>
      <c r="C769" s="16">
        <v>27</v>
      </c>
      <c r="D769" s="16">
        <v>7</v>
      </c>
      <c r="E769" s="16" t="s">
        <v>213</v>
      </c>
      <c r="F769" s="16" t="s">
        <v>1699</v>
      </c>
      <c r="G769" s="16">
        <v>0</v>
      </c>
      <c r="H769" s="16">
        <v>0</v>
      </c>
      <c r="I769" s="16">
        <v>0</v>
      </c>
      <c r="J769" s="16">
        <v>0</v>
      </c>
      <c r="K769" s="16">
        <v>0</v>
      </c>
      <c r="L769" s="16">
        <v>0</v>
      </c>
      <c r="M769" s="16">
        <v>0</v>
      </c>
      <c r="N769" s="16">
        <v>0</v>
      </c>
      <c r="O769" s="16">
        <v>0</v>
      </c>
      <c r="P769" s="16">
        <v>0</v>
      </c>
      <c r="Q769" s="16">
        <v>0</v>
      </c>
      <c r="R769" s="16">
        <v>0</v>
      </c>
      <c r="S769" s="16">
        <v>0</v>
      </c>
      <c r="T769" s="16">
        <v>0</v>
      </c>
      <c r="U769" s="16">
        <v>0</v>
      </c>
      <c r="V769" s="16">
        <f>($J769*0.04)+($K769*4)+($L769*-2)+($N769*0.1)+($O769*6)+($Q769)+($R769*0.1)+($S769*6)+($T769*-2)</f>
        <v>0</v>
      </c>
      <c r="W769" s="16" t="e">
        <f>$P769/$H$33</f>
        <v>#DIV/0!</v>
      </c>
      <c r="X769" s="16" t="e">
        <f>$N769/$M769</f>
        <v>#DIV/0!</v>
      </c>
      <c r="Y769" s="16" t="e">
        <f>$R769/$Q769</f>
        <v>#DIV/0!</v>
      </c>
      <c r="Z769" s="16" t="e">
        <f>$I769/$H769</f>
        <v>#DIV/0!</v>
      </c>
      <c r="AA769" s="16" t="e">
        <f>$K769/$H769</f>
        <v>#DIV/0!</v>
      </c>
      <c r="AB769" s="16">
        <f>($J769*Cp_yd)+($K769*Cp_td)+($L769*Cint)+($M769*Ccar)+($N769*Cr_yd)+($O769*Cr_td)+(Q769*Crec)+($R769*Crec_yd)+($S769*Crec_td)+($T769*Cfmb)+($U769*Ctp_c)</f>
        <v>0</v>
      </c>
    </row>
    <row r="770" spans="1:28" x14ac:dyDescent="0.2">
      <c r="A770" s="15" t="s">
        <v>1739</v>
      </c>
      <c r="B770" s="15" t="s">
        <v>43</v>
      </c>
      <c r="C770" s="15">
        <v>23</v>
      </c>
      <c r="D770" s="15">
        <v>0</v>
      </c>
      <c r="E770" s="15" t="s">
        <v>339</v>
      </c>
      <c r="F770" s="15" t="s">
        <v>1699</v>
      </c>
      <c r="G770" s="15">
        <v>0</v>
      </c>
      <c r="H770" s="15">
        <v>0</v>
      </c>
      <c r="I770" s="15">
        <v>0</v>
      </c>
      <c r="J770" s="15">
        <v>0</v>
      </c>
      <c r="K770" s="15">
        <v>0</v>
      </c>
      <c r="L770" s="15">
        <v>0</v>
      </c>
      <c r="M770" s="15">
        <v>0</v>
      </c>
      <c r="N770" s="15">
        <v>0</v>
      </c>
      <c r="O770" s="15">
        <v>0</v>
      </c>
      <c r="P770" s="15">
        <v>0</v>
      </c>
      <c r="Q770" s="15">
        <v>0</v>
      </c>
      <c r="R770" s="15">
        <v>0</v>
      </c>
      <c r="S770" s="15">
        <v>0</v>
      </c>
      <c r="T770" s="15">
        <v>0</v>
      </c>
      <c r="U770" s="15">
        <v>0</v>
      </c>
      <c r="V770" s="15">
        <f>($J770*0.04)+($K770*4)+($L770*-2)+($N770*0.1)+($O770*6)+($Q770)+($R770*0.1)+($S770*6)+($T770*-2)</f>
        <v>0</v>
      </c>
      <c r="W770" s="15" t="e">
        <f>$P770/$H$33</f>
        <v>#DIV/0!</v>
      </c>
      <c r="X770" s="15" t="e">
        <f>$N770/$M770</f>
        <v>#DIV/0!</v>
      </c>
      <c r="Y770" s="15" t="e">
        <f>$R770/$Q770</f>
        <v>#DIV/0!</v>
      </c>
      <c r="Z770" s="15" t="e">
        <f>$I770/$H770</f>
        <v>#DIV/0!</v>
      </c>
      <c r="AA770" s="15" t="e">
        <f>$K770/$H770</f>
        <v>#DIV/0!</v>
      </c>
      <c r="AB770" s="15">
        <f>($J770*Cp_yd)+($K770*Cp_td)+($L770*Cint)+($M770*Ccar)+($N770*Cr_yd)+($O770*Cr_td)+(Q770*Crec)+($R770*Crec_yd)+($S770*Crec_td)+($T770*Cfmb)+($U770*Ctp_c)</f>
        <v>0</v>
      </c>
    </row>
    <row r="771" spans="1:28" x14ac:dyDescent="0.2">
      <c r="A771" s="16" t="s">
        <v>1741</v>
      </c>
      <c r="B771" s="16" t="s">
        <v>38</v>
      </c>
      <c r="C771" s="16">
        <v>25</v>
      </c>
      <c r="D771" s="16">
        <v>3</v>
      </c>
      <c r="E771" s="16" t="s">
        <v>296</v>
      </c>
      <c r="F771" s="16" t="s">
        <v>1699</v>
      </c>
      <c r="G771" s="16">
        <v>0</v>
      </c>
      <c r="H771" s="16">
        <v>0</v>
      </c>
      <c r="I771" s="16">
        <v>0</v>
      </c>
      <c r="J771" s="16">
        <v>0</v>
      </c>
      <c r="K771" s="16">
        <v>0</v>
      </c>
      <c r="L771" s="16">
        <v>0</v>
      </c>
      <c r="M771" s="16">
        <v>0</v>
      </c>
      <c r="N771" s="16">
        <v>0</v>
      </c>
      <c r="O771" s="16">
        <v>0</v>
      </c>
      <c r="P771" s="16">
        <v>0</v>
      </c>
      <c r="Q771" s="16">
        <v>0</v>
      </c>
      <c r="R771" s="16">
        <v>0</v>
      </c>
      <c r="S771" s="16">
        <v>0</v>
      </c>
      <c r="T771" s="16">
        <v>0</v>
      </c>
      <c r="U771" s="16">
        <v>0</v>
      </c>
      <c r="V771" s="16">
        <f>($J771*0.04)+($K771*4)+($L771*-2)+($N771*0.1)+($O771*6)+($Q771)+($R771*0.1)+($S771*6)+($T771*-2)</f>
        <v>0</v>
      </c>
      <c r="W771" s="16" t="e">
        <f>$P771/$H$33</f>
        <v>#DIV/0!</v>
      </c>
      <c r="X771" s="16" t="e">
        <f>$N771/$M771</f>
        <v>#DIV/0!</v>
      </c>
      <c r="Y771" s="16" t="e">
        <f>$R771/$Q771</f>
        <v>#DIV/0!</v>
      </c>
      <c r="Z771" s="16" t="e">
        <f>$I771/$H771</f>
        <v>#DIV/0!</v>
      </c>
      <c r="AA771" s="16" t="e">
        <f>$K771/$H771</f>
        <v>#DIV/0!</v>
      </c>
      <c r="AB771" s="16">
        <f>($J771*Cp_yd)+($K771*Cp_td)+($L771*Cint)+($M771*Ccar)+($N771*Cr_yd)+($O771*Cr_td)+(Q771*Crec)+($R771*Crec_yd)+($S771*Crec_td)+($T771*Cfmb)+($U771*Ctp_c)</f>
        <v>0</v>
      </c>
    </row>
    <row r="772" spans="1:28" x14ac:dyDescent="0.2">
      <c r="A772" s="15" t="s">
        <v>1742</v>
      </c>
      <c r="B772" s="15" t="s">
        <v>38</v>
      </c>
      <c r="C772" s="15">
        <v>26</v>
      </c>
      <c r="D772" s="15">
        <v>1</v>
      </c>
      <c r="E772" s="15" t="s">
        <v>1743</v>
      </c>
      <c r="F772" s="15" t="s">
        <v>1699</v>
      </c>
      <c r="G772" s="15">
        <v>0</v>
      </c>
      <c r="H772" s="15">
        <v>0</v>
      </c>
      <c r="I772" s="15">
        <v>0</v>
      </c>
      <c r="J772" s="15">
        <v>0</v>
      </c>
      <c r="K772" s="15">
        <v>0</v>
      </c>
      <c r="L772" s="15">
        <v>0</v>
      </c>
      <c r="M772" s="15">
        <v>0</v>
      </c>
      <c r="N772" s="15">
        <v>0</v>
      </c>
      <c r="O772" s="15">
        <v>0</v>
      </c>
      <c r="P772" s="15">
        <v>0</v>
      </c>
      <c r="Q772" s="15">
        <v>0</v>
      </c>
      <c r="R772" s="15">
        <v>0</v>
      </c>
      <c r="S772" s="15">
        <v>0</v>
      </c>
      <c r="T772" s="15">
        <v>0</v>
      </c>
      <c r="U772" s="15">
        <v>0</v>
      </c>
      <c r="V772" s="15">
        <f>($J772*0.04)+($K772*4)+($L772*-2)+($N772*0.1)+($O772*6)+($Q772)+($R772*0.1)+($S772*6)+($T772*-2)</f>
        <v>0</v>
      </c>
      <c r="W772" s="15" t="e">
        <f>$P772/$H$33</f>
        <v>#DIV/0!</v>
      </c>
      <c r="X772" s="15" t="e">
        <f>$N772/$M772</f>
        <v>#DIV/0!</v>
      </c>
      <c r="Y772" s="15" t="e">
        <f>$R772/$Q772</f>
        <v>#DIV/0!</v>
      </c>
      <c r="Z772" s="15" t="e">
        <f>$I772/$H772</f>
        <v>#DIV/0!</v>
      </c>
      <c r="AA772" s="15" t="e">
        <f>$K772/$H772</f>
        <v>#DIV/0!</v>
      </c>
      <c r="AB772" s="15">
        <f>($J772*Cp_yd)+($K772*Cp_td)+($L772*Cint)+($M772*Ccar)+($N772*Cr_yd)+($O772*Cr_td)+(Q772*Crec)+($R772*Crec_yd)+($S772*Crec_td)+($T772*Cfmb)+($U772*Ctp_c)</f>
        <v>0</v>
      </c>
    </row>
    <row r="773" spans="1:28" x14ac:dyDescent="0.2">
      <c r="A773" s="16" t="s">
        <v>1744</v>
      </c>
      <c r="B773" s="16" t="s">
        <v>38</v>
      </c>
      <c r="C773" s="16">
        <v>24</v>
      </c>
      <c r="D773" s="16">
        <v>2</v>
      </c>
      <c r="E773" s="16" t="s">
        <v>155</v>
      </c>
      <c r="F773" s="16" t="s">
        <v>1699</v>
      </c>
      <c r="G773" s="16">
        <v>0</v>
      </c>
      <c r="H773" s="16">
        <v>0</v>
      </c>
      <c r="I773" s="16">
        <v>0</v>
      </c>
      <c r="J773" s="16">
        <v>0</v>
      </c>
      <c r="K773" s="16">
        <v>0</v>
      </c>
      <c r="L773" s="16">
        <v>0</v>
      </c>
      <c r="M773" s="16">
        <v>0</v>
      </c>
      <c r="N773" s="16">
        <v>0</v>
      </c>
      <c r="O773" s="16">
        <v>0</v>
      </c>
      <c r="P773" s="16">
        <v>0</v>
      </c>
      <c r="Q773" s="16">
        <v>0</v>
      </c>
      <c r="R773" s="16">
        <v>0</v>
      </c>
      <c r="S773" s="16">
        <v>0</v>
      </c>
      <c r="T773" s="16">
        <v>0</v>
      </c>
      <c r="U773" s="16">
        <v>0</v>
      </c>
      <c r="V773" s="16">
        <f>($J773*0.04)+($K773*4)+($L773*-2)+($N773*0.1)+($O773*6)+($Q773)+($R773*0.1)+($S773*6)+($T773*-2)</f>
        <v>0</v>
      </c>
      <c r="W773" s="16" t="e">
        <f>$P773/$H$33</f>
        <v>#DIV/0!</v>
      </c>
      <c r="X773" s="16" t="e">
        <f>$N773/$M773</f>
        <v>#DIV/0!</v>
      </c>
      <c r="Y773" s="16" t="e">
        <f>$R773/$Q773</f>
        <v>#DIV/0!</v>
      </c>
      <c r="Z773" s="16" t="e">
        <f>$I773/$H773</f>
        <v>#DIV/0!</v>
      </c>
      <c r="AA773" s="16" t="e">
        <f>$K773/$H773</f>
        <v>#DIV/0!</v>
      </c>
      <c r="AB773" s="16">
        <f>($J773*Cp_yd)+($K773*Cp_td)+($L773*Cint)+($M773*Ccar)+($N773*Cr_yd)+($O773*Cr_td)+(Q773*Crec)+($R773*Crec_yd)+($S773*Crec_td)+($T773*Cfmb)+($U773*Ctp_c)</f>
        <v>0</v>
      </c>
    </row>
    <row r="774" spans="1:28" x14ac:dyDescent="0.2">
      <c r="A774" s="15" t="s">
        <v>1745</v>
      </c>
      <c r="B774" s="15" t="s">
        <v>38</v>
      </c>
      <c r="C774" s="15">
        <v>26</v>
      </c>
      <c r="D774" s="15">
        <v>4</v>
      </c>
      <c r="E774" s="15" t="s">
        <v>102</v>
      </c>
      <c r="F774" s="15" t="s">
        <v>1699</v>
      </c>
      <c r="G774" s="15">
        <v>0</v>
      </c>
      <c r="H774" s="15">
        <v>0</v>
      </c>
      <c r="I774" s="15">
        <v>0</v>
      </c>
      <c r="J774" s="15">
        <v>0</v>
      </c>
      <c r="K774" s="15">
        <v>0</v>
      </c>
      <c r="L774" s="15">
        <v>0</v>
      </c>
      <c r="M774" s="15">
        <v>0</v>
      </c>
      <c r="N774" s="15">
        <v>0</v>
      </c>
      <c r="O774" s="15">
        <v>0</v>
      </c>
      <c r="P774" s="15">
        <v>0</v>
      </c>
      <c r="Q774" s="15">
        <v>0</v>
      </c>
      <c r="R774" s="15">
        <v>0</v>
      </c>
      <c r="S774" s="15">
        <v>0</v>
      </c>
      <c r="T774" s="15">
        <v>0</v>
      </c>
      <c r="U774" s="15">
        <v>0</v>
      </c>
      <c r="V774" s="15">
        <f>($J774*0.04)+($K774*4)+($L774*-2)+($N774*0.1)+($O774*6)+($Q774)+($R774*0.1)+($S774*6)+($T774*-2)</f>
        <v>0</v>
      </c>
      <c r="W774" s="15" t="e">
        <f>$P774/$H$33</f>
        <v>#DIV/0!</v>
      </c>
      <c r="X774" s="15" t="e">
        <f>$N774/$M774</f>
        <v>#DIV/0!</v>
      </c>
      <c r="Y774" s="15" t="e">
        <f>$R774/$Q774</f>
        <v>#DIV/0!</v>
      </c>
      <c r="Z774" s="15" t="e">
        <f>$I774/$H774</f>
        <v>#DIV/0!</v>
      </c>
      <c r="AA774" s="15" t="e">
        <f>$K774/$H774</f>
        <v>#DIV/0!</v>
      </c>
      <c r="AB774" s="15">
        <f>($J774*Cp_yd)+($K774*Cp_td)+($L774*Cint)+($M774*Ccar)+($N774*Cr_yd)+($O774*Cr_td)+(Q774*Crec)+($R774*Crec_yd)+($S774*Crec_td)+($T774*Cfmb)+($U774*Ctp_c)</f>
        <v>0</v>
      </c>
    </row>
    <row r="775" spans="1:28" x14ac:dyDescent="0.2">
      <c r="A775" s="16" t="s">
        <v>1746</v>
      </c>
      <c r="B775" s="16" t="s">
        <v>38</v>
      </c>
      <c r="C775" s="16">
        <v>32</v>
      </c>
      <c r="D775" s="16">
        <v>9</v>
      </c>
      <c r="E775" s="16" t="s">
        <v>333</v>
      </c>
      <c r="F775" s="16" t="s">
        <v>1699</v>
      </c>
      <c r="G775" s="16">
        <v>0</v>
      </c>
      <c r="H775" s="16">
        <v>0</v>
      </c>
      <c r="I775" s="16">
        <v>0</v>
      </c>
      <c r="J775" s="16">
        <v>0</v>
      </c>
      <c r="K775" s="16">
        <v>0</v>
      </c>
      <c r="L775" s="16">
        <v>0</v>
      </c>
      <c r="M775" s="16">
        <v>0</v>
      </c>
      <c r="N775" s="16">
        <v>0</v>
      </c>
      <c r="O775" s="16">
        <v>0</v>
      </c>
      <c r="P775" s="16">
        <v>0</v>
      </c>
      <c r="Q775" s="16">
        <v>0</v>
      </c>
      <c r="R775" s="16">
        <v>0</v>
      </c>
      <c r="S775" s="16">
        <v>0</v>
      </c>
      <c r="T775" s="16">
        <v>0</v>
      </c>
      <c r="U775" s="16">
        <v>0</v>
      </c>
      <c r="V775" s="16">
        <f>($J775*0.04)+($K775*4)+($L775*-2)+($N775*0.1)+($O775*6)+($Q775)+($R775*0.1)+($S775*6)+($T775*-2)</f>
        <v>0</v>
      </c>
      <c r="W775" s="16" t="e">
        <f>$P775/$H$33</f>
        <v>#DIV/0!</v>
      </c>
      <c r="X775" s="16" t="e">
        <f>$N775/$M775</f>
        <v>#DIV/0!</v>
      </c>
      <c r="Y775" s="16" t="e">
        <f>$R775/$Q775</f>
        <v>#DIV/0!</v>
      </c>
      <c r="Z775" s="16" t="e">
        <f>$I775/$H775</f>
        <v>#DIV/0!</v>
      </c>
      <c r="AA775" s="16" t="e">
        <f>$K775/$H775</f>
        <v>#DIV/0!</v>
      </c>
      <c r="AB775" s="16">
        <f>($J775*Cp_yd)+($K775*Cp_td)+($L775*Cint)+($M775*Ccar)+($N775*Cr_yd)+($O775*Cr_td)+(Q775*Crec)+($R775*Crec_yd)+($S775*Crec_td)+($T775*Cfmb)+($U775*Ctp_c)</f>
        <v>0</v>
      </c>
    </row>
    <row r="776" spans="1:28" x14ac:dyDescent="0.2">
      <c r="A776" s="17" t="s">
        <v>1747</v>
      </c>
      <c r="B776" s="17" t="s">
        <v>38</v>
      </c>
      <c r="C776" s="17">
        <v>23</v>
      </c>
      <c r="D776" s="17">
        <v>2</v>
      </c>
      <c r="E776" s="17" t="s">
        <v>736</v>
      </c>
      <c r="F776" s="17" t="s">
        <v>1699</v>
      </c>
      <c r="G776" s="17">
        <v>0</v>
      </c>
      <c r="H776" s="17">
        <v>0</v>
      </c>
      <c r="I776" s="17">
        <v>0</v>
      </c>
      <c r="J776" s="17">
        <v>0</v>
      </c>
      <c r="K776" s="17">
        <v>0</v>
      </c>
      <c r="L776" s="17">
        <v>0</v>
      </c>
      <c r="M776" s="17">
        <v>0</v>
      </c>
      <c r="N776" s="17">
        <v>0</v>
      </c>
      <c r="O776" s="17">
        <v>0</v>
      </c>
      <c r="P776" s="17">
        <v>0</v>
      </c>
      <c r="Q776" s="17">
        <v>0</v>
      </c>
      <c r="R776" s="17">
        <v>0</v>
      </c>
      <c r="S776" s="17">
        <v>0</v>
      </c>
      <c r="T776" s="17">
        <v>0</v>
      </c>
      <c r="U776" s="17">
        <v>0</v>
      </c>
      <c r="V776" s="17">
        <f>($J776*0.04)+($K776*4)+($L776*-2)+($N776*0.1)+($O776*6)+($Q776)+($R776*0.1)+($S776*6)+($T776*-2)</f>
        <v>0</v>
      </c>
      <c r="W776" s="17" t="e">
        <f>$P776/$H$33</f>
        <v>#DIV/0!</v>
      </c>
      <c r="X776" s="17" t="e">
        <f>$N776/$M776</f>
        <v>#DIV/0!</v>
      </c>
      <c r="Y776" s="17" t="e">
        <f>$R776/$Q776</f>
        <v>#DIV/0!</v>
      </c>
      <c r="Z776" s="17" t="e">
        <f>$I776/$H776</f>
        <v>#DIV/0!</v>
      </c>
      <c r="AA776" s="17" t="e">
        <f>$K776/$H776</f>
        <v>#DIV/0!</v>
      </c>
      <c r="AB776" s="17">
        <f>($J776*Cp_yd)+($K776*Cp_td)+($L776*Cint)+($M776*Ccar)+($N776*Cr_yd)+($O776*Cr_td)+(Q776*Crec)+($R776*Crec_yd)+($S776*Crec_td)+($T776*Cfmb)+($U776*Ctp_c)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11</vt:i4>
      </vt:variant>
    </vt:vector>
  </HeadingPairs>
  <TitlesOfParts>
    <vt:vector size="49" baseType="lpstr">
      <vt:lpstr>Admin</vt:lpstr>
      <vt:lpstr>ARI</vt:lpstr>
      <vt:lpstr>ATL</vt:lpstr>
      <vt:lpstr>BAL</vt:lpstr>
      <vt:lpstr>BUF</vt:lpstr>
      <vt:lpstr>CAR</vt:lpstr>
      <vt:lpstr>CHI</vt:lpstr>
      <vt:lpstr>CIN</vt:lpstr>
      <vt:lpstr>CLE</vt:lpstr>
      <vt:lpstr>DAL</vt:lpstr>
      <vt:lpstr>DEN</vt:lpstr>
      <vt:lpstr>DET</vt:lpstr>
      <vt:lpstr>GB</vt:lpstr>
      <vt:lpstr>HOU</vt:lpstr>
      <vt:lpstr>IND</vt:lpstr>
      <vt:lpstr>JAX</vt:lpstr>
      <vt:lpstr>KC</vt:lpstr>
      <vt:lpstr>LAC</vt:lpstr>
      <vt:lpstr>LAR</vt:lpstr>
      <vt:lpstr>LV</vt:lpstr>
      <vt:lpstr>MIA</vt:lpstr>
      <vt:lpstr>MIN</vt:lpstr>
      <vt:lpstr>NE</vt:lpstr>
      <vt:lpstr>NO</vt:lpstr>
      <vt:lpstr>NYG</vt:lpstr>
      <vt:lpstr>NYJ</vt:lpstr>
      <vt:lpstr>PHI</vt:lpstr>
      <vt:lpstr>PIT</vt:lpstr>
      <vt:lpstr>SEA</vt:lpstr>
      <vt:lpstr>SF</vt:lpstr>
      <vt:lpstr>TB</vt:lpstr>
      <vt:lpstr>TEN</vt:lpstr>
      <vt:lpstr>WAS</vt:lpstr>
      <vt:lpstr>Combined_QB</vt:lpstr>
      <vt:lpstr>Combined_RB</vt:lpstr>
      <vt:lpstr>Combined_WR</vt:lpstr>
      <vt:lpstr>Combined_TE</vt:lpstr>
      <vt:lpstr>Overall</vt:lpstr>
      <vt:lpstr>Ccar</vt:lpstr>
      <vt:lpstr>Cfmb</vt:lpstr>
      <vt:lpstr>Cint</vt:lpstr>
      <vt:lpstr>Cp_td</vt:lpstr>
      <vt:lpstr>Cp_yd</vt:lpstr>
      <vt:lpstr>Cr_td</vt:lpstr>
      <vt:lpstr>Cr_yd</vt:lpstr>
      <vt:lpstr>Crec</vt:lpstr>
      <vt:lpstr>Crec_td</vt:lpstr>
      <vt:lpstr>Crec_yd</vt:lpstr>
      <vt:lpstr>Ctp_c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tayta</dc:creator>
  <cp:lastModifiedBy>Microsoft Office User</cp:lastModifiedBy>
  <dcterms:created xsi:type="dcterms:W3CDTF">2023-08-18T01:05:42Z</dcterms:created>
  <dcterms:modified xsi:type="dcterms:W3CDTF">2023-08-25T05:05:30Z</dcterms:modified>
</cp:coreProperties>
</file>