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A1DB8A51-9873-4FA8-A659-B42ED34EA1AA}" xr6:coauthVersionLast="47" xr6:coauthVersionMax="47" xr10:uidLastSave="{00000000-0000-0000-0000-000000000000}"/>
  <bookViews>
    <workbookView xWindow="45" yWindow="0" windowWidth="28755" windowHeight="15600" tabRatio="891" activeTab="2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2" l="1"/>
  <c r="Y3" i="1"/>
  <c r="Y2" i="1"/>
  <c r="V36" i="1"/>
  <c r="AB51" i="1"/>
  <c r="AB50" i="1"/>
  <c r="AB49" i="1"/>
  <c r="AB48" i="1"/>
  <c r="AB47" i="1"/>
  <c r="AB51" i="2"/>
  <c r="AB50" i="2"/>
  <c r="AB49" i="2"/>
  <c r="AB48" i="2"/>
  <c r="AB47" i="2"/>
  <c r="AB51" i="3"/>
  <c r="AB50" i="3"/>
  <c r="AB49" i="3"/>
  <c r="AB48" i="3"/>
  <c r="AB47" i="3"/>
  <c r="AB50" i="4"/>
  <c r="AB49" i="4"/>
  <c r="AB48" i="4"/>
  <c r="AB47" i="4"/>
  <c r="AB50" i="5"/>
  <c r="AB49" i="5"/>
  <c r="AB48" i="5"/>
  <c r="AB47" i="5"/>
  <c r="AB50" i="6"/>
  <c r="AB49" i="6"/>
  <c r="AB48" i="6"/>
  <c r="AB47" i="6"/>
  <c r="AB51" i="7"/>
  <c r="AB50" i="7"/>
  <c r="AB49" i="7"/>
  <c r="AB48" i="7"/>
  <c r="AB47" i="7"/>
  <c r="AB51" i="8"/>
  <c r="AB50" i="8"/>
  <c r="AB49" i="8"/>
  <c r="AB48" i="8"/>
  <c r="AB47" i="8"/>
  <c r="AB51" i="9"/>
  <c r="AB50" i="9"/>
  <c r="AB49" i="9"/>
  <c r="AB48" i="9"/>
  <c r="AB47" i="9"/>
  <c r="AB51" i="10"/>
  <c r="AB50" i="10"/>
  <c r="AB49" i="10"/>
  <c r="AB48" i="10"/>
  <c r="AB47" i="10"/>
  <c r="AB53" i="11"/>
  <c r="AB52" i="11"/>
  <c r="AB51" i="11"/>
  <c r="AB50" i="11"/>
  <c r="AB49" i="11"/>
  <c r="AB48" i="11"/>
  <c r="AB47" i="11"/>
  <c r="AB52" i="12"/>
  <c r="AB51" i="12"/>
  <c r="AB50" i="12"/>
  <c r="AB49" i="12"/>
  <c r="AB48" i="12"/>
  <c r="AB47" i="12"/>
  <c r="AB50" i="13"/>
  <c r="AB49" i="13"/>
  <c r="AB48" i="13"/>
  <c r="AB47" i="13"/>
  <c r="AB52" i="14"/>
  <c r="AB51" i="14"/>
  <c r="AB50" i="14"/>
  <c r="AB49" i="14"/>
  <c r="AB48" i="14"/>
  <c r="AB47" i="14"/>
  <c r="AB51" i="15"/>
  <c r="AB50" i="15"/>
  <c r="AB49" i="15"/>
  <c r="AB48" i="15"/>
  <c r="AB47" i="15"/>
  <c r="AB46" i="15"/>
  <c r="AB50" i="16"/>
  <c r="AB49" i="16"/>
  <c r="AB48" i="16"/>
  <c r="AB47" i="16"/>
  <c r="AB51" i="17"/>
  <c r="AB50" i="17"/>
  <c r="AB49" i="17"/>
  <c r="AB48" i="17"/>
  <c r="AB47" i="17"/>
  <c r="AB50" i="18"/>
  <c r="AB49" i="18"/>
  <c r="AB48" i="18"/>
  <c r="AB47" i="18"/>
  <c r="AB54" i="19"/>
  <c r="AB53" i="19"/>
  <c r="AB52" i="19"/>
  <c r="AB51" i="19"/>
  <c r="AB50" i="19"/>
  <c r="AB49" i="19"/>
  <c r="AB48" i="19"/>
  <c r="AB47" i="19"/>
  <c r="AB51" i="20"/>
  <c r="AB50" i="20"/>
  <c r="AB49" i="20"/>
  <c r="AB48" i="20"/>
  <c r="AB47" i="20"/>
  <c r="AB51" i="21"/>
  <c r="AB50" i="21"/>
  <c r="AB49" i="21"/>
  <c r="AB48" i="21"/>
  <c r="AB47" i="21"/>
  <c r="AB51" i="22"/>
  <c r="AB50" i="22"/>
  <c r="AB49" i="22"/>
  <c r="AB48" i="22"/>
  <c r="AB47" i="22"/>
  <c r="AB52" i="23"/>
  <c r="AB51" i="23"/>
  <c r="AB50" i="23"/>
  <c r="AB49" i="23"/>
  <c r="AB48" i="23"/>
  <c r="AB47" i="23"/>
  <c r="AB51" i="24"/>
  <c r="AB50" i="24"/>
  <c r="AB49" i="24"/>
  <c r="AB48" i="24"/>
  <c r="AB47" i="24"/>
  <c r="AB51" i="25"/>
  <c r="AB50" i="25"/>
  <c r="AB49" i="25"/>
  <c r="AB48" i="25"/>
  <c r="AB47" i="25"/>
  <c r="AB51" i="26"/>
  <c r="AB50" i="26"/>
  <c r="AB49" i="26"/>
  <c r="AB48" i="26"/>
  <c r="AB47" i="26"/>
  <c r="AB52" i="27"/>
  <c r="AB51" i="27"/>
  <c r="AB50" i="27"/>
  <c r="AB49" i="27"/>
  <c r="AB48" i="27"/>
  <c r="AB47" i="27"/>
  <c r="AB52" i="28"/>
  <c r="AB51" i="28"/>
  <c r="AB50" i="28"/>
  <c r="AB49" i="28"/>
  <c r="AB48" i="28"/>
  <c r="AB47" i="28"/>
  <c r="AB51" i="29"/>
  <c r="AB50" i="29"/>
  <c r="AB49" i="29"/>
  <c r="AB48" i="29"/>
  <c r="AB47" i="29"/>
  <c r="AB51" i="30"/>
  <c r="AB50" i="30"/>
  <c r="AB49" i="30"/>
  <c r="AB48" i="30"/>
  <c r="AB47" i="30"/>
  <c r="AB51" i="31"/>
  <c r="AB50" i="31"/>
  <c r="AB49" i="31"/>
  <c r="AB48" i="31"/>
  <c r="AB47" i="31"/>
  <c r="AB52" i="32"/>
  <c r="AB51" i="32"/>
  <c r="AB50" i="32"/>
  <c r="AB49" i="32"/>
  <c r="AB48" i="32"/>
  <c r="AB47" i="32"/>
  <c r="AB46" i="32"/>
  <c r="AB46" i="31"/>
  <c r="AB46" i="30"/>
  <c r="AB46" i="29"/>
  <c r="AB46" i="28"/>
  <c r="AB46" i="27"/>
  <c r="AB46" i="26"/>
  <c r="AB46" i="25"/>
  <c r="AB46" i="24"/>
  <c r="AB46" i="23"/>
  <c r="AB46" i="22"/>
  <c r="AB46" i="21"/>
  <c r="AB46" i="20"/>
  <c r="AB46" i="19"/>
  <c r="AB46" i="18"/>
  <c r="AB46" i="17"/>
  <c r="AB46" i="16"/>
  <c r="AB46" i="14"/>
  <c r="AB46" i="13"/>
  <c r="AB46" i="12"/>
  <c r="AB46" i="11"/>
  <c r="AB46" i="10"/>
  <c r="AB46" i="9"/>
  <c r="AB46" i="8"/>
  <c r="AB46" i="7"/>
  <c r="AB46" i="6"/>
  <c r="AB46" i="5"/>
  <c r="AB46" i="4"/>
  <c r="AB46" i="3"/>
  <c r="AB46" i="2"/>
  <c r="AB46" i="1"/>
  <c r="AB36" i="1"/>
  <c r="AB40" i="1"/>
  <c r="AB39" i="1"/>
  <c r="AB38" i="1"/>
  <c r="AB37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" i="6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" i="2"/>
  <c r="Y3" i="2"/>
  <c r="Y4" i="2"/>
  <c r="Y5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Y36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K33" i="25"/>
  <c r="D33" i="17"/>
  <c r="F33" i="31"/>
  <c r="F33" i="22"/>
  <c r="D33" i="4"/>
  <c r="K33" i="27"/>
  <c r="C33" i="9"/>
  <c r="L33" i="3"/>
  <c r="D33" i="21"/>
  <c r="D33" i="1"/>
  <c r="D33" i="19"/>
  <c r="F33" i="1"/>
  <c r="G33" i="28"/>
  <c r="G33" i="10"/>
  <c r="L33" i="7"/>
  <c r="D33" i="14"/>
  <c r="E33" i="21"/>
  <c r="E33" i="20"/>
  <c r="J33" i="2"/>
  <c r="J33" i="26"/>
  <c r="D33" i="8"/>
  <c r="L33" i="26"/>
  <c r="J33" i="18"/>
  <c r="D33" i="9"/>
  <c r="E33" i="15"/>
  <c r="K33" i="14"/>
  <c r="J33" i="21"/>
  <c r="H33" i="3"/>
  <c r="D33" i="25"/>
  <c r="F33" i="7"/>
  <c r="K33" i="19"/>
  <c r="F33" i="27"/>
  <c r="H33" i="9"/>
  <c r="L33" i="25"/>
  <c r="F33" i="19"/>
  <c r="G33" i="18"/>
  <c r="F33" i="25"/>
  <c r="L33" i="29"/>
  <c r="C33" i="15"/>
  <c r="K33" i="18"/>
  <c r="H33" i="15"/>
  <c r="H33" i="22"/>
  <c r="C33" i="16"/>
  <c r="J33" i="15"/>
  <c r="C33" i="24"/>
  <c r="E33" i="14"/>
  <c r="H33" i="12"/>
  <c r="D33" i="27"/>
  <c r="J33" i="13"/>
  <c r="D33" i="31"/>
  <c r="F33" i="29"/>
  <c r="L33" i="13"/>
  <c r="G33" i="1"/>
  <c r="G33" i="30"/>
  <c r="K33" i="29"/>
  <c r="C33" i="27"/>
  <c r="G33" i="26"/>
  <c r="F33" i="8"/>
  <c r="L33" i="12"/>
  <c r="F33" i="13"/>
  <c r="F33" i="14"/>
  <c r="F33" i="18"/>
  <c r="J33" i="3"/>
  <c r="F33" i="30"/>
  <c r="C33" i="12"/>
  <c r="E33" i="28"/>
  <c r="C33" i="10"/>
  <c r="H33" i="5"/>
  <c r="E33" i="19"/>
  <c r="C33" i="3"/>
  <c r="D33" i="23"/>
  <c r="J33" i="5"/>
  <c r="C33" i="29"/>
  <c r="K33" i="11"/>
  <c r="L33" i="28"/>
  <c r="J33" i="17"/>
  <c r="G33" i="23"/>
  <c r="J33" i="27"/>
  <c r="F33" i="9"/>
  <c r="K33" i="24"/>
  <c r="L33" i="30"/>
  <c r="D33" i="5"/>
  <c r="F33" i="3"/>
  <c r="C33" i="6"/>
  <c r="E33" i="4"/>
  <c r="K33" i="30"/>
  <c r="D33" i="16"/>
  <c r="L33" i="27"/>
  <c r="H33" i="18"/>
  <c r="H33" i="13"/>
  <c r="E33" i="7"/>
  <c r="L33" i="15"/>
  <c r="J33" i="16"/>
  <c r="C33" i="11"/>
  <c r="L33" i="14"/>
  <c r="E33" i="29"/>
  <c r="L33" i="22"/>
  <c r="K33" i="23"/>
  <c r="H33" i="16"/>
  <c r="H33" i="14"/>
  <c r="K33" i="12"/>
  <c r="K33" i="31"/>
  <c r="E33" i="8"/>
  <c r="K33" i="2"/>
  <c r="C33" i="19"/>
  <c r="G33" i="12"/>
  <c r="G33" i="20"/>
  <c r="H33" i="11"/>
  <c r="E33" i="11"/>
  <c r="G33" i="24"/>
  <c r="H33" i="6"/>
  <c r="C33" i="30"/>
  <c r="D33" i="12"/>
  <c r="L33" i="23"/>
  <c r="E33" i="16"/>
  <c r="E33" i="1"/>
  <c r="D33" i="28"/>
  <c r="E33" i="10"/>
  <c r="H33" i="27"/>
  <c r="J33" i="9"/>
  <c r="L33" i="31"/>
  <c r="E33" i="17"/>
  <c r="E33" i="24"/>
  <c r="G33" i="22"/>
  <c r="F33" i="4"/>
  <c r="K33" i="28"/>
  <c r="H33" i="10"/>
  <c r="L33" i="17"/>
  <c r="F33" i="16"/>
  <c r="D33" i="15"/>
  <c r="F33" i="26"/>
  <c r="K33" i="8"/>
  <c r="L33" i="5"/>
  <c r="J33" i="6"/>
  <c r="F33" i="24"/>
  <c r="G33" i="31"/>
  <c r="K33" i="26"/>
  <c r="E33" i="5"/>
  <c r="D33" i="2"/>
  <c r="F33" i="12"/>
  <c r="E33" i="6"/>
  <c r="E33" i="31"/>
  <c r="H33" i="17"/>
  <c r="H33" i="29"/>
  <c r="F33" i="21"/>
  <c r="J33" i="1"/>
  <c r="F33" i="5"/>
  <c r="K33" i="3"/>
  <c r="D33" i="22"/>
  <c r="F33" i="28"/>
  <c r="J33" i="20"/>
  <c r="C33" i="26"/>
  <c r="J33" i="31"/>
  <c r="L33" i="16"/>
  <c r="J33" i="29"/>
  <c r="J33" i="24"/>
  <c r="L33" i="21"/>
  <c r="K33" i="7"/>
  <c r="C33" i="17"/>
  <c r="K33" i="5"/>
  <c r="J33" i="12"/>
  <c r="C33" i="4"/>
  <c r="G33" i="11"/>
  <c r="K33" i="10"/>
  <c r="L33" i="18"/>
  <c r="H33" i="2"/>
  <c r="H33" i="21"/>
  <c r="K33" i="13"/>
  <c r="L33" i="6"/>
  <c r="D33" i="30"/>
  <c r="F33" i="15"/>
  <c r="J33" i="30"/>
  <c r="H33" i="25"/>
  <c r="J33" i="19"/>
  <c r="J33" i="23"/>
  <c r="G33" i="5"/>
  <c r="G33" i="29"/>
  <c r="D33" i="10"/>
  <c r="L33" i="11"/>
  <c r="G33" i="15"/>
  <c r="C33" i="5"/>
  <c r="E33" i="27"/>
  <c r="G33" i="9"/>
  <c r="E33" i="25"/>
  <c r="G33" i="7"/>
  <c r="L33" i="20"/>
  <c r="K33" i="16"/>
  <c r="F33" i="17"/>
  <c r="C33" i="20"/>
  <c r="C33" i="2"/>
  <c r="E33" i="26"/>
  <c r="J33" i="8"/>
  <c r="C33" i="14"/>
  <c r="F33" i="6"/>
  <c r="C33" i="23"/>
  <c r="H33" i="20"/>
  <c r="J33" i="7"/>
  <c r="E33" i="30"/>
  <c r="E33" i="18"/>
  <c r="G33" i="4"/>
  <c r="E33" i="13"/>
  <c r="E33" i="23"/>
  <c r="E33" i="12"/>
  <c r="H33" i="24"/>
  <c r="F33" i="10"/>
  <c r="K33" i="21"/>
  <c r="L33" i="19"/>
  <c r="J33" i="4"/>
  <c r="L33" i="2"/>
  <c r="L33" i="32"/>
  <c r="H33" i="19"/>
  <c r="G33" i="17"/>
  <c r="G33" i="2"/>
  <c r="K33" i="6"/>
  <c r="C33" i="21"/>
  <c r="D33" i="29"/>
  <c r="F33" i="23"/>
  <c r="H33" i="8"/>
  <c r="J33" i="22"/>
  <c r="L33" i="9"/>
  <c r="H33" i="28"/>
  <c r="H33" i="4"/>
  <c r="D33" i="6"/>
  <c r="L33" i="10"/>
  <c r="H33" i="23"/>
  <c r="D33" i="26"/>
  <c r="D33" i="20"/>
  <c r="E33" i="9"/>
  <c r="C33" i="1"/>
  <c r="K33" i="15"/>
  <c r="D33" i="7"/>
  <c r="K33" i="1"/>
  <c r="G33" i="21"/>
  <c r="G33" i="3"/>
  <c r="G33" i="27"/>
  <c r="K33" i="9"/>
  <c r="C33" i="31"/>
  <c r="C33" i="13"/>
  <c r="L33" i="4"/>
  <c r="J33" i="25"/>
  <c r="C33" i="7"/>
  <c r="D33" i="24"/>
  <c r="G33" i="6"/>
  <c r="L33" i="8"/>
  <c r="J33" i="14"/>
  <c r="E33" i="3"/>
  <c r="G33" i="19"/>
  <c r="H33" i="1"/>
  <c r="G33" i="25"/>
  <c r="H33" i="7"/>
  <c r="G33" i="13"/>
  <c r="H33" i="26"/>
  <c r="C33" i="22"/>
  <c r="J33" i="28"/>
  <c r="D33" i="11"/>
  <c r="C33" i="18"/>
  <c r="C33" i="28"/>
  <c r="K33" i="22"/>
  <c r="J33" i="11"/>
  <c r="G33" i="8"/>
  <c r="J33" i="10"/>
  <c r="D33" i="18"/>
  <c r="C33" i="8"/>
  <c r="C33" i="25"/>
  <c r="G33" i="14"/>
  <c r="F33" i="2"/>
  <c r="K33" i="17"/>
  <c r="K33" i="20"/>
  <c r="G33" i="16"/>
  <c r="K33" i="4"/>
  <c r="E33" i="2"/>
  <c r="F33" i="11"/>
  <c r="D33" i="3"/>
  <c r="E33" i="22"/>
  <c r="H33" i="30"/>
  <c r="L33" i="24"/>
  <c r="H33" i="31"/>
  <c r="F33" i="20"/>
  <c r="D33" i="13"/>
  <c r="M31" i="1"/>
  <c r="L33" i="1"/>
  <c r="W78" i="1" l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2"/>
  <c r="I33" i="13"/>
  <c r="J33" i="32"/>
  <c r="I33" i="5"/>
  <c r="C33" i="32"/>
  <c r="I33" i="23"/>
  <c r="E33" i="32"/>
  <c r="I33" i="29"/>
  <c r="I33" i="27"/>
  <c r="I33" i="10"/>
  <c r="I33" i="22"/>
  <c r="I33" i="4"/>
  <c r="I33" i="9"/>
  <c r="I33" i="3"/>
  <c r="I33" i="28"/>
  <c r="I33" i="31"/>
  <c r="I33" i="6"/>
  <c r="I33" i="17"/>
  <c r="I33" i="15"/>
  <c r="I33" i="20"/>
  <c r="I33" i="8"/>
  <c r="I33" i="18"/>
  <c r="I33" i="25"/>
  <c r="D33" i="32"/>
  <c r="I33" i="16"/>
  <c r="I33" i="21"/>
  <c r="I33" i="24"/>
  <c r="I33" i="30"/>
  <c r="I33" i="11"/>
  <c r="F33" i="32"/>
  <c r="I33" i="7"/>
  <c r="I33" i="26"/>
  <c r="K33" i="32"/>
  <c r="I33" i="19"/>
  <c r="I33" i="1"/>
  <c r="G33" i="32"/>
  <c r="I33" i="12"/>
  <c r="I33" i="14"/>
  <c r="H33" i="32"/>
  <c r="B33" i="32" l="1"/>
  <c r="I33" i="32"/>
</calcChain>
</file>

<file path=xl/sharedStrings.xml><?xml version="1.0" encoding="utf-8"?>
<sst xmlns="http://schemas.openxmlformats.org/spreadsheetml/2006/main" count="10629" uniqueCount="1761">
  <si>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</si>
  <si>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</si>
  <si>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</si>
  <si>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</si>
  <si>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</si>
  <si>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</si>
  <si>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</si>
  <si>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</si>
  <si>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</si>
  <si>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</si>
  <si>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</si>
  <si>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</si>
  <si>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</si>
  <si>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</si>
  <si>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</si>
  <si>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</si>
  <si>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</si>
  <si>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</si>
  <si>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</si>
  <si>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</si>
  <si>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</si>
  <si>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</si>
  <si>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</si>
  <si>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</si>
  <si>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</si>
  <si>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</si>
  <si>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</si>
  <si>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</si>
  <si>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</si>
  <si>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</si>
  <si>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</si>
  <si>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</si>
  <si>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</si>
  <si>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</si>
  <si>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</si>
  <si>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</si>
  <si>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</si>
  <si>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</si>
  <si>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</si>
  <si>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</si>
  <si>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</si>
  <si>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</si>
  <si>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</si>
  <si>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</si>
  <si>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</si>
  <si>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</si>
  <si>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</si>
  <si>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</si>
  <si>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</si>
  <si>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</si>
  <si>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</si>
  <si>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</si>
  <si>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</si>
  <si>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</si>
  <si>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</si>
  <si>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</si>
  <si>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</si>
  <si>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</si>
  <si>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</si>
  <si>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</si>
  <si>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</si>
  <si>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</si>
  <si>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</si>
  <si>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</si>
  <si>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</si>
  <si>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</si>
  <si>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</si>
  <si>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</si>
  <si>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</si>
  <si>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</si>
  <si>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</si>
  <si>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</si>
  <si>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</si>
  <si>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</si>
  <si>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</si>
  <si>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</si>
  <si>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</si>
  <si>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</si>
  <si>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</si>
  <si>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</si>
  <si>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</si>
  <si>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</si>
  <si>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</si>
  <si>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</si>
  <si>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</si>
  <si>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</si>
  <si>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</si>
  <si>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</si>
  <si>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</si>
  <si>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</si>
  <si>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</si>
  <si>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</si>
  <si>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</si>
  <si>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</si>
  <si>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</si>
  <si>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</si>
  <si>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</si>
  <si>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</si>
  <si>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</si>
  <si>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</si>
  <si>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</si>
  <si>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</si>
  <si>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</si>
  <si>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</si>
  <si>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</si>
  <si>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</si>
  <si>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</si>
  <si>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</si>
  <si>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</si>
  <si>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</si>
  <si>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</si>
  <si>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</si>
  <si>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</si>
  <si>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</si>
  <si>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</si>
  <si>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</si>
  <si>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</si>
  <si>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</si>
  <si>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</si>
  <si>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</si>
  <si>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</si>
  <si>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</si>
  <si>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</si>
  <si>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</si>
  <si>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</si>
  <si>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</si>
  <si>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</si>
  <si>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</si>
  <si>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</si>
  <si>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</si>
  <si>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</si>
  <si>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</si>
  <si>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</si>
  <si>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</si>
  <si>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</si>
  <si>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</si>
  <si>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</si>
  <si>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</si>
  <si>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</si>
  <si>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</si>
  <si>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</si>
  <si>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</si>
  <si>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</si>
  <si>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</si>
  <si>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</si>
  <si>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</si>
  <si>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</si>
  <si>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</si>
  <si>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</si>
  <si>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</si>
  <si>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</si>
  <si>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</si>
  <si>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</si>
  <si>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</si>
  <si>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</si>
  <si>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</si>
  <si>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</si>
  <si>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</si>
  <si>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</si>
  <si>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</si>
  <si>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</si>
  <si>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</si>
  <si>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</si>
  <si>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</si>
  <si>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</si>
  <si>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</si>
  <si>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</si>
  <si>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</si>
  <si>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</si>
  <si>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</si>
  <si>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</si>
  <si>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</si>
  <si>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</si>
  <si>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</si>
  <si>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</si>
  <si>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</si>
  <si>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</si>
  <si>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</si>
  <si>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</si>
  <si>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</si>
  <si>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</si>
  <si>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</si>
  <si>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</si>
  <si>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</si>
  <si>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</si>
  <si>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</si>
  <si>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</si>
  <si>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</si>
  <si>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</si>
  <si>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</si>
  <si>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</si>
  <si>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</si>
  <si>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</si>
  <si>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</si>
  <si>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</si>
  <si>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</si>
  <si>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</si>
  <si>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</si>
  <si>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</si>
  <si>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</si>
  <si>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</si>
  <si>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</si>
  <si>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</si>
  <si>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</si>
  <si>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</si>
  <si>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</si>
  <si>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</si>
  <si>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</si>
  <si>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</si>
  <si>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</si>
  <si>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</si>
  <si>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</si>
  <si>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</si>
  <si>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</si>
  <si>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</si>
  <si>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</si>
  <si>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</si>
  <si>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</si>
  <si>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</si>
  <si>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</si>
  <si>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</si>
  <si>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</si>
  <si>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</si>
  <si>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</si>
  <si>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</si>
  <si>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</si>
  <si>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</si>
  <si>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</si>
  <si>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</si>
  <si>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</si>
  <si>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</si>
  <si>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</si>
  <si>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</si>
  <si>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</si>
  <si>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</si>
  <si>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</si>
  <si>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</si>
  <si>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</si>
  <si>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</si>
  <si>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</si>
  <si>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</si>
  <si>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</si>
  <si>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</si>
  <si>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</si>
  <si>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</si>
  <si>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</si>
  <si>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</si>
  <si>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</si>
  <si>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</si>
  <si>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</si>
  <si>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</si>
  <si>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</si>
  <si>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</si>
  <si>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</si>
  <si>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</si>
  <si>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</si>
  <si>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</si>
  <si>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</si>
  <si>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</si>
  <si>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</si>
  <si>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</si>
  <si>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</si>
  <si>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</si>
  <si>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</si>
  <si>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</si>
  <si>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</si>
  <si>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</si>
  <si>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</si>
  <si>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</si>
  <si>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</si>
  <si>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</si>
  <si>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</si>
  <si>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</si>
  <si>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</si>
  <si>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</si>
  <si>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</si>
  <si>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</si>
  <si>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</si>
  <si>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</si>
  <si>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</si>
  <si>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</si>
  <si>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</si>
  <si>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</si>
  <si>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</si>
  <si>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</si>
  <si>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</si>
  <si>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</si>
  <si>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</si>
  <si>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</si>
  <si>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</si>
  <si>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</si>
  <si>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</si>
  <si>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</si>
  <si>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</si>
  <si>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</si>
  <si>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</si>
  <si>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</si>
  <si>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</si>
  <si>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</si>
  <si>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</si>
  <si>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</si>
  <si>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</si>
  <si>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</si>
  <si>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</si>
  <si>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</si>
  <si>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</si>
  <si>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</si>
  <si>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</si>
  <si>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</si>
  <si>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</si>
  <si>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</si>
  <si>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</si>
  <si>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</si>
  <si>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</si>
  <si>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</si>
  <si>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</si>
  <si>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</si>
  <si>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</si>
  <si>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</si>
  <si>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</si>
  <si>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</si>
  <si>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</si>
  <si>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</si>
  <si>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</si>
  <si>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</si>
  <si>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</si>
  <si>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</si>
  <si>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</si>
  <si>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</si>
  <si>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</si>
  <si>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</si>
  <si>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</si>
  <si>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</si>
  <si>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</si>
  <si>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</si>
  <si>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</si>
  <si>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</si>
  <si>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</si>
  <si>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</si>
  <si>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</si>
  <si>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</si>
  <si>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</si>
  <si>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</si>
  <si>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</si>
  <si>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</si>
  <si>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</si>
  <si>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</si>
  <si>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</si>
  <si>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</si>
  <si>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</si>
  <si>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</si>
  <si>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</si>
  <si>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</si>
  <si>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</si>
  <si>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</si>
  <si>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</si>
  <si>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</si>
  <si>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</si>
  <si>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</si>
  <si>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</si>
  <si>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</si>
  <si>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</si>
  <si>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</si>
  <si>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</si>
  <si>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</si>
  <si>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</si>
  <si>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</si>
  <si>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</si>
  <si>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</si>
  <si>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</si>
  <si>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</si>
  <si>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</si>
  <si>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</si>
  <si>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</si>
  <si>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</si>
  <si>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</si>
  <si>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</si>
  <si>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</si>
  <si>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</si>
  <si>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</si>
  <si>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</si>
  <si>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</si>
  <si>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</si>
  <si>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</si>
  <si>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</si>
  <si>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</si>
  <si>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</si>
  <si>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</si>
  <si>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</si>
  <si>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</si>
  <si>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</si>
  <si>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</si>
  <si>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</si>
  <si>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</si>
  <si>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</si>
  <si>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</si>
  <si>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</si>
  <si>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</si>
  <si>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</si>
  <si>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</si>
  <si>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</si>
  <si>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</si>
  <si>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</si>
  <si>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</si>
  <si>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</si>
  <si>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</si>
  <si>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</si>
  <si>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</si>
  <si>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</si>
  <si>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</si>
  <si>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</si>
  <si>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</si>
  <si>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</si>
  <si>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</si>
  <si>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</si>
  <si>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</si>
  <si>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</si>
  <si>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</si>
  <si>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</si>
  <si>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</si>
  <si>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</si>
  <si>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</si>
  <si>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</si>
  <si>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</si>
  <si>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</si>
  <si>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</si>
  <si>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</si>
  <si>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</si>
  <si>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</si>
  <si>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</si>
  <si>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</si>
  <si>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</si>
  <si>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</si>
  <si>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</si>
  <si>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</si>
  <si>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</si>
  <si>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</si>
  <si>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</si>
  <si>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</si>
  <si>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</si>
  <si>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</si>
  <si>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</si>
  <si>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</si>
  <si>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</si>
  <si>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</si>
  <si>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</si>
  <si>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</si>
  <si>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</si>
  <si>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</si>
  <si>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</si>
  <si>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</si>
  <si>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</si>
  <si>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</si>
  <si>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</si>
  <si>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</si>
  <si>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</si>
  <si>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</si>
  <si>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</si>
  <si>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</si>
  <si>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</si>
  <si>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</si>
  <si>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</si>
  <si>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</si>
  <si>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</si>
  <si>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</si>
  <si>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</si>
  <si>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</si>
  <si>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</si>
  <si>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</si>
  <si>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</si>
  <si>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</si>
  <si>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</si>
  <si>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</si>
  <si>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</si>
  <si>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</si>
  <si>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</si>
  <si>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</si>
  <si>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</si>
  <si>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</si>
  <si>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</si>
  <si>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</si>
  <si>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</si>
  <si>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</si>
  <si>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</si>
  <si>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</si>
  <si>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</si>
  <si>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</si>
  <si>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</si>
  <si>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</si>
  <si>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</si>
  <si>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</si>
  <si>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</si>
  <si>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</si>
  <si>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</si>
  <si>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</si>
  <si>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</si>
  <si>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</si>
  <si>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</si>
  <si>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</si>
  <si>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</si>
  <si>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</si>
  <si>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</si>
  <si>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</si>
  <si>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</si>
  <si>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</si>
  <si>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</si>
  <si>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</si>
  <si>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</si>
  <si>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</si>
  <si>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</si>
  <si>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</si>
  <si>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</si>
  <si>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</si>
  <si>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</si>
  <si>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</si>
  <si>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</si>
  <si>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</si>
  <si>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</si>
  <si>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</si>
  <si>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</si>
  <si>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</si>
  <si>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</si>
  <si>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</si>
  <si>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</si>
  <si>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</si>
  <si>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</si>
  <si>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</si>
  <si>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</si>
  <si>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</si>
  <si>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</si>
  <si>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</si>
  <si>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</si>
  <si>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</si>
  <si>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</si>
  <si>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</si>
  <si>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</si>
  <si>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</si>
  <si>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</si>
  <si>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</si>
  <si>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</si>
  <si>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</si>
  <si>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</si>
  <si>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</si>
  <si>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</si>
  <si>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</si>
  <si>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</si>
  <si>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</si>
  <si>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</si>
  <si>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</si>
  <si>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</si>
  <si>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</si>
  <si>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</si>
  <si>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</si>
  <si>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</si>
  <si>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</si>
  <si>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</si>
  <si>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</si>
  <si>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</si>
  <si>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</si>
  <si>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</si>
  <si>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</si>
  <si>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</si>
  <si>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</si>
  <si>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</si>
  <si>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</si>
  <si>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</si>
  <si>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</si>
  <si>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</si>
  <si>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</si>
  <si>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</si>
  <si>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</si>
  <si>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</si>
  <si>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</si>
  <si>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</si>
  <si>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</si>
  <si>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</si>
  <si>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</si>
  <si>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</si>
  <si>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</si>
  <si>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</si>
  <si>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</si>
  <si>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</si>
  <si>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</si>
  <si>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</si>
  <si>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</si>
  <si>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</si>
  <si>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</si>
  <si>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</si>
  <si>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</si>
  <si>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</si>
  <si>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</si>
  <si>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</si>
  <si>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</si>
  <si>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</si>
  <si>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</si>
  <si>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</si>
  <si>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</si>
  <si>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</si>
  <si>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</si>
  <si>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</si>
  <si>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</si>
  <si>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</si>
  <si>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</si>
  <si>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</si>
  <si>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</si>
  <si>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</si>
  <si>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</si>
  <si>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</si>
  <si>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</si>
  <si>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</si>
  <si>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</si>
  <si>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</si>
  <si>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</si>
  <si>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</si>
  <si>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</si>
  <si>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</si>
  <si>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</si>
  <si>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</si>
  <si>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</si>
  <si>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</si>
  <si>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</si>
  <si>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</si>
  <si>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</si>
  <si>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</si>
  <si>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</si>
  <si>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</si>
  <si>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</si>
  <si>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</si>
  <si>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</si>
  <si>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</si>
  <si>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</si>
  <si>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</si>
  <si>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</si>
  <si>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</si>
  <si>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</si>
  <si>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</si>
  <si>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</si>
  <si>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</si>
  <si>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</si>
  <si>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</si>
  <si>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</si>
  <si>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</si>
  <si>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</si>
  <si>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</si>
  <si>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</si>
  <si>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</si>
  <si>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</si>
  <si>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</si>
  <si>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</si>
  <si>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</si>
  <si>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</si>
  <si>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</si>
  <si>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</si>
  <si>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</si>
  <si>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</si>
  <si>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</si>
  <si>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</si>
  <si>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</si>
  <si>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</si>
  <si>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</si>
  <si>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</si>
  <si>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</si>
  <si>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</si>
  <si>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</si>
  <si>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</si>
  <si>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</si>
  <si>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</si>
  <si>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</si>
  <si>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</si>
  <si>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</si>
  <si>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</si>
  <si>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</si>
  <si>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</si>
  <si>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</si>
  <si>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</si>
  <si>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</si>
  <si>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</si>
  <si>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</si>
  <si>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</si>
  <si>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</si>
  <si>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</si>
  <si>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</si>
  <si>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</si>
  <si>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</si>
  <si>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</si>
  <si>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</si>
  <si>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</si>
  <si>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</si>
  <si>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</si>
  <si>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</si>
  <si>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</si>
  <si>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</si>
  <si>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</si>
  <si>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</si>
  <si>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</si>
  <si>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</si>
  <si>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</si>
  <si>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</si>
  <si>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</si>
  <si>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</si>
  <si>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</si>
  <si>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</si>
  <si>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</si>
  <si>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</si>
  <si>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</si>
  <si>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</si>
  <si>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</si>
  <si>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</si>
  <si>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</si>
  <si>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</si>
  <si>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</si>
  <si>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</si>
  <si>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</si>
  <si>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</si>
  <si>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</si>
  <si>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</si>
  <si>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</si>
  <si>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</si>
  <si>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</si>
  <si>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</si>
  <si>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</si>
  <si>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</si>
  <si>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</si>
  <si>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</si>
  <si>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</si>
  <si>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</si>
  <si>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</si>
  <si>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</si>
  <si>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</si>
  <si>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</si>
  <si>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</si>
  <si>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</si>
  <si>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</si>
  <si>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</si>
  <si>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</si>
  <si>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</si>
  <si>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</si>
  <si>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</si>
  <si>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</si>
  <si>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</si>
  <si>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</si>
  <si>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</si>
  <si>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</si>
  <si>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</si>
  <si>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</si>
  <si>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</si>
  <si>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</si>
  <si>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</si>
  <si>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</si>
  <si>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</si>
  <si>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</si>
  <si>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</si>
  <si>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</si>
  <si>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</si>
  <si>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</si>
  <si>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</si>
  <si>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</si>
  <si>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</si>
  <si>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</si>
  <si>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</si>
  <si>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</si>
  <si>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</si>
  <si>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</si>
  <si>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</si>
  <si>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</si>
  <si>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</si>
  <si>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</si>
  <si>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</si>
  <si>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</si>
  <si>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</si>
  <si>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</si>
  <si>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</si>
  <si>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</si>
  <si>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</si>
  <si>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</si>
  <si>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</si>
  <si>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</si>
  <si>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</si>
  <si>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</si>
  <si>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</si>
  <si>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</si>
  <si>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</si>
  <si>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</si>
  <si>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</si>
  <si>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</si>
  <si>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</si>
  <si>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</si>
  <si>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</si>
  <si>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</si>
  <si>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</si>
  <si>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</si>
  <si>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</si>
  <si>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</si>
  <si>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</si>
  <si>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</si>
  <si>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</si>
  <si>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</si>
  <si>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</si>
  <si>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</si>
  <si>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</si>
  <si>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</si>
  <si>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</si>
  <si>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</si>
  <si>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</si>
  <si>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</si>
  <si>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</si>
  <si>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</si>
  <si>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</si>
  <si>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</si>
  <si>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</si>
  <si>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</si>
  <si>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</si>
  <si>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</si>
  <si>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</si>
  <si>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</si>
  <si>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</si>
  <si>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</si>
  <si>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</si>
  <si>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</si>
  <si>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</si>
  <si>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</si>
  <si>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</si>
  <si>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</si>
  <si>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</si>
  <si>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</si>
  <si>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</si>
  <si>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</si>
  <si>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</si>
  <si>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</si>
  <si>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</si>
  <si>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</si>
  <si>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</si>
  <si>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</si>
  <si>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</si>
  <si>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</si>
  <si>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</si>
  <si>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</si>
  <si>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</si>
  <si>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</si>
  <si>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</si>
  <si>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</si>
  <si>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</si>
  <si>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</si>
  <si>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</si>
  <si>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</si>
  <si>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</si>
  <si>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</si>
  <si>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</si>
  <si>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</si>
  <si>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</si>
  <si>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</si>
  <si>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</si>
  <si>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</si>
  <si>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</si>
  <si>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</si>
  <si>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</si>
  <si>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</si>
  <si>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</si>
  <si>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</si>
  <si>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</si>
  <si>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</si>
  <si>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</si>
  <si>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</si>
  <si>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</si>
  <si>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</si>
  <si>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</si>
  <si>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</si>
  <si>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</si>
  <si>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</si>
  <si>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</si>
  <si>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</si>
  <si>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</si>
  <si>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</si>
  <si>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</si>
  <si>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</si>
  <si>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</si>
  <si>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</si>
  <si>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</si>
  <si>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</si>
  <si>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</si>
  <si>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</si>
  <si>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</si>
  <si>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</si>
  <si>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</si>
  <si>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</si>
  <si>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</si>
  <si>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</si>
  <si>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</si>
  <si>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</si>
  <si>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</si>
  <si>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</si>
  <si>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</si>
  <si>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</si>
  <si>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</si>
  <si>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</si>
  <si>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</si>
  <si>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</si>
  <si>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</si>
  <si>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</si>
  <si>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</si>
  <si>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</si>
  <si>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</si>
  <si>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</si>
  <si>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</si>
  <si>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</si>
  <si>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</si>
  <si>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</si>
  <si>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</si>
  <si>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</si>
  <si>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</si>
  <si>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</si>
  <si>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</si>
  <si>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</si>
  <si>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</si>
  <si>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</si>
  <si>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</si>
  <si>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</si>
  <si>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</si>
  <si>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</si>
  <si>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</si>
  <si>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</si>
  <si>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</si>
  <si>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</si>
  <si>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</si>
  <si>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</si>
  <si>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</si>
  <si>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</si>
  <si>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</si>
  <si>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</si>
  <si>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</si>
  <si>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</si>
  <si>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</si>
  <si>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</si>
  <si>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</si>
  <si>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</si>
  <si>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</si>
  <si>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</si>
  <si>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</si>
  <si>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</si>
  <si>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</si>
  <si>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</si>
  <si>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</si>
  <si>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</si>
  <si>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</si>
  <si>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</si>
  <si>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</si>
  <si>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</si>
  <si>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</si>
  <si>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</si>
  <si>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</si>
  <si>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</si>
  <si>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</si>
  <si>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</si>
  <si>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</si>
  <si>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</si>
  <si>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</si>
  <si>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</si>
  <si>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</si>
  <si>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</si>
  <si>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</si>
  <si>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</si>
  <si>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</si>
  <si>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</si>
  <si>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</si>
  <si>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</si>
  <si>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</si>
  <si>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</si>
  <si>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</si>
  <si>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</si>
  <si>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</si>
  <si>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</si>
  <si>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</si>
  <si>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</si>
  <si>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</si>
  <si>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</si>
  <si>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</si>
  <si>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</si>
  <si>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</si>
  <si>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</si>
  <si>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</si>
  <si>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</si>
  <si>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</si>
  <si>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</si>
  <si>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</si>
  <si>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</si>
  <si>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</si>
  <si>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</si>
  <si>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</si>
  <si>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</si>
  <si>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</si>
  <si>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</si>
  <si>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</si>
  <si>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</si>
  <si>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</si>
  <si>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</si>
  <si>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</si>
  <si>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</si>
  <si>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</si>
  <si>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</si>
  <si>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</si>
  <si>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</si>
  <si>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</si>
  <si>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</si>
  <si>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</si>
  <si>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</si>
  <si>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</si>
  <si>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</si>
  <si>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</si>
  <si>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</si>
  <si>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</si>
  <si>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</si>
  <si>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</si>
  <si>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</si>
  <si>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</si>
  <si>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</si>
  <si>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</si>
  <si>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</si>
  <si>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</si>
  <si>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</si>
  <si>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</si>
  <si>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</si>
  <si>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</si>
  <si>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</si>
  <si>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</si>
  <si>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</si>
  <si>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</si>
  <si>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</si>
  <si>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</si>
  <si>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</si>
  <si>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</si>
  <si>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</si>
  <si>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</si>
  <si>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</si>
  <si>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</si>
  <si>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</si>
  <si>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</si>
  <si>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</si>
  <si>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</si>
  <si>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</si>
  <si>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</si>
  <si>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</si>
  <si>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</si>
  <si>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</si>
  <si>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</si>
  <si>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</si>
  <si>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</si>
  <si>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</si>
  <si>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</si>
  <si>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</si>
  <si>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</si>
  <si>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</si>
  <si>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</si>
  <si>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</si>
  <si>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</si>
  <si>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</si>
  <si>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</si>
  <si>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</si>
  <si>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</si>
  <si>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</si>
  <si>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</si>
  <si>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</si>
  <si>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</si>
  <si>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</si>
  <si>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</si>
  <si>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</si>
  <si>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</si>
  <si>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</si>
  <si>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</si>
  <si>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</si>
  <si>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</si>
  <si>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</si>
  <si>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</si>
  <si>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</si>
  <si>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</si>
  <si>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</si>
  <si>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</si>
  <si>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</si>
  <si>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</si>
  <si>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</si>
  <si>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</si>
  <si>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</si>
  <si>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</si>
  <si>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</si>
  <si>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</si>
  <si>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</si>
  <si>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</si>
  <si>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</si>
  <si>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</si>
  <si>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</si>
  <si>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</si>
  <si>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</si>
  <si>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</si>
  <si>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</si>
  <si>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</si>
  <si>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</si>
  <si>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</si>
  <si>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</si>
  <si>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</si>
  <si>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</si>
  <si>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</si>
  <si>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</si>
  <si>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</si>
  <si>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</si>
  <si>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</si>
  <si>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</si>
  <si>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</si>
  <si>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</si>
  <si>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</si>
  <si>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</si>
  <si>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</si>
  <si>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</si>
  <si>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</si>
  <si>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</si>
  <si>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</si>
  <si>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</si>
  <si>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</si>
  <si>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</si>
  <si>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</si>
  <si>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</si>
  <si>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</si>
  <si>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</si>
  <si>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</si>
  <si>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</si>
  <si>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</si>
  <si>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</si>
  <si>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</si>
  <si>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</si>
  <si>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</si>
  <si>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</si>
  <si>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</si>
  <si>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</si>
  <si>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</si>
  <si>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</si>
  <si>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</si>
  <si>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</si>
  <si>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</si>
  <si>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</si>
  <si>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</si>
  <si>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</si>
  <si>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</si>
  <si>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</si>
  <si>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</si>
  <si>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</si>
  <si>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</si>
  <si>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</si>
  <si>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</si>
  <si>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</si>
  <si>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</si>
  <si>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</si>
  <si>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</si>
  <si>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</si>
  <si>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</si>
  <si>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</si>
  <si>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</si>
  <si>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</si>
  <si>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</si>
  <si>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</si>
  <si>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</si>
  <si>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</si>
  <si>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</si>
  <si>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</si>
  <si>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</si>
  <si>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</si>
  <si>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</si>
  <si>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</si>
  <si>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</si>
  <si>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</si>
  <si>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</si>
  <si>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</si>
  <si>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</si>
  <si>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</si>
  <si>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</si>
  <si>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</si>
  <si>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</si>
  <si>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</si>
  <si>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</si>
  <si>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</si>
  <si>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</si>
  <si>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</si>
  <si>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</si>
  <si>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</si>
  <si>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</si>
  <si>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</si>
  <si>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</si>
  <si>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</si>
  <si>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</si>
  <si>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</si>
  <si>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</si>
  <si>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</si>
  <si>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</si>
  <si>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</si>
  <si>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</si>
  <si>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</si>
  <si>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</si>
  <si>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</si>
  <si>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</si>
  <si>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</si>
  <si>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</si>
  <si>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</si>
  <si>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</si>
  <si>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</si>
  <si>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</si>
  <si>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</si>
  <si>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</si>
  <si>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</si>
  <si>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</si>
  <si>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</si>
  <si>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</si>
  <si>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</si>
  <si>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</si>
  <si>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</si>
  <si>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</si>
  <si>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</si>
  <si>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</si>
  <si>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</si>
  <si>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</si>
  <si>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</si>
  <si>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</si>
  <si>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</si>
  <si>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</si>
  <si>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</si>
  <si>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</si>
  <si>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</si>
  <si>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</si>
  <si>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</si>
  <si>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</si>
  <si>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</si>
  <si>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</si>
  <si>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</si>
  <si>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</si>
  <si>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</si>
  <si>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</si>
  <si>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</si>
  <si>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</si>
  <si>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</si>
  <si>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</si>
  <si>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</si>
  <si>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</si>
  <si>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</si>
  <si>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</si>
  <si>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</si>
  <si>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</si>
  <si>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</si>
  <si>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</si>
  <si>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</si>
  <si>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</si>
  <si>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</si>
  <si>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</si>
  <si>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</si>
  <si>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</si>
  <si>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</si>
  <si>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</si>
  <si>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</si>
  <si>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</si>
  <si>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</si>
  <si>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</si>
  <si>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</si>
  <si>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</si>
  <si>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</si>
  <si>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</si>
  <si>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</si>
  <si>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</si>
  <si>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</si>
  <si>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</si>
  <si>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</si>
  <si>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</si>
  <si>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</si>
  <si>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</si>
  <si>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</si>
  <si>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</si>
  <si>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</si>
  <si>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</si>
  <si>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</si>
  <si>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</si>
  <si>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</si>
  <si>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</si>
  <si>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</si>
  <si>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</si>
  <si>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</si>
  <si>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</si>
  <si>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</si>
  <si>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</si>
  <si>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</si>
  <si>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</si>
  <si>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</si>
  <si>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</si>
  <si>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</si>
  <si>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</si>
  <si>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</si>
  <si>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</si>
  <si>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</si>
  <si>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</si>
  <si>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</si>
  <si>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</si>
  <si>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</si>
  <si>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</si>
  <si>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</si>
  <si>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</si>
  <si>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</si>
  <si>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</si>
  <si>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</si>
  <si>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</si>
  <si>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</si>
  <si>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</si>
  <si>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</si>
  <si>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</si>
  <si>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</si>
  <si>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</si>
  <si>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</si>
  <si>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</si>
  <si>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</si>
  <si>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</si>
  <si>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</si>
  <si>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</si>
  <si>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</si>
  <si>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</si>
  <si>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</si>
  <si>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</si>
  <si>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</si>
  <si>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</si>
  <si>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</si>
  <si>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</si>
  <si>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</si>
  <si>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</si>
  <si>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</si>
  <si>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</si>
  <si>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</si>
  <si>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</si>
  <si>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</si>
  <si>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</si>
  <si>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</si>
  <si>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</si>
  <si>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</si>
  <si>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</si>
  <si>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</si>
  <si>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</si>
  <si>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</si>
  <si>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</si>
  <si>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</si>
  <si>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</si>
  <si>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</si>
  <si>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</si>
  <si>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</si>
  <si>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</si>
  <si>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</si>
  <si>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</si>
  <si>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</si>
  <si>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</si>
  <si>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</si>
  <si>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</si>
  <si>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</si>
  <si>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</si>
  <si>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</si>
  <si>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</si>
  <si>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</si>
  <si>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</si>
  <si>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</si>
  <si>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</si>
  <si>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</si>
  <si>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</si>
  <si>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</si>
  <si>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</si>
  <si>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</si>
  <si>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</si>
  <si>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</si>
  <si>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</si>
  <si>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</si>
  <si>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</si>
  <si>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</si>
  <si>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</si>
  <si>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</si>
  <si>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</si>
  <si>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</si>
  <si>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</si>
  <si>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</si>
  <si>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</si>
  <si>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</si>
  <si>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</si>
  <si>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</si>
  <si>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</si>
  <si>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</si>
  <si>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</si>
  <si>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</si>
  <si>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</si>
  <si>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</si>
  <si>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</si>
  <si>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</si>
  <si>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</si>
  <si>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</si>
  <si>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</si>
  <si>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</si>
  <si>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</si>
  <si>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</si>
  <si>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</si>
  <si>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</si>
  <si>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</si>
  <si>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</si>
  <si>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</si>
  <si>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</si>
  <si>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</si>
  <si>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</si>
  <si>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</si>
  <si>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</si>
  <si>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</si>
  <si>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</si>
  <si>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</si>
  <si>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</si>
  <si>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</si>
  <si>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</si>
  <si>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</si>
  <si>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</si>
  <si>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</si>
  <si>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</si>
  <si>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</si>
  <si>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</si>
  <si>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</si>
  <si>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</si>
  <si>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</si>
  <si>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</si>
  <si>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</si>
  <si>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</si>
  <si>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</si>
  <si>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</si>
  <si>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</si>
  <si>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</si>
  <si>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</si>
  <si>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</si>
  <si>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</si>
  <si>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</si>
  <si>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</si>
  <si>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</si>
  <si>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</si>
  <si>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</si>
  <si>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</si>
  <si>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</si>
  <si>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</si>
  <si>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</si>
  <si>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</si>
  <si>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</si>
  <si>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</si>
  <si>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</si>
  <si>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</si>
  <si>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</si>
  <si>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</si>
  <si>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</si>
  <si>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</si>
  <si>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</si>
  <si>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</si>
  <si>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</si>
  <si>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</si>
  <si>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</si>
  <si>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</si>
  <si>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</si>
  <si>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</si>
  <si>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</si>
  <si>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</si>
  <si>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</si>
  <si>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</si>
  <si>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</si>
  <si>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</si>
  <si>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</si>
  <si>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</si>
  <si>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</si>
  <si>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</si>
  <si>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</si>
  <si>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</si>
  <si>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</si>
  <si>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</si>
  <si>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</si>
  <si>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</si>
  <si>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</si>
  <si>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</si>
  <si>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</si>
  <si>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</si>
  <si>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</si>
  <si>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</si>
  <si>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</si>
  <si>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</si>
  <si>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</si>
  <si>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</si>
  <si>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</si>
  <si>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</si>
  <si>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</si>
  <si>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</si>
  <si>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</si>
  <si>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</si>
  <si>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</si>
  <si>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</si>
  <si>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</si>
  <si>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</si>
  <si>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</si>
  <si>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</si>
  <si>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</si>
  <si>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</si>
  <si>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</si>
  <si>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</si>
  <si>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</si>
  <si>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</si>
  <si>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</si>
  <si>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</si>
  <si>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</si>
  <si>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</si>
  <si>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</si>
  <si>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</si>
  <si>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</si>
  <si>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</si>
  <si>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</si>
  <si>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</si>
  <si>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</si>
  <si>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</si>
  <si>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</si>
  <si>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</si>
  <si>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</si>
  <si>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</si>
  <si>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</si>
  <si>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</si>
  <si>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</si>
  <si>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</si>
  <si>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</si>
  <si>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</si>
  <si>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</si>
  <si>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</si>
  <si>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</si>
  <si>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</si>
  <si>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</si>
  <si>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</si>
  <si>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</si>
  <si>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</si>
  <si>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</si>
  <si>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</si>
  <si>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</si>
  <si>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</si>
  <si>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</si>
  <si>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</si>
  <si>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</si>
  <si>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</si>
  <si>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</si>
  <si>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</si>
  <si>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</si>
  <si>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</si>
  <si>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</si>
  <si>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</si>
  <si>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</si>
  <si>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</si>
  <si>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</si>
  <si>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</si>
  <si>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</si>
  <si>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</si>
  <si>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</si>
  <si>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</si>
  <si>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</si>
  <si>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</si>
  <si>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</si>
  <si>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</si>
  <si>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</si>
  <si>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</si>
  <si>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</si>
  <si>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</si>
  <si>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</si>
  <si>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</si>
  <si>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</si>
  <si>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</si>
  <si>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</si>
  <si>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</si>
  <si>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</si>
  <si>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</si>
  <si>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</si>
  <si>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</si>
  <si>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</si>
  <si>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</si>
  <si>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</si>
  <si>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</si>
  <si>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</si>
  <si>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</si>
  <si>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</si>
  <si>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</si>
  <si>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</si>
  <si>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</si>
  <si>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</si>
  <si>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</si>
  <si>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</si>
  <si>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</si>
  <si>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</si>
  <si>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</si>
  <si>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</si>
  <si>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</si>
  <si>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</si>
  <si>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</si>
  <si>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</si>
  <si>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</si>
  <si>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</si>
  <si>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</si>
  <si>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</si>
  <si>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</si>
  <si>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</si>
  <si>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</si>
  <si>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</si>
  <si>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</si>
  <si>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</si>
  <si>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</si>
  <si>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</si>
  <si>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</si>
  <si>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</si>
  <si>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</si>
  <si>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</si>
  <si>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</si>
  <si>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</si>
  <si>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</si>
  <si>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</si>
  <si>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</si>
  <si>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</si>
  <si>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</si>
  <si>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</si>
  <si>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</si>
  <si>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</si>
  <si>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</si>
  <si>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</si>
  <si>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</si>
  <si>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</si>
  <si>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</si>
  <si>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</si>
  <si>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</si>
  <si>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</si>
  <si>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</si>
  <si>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</si>
  <si>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</si>
  <si>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</si>
  <si>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</si>
  <si>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</si>
  <si>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</si>
  <si>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</si>
  <si>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</si>
  <si>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</si>
  <si>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</si>
  <si>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</si>
  <si>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</si>
  <si>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</si>
  <si>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</si>
  <si>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</si>
  <si>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</si>
  <si>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</si>
  <si>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</si>
  <si>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</si>
  <si>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</si>
  <si>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</si>
  <si>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</si>
  <si>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</si>
  <si>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</si>
  <si>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</si>
  <si>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</si>
  <si>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</si>
  <si>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</si>
  <si>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</si>
  <si>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</si>
  <si>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</si>
  <si>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</si>
  <si>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</si>
  <si>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</si>
  <si>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</si>
  <si>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</si>
  <si>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</si>
  <si>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</si>
  <si>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</si>
  <si>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</si>
  <si>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</si>
  <si>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</si>
  <si>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</si>
  <si>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</si>
  <si>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</si>
  <si>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</si>
  <si>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</si>
  <si>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</si>
  <si>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</si>
  <si>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</si>
  <si>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</si>
  <si>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</si>
  <si>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</si>
  <si>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</si>
  <si>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</si>
  <si>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</si>
  <si>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</si>
  <si>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</si>
  <si>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</si>
  <si>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</si>
  <si>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</si>
  <si>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</si>
  <si>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</si>
  <si>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</si>
  <si>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</si>
  <si>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</si>
  <si>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</si>
  <si>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</si>
  <si>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</si>
  <si>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</si>
  <si>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</si>
  <si>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</si>
  <si>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</si>
  <si>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</si>
  <si>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</si>
  <si>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</si>
  <si>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</si>
  <si>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</si>
  <si>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</si>
  <si>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</si>
  <si>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</si>
  <si>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</si>
  <si>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</si>
  <si>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</si>
  <si>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</si>
  <si>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</si>
  <si>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</si>
  <si>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</si>
  <si>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</si>
  <si>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</si>
  <si>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</si>
  <si>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</si>
  <si>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</si>
  <si>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</si>
  <si>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</si>
  <si>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</si>
  <si>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</si>
  <si>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</si>
  <si>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</si>
  <si>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</si>
  <si>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</si>
  <si>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</si>
  <si>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</si>
  <si>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</si>
  <si>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</si>
  <si>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</si>
  <si>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</si>
  <si>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</si>
  <si>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</si>
  <si>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</si>
  <si>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</si>
  <si>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</si>
  <si>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</si>
  <si>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</si>
  <si>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</si>
  <si>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</si>
  <si>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</si>
  <si>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</si>
  <si>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</si>
  <si>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</si>
  <si>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</si>
  <si>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</si>
  <si>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</si>
  <si>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</si>
  <si>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</si>
  <si>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</si>
  <si>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</si>
  <si>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Button 1</t>
  </si>
  <si>
    <t>Button 2</t>
  </si>
  <si>
    <t>Button 3</t>
  </si>
  <si>
    <t>Macros</t>
  </si>
  <si>
    <t>Combine into top 200</t>
  </si>
  <si>
    <t>Combine into top per position</t>
  </si>
  <si>
    <t>Save csv of all players?</t>
  </si>
  <si>
    <t>Add conditional formatting?</t>
  </si>
  <si>
    <t>Eventually make macros so I don’t have to put in equations manually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</si>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</sst>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">
    <xf numFmtId="0" fontId="0" fillId="0" borderId="0" xfId="0"/>
    <xf numFmtId="0" fontId="2" fillId="2" borderId="0" xfId="1"/>
  </cellXfs>
  <cellStyles count="2">
    <cellStyle name="Good" xfId="1" builtinId="26"/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>
  <autoFilter ref="A1:Y24" xr:uid="{00000000-0009-0000-0100-000003000000}"/>
  <tableColumns count="25">
    <tableColumn id="1" xr3:uid="{00000000-0010-0000-0000-000001000000}" name="player_name"/>
    <tableColumn id="2" xr3:uid="{00000000-0010-0000-0000-000002000000}" name="recent_team"/>
    <tableColumn id="3" xr3:uid="{00000000-0010-0000-0000-000003000000}" name="pos"/>
    <tableColumn id="4" xr3:uid="{00000000-0010-0000-0000-000004000000}" name="g"/>
    <tableColumn id="5" xr3:uid="{00000000-0010-0000-0000-000005000000}" name="p_att"/>
    <tableColumn id="6" xr3:uid="{00000000-0010-0000-0000-000006000000}" name="cmp"/>
    <tableColumn id="7" xr3:uid="{00000000-0010-0000-0000-000007000000}" name="p_yd"/>
    <tableColumn id="8" xr3:uid="{00000000-0010-0000-0000-000008000000}" name="p_td"/>
    <tableColumn id="9" xr3:uid="{00000000-0010-0000-0000-000009000000}" name="int"/>
    <tableColumn id="10" xr3:uid="{00000000-0010-0000-0000-00000A000000}" name="car"/>
    <tableColumn id="11" xr3:uid="{00000000-0010-0000-0000-00000B000000}" name="r_yd"/>
    <tableColumn id="12" xr3:uid="{00000000-0010-0000-0000-00000C000000}" name="r_td"/>
    <tableColumn id="13" xr3:uid="{00000000-0010-0000-0000-00000D000000}" name="tgt"/>
    <tableColumn id="14" xr3:uid="{00000000-0010-0000-0000-00000E000000}" name="rec"/>
    <tableColumn id="15" xr3:uid="{00000000-0010-0000-0000-00000F000000}" name="rec_yd"/>
    <tableColumn id="16" xr3:uid="{00000000-0010-0000-0000-000010000000}" name="rec_td"/>
    <tableColumn id="17" xr3:uid="{00000000-0010-0000-0000-000011000000}" name="fmb"/>
    <tableColumn id="18" xr3:uid="{00000000-0010-0000-0000-000012000000}" name="tp_c"/>
    <tableColumn id="19" xr3:uid="{00000000-0010-0000-0000-000013000000}" name="f_ppr"/>
    <tableColumn id="20" xr3:uid="{00000000-0010-0000-0000-000014000000}" name="tgt_share"/>
    <tableColumn id="21" xr3:uid="{00000000-0010-0000-0000-000015000000}" name="ypc"/>
    <tableColumn id="22" xr3:uid="{00000000-0010-0000-0000-000016000000}" name="ypr"/>
    <tableColumn id="23" xr3:uid="{00000000-0010-0000-0000-000017000000}" name="cmp_pct"/>
    <tableColumn id="24" xr3:uid="{00000000-0010-0000-0000-000018000000}" name="td_rate"/>
    <tableColumn id="25" xr3:uid="{9A2293DF-9BEC-4DDF-8C11-34E15C718222}" name="f_custom" dataDxfId="0">
      <calculatedColumnFormula>($G2*Cp_yd)+($H2*Cp_td)+($I2*Cint)+($J2*Ccar)+($K2*Cr_yd)+($L2*Cr_td)+($N2*Crec)+($O2*Crec_yd)+($P2*Crec_td)+($Q2*Cfmb)+($R2*Ctp_c)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>
  <autoFilter ref="A30:M31" xr:uid="{00000000-0009-0000-0100-000004000000}"/>
  <tableColumns count="13">
    <tableColumn id="1" xr3:uid="{00000000-0010-0000-0100-000001000000}" name="team"/>
    <tableColumn id="2" xr3:uid="{00000000-0010-0000-0100-000002000000}" name="off_yd"/>
    <tableColumn id="3" xr3:uid="{00000000-0010-0000-0100-000003000000}" name="p_yd"/>
    <tableColumn id="4" xr3:uid="{00000000-0010-0000-0100-000004000000}" name="car"/>
    <tableColumn id="5" xr3:uid="{00000000-0010-0000-0100-000005000000}" name="r_yd"/>
    <tableColumn id="6" xr3:uid="{00000000-0010-0000-0100-000006000000}" name="r_td"/>
    <tableColumn id="7" xr3:uid="{00000000-0010-0000-0100-000007000000}" name="p_ff"/>
    <tableColumn id="8" xr3:uid="{00000000-0010-0000-0100-000008000000}" name="p_att"/>
    <tableColumn id="9" xr3:uid="{00000000-0010-0000-0100-000009000000}" name="cmp_pct"/>
    <tableColumn id="10" xr3:uid="{00000000-0010-0000-0100-00000A000000}" name="p_td"/>
    <tableColumn id="11" xr3:uid="{00000000-0010-0000-0100-00000B000000}" name="int"/>
    <tableColumn id="12" xr3:uid="{00000000-0010-0000-0100-00000C000000}" name="fmb"/>
    <tableColumn id="13" xr3:uid="{70EB3C8F-0505-4269-B3EA-A8A377387034}" name="f_custom">
      <calculatedColumnFormula>SUM(INDIRECT(A33 &amp; "_Table1[[#All],[f_custom]]"))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>
  <autoFilter ref="A32:M33" xr:uid="{00000000-0009-0000-0100-000005000000}"/>
  <tableColumns count="13">
    <tableColumn id="1" xr3:uid="{00000000-0010-0000-0200-000001000000}" name="team">
      <calculatedColumnFormula>A31</calculatedColumnFormula>
    </tableColumn>
    <tableColumn id="2" xr3:uid="{00000000-0010-0000-0200-000002000000}" name="off_yd">
      <calculatedColumnFormula>C33 + E33</calculatedColumnFormula>
    </tableColumn>
    <tableColumn id="3" xr3:uid="{00000000-0010-0000-0200-000003000000}" name="p_yd">
      <calculatedColumnFormula>SUM(INDIRECT(A33 &amp; "_Table4[[#All],[p_yd]]"))</calculatedColumnFormula>
    </tableColumn>
    <tableColumn id="4" xr3:uid="{00000000-0010-0000-02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>
      <calculatedColumnFormula>SUM(INDIRECT(A33 &amp; "_Table4[[#All],[cmp]]"))/H33</calculatedColumnFormula>
    </tableColumn>
    <tableColumn id="10" xr3:uid="{00000000-0010-0000-02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>
  <autoFilter ref="A35:AB40" xr:uid="{00000000-0009-0000-0100-000006000000}"/>
  <tableColumns count="28">
    <tableColumn id="1" xr3:uid="{00000000-0010-0000-0300-000001000000}" name="Name"/>
    <tableColumn id="2" xr3:uid="{00000000-0010-0000-0300-000002000000}" name="POS"/>
    <tableColumn id="3" xr3:uid="{00000000-0010-0000-0300-000003000000}" name="Age"/>
    <tableColumn id="4" xr3:uid="{00000000-0010-0000-0300-000004000000}" name="Exp"/>
    <tableColumn id="5" xr3:uid="{00000000-0010-0000-0300-000005000000}" name="College"/>
    <tableColumn id="6" xr3:uid="{00000000-0010-0000-0300-000006000000}" name="team"/>
    <tableColumn id="7" xr3:uid="{00000000-0010-0000-0300-000007000000}" name="g"/>
    <tableColumn id="8" xr3:uid="{00000000-0010-0000-0300-000008000000}" name="p_att"/>
    <tableColumn id="9" xr3:uid="{00000000-0010-0000-0300-000009000000}" name="cmp"/>
    <tableColumn id="10" xr3:uid="{00000000-0010-0000-0300-00000A000000}" name="p_yd"/>
    <tableColumn id="11" xr3:uid="{00000000-0010-0000-0300-00000B000000}" name="p_td"/>
    <tableColumn id="12" xr3:uid="{00000000-0010-0000-0300-00000C000000}" name="int"/>
    <tableColumn id="13" xr3:uid="{00000000-0010-0000-0300-00000D000000}" name="car"/>
    <tableColumn id="14" xr3:uid="{00000000-0010-0000-0300-00000E000000}" name="r_yd"/>
    <tableColumn id="15" xr3:uid="{00000000-0010-0000-0300-00000F000000}" name="r_td"/>
    <tableColumn id="16" xr3:uid="{00000000-0010-0000-0300-000010000000}" name="tgt"/>
    <tableColumn id="17" xr3:uid="{00000000-0010-0000-0300-000011000000}" name="rec"/>
    <tableColumn id="18" xr3:uid="{00000000-0010-0000-0300-000012000000}" name="rec_yd"/>
    <tableColumn id="19" xr3:uid="{00000000-0010-0000-0300-000013000000}" name="rec_td"/>
    <tableColumn id="20" xr3:uid="{00000000-0010-0000-0300-000014000000}" name="fmb"/>
    <tableColumn id="21" xr3:uid="{00000000-0010-0000-0300-000015000000}" name="tp_c"/>
    <tableColumn id="22" xr3:uid="{00000000-0010-0000-0300-000016000000}" name="f_ppr"/>
    <tableColumn id="23" xr3:uid="{00000000-0010-0000-0300-000017000000}" name="tgt_share">
      <calculatedColumnFormula>$P36/$H$33</calculatedColumnFormula>
    </tableColumn>
    <tableColumn id="24" xr3:uid="{00000000-0010-0000-0300-000018000000}" name="ypc">
      <calculatedColumnFormula>$N36/$M36</calculatedColumnFormula>
    </tableColumn>
    <tableColumn id="25" xr3:uid="{00000000-0010-0000-0300-000019000000}" name="ypr">
      <calculatedColumnFormula>$R36/$Q36</calculatedColumnFormula>
    </tableColumn>
    <tableColumn id="26" xr3:uid="{00000000-0010-0000-0300-00001A000000}" name="cmp_pct">
      <calculatedColumnFormula>$I36/$H36</calculatedColumnFormula>
    </tableColumn>
    <tableColumn id="27" xr3:uid="{00000000-0010-0000-0300-00001B000000}" name="td_rate">
      <calculatedColumnFormula>$J36/$H36</calculatedColumnFormula>
    </tableColumn>
    <tableColumn id="28" xr3:uid="{00000000-0010-0000-0300-00001C000000}" name="f_custom">
      <calculatedColumnFormula>($J36*Cp_yd)+($K36*Cp_td)+($L36*Cint)+($M36*Ccar)+($N36*Cr_td)+($O36*Cr_yd)+(Q36*Crec)+($R36*Crec_yd)+($S36*Crec_td)+($T36*Cfmb)+($U36*Ctp_c)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>
  <autoFilter ref="A45:AB51" xr:uid="{00000000-0009-0000-0100-000007000000}"/>
  <tableColumns count="28">
    <tableColumn id="1" xr3:uid="{00000000-0010-0000-0400-000001000000}" name="Name"/>
    <tableColumn id="2" xr3:uid="{00000000-0010-0000-0400-000002000000}" name="POS"/>
    <tableColumn id="3" xr3:uid="{00000000-0010-0000-0400-000003000000}" name="Age"/>
    <tableColumn id="4" xr3:uid="{00000000-0010-0000-0400-000004000000}" name="Exp"/>
    <tableColumn id="5" xr3:uid="{00000000-0010-0000-0400-000005000000}" name="College"/>
    <tableColumn id="6" xr3:uid="{00000000-0010-0000-0400-000006000000}" name="team"/>
    <tableColumn id="7" xr3:uid="{00000000-0010-0000-0400-000007000000}" name="g"/>
    <tableColumn id="8" xr3:uid="{00000000-0010-0000-0400-000008000000}" name="p_att"/>
    <tableColumn id="9" xr3:uid="{00000000-0010-0000-0400-000009000000}" name="cmp"/>
    <tableColumn id="10" xr3:uid="{00000000-0010-0000-0400-00000A000000}" name="p_yd"/>
    <tableColumn id="11" xr3:uid="{00000000-0010-0000-0400-00000B000000}" name="p_td"/>
    <tableColumn id="12" xr3:uid="{00000000-0010-0000-0400-00000C000000}" name="int"/>
    <tableColumn id="13" xr3:uid="{00000000-0010-0000-0400-00000D000000}" name="car"/>
    <tableColumn id="14" xr3:uid="{00000000-0010-0000-0400-00000E000000}" name="r_yd"/>
    <tableColumn id="15" xr3:uid="{00000000-0010-0000-0400-00000F000000}" name="r_td"/>
    <tableColumn id="16" xr3:uid="{00000000-0010-0000-0400-000010000000}" name="tgt"/>
    <tableColumn id="17" xr3:uid="{00000000-0010-0000-0400-000011000000}" name="rec"/>
    <tableColumn id="18" xr3:uid="{00000000-0010-0000-0400-000012000000}" name="rec_yd"/>
    <tableColumn id="19" xr3:uid="{00000000-0010-0000-0400-000013000000}" name="rec_td"/>
    <tableColumn id="20" xr3:uid="{00000000-0010-0000-0400-000014000000}" name="fmb"/>
    <tableColumn id="21" xr3:uid="{00000000-0010-0000-0400-000015000000}" name="tp_c"/>
    <tableColumn id="22" xr3:uid="{00000000-0010-0000-0400-000016000000}" name="f_ppr"/>
    <tableColumn id="23" xr3:uid="{00000000-0010-0000-0400-000017000000}" name="tgt_share">
      <calculatedColumnFormula>$P46/$H$33</calculatedColumnFormula>
    </tableColumn>
    <tableColumn id="24" xr3:uid="{00000000-0010-0000-0400-000018000000}" name="ypc">
      <calculatedColumnFormula>$N46/$M46</calculatedColumnFormula>
    </tableColumn>
    <tableColumn id="25" xr3:uid="{00000000-0010-0000-0400-000019000000}" name="ypr">
      <calculatedColumnFormula>$R46/$Q46</calculatedColumnFormula>
    </tableColumn>
    <tableColumn id="26" xr3:uid="{00000000-0010-0000-0400-00001A000000}" name="cmp_pct">
      <calculatedColumnFormula>$R46/$Q46</calculatedColumnFormula>
    </tableColumn>
    <tableColumn id="27" xr3:uid="{00000000-0010-0000-0400-00001B000000}" name="td_rate">
      <calculatedColumnFormula>$J46/$H46</calculatedColumnFormula>
    </tableColumn>
    <tableColumn id="28" xr3:uid="{00000000-0010-0000-04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>
  <autoFilter ref="A60:AB71" xr:uid="{00000000-0009-0000-0100-000008000000}"/>
  <tableColumns count="28">
    <tableColumn id="1" xr3:uid="{00000000-0010-0000-0500-000001000000}" name="Name"/>
    <tableColumn id="2" xr3:uid="{00000000-0010-0000-0500-000002000000}" name="POS"/>
    <tableColumn id="3" xr3:uid="{00000000-0010-0000-0500-000003000000}" name="Age"/>
    <tableColumn id="4" xr3:uid="{00000000-0010-0000-0500-000004000000}" name="Exp"/>
    <tableColumn id="5" xr3:uid="{00000000-0010-0000-0500-000005000000}" name="College"/>
    <tableColumn id="6" xr3:uid="{00000000-0010-0000-0500-000006000000}" name="team"/>
    <tableColumn id="7" xr3:uid="{00000000-0010-0000-0500-000007000000}" name="g"/>
    <tableColumn id="8" xr3:uid="{00000000-0010-0000-0500-000008000000}" name="p_att"/>
    <tableColumn id="9" xr3:uid="{00000000-0010-0000-0500-000009000000}" name="cmp"/>
    <tableColumn id="10" xr3:uid="{00000000-0010-0000-0500-00000A000000}" name="p_yd"/>
    <tableColumn id="11" xr3:uid="{00000000-0010-0000-0500-00000B000000}" name="p_td"/>
    <tableColumn id="12" xr3:uid="{00000000-0010-0000-0500-00000C000000}" name="int"/>
    <tableColumn id="13" xr3:uid="{00000000-0010-0000-0500-00000D000000}" name="car"/>
    <tableColumn id="14" xr3:uid="{00000000-0010-0000-0500-00000E000000}" name="r_yd"/>
    <tableColumn id="15" xr3:uid="{00000000-0010-0000-0500-00000F000000}" name="r_td"/>
    <tableColumn id="16" xr3:uid="{00000000-0010-0000-0500-000010000000}" name="tgt"/>
    <tableColumn id="17" xr3:uid="{00000000-0010-0000-0500-000011000000}" name="rec"/>
    <tableColumn id="18" xr3:uid="{00000000-0010-0000-0500-000012000000}" name="rec_yd"/>
    <tableColumn id="19" xr3:uid="{00000000-0010-0000-0500-000013000000}" name="rec_td"/>
    <tableColumn id="20" xr3:uid="{00000000-0010-0000-0500-000014000000}" name="fmb"/>
    <tableColumn id="21" xr3:uid="{00000000-0010-0000-0500-000015000000}" name="tp_c"/>
    <tableColumn id="22" xr3:uid="{00000000-0010-0000-0500-000016000000}" name="f_ppr"/>
    <tableColumn id="23" xr3:uid="{00000000-0010-0000-0500-000017000000}" name="tgt_share">
      <calculatedColumnFormula>$P61/$H$33</calculatedColumnFormula>
    </tableColumn>
    <tableColumn id="24" xr3:uid="{00000000-0010-0000-0500-000018000000}" name="ypc">
      <calculatedColumnFormula>$N61/$M61</calculatedColumnFormula>
    </tableColumn>
    <tableColumn id="25" xr3:uid="{00000000-0010-0000-0500-000019000000}" name="ypr">
      <calculatedColumnFormula>$R61/$Q61</calculatedColumnFormula>
    </tableColumn>
    <tableColumn id="26" xr3:uid="{00000000-0010-0000-0500-00001A000000}" name="cmp_pct">
      <calculatedColumnFormula>$R61/$Q61</calculatedColumnFormula>
    </tableColumn>
    <tableColumn id="27" xr3:uid="{00000000-0010-0000-0500-00001B000000}" name="td_rate">
      <calculatedColumnFormula>$J61/$H61</calculatedColumnFormula>
    </tableColumn>
    <tableColumn id="28" xr3:uid="{00000000-0010-0000-0500-00001C000000}" name="f_custom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>
  <autoFilter ref="A75:AB82" xr:uid="{00000000-0009-0000-0100-000009000000}"/>
  <tableColumns count="28">
    <tableColumn id="1" xr3:uid="{00000000-0010-0000-0600-000001000000}" name="Name"/>
    <tableColumn id="2" xr3:uid="{00000000-0010-0000-0600-000002000000}" name="POS"/>
    <tableColumn id="3" xr3:uid="{00000000-0010-0000-0600-000003000000}" name="Age"/>
    <tableColumn id="4" xr3:uid="{00000000-0010-0000-0600-000004000000}" name="Exp"/>
    <tableColumn id="5" xr3:uid="{00000000-0010-0000-0600-000005000000}" name="College"/>
    <tableColumn id="6" xr3:uid="{00000000-0010-0000-0600-000006000000}" name="team"/>
    <tableColumn id="7" xr3:uid="{00000000-0010-0000-0600-000007000000}" name="g"/>
    <tableColumn id="8" xr3:uid="{00000000-0010-0000-0600-000008000000}" name="p_att"/>
    <tableColumn id="9" xr3:uid="{00000000-0010-0000-0600-000009000000}" name="cmp"/>
    <tableColumn id="10" xr3:uid="{00000000-0010-0000-0600-00000A000000}" name="p_yd"/>
    <tableColumn id="11" xr3:uid="{00000000-0010-0000-0600-00000B000000}" name="p_td"/>
    <tableColumn id="12" xr3:uid="{00000000-0010-0000-0600-00000C000000}" name="int"/>
    <tableColumn id="13" xr3:uid="{00000000-0010-0000-0600-00000D000000}" name="car"/>
    <tableColumn id="14" xr3:uid="{00000000-0010-0000-0600-00000E000000}" name="r_yd"/>
    <tableColumn id="15" xr3:uid="{00000000-0010-0000-0600-00000F000000}" name="r_td"/>
    <tableColumn id="16" xr3:uid="{00000000-0010-0000-0600-000010000000}" name="tgt"/>
    <tableColumn id="17" xr3:uid="{00000000-0010-0000-0600-000011000000}" name="rec"/>
    <tableColumn id="18" xr3:uid="{00000000-0010-0000-0600-000012000000}" name="rec_yd"/>
    <tableColumn id="19" xr3:uid="{00000000-0010-0000-0600-000013000000}" name="rec_td"/>
    <tableColumn id="20" xr3:uid="{00000000-0010-0000-0600-000014000000}" name="fmb"/>
    <tableColumn id="21" xr3:uid="{00000000-0010-0000-0600-000015000000}" name="tp_c"/>
    <tableColumn id="22" xr3:uid="{00000000-0010-0000-0600-000016000000}" name="f_ppr"/>
    <tableColumn id="23" xr3:uid="{00000000-0010-0000-0600-000017000000}" name="tgt_share">
      <calculatedColumnFormula>$P76/$H$33</calculatedColumnFormula>
    </tableColumn>
    <tableColumn id="24" xr3:uid="{00000000-0010-0000-0600-000018000000}" name="ypc">
      <calculatedColumnFormula>$N76/$M76</calculatedColumnFormula>
    </tableColumn>
    <tableColumn id="25" xr3:uid="{00000000-0010-0000-0600-000019000000}" name="ypr">
      <calculatedColumnFormula>$R76/$Q76</calculatedColumnFormula>
    </tableColumn>
    <tableColumn id="26" xr3:uid="{00000000-0010-0000-0600-00001A000000}" name="cmp_pct">
      <calculatedColumnFormula>$R76/$Q76</calculatedColumnFormula>
    </tableColumn>
    <tableColumn id="27" xr3:uid="{00000000-0010-0000-0600-00001B000000}" name="td_rate">
      <calculatedColumnFormula>$J76/$H76</calculatedColumnFormula>
    </tableColumn>
    <tableColumn id="28" xr3:uid="{00000000-0010-0000-0600-00001C000000}" name="f_custo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>
  <autoFilter ref="A1:Y21" xr:uid="{00000000-0009-0000-0100-00000A000000}"/>
  <tableColumns count="25">
    <tableColumn id="1" xr3:uid="{00000000-0010-0000-0700-000001000000}" name="player_name"/>
    <tableColumn id="2" xr3:uid="{00000000-0010-0000-0700-000002000000}" name="recent_team"/>
    <tableColumn id="3" xr3:uid="{00000000-0010-0000-0700-000003000000}" name="pos"/>
    <tableColumn id="4" xr3:uid="{00000000-0010-0000-0700-000004000000}" name="g"/>
    <tableColumn id="5" xr3:uid="{00000000-0010-0000-0700-000005000000}" name="p_att"/>
    <tableColumn id="6" xr3:uid="{00000000-0010-0000-0700-000006000000}" name="cmp"/>
    <tableColumn id="7" xr3:uid="{00000000-0010-0000-0700-000007000000}" name="p_yd"/>
    <tableColumn id="8" xr3:uid="{00000000-0010-0000-0700-000008000000}" name="p_td"/>
    <tableColumn id="9" xr3:uid="{00000000-0010-0000-0700-000009000000}" name="int"/>
    <tableColumn id="10" xr3:uid="{00000000-0010-0000-0700-00000A000000}" name="car"/>
    <tableColumn id="11" xr3:uid="{00000000-0010-0000-0700-00000B000000}" name="r_yd"/>
    <tableColumn id="12" xr3:uid="{00000000-0010-0000-0700-00000C000000}" name="r_td"/>
    <tableColumn id="13" xr3:uid="{00000000-0010-0000-0700-00000D000000}" name="tgt"/>
    <tableColumn id="14" xr3:uid="{00000000-0010-0000-0700-00000E000000}" name="rec"/>
    <tableColumn id="15" xr3:uid="{00000000-0010-0000-0700-00000F000000}" name="rec_yd"/>
    <tableColumn id="16" xr3:uid="{00000000-0010-0000-0700-000010000000}" name="rec_td"/>
    <tableColumn id="17" xr3:uid="{00000000-0010-0000-0700-000011000000}" name="fmb"/>
    <tableColumn id="18" xr3:uid="{00000000-0010-0000-0700-000012000000}" name="tp_c"/>
    <tableColumn id="19" xr3:uid="{00000000-0010-0000-0700-000013000000}" name="f_ppr"/>
    <tableColumn id="20" xr3:uid="{00000000-0010-0000-0700-000014000000}" name="tgt_share"/>
    <tableColumn id="21" xr3:uid="{00000000-0010-0000-0700-000015000000}" name="ypc"/>
    <tableColumn id="22" xr3:uid="{00000000-0010-0000-0700-000016000000}" name="ypr"/>
    <tableColumn id="23" xr3:uid="{00000000-0010-0000-0700-000017000000}" name="cmp_pct"/>
    <tableColumn id="24" xr3:uid="{00000000-0010-0000-0700-000018000000}" name="td_rate"/>
    <tableColumn id="25" xr3:uid="{41B15D07-F171-48B5-892C-D2B84E390F96}" name="f_custom" dataDxfId="5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L31" totalsRowShown="0">
  <autoFilter ref="A30:L31" xr:uid="{00000000-0009-0000-0100-00000B000000}"/>
  <tableColumns count="12">
    <tableColumn id="1" xr3:uid="{00000000-0010-0000-0800-000001000000}" name="team"/>
    <tableColumn id="2" xr3:uid="{00000000-0010-0000-0800-000002000000}" name="off_yd"/>
    <tableColumn id="3" xr3:uid="{00000000-0010-0000-0800-000003000000}" name="p_yd"/>
    <tableColumn id="4" xr3:uid="{00000000-0010-0000-0800-000004000000}" name="car"/>
    <tableColumn id="5" xr3:uid="{00000000-0010-0000-0800-000005000000}" name="r_yd"/>
    <tableColumn id="6" xr3:uid="{00000000-0010-0000-0800-000006000000}" name="r_td"/>
    <tableColumn id="7" xr3:uid="{00000000-0010-0000-0800-000007000000}" name="p_ff"/>
    <tableColumn id="8" xr3:uid="{00000000-0010-0000-0800-000008000000}" name="p_att"/>
    <tableColumn id="9" xr3:uid="{00000000-0010-0000-0800-000009000000}" name="cmp_pct"/>
    <tableColumn id="10" xr3:uid="{00000000-0010-0000-0800-00000A000000}" name="p_td"/>
    <tableColumn id="11" xr3:uid="{00000000-0010-0000-0800-00000B000000}" name="int"/>
    <tableColumn id="12" xr3:uid="{00000000-0010-0000-0800-00000C000000}" name="fmb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L33" totalsRowShown="0">
  <autoFilter ref="A32:L33" xr:uid="{00000000-0009-0000-0100-00000C000000}"/>
  <tableColumns count="12">
    <tableColumn id="1" xr3:uid="{00000000-0010-0000-0900-000001000000}" name="team">
      <calculatedColumnFormula>A31</calculatedColumnFormula>
    </tableColumn>
    <tableColumn id="2" xr3:uid="{00000000-0010-0000-0900-000002000000}" name="off_yd">
      <calculatedColumnFormula>C33 + E33</calculatedColumnFormula>
    </tableColumn>
    <tableColumn id="3" xr3:uid="{00000000-0010-0000-0900-000003000000}" name="p_yd">
      <calculatedColumnFormula>SUM(INDIRECT(A33 &amp; "_Table4[[#All],[p_yd]]"))</calculatedColumnFormula>
    </tableColumn>
    <tableColumn id="4" xr3:uid="{00000000-0010-0000-09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>
      <calculatedColumnFormula>SUM(INDIRECT(A33 &amp; "_Table4[[#All],[cmp]]"))/H33</calculatedColumnFormula>
    </tableColumn>
    <tableColumn id="10" xr3:uid="{00000000-0010-0000-09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>
  <autoFilter ref="A35:AB38" xr:uid="{00000000-0009-0000-0100-00000D000000}"/>
  <tableColumns count="28">
    <tableColumn id="1" xr3:uid="{00000000-0010-0000-0A00-000001000000}" name="Name"/>
    <tableColumn id="2" xr3:uid="{00000000-0010-0000-0A00-000002000000}" name="POS"/>
    <tableColumn id="3" xr3:uid="{00000000-0010-0000-0A00-000003000000}" name="Age"/>
    <tableColumn id="4" xr3:uid="{00000000-0010-0000-0A00-000004000000}" name="Exp"/>
    <tableColumn id="5" xr3:uid="{00000000-0010-0000-0A00-000005000000}" name="College"/>
    <tableColumn id="6" xr3:uid="{00000000-0010-0000-0A00-000006000000}" name="team"/>
    <tableColumn id="7" xr3:uid="{00000000-0010-0000-0A00-000007000000}" name="g"/>
    <tableColumn id="8" xr3:uid="{00000000-0010-0000-0A00-000008000000}" name="p_att"/>
    <tableColumn id="9" xr3:uid="{00000000-0010-0000-0A00-000009000000}" name="cmp"/>
    <tableColumn id="10" xr3:uid="{00000000-0010-0000-0A00-00000A000000}" name="p_yd"/>
    <tableColumn id="11" xr3:uid="{00000000-0010-0000-0A00-00000B000000}" name="p_td"/>
    <tableColumn id="12" xr3:uid="{00000000-0010-0000-0A00-00000C000000}" name="int"/>
    <tableColumn id="13" xr3:uid="{00000000-0010-0000-0A00-00000D000000}" name="car"/>
    <tableColumn id="14" xr3:uid="{00000000-0010-0000-0A00-00000E000000}" name="r_yd"/>
    <tableColumn id="15" xr3:uid="{00000000-0010-0000-0A00-00000F000000}" name="r_td"/>
    <tableColumn id="16" xr3:uid="{00000000-0010-0000-0A00-000010000000}" name="tgt"/>
    <tableColumn id="17" xr3:uid="{00000000-0010-0000-0A00-000011000000}" name="rec"/>
    <tableColumn id="18" xr3:uid="{00000000-0010-0000-0A00-000012000000}" name="rec_yd"/>
    <tableColumn id="19" xr3:uid="{00000000-0010-0000-0A00-000013000000}" name="rec_td"/>
    <tableColumn id="20" xr3:uid="{00000000-0010-0000-0A00-000014000000}" name="fmb"/>
    <tableColumn id="21" xr3:uid="{00000000-0010-0000-0A00-000015000000}" name="tp_c"/>
    <tableColumn id="22" xr3:uid="{00000000-0010-0000-0A00-000016000000}" name="f_ppr"/>
    <tableColumn id="23" xr3:uid="{00000000-0010-0000-0A00-000017000000}" name="tgt_share"/>
    <tableColumn id="24" xr3:uid="{00000000-0010-0000-0A00-000018000000}" name="ypc"/>
    <tableColumn id="25" xr3:uid="{00000000-0010-0000-0A00-000019000000}" name="ypr"/>
    <tableColumn id="26" xr3:uid="{00000000-0010-0000-0A00-00001A000000}" name="cmp_pct"/>
    <tableColumn id="27" xr3:uid="{00000000-0010-0000-0A00-00001B000000}" name="td_rate"/>
    <tableColumn id="28" xr3:uid="{00000000-0010-0000-0A00-00001C000000}" name="f_custom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>
  <autoFilter ref="A45:AB51" xr:uid="{00000000-0009-0000-0100-00000E000000}"/>
  <tableColumns count="28">
    <tableColumn id="1" xr3:uid="{00000000-0010-0000-0B00-000001000000}" name="Name"/>
    <tableColumn id="2" xr3:uid="{00000000-0010-0000-0B00-000002000000}" name="POS"/>
    <tableColumn id="3" xr3:uid="{00000000-0010-0000-0B00-000003000000}" name="Age"/>
    <tableColumn id="4" xr3:uid="{00000000-0010-0000-0B00-000004000000}" name="Exp"/>
    <tableColumn id="5" xr3:uid="{00000000-0010-0000-0B00-000005000000}" name="College"/>
    <tableColumn id="6" xr3:uid="{00000000-0010-0000-0B00-000006000000}" name="team"/>
    <tableColumn id="7" xr3:uid="{00000000-0010-0000-0B00-000007000000}" name="g"/>
    <tableColumn id="8" xr3:uid="{00000000-0010-0000-0B00-000008000000}" name="p_att"/>
    <tableColumn id="9" xr3:uid="{00000000-0010-0000-0B00-000009000000}" name="cmp"/>
    <tableColumn id="10" xr3:uid="{00000000-0010-0000-0B00-00000A000000}" name="p_yd"/>
    <tableColumn id="11" xr3:uid="{00000000-0010-0000-0B00-00000B000000}" name="p_td"/>
    <tableColumn id="12" xr3:uid="{00000000-0010-0000-0B00-00000C000000}" name="int"/>
    <tableColumn id="13" xr3:uid="{00000000-0010-0000-0B00-00000D000000}" name="car"/>
    <tableColumn id="14" xr3:uid="{00000000-0010-0000-0B00-00000E000000}" name="r_yd"/>
    <tableColumn id="15" xr3:uid="{00000000-0010-0000-0B00-00000F000000}" name="r_td"/>
    <tableColumn id="16" xr3:uid="{00000000-0010-0000-0B00-000010000000}" name="tgt"/>
    <tableColumn id="17" xr3:uid="{00000000-0010-0000-0B00-000011000000}" name="rec"/>
    <tableColumn id="18" xr3:uid="{00000000-0010-0000-0B00-000012000000}" name="rec_yd"/>
    <tableColumn id="19" xr3:uid="{00000000-0010-0000-0B00-000013000000}" name="rec_td"/>
    <tableColumn id="20" xr3:uid="{00000000-0010-0000-0B00-000014000000}" name="fmb"/>
    <tableColumn id="21" xr3:uid="{00000000-0010-0000-0B00-000015000000}" name="tp_c"/>
    <tableColumn id="22" xr3:uid="{00000000-0010-0000-0B00-000016000000}" name="f_ppr"/>
    <tableColumn id="23" xr3:uid="{00000000-0010-0000-0B00-000017000000}" name="tgt_share"/>
    <tableColumn id="24" xr3:uid="{00000000-0010-0000-0B00-000018000000}" name="ypc"/>
    <tableColumn id="25" xr3:uid="{00000000-0010-0000-0B00-000019000000}" name="ypr"/>
    <tableColumn id="26" xr3:uid="{00000000-0010-0000-0B00-00001A000000}" name="cmp_pct"/>
    <tableColumn id="27" xr3:uid="{00000000-0010-0000-0B00-00001B000000}" name="td_rate"/>
    <tableColumn id="28" xr3:uid="{00000000-0010-0000-0B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>
  <autoFilter ref="A60:AB72" xr:uid="{00000000-0009-0000-0100-00000F000000}"/>
  <tableColumns count="28">
    <tableColumn id="1" xr3:uid="{00000000-0010-0000-0C00-000001000000}" name="Name"/>
    <tableColumn id="2" xr3:uid="{00000000-0010-0000-0C00-000002000000}" name="POS"/>
    <tableColumn id="3" xr3:uid="{00000000-0010-0000-0C00-000003000000}" name="Age"/>
    <tableColumn id="4" xr3:uid="{00000000-0010-0000-0C00-000004000000}" name="Exp"/>
    <tableColumn id="5" xr3:uid="{00000000-0010-0000-0C00-000005000000}" name="College"/>
    <tableColumn id="6" xr3:uid="{00000000-0010-0000-0C00-000006000000}" name="team"/>
    <tableColumn id="7" xr3:uid="{00000000-0010-0000-0C00-000007000000}" name="g"/>
    <tableColumn id="8" xr3:uid="{00000000-0010-0000-0C00-000008000000}" name="p_att"/>
    <tableColumn id="9" xr3:uid="{00000000-0010-0000-0C00-000009000000}" name="cmp"/>
    <tableColumn id="10" xr3:uid="{00000000-0010-0000-0C00-00000A000000}" name="p_yd"/>
    <tableColumn id="11" xr3:uid="{00000000-0010-0000-0C00-00000B000000}" name="p_td"/>
    <tableColumn id="12" xr3:uid="{00000000-0010-0000-0C00-00000C000000}" name="int"/>
    <tableColumn id="13" xr3:uid="{00000000-0010-0000-0C00-00000D000000}" name="car"/>
    <tableColumn id="14" xr3:uid="{00000000-0010-0000-0C00-00000E000000}" name="r_yd"/>
    <tableColumn id="15" xr3:uid="{00000000-0010-0000-0C00-00000F000000}" name="r_td"/>
    <tableColumn id="16" xr3:uid="{00000000-0010-0000-0C00-000010000000}" name="tgt"/>
    <tableColumn id="17" xr3:uid="{00000000-0010-0000-0C00-000011000000}" name="rec"/>
    <tableColumn id="18" xr3:uid="{00000000-0010-0000-0C00-000012000000}" name="rec_yd"/>
    <tableColumn id="19" xr3:uid="{00000000-0010-0000-0C00-000013000000}" name="rec_td"/>
    <tableColumn id="20" xr3:uid="{00000000-0010-0000-0C00-000014000000}" name="fmb"/>
    <tableColumn id="21" xr3:uid="{00000000-0010-0000-0C00-000015000000}" name="tp_c"/>
    <tableColumn id="22" xr3:uid="{00000000-0010-0000-0C00-000016000000}" name="f_ppr"/>
    <tableColumn id="23" xr3:uid="{00000000-0010-0000-0C00-000017000000}" name="tgt_share"/>
    <tableColumn id="24" xr3:uid="{00000000-0010-0000-0C00-000018000000}" name="ypc"/>
    <tableColumn id="25" xr3:uid="{00000000-0010-0000-0C00-000019000000}" name="ypr"/>
    <tableColumn id="26" xr3:uid="{00000000-0010-0000-0C00-00001A000000}" name="cmp_pct"/>
    <tableColumn id="27" xr3:uid="{00000000-0010-0000-0C00-00001B000000}" name="td_rate"/>
    <tableColumn id="28" xr3:uid="{00000000-0010-0000-0C00-00001C000000}" name="f_custo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>
  <autoFilter ref="A75:AB82" xr:uid="{00000000-0009-0000-0100-000010000000}"/>
  <tableColumns count="28">
    <tableColumn id="1" xr3:uid="{00000000-0010-0000-0D00-000001000000}" name="Name"/>
    <tableColumn id="2" xr3:uid="{00000000-0010-0000-0D00-000002000000}" name="POS"/>
    <tableColumn id="3" xr3:uid="{00000000-0010-0000-0D00-000003000000}" name="Age"/>
    <tableColumn id="4" xr3:uid="{00000000-0010-0000-0D00-000004000000}" name="Exp"/>
    <tableColumn id="5" xr3:uid="{00000000-0010-0000-0D00-000005000000}" name="College"/>
    <tableColumn id="6" xr3:uid="{00000000-0010-0000-0D00-000006000000}" name="team"/>
    <tableColumn id="7" xr3:uid="{00000000-0010-0000-0D00-000007000000}" name="g"/>
    <tableColumn id="8" xr3:uid="{00000000-0010-0000-0D00-000008000000}" name="p_att"/>
    <tableColumn id="9" xr3:uid="{00000000-0010-0000-0D00-000009000000}" name="cmp"/>
    <tableColumn id="10" xr3:uid="{00000000-0010-0000-0D00-00000A000000}" name="p_yd"/>
    <tableColumn id="11" xr3:uid="{00000000-0010-0000-0D00-00000B000000}" name="p_td"/>
    <tableColumn id="12" xr3:uid="{00000000-0010-0000-0D00-00000C000000}" name="int"/>
    <tableColumn id="13" xr3:uid="{00000000-0010-0000-0D00-00000D000000}" name="car"/>
    <tableColumn id="14" xr3:uid="{00000000-0010-0000-0D00-00000E000000}" name="r_yd"/>
    <tableColumn id="15" xr3:uid="{00000000-0010-0000-0D00-00000F000000}" name="r_td"/>
    <tableColumn id="16" xr3:uid="{00000000-0010-0000-0D00-000010000000}" name="tgt"/>
    <tableColumn id="17" xr3:uid="{00000000-0010-0000-0D00-000011000000}" name="rec"/>
    <tableColumn id="18" xr3:uid="{00000000-0010-0000-0D00-000012000000}" name="rec_yd"/>
    <tableColumn id="19" xr3:uid="{00000000-0010-0000-0D00-000013000000}" name="rec_td"/>
    <tableColumn id="20" xr3:uid="{00000000-0010-0000-0D00-000014000000}" name="fmb"/>
    <tableColumn id="21" xr3:uid="{00000000-0010-0000-0D00-000015000000}" name="tp_c"/>
    <tableColumn id="22" xr3:uid="{00000000-0010-0000-0D00-000016000000}" name="f_ppr"/>
    <tableColumn id="23" xr3:uid="{00000000-0010-0000-0D00-000017000000}" name="tgt_share"/>
    <tableColumn id="24" xr3:uid="{00000000-0010-0000-0D00-000018000000}" name="ypc"/>
    <tableColumn id="25" xr3:uid="{00000000-0010-0000-0D00-000019000000}" name="ypr"/>
    <tableColumn id="26" xr3:uid="{00000000-0010-0000-0D00-00001A000000}" name="cmp_pct"/>
    <tableColumn id="27" xr3:uid="{00000000-0010-0000-0D00-00001B000000}" name="td_rate"/>
    <tableColumn id="28" xr3:uid="{00000000-0010-0000-0D00-00001C000000}" name="f_custo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>
  <autoFilter ref="A1:Y22" xr:uid="{00000000-0009-0000-0100-000011000000}"/>
  <tableColumns count="25">
    <tableColumn id="1" xr3:uid="{00000000-0010-0000-0E00-000001000000}" name="player_name"/>
    <tableColumn id="2" xr3:uid="{00000000-0010-0000-0E00-000002000000}" name="recent_team"/>
    <tableColumn id="3" xr3:uid="{00000000-0010-0000-0E00-000003000000}" name="pos"/>
    <tableColumn id="4" xr3:uid="{00000000-0010-0000-0E00-000004000000}" name="g"/>
    <tableColumn id="5" xr3:uid="{00000000-0010-0000-0E00-000005000000}" name="p_att"/>
    <tableColumn id="6" xr3:uid="{00000000-0010-0000-0E00-000006000000}" name="cmp"/>
    <tableColumn id="7" xr3:uid="{00000000-0010-0000-0E00-000007000000}" name="p_yd"/>
    <tableColumn id="8" xr3:uid="{00000000-0010-0000-0E00-000008000000}" name="p_td"/>
    <tableColumn id="9" xr3:uid="{00000000-0010-0000-0E00-000009000000}" name="int"/>
    <tableColumn id="10" xr3:uid="{00000000-0010-0000-0E00-00000A000000}" name="car"/>
    <tableColumn id="11" xr3:uid="{00000000-0010-0000-0E00-00000B000000}" name="r_yd"/>
    <tableColumn id="12" xr3:uid="{00000000-0010-0000-0E00-00000C000000}" name="r_td"/>
    <tableColumn id="13" xr3:uid="{00000000-0010-0000-0E00-00000D000000}" name="tgt"/>
    <tableColumn id="14" xr3:uid="{00000000-0010-0000-0E00-00000E000000}" name="rec"/>
    <tableColumn id="15" xr3:uid="{00000000-0010-0000-0E00-00000F000000}" name="rec_yd"/>
    <tableColumn id="16" xr3:uid="{00000000-0010-0000-0E00-000010000000}" name="rec_td"/>
    <tableColumn id="17" xr3:uid="{00000000-0010-0000-0E00-000011000000}" name="fmb"/>
    <tableColumn id="18" xr3:uid="{00000000-0010-0000-0E00-000012000000}" name="tp_c"/>
    <tableColumn id="19" xr3:uid="{00000000-0010-0000-0E00-000013000000}" name="f_ppr"/>
    <tableColumn id="20" xr3:uid="{00000000-0010-0000-0E00-000014000000}" name="tgt_share"/>
    <tableColumn id="21" xr3:uid="{00000000-0010-0000-0E00-000015000000}" name="ypc"/>
    <tableColumn id="22" xr3:uid="{00000000-0010-0000-0E00-000016000000}" name="ypr"/>
    <tableColumn id="23" xr3:uid="{00000000-0010-0000-0E00-000017000000}" name="cmp_pct"/>
    <tableColumn id="24" xr3:uid="{00000000-0010-0000-0E00-000018000000}" name="td_rate"/>
    <tableColumn id="25" xr3:uid="{3610B752-9569-47E7-BD12-40F7D53FAE8E}" name="f_custom" dataDxfId="4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L31" totalsRowShown="0">
  <autoFilter ref="A30:L31" xr:uid="{00000000-0009-0000-0100-000012000000}"/>
  <tableColumns count="12">
    <tableColumn id="1" xr3:uid="{00000000-0010-0000-0F00-000001000000}" name="team"/>
    <tableColumn id="2" xr3:uid="{00000000-0010-0000-0F00-000002000000}" name="off_yd"/>
    <tableColumn id="3" xr3:uid="{00000000-0010-0000-0F00-000003000000}" name="p_yd"/>
    <tableColumn id="4" xr3:uid="{00000000-0010-0000-0F00-000004000000}" name="car"/>
    <tableColumn id="5" xr3:uid="{00000000-0010-0000-0F00-000005000000}" name="r_yd"/>
    <tableColumn id="6" xr3:uid="{00000000-0010-0000-0F00-000006000000}" name="r_td"/>
    <tableColumn id="7" xr3:uid="{00000000-0010-0000-0F00-000007000000}" name="p_ff"/>
    <tableColumn id="8" xr3:uid="{00000000-0010-0000-0F00-000008000000}" name="p_att"/>
    <tableColumn id="9" xr3:uid="{00000000-0010-0000-0F00-000009000000}" name="cmp_pct"/>
    <tableColumn id="10" xr3:uid="{00000000-0010-0000-0F00-00000A000000}" name="p_td"/>
    <tableColumn id="11" xr3:uid="{00000000-0010-0000-0F00-00000B000000}" name="int"/>
    <tableColumn id="12" xr3:uid="{00000000-0010-0000-0F00-00000C000000}" name="fmb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L33" totalsRowShown="0">
  <autoFilter ref="A32:L33" xr:uid="{00000000-0009-0000-0100-000013000000}"/>
  <tableColumns count="12">
    <tableColumn id="1" xr3:uid="{00000000-0010-0000-1000-000001000000}" name="team">
      <calculatedColumnFormula>A31</calculatedColumnFormula>
    </tableColumn>
    <tableColumn id="2" xr3:uid="{00000000-0010-0000-1000-000002000000}" name="off_yd">
      <calculatedColumnFormula>C33 + E33</calculatedColumnFormula>
    </tableColumn>
    <tableColumn id="3" xr3:uid="{00000000-0010-0000-1000-000003000000}" name="p_yd">
      <calculatedColumnFormula>SUM(INDIRECT(A33 &amp; "_Table4[[#All],[p_yd]]"))</calculatedColumnFormula>
    </tableColumn>
    <tableColumn id="4" xr3:uid="{00000000-0010-0000-10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>
      <calculatedColumnFormula>SUM(INDIRECT(A33 &amp; "_Table4[[#All],[cmp]]"))/H33</calculatedColumnFormula>
    </tableColumn>
    <tableColumn id="10" xr3:uid="{00000000-0010-0000-10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>
  <autoFilter ref="A35:AB39" xr:uid="{00000000-0009-0000-0100-000014000000}"/>
  <tableColumns count="28">
    <tableColumn id="1" xr3:uid="{00000000-0010-0000-1100-000001000000}" name="Name"/>
    <tableColumn id="2" xr3:uid="{00000000-0010-0000-1100-000002000000}" name="POS"/>
    <tableColumn id="3" xr3:uid="{00000000-0010-0000-1100-000003000000}" name="Age"/>
    <tableColumn id="4" xr3:uid="{00000000-0010-0000-1100-000004000000}" name="Exp"/>
    <tableColumn id="5" xr3:uid="{00000000-0010-0000-1100-000005000000}" name="College"/>
    <tableColumn id="6" xr3:uid="{00000000-0010-0000-1100-000006000000}" name="team"/>
    <tableColumn id="7" xr3:uid="{00000000-0010-0000-1100-000007000000}" name="g"/>
    <tableColumn id="8" xr3:uid="{00000000-0010-0000-1100-000008000000}" name="p_att"/>
    <tableColumn id="9" xr3:uid="{00000000-0010-0000-1100-000009000000}" name="cmp"/>
    <tableColumn id="10" xr3:uid="{00000000-0010-0000-1100-00000A000000}" name="p_yd"/>
    <tableColumn id="11" xr3:uid="{00000000-0010-0000-1100-00000B000000}" name="p_td"/>
    <tableColumn id="12" xr3:uid="{00000000-0010-0000-1100-00000C000000}" name="int"/>
    <tableColumn id="13" xr3:uid="{00000000-0010-0000-1100-00000D000000}" name="car"/>
    <tableColumn id="14" xr3:uid="{00000000-0010-0000-1100-00000E000000}" name="r_yd"/>
    <tableColumn id="15" xr3:uid="{00000000-0010-0000-1100-00000F000000}" name="r_td"/>
    <tableColumn id="16" xr3:uid="{00000000-0010-0000-1100-000010000000}" name="tgt"/>
    <tableColumn id="17" xr3:uid="{00000000-0010-0000-1100-000011000000}" name="rec"/>
    <tableColumn id="18" xr3:uid="{00000000-0010-0000-1100-000012000000}" name="rec_yd"/>
    <tableColumn id="19" xr3:uid="{00000000-0010-0000-1100-000013000000}" name="rec_td"/>
    <tableColumn id="20" xr3:uid="{00000000-0010-0000-1100-000014000000}" name="fmb"/>
    <tableColumn id="21" xr3:uid="{00000000-0010-0000-1100-000015000000}" name="tp_c"/>
    <tableColumn id="22" xr3:uid="{00000000-0010-0000-1100-000016000000}" name="f_ppr"/>
    <tableColumn id="23" xr3:uid="{00000000-0010-0000-1100-000017000000}" name="tgt_share"/>
    <tableColumn id="24" xr3:uid="{00000000-0010-0000-1100-000018000000}" name="ypc"/>
    <tableColumn id="25" xr3:uid="{00000000-0010-0000-1100-000019000000}" name="ypr"/>
    <tableColumn id="26" xr3:uid="{00000000-0010-0000-1100-00001A000000}" name="cmp_pct"/>
    <tableColumn id="27" xr3:uid="{00000000-0010-0000-1100-00001B000000}" name="td_rate"/>
    <tableColumn id="28" xr3:uid="{00000000-0010-0000-1100-00001C000000}" name="f_custom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>
  <autoFilter ref="A45:AB51" xr:uid="{00000000-0009-0000-0100-000015000000}"/>
  <tableColumns count="28">
    <tableColumn id="1" xr3:uid="{00000000-0010-0000-1200-000001000000}" name="Name"/>
    <tableColumn id="2" xr3:uid="{00000000-0010-0000-1200-000002000000}" name="POS"/>
    <tableColumn id="3" xr3:uid="{00000000-0010-0000-1200-000003000000}" name="Age"/>
    <tableColumn id="4" xr3:uid="{00000000-0010-0000-1200-000004000000}" name="Exp"/>
    <tableColumn id="5" xr3:uid="{00000000-0010-0000-1200-000005000000}" name="College"/>
    <tableColumn id="6" xr3:uid="{00000000-0010-0000-1200-000006000000}" name="team"/>
    <tableColumn id="7" xr3:uid="{00000000-0010-0000-1200-000007000000}" name="g"/>
    <tableColumn id="8" xr3:uid="{00000000-0010-0000-1200-000008000000}" name="p_att"/>
    <tableColumn id="9" xr3:uid="{00000000-0010-0000-1200-000009000000}" name="cmp"/>
    <tableColumn id="10" xr3:uid="{00000000-0010-0000-1200-00000A000000}" name="p_yd"/>
    <tableColumn id="11" xr3:uid="{00000000-0010-0000-1200-00000B000000}" name="p_td"/>
    <tableColumn id="12" xr3:uid="{00000000-0010-0000-1200-00000C000000}" name="int"/>
    <tableColumn id="13" xr3:uid="{00000000-0010-0000-1200-00000D000000}" name="car"/>
    <tableColumn id="14" xr3:uid="{00000000-0010-0000-1200-00000E000000}" name="r_yd"/>
    <tableColumn id="15" xr3:uid="{00000000-0010-0000-1200-00000F000000}" name="r_td"/>
    <tableColumn id="16" xr3:uid="{00000000-0010-0000-1200-000010000000}" name="tgt"/>
    <tableColumn id="17" xr3:uid="{00000000-0010-0000-1200-000011000000}" name="rec"/>
    <tableColumn id="18" xr3:uid="{00000000-0010-0000-1200-000012000000}" name="rec_yd"/>
    <tableColumn id="19" xr3:uid="{00000000-0010-0000-1200-000013000000}" name="rec_td"/>
    <tableColumn id="20" xr3:uid="{00000000-0010-0000-1200-000014000000}" name="fmb"/>
    <tableColumn id="21" xr3:uid="{00000000-0010-0000-1200-000015000000}" name="tp_c"/>
    <tableColumn id="22" xr3:uid="{00000000-0010-0000-1200-000016000000}" name="f_ppr"/>
    <tableColumn id="23" xr3:uid="{00000000-0010-0000-1200-000017000000}" name="tgt_share"/>
    <tableColumn id="24" xr3:uid="{00000000-0010-0000-1200-000018000000}" name="ypc"/>
    <tableColumn id="25" xr3:uid="{00000000-0010-0000-1200-000019000000}" name="ypr"/>
    <tableColumn id="26" xr3:uid="{00000000-0010-0000-1200-00001A000000}" name="cmp_pct"/>
    <tableColumn id="27" xr3:uid="{00000000-0010-0000-1200-00001B000000}" name="td_rate"/>
    <tableColumn id="28" xr3:uid="{00000000-0010-0000-12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>
  <autoFilter ref="A60:AB72" xr:uid="{00000000-0009-0000-0100-000016000000}"/>
  <tableColumns count="28">
    <tableColumn id="1" xr3:uid="{00000000-0010-0000-1300-000001000000}" name="Name"/>
    <tableColumn id="2" xr3:uid="{00000000-0010-0000-1300-000002000000}" name="POS"/>
    <tableColumn id="3" xr3:uid="{00000000-0010-0000-1300-000003000000}" name="Age"/>
    <tableColumn id="4" xr3:uid="{00000000-0010-0000-1300-000004000000}" name="Exp"/>
    <tableColumn id="5" xr3:uid="{00000000-0010-0000-1300-000005000000}" name="College"/>
    <tableColumn id="6" xr3:uid="{00000000-0010-0000-1300-000006000000}" name="team"/>
    <tableColumn id="7" xr3:uid="{00000000-0010-0000-1300-000007000000}" name="g"/>
    <tableColumn id="8" xr3:uid="{00000000-0010-0000-1300-000008000000}" name="p_att"/>
    <tableColumn id="9" xr3:uid="{00000000-0010-0000-1300-000009000000}" name="cmp"/>
    <tableColumn id="10" xr3:uid="{00000000-0010-0000-1300-00000A000000}" name="p_yd"/>
    <tableColumn id="11" xr3:uid="{00000000-0010-0000-1300-00000B000000}" name="p_td"/>
    <tableColumn id="12" xr3:uid="{00000000-0010-0000-1300-00000C000000}" name="int"/>
    <tableColumn id="13" xr3:uid="{00000000-0010-0000-1300-00000D000000}" name="car"/>
    <tableColumn id="14" xr3:uid="{00000000-0010-0000-1300-00000E000000}" name="r_yd"/>
    <tableColumn id="15" xr3:uid="{00000000-0010-0000-1300-00000F000000}" name="r_td"/>
    <tableColumn id="16" xr3:uid="{00000000-0010-0000-1300-000010000000}" name="tgt"/>
    <tableColumn id="17" xr3:uid="{00000000-0010-0000-1300-000011000000}" name="rec"/>
    <tableColumn id="18" xr3:uid="{00000000-0010-0000-1300-000012000000}" name="rec_yd"/>
    <tableColumn id="19" xr3:uid="{00000000-0010-0000-1300-000013000000}" name="rec_td"/>
    <tableColumn id="20" xr3:uid="{00000000-0010-0000-1300-000014000000}" name="fmb"/>
    <tableColumn id="21" xr3:uid="{00000000-0010-0000-1300-000015000000}" name="tp_c"/>
    <tableColumn id="22" xr3:uid="{00000000-0010-0000-1300-000016000000}" name="f_ppr"/>
    <tableColumn id="23" xr3:uid="{00000000-0010-0000-1300-000017000000}" name="tgt_share"/>
    <tableColumn id="24" xr3:uid="{00000000-0010-0000-1300-000018000000}" name="ypc"/>
    <tableColumn id="25" xr3:uid="{00000000-0010-0000-1300-000019000000}" name="ypr"/>
    <tableColumn id="26" xr3:uid="{00000000-0010-0000-1300-00001A000000}" name="cmp_pct"/>
    <tableColumn id="27" xr3:uid="{00000000-0010-0000-1300-00001B000000}" name="td_rate"/>
    <tableColumn id="28" xr3:uid="{00000000-0010-0000-1300-00001C000000}" name="f_custom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>
  <autoFilter ref="A75:AB79" xr:uid="{00000000-0009-0000-0100-000017000000}"/>
  <tableColumns count="28">
    <tableColumn id="1" xr3:uid="{00000000-0010-0000-1400-000001000000}" name="Name"/>
    <tableColumn id="2" xr3:uid="{00000000-0010-0000-1400-000002000000}" name="POS"/>
    <tableColumn id="3" xr3:uid="{00000000-0010-0000-1400-000003000000}" name="Age"/>
    <tableColumn id="4" xr3:uid="{00000000-0010-0000-1400-000004000000}" name="Exp"/>
    <tableColumn id="5" xr3:uid="{00000000-0010-0000-1400-000005000000}" name="College"/>
    <tableColumn id="6" xr3:uid="{00000000-0010-0000-1400-000006000000}" name="team"/>
    <tableColumn id="7" xr3:uid="{00000000-0010-0000-1400-000007000000}" name="g"/>
    <tableColumn id="8" xr3:uid="{00000000-0010-0000-1400-000008000000}" name="p_att"/>
    <tableColumn id="9" xr3:uid="{00000000-0010-0000-1400-000009000000}" name="cmp"/>
    <tableColumn id="10" xr3:uid="{00000000-0010-0000-1400-00000A000000}" name="p_yd"/>
    <tableColumn id="11" xr3:uid="{00000000-0010-0000-1400-00000B000000}" name="p_td"/>
    <tableColumn id="12" xr3:uid="{00000000-0010-0000-1400-00000C000000}" name="int"/>
    <tableColumn id="13" xr3:uid="{00000000-0010-0000-1400-00000D000000}" name="car"/>
    <tableColumn id="14" xr3:uid="{00000000-0010-0000-1400-00000E000000}" name="r_yd"/>
    <tableColumn id="15" xr3:uid="{00000000-0010-0000-1400-00000F000000}" name="r_td"/>
    <tableColumn id="16" xr3:uid="{00000000-0010-0000-1400-000010000000}" name="tgt"/>
    <tableColumn id="17" xr3:uid="{00000000-0010-0000-1400-000011000000}" name="rec"/>
    <tableColumn id="18" xr3:uid="{00000000-0010-0000-1400-000012000000}" name="rec_yd"/>
    <tableColumn id="19" xr3:uid="{00000000-0010-0000-1400-000013000000}" name="rec_td"/>
    <tableColumn id="20" xr3:uid="{00000000-0010-0000-1400-000014000000}" name="fmb"/>
    <tableColumn id="21" xr3:uid="{00000000-0010-0000-1400-000015000000}" name="tp_c"/>
    <tableColumn id="22" xr3:uid="{00000000-0010-0000-1400-000016000000}" name="f_ppr"/>
    <tableColumn id="23" xr3:uid="{00000000-0010-0000-1400-000017000000}" name="tgt_share"/>
    <tableColumn id="24" xr3:uid="{00000000-0010-0000-1400-000018000000}" name="ypc"/>
    <tableColumn id="25" xr3:uid="{00000000-0010-0000-1400-000019000000}" name="ypr"/>
    <tableColumn id="26" xr3:uid="{00000000-0010-0000-1400-00001A000000}" name="cmp_pct"/>
    <tableColumn id="27" xr3:uid="{00000000-0010-0000-1400-00001B000000}" name="td_rate"/>
    <tableColumn id="28" xr3:uid="{00000000-0010-0000-1400-00001C000000}" name="f_custom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>
  <autoFilter ref="A1:Y22" xr:uid="{00000000-0009-0000-0100-000018000000}"/>
  <tableColumns count="25">
    <tableColumn id="1" xr3:uid="{00000000-0010-0000-1500-000001000000}" name="player_name"/>
    <tableColumn id="2" xr3:uid="{00000000-0010-0000-1500-000002000000}" name="recent_team"/>
    <tableColumn id="3" xr3:uid="{00000000-0010-0000-1500-000003000000}" name="pos"/>
    <tableColumn id="4" xr3:uid="{00000000-0010-0000-1500-000004000000}" name="g"/>
    <tableColumn id="5" xr3:uid="{00000000-0010-0000-1500-000005000000}" name="p_att"/>
    <tableColumn id="6" xr3:uid="{00000000-0010-0000-1500-000006000000}" name="cmp"/>
    <tableColumn id="7" xr3:uid="{00000000-0010-0000-1500-000007000000}" name="p_yd"/>
    <tableColumn id="8" xr3:uid="{00000000-0010-0000-1500-000008000000}" name="p_td"/>
    <tableColumn id="9" xr3:uid="{00000000-0010-0000-1500-000009000000}" name="int"/>
    <tableColumn id="10" xr3:uid="{00000000-0010-0000-1500-00000A000000}" name="car"/>
    <tableColumn id="11" xr3:uid="{00000000-0010-0000-1500-00000B000000}" name="r_yd"/>
    <tableColumn id="12" xr3:uid="{00000000-0010-0000-1500-00000C000000}" name="r_td"/>
    <tableColumn id="13" xr3:uid="{00000000-0010-0000-1500-00000D000000}" name="tgt"/>
    <tableColumn id="14" xr3:uid="{00000000-0010-0000-1500-00000E000000}" name="rec"/>
    <tableColumn id="15" xr3:uid="{00000000-0010-0000-1500-00000F000000}" name="rec_yd"/>
    <tableColumn id="16" xr3:uid="{00000000-0010-0000-1500-000010000000}" name="rec_td"/>
    <tableColumn id="17" xr3:uid="{00000000-0010-0000-1500-000011000000}" name="fmb"/>
    <tableColumn id="18" xr3:uid="{00000000-0010-0000-1500-000012000000}" name="tp_c"/>
    <tableColumn id="19" xr3:uid="{00000000-0010-0000-1500-000013000000}" name="f_ppr"/>
    <tableColumn id="20" xr3:uid="{00000000-0010-0000-1500-000014000000}" name="tgt_share"/>
    <tableColumn id="21" xr3:uid="{00000000-0010-0000-1500-000015000000}" name="ypc"/>
    <tableColumn id="22" xr3:uid="{00000000-0010-0000-1500-000016000000}" name="ypr"/>
    <tableColumn id="23" xr3:uid="{00000000-0010-0000-1500-000017000000}" name="cmp_pct"/>
    <tableColumn id="24" xr3:uid="{00000000-0010-0000-1500-000018000000}" name="td_rate"/>
    <tableColumn id="25" xr3:uid="{04AE5BDB-85E2-4128-8B04-A6C46DB27B83}" name="f_custom" dataDxfId="3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L31" totalsRowShown="0">
  <autoFilter ref="A30:L31" xr:uid="{00000000-0009-0000-0100-000019000000}"/>
  <tableColumns count="12">
    <tableColumn id="1" xr3:uid="{00000000-0010-0000-1600-000001000000}" name="team"/>
    <tableColumn id="2" xr3:uid="{00000000-0010-0000-1600-000002000000}" name="off_yd"/>
    <tableColumn id="3" xr3:uid="{00000000-0010-0000-1600-000003000000}" name="p_yd"/>
    <tableColumn id="4" xr3:uid="{00000000-0010-0000-1600-000004000000}" name="car"/>
    <tableColumn id="5" xr3:uid="{00000000-0010-0000-1600-000005000000}" name="r_yd"/>
    <tableColumn id="6" xr3:uid="{00000000-0010-0000-1600-000006000000}" name="r_td"/>
    <tableColumn id="7" xr3:uid="{00000000-0010-0000-1600-000007000000}" name="p_ff"/>
    <tableColumn id="8" xr3:uid="{00000000-0010-0000-1600-000008000000}" name="p_att"/>
    <tableColumn id="9" xr3:uid="{00000000-0010-0000-1600-000009000000}" name="cmp_pct"/>
    <tableColumn id="10" xr3:uid="{00000000-0010-0000-1600-00000A000000}" name="p_td"/>
    <tableColumn id="11" xr3:uid="{00000000-0010-0000-1600-00000B000000}" name="int"/>
    <tableColumn id="12" xr3:uid="{00000000-0010-0000-1600-00000C000000}" name="fmb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L33" totalsRowShown="0">
  <autoFilter ref="A32:L33" xr:uid="{00000000-0009-0000-0100-00001A000000}"/>
  <tableColumns count="12">
    <tableColumn id="1" xr3:uid="{00000000-0010-0000-1700-000001000000}" name="team">
      <calculatedColumnFormula>A31</calculatedColumnFormula>
    </tableColumn>
    <tableColumn id="2" xr3:uid="{00000000-0010-0000-1700-000002000000}" name="off_yd">
      <calculatedColumnFormula>C33 + E33</calculatedColumnFormula>
    </tableColumn>
    <tableColumn id="3" xr3:uid="{00000000-0010-0000-1700-000003000000}" name="p_yd">
      <calculatedColumnFormula>SUM(INDIRECT(A33 &amp; "_Table4[[#All],[p_yd]]"))</calculatedColumnFormula>
    </tableColumn>
    <tableColumn id="4" xr3:uid="{00000000-0010-0000-17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>
      <calculatedColumnFormula>SUM(INDIRECT(A33 &amp; "_Table4[[#All],[cmp]]"))/H33</calculatedColumnFormula>
    </tableColumn>
    <tableColumn id="10" xr3:uid="{00000000-0010-0000-17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>
  <autoFilter ref="A35:AB38" xr:uid="{00000000-0009-0000-0100-00001B000000}"/>
  <tableColumns count="28">
    <tableColumn id="1" xr3:uid="{00000000-0010-0000-1800-000001000000}" name="Name"/>
    <tableColumn id="2" xr3:uid="{00000000-0010-0000-1800-000002000000}" name="POS"/>
    <tableColumn id="3" xr3:uid="{00000000-0010-0000-1800-000003000000}" name="Age"/>
    <tableColumn id="4" xr3:uid="{00000000-0010-0000-1800-000004000000}" name="Exp"/>
    <tableColumn id="5" xr3:uid="{00000000-0010-0000-1800-000005000000}" name="College"/>
    <tableColumn id="6" xr3:uid="{00000000-0010-0000-1800-000006000000}" name="team"/>
    <tableColumn id="7" xr3:uid="{00000000-0010-0000-1800-000007000000}" name="g"/>
    <tableColumn id="8" xr3:uid="{00000000-0010-0000-1800-000008000000}" name="p_att"/>
    <tableColumn id="9" xr3:uid="{00000000-0010-0000-1800-000009000000}" name="cmp"/>
    <tableColumn id="10" xr3:uid="{00000000-0010-0000-1800-00000A000000}" name="p_yd"/>
    <tableColumn id="11" xr3:uid="{00000000-0010-0000-1800-00000B000000}" name="p_td"/>
    <tableColumn id="12" xr3:uid="{00000000-0010-0000-1800-00000C000000}" name="int"/>
    <tableColumn id="13" xr3:uid="{00000000-0010-0000-1800-00000D000000}" name="car"/>
    <tableColumn id="14" xr3:uid="{00000000-0010-0000-1800-00000E000000}" name="r_yd"/>
    <tableColumn id="15" xr3:uid="{00000000-0010-0000-1800-00000F000000}" name="r_td"/>
    <tableColumn id="16" xr3:uid="{00000000-0010-0000-1800-000010000000}" name="tgt"/>
    <tableColumn id="17" xr3:uid="{00000000-0010-0000-1800-000011000000}" name="rec"/>
    <tableColumn id="18" xr3:uid="{00000000-0010-0000-1800-000012000000}" name="rec_yd"/>
    <tableColumn id="19" xr3:uid="{00000000-0010-0000-1800-000013000000}" name="rec_td"/>
    <tableColumn id="20" xr3:uid="{00000000-0010-0000-1800-000014000000}" name="fmb"/>
    <tableColumn id="21" xr3:uid="{00000000-0010-0000-1800-000015000000}" name="tp_c"/>
    <tableColumn id="22" xr3:uid="{00000000-0010-0000-1800-000016000000}" name="f_ppr"/>
    <tableColumn id="23" xr3:uid="{00000000-0010-0000-1800-000017000000}" name="tgt_share"/>
    <tableColumn id="24" xr3:uid="{00000000-0010-0000-1800-000018000000}" name="ypc"/>
    <tableColumn id="25" xr3:uid="{00000000-0010-0000-1800-000019000000}" name="ypr"/>
    <tableColumn id="26" xr3:uid="{00000000-0010-0000-1800-00001A000000}" name="cmp_pct"/>
    <tableColumn id="27" xr3:uid="{00000000-0010-0000-1800-00001B000000}" name="td_rate"/>
    <tableColumn id="28" xr3:uid="{00000000-0010-0000-1800-00001C000000}" name="f_custom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>
  <autoFilter ref="A45:AB50" xr:uid="{00000000-0009-0000-0100-00001C000000}"/>
  <tableColumns count="28">
    <tableColumn id="1" xr3:uid="{00000000-0010-0000-1900-000001000000}" name="Name"/>
    <tableColumn id="2" xr3:uid="{00000000-0010-0000-1900-000002000000}" name="POS"/>
    <tableColumn id="3" xr3:uid="{00000000-0010-0000-1900-000003000000}" name="Age"/>
    <tableColumn id="4" xr3:uid="{00000000-0010-0000-1900-000004000000}" name="Exp"/>
    <tableColumn id="5" xr3:uid="{00000000-0010-0000-1900-000005000000}" name="College"/>
    <tableColumn id="6" xr3:uid="{00000000-0010-0000-1900-000006000000}" name="team"/>
    <tableColumn id="7" xr3:uid="{00000000-0010-0000-1900-000007000000}" name="g"/>
    <tableColumn id="8" xr3:uid="{00000000-0010-0000-1900-000008000000}" name="p_att"/>
    <tableColumn id="9" xr3:uid="{00000000-0010-0000-1900-000009000000}" name="cmp"/>
    <tableColumn id="10" xr3:uid="{00000000-0010-0000-1900-00000A000000}" name="p_yd"/>
    <tableColumn id="11" xr3:uid="{00000000-0010-0000-1900-00000B000000}" name="p_td"/>
    <tableColumn id="12" xr3:uid="{00000000-0010-0000-1900-00000C000000}" name="int"/>
    <tableColumn id="13" xr3:uid="{00000000-0010-0000-1900-00000D000000}" name="car"/>
    <tableColumn id="14" xr3:uid="{00000000-0010-0000-1900-00000E000000}" name="r_yd"/>
    <tableColumn id="15" xr3:uid="{00000000-0010-0000-1900-00000F000000}" name="r_td"/>
    <tableColumn id="16" xr3:uid="{00000000-0010-0000-1900-000010000000}" name="tgt"/>
    <tableColumn id="17" xr3:uid="{00000000-0010-0000-1900-000011000000}" name="rec"/>
    <tableColumn id="18" xr3:uid="{00000000-0010-0000-1900-000012000000}" name="rec_yd"/>
    <tableColumn id="19" xr3:uid="{00000000-0010-0000-1900-000013000000}" name="rec_td"/>
    <tableColumn id="20" xr3:uid="{00000000-0010-0000-1900-000014000000}" name="fmb"/>
    <tableColumn id="21" xr3:uid="{00000000-0010-0000-1900-000015000000}" name="tp_c"/>
    <tableColumn id="22" xr3:uid="{00000000-0010-0000-1900-000016000000}" name="f_ppr"/>
    <tableColumn id="23" xr3:uid="{00000000-0010-0000-1900-000017000000}" name="tgt_share"/>
    <tableColumn id="24" xr3:uid="{00000000-0010-0000-1900-000018000000}" name="ypc"/>
    <tableColumn id="25" xr3:uid="{00000000-0010-0000-1900-000019000000}" name="ypr"/>
    <tableColumn id="26" xr3:uid="{00000000-0010-0000-1900-00001A000000}" name="cmp_pct"/>
    <tableColumn id="27" xr3:uid="{00000000-0010-0000-1900-00001B000000}" name="td_rate"/>
    <tableColumn id="28" xr3:uid="{00000000-0010-0000-19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>
  <autoFilter ref="A60:AB73" xr:uid="{00000000-0009-0000-0100-00001D000000}"/>
  <tableColumns count="28">
    <tableColumn id="1" xr3:uid="{00000000-0010-0000-1A00-000001000000}" name="Name"/>
    <tableColumn id="2" xr3:uid="{00000000-0010-0000-1A00-000002000000}" name="POS"/>
    <tableColumn id="3" xr3:uid="{00000000-0010-0000-1A00-000003000000}" name="Age"/>
    <tableColumn id="4" xr3:uid="{00000000-0010-0000-1A00-000004000000}" name="Exp"/>
    <tableColumn id="5" xr3:uid="{00000000-0010-0000-1A00-000005000000}" name="College"/>
    <tableColumn id="6" xr3:uid="{00000000-0010-0000-1A00-000006000000}" name="team"/>
    <tableColumn id="7" xr3:uid="{00000000-0010-0000-1A00-000007000000}" name="g"/>
    <tableColumn id="8" xr3:uid="{00000000-0010-0000-1A00-000008000000}" name="p_att"/>
    <tableColumn id="9" xr3:uid="{00000000-0010-0000-1A00-000009000000}" name="cmp"/>
    <tableColumn id="10" xr3:uid="{00000000-0010-0000-1A00-00000A000000}" name="p_yd"/>
    <tableColumn id="11" xr3:uid="{00000000-0010-0000-1A00-00000B000000}" name="p_td"/>
    <tableColumn id="12" xr3:uid="{00000000-0010-0000-1A00-00000C000000}" name="int"/>
    <tableColumn id="13" xr3:uid="{00000000-0010-0000-1A00-00000D000000}" name="car"/>
    <tableColumn id="14" xr3:uid="{00000000-0010-0000-1A00-00000E000000}" name="r_yd"/>
    <tableColumn id="15" xr3:uid="{00000000-0010-0000-1A00-00000F000000}" name="r_td"/>
    <tableColumn id="16" xr3:uid="{00000000-0010-0000-1A00-000010000000}" name="tgt"/>
    <tableColumn id="17" xr3:uid="{00000000-0010-0000-1A00-000011000000}" name="rec"/>
    <tableColumn id="18" xr3:uid="{00000000-0010-0000-1A00-000012000000}" name="rec_yd"/>
    <tableColumn id="19" xr3:uid="{00000000-0010-0000-1A00-000013000000}" name="rec_td"/>
    <tableColumn id="20" xr3:uid="{00000000-0010-0000-1A00-000014000000}" name="fmb"/>
    <tableColumn id="21" xr3:uid="{00000000-0010-0000-1A00-000015000000}" name="tp_c"/>
    <tableColumn id="22" xr3:uid="{00000000-0010-0000-1A00-000016000000}" name="f_ppr"/>
    <tableColumn id="23" xr3:uid="{00000000-0010-0000-1A00-000017000000}" name="tgt_share"/>
    <tableColumn id="24" xr3:uid="{00000000-0010-0000-1A00-000018000000}" name="ypc"/>
    <tableColumn id="25" xr3:uid="{00000000-0010-0000-1A00-000019000000}" name="ypr"/>
    <tableColumn id="26" xr3:uid="{00000000-0010-0000-1A00-00001A000000}" name="cmp_pct"/>
    <tableColumn id="27" xr3:uid="{00000000-0010-0000-1A00-00001B000000}" name="td_rate"/>
    <tableColumn id="28" xr3:uid="{00000000-0010-0000-1A00-00001C000000}" name="f_custom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>
  <autoFilter ref="A75:AB80" xr:uid="{00000000-0009-0000-0100-00001E000000}"/>
  <tableColumns count="28">
    <tableColumn id="1" xr3:uid="{00000000-0010-0000-1B00-000001000000}" name="Name"/>
    <tableColumn id="2" xr3:uid="{00000000-0010-0000-1B00-000002000000}" name="POS"/>
    <tableColumn id="3" xr3:uid="{00000000-0010-0000-1B00-000003000000}" name="Age"/>
    <tableColumn id="4" xr3:uid="{00000000-0010-0000-1B00-000004000000}" name="Exp"/>
    <tableColumn id="5" xr3:uid="{00000000-0010-0000-1B00-000005000000}" name="College"/>
    <tableColumn id="6" xr3:uid="{00000000-0010-0000-1B00-000006000000}" name="team"/>
    <tableColumn id="7" xr3:uid="{00000000-0010-0000-1B00-000007000000}" name="g"/>
    <tableColumn id="8" xr3:uid="{00000000-0010-0000-1B00-000008000000}" name="p_att"/>
    <tableColumn id="9" xr3:uid="{00000000-0010-0000-1B00-000009000000}" name="cmp"/>
    <tableColumn id="10" xr3:uid="{00000000-0010-0000-1B00-00000A000000}" name="p_yd"/>
    <tableColumn id="11" xr3:uid="{00000000-0010-0000-1B00-00000B000000}" name="p_td"/>
    <tableColumn id="12" xr3:uid="{00000000-0010-0000-1B00-00000C000000}" name="int"/>
    <tableColumn id="13" xr3:uid="{00000000-0010-0000-1B00-00000D000000}" name="car"/>
    <tableColumn id="14" xr3:uid="{00000000-0010-0000-1B00-00000E000000}" name="r_yd"/>
    <tableColumn id="15" xr3:uid="{00000000-0010-0000-1B00-00000F000000}" name="r_td"/>
    <tableColumn id="16" xr3:uid="{00000000-0010-0000-1B00-000010000000}" name="tgt"/>
    <tableColumn id="17" xr3:uid="{00000000-0010-0000-1B00-000011000000}" name="rec"/>
    <tableColumn id="18" xr3:uid="{00000000-0010-0000-1B00-000012000000}" name="rec_yd"/>
    <tableColumn id="19" xr3:uid="{00000000-0010-0000-1B00-000013000000}" name="rec_td"/>
    <tableColumn id="20" xr3:uid="{00000000-0010-0000-1B00-000014000000}" name="fmb"/>
    <tableColumn id="21" xr3:uid="{00000000-0010-0000-1B00-000015000000}" name="tp_c"/>
    <tableColumn id="22" xr3:uid="{00000000-0010-0000-1B00-000016000000}" name="f_ppr"/>
    <tableColumn id="23" xr3:uid="{00000000-0010-0000-1B00-000017000000}" name="tgt_share"/>
    <tableColumn id="24" xr3:uid="{00000000-0010-0000-1B00-000018000000}" name="ypc"/>
    <tableColumn id="25" xr3:uid="{00000000-0010-0000-1B00-000019000000}" name="ypr"/>
    <tableColumn id="26" xr3:uid="{00000000-0010-0000-1B00-00001A000000}" name="cmp_pct"/>
    <tableColumn id="27" xr3:uid="{00000000-0010-0000-1B00-00001B000000}" name="td_rate"/>
    <tableColumn id="28" xr3:uid="{00000000-0010-0000-1B00-00001C000000}" name="f_custom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>
  <autoFilter ref="A1:Y19" xr:uid="{00000000-0009-0000-0100-00001F000000}"/>
  <tableColumns count="25">
    <tableColumn id="1" xr3:uid="{00000000-0010-0000-1C00-000001000000}" name="player_name"/>
    <tableColumn id="2" xr3:uid="{00000000-0010-0000-1C00-000002000000}" name="recent_team"/>
    <tableColumn id="3" xr3:uid="{00000000-0010-0000-1C00-000003000000}" name="pos"/>
    <tableColumn id="4" xr3:uid="{00000000-0010-0000-1C00-000004000000}" name="g"/>
    <tableColumn id="5" xr3:uid="{00000000-0010-0000-1C00-000005000000}" name="p_att"/>
    <tableColumn id="6" xr3:uid="{00000000-0010-0000-1C00-000006000000}" name="cmp"/>
    <tableColumn id="7" xr3:uid="{00000000-0010-0000-1C00-000007000000}" name="p_yd"/>
    <tableColumn id="8" xr3:uid="{00000000-0010-0000-1C00-000008000000}" name="p_td"/>
    <tableColumn id="9" xr3:uid="{00000000-0010-0000-1C00-000009000000}" name="int"/>
    <tableColumn id="10" xr3:uid="{00000000-0010-0000-1C00-00000A000000}" name="car"/>
    <tableColumn id="11" xr3:uid="{00000000-0010-0000-1C00-00000B000000}" name="r_yd"/>
    <tableColumn id="12" xr3:uid="{00000000-0010-0000-1C00-00000C000000}" name="r_td"/>
    <tableColumn id="13" xr3:uid="{00000000-0010-0000-1C00-00000D000000}" name="tgt"/>
    <tableColumn id="14" xr3:uid="{00000000-0010-0000-1C00-00000E000000}" name="rec"/>
    <tableColumn id="15" xr3:uid="{00000000-0010-0000-1C00-00000F000000}" name="rec_yd"/>
    <tableColumn id="16" xr3:uid="{00000000-0010-0000-1C00-000010000000}" name="rec_td"/>
    <tableColumn id="17" xr3:uid="{00000000-0010-0000-1C00-000011000000}" name="fmb"/>
    <tableColumn id="18" xr3:uid="{00000000-0010-0000-1C00-000012000000}" name="tp_c"/>
    <tableColumn id="19" xr3:uid="{00000000-0010-0000-1C00-000013000000}" name="f_ppr"/>
    <tableColumn id="20" xr3:uid="{00000000-0010-0000-1C00-000014000000}" name="tgt_share"/>
    <tableColumn id="21" xr3:uid="{00000000-0010-0000-1C00-000015000000}" name="ypc"/>
    <tableColumn id="22" xr3:uid="{00000000-0010-0000-1C00-000016000000}" name="ypr"/>
    <tableColumn id="23" xr3:uid="{00000000-0010-0000-1C00-000017000000}" name="cmp_pct"/>
    <tableColumn id="24" xr3:uid="{00000000-0010-0000-1C00-000018000000}" name="td_rate"/>
    <tableColumn id="25" xr3:uid="{4D331BD8-1526-4B0E-B011-B0A9070EB3DB}" name="f_custom" dataDxfId="2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L31" totalsRowShown="0">
  <autoFilter ref="A30:L31" xr:uid="{00000000-0009-0000-0100-000020000000}"/>
  <tableColumns count="12">
    <tableColumn id="1" xr3:uid="{00000000-0010-0000-1D00-000001000000}" name="team"/>
    <tableColumn id="2" xr3:uid="{00000000-0010-0000-1D00-000002000000}" name="off_yd"/>
    <tableColumn id="3" xr3:uid="{00000000-0010-0000-1D00-000003000000}" name="p_yd"/>
    <tableColumn id="4" xr3:uid="{00000000-0010-0000-1D00-000004000000}" name="car"/>
    <tableColumn id="5" xr3:uid="{00000000-0010-0000-1D00-000005000000}" name="r_yd"/>
    <tableColumn id="6" xr3:uid="{00000000-0010-0000-1D00-000006000000}" name="r_td"/>
    <tableColumn id="7" xr3:uid="{00000000-0010-0000-1D00-000007000000}" name="p_ff"/>
    <tableColumn id="8" xr3:uid="{00000000-0010-0000-1D00-000008000000}" name="p_att"/>
    <tableColumn id="9" xr3:uid="{00000000-0010-0000-1D00-000009000000}" name="cmp_pct"/>
    <tableColumn id="10" xr3:uid="{00000000-0010-0000-1D00-00000A000000}" name="p_td"/>
    <tableColumn id="11" xr3:uid="{00000000-0010-0000-1D00-00000B000000}" name="int"/>
    <tableColumn id="12" xr3:uid="{00000000-0010-0000-1D00-00000C000000}" name="fmb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L33" totalsRowShown="0">
  <autoFilter ref="A32:L33" xr:uid="{00000000-0009-0000-0100-000021000000}"/>
  <tableColumns count="12">
    <tableColumn id="1" xr3:uid="{00000000-0010-0000-1E00-000001000000}" name="team">
      <calculatedColumnFormula>A31</calculatedColumnFormula>
    </tableColumn>
    <tableColumn id="2" xr3:uid="{00000000-0010-0000-1E00-000002000000}" name="off_yd">
      <calculatedColumnFormula>C33 + E33</calculatedColumnFormula>
    </tableColumn>
    <tableColumn id="3" xr3:uid="{00000000-0010-0000-1E00-000003000000}" name="p_yd">
      <calculatedColumnFormula>SUM(INDIRECT(A33 &amp; "_Table4[[#All],[p_yd]]"))</calculatedColumnFormula>
    </tableColumn>
    <tableColumn id="4" xr3:uid="{00000000-0010-0000-1E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>
      <calculatedColumnFormula>SUM(INDIRECT(A33 &amp; "_Table4[[#All],[cmp]]"))/H33</calculatedColumnFormula>
    </tableColumn>
    <tableColumn id="10" xr3:uid="{00000000-0010-0000-1E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>
  <autoFilter ref="A35:AB39" xr:uid="{00000000-0009-0000-0100-000022000000}"/>
  <tableColumns count="28">
    <tableColumn id="1" xr3:uid="{00000000-0010-0000-1F00-000001000000}" name="Name"/>
    <tableColumn id="2" xr3:uid="{00000000-0010-0000-1F00-000002000000}" name="POS"/>
    <tableColumn id="3" xr3:uid="{00000000-0010-0000-1F00-000003000000}" name="Age"/>
    <tableColumn id="4" xr3:uid="{00000000-0010-0000-1F00-000004000000}" name="Exp"/>
    <tableColumn id="5" xr3:uid="{00000000-0010-0000-1F00-000005000000}" name="College"/>
    <tableColumn id="6" xr3:uid="{00000000-0010-0000-1F00-000006000000}" name="team"/>
    <tableColumn id="7" xr3:uid="{00000000-0010-0000-1F00-000007000000}" name="g"/>
    <tableColumn id="8" xr3:uid="{00000000-0010-0000-1F00-000008000000}" name="p_att"/>
    <tableColumn id="9" xr3:uid="{00000000-0010-0000-1F00-000009000000}" name="cmp"/>
    <tableColumn id="10" xr3:uid="{00000000-0010-0000-1F00-00000A000000}" name="p_yd"/>
    <tableColumn id="11" xr3:uid="{00000000-0010-0000-1F00-00000B000000}" name="p_td"/>
    <tableColumn id="12" xr3:uid="{00000000-0010-0000-1F00-00000C000000}" name="int"/>
    <tableColumn id="13" xr3:uid="{00000000-0010-0000-1F00-00000D000000}" name="car"/>
    <tableColumn id="14" xr3:uid="{00000000-0010-0000-1F00-00000E000000}" name="r_yd"/>
    <tableColumn id="15" xr3:uid="{00000000-0010-0000-1F00-00000F000000}" name="r_td"/>
    <tableColumn id="16" xr3:uid="{00000000-0010-0000-1F00-000010000000}" name="tgt"/>
    <tableColumn id="17" xr3:uid="{00000000-0010-0000-1F00-000011000000}" name="rec"/>
    <tableColumn id="18" xr3:uid="{00000000-0010-0000-1F00-000012000000}" name="rec_yd"/>
    <tableColumn id="19" xr3:uid="{00000000-0010-0000-1F00-000013000000}" name="rec_td"/>
    <tableColumn id="20" xr3:uid="{00000000-0010-0000-1F00-000014000000}" name="fmb"/>
    <tableColumn id="21" xr3:uid="{00000000-0010-0000-1F00-000015000000}" name="tp_c"/>
    <tableColumn id="22" xr3:uid="{00000000-0010-0000-1F00-000016000000}" name="f_ppr"/>
    <tableColumn id="23" xr3:uid="{00000000-0010-0000-1F00-000017000000}" name="tgt_share"/>
    <tableColumn id="24" xr3:uid="{00000000-0010-0000-1F00-000018000000}" name="ypc"/>
    <tableColumn id="25" xr3:uid="{00000000-0010-0000-1F00-000019000000}" name="ypr"/>
    <tableColumn id="26" xr3:uid="{00000000-0010-0000-1F00-00001A000000}" name="cmp_pct"/>
    <tableColumn id="27" xr3:uid="{00000000-0010-0000-1F00-00001B000000}" name="td_rate"/>
    <tableColumn id="28" xr3:uid="{00000000-0010-0000-1F00-00001C000000}" name="f_custom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>
  <autoFilter ref="A45:AB50" xr:uid="{00000000-0009-0000-0100-000023000000}"/>
  <tableColumns count="28">
    <tableColumn id="1" xr3:uid="{00000000-0010-0000-2000-000001000000}" name="Name"/>
    <tableColumn id="2" xr3:uid="{00000000-0010-0000-2000-000002000000}" name="POS"/>
    <tableColumn id="3" xr3:uid="{00000000-0010-0000-2000-000003000000}" name="Age"/>
    <tableColumn id="4" xr3:uid="{00000000-0010-0000-2000-000004000000}" name="Exp"/>
    <tableColumn id="5" xr3:uid="{00000000-0010-0000-2000-000005000000}" name="College"/>
    <tableColumn id="6" xr3:uid="{00000000-0010-0000-2000-000006000000}" name="team"/>
    <tableColumn id="7" xr3:uid="{00000000-0010-0000-2000-000007000000}" name="g"/>
    <tableColumn id="8" xr3:uid="{00000000-0010-0000-2000-000008000000}" name="p_att"/>
    <tableColumn id="9" xr3:uid="{00000000-0010-0000-2000-000009000000}" name="cmp"/>
    <tableColumn id="10" xr3:uid="{00000000-0010-0000-2000-00000A000000}" name="p_yd"/>
    <tableColumn id="11" xr3:uid="{00000000-0010-0000-2000-00000B000000}" name="p_td"/>
    <tableColumn id="12" xr3:uid="{00000000-0010-0000-2000-00000C000000}" name="int"/>
    <tableColumn id="13" xr3:uid="{00000000-0010-0000-2000-00000D000000}" name="car"/>
    <tableColumn id="14" xr3:uid="{00000000-0010-0000-2000-00000E000000}" name="r_yd"/>
    <tableColumn id="15" xr3:uid="{00000000-0010-0000-2000-00000F000000}" name="r_td"/>
    <tableColumn id="16" xr3:uid="{00000000-0010-0000-2000-000010000000}" name="tgt"/>
    <tableColumn id="17" xr3:uid="{00000000-0010-0000-2000-000011000000}" name="rec"/>
    <tableColumn id="18" xr3:uid="{00000000-0010-0000-2000-000012000000}" name="rec_yd"/>
    <tableColumn id="19" xr3:uid="{00000000-0010-0000-2000-000013000000}" name="rec_td"/>
    <tableColumn id="20" xr3:uid="{00000000-0010-0000-2000-000014000000}" name="fmb"/>
    <tableColumn id="21" xr3:uid="{00000000-0010-0000-2000-000015000000}" name="tp_c"/>
    <tableColumn id="22" xr3:uid="{00000000-0010-0000-2000-000016000000}" name="f_ppr"/>
    <tableColumn id="23" xr3:uid="{00000000-0010-0000-2000-000017000000}" name="tgt_share"/>
    <tableColumn id="24" xr3:uid="{00000000-0010-0000-2000-000018000000}" name="ypc"/>
    <tableColumn id="25" xr3:uid="{00000000-0010-0000-2000-000019000000}" name="ypr"/>
    <tableColumn id="26" xr3:uid="{00000000-0010-0000-2000-00001A000000}" name="cmp_pct"/>
    <tableColumn id="27" xr3:uid="{00000000-0010-0000-2000-00001B000000}" name="td_rate"/>
    <tableColumn id="28" xr3:uid="{00000000-0010-0000-20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>
  <autoFilter ref="A60:AB72" xr:uid="{00000000-0009-0000-0100-000024000000}"/>
  <tableColumns count="28">
    <tableColumn id="1" xr3:uid="{00000000-0010-0000-2100-000001000000}" name="Name"/>
    <tableColumn id="2" xr3:uid="{00000000-0010-0000-2100-000002000000}" name="POS"/>
    <tableColumn id="3" xr3:uid="{00000000-0010-0000-2100-000003000000}" name="Age"/>
    <tableColumn id="4" xr3:uid="{00000000-0010-0000-2100-000004000000}" name="Exp"/>
    <tableColumn id="5" xr3:uid="{00000000-0010-0000-2100-000005000000}" name="College"/>
    <tableColumn id="6" xr3:uid="{00000000-0010-0000-2100-000006000000}" name="team"/>
    <tableColumn id="7" xr3:uid="{00000000-0010-0000-2100-000007000000}" name="g"/>
    <tableColumn id="8" xr3:uid="{00000000-0010-0000-2100-000008000000}" name="p_att"/>
    <tableColumn id="9" xr3:uid="{00000000-0010-0000-2100-000009000000}" name="cmp"/>
    <tableColumn id="10" xr3:uid="{00000000-0010-0000-2100-00000A000000}" name="p_yd"/>
    <tableColumn id="11" xr3:uid="{00000000-0010-0000-2100-00000B000000}" name="p_td"/>
    <tableColumn id="12" xr3:uid="{00000000-0010-0000-2100-00000C000000}" name="int"/>
    <tableColumn id="13" xr3:uid="{00000000-0010-0000-2100-00000D000000}" name="car"/>
    <tableColumn id="14" xr3:uid="{00000000-0010-0000-2100-00000E000000}" name="r_yd"/>
    <tableColumn id="15" xr3:uid="{00000000-0010-0000-2100-00000F000000}" name="r_td"/>
    <tableColumn id="16" xr3:uid="{00000000-0010-0000-2100-000010000000}" name="tgt"/>
    <tableColumn id="17" xr3:uid="{00000000-0010-0000-2100-000011000000}" name="rec"/>
    <tableColumn id="18" xr3:uid="{00000000-0010-0000-2100-000012000000}" name="rec_yd"/>
    <tableColumn id="19" xr3:uid="{00000000-0010-0000-2100-000013000000}" name="rec_td"/>
    <tableColumn id="20" xr3:uid="{00000000-0010-0000-2100-000014000000}" name="fmb"/>
    <tableColumn id="21" xr3:uid="{00000000-0010-0000-2100-000015000000}" name="tp_c"/>
    <tableColumn id="22" xr3:uid="{00000000-0010-0000-2100-000016000000}" name="f_ppr"/>
    <tableColumn id="23" xr3:uid="{00000000-0010-0000-2100-000017000000}" name="tgt_share"/>
    <tableColumn id="24" xr3:uid="{00000000-0010-0000-2100-000018000000}" name="ypc"/>
    <tableColumn id="25" xr3:uid="{00000000-0010-0000-2100-000019000000}" name="ypr"/>
    <tableColumn id="26" xr3:uid="{00000000-0010-0000-2100-00001A000000}" name="cmp_pct"/>
    <tableColumn id="27" xr3:uid="{00000000-0010-0000-2100-00001B000000}" name="td_rate"/>
    <tableColumn id="28" xr3:uid="{00000000-0010-0000-2100-00001C000000}" name="f_custom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>
  <autoFilter ref="A75:AB80" xr:uid="{00000000-0009-0000-0100-000025000000}"/>
  <tableColumns count="28">
    <tableColumn id="1" xr3:uid="{00000000-0010-0000-2200-000001000000}" name="Name"/>
    <tableColumn id="2" xr3:uid="{00000000-0010-0000-2200-000002000000}" name="POS"/>
    <tableColumn id="3" xr3:uid="{00000000-0010-0000-2200-000003000000}" name="Age"/>
    <tableColumn id="4" xr3:uid="{00000000-0010-0000-2200-000004000000}" name="Exp"/>
    <tableColumn id="5" xr3:uid="{00000000-0010-0000-2200-000005000000}" name="College"/>
    <tableColumn id="6" xr3:uid="{00000000-0010-0000-2200-000006000000}" name="team"/>
    <tableColumn id="7" xr3:uid="{00000000-0010-0000-2200-000007000000}" name="g"/>
    <tableColumn id="8" xr3:uid="{00000000-0010-0000-2200-000008000000}" name="p_att"/>
    <tableColumn id="9" xr3:uid="{00000000-0010-0000-2200-000009000000}" name="cmp"/>
    <tableColumn id="10" xr3:uid="{00000000-0010-0000-2200-00000A000000}" name="p_yd"/>
    <tableColumn id="11" xr3:uid="{00000000-0010-0000-2200-00000B000000}" name="p_td"/>
    <tableColumn id="12" xr3:uid="{00000000-0010-0000-2200-00000C000000}" name="int"/>
    <tableColumn id="13" xr3:uid="{00000000-0010-0000-2200-00000D000000}" name="car"/>
    <tableColumn id="14" xr3:uid="{00000000-0010-0000-2200-00000E000000}" name="r_yd"/>
    <tableColumn id="15" xr3:uid="{00000000-0010-0000-2200-00000F000000}" name="r_td"/>
    <tableColumn id="16" xr3:uid="{00000000-0010-0000-2200-000010000000}" name="tgt"/>
    <tableColumn id="17" xr3:uid="{00000000-0010-0000-2200-000011000000}" name="rec"/>
    <tableColumn id="18" xr3:uid="{00000000-0010-0000-2200-000012000000}" name="rec_yd"/>
    <tableColumn id="19" xr3:uid="{00000000-0010-0000-2200-000013000000}" name="rec_td"/>
    <tableColumn id="20" xr3:uid="{00000000-0010-0000-2200-000014000000}" name="fmb"/>
    <tableColumn id="21" xr3:uid="{00000000-0010-0000-2200-000015000000}" name="tp_c"/>
    <tableColumn id="22" xr3:uid="{00000000-0010-0000-2200-000016000000}" name="f_ppr"/>
    <tableColumn id="23" xr3:uid="{00000000-0010-0000-2200-000017000000}" name="tgt_share"/>
    <tableColumn id="24" xr3:uid="{00000000-0010-0000-2200-000018000000}" name="ypc"/>
    <tableColumn id="25" xr3:uid="{00000000-0010-0000-2200-000019000000}" name="ypr"/>
    <tableColumn id="26" xr3:uid="{00000000-0010-0000-2200-00001A000000}" name="cmp_pct"/>
    <tableColumn id="27" xr3:uid="{00000000-0010-0000-2200-00001B000000}" name="td_rate"/>
    <tableColumn id="28" xr3:uid="{00000000-0010-0000-2200-00001C000000}" name="f_custom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>
  <autoFilter ref="A1:Y23" xr:uid="{00000000-0009-0000-0100-000026000000}"/>
  <tableColumns count="25">
    <tableColumn id="1" xr3:uid="{00000000-0010-0000-2300-000001000000}" name="player_name"/>
    <tableColumn id="2" xr3:uid="{00000000-0010-0000-2300-000002000000}" name="recent_team"/>
    <tableColumn id="3" xr3:uid="{00000000-0010-0000-2300-000003000000}" name="pos"/>
    <tableColumn id="4" xr3:uid="{00000000-0010-0000-2300-000004000000}" name="g"/>
    <tableColumn id="5" xr3:uid="{00000000-0010-0000-2300-000005000000}" name="p_att"/>
    <tableColumn id="6" xr3:uid="{00000000-0010-0000-2300-000006000000}" name="cmp"/>
    <tableColumn id="7" xr3:uid="{00000000-0010-0000-2300-000007000000}" name="p_yd"/>
    <tableColumn id="8" xr3:uid="{00000000-0010-0000-2300-000008000000}" name="p_td"/>
    <tableColumn id="9" xr3:uid="{00000000-0010-0000-2300-000009000000}" name="int"/>
    <tableColumn id="10" xr3:uid="{00000000-0010-0000-2300-00000A000000}" name="car"/>
    <tableColumn id="11" xr3:uid="{00000000-0010-0000-2300-00000B000000}" name="r_yd"/>
    <tableColumn id="12" xr3:uid="{00000000-0010-0000-2300-00000C000000}" name="r_td"/>
    <tableColumn id="13" xr3:uid="{00000000-0010-0000-2300-00000D000000}" name="tgt"/>
    <tableColumn id="14" xr3:uid="{00000000-0010-0000-2300-00000E000000}" name="rec"/>
    <tableColumn id="15" xr3:uid="{00000000-0010-0000-2300-00000F000000}" name="rec_yd"/>
    <tableColumn id="16" xr3:uid="{00000000-0010-0000-2300-000010000000}" name="rec_td"/>
    <tableColumn id="17" xr3:uid="{00000000-0010-0000-2300-000011000000}" name="fmb"/>
    <tableColumn id="18" xr3:uid="{00000000-0010-0000-2300-000012000000}" name="tp_c"/>
    <tableColumn id="19" xr3:uid="{00000000-0010-0000-2300-000013000000}" name="f_ppr"/>
    <tableColumn id="20" xr3:uid="{00000000-0010-0000-2300-000014000000}" name="tgt_share"/>
    <tableColumn id="21" xr3:uid="{00000000-0010-0000-2300-000015000000}" name="ypc"/>
    <tableColumn id="22" xr3:uid="{00000000-0010-0000-2300-000016000000}" name="ypr"/>
    <tableColumn id="23" xr3:uid="{00000000-0010-0000-2300-000017000000}" name="cmp_pct"/>
    <tableColumn id="24" xr3:uid="{00000000-0010-0000-2300-000018000000}" name="td_rate"/>
    <tableColumn id="25" xr3:uid="{4374D72A-04BF-4A60-A1F7-89EBEC2B1F61}" name="f_custom" dataDxfId="1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L31" totalsRowShown="0">
  <autoFilter ref="A30:L31" xr:uid="{00000000-0009-0000-0100-000027000000}"/>
  <tableColumns count="12">
    <tableColumn id="1" xr3:uid="{00000000-0010-0000-2400-000001000000}" name="team"/>
    <tableColumn id="2" xr3:uid="{00000000-0010-0000-2400-000002000000}" name="off_yd"/>
    <tableColumn id="3" xr3:uid="{00000000-0010-0000-2400-000003000000}" name="p_yd"/>
    <tableColumn id="4" xr3:uid="{00000000-0010-0000-2400-000004000000}" name="car"/>
    <tableColumn id="5" xr3:uid="{00000000-0010-0000-2400-000005000000}" name="r_yd"/>
    <tableColumn id="6" xr3:uid="{00000000-0010-0000-2400-000006000000}" name="r_td"/>
    <tableColumn id="7" xr3:uid="{00000000-0010-0000-2400-000007000000}" name="p_ff"/>
    <tableColumn id="8" xr3:uid="{00000000-0010-0000-2400-000008000000}" name="p_att"/>
    <tableColumn id="9" xr3:uid="{00000000-0010-0000-2400-000009000000}" name="cmp_pct"/>
    <tableColumn id="10" xr3:uid="{00000000-0010-0000-2400-00000A000000}" name="p_td"/>
    <tableColumn id="11" xr3:uid="{00000000-0010-0000-2400-00000B000000}" name="int"/>
    <tableColumn id="12" xr3:uid="{00000000-0010-0000-2400-00000C000000}" name="fmb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L33" totalsRowShown="0">
  <autoFilter ref="A32:L33" xr:uid="{00000000-0009-0000-0100-000028000000}"/>
  <tableColumns count="12">
    <tableColumn id="1" xr3:uid="{00000000-0010-0000-2500-000001000000}" name="team">
      <calculatedColumnFormula>A31</calculatedColumnFormula>
    </tableColumn>
    <tableColumn id="2" xr3:uid="{00000000-0010-0000-2500-000002000000}" name="off_yd">
      <calculatedColumnFormula>C33 + E33</calculatedColumnFormula>
    </tableColumn>
    <tableColumn id="3" xr3:uid="{00000000-0010-0000-2500-000003000000}" name="p_yd">
      <calculatedColumnFormula>SUM(INDIRECT(A33 &amp; "_Table4[[#All],[p_yd]]"))</calculatedColumnFormula>
    </tableColumn>
    <tableColumn id="4" xr3:uid="{00000000-0010-0000-25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>
      <calculatedColumnFormula>SUM(INDIRECT(A33 &amp; "_Table4[[#All],[cmp]]"))/H33</calculatedColumnFormula>
    </tableColumn>
    <tableColumn id="10" xr3:uid="{00000000-0010-0000-25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>
  <autoFilter ref="A35:AB39" xr:uid="{00000000-0009-0000-0100-000029000000}"/>
  <tableColumns count="28">
    <tableColumn id="1" xr3:uid="{00000000-0010-0000-2600-000001000000}" name="Name"/>
    <tableColumn id="2" xr3:uid="{00000000-0010-0000-2600-000002000000}" name="POS"/>
    <tableColumn id="3" xr3:uid="{00000000-0010-0000-2600-000003000000}" name="Age"/>
    <tableColumn id="4" xr3:uid="{00000000-0010-0000-2600-000004000000}" name="Exp"/>
    <tableColumn id="5" xr3:uid="{00000000-0010-0000-2600-000005000000}" name="College"/>
    <tableColumn id="6" xr3:uid="{00000000-0010-0000-2600-000006000000}" name="team"/>
    <tableColumn id="7" xr3:uid="{00000000-0010-0000-2600-000007000000}" name="g"/>
    <tableColumn id="8" xr3:uid="{00000000-0010-0000-2600-000008000000}" name="p_att"/>
    <tableColumn id="9" xr3:uid="{00000000-0010-0000-2600-000009000000}" name="cmp"/>
    <tableColumn id="10" xr3:uid="{00000000-0010-0000-2600-00000A000000}" name="p_yd"/>
    <tableColumn id="11" xr3:uid="{00000000-0010-0000-2600-00000B000000}" name="p_td"/>
    <tableColumn id="12" xr3:uid="{00000000-0010-0000-2600-00000C000000}" name="int"/>
    <tableColumn id="13" xr3:uid="{00000000-0010-0000-2600-00000D000000}" name="car"/>
    <tableColumn id="14" xr3:uid="{00000000-0010-0000-2600-00000E000000}" name="r_yd"/>
    <tableColumn id="15" xr3:uid="{00000000-0010-0000-2600-00000F000000}" name="r_td"/>
    <tableColumn id="16" xr3:uid="{00000000-0010-0000-2600-000010000000}" name="tgt"/>
    <tableColumn id="17" xr3:uid="{00000000-0010-0000-2600-000011000000}" name="rec"/>
    <tableColumn id="18" xr3:uid="{00000000-0010-0000-2600-000012000000}" name="rec_yd"/>
    <tableColumn id="19" xr3:uid="{00000000-0010-0000-2600-000013000000}" name="rec_td"/>
    <tableColumn id="20" xr3:uid="{00000000-0010-0000-2600-000014000000}" name="fmb"/>
    <tableColumn id="21" xr3:uid="{00000000-0010-0000-2600-000015000000}" name="tp_c"/>
    <tableColumn id="22" xr3:uid="{00000000-0010-0000-2600-000016000000}" name="f_ppr"/>
    <tableColumn id="23" xr3:uid="{00000000-0010-0000-2600-000017000000}" name="tgt_share"/>
    <tableColumn id="24" xr3:uid="{00000000-0010-0000-2600-000018000000}" name="ypc"/>
    <tableColumn id="25" xr3:uid="{00000000-0010-0000-2600-000019000000}" name="ypr"/>
    <tableColumn id="26" xr3:uid="{00000000-0010-0000-2600-00001A000000}" name="cmp_pct"/>
    <tableColumn id="27" xr3:uid="{00000000-0010-0000-2600-00001B000000}" name="td_rate"/>
    <tableColumn id="28" xr3:uid="{00000000-0010-0000-2600-00001C000000}" name="f_custom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>
  <autoFilter ref="A45:AB50" xr:uid="{00000000-0009-0000-0100-00002A000000}"/>
  <tableColumns count="28">
    <tableColumn id="1" xr3:uid="{00000000-0010-0000-2700-000001000000}" name="Name"/>
    <tableColumn id="2" xr3:uid="{00000000-0010-0000-2700-000002000000}" name="POS"/>
    <tableColumn id="3" xr3:uid="{00000000-0010-0000-2700-000003000000}" name="Age"/>
    <tableColumn id="4" xr3:uid="{00000000-0010-0000-2700-000004000000}" name="Exp"/>
    <tableColumn id="5" xr3:uid="{00000000-0010-0000-2700-000005000000}" name="College"/>
    <tableColumn id="6" xr3:uid="{00000000-0010-0000-2700-000006000000}" name="team"/>
    <tableColumn id="7" xr3:uid="{00000000-0010-0000-2700-000007000000}" name="g"/>
    <tableColumn id="8" xr3:uid="{00000000-0010-0000-2700-000008000000}" name="p_att"/>
    <tableColumn id="9" xr3:uid="{00000000-0010-0000-2700-000009000000}" name="cmp"/>
    <tableColumn id="10" xr3:uid="{00000000-0010-0000-2700-00000A000000}" name="p_yd"/>
    <tableColumn id="11" xr3:uid="{00000000-0010-0000-2700-00000B000000}" name="p_td"/>
    <tableColumn id="12" xr3:uid="{00000000-0010-0000-2700-00000C000000}" name="int"/>
    <tableColumn id="13" xr3:uid="{00000000-0010-0000-2700-00000D000000}" name="car"/>
    <tableColumn id="14" xr3:uid="{00000000-0010-0000-2700-00000E000000}" name="r_yd"/>
    <tableColumn id="15" xr3:uid="{00000000-0010-0000-2700-00000F000000}" name="r_td"/>
    <tableColumn id="16" xr3:uid="{00000000-0010-0000-2700-000010000000}" name="tgt"/>
    <tableColumn id="17" xr3:uid="{00000000-0010-0000-2700-000011000000}" name="rec"/>
    <tableColumn id="18" xr3:uid="{00000000-0010-0000-2700-000012000000}" name="rec_yd"/>
    <tableColumn id="19" xr3:uid="{00000000-0010-0000-2700-000013000000}" name="rec_td"/>
    <tableColumn id="20" xr3:uid="{00000000-0010-0000-2700-000014000000}" name="fmb"/>
    <tableColumn id="21" xr3:uid="{00000000-0010-0000-2700-000015000000}" name="tp_c"/>
    <tableColumn id="22" xr3:uid="{00000000-0010-0000-2700-000016000000}" name="f_ppr"/>
    <tableColumn id="23" xr3:uid="{00000000-0010-0000-2700-000017000000}" name="tgt_share"/>
    <tableColumn id="24" xr3:uid="{00000000-0010-0000-2700-000018000000}" name="ypc"/>
    <tableColumn id="25" xr3:uid="{00000000-0010-0000-2700-000019000000}" name="ypr"/>
    <tableColumn id="26" xr3:uid="{00000000-0010-0000-2700-00001A000000}" name="cmp_pct"/>
    <tableColumn id="27" xr3:uid="{00000000-0010-0000-2700-00001B000000}" name="td_rate"/>
    <tableColumn id="28" xr3:uid="{00000000-0010-0000-27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>
  <autoFilter ref="A60:AB71" xr:uid="{00000000-0009-0000-0100-00002B000000}"/>
  <tableColumns count="28">
    <tableColumn id="1" xr3:uid="{00000000-0010-0000-2800-000001000000}" name="Name"/>
    <tableColumn id="2" xr3:uid="{00000000-0010-0000-2800-000002000000}" name="POS"/>
    <tableColumn id="3" xr3:uid="{00000000-0010-0000-2800-000003000000}" name="Age"/>
    <tableColumn id="4" xr3:uid="{00000000-0010-0000-2800-000004000000}" name="Exp"/>
    <tableColumn id="5" xr3:uid="{00000000-0010-0000-2800-000005000000}" name="College"/>
    <tableColumn id="6" xr3:uid="{00000000-0010-0000-2800-000006000000}" name="team"/>
    <tableColumn id="7" xr3:uid="{00000000-0010-0000-2800-000007000000}" name="g"/>
    <tableColumn id="8" xr3:uid="{00000000-0010-0000-2800-000008000000}" name="p_att"/>
    <tableColumn id="9" xr3:uid="{00000000-0010-0000-2800-000009000000}" name="cmp"/>
    <tableColumn id="10" xr3:uid="{00000000-0010-0000-2800-00000A000000}" name="p_yd"/>
    <tableColumn id="11" xr3:uid="{00000000-0010-0000-2800-00000B000000}" name="p_td"/>
    <tableColumn id="12" xr3:uid="{00000000-0010-0000-2800-00000C000000}" name="int"/>
    <tableColumn id="13" xr3:uid="{00000000-0010-0000-2800-00000D000000}" name="car"/>
    <tableColumn id="14" xr3:uid="{00000000-0010-0000-2800-00000E000000}" name="r_yd"/>
    <tableColumn id="15" xr3:uid="{00000000-0010-0000-2800-00000F000000}" name="r_td"/>
    <tableColumn id="16" xr3:uid="{00000000-0010-0000-2800-000010000000}" name="tgt"/>
    <tableColumn id="17" xr3:uid="{00000000-0010-0000-2800-000011000000}" name="rec"/>
    <tableColumn id="18" xr3:uid="{00000000-0010-0000-2800-000012000000}" name="rec_yd"/>
    <tableColumn id="19" xr3:uid="{00000000-0010-0000-2800-000013000000}" name="rec_td"/>
    <tableColumn id="20" xr3:uid="{00000000-0010-0000-2800-000014000000}" name="fmb"/>
    <tableColumn id="21" xr3:uid="{00000000-0010-0000-2800-000015000000}" name="tp_c"/>
    <tableColumn id="22" xr3:uid="{00000000-0010-0000-2800-000016000000}" name="f_ppr"/>
    <tableColumn id="23" xr3:uid="{00000000-0010-0000-2800-000017000000}" name="tgt_share"/>
    <tableColumn id="24" xr3:uid="{00000000-0010-0000-2800-000018000000}" name="ypc"/>
    <tableColumn id="25" xr3:uid="{00000000-0010-0000-2800-000019000000}" name="ypr"/>
    <tableColumn id="26" xr3:uid="{00000000-0010-0000-2800-00001A000000}" name="cmp_pct"/>
    <tableColumn id="27" xr3:uid="{00000000-0010-0000-2800-00001B000000}" name="td_rate"/>
    <tableColumn id="28" xr3:uid="{00000000-0010-0000-2800-00001C000000}" name="f_custom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>
  <autoFilter ref="A75:AB81" xr:uid="{00000000-0009-0000-0100-00002C000000}"/>
  <tableColumns count="28">
    <tableColumn id="1" xr3:uid="{00000000-0010-0000-2900-000001000000}" name="Name"/>
    <tableColumn id="2" xr3:uid="{00000000-0010-0000-2900-000002000000}" name="POS"/>
    <tableColumn id="3" xr3:uid="{00000000-0010-0000-2900-000003000000}" name="Age"/>
    <tableColumn id="4" xr3:uid="{00000000-0010-0000-2900-000004000000}" name="Exp"/>
    <tableColumn id="5" xr3:uid="{00000000-0010-0000-2900-000005000000}" name="College"/>
    <tableColumn id="6" xr3:uid="{00000000-0010-0000-2900-000006000000}" name="team"/>
    <tableColumn id="7" xr3:uid="{00000000-0010-0000-2900-000007000000}" name="g"/>
    <tableColumn id="8" xr3:uid="{00000000-0010-0000-2900-000008000000}" name="p_att"/>
    <tableColumn id="9" xr3:uid="{00000000-0010-0000-2900-000009000000}" name="cmp"/>
    <tableColumn id="10" xr3:uid="{00000000-0010-0000-2900-00000A000000}" name="p_yd"/>
    <tableColumn id="11" xr3:uid="{00000000-0010-0000-2900-00000B000000}" name="p_td"/>
    <tableColumn id="12" xr3:uid="{00000000-0010-0000-2900-00000C000000}" name="int"/>
    <tableColumn id="13" xr3:uid="{00000000-0010-0000-2900-00000D000000}" name="car"/>
    <tableColumn id="14" xr3:uid="{00000000-0010-0000-2900-00000E000000}" name="r_yd"/>
    <tableColumn id="15" xr3:uid="{00000000-0010-0000-2900-00000F000000}" name="r_td"/>
    <tableColumn id="16" xr3:uid="{00000000-0010-0000-2900-000010000000}" name="tgt"/>
    <tableColumn id="17" xr3:uid="{00000000-0010-0000-2900-000011000000}" name="rec"/>
    <tableColumn id="18" xr3:uid="{00000000-0010-0000-2900-000012000000}" name="rec_yd"/>
    <tableColumn id="19" xr3:uid="{00000000-0010-0000-2900-000013000000}" name="rec_td"/>
    <tableColumn id="20" xr3:uid="{00000000-0010-0000-2900-000014000000}" name="fmb"/>
    <tableColumn id="21" xr3:uid="{00000000-0010-0000-2900-000015000000}" name="tp_c"/>
    <tableColumn id="22" xr3:uid="{00000000-0010-0000-2900-000016000000}" name="f_ppr"/>
    <tableColumn id="23" xr3:uid="{00000000-0010-0000-2900-000017000000}" name="tgt_share"/>
    <tableColumn id="24" xr3:uid="{00000000-0010-0000-2900-000018000000}" name="ypc"/>
    <tableColumn id="25" xr3:uid="{00000000-0010-0000-2900-000019000000}" name="ypr"/>
    <tableColumn id="26" xr3:uid="{00000000-0010-0000-2900-00001A000000}" name="cmp_pct"/>
    <tableColumn id="27" xr3:uid="{00000000-0010-0000-2900-00001B000000}" name="td_rate"/>
    <tableColumn id="28" xr3:uid="{00000000-0010-0000-2900-00001C000000}" name="f_custom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X18" totalsRowShown="0">
  <autoFilter ref="A1:X18" xr:uid="{00000000-0009-0000-0100-00002D000000}"/>
  <tableColumns count="24">
    <tableColumn id="1" xr3:uid="{00000000-0010-0000-2A00-000001000000}" name="player_name"/>
    <tableColumn id="2" xr3:uid="{00000000-0010-0000-2A00-000002000000}" name="recent_team"/>
    <tableColumn id="3" xr3:uid="{00000000-0010-0000-2A00-000003000000}" name="pos"/>
    <tableColumn id="4" xr3:uid="{00000000-0010-0000-2A00-000004000000}" name="g"/>
    <tableColumn id="5" xr3:uid="{00000000-0010-0000-2A00-000005000000}" name="p_att"/>
    <tableColumn id="6" xr3:uid="{00000000-0010-0000-2A00-000006000000}" name="cmp"/>
    <tableColumn id="7" xr3:uid="{00000000-0010-0000-2A00-000007000000}" name="p_yd"/>
    <tableColumn id="8" xr3:uid="{00000000-0010-0000-2A00-000008000000}" name="p_td"/>
    <tableColumn id="9" xr3:uid="{00000000-0010-0000-2A00-000009000000}" name="int"/>
    <tableColumn id="10" xr3:uid="{00000000-0010-0000-2A00-00000A000000}" name="car"/>
    <tableColumn id="11" xr3:uid="{00000000-0010-0000-2A00-00000B000000}" name="r_yd"/>
    <tableColumn id="12" xr3:uid="{00000000-0010-0000-2A00-00000C000000}" name="r_td"/>
    <tableColumn id="13" xr3:uid="{00000000-0010-0000-2A00-00000D000000}" name="tgt"/>
    <tableColumn id="14" xr3:uid="{00000000-0010-0000-2A00-00000E000000}" name="rec"/>
    <tableColumn id="15" xr3:uid="{00000000-0010-0000-2A00-00000F000000}" name="rec_yd"/>
    <tableColumn id="16" xr3:uid="{00000000-0010-0000-2A00-000010000000}" name="rec_td"/>
    <tableColumn id="17" xr3:uid="{00000000-0010-0000-2A00-000011000000}" name="fmb"/>
    <tableColumn id="18" xr3:uid="{00000000-0010-0000-2A00-000012000000}" name="tp_c"/>
    <tableColumn id="19" xr3:uid="{00000000-0010-0000-2A00-000013000000}" name="f_ppr"/>
    <tableColumn id="20" xr3:uid="{00000000-0010-0000-2A00-000014000000}" name="tgt_share"/>
    <tableColumn id="21" xr3:uid="{00000000-0010-0000-2A00-000015000000}" name="ypc"/>
    <tableColumn id="22" xr3:uid="{00000000-0010-0000-2A00-000016000000}" name="ypr"/>
    <tableColumn id="23" xr3:uid="{00000000-0010-0000-2A00-000017000000}" name="cmp_pct"/>
    <tableColumn id="24" xr3:uid="{00000000-0010-0000-2A00-000018000000}" name="td_rate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L31" totalsRowShown="0">
  <autoFilter ref="A30:L31" xr:uid="{00000000-0009-0000-0100-00002E000000}"/>
  <tableColumns count="12">
    <tableColumn id="1" xr3:uid="{00000000-0010-0000-2B00-000001000000}" name="team"/>
    <tableColumn id="2" xr3:uid="{00000000-0010-0000-2B00-000002000000}" name="off_yd"/>
    <tableColumn id="3" xr3:uid="{00000000-0010-0000-2B00-000003000000}" name="p_yd"/>
    <tableColumn id="4" xr3:uid="{00000000-0010-0000-2B00-000004000000}" name="car"/>
    <tableColumn id="5" xr3:uid="{00000000-0010-0000-2B00-000005000000}" name="r_yd"/>
    <tableColumn id="6" xr3:uid="{00000000-0010-0000-2B00-000006000000}" name="r_td"/>
    <tableColumn id="7" xr3:uid="{00000000-0010-0000-2B00-000007000000}" name="p_ff"/>
    <tableColumn id="8" xr3:uid="{00000000-0010-0000-2B00-000008000000}" name="p_att"/>
    <tableColumn id="9" xr3:uid="{00000000-0010-0000-2B00-000009000000}" name="cmp_pct"/>
    <tableColumn id="10" xr3:uid="{00000000-0010-0000-2B00-00000A000000}" name="p_td"/>
    <tableColumn id="11" xr3:uid="{00000000-0010-0000-2B00-00000B000000}" name="int"/>
    <tableColumn id="12" xr3:uid="{00000000-0010-0000-2B00-00000C000000}" name="fmb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L33" totalsRowShown="0">
  <autoFilter ref="A32:L33" xr:uid="{00000000-0009-0000-0100-00002F000000}"/>
  <tableColumns count="12">
    <tableColumn id="1" xr3:uid="{00000000-0010-0000-2C00-000001000000}" name="team">
      <calculatedColumnFormula>A31</calculatedColumnFormula>
    </tableColumn>
    <tableColumn id="2" xr3:uid="{00000000-0010-0000-2C00-000002000000}" name="off_yd">
      <calculatedColumnFormula>C33 + E33</calculatedColumnFormula>
    </tableColumn>
    <tableColumn id="3" xr3:uid="{00000000-0010-0000-2C00-000003000000}" name="p_yd">
      <calculatedColumnFormula>SUM(INDIRECT(A33 &amp; "_Table4[[#All],[p_yd]]"))</calculatedColumnFormula>
    </tableColumn>
    <tableColumn id="4" xr3:uid="{00000000-0010-0000-2C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>
      <calculatedColumnFormula>SUM(INDIRECT(A33 &amp; "_Table4[[#All],[cmp]]"))/H33</calculatedColumnFormula>
    </tableColumn>
    <tableColumn id="10" xr3:uid="{00000000-0010-0000-2C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>
  <autoFilter ref="A35:AB39" xr:uid="{00000000-0009-0000-0100-000030000000}"/>
  <tableColumns count="28">
    <tableColumn id="1" xr3:uid="{00000000-0010-0000-2D00-000001000000}" name="Name"/>
    <tableColumn id="2" xr3:uid="{00000000-0010-0000-2D00-000002000000}" name="POS"/>
    <tableColumn id="3" xr3:uid="{00000000-0010-0000-2D00-000003000000}" name="Age"/>
    <tableColumn id="4" xr3:uid="{00000000-0010-0000-2D00-000004000000}" name="Exp"/>
    <tableColumn id="5" xr3:uid="{00000000-0010-0000-2D00-000005000000}" name="College"/>
    <tableColumn id="6" xr3:uid="{00000000-0010-0000-2D00-000006000000}" name="team"/>
    <tableColumn id="7" xr3:uid="{00000000-0010-0000-2D00-000007000000}" name="g"/>
    <tableColumn id="8" xr3:uid="{00000000-0010-0000-2D00-000008000000}" name="p_att"/>
    <tableColumn id="9" xr3:uid="{00000000-0010-0000-2D00-000009000000}" name="cmp"/>
    <tableColumn id="10" xr3:uid="{00000000-0010-0000-2D00-00000A000000}" name="p_yd"/>
    <tableColumn id="11" xr3:uid="{00000000-0010-0000-2D00-00000B000000}" name="p_td"/>
    <tableColumn id="12" xr3:uid="{00000000-0010-0000-2D00-00000C000000}" name="int"/>
    <tableColumn id="13" xr3:uid="{00000000-0010-0000-2D00-00000D000000}" name="car"/>
    <tableColumn id="14" xr3:uid="{00000000-0010-0000-2D00-00000E000000}" name="r_yd"/>
    <tableColumn id="15" xr3:uid="{00000000-0010-0000-2D00-00000F000000}" name="r_td"/>
    <tableColumn id="16" xr3:uid="{00000000-0010-0000-2D00-000010000000}" name="tgt"/>
    <tableColumn id="17" xr3:uid="{00000000-0010-0000-2D00-000011000000}" name="rec"/>
    <tableColumn id="18" xr3:uid="{00000000-0010-0000-2D00-000012000000}" name="rec_yd"/>
    <tableColumn id="19" xr3:uid="{00000000-0010-0000-2D00-000013000000}" name="rec_td"/>
    <tableColumn id="20" xr3:uid="{00000000-0010-0000-2D00-000014000000}" name="fmb"/>
    <tableColumn id="21" xr3:uid="{00000000-0010-0000-2D00-000015000000}" name="tp_c"/>
    <tableColumn id="22" xr3:uid="{00000000-0010-0000-2D00-000016000000}" name="f_ppr"/>
    <tableColumn id="23" xr3:uid="{00000000-0010-0000-2D00-000017000000}" name="tgt_share"/>
    <tableColumn id="24" xr3:uid="{00000000-0010-0000-2D00-000018000000}" name="ypc"/>
    <tableColumn id="25" xr3:uid="{00000000-0010-0000-2D00-000019000000}" name="ypr"/>
    <tableColumn id="26" xr3:uid="{00000000-0010-0000-2D00-00001A000000}" name="cmp_pct"/>
    <tableColumn id="27" xr3:uid="{00000000-0010-0000-2D00-00001B000000}" name="td_rate"/>
    <tableColumn id="28" xr3:uid="{00000000-0010-0000-2D00-00001C000000}" name="f_custom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>
  <autoFilter ref="A45:AB51" xr:uid="{00000000-0009-0000-0100-000031000000}"/>
  <tableColumns count="28">
    <tableColumn id="1" xr3:uid="{00000000-0010-0000-2E00-000001000000}" name="Name"/>
    <tableColumn id="2" xr3:uid="{00000000-0010-0000-2E00-000002000000}" name="POS"/>
    <tableColumn id="3" xr3:uid="{00000000-0010-0000-2E00-000003000000}" name="Age"/>
    <tableColumn id="4" xr3:uid="{00000000-0010-0000-2E00-000004000000}" name="Exp"/>
    <tableColumn id="5" xr3:uid="{00000000-0010-0000-2E00-000005000000}" name="College"/>
    <tableColumn id="6" xr3:uid="{00000000-0010-0000-2E00-000006000000}" name="team"/>
    <tableColumn id="7" xr3:uid="{00000000-0010-0000-2E00-000007000000}" name="g"/>
    <tableColumn id="8" xr3:uid="{00000000-0010-0000-2E00-000008000000}" name="p_att"/>
    <tableColumn id="9" xr3:uid="{00000000-0010-0000-2E00-000009000000}" name="cmp"/>
    <tableColumn id="10" xr3:uid="{00000000-0010-0000-2E00-00000A000000}" name="p_yd"/>
    <tableColumn id="11" xr3:uid="{00000000-0010-0000-2E00-00000B000000}" name="p_td"/>
    <tableColumn id="12" xr3:uid="{00000000-0010-0000-2E00-00000C000000}" name="int"/>
    <tableColumn id="13" xr3:uid="{00000000-0010-0000-2E00-00000D000000}" name="car"/>
    <tableColumn id="14" xr3:uid="{00000000-0010-0000-2E00-00000E000000}" name="r_yd"/>
    <tableColumn id="15" xr3:uid="{00000000-0010-0000-2E00-00000F000000}" name="r_td"/>
    <tableColumn id="16" xr3:uid="{00000000-0010-0000-2E00-000010000000}" name="tgt"/>
    <tableColumn id="17" xr3:uid="{00000000-0010-0000-2E00-000011000000}" name="rec"/>
    <tableColumn id="18" xr3:uid="{00000000-0010-0000-2E00-000012000000}" name="rec_yd"/>
    <tableColumn id="19" xr3:uid="{00000000-0010-0000-2E00-000013000000}" name="rec_td"/>
    <tableColumn id="20" xr3:uid="{00000000-0010-0000-2E00-000014000000}" name="fmb"/>
    <tableColumn id="21" xr3:uid="{00000000-0010-0000-2E00-000015000000}" name="tp_c"/>
    <tableColumn id="22" xr3:uid="{00000000-0010-0000-2E00-000016000000}" name="f_ppr"/>
    <tableColumn id="23" xr3:uid="{00000000-0010-0000-2E00-000017000000}" name="tgt_share"/>
    <tableColumn id="24" xr3:uid="{00000000-0010-0000-2E00-000018000000}" name="ypc"/>
    <tableColumn id="25" xr3:uid="{00000000-0010-0000-2E00-000019000000}" name="ypr"/>
    <tableColumn id="26" xr3:uid="{00000000-0010-0000-2E00-00001A000000}" name="cmp_pct"/>
    <tableColumn id="27" xr3:uid="{00000000-0010-0000-2E00-00001B000000}" name="td_rate"/>
    <tableColumn id="28" xr3:uid="{00000000-0010-0000-2E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>
  <autoFilter ref="A60:AB72" xr:uid="{00000000-0009-0000-0100-000032000000}"/>
  <tableColumns count="28">
    <tableColumn id="1" xr3:uid="{00000000-0010-0000-2F00-000001000000}" name="Name"/>
    <tableColumn id="2" xr3:uid="{00000000-0010-0000-2F00-000002000000}" name="POS"/>
    <tableColumn id="3" xr3:uid="{00000000-0010-0000-2F00-000003000000}" name="Age"/>
    <tableColumn id="4" xr3:uid="{00000000-0010-0000-2F00-000004000000}" name="Exp"/>
    <tableColumn id="5" xr3:uid="{00000000-0010-0000-2F00-000005000000}" name="College"/>
    <tableColumn id="6" xr3:uid="{00000000-0010-0000-2F00-000006000000}" name="team"/>
    <tableColumn id="7" xr3:uid="{00000000-0010-0000-2F00-000007000000}" name="g"/>
    <tableColumn id="8" xr3:uid="{00000000-0010-0000-2F00-000008000000}" name="p_att"/>
    <tableColumn id="9" xr3:uid="{00000000-0010-0000-2F00-000009000000}" name="cmp"/>
    <tableColumn id="10" xr3:uid="{00000000-0010-0000-2F00-00000A000000}" name="p_yd"/>
    <tableColumn id="11" xr3:uid="{00000000-0010-0000-2F00-00000B000000}" name="p_td"/>
    <tableColumn id="12" xr3:uid="{00000000-0010-0000-2F00-00000C000000}" name="int"/>
    <tableColumn id="13" xr3:uid="{00000000-0010-0000-2F00-00000D000000}" name="car"/>
    <tableColumn id="14" xr3:uid="{00000000-0010-0000-2F00-00000E000000}" name="r_yd"/>
    <tableColumn id="15" xr3:uid="{00000000-0010-0000-2F00-00000F000000}" name="r_td"/>
    <tableColumn id="16" xr3:uid="{00000000-0010-0000-2F00-000010000000}" name="tgt"/>
    <tableColumn id="17" xr3:uid="{00000000-0010-0000-2F00-000011000000}" name="rec"/>
    <tableColumn id="18" xr3:uid="{00000000-0010-0000-2F00-000012000000}" name="rec_yd"/>
    <tableColumn id="19" xr3:uid="{00000000-0010-0000-2F00-000013000000}" name="rec_td"/>
    <tableColumn id="20" xr3:uid="{00000000-0010-0000-2F00-000014000000}" name="fmb"/>
    <tableColumn id="21" xr3:uid="{00000000-0010-0000-2F00-000015000000}" name="tp_c"/>
    <tableColumn id="22" xr3:uid="{00000000-0010-0000-2F00-000016000000}" name="f_ppr"/>
    <tableColumn id="23" xr3:uid="{00000000-0010-0000-2F00-000017000000}" name="tgt_share"/>
    <tableColumn id="24" xr3:uid="{00000000-0010-0000-2F00-000018000000}" name="ypc"/>
    <tableColumn id="25" xr3:uid="{00000000-0010-0000-2F00-000019000000}" name="ypr"/>
    <tableColumn id="26" xr3:uid="{00000000-0010-0000-2F00-00001A000000}" name="cmp_pct"/>
    <tableColumn id="27" xr3:uid="{00000000-0010-0000-2F00-00001B000000}" name="td_rate"/>
    <tableColumn id="28" xr3:uid="{00000000-0010-0000-2F00-00001C000000}" name="f_custom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>
  <autoFilter ref="A75:AB82" xr:uid="{00000000-0009-0000-0100-000033000000}"/>
  <tableColumns count="28">
    <tableColumn id="1" xr3:uid="{00000000-0010-0000-3000-000001000000}" name="Name"/>
    <tableColumn id="2" xr3:uid="{00000000-0010-0000-3000-000002000000}" name="POS"/>
    <tableColumn id="3" xr3:uid="{00000000-0010-0000-3000-000003000000}" name="Age"/>
    <tableColumn id="4" xr3:uid="{00000000-0010-0000-3000-000004000000}" name="Exp"/>
    <tableColumn id="5" xr3:uid="{00000000-0010-0000-3000-000005000000}" name="College"/>
    <tableColumn id="6" xr3:uid="{00000000-0010-0000-3000-000006000000}" name="team"/>
    <tableColumn id="7" xr3:uid="{00000000-0010-0000-3000-000007000000}" name="g"/>
    <tableColumn id="8" xr3:uid="{00000000-0010-0000-3000-000008000000}" name="p_att"/>
    <tableColumn id="9" xr3:uid="{00000000-0010-0000-3000-000009000000}" name="cmp"/>
    <tableColumn id="10" xr3:uid="{00000000-0010-0000-3000-00000A000000}" name="p_yd"/>
    <tableColumn id="11" xr3:uid="{00000000-0010-0000-3000-00000B000000}" name="p_td"/>
    <tableColumn id="12" xr3:uid="{00000000-0010-0000-3000-00000C000000}" name="int"/>
    <tableColumn id="13" xr3:uid="{00000000-0010-0000-3000-00000D000000}" name="car"/>
    <tableColumn id="14" xr3:uid="{00000000-0010-0000-3000-00000E000000}" name="r_yd"/>
    <tableColumn id="15" xr3:uid="{00000000-0010-0000-3000-00000F000000}" name="r_td"/>
    <tableColumn id="16" xr3:uid="{00000000-0010-0000-3000-000010000000}" name="tgt"/>
    <tableColumn id="17" xr3:uid="{00000000-0010-0000-3000-000011000000}" name="rec"/>
    <tableColumn id="18" xr3:uid="{00000000-0010-0000-3000-000012000000}" name="rec_yd"/>
    <tableColumn id="19" xr3:uid="{00000000-0010-0000-3000-000013000000}" name="rec_td"/>
    <tableColumn id="20" xr3:uid="{00000000-0010-0000-3000-000014000000}" name="fmb"/>
    <tableColumn id="21" xr3:uid="{00000000-0010-0000-3000-000015000000}" name="tp_c"/>
    <tableColumn id="22" xr3:uid="{00000000-0010-0000-3000-000016000000}" name="f_ppr"/>
    <tableColumn id="23" xr3:uid="{00000000-0010-0000-3000-000017000000}" name="tgt_share"/>
    <tableColumn id="24" xr3:uid="{00000000-0010-0000-3000-000018000000}" name="ypc"/>
    <tableColumn id="25" xr3:uid="{00000000-0010-0000-3000-000019000000}" name="ypr"/>
    <tableColumn id="26" xr3:uid="{00000000-0010-0000-3000-00001A000000}" name="cmp_pct"/>
    <tableColumn id="27" xr3:uid="{00000000-0010-0000-3000-00001B000000}" name="td_rate"/>
    <tableColumn id="28" xr3:uid="{00000000-0010-0000-3000-00001C000000}" name="f_custom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X18" totalsRowShown="0">
  <autoFilter ref="A1:X18" xr:uid="{00000000-0009-0000-0100-000034000000}"/>
  <tableColumns count="24">
    <tableColumn id="1" xr3:uid="{00000000-0010-0000-3100-000001000000}" name="player_name"/>
    <tableColumn id="2" xr3:uid="{00000000-0010-0000-3100-000002000000}" name="recent_team"/>
    <tableColumn id="3" xr3:uid="{00000000-0010-0000-3100-000003000000}" name="pos"/>
    <tableColumn id="4" xr3:uid="{00000000-0010-0000-3100-000004000000}" name="g"/>
    <tableColumn id="5" xr3:uid="{00000000-0010-0000-3100-000005000000}" name="p_att"/>
    <tableColumn id="6" xr3:uid="{00000000-0010-0000-3100-000006000000}" name="cmp"/>
    <tableColumn id="7" xr3:uid="{00000000-0010-0000-3100-000007000000}" name="p_yd"/>
    <tableColumn id="8" xr3:uid="{00000000-0010-0000-3100-000008000000}" name="p_td"/>
    <tableColumn id="9" xr3:uid="{00000000-0010-0000-3100-000009000000}" name="int"/>
    <tableColumn id="10" xr3:uid="{00000000-0010-0000-3100-00000A000000}" name="car"/>
    <tableColumn id="11" xr3:uid="{00000000-0010-0000-3100-00000B000000}" name="r_yd"/>
    <tableColumn id="12" xr3:uid="{00000000-0010-0000-3100-00000C000000}" name="r_td"/>
    <tableColumn id="13" xr3:uid="{00000000-0010-0000-3100-00000D000000}" name="tgt"/>
    <tableColumn id="14" xr3:uid="{00000000-0010-0000-3100-00000E000000}" name="rec"/>
    <tableColumn id="15" xr3:uid="{00000000-0010-0000-3100-00000F000000}" name="rec_yd"/>
    <tableColumn id="16" xr3:uid="{00000000-0010-0000-3100-000010000000}" name="rec_td"/>
    <tableColumn id="17" xr3:uid="{00000000-0010-0000-3100-000011000000}" name="fmb"/>
    <tableColumn id="18" xr3:uid="{00000000-0010-0000-3100-000012000000}" name="tp_c"/>
    <tableColumn id="19" xr3:uid="{00000000-0010-0000-3100-000013000000}" name="f_ppr"/>
    <tableColumn id="20" xr3:uid="{00000000-0010-0000-3100-000014000000}" name="tgt_share"/>
    <tableColumn id="21" xr3:uid="{00000000-0010-0000-3100-000015000000}" name="ypc"/>
    <tableColumn id="22" xr3:uid="{00000000-0010-0000-3100-000016000000}" name="ypr"/>
    <tableColumn id="23" xr3:uid="{00000000-0010-0000-3100-000017000000}" name="cmp_pct"/>
    <tableColumn id="24" xr3:uid="{00000000-0010-0000-3100-000018000000}" name="td_rate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L31" totalsRowShown="0">
  <autoFilter ref="A30:L31" xr:uid="{00000000-0009-0000-0100-000035000000}"/>
  <tableColumns count="12">
    <tableColumn id="1" xr3:uid="{00000000-0010-0000-3200-000001000000}" name="team"/>
    <tableColumn id="2" xr3:uid="{00000000-0010-0000-3200-000002000000}" name="off_yd"/>
    <tableColumn id="3" xr3:uid="{00000000-0010-0000-3200-000003000000}" name="p_yd"/>
    <tableColumn id="4" xr3:uid="{00000000-0010-0000-3200-000004000000}" name="car"/>
    <tableColumn id="5" xr3:uid="{00000000-0010-0000-3200-000005000000}" name="r_yd"/>
    <tableColumn id="6" xr3:uid="{00000000-0010-0000-3200-000006000000}" name="r_td"/>
    <tableColumn id="7" xr3:uid="{00000000-0010-0000-3200-000007000000}" name="p_ff"/>
    <tableColumn id="8" xr3:uid="{00000000-0010-0000-3200-000008000000}" name="p_att"/>
    <tableColumn id="9" xr3:uid="{00000000-0010-0000-3200-000009000000}" name="cmp_pct"/>
    <tableColumn id="10" xr3:uid="{00000000-0010-0000-3200-00000A000000}" name="p_td"/>
    <tableColumn id="11" xr3:uid="{00000000-0010-0000-3200-00000B000000}" name="int"/>
    <tableColumn id="12" xr3:uid="{00000000-0010-0000-3200-00000C000000}" name="fmb"/>
  </tableColumns>
  <tableStyleInfo name="TableStyleLight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L33" totalsRowShown="0">
  <autoFilter ref="A32:L33" xr:uid="{00000000-0009-0000-0100-000036000000}"/>
  <tableColumns count="12">
    <tableColumn id="1" xr3:uid="{00000000-0010-0000-3300-000001000000}" name="team">
      <calculatedColumnFormula>A31</calculatedColumnFormula>
    </tableColumn>
    <tableColumn id="2" xr3:uid="{00000000-0010-0000-3300-000002000000}" name="off_yd">
      <calculatedColumnFormula>C33 + E33</calculatedColumnFormula>
    </tableColumn>
    <tableColumn id="3" xr3:uid="{00000000-0010-0000-3300-000003000000}" name="p_yd">
      <calculatedColumnFormula>SUM(INDIRECT(A33 &amp; "_Table4[[#All],[p_yd]]"))</calculatedColumnFormula>
    </tableColumn>
    <tableColumn id="4" xr3:uid="{00000000-0010-0000-33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>
      <calculatedColumnFormula>SUM(INDIRECT(A33 &amp; "_Table4[[#All],[cmp]]"))/H33</calculatedColumnFormula>
    </tableColumn>
    <tableColumn id="10" xr3:uid="{00000000-0010-0000-33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>
  <autoFilter ref="A35:AB39" xr:uid="{00000000-0009-0000-0100-000037000000}"/>
  <tableColumns count="28">
    <tableColumn id="1" xr3:uid="{00000000-0010-0000-3400-000001000000}" name="Name"/>
    <tableColumn id="2" xr3:uid="{00000000-0010-0000-3400-000002000000}" name="POS"/>
    <tableColumn id="3" xr3:uid="{00000000-0010-0000-3400-000003000000}" name="Age"/>
    <tableColumn id="4" xr3:uid="{00000000-0010-0000-3400-000004000000}" name="Exp"/>
    <tableColumn id="5" xr3:uid="{00000000-0010-0000-3400-000005000000}" name="College"/>
    <tableColumn id="6" xr3:uid="{00000000-0010-0000-3400-000006000000}" name="team"/>
    <tableColumn id="7" xr3:uid="{00000000-0010-0000-3400-000007000000}" name="g"/>
    <tableColumn id="8" xr3:uid="{00000000-0010-0000-3400-000008000000}" name="p_att"/>
    <tableColumn id="9" xr3:uid="{00000000-0010-0000-3400-000009000000}" name="cmp"/>
    <tableColumn id="10" xr3:uid="{00000000-0010-0000-3400-00000A000000}" name="p_yd"/>
    <tableColumn id="11" xr3:uid="{00000000-0010-0000-3400-00000B000000}" name="p_td"/>
    <tableColumn id="12" xr3:uid="{00000000-0010-0000-3400-00000C000000}" name="int"/>
    <tableColumn id="13" xr3:uid="{00000000-0010-0000-3400-00000D000000}" name="car"/>
    <tableColumn id="14" xr3:uid="{00000000-0010-0000-3400-00000E000000}" name="r_yd"/>
    <tableColumn id="15" xr3:uid="{00000000-0010-0000-3400-00000F000000}" name="r_td"/>
    <tableColumn id="16" xr3:uid="{00000000-0010-0000-3400-000010000000}" name="tgt"/>
    <tableColumn id="17" xr3:uid="{00000000-0010-0000-3400-000011000000}" name="rec"/>
    <tableColumn id="18" xr3:uid="{00000000-0010-0000-3400-000012000000}" name="rec_yd"/>
    <tableColumn id="19" xr3:uid="{00000000-0010-0000-3400-000013000000}" name="rec_td"/>
    <tableColumn id="20" xr3:uid="{00000000-0010-0000-3400-000014000000}" name="fmb"/>
    <tableColumn id="21" xr3:uid="{00000000-0010-0000-3400-000015000000}" name="tp_c"/>
    <tableColumn id="22" xr3:uid="{00000000-0010-0000-3400-000016000000}" name="f_ppr"/>
    <tableColumn id="23" xr3:uid="{00000000-0010-0000-3400-000017000000}" name="tgt_share"/>
    <tableColumn id="24" xr3:uid="{00000000-0010-0000-3400-000018000000}" name="ypc"/>
    <tableColumn id="25" xr3:uid="{00000000-0010-0000-3400-000019000000}" name="ypr"/>
    <tableColumn id="26" xr3:uid="{00000000-0010-0000-3400-00001A000000}" name="cmp_pct"/>
    <tableColumn id="27" xr3:uid="{00000000-0010-0000-3400-00001B000000}" name="td_rate"/>
    <tableColumn id="28" xr3:uid="{00000000-0010-0000-3400-00001C000000}" name="f_custom"/>
  </tableColumns>
  <tableStyleInfo name="TableStyleLight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>
  <autoFilter ref="A45:AB51" xr:uid="{00000000-0009-0000-0100-000038000000}"/>
  <tableColumns count="28">
    <tableColumn id="1" xr3:uid="{00000000-0010-0000-3500-000001000000}" name="Name"/>
    <tableColumn id="2" xr3:uid="{00000000-0010-0000-3500-000002000000}" name="POS"/>
    <tableColumn id="3" xr3:uid="{00000000-0010-0000-3500-000003000000}" name="Age"/>
    <tableColumn id="4" xr3:uid="{00000000-0010-0000-3500-000004000000}" name="Exp"/>
    <tableColumn id="5" xr3:uid="{00000000-0010-0000-3500-000005000000}" name="College"/>
    <tableColumn id="6" xr3:uid="{00000000-0010-0000-3500-000006000000}" name="team"/>
    <tableColumn id="7" xr3:uid="{00000000-0010-0000-3500-000007000000}" name="g"/>
    <tableColumn id="8" xr3:uid="{00000000-0010-0000-3500-000008000000}" name="p_att"/>
    <tableColumn id="9" xr3:uid="{00000000-0010-0000-3500-000009000000}" name="cmp"/>
    <tableColumn id="10" xr3:uid="{00000000-0010-0000-3500-00000A000000}" name="p_yd"/>
    <tableColumn id="11" xr3:uid="{00000000-0010-0000-3500-00000B000000}" name="p_td"/>
    <tableColumn id="12" xr3:uid="{00000000-0010-0000-3500-00000C000000}" name="int"/>
    <tableColumn id="13" xr3:uid="{00000000-0010-0000-3500-00000D000000}" name="car"/>
    <tableColumn id="14" xr3:uid="{00000000-0010-0000-3500-00000E000000}" name="r_yd"/>
    <tableColumn id="15" xr3:uid="{00000000-0010-0000-3500-00000F000000}" name="r_td"/>
    <tableColumn id="16" xr3:uid="{00000000-0010-0000-3500-000010000000}" name="tgt"/>
    <tableColumn id="17" xr3:uid="{00000000-0010-0000-3500-000011000000}" name="rec"/>
    <tableColumn id="18" xr3:uid="{00000000-0010-0000-3500-000012000000}" name="rec_yd"/>
    <tableColumn id="19" xr3:uid="{00000000-0010-0000-3500-000013000000}" name="rec_td"/>
    <tableColumn id="20" xr3:uid="{00000000-0010-0000-3500-000014000000}" name="fmb"/>
    <tableColumn id="21" xr3:uid="{00000000-0010-0000-3500-000015000000}" name="tp_c"/>
    <tableColumn id="22" xr3:uid="{00000000-0010-0000-3500-000016000000}" name="f_ppr"/>
    <tableColumn id="23" xr3:uid="{00000000-0010-0000-3500-000017000000}" name="tgt_share"/>
    <tableColumn id="24" xr3:uid="{00000000-0010-0000-3500-000018000000}" name="ypc"/>
    <tableColumn id="25" xr3:uid="{00000000-0010-0000-3500-000019000000}" name="ypr"/>
    <tableColumn id="26" xr3:uid="{00000000-0010-0000-3500-00001A000000}" name="cmp_pct"/>
    <tableColumn id="27" xr3:uid="{00000000-0010-0000-3500-00001B000000}" name="td_rate"/>
    <tableColumn id="28" xr3:uid="{00000000-0010-0000-35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>
  <autoFilter ref="A60:AB73" xr:uid="{00000000-0009-0000-0100-000039000000}"/>
  <tableColumns count="28">
    <tableColumn id="1" xr3:uid="{00000000-0010-0000-3600-000001000000}" name="Name"/>
    <tableColumn id="2" xr3:uid="{00000000-0010-0000-3600-000002000000}" name="POS"/>
    <tableColumn id="3" xr3:uid="{00000000-0010-0000-3600-000003000000}" name="Age"/>
    <tableColumn id="4" xr3:uid="{00000000-0010-0000-3600-000004000000}" name="Exp"/>
    <tableColumn id="5" xr3:uid="{00000000-0010-0000-3600-000005000000}" name="College"/>
    <tableColumn id="6" xr3:uid="{00000000-0010-0000-3600-000006000000}" name="team"/>
    <tableColumn id="7" xr3:uid="{00000000-0010-0000-3600-000007000000}" name="g"/>
    <tableColumn id="8" xr3:uid="{00000000-0010-0000-3600-000008000000}" name="p_att"/>
    <tableColumn id="9" xr3:uid="{00000000-0010-0000-3600-000009000000}" name="cmp"/>
    <tableColumn id="10" xr3:uid="{00000000-0010-0000-3600-00000A000000}" name="p_yd"/>
    <tableColumn id="11" xr3:uid="{00000000-0010-0000-3600-00000B000000}" name="p_td"/>
    <tableColumn id="12" xr3:uid="{00000000-0010-0000-3600-00000C000000}" name="int"/>
    <tableColumn id="13" xr3:uid="{00000000-0010-0000-3600-00000D000000}" name="car"/>
    <tableColumn id="14" xr3:uid="{00000000-0010-0000-3600-00000E000000}" name="r_yd"/>
    <tableColumn id="15" xr3:uid="{00000000-0010-0000-3600-00000F000000}" name="r_td"/>
    <tableColumn id="16" xr3:uid="{00000000-0010-0000-3600-000010000000}" name="tgt"/>
    <tableColumn id="17" xr3:uid="{00000000-0010-0000-3600-000011000000}" name="rec"/>
    <tableColumn id="18" xr3:uid="{00000000-0010-0000-3600-000012000000}" name="rec_yd"/>
    <tableColumn id="19" xr3:uid="{00000000-0010-0000-3600-000013000000}" name="rec_td"/>
    <tableColumn id="20" xr3:uid="{00000000-0010-0000-3600-000014000000}" name="fmb"/>
    <tableColumn id="21" xr3:uid="{00000000-0010-0000-3600-000015000000}" name="tp_c"/>
    <tableColumn id="22" xr3:uid="{00000000-0010-0000-3600-000016000000}" name="f_ppr"/>
    <tableColumn id="23" xr3:uid="{00000000-0010-0000-3600-000017000000}" name="tgt_share"/>
    <tableColumn id="24" xr3:uid="{00000000-0010-0000-3600-000018000000}" name="ypc"/>
    <tableColumn id="25" xr3:uid="{00000000-0010-0000-3600-000019000000}" name="ypr"/>
    <tableColumn id="26" xr3:uid="{00000000-0010-0000-3600-00001A000000}" name="cmp_pct"/>
    <tableColumn id="27" xr3:uid="{00000000-0010-0000-3600-00001B000000}" name="td_rate"/>
    <tableColumn id="28" xr3:uid="{00000000-0010-0000-3600-00001C000000}" name="f_custom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>
  <autoFilter ref="A75:AB81" xr:uid="{00000000-0009-0000-0100-00003A000000}"/>
  <tableColumns count="28">
    <tableColumn id="1" xr3:uid="{00000000-0010-0000-3700-000001000000}" name="Name"/>
    <tableColumn id="2" xr3:uid="{00000000-0010-0000-3700-000002000000}" name="POS"/>
    <tableColumn id="3" xr3:uid="{00000000-0010-0000-3700-000003000000}" name="Age"/>
    <tableColumn id="4" xr3:uid="{00000000-0010-0000-3700-000004000000}" name="Exp"/>
    <tableColumn id="5" xr3:uid="{00000000-0010-0000-3700-000005000000}" name="College"/>
    <tableColumn id="6" xr3:uid="{00000000-0010-0000-3700-000006000000}" name="team"/>
    <tableColumn id="7" xr3:uid="{00000000-0010-0000-3700-000007000000}" name="g"/>
    <tableColumn id="8" xr3:uid="{00000000-0010-0000-3700-000008000000}" name="p_att"/>
    <tableColumn id="9" xr3:uid="{00000000-0010-0000-3700-000009000000}" name="cmp"/>
    <tableColumn id="10" xr3:uid="{00000000-0010-0000-3700-00000A000000}" name="p_yd"/>
    <tableColumn id="11" xr3:uid="{00000000-0010-0000-3700-00000B000000}" name="p_td"/>
    <tableColumn id="12" xr3:uid="{00000000-0010-0000-3700-00000C000000}" name="int"/>
    <tableColumn id="13" xr3:uid="{00000000-0010-0000-3700-00000D000000}" name="car"/>
    <tableColumn id="14" xr3:uid="{00000000-0010-0000-3700-00000E000000}" name="r_yd"/>
    <tableColumn id="15" xr3:uid="{00000000-0010-0000-3700-00000F000000}" name="r_td"/>
    <tableColumn id="16" xr3:uid="{00000000-0010-0000-3700-000010000000}" name="tgt"/>
    <tableColumn id="17" xr3:uid="{00000000-0010-0000-3700-000011000000}" name="rec"/>
    <tableColumn id="18" xr3:uid="{00000000-0010-0000-3700-000012000000}" name="rec_yd"/>
    <tableColumn id="19" xr3:uid="{00000000-0010-0000-3700-000013000000}" name="rec_td"/>
    <tableColumn id="20" xr3:uid="{00000000-0010-0000-3700-000014000000}" name="fmb"/>
    <tableColumn id="21" xr3:uid="{00000000-0010-0000-3700-000015000000}" name="tp_c"/>
    <tableColumn id="22" xr3:uid="{00000000-0010-0000-3700-000016000000}" name="f_ppr"/>
    <tableColumn id="23" xr3:uid="{00000000-0010-0000-3700-000017000000}" name="tgt_share"/>
    <tableColumn id="24" xr3:uid="{00000000-0010-0000-3700-000018000000}" name="ypc"/>
    <tableColumn id="25" xr3:uid="{00000000-0010-0000-3700-000019000000}" name="ypr"/>
    <tableColumn id="26" xr3:uid="{00000000-0010-0000-3700-00001A000000}" name="cmp_pct"/>
    <tableColumn id="27" xr3:uid="{00000000-0010-0000-3700-00001B000000}" name="td_rate"/>
    <tableColumn id="28" xr3:uid="{00000000-0010-0000-3700-00001C000000}" name="f_custom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X19" totalsRowShown="0">
  <autoFilter ref="A1:X19" xr:uid="{00000000-0009-0000-0100-00003B000000}"/>
  <tableColumns count="24">
    <tableColumn id="1" xr3:uid="{00000000-0010-0000-3800-000001000000}" name="player_name"/>
    <tableColumn id="2" xr3:uid="{00000000-0010-0000-3800-000002000000}" name="recent_team"/>
    <tableColumn id="3" xr3:uid="{00000000-0010-0000-3800-000003000000}" name="pos"/>
    <tableColumn id="4" xr3:uid="{00000000-0010-0000-3800-000004000000}" name="g"/>
    <tableColumn id="5" xr3:uid="{00000000-0010-0000-3800-000005000000}" name="p_att"/>
    <tableColumn id="6" xr3:uid="{00000000-0010-0000-3800-000006000000}" name="cmp"/>
    <tableColumn id="7" xr3:uid="{00000000-0010-0000-3800-000007000000}" name="p_yd"/>
    <tableColumn id="8" xr3:uid="{00000000-0010-0000-3800-000008000000}" name="p_td"/>
    <tableColumn id="9" xr3:uid="{00000000-0010-0000-3800-000009000000}" name="int"/>
    <tableColumn id="10" xr3:uid="{00000000-0010-0000-3800-00000A000000}" name="car"/>
    <tableColumn id="11" xr3:uid="{00000000-0010-0000-3800-00000B000000}" name="r_yd"/>
    <tableColumn id="12" xr3:uid="{00000000-0010-0000-3800-00000C000000}" name="r_td"/>
    <tableColumn id="13" xr3:uid="{00000000-0010-0000-3800-00000D000000}" name="tgt"/>
    <tableColumn id="14" xr3:uid="{00000000-0010-0000-3800-00000E000000}" name="rec"/>
    <tableColumn id="15" xr3:uid="{00000000-0010-0000-3800-00000F000000}" name="rec_yd"/>
    <tableColumn id="16" xr3:uid="{00000000-0010-0000-3800-000010000000}" name="rec_td"/>
    <tableColumn id="17" xr3:uid="{00000000-0010-0000-3800-000011000000}" name="fmb"/>
    <tableColumn id="18" xr3:uid="{00000000-0010-0000-3800-000012000000}" name="tp_c"/>
    <tableColumn id="19" xr3:uid="{00000000-0010-0000-3800-000013000000}" name="f_ppr"/>
    <tableColumn id="20" xr3:uid="{00000000-0010-0000-3800-000014000000}" name="tgt_share"/>
    <tableColumn id="21" xr3:uid="{00000000-0010-0000-3800-000015000000}" name="ypc"/>
    <tableColumn id="22" xr3:uid="{00000000-0010-0000-3800-000016000000}" name="ypr"/>
    <tableColumn id="23" xr3:uid="{00000000-0010-0000-3800-000017000000}" name="cmp_pct"/>
    <tableColumn id="24" xr3:uid="{00000000-0010-0000-3800-000018000000}" name="td_rate"/>
  </tableColumns>
  <tableStyleInfo name="TableStyleLight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L31" totalsRowShown="0">
  <autoFilter ref="A30:L31" xr:uid="{00000000-0009-0000-0100-00003C000000}"/>
  <tableColumns count="12">
    <tableColumn id="1" xr3:uid="{00000000-0010-0000-3900-000001000000}" name="team"/>
    <tableColumn id="2" xr3:uid="{00000000-0010-0000-3900-000002000000}" name="off_yd"/>
    <tableColumn id="3" xr3:uid="{00000000-0010-0000-3900-000003000000}" name="p_yd"/>
    <tableColumn id="4" xr3:uid="{00000000-0010-0000-3900-000004000000}" name="car"/>
    <tableColumn id="5" xr3:uid="{00000000-0010-0000-3900-000005000000}" name="r_yd"/>
    <tableColumn id="6" xr3:uid="{00000000-0010-0000-3900-000006000000}" name="r_td"/>
    <tableColumn id="7" xr3:uid="{00000000-0010-0000-3900-000007000000}" name="p_ff"/>
    <tableColumn id="8" xr3:uid="{00000000-0010-0000-3900-000008000000}" name="p_att"/>
    <tableColumn id="9" xr3:uid="{00000000-0010-0000-3900-000009000000}" name="cmp_pct"/>
    <tableColumn id="10" xr3:uid="{00000000-0010-0000-3900-00000A000000}" name="p_td"/>
    <tableColumn id="11" xr3:uid="{00000000-0010-0000-3900-00000B000000}" name="int"/>
    <tableColumn id="12" xr3:uid="{00000000-0010-0000-3900-00000C000000}" name="fmb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L33" totalsRowShown="0">
  <autoFilter ref="A32:L33" xr:uid="{00000000-0009-0000-0100-00003D000000}"/>
  <tableColumns count="12">
    <tableColumn id="1" xr3:uid="{00000000-0010-0000-3A00-000001000000}" name="team">
      <calculatedColumnFormula>A31</calculatedColumnFormula>
    </tableColumn>
    <tableColumn id="2" xr3:uid="{00000000-0010-0000-3A00-000002000000}" name="off_yd">
      <calculatedColumnFormula>C33 + E33</calculatedColumnFormula>
    </tableColumn>
    <tableColumn id="3" xr3:uid="{00000000-0010-0000-3A00-000003000000}" name="p_yd">
      <calculatedColumnFormula>SUM(INDIRECT(A33 &amp; "_Table4[[#All],[p_yd]]"))</calculatedColumnFormula>
    </tableColumn>
    <tableColumn id="4" xr3:uid="{00000000-0010-0000-3A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>
      <calculatedColumnFormula>SUM(INDIRECT(A33 &amp; "_Table4[[#All],[cmp]]"))/H33</calculatedColumnFormula>
    </tableColumn>
    <tableColumn id="10" xr3:uid="{00000000-0010-0000-3A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>
  <autoFilter ref="A35:AB38" xr:uid="{00000000-0009-0000-0100-00003E000000}"/>
  <tableColumns count="28">
    <tableColumn id="1" xr3:uid="{00000000-0010-0000-3B00-000001000000}" name="Name"/>
    <tableColumn id="2" xr3:uid="{00000000-0010-0000-3B00-000002000000}" name="POS"/>
    <tableColumn id="3" xr3:uid="{00000000-0010-0000-3B00-000003000000}" name="Age"/>
    <tableColumn id="4" xr3:uid="{00000000-0010-0000-3B00-000004000000}" name="Exp"/>
    <tableColumn id="5" xr3:uid="{00000000-0010-0000-3B00-000005000000}" name="College"/>
    <tableColumn id="6" xr3:uid="{00000000-0010-0000-3B00-000006000000}" name="team"/>
    <tableColumn id="7" xr3:uid="{00000000-0010-0000-3B00-000007000000}" name="g"/>
    <tableColumn id="8" xr3:uid="{00000000-0010-0000-3B00-000008000000}" name="p_att"/>
    <tableColumn id="9" xr3:uid="{00000000-0010-0000-3B00-000009000000}" name="cmp"/>
    <tableColumn id="10" xr3:uid="{00000000-0010-0000-3B00-00000A000000}" name="p_yd"/>
    <tableColumn id="11" xr3:uid="{00000000-0010-0000-3B00-00000B000000}" name="p_td"/>
    <tableColumn id="12" xr3:uid="{00000000-0010-0000-3B00-00000C000000}" name="int"/>
    <tableColumn id="13" xr3:uid="{00000000-0010-0000-3B00-00000D000000}" name="car"/>
    <tableColumn id="14" xr3:uid="{00000000-0010-0000-3B00-00000E000000}" name="r_yd"/>
    <tableColumn id="15" xr3:uid="{00000000-0010-0000-3B00-00000F000000}" name="r_td"/>
    <tableColumn id="16" xr3:uid="{00000000-0010-0000-3B00-000010000000}" name="tgt"/>
    <tableColumn id="17" xr3:uid="{00000000-0010-0000-3B00-000011000000}" name="rec"/>
    <tableColumn id="18" xr3:uid="{00000000-0010-0000-3B00-000012000000}" name="rec_yd"/>
    <tableColumn id="19" xr3:uid="{00000000-0010-0000-3B00-000013000000}" name="rec_td"/>
    <tableColumn id="20" xr3:uid="{00000000-0010-0000-3B00-000014000000}" name="fmb"/>
    <tableColumn id="21" xr3:uid="{00000000-0010-0000-3B00-000015000000}" name="tp_c"/>
    <tableColumn id="22" xr3:uid="{00000000-0010-0000-3B00-000016000000}" name="f_ppr"/>
    <tableColumn id="23" xr3:uid="{00000000-0010-0000-3B00-000017000000}" name="tgt_share"/>
    <tableColumn id="24" xr3:uid="{00000000-0010-0000-3B00-000018000000}" name="ypc"/>
    <tableColumn id="25" xr3:uid="{00000000-0010-0000-3B00-000019000000}" name="ypr"/>
    <tableColumn id="26" xr3:uid="{00000000-0010-0000-3B00-00001A000000}" name="cmp_pct"/>
    <tableColumn id="27" xr3:uid="{00000000-0010-0000-3B00-00001B000000}" name="td_rate"/>
    <tableColumn id="28" xr3:uid="{00000000-0010-0000-3B00-00001C000000}" name="f_custom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>
  <autoFilter ref="A45:AB51" xr:uid="{00000000-0009-0000-0100-00003F000000}"/>
  <tableColumns count="28">
    <tableColumn id="1" xr3:uid="{00000000-0010-0000-3C00-000001000000}" name="Name"/>
    <tableColumn id="2" xr3:uid="{00000000-0010-0000-3C00-000002000000}" name="POS"/>
    <tableColumn id="3" xr3:uid="{00000000-0010-0000-3C00-000003000000}" name="Age"/>
    <tableColumn id="4" xr3:uid="{00000000-0010-0000-3C00-000004000000}" name="Exp"/>
    <tableColumn id="5" xr3:uid="{00000000-0010-0000-3C00-000005000000}" name="College"/>
    <tableColumn id="6" xr3:uid="{00000000-0010-0000-3C00-000006000000}" name="team"/>
    <tableColumn id="7" xr3:uid="{00000000-0010-0000-3C00-000007000000}" name="g"/>
    <tableColumn id="8" xr3:uid="{00000000-0010-0000-3C00-000008000000}" name="p_att"/>
    <tableColumn id="9" xr3:uid="{00000000-0010-0000-3C00-000009000000}" name="cmp"/>
    <tableColumn id="10" xr3:uid="{00000000-0010-0000-3C00-00000A000000}" name="p_yd"/>
    <tableColumn id="11" xr3:uid="{00000000-0010-0000-3C00-00000B000000}" name="p_td"/>
    <tableColumn id="12" xr3:uid="{00000000-0010-0000-3C00-00000C000000}" name="int"/>
    <tableColumn id="13" xr3:uid="{00000000-0010-0000-3C00-00000D000000}" name="car"/>
    <tableColumn id="14" xr3:uid="{00000000-0010-0000-3C00-00000E000000}" name="r_yd"/>
    <tableColumn id="15" xr3:uid="{00000000-0010-0000-3C00-00000F000000}" name="r_td"/>
    <tableColumn id="16" xr3:uid="{00000000-0010-0000-3C00-000010000000}" name="tgt"/>
    <tableColumn id="17" xr3:uid="{00000000-0010-0000-3C00-000011000000}" name="rec"/>
    <tableColumn id="18" xr3:uid="{00000000-0010-0000-3C00-000012000000}" name="rec_yd"/>
    <tableColumn id="19" xr3:uid="{00000000-0010-0000-3C00-000013000000}" name="rec_td"/>
    <tableColumn id="20" xr3:uid="{00000000-0010-0000-3C00-000014000000}" name="fmb"/>
    <tableColumn id="21" xr3:uid="{00000000-0010-0000-3C00-000015000000}" name="tp_c"/>
    <tableColumn id="22" xr3:uid="{00000000-0010-0000-3C00-000016000000}" name="f_ppr"/>
    <tableColumn id="23" xr3:uid="{00000000-0010-0000-3C00-000017000000}" name="tgt_share"/>
    <tableColumn id="24" xr3:uid="{00000000-0010-0000-3C00-000018000000}" name="ypc"/>
    <tableColumn id="25" xr3:uid="{00000000-0010-0000-3C00-000019000000}" name="ypr"/>
    <tableColumn id="26" xr3:uid="{00000000-0010-0000-3C00-00001A000000}" name="cmp_pct"/>
    <tableColumn id="27" xr3:uid="{00000000-0010-0000-3C00-00001B000000}" name="td_rate"/>
    <tableColumn id="28" xr3:uid="{00000000-0010-0000-3C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>
  <autoFilter ref="A60:AB74" xr:uid="{00000000-0009-0000-0100-000040000000}"/>
  <tableColumns count="28">
    <tableColumn id="1" xr3:uid="{00000000-0010-0000-3D00-000001000000}" name="Name"/>
    <tableColumn id="2" xr3:uid="{00000000-0010-0000-3D00-000002000000}" name="POS"/>
    <tableColumn id="3" xr3:uid="{00000000-0010-0000-3D00-000003000000}" name="Age"/>
    <tableColumn id="4" xr3:uid="{00000000-0010-0000-3D00-000004000000}" name="Exp"/>
    <tableColumn id="5" xr3:uid="{00000000-0010-0000-3D00-000005000000}" name="College"/>
    <tableColumn id="6" xr3:uid="{00000000-0010-0000-3D00-000006000000}" name="team"/>
    <tableColumn id="7" xr3:uid="{00000000-0010-0000-3D00-000007000000}" name="g"/>
    <tableColumn id="8" xr3:uid="{00000000-0010-0000-3D00-000008000000}" name="p_att"/>
    <tableColumn id="9" xr3:uid="{00000000-0010-0000-3D00-000009000000}" name="cmp"/>
    <tableColumn id="10" xr3:uid="{00000000-0010-0000-3D00-00000A000000}" name="p_yd"/>
    <tableColumn id="11" xr3:uid="{00000000-0010-0000-3D00-00000B000000}" name="p_td"/>
    <tableColumn id="12" xr3:uid="{00000000-0010-0000-3D00-00000C000000}" name="int"/>
    <tableColumn id="13" xr3:uid="{00000000-0010-0000-3D00-00000D000000}" name="car"/>
    <tableColumn id="14" xr3:uid="{00000000-0010-0000-3D00-00000E000000}" name="r_yd"/>
    <tableColumn id="15" xr3:uid="{00000000-0010-0000-3D00-00000F000000}" name="r_td"/>
    <tableColumn id="16" xr3:uid="{00000000-0010-0000-3D00-000010000000}" name="tgt"/>
    <tableColumn id="17" xr3:uid="{00000000-0010-0000-3D00-000011000000}" name="rec"/>
    <tableColumn id="18" xr3:uid="{00000000-0010-0000-3D00-000012000000}" name="rec_yd"/>
    <tableColumn id="19" xr3:uid="{00000000-0010-0000-3D00-000013000000}" name="rec_td"/>
    <tableColumn id="20" xr3:uid="{00000000-0010-0000-3D00-000014000000}" name="fmb"/>
    <tableColumn id="21" xr3:uid="{00000000-0010-0000-3D00-000015000000}" name="tp_c"/>
    <tableColumn id="22" xr3:uid="{00000000-0010-0000-3D00-000016000000}" name="f_ppr"/>
    <tableColumn id="23" xr3:uid="{00000000-0010-0000-3D00-000017000000}" name="tgt_share"/>
    <tableColumn id="24" xr3:uid="{00000000-0010-0000-3D00-000018000000}" name="ypc"/>
    <tableColumn id="25" xr3:uid="{00000000-0010-0000-3D00-000019000000}" name="ypr"/>
    <tableColumn id="26" xr3:uid="{00000000-0010-0000-3D00-00001A000000}" name="cmp_pct"/>
    <tableColumn id="27" xr3:uid="{00000000-0010-0000-3D00-00001B000000}" name="td_rate"/>
    <tableColumn id="28" xr3:uid="{00000000-0010-0000-3D00-00001C000000}" name="f_custom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>
  <autoFilter ref="A75:AB81" xr:uid="{00000000-0009-0000-0100-000041000000}"/>
  <tableColumns count="28">
    <tableColumn id="1" xr3:uid="{00000000-0010-0000-3E00-000001000000}" name="Name"/>
    <tableColumn id="2" xr3:uid="{00000000-0010-0000-3E00-000002000000}" name="POS"/>
    <tableColumn id="3" xr3:uid="{00000000-0010-0000-3E00-000003000000}" name="Age"/>
    <tableColumn id="4" xr3:uid="{00000000-0010-0000-3E00-000004000000}" name="Exp"/>
    <tableColumn id="5" xr3:uid="{00000000-0010-0000-3E00-000005000000}" name="College"/>
    <tableColumn id="6" xr3:uid="{00000000-0010-0000-3E00-000006000000}" name="team"/>
    <tableColumn id="7" xr3:uid="{00000000-0010-0000-3E00-000007000000}" name="g"/>
    <tableColumn id="8" xr3:uid="{00000000-0010-0000-3E00-000008000000}" name="p_att"/>
    <tableColumn id="9" xr3:uid="{00000000-0010-0000-3E00-000009000000}" name="cmp"/>
    <tableColumn id="10" xr3:uid="{00000000-0010-0000-3E00-00000A000000}" name="p_yd"/>
    <tableColumn id="11" xr3:uid="{00000000-0010-0000-3E00-00000B000000}" name="p_td"/>
    <tableColumn id="12" xr3:uid="{00000000-0010-0000-3E00-00000C000000}" name="int"/>
    <tableColumn id="13" xr3:uid="{00000000-0010-0000-3E00-00000D000000}" name="car"/>
    <tableColumn id="14" xr3:uid="{00000000-0010-0000-3E00-00000E000000}" name="r_yd"/>
    <tableColumn id="15" xr3:uid="{00000000-0010-0000-3E00-00000F000000}" name="r_td"/>
    <tableColumn id="16" xr3:uid="{00000000-0010-0000-3E00-000010000000}" name="tgt"/>
    <tableColumn id="17" xr3:uid="{00000000-0010-0000-3E00-000011000000}" name="rec"/>
    <tableColumn id="18" xr3:uid="{00000000-0010-0000-3E00-000012000000}" name="rec_yd"/>
    <tableColumn id="19" xr3:uid="{00000000-0010-0000-3E00-000013000000}" name="rec_td"/>
    <tableColumn id="20" xr3:uid="{00000000-0010-0000-3E00-000014000000}" name="fmb"/>
    <tableColumn id="21" xr3:uid="{00000000-0010-0000-3E00-000015000000}" name="tp_c"/>
    <tableColumn id="22" xr3:uid="{00000000-0010-0000-3E00-000016000000}" name="f_ppr"/>
    <tableColumn id="23" xr3:uid="{00000000-0010-0000-3E00-000017000000}" name="tgt_share"/>
    <tableColumn id="24" xr3:uid="{00000000-0010-0000-3E00-000018000000}" name="ypc"/>
    <tableColumn id="25" xr3:uid="{00000000-0010-0000-3E00-000019000000}" name="ypr"/>
    <tableColumn id="26" xr3:uid="{00000000-0010-0000-3E00-00001A000000}" name="cmp_pct"/>
    <tableColumn id="27" xr3:uid="{00000000-0010-0000-3E00-00001B000000}" name="td_rate"/>
    <tableColumn id="28" xr3:uid="{00000000-0010-0000-3E00-00001C000000}" name="f_custom"/>
  </tableColumns>
  <tableStyleInfo name="TableStyleLight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X25" totalsRowShown="0">
  <autoFilter ref="A1:X25" xr:uid="{00000000-0009-0000-0100-000042000000}"/>
  <tableColumns count="24">
    <tableColumn id="1" xr3:uid="{00000000-0010-0000-3F00-000001000000}" name="player_name"/>
    <tableColumn id="2" xr3:uid="{00000000-0010-0000-3F00-000002000000}" name="recent_team"/>
    <tableColumn id="3" xr3:uid="{00000000-0010-0000-3F00-000003000000}" name="pos"/>
    <tableColumn id="4" xr3:uid="{00000000-0010-0000-3F00-000004000000}" name="g"/>
    <tableColumn id="5" xr3:uid="{00000000-0010-0000-3F00-000005000000}" name="p_att"/>
    <tableColumn id="6" xr3:uid="{00000000-0010-0000-3F00-000006000000}" name="cmp"/>
    <tableColumn id="7" xr3:uid="{00000000-0010-0000-3F00-000007000000}" name="p_yd"/>
    <tableColumn id="8" xr3:uid="{00000000-0010-0000-3F00-000008000000}" name="p_td"/>
    <tableColumn id="9" xr3:uid="{00000000-0010-0000-3F00-000009000000}" name="int"/>
    <tableColumn id="10" xr3:uid="{00000000-0010-0000-3F00-00000A000000}" name="car"/>
    <tableColumn id="11" xr3:uid="{00000000-0010-0000-3F00-00000B000000}" name="r_yd"/>
    <tableColumn id="12" xr3:uid="{00000000-0010-0000-3F00-00000C000000}" name="r_td"/>
    <tableColumn id="13" xr3:uid="{00000000-0010-0000-3F00-00000D000000}" name="tgt"/>
    <tableColumn id="14" xr3:uid="{00000000-0010-0000-3F00-00000E000000}" name="rec"/>
    <tableColumn id="15" xr3:uid="{00000000-0010-0000-3F00-00000F000000}" name="rec_yd"/>
    <tableColumn id="16" xr3:uid="{00000000-0010-0000-3F00-000010000000}" name="rec_td"/>
    <tableColumn id="17" xr3:uid="{00000000-0010-0000-3F00-000011000000}" name="fmb"/>
    <tableColumn id="18" xr3:uid="{00000000-0010-0000-3F00-000012000000}" name="tp_c"/>
    <tableColumn id="19" xr3:uid="{00000000-0010-0000-3F00-000013000000}" name="f_ppr"/>
    <tableColumn id="20" xr3:uid="{00000000-0010-0000-3F00-000014000000}" name="tgt_share"/>
    <tableColumn id="21" xr3:uid="{00000000-0010-0000-3F00-000015000000}" name="ypc"/>
    <tableColumn id="22" xr3:uid="{00000000-0010-0000-3F00-000016000000}" name="ypr"/>
    <tableColumn id="23" xr3:uid="{00000000-0010-0000-3F00-000017000000}" name="cmp_pct"/>
    <tableColumn id="24" xr3:uid="{00000000-0010-0000-3F00-000018000000}" name="td_rate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L31" totalsRowShown="0">
  <autoFilter ref="A30:L31" xr:uid="{00000000-0009-0000-0100-000043000000}"/>
  <tableColumns count="12">
    <tableColumn id="1" xr3:uid="{00000000-0010-0000-4000-000001000000}" name="team"/>
    <tableColumn id="2" xr3:uid="{00000000-0010-0000-4000-000002000000}" name="off_yd"/>
    <tableColumn id="3" xr3:uid="{00000000-0010-0000-4000-000003000000}" name="p_yd"/>
    <tableColumn id="4" xr3:uid="{00000000-0010-0000-4000-000004000000}" name="car"/>
    <tableColumn id="5" xr3:uid="{00000000-0010-0000-4000-000005000000}" name="r_yd"/>
    <tableColumn id="6" xr3:uid="{00000000-0010-0000-4000-000006000000}" name="r_td"/>
    <tableColumn id="7" xr3:uid="{00000000-0010-0000-4000-000007000000}" name="p_ff"/>
    <tableColumn id="8" xr3:uid="{00000000-0010-0000-4000-000008000000}" name="p_att"/>
    <tableColumn id="9" xr3:uid="{00000000-0010-0000-4000-000009000000}" name="cmp_pct"/>
    <tableColumn id="10" xr3:uid="{00000000-0010-0000-4000-00000A000000}" name="p_td"/>
    <tableColumn id="11" xr3:uid="{00000000-0010-0000-4000-00000B000000}" name="int"/>
    <tableColumn id="12" xr3:uid="{00000000-0010-0000-4000-00000C000000}" name="fmb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L33" totalsRowShown="0">
  <autoFilter ref="A32:L33" xr:uid="{00000000-0009-0000-0100-000044000000}"/>
  <tableColumns count="12">
    <tableColumn id="1" xr3:uid="{00000000-0010-0000-4100-000001000000}" name="team">
      <calculatedColumnFormula>A31</calculatedColumnFormula>
    </tableColumn>
    <tableColumn id="2" xr3:uid="{00000000-0010-0000-4100-000002000000}" name="off_yd">
      <calculatedColumnFormula>C33 + E33</calculatedColumnFormula>
    </tableColumn>
    <tableColumn id="3" xr3:uid="{00000000-0010-0000-4100-000003000000}" name="p_yd">
      <calculatedColumnFormula>SUM(INDIRECT(A33 &amp; "_Table4[[#All],[p_yd]]"))</calculatedColumnFormula>
    </tableColumn>
    <tableColumn id="4" xr3:uid="{00000000-0010-0000-41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>
      <calculatedColumnFormula>SUM(INDIRECT(A33 &amp; "_Table4[[#All],[cmp]]"))/H33</calculatedColumnFormula>
    </tableColumn>
    <tableColumn id="10" xr3:uid="{00000000-0010-0000-41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>
  <autoFilter ref="A35:AB38" xr:uid="{00000000-0009-0000-0100-000045000000}"/>
  <tableColumns count="28">
    <tableColumn id="1" xr3:uid="{00000000-0010-0000-4200-000001000000}" name="Name"/>
    <tableColumn id="2" xr3:uid="{00000000-0010-0000-4200-000002000000}" name="POS"/>
    <tableColumn id="3" xr3:uid="{00000000-0010-0000-4200-000003000000}" name="Age"/>
    <tableColumn id="4" xr3:uid="{00000000-0010-0000-4200-000004000000}" name="Exp"/>
    <tableColumn id="5" xr3:uid="{00000000-0010-0000-4200-000005000000}" name="College"/>
    <tableColumn id="6" xr3:uid="{00000000-0010-0000-4200-000006000000}" name="team"/>
    <tableColumn id="7" xr3:uid="{00000000-0010-0000-4200-000007000000}" name="g"/>
    <tableColumn id="8" xr3:uid="{00000000-0010-0000-4200-000008000000}" name="p_att"/>
    <tableColumn id="9" xr3:uid="{00000000-0010-0000-4200-000009000000}" name="cmp"/>
    <tableColumn id="10" xr3:uid="{00000000-0010-0000-4200-00000A000000}" name="p_yd"/>
    <tableColumn id="11" xr3:uid="{00000000-0010-0000-4200-00000B000000}" name="p_td"/>
    <tableColumn id="12" xr3:uid="{00000000-0010-0000-4200-00000C000000}" name="int"/>
    <tableColumn id="13" xr3:uid="{00000000-0010-0000-4200-00000D000000}" name="car"/>
    <tableColumn id="14" xr3:uid="{00000000-0010-0000-4200-00000E000000}" name="r_yd"/>
    <tableColumn id="15" xr3:uid="{00000000-0010-0000-4200-00000F000000}" name="r_td"/>
    <tableColumn id="16" xr3:uid="{00000000-0010-0000-4200-000010000000}" name="tgt"/>
    <tableColumn id="17" xr3:uid="{00000000-0010-0000-4200-000011000000}" name="rec"/>
    <tableColumn id="18" xr3:uid="{00000000-0010-0000-4200-000012000000}" name="rec_yd"/>
    <tableColumn id="19" xr3:uid="{00000000-0010-0000-4200-000013000000}" name="rec_td"/>
    <tableColumn id="20" xr3:uid="{00000000-0010-0000-4200-000014000000}" name="fmb"/>
    <tableColumn id="21" xr3:uid="{00000000-0010-0000-4200-000015000000}" name="tp_c"/>
    <tableColumn id="22" xr3:uid="{00000000-0010-0000-4200-000016000000}" name="f_ppr"/>
    <tableColumn id="23" xr3:uid="{00000000-0010-0000-4200-000017000000}" name="tgt_share"/>
    <tableColumn id="24" xr3:uid="{00000000-0010-0000-4200-000018000000}" name="ypc"/>
    <tableColumn id="25" xr3:uid="{00000000-0010-0000-4200-000019000000}" name="ypr"/>
    <tableColumn id="26" xr3:uid="{00000000-0010-0000-4200-00001A000000}" name="cmp_pct"/>
    <tableColumn id="27" xr3:uid="{00000000-0010-0000-4200-00001B000000}" name="td_rate"/>
    <tableColumn id="28" xr3:uid="{00000000-0010-0000-4200-00001C000000}" name="f_custom"/>
  </tableColumns>
  <tableStyleInfo name="TableStyleLight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>
  <autoFilter ref="A45:AB51" xr:uid="{00000000-0009-0000-0100-000046000000}"/>
  <tableColumns count="28">
    <tableColumn id="1" xr3:uid="{00000000-0010-0000-4300-000001000000}" name="Name"/>
    <tableColumn id="2" xr3:uid="{00000000-0010-0000-4300-000002000000}" name="POS"/>
    <tableColumn id="3" xr3:uid="{00000000-0010-0000-4300-000003000000}" name="Age"/>
    <tableColumn id="4" xr3:uid="{00000000-0010-0000-4300-000004000000}" name="Exp"/>
    <tableColumn id="5" xr3:uid="{00000000-0010-0000-4300-000005000000}" name="College"/>
    <tableColumn id="6" xr3:uid="{00000000-0010-0000-4300-000006000000}" name="team"/>
    <tableColumn id="7" xr3:uid="{00000000-0010-0000-4300-000007000000}" name="g"/>
    <tableColumn id="8" xr3:uid="{00000000-0010-0000-4300-000008000000}" name="p_att"/>
    <tableColumn id="9" xr3:uid="{00000000-0010-0000-4300-000009000000}" name="cmp"/>
    <tableColumn id="10" xr3:uid="{00000000-0010-0000-4300-00000A000000}" name="p_yd"/>
    <tableColumn id="11" xr3:uid="{00000000-0010-0000-4300-00000B000000}" name="p_td"/>
    <tableColumn id="12" xr3:uid="{00000000-0010-0000-4300-00000C000000}" name="int"/>
    <tableColumn id="13" xr3:uid="{00000000-0010-0000-4300-00000D000000}" name="car"/>
    <tableColumn id="14" xr3:uid="{00000000-0010-0000-4300-00000E000000}" name="r_yd"/>
    <tableColumn id="15" xr3:uid="{00000000-0010-0000-4300-00000F000000}" name="r_td"/>
    <tableColumn id="16" xr3:uid="{00000000-0010-0000-4300-000010000000}" name="tgt"/>
    <tableColumn id="17" xr3:uid="{00000000-0010-0000-4300-000011000000}" name="rec"/>
    <tableColumn id="18" xr3:uid="{00000000-0010-0000-4300-000012000000}" name="rec_yd"/>
    <tableColumn id="19" xr3:uid="{00000000-0010-0000-4300-000013000000}" name="rec_td"/>
    <tableColumn id="20" xr3:uid="{00000000-0010-0000-4300-000014000000}" name="fmb"/>
    <tableColumn id="21" xr3:uid="{00000000-0010-0000-4300-000015000000}" name="tp_c"/>
    <tableColumn id="22" xr3:uid="{00000000-0010-0000-4300-000016000000}" name="f_ppr"/>
    <tableColumn id="23" xr3:uid="{00000000-0010-0000-4300-000017000000}" name="tgt_share"/>
    <tableColumn id="24" xr3:uid="{00000000-0010-0000-4300-000018000000}" name="ypc"/>
    <tableColumn id="25" xr3:uid="{00000000-0010-0000-4300-000019000000}" name="ypr"/>
    <tableColumn id="26" xr3:uid="{00000000-0010-0000-4300-00001A000000}" name="cmp_pct"/>
    <tableColumn id="27" xr3:uid="{00000000-0010-0000-4300-00001B000000}" name="td_rate"/>
    <tableColumn id="28" xr3:uid="{00000000-0010-0000-43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>
  <autoFilter ref="A60:AB74" xr:uid="{00000000-0009-0000-0100-000047000000}"/>
  <tableColumns count="28">
    <tableColumn id="1" xr3:uid="{00000000-0010-0000-4400-000001000000}" name="Name"/>
    <tableColumn id="2" xr3:uid="{00000000-0010-0000-4400-000002000000}" name="POS"/>
    <tableColumn id="3" xr3:uid="{00000000-0010-0000-4400-000003000000}" name="Age"/>
    <tableColumn id="4" xr3:uid="{00000000-0010-0000-4400-000004000000}" name="Exp"/>
    <tableColumn id="5" xr3:uid="{00000000-0010-0000-4400-000005000000}" name="College"/>
    <tableColumn id="6" xr3:uid="{00000000-0010-0000-4400-000006000000}" name="team"/>
    <tableColumn id="7" xr3:uid="{00000000-0010-0000-4400-000007000000}" name="g"/>
    <tableColumn id="8" xr3:uid="{00000000-0010-0000-4400-000008000000}" name="p_att"/>
    <tableColumn id="9" xr3:uid="{00000000-0010-0000-4400-000009000000}" name="cmp"/>
    <tableColumn id="10" xr3:uid="{00000000-0010-0000-4400-00000A000000}" name="p_yd"/>
    <tableColumn id="11" xr3:uid="{00000000-0010-0000-4400-00000B000000}" name="p_td"/>
    <tableColumn id="12" xr3:uid="{00000000-0010-0000-4400-00000C000000}" name="int"/>
    <tableColumn id="13" xr3:uid="{00000000-0010-0000-4400-00000D000000}" name="car"/>
    <tableColumn id="14" xr3:uid="{00000000-0010-0000-4400-00000E000000}" name="r_yd"/>
    <tableColumn id="15" xr3:uid="{00000000-0010-0000-4400-00000F000000}" name="r_td"/>
    <tableColumn id="16" xr3:uid="{00000000-0010-0000-4400-000010000000}" name="tgt"/>
    <tableColumn id="17" xr3:uid="{00000000-0010-0000-4400-000011000000}" name="rec"/>
    <tableColumn id="18" xr3:uid="{00000000-0010-0000-4400-000012000000}" name="rec_yd"/>
    <tableColumn id="19" xr3:uid="{00000000-0010-0000-4400-000013000000}" name="rec_td"/>
    <tableColumn id="20" xr3:uid="{00000000-0010-0000-4400-000014000000}" name="fmb"/>
    <tableColumn id="21" xr3:uid="{00000000-0010-0000-4400-000015000000}" name="tp_c"/>
    <tableColumn id="22" xr3:uid="{00000000-0010-0000-4400-000016000000}" name="f_ppr"/>
    <tableColumn id="23" xr3:uid="{00000000-0010-0000-4400-000017000000}" name="tgt_share"/>
    <tableColumn id="24" xr3:uid="{00000000-0010-0000-4400-000018000000}" name="ypc"/>
    <tableColumn id="25" xr3:uid="{00000000-0010-0000-4400-000019000000}" name="ypr"/>
    <tableColumn id="26" xr3:uid="{00000000-0010-0000-4400-00001A000000}" name="cmp_pct"/>
    <tableColumn id="27" xr3:uid="{00000000-0010-0000-4400-00001B000000}" name="td_rate"/>
    <tableColumn id="28" xr3:uid="{00000000-0010-0000-4400-00001C000000}" name="f_custom"/>
  </tableColumns>
  <tableStyleInfo name="TableStyleLight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>
  <autoFilter ref="A75:AB81" xr:uid="{00000000-0009-0000-0100-000048000000}"/>
  <tableColumns count="28">
    <tableColumn id="1" xr3:uid="{00000000-0010-0000-4500-000001000000}" name="Name"/>
    <tableColumn id="2" xr3:uid="{00000000-0010-0000-4500-000002000000}" name="POS"/>
    <tableColumn id="3" xr3:uid="{00000000-0010-0000-4500-000003000000}" name="Age"/>
    <tableColumn id="4" xr3:uid="{00000000-0010-0000-4500-000004000000}" name="Exp"/>
    <tableColumn id="5" xr3:uid="{00000000-0010-0000-4500-000005000000}" name="College"/>
    <tableColumn id="6" xr3:uid="{00000000-0010-0000-4500-000006000000}" name="team"/>
    <tableColumn id="7" xr3:uid="{00000000-0010-0000-4500-000007000000}" name="g"/>
    <tableColumn id="8" xr3:uid="{00000000-0010-0000-4500-000008000000}" name="p_att"/>
    <tableColumn id="9" xr3:uid="{00000000-0010-0000-4500-000009000000}" name="cmp"/>
    <tableColumn id="10" xr3:uid="{00000000-0010-0000-4500-00000A000000}" name="p_yd"/>
    <tableColumn id="11" xr3:uid="{00000000-0010-0000-4500-00000B000000}" name="p_td"/>
    <tableColumn id="12" xr3:uid="{00000000-0010-0000-4500-00000C000000}" name="int"/>
    <tableColumn id="13" xr3:uid="{00000000-0010-0000-4500-00000D000000}" name="car"/>
    <tableColumn id="14" xr3:uid="{00000000-0010-0000-4500-00000E000000}" name="r_yd"/>
    <tableColumn id="15" xr3:uid="{00000000-0010-0000-4500-00000F000000}" name="r_td"/>
    <tableColumn id="16" xr3:uid="{00000000-0010-0000-4500-000010000000}" name="tgt"/>
    <tableColumn id="17" xr3:uid="{00000000-0010-0000-4500-000011000000}" name="rec"/>
    <tableColumn id="18" xr3:uid="{00000000-0010-0000-4500-000012000000}" name="rec_yd"/>
    <tableColumn id="19" xr3:uid="{00000000-0010-0000-4500-000013000000}" name="rec_td"/>
    <tableColumn id="20" xr3:uid="{00000000-0010-0000-4500-000014000000}" name="fmb"/>
    <tableColumn id="21" xr3:uid="{00000000-0010-0000-4500-000015000000}" name="tp_c"/>
    <tableColumn id="22" xr3:uid="{00000000-0010-0000-4500-000016000000}" name="f_ppr"/>
    <tableColumn id="23" xr3:uid="{00000000-0010-0000-4500-000017000000}" name="tgt_share"/>
    <tableColumn id="24" xr3:uid="{00000000-0010-0000-4500-000018000000}" name="ypc"/>
    <tableColumn id="25" xr3:uid="{00000000-0010-0000-4500-000019000000}" name="ypr"/>
    <tableColumn id="26" xr3:uid="{00000000-0010-0000-4500-00001A000000}" name="cmp_pct"/>
    <tableColumn id="27" xr3:uid="{00000000-0010-0000-4500-00001B000000}" name="td_rate"/>
    <tableColumn id="28" xr3:uid="{00000000-0010-0000-4500-00001C000000}" name="f_custom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X20" totalsRowShown="0">
  <autoFilter ref="A1:X20" xr:uid="{00000000-0009-0000-0100-000049000000}"/>
  <tableColumns count="24">
    <tableColumn id="1" xr3:uid="{00000000-0010-0000-4600-000001000000}" name="player_name"/>
    <tableColumn id="2" xr3:uid="{00000000-0010-0000-4600-000002000000}" name="recent_team"/>
    <tableColumn id="3" xr3:uid="{00000000-0010-0000-4600-000003000000}" name="pos"/>
    <tableColumn id="4" xr3:uid="{00000000-0010-0000-4600-000004000000}" name="g"/>
    <tableColumn id="5" xr3:uid="{00000000-0010-0000-4600-000005000000}" name="p_att"/>
    <tableColumn id="6" xr3:uid="{00000000-0010-0000-4600-000006000000}" name="cmp"/>
    <tableColumn id="7" xr3:uid="{00000000-0010-0000-4600-000007000000}" name="p_yd"/>
    <tableColumn id="8" xr3:uid="{00000000-0010-0000-4600-000008000000}" name="p_td"/>
    <tableColumn id="9" xr3:uid="{00000000-0010-0000-4600-000009000000}" name="int"/>
    <tableColumn id="10" xr3:uid="{00000000-0010-0000-4600-00000A000000}" name="car"/>
    <tableColumn id="11" xr3:uid="{00000000-0010-0000-4600-00000B000000}" name="r_yd"/>
    <tableColumn id="12" xr3:uid="{00000000-0010-0000-4600-00000C000000}" name="r_td"/>
    <tableColumn id="13" xr3:uid="{00000000-0010-0000-4600-00000D000000}" name="tgt"/>
    <tableColumn id="14" xr3:uid="{00000000-0010-0000-4600-00000E000000}" name="rec"/>
    <tableColumn id="15" xr3:uid="{00000000-0010-0000-4600-00000F000000}" name="rec_yd"/>
    <tableColumn id="16" xr3:uid="{00000000-0010-0000-4600-000010000000}" name="rec_td"/>
    <tableColumn id="17" xr3:uid="{00000000-0010-0000-4600-000011000000}" name="fmb"/>
    <tableColumn id="18" xr3:uid="{00000000-0010-0000-4600-000012000000}" name="tp_c"/>
    <tableColumn id="19" xr3:uid="{00000000-0010-0000-4600-000013000000}" name="f_ppr"/>
    <tableColumn id="20" xr3:uid="{00000000-0010-0000-4600-000014000000}" name="tgt_share"/>
    <tableColumn id="21" xr3:uid="{00000000-0010-0000-4600-000015000000}" name="ypc"/>
    <tableColumn id="22" xr3:uid="{00000000-0010-0000-4600-000016000000}" name="ypr"/>
    <tableColumn id="23" xr3:uid="{00000000-0010-0000-4600-000017000000}" name="cmp_pct"/>
    <tableColumn id="24" xr3:uid="{00000000-0010-0000-4600-000018000000}" name="td_rate"/>
  </tableColumns>
  <tableStyleInfo name="TableStyleLight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L31" totalsRowShown="0">
  <autoFilter ref="A30:L31" xr:uid="{00000000-0009-0000-0100-00004A000000}"/>
  <tableColumns count="12">
    <tableColumn id="1" xr3:uid="{00000000-0010-0000-4700-000001000000}" name="team"/>
    <tableColumn id="2" xr3:uid="{00000000-0010-0000-4700-000002000000}" name="off_yd"/>
    <tableColumn id="3" xr3:uid="{00000000-0010-0000-4700-000003000000}" name="p_yd"/>
    <tableColumn id="4" xr3:uid="{00000000-0010-0000-4700-000004000000}" name="car"/>
    <tableColumn id="5" xr3:uid="{00000000-0010-0000-4700-000005000000}" name="r_yd"/>
    <tableColumn id="6" xr3:uid="{00000000-0010-0000-4700-000006000000}" name="r_td"/>
    <tableColumn id="7" xr3:uid="{00000000-0010-0000-4700-000007000000}" name="p_ff"/>
    <tableColumn id="8" xr3:uid="{00000000-0010-0000-4700-000008000000}" name="p_att"/>
    <tableColumn id="9" xr3:uid="{00000000-0010-0000-4700-000009000000}" name="cmp_pct"/>
    <tableColumn id="10" xr3:uid="{00000000-0010-0000-4700-00000A000000}" name="p_td"/>
    <tableColumn id="11" xr3:uid="{00000000-0010-0000-4700-00000B000000}" name="int"/>
    <tableColumn id="12" xr3:uid="{00000000-0010-0000-4700-00000C000000}" name="fmb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L33" totalsRowShown="0">
  <autoFilter ref="A32:L33" xr:uid="{00000000-0009-0000-0100-00004B000000}"/>
  <tableColumns count="12">
    <tableColumn id="1" xr3:uid="{00000000-0010-0000-4800-000001000000}" name="team">
      <calculatedColumnFormula>A31</calculatedColumnFormula>
    </tableColumn>
    <tableColumn id="2" xr3:uid="{00000000-0010-0000-4800-000002000000}" name="off_yd">
      <calculatedColumnFormula>C33 + E33</calculatedColumnFormula>
    </tableColumn>
    <tableColumn id="3" xr3:uid="{00000000-0010-0000-4800-000003000000}" name="p_yd">
      <calculatedColumnFormula>SUM(INDIRECT(A33 &amp; "_Table4[[#All],[p_yd]]"))</calculatedColumnFormula>
    </tableColumn>
    <tableColumn id="4" xr3:uid="{00000000-0010-0000-48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>
      <calculatedColumnFormula>SUM(INDIRECT(A33 &amp; "_Table4[[#All],[cmp]]"))/H33</calculatedColumnFormula>
    </tableColumn>
    <tableColumn id="10" xr3:uid="{00000000-0010-0000-48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>
  <autoFilter ref="A35:AB40" xr:uid="{00000000-0009-0000-0100-00004C000000}"/>
  <tableColumns count="28">
    <tableColumn id="1" xr3:uid="{00000000-0010-0000-4900-000001000000}" name="Name"/>
    <tableColumn id="2" xr3:uid="{00000000-0010-0000-4900-000002000000}" name="POS"/>
    <tableColumn id="3" xr3:uid="{00000000-0010-0000-4900-000003000000}" name="Age"/>
    <tableColumn id="4" xr3:uid="{00000000-0010-0000-4900-000004000000}" name="Exp"/>
    <tableColumn id="5" xr3:uid="{00000000-0010-0000-4900-000005000000}" name="College"/>
    <tableColumn id="6" xr3:uid="{00000000-0010-0000-4900-000006000000}" name="team"/>
    <tableColumn id="7" xr3:uid="{00000000-0010-0000-4900-000007000000}" name="g"/>
    <tableColumn id="8" xr3:uid="{00000000-0010-0000-4900-000008000000}" name="p_att"/>
    <tableColumn id="9" xr3:uid="{00000000-0010-0000-4900-000009000000}" name="cmp"/>
    <tableColumn id="10" xr3:uid="{00000000-0010-0000-4900-00000A000000}" name="p_yd"/>
    <tableColumn id="11" xr3:uid="{00000000-0010-0000-4900-00000B000000}" name="p_td"/>
    <tableColumn id="12" xr3:uid="{00000000-0010-0000-4900-00000C000000}" name="int"/>
    <tableColumn id="13" xr3:uid="{00000000-0010-0000-4900-00000D000000}" name="car"/>
    <tableColumn id="14" xr3:uid="{00000000-0010-0000-4900-00000E000000}" name="r_yd"/>
    <tableColumn id="15" xr3:uid="{00000000-0010-0000-4900-00000F000000}" name="r_td"/>
    <tableColumn id="16" xr3:uid="{00000000-0010-0000-4900-000010000000}" name="tgt"/>
    <tableColumn id="17" xr3:uid="{00000000-0010-0000-4900-000011000000}" name="rec"/>
    <tableColumn id="18" xr3:uid="{00000000-0010-0000-4900-000012000000}" name="rec_yd"/>
    <tableColumn id="19" xr3:uid="{00000000-0010-0000-4900-000013000000}" name="rec_td"/>
    <tableColumn id="20" xr3:uid="{00000000-0010-0000-4900-000014000000}" name="fmb"/>
    <tableColumn id="21" xr3:uid="{00000000-0010-0000-4900-000015000000}" name="tp_c"/>
    <tableColumn id="22" xr3:uid="{00000000-0010-0000-4900-000016000000}" name="f_ppr"/>
    <tableColumn id="23" xr3:uid="{00000000-0010-0000-4900-000017000000}" name="tgt_share"/>
    <tableColumn id="24" xr3:uid="{00000000-0010-0000-4900-000018000000}" name="ypc"/>
    <tableColumn id="25" xr3:uid="{00000000-0010-0000-4900-000019000000}" name="ypr"/>
    <tableColumn id="26" xr3:uid="{00000000-0010-0000-4900-00001A000000}" name="cmp_pct"/>
    <tableColumn id="27" xr3:uid="{00000000-0010-0000-4900-00001B000000}" name="td_rate"/>
    <tableColumn id="28" xr3:uid="{00000000-0010-0000-4900-00001C000000}" name="f_custom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>
  <autoFilter ref="A45:AB53" xr:uid="{00000000-0009-0000-0100-00004D000000}"/>
  <tableColumns count="28">
    <tableColumn id="1" xr3:uid="{00000000-0010-0000-4A00-000001000000}" name="Name"/>
    <tableColumn id="2" xr3:uid="{00000000-0010-0000-4A00-000002000000}" name="POS"/>
    <tableColumn id="3" xr3:uid="{00000000-0010-0000-4A00-000003000000}" name="Age"/>
    <tableColumn id="4" xr3:uid="{00000000-0010-0000-4A00-000004000000}" name="Exp"/>
    <tableColumn id="5" xr3:uid="{00000000-0010-0000-4A00-000005000000}" name="College"/>
    <tableColumn id="6" xr3:uid="{00000000-0010-0000-4A00-000006000000}" name="team"/>
    <tableColumn id="7" xr3:uid="{00000000-0010-0000-4A00-000007000000}" name="g"/>
    <tableColumn id="8" xr3:uid="{00000000-0010-0000-4A00-000008000000}" name="p_att"/>
    <tableColumn id="9" xr3:uid="{00000000-0010-0000-4A00-000009000000}" name="cmp"/>
    <tableColumn id="10" xr3:uid="{00000000-0010-0000-4A00-00000A000000}" name="p_yd"/>
    <tableColumn id="11" xr3:uid="{00000000-0010-0000-4A00-00000B000000}" name="p_td"/>
    <tableColumn id="12" xr3:uid="{00000000-0010-0000-4A00-00000C000000}" name="int"/>
    <tableColumn id="13" xr3:uid="{00000000-0010-0000-4A00-00000D000000}" name="car"/>
    <tableColumn id="14" xr3:uid="{00000000-0010-0000-4A00-00000E000000}" name="r_yd"/>
    <tableColumn id="15" xr3:uid="{00000000-0010-0000-4A00-00000F000000}" name="r_td"/>
    <tableColumn id="16" xr3:uid="{00000000-0010-0000-4A00-000010000000}" name="tgt"/>
    <tableColumn id="17" xr3:uid="{00000000-0010-0000-4A00-000011000000}" name="rec"/>
    <tableColumn id="18" xr3:uid="{00000000-0010-0000-4A00-000012000000}" name="rec_yd"/>
    <tableColumn id="19" xr3:uid="{00000000-0010-0000-4A00-000013000000}" name="rec_td"/>
    <tableColumn id="20" xr3:uid="{00000000-0010-0000-4A00-000014000000}" name="fmb"/>
    <tableColumn id="21" xr3:uid="{00000000-0010-0000-4A00-000015000000}" name="tp_c"/>
    <tableColumn id="22" xr3:uid="{00000000-0010-0000-4A00-000016000000}" name="f_ppr"/>
    <tableColumn id="23" xr3:uid="{00000000-0010-0000-4A00-000017000000}" name="tgt_share"/>
    <tableColumn id="24" xr3:uid="{00000000-0010-0000-4A00-000018000000}" name="ypc"/>
    <tableColumn id="25" xr3:uid="{00000000-0010-0000-4A00-000019000000}" name="ypr"/>
    <tableColumn id="26" xr3:uid="{00000000-0010-0000-4A00-00001A000000}" name="cmp_pct"/>
    <tableColumn id="27" xr3:uid="{00000000-0010-0000-4A00-00001B000000}" name="td_rate"/>
    <tableColumn id="28" xr3:uid="{00000000-0010-0000-4A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>
  <autoFilter ref="A60:AB73" xr:uid="{00000000-0009-0000-0100-00004E000000}"/>
  <tableColumns count="28">
    <tableColumn id="1" xr3:uid="{00000000-0010-0000-4B00-000001000000}" name="Name"/>
    <tableColumn id="2" xr3:uid="{00000000-0010-0000-4B00-000002000000}" name="POS"/>
    <tableColumn id="3" xr3:uid="{00000000-0010-0000-4B00-000003000000}" name="Age"/>
    <tableColumn id="4" xr3:uid="{00000000-0010-0000-4B00-000004000000}" name="Exp"/>
    <tableColumn id="5" xr3:uid="{00000000-0010-0000-4B00-000005000000}" name="College"/>
    <tableColumn id="6" xr3:uid="{00000000-0010-0000-4B00-000006000000}" name="team"/>
    <tableColumn id="7" xr3:uid="{00000000-0010-0000-4B00-000007000000}" name="g"/>
    <tableColumn id="8" xr3:uid="{00000000-0010-0000-4B00-000008000000}" name="p_att"/>
    <tableColumn id="9" xr3:uid="{00000000-0010-0000-4B00-000009000000}" name="cmp"/>
    <tableColumn id="10" xr3:uid="{00000000-0010-0000-4B00-00000A000000}" name="p_yd"/>
    <tableColumn id="11" xr3:uid="{00000000-0010-0000-4B00-00000B000000}" name="p_td"/>
    <tableColumn id="12" xr3:uid="{00000000-0010-0000-4B00-00000C000000}" name="int"/>
    <tableColumn id="13" xr3:uid="{00000000-0010-0000-4B00-00000D000000}" name="car"/>
    <tableColumn id="14" xr3:uid="{00000000-0010-0000-4B00-00000E000000}" name="r_yd"/>
    <tableColumn id="15" xr3:uid="{00000000-0010-0000-4B00-00000F000000}" name="r_td"/>
    <tableColumn id="16" xr3:uid="{00000000-0010-0000-4B00-000010000000}" name="tgt"/>
    <tableColumn id="17" xr3:uid="{00000000-0010-0000-4B00-000011000000}" name="rec"/>
    <tableColumn id="18" xr3:uid="{00000000-0010-0000-4B00-000012000000}" name="rec_yd"/>
    <tableColumn id="19" xr3:uid="{00000000-0010-0000-4B00-000013000000}" name="rec_td"/>
    <tableColumn id="20" xr3:uid="{00000000-0010-0000-4B00-000014000000}" name="fmb"/>
    <tableColumn id="21" xr3:uid="{00000000-0010-0000-4B00-000015000000}" name="tp_c"/>
    <tableColumn id="22" xr3:uid="{00000000-0010-0000-4B00-000016000000}" name="f_ppr"/>
    <tableColumn id="23" xr3:uid="{00000000-0010-0000-4B00-000017000000}" name="tgt_share"/>
    <tableColumn id="24" xr3:uid="{00000000-0010-0000-4B00-000018000000}" name="ypc"/>
    <tableColumn id="25" xr3:uid="{00000000-0010-0000-4B00-000019000000}" name="ypr"/>
    <tableColumn id="26" xr3:uid="{00000000-0010-0000-4B00-00001A000000}" name="cmp_pct"/>
    <tableColumn id="27" xr3:uid="{00000000-0010-0000-4B00-00001B000000}" name="td_rate"/>
    <tableColumn id="28" xr3:uid="{00000000-0010-0000-4B00-00001C000000}" name="f_custom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>
  <autoFilter ref="A75:AB81" xr:uid="{00000000-0009-0000-0100-00004F000000}"/>
  <tableColumns count="28">
    <tableColumn id="1" xr3:uid="{00000000-0010-0000-4C00-000001000000}" name="Name"/>
    <tableColumn id="2" xr3:uid="{00000000-0010-0000-4C00-000002000000}" name="POS"/>
    <tableColumn id="3" xr3:uid="{00000000-0010-0000-4C00-000003000000}" name="Age"/>
    <tableColumn id="4" xr3:uid="{00000000-0010-0000-4C00-000004000000}" name="Exp"/>
    <tableColumn id="5" xr3:uid="{00000000-0010-0000-4C00-000005000000}" name="College"/>
    <tableColumn id="6" xr3:uid="{00000000-0010-0000-4C00-000006000000}" name="team"/>
    <tableColumn id="7" xr3:uid="{00000000-0010-0000-4C00-000007000000}" name="g"/>
    <tableColumn id="8" xr3:uid="{00000000-0010-0000-4C00-000008000000}" name="p_att"/>
    <tableColumn id="9" xr3:uid="{00000000-0010-0000-4C00-000009000000}" name="cmp"/>
    <tableColumn id="10" xr3:uid="{00000000-0010-0000-4C00-00000A000000}" name="p_yd"/>
    <tableColumn id="11" xr3:uid="{00000000-0010-0000-4C00-00000B000000}" name="p_td"/>
    <tableColumn id="12" xr3:uid="{00000000-0010-0000-4C00-00000C000000}" name="int"/>
    <tableColumn id="13" xr3:uid="{00000000-0010-0000-4C00-00000D000000}" name="car"/>
    <tableColumn id="14" xr3:uid="{00000000-0010-0000-4C00-00000E000000}" name="r_yd"/>
    <tableColumn id="15" xr3:uid="{00000000-0010-0000-4C00-00000F000000}" name="r_td"/>
    <tableColumn id="16" xr3:uid="{00000000-0010-0000-4C00-000010000000}" name="tgt"/>
    <tableColumn id="17" xr3:uid="{00000000-0010-0000-4C00-000011000000}" name="rec"/>
    <tableColumn id="18" xr3:uid="{00000000-0010-0000-4C00-000012000000}" name="rec_yd"/>
    <tableColumn id="19" xr3:uid="{00000000-0010-0000-4C00-000013000000}" name="rec_td"/>
    <tableColumn id="20" xr3:uid="{00000000-0010-0000-4C00-000014000000}" name="fmb"/>
    <tableColumn id="21" xr3:uid="{00000000-0010-0000-4C00-000015000000}" name="tp_c"/>
    <tableColumn id="22" xr3:uid="{00000000-0010-0000-4C00-000016000000}" name="f_ppr"/>
    <tableColumn id="23" xr3:uid="{00000000-0010-0000-4C00-000017000000}" name="tgt_share"/>
    <tableColumn id="24" xr3:uid="{00000000-0010-0000-4C00-000018000000}" name="ypc"/>
    <tableColumn id="25" xr3:uid="{00000000-0010-0000-4C00-000019000000}" name="ypr"/>
    <tableColumn id="26" xr3:uid="{00000000-0010-0000-4C00-00001A000000}" name="cmp_pct"/>
    <tableColumn id="27" xr3:uid="{00000000-0010-0000-4C00-00001B000000}" name="td_rate"/>
    <tableColumn id="28" xr3:uid="{00000000-0010-0000-4C00-00001C000000}" name="f_custom"/>
  </tableColumns>
  <tableStyleInfo name="TableStyleLight9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X19" totalsRowShown="0">
  <autoFilter ref="A1:X19" xr:uid="{00000000-0009-0000-0100-000050000000}"/>
  <tableColumns count="24">
    <tableColumn id="1" xr3:uid="{00000000-0010-0000-4D00-000001000000}" name="player_name"/>
    <tableColumn id="2" xr3:uid="{00000000-0010-0000-4D00-000002000000}" name="recent_team"/>
    <tableColumn id="3" xr3:uid="{00000000-0010-0000-4D00-000003000000}" name="pos"/>
    <tableColumn id="4" xr3:uid="{00000000-0010-0000-4D00-000004000000}" name="g"/>
    <tableColumn id="5" xr3:uid="{00000000-0010-0000-4D00-000005000000}" name="p_att"/>
    <tableColumn id="6" xr3:uid="{00000000-0010-0000-4D00-000006000000}" name="cmp"/>
    <tableColumn id="7" xr3:uid="{00000000-0010-0000-4D00-000007000000}" name="p_yd"/>
    <tableColumn id="8" xr3:uid="{00000000-0010-0000-4D00-000008000000}" name="p_td"/>
    <tableColumn id="9" xr3:uid="{00000000-0010-0000-4D00-000009000000}" name="int"/>
    <tableColumn id="10" xr3:uid="{00000000-0010-0000-4D00-00000A000000}" name="car"/>
    <tableColumn id="11" xr3:uid="{00000000-0010-0000-4D00-00000B000000}" name="r_yd"/>
    <tableColumn id="12" xr3:uid="{00000000-0010-0000-4D00-00000C000000}" name="r_td"/>
    <tableColumn id="13" xr3:uid="{00000000-0010-0000-4D00-00000D000000}" name="tgt"/>
    <tableColumn id="14" xr3:uid="{00000000-0010-0000-4D00-00000E000000}" name="rec"/>
    <tableColumn id="15" xr3:uid="{00000000-0010-0000-4D00-00000F000000}" name="rec_yd"/>
    <tableColumn id="16" xr3:uid="{00000000-0010-0000-4D00-000010000000}" name="rec_td"/>
    <tableColumn id="17" xr3:uid="{00000000-0010-0000-4D00-000011000000}" name="fmb"/>
    <tableColumn id="18" xr3:uid="{00000000-0010-0000-4D00-000012000000}" name="tp_c"/>
    <tableColumn id="19" xr3:uid="{00000000-0010-0000-4D00-000013000000}" name="f_ppr"/>
    <tableColumn id="20" xr3:uid="{00000000-0010-0000-4D00-000014000000}" name="tgt_share"/>
    <tableColumn id="21" xr3:uid="{00000000-0010-0000-4D00-000015000000}" name="ypc"/>
    <tableColumn id="22" xr3:uid="{00000000-0010-0000-4D00-000016000000}" name="ypr"/>
    <tableColumn id="23" xr3:uid="{00000000-0010-0000-4D00-000017000000}" name="cmp_pct"/>
    <tableColumn id="24" xr3:uid="{00000000-0010-0000-4D00-000018000000}" name="td_rate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L31" totalsRowShown="0">
  <autoFilter ref="A30:L31" xr:uid="{00000000-0009-0000-0100-000051000000}"/>
  <tableColumns count="12">
    <tableColumn id="1" xr3:uid="{00000000-0010-0000-4E00-000001000000}" name="team"/>
    <tableColumn id="2" xr3:uid="{00000000-0010-0000-4E00-000002000000}" name="off_yd"/>
    <tableColumn id="3" xr3:uid="{00000000-0010-0000-4E00-000003000000}" name="p_yd"/>
    <tableColumn id="4" xr3:uid="{00000000-0010-0000-4E00-000004000000}" name="car"/>
    <tableColumn id="5" xr3:uid="{00000000-0010-0000-4E00-000005000000}" name="r_yd"/>
    <tableColumn id="6" xr3:uid="{00000000-0010-0000-4E00-000006000000}" name="r_td"/>
    <tableColumn id="7" xr3:uid="{00000000-0010-0000-4E00-000007000000}" name="p_ff"/>
    <tableColumn id="8" xr3:uid="{00000000-0010-0000-4E00-000008000000}" name="p_att"/>
    <tableColumn id="9" xr3:uid="{00000000-0010-0000-4E00-000009000000}" name="cmp_pct"/>
    <tableColumn id="10" xr3:uid="{00000000-0010-0000-4E00-00000A000000}" name="p_td"/>
    <tableColumn id="11" xr3:uid="{00000000-0010-0000-4E00-00000B000000}" name="int"/>
    <tableColumn id="12" xr3:uid="{00000000-0010-0000-4E00-00000C000000}" name="fmb"/>
  </tableColumns>
  <tableStyleInfo name="TableStyleLight9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L33" totalsRowShown="0">
  <autoFilter ref="A32:L33" xr:uid="{00000000-0009-0000-0100-000052000000}"/>
  <tableColumns count="12">
    <tableColumn id="1" xr3:uid="{00000000-0010-0000-4F00-000001000000}" name="team">
      <calculatedColumnFormula>A31</calculatedColumnFormula>
    </tableColumn>
    <tableColumn id="2" xr3:uid="{00000000-0010-0000-4F00-000002000000}" name="off_yd">
      <calculatedColumnFormula>C33 + E33</calculatedColumnFormula>
    </tableColumn>
    <tableColumn id="3" xr3:uid="{00000000-0010-0000-4F00-000003000000}" name="p_yd">
      <calculatedColumnFormula>SUM(INDIRECT(A33 &amp; "_Table4[[#All],[p_yd]]"))</calculatedColumnFormula>
    </tableColumn>
    <tableColumn id="4" xr3:uid="{00000000-0010-0000-4F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>
      <calculatedColumnFormula>SUM(INDIRECT(A33 &amp; "_Table4[[#All],[cmp]]"))/H33</calculatedColumnFormula>
    </tableColumn>
    <tableColumn id="10" xr3:uid="{00000000-0010-0000-4F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>
  <autoFilter ref="A35:AB38" xr:uid="{00000000-0009-0000-0100-000053000000}"/>
  <tableColumns count="28">
    <tableColumn id="1" xr3:uid="{00000000-0010-0000-5000-000001000000}" name="Name"/>
    <tableColumn id="2" xr3:uid="{00000000-0010-0000-5000-000002000000}" name="POS"/>
    <tableColumn id="3" xr3:uid="{00000000-0010-0000-5000-000003000000}" name="Age"/>
    <tableColumn id="4" xr3:uid="{00000000-0010-0000-5000-000004000000}" name="Exp"/>
    <tableColumn id="5" xr3:uid="{00000000-0010-0000-5000-000005000000}" name="College"/>
    <tableColumn id="6" xr3:uid="{00000000-0010-0000-5000-000006000000}" name="team"/>
    <tableColumn id="7" xr3:uid="{00000000-0010-0000-5000-000007000000}" name="g"/>
    <tableColumn id="8" xr3:uid="{00000000-0010-0000-5000-000008000000}" name="p_att"/>
    <tableColumn id="9" xr3:uid="{00000000-0010-0000-5000-000009000000}" name="cmp"/>
    <tableColumn id="10" xr3:uid="{00000000-0010-0000-5000-00000A000000}" name="p_yd"/>
    <tableColumn id="11" xr3:uid="{00000000-0010-0000-5000-00000B000000}" name="p_td"/>
    <tableColumn id="12" xr3:uid="{00000000-0010-0000-5000-00000C000000}" name="int"/>
    <tableColumn id="13" xr3:uid="{00000000-0010-0000-5000-00000D000000}" name="car"/>
    <tableColumn id="14" xr3:uid="{00000000-0010-0000-5000-00000E000000}" name="r_yd"/>
    <tableColumn id="15" xr3:uid="{00000000-0010-0000-5000-00000F000000}" name="r_td"/>
    <tableColumn id="16" xr3:uid="{00000000-0010-0000-5000-000010000000}" name="tgt"/>
    <tableColumn id="17" xr3:uid="{00000000-0010-0000-5000-000011000000}" name="rec"/>
    <tableColumn id="18" xr3:uid="{00000000-0010-0000-5000-000012000000}" name="rec_yd"/>
    <tableColumn id="19" xr3:uid="{00000000-0010-0000-5000-000013000000}" name="rec_td"/>
    <tableColumn id="20" xr3:uid="{00000000-0010-0000-5000-000014000000}" name="fmb"/>
    <tableColumn id="21" xr3:uid="{00000000-0010-0000-5000-000015000000}" name="tp_c"/>
    <tableColumn id="22" xr3:uid="{00000000-0010-0000-5000-000016000000}" name="f_ppr"/>
    <tableColumn id="23" xr3:uid="{00000000-0010-0000-5000-000017000000}" name="tgt_share"/>
    <tableColumn id="24" xr3:uid="{00000000-0010-0000-5000-000018000000}" name="ypc"/>
    <tableColumn id="25" xr3:uid="{00000000-0010-0000-5000-000019000000}" name="ypr"/>
    <tableColumn id="26" xr3:uid="{00000000-0010-0000-5000-00001A000000}" name="cmp_pct"/>
    <tableColumn id="27" xr3:uid="{00000000-0010-0000-5000-00001B000000}" name="td_rate"/>
    <tableColumn id="28" xr3:uid="{00000000-0010-0000-5000-00001C000000}" name="f_custom"/>
  </tableColumns>
  <tableStyleInfo name="TableStyleLight9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>
  <autoFilter ref="A45:AB52" xr:uid="{00000000-0009-0000-0100-000054000000}"/>
  <tableColumns count="28">
    <tableColumn id="1" xr3:uid="{00000000-0010-0000-5100-000001000000}" name="Name"/>
    <tableColumn id="2" xr3:uid="{00000000-0010-0000-5100-000002000000}" name="POS"/>
    <tableColumn id="3" xr3:uid="{00000000-0010-0000-5100-000003000000}" name="Age"/>
    <tableColumn id="4" xr3:uid="{00000000-0010-0000-5100-000004000000}" name="Exp"/>
    <tableColumn id="5" xr3:uid="{00000000-0010-0000-5100-000005000000}" name="College"/>
    <tableColumn id="6" xr3:uid="{00000000-0010-0000-5100-000006000000}" name="team"/>
    <tableColumn id="7" xr3:uid="{00000000-0010-0000-5100-000007000000}" name="g"/>
    <tableColumn id="8" xr3:uid="{00000000-0010-0000-5100-000008000000}" name="p_att"/>
    <tableColumn id="9" xr3:uid="{00000000-0010-0000-5100-000009000000}" name="cmp"/>
    <tableColumn id="10" xr3:uid="{00000000-0010-0000-5100-00000A000000}" name="p_yd"/>
    <tableColumn id="11" xr3:uid="{00000000-0010-0000-5100-00000B000000}" name="p_td"/>
    <tableColumn id="12" xr3:uid="{00000000-0010-0000-5100-00000C000000}" name="int"/>
    <tableColumn id="13" xr3:uid="{00000000-0010-0000-5100-00000D000000}" name="car"/>
    <tableColumn id="14" xr3:uid="{00000000-0010-0000-5100-00000E000000}" name="r_yd"/>
    <tableColumn id="15" xr3:uid="{00000000-0010-0000-5100-00000F000000}" name="r_td"/>
    <tableColumn id="16" xr3:uid="{00000000-0010-0000-5100-000010000000}" name="tgt"/>
    <tableColumn id="17" xr3:uid="{00000000-0010-0000-5100-000011000000}" name="rec"/>
    <tableColumn id="18" xr3:uid="{00000000-0010-0000-5100-000012000000}" name="rec_yd"/>
    <tableColumn id="19" xr3:uid="{00000000-0010-0000-5100-000013000000}" name="rec_td"/>
    <tableColumn id="20" xr3:uid="{00000000-0010-0000-5100-000014000000}" name="fmb"/>
    <tableColumn id="21" xr3:uid="{00000000-0010-0000-5100-000015000000}" name="tp_c"/>
    <tableColumn id="22" xr3:uid="{00000000-0010-0000-5100-000016000000}" name="f_ppr"/>
    <tableColumn id="23" xr3:uid="{00000000-0010-0000-5100-000017000000}" name="tgt_share"/>
    <tableColumn id="24" xr3:uid="{00000000-0010-0000-5100-000018000000}" name="ypc"/>
    <tableColumn id="25" xr3:uid="{00000000-0010-0000-5100-000019000000}" name="ypr"/>
    <tableColumn id="26" xr3:uid="{00000000-0010-0000-5100-00001A000000}" name="cmp_pct"/>
    <tableColumn id="27" xr3:uid="{00000000-0010-0000-5100-00001B000000}" name="td_rate"/>
    <tableColumn id="28" xr3:uid="{00000000-0010-0000-51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>
  <autoFilter ref="A60:AB72" xr:uid="{00000000-0009-0000-0100-000055000000}"/>
  <tableColumns count="28">
    <tableColumn id="1" xr3:uid="{00000000-0010-0000-5200-000001000000}" name="Name"/>
    <tableColumn id="2" xr3:uid="{00000000-0010-0000-5200-000002000000}" name="POS"/>
    <tableColumn id="3" xr3:uid="{00000000-0010-0000-5200-000003000000}" name="Age"/>
    <tableColumn id="4" xr3:uid="{00000000-0010-0000-5200-000004000000}" name="Exp"/>
    <tableColumn id="5" xr3:uid="{00000000-0010-0000-5200-000005000000}" name="College"/>
    <tableColumn id="6" xr3:uid="{00000000-0010-0000-5200-000006000000}" name="team"/>
    <tableColumn id="7" xr3:uid="{00000000-0010-0000-5200-000007000000}" name="g"/>
    <tableColumn id="8" xr3:uid="{00000000-0010-0000-5200-000008000000}" name="p_att"/>
    <tableColumn id="9" xr3:uid="{00000000-0010-0000-5200-000009000000}" name="cmp"/>
    <tableColumn id="10" xr3:uid="{00000000-0010-0000-5200-00000A000000}" name="p_yd"/>
    <tableColumn id="11" xr3:uid="{00000000-0010-0000-5200-00000B000000}" name="p_td"/>
    <tableColumn id="12" xr3:uid="{00000000-0010-0000-5200-00000C000000}" name="int"/>
    <tableColumn id="13" xr3:uid="{00000000-0010-0000-5200-00000D000000}" name="car"/>
    <tableColumn id="14" xr3:uid="{00000000-0010-0000-5200-00000E000000}" name="r_yd"/>
    <tableColumn id="15" xr3:uid="{00000000-0010-0000-5200-00000F000000}" name="r_td"/>
    <tableColumn id="16" xr3:uid="{00000000-0010-0000-5200-000010000000}" name="tgt"/>
    <tableColumn id="17" xr3:uid="{00000000-0010-0000-5200-000011000000}" name="rec"/>
    <tableColumn id="18" xr3:uid="{00000000-0010-0000-5200-000012000000}" name="rec_yd"/>
    <tableColumn id="19" xr3:uid="{00000000-0010-0000-5200-000013000000}" name="rec_td"/>
    <tableColumn id="20" xr3:uid="{00000000-0010-0000-5200-000014000000}" name="fmb"/>
    <tableColumn id="21" xr3:uid="{00000000-0010-0000-5200-000015000000}" name="tp_c"/>
    <tableColumn id="22" xr3:uid="{00000000-0010-0000-5200-000016000000}" name="f_ppr"/>
    <tableColumn id="23" xr3:uid="{00000000-0010-0000-5200-000017000000}" name="tgt_share"/>
    <tableColumn id="24" xr3:uid="{00000000-0010-0000-5200-000018000000}" name="ypc"/>
    <tableColumn id="25" xr3:uid="{00000000-0010-0000-5200-000019000000}" name="ypr"/>
    <tableColumn id="26" xr3:uid="{00000000-0010-0000-5200-00001A000000}" name="cmp_pct"/>
    <tableColumn id="27" xr3:uid="{00000000-0010-0000-5200-00001B000000}" name="td_rate"/>
    <tableColumn id="28" xr3:uid="{00000000-0010-0000-5200-00001C000000}" name="f_custom"/>
  </tableColumns>
  <tableStyleInfo name="TableStyleLight9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>
  <autoFilter ref="A75:AB80" xr:uid="{00000000-0009-0000-0100-000056000000}"/>
  <tableColumns count="28">
    <tableColumn id="1" xr3:uid="{00000000-0010-0000-5300-000001000000}" name="Name"/>
    <tableColumn id="2" xr3:uid="{00000000-0010-0000-5300-000002000000}" name="POS"/>
    <tableColumn id="3" xr3:uid="{00000000-0010-0000-5300-000003000000}" name="Age"/>
    <tableColumn id="4" xr3:uid="{00000000-0010-0000-5300-000004000000}" name="Exp"/>
    <tableColumn id="5" xr3:uid="{00000000-0010-0000-5300-000005000000}" name="College"/>
    <tableColumn id="6" xr3:uid="{00000000-0010-0000-5300-000006000000}" name="team"/>
    <tableColumn id="7" xr3:uid="{00000000-0010-0000-5300-000007000000}" name="g"/>
    <tableColumn id="8" xr3:uid="{00000000-0010-0000-5300-000008000000}" name="p_att"/>
    <tableColumn id="9" xr3:uid="{00000000-0010-0000-5300-000009000000}" name="cmp"/>
    <tableColumn id="10" xr3:uid="{00000000-0010-0000-5300-00000A000000}" name="p_yd"/>
    <tableColumn id="11" xr3:uid="{00000000-0010-0000-5300-00000B000000}" name="p_td"/>
    <tableColumn id="12" xr3:uid="{00000000-0010-0000-5300-00000C000000}" name="int"/>
    <tableColumn id="13" xr3:uid="{00000000-0010-0000-5300-00000D000000}" name="car"/>
    <tableColumn id="14" xr3:uid="{00000000-0010-0000-5300-00000E000000}" name="r_yd"/>
    <tableColumn id="15" xr3:uid="{00000000-0010-0000-5300-00000F000000}" name="r_td"/>
    <tableColumn id="16" xr3:uid="{00000000-0010-0000-5300-000010000000}" name="tgt"/>
    <tableColumn id="17" xr3:uid="{00000000-0010-0000-5300-000011000000}" name="rec"/>
    <tableColumn id="18" xr3:uid="{00000000-0010-0000-5300-000012000000}" name="rec_yd"/>
    <tableColumn id="19" xr3:uid="{00000000-0010-0000-5300-000013000000}" name="rec_td"/>
    <tableColumn id="20" xr3:uid="{00000000-0010-0000-5300-000014000000}" name="fmb"/>
    <tableColumn id="21" xr3:uid="{00000000-0010-0000-5300-000015000000}" name="tp_c"/>
    <tableColumn id="22" xr3:uid="{00000000-0010-0000-5300-000016000000}" name="f_ppr"/>
    <tableColumn id="23" xr3:uid="{00000000-0010-0000-5300-000017000000}" name="tgt_share"/>
    <tableColumn id="24" xr3:uid="{00000000-0010-0000-5300-000018000000}" name="ypc"/>
    <tableColumn id="25" xr3:uid="{00000000-0010-0000-5300-000019000000}" name="ypr"/>
    <tableColumn id="26" xr3:uid="{00000000-0010-0000-5300-00001A000000}" name="cmp_pct"/>
    <tableColumn id="27" xr3:uid="{00000000-0010-0000-5300-00001B000000}" name="td_rate"/>
    <tableColumn id="28" xr3:uid="{00000000-0010-0000-5300-00001C000000}" name="f_custom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X24" totalsRowShown="0">
  <autoFilter ref="A1:X24" xr:uid="{00000000-0009-0000-0100-000057000000}"/>
  <tableColumns count="24">
    <tableColumn id="1" xr3:uid="{00000000-0010-0000-5400-000001000000}" name="player_name"/>
    <tableColumn id="2" xr3:uid="{00000000-0010-0000-5400-000002000000}" name="recent_team"/>
    <tableColumn id="3" xr3:uid="{00000000-0010-0000-5400-000003000000}" name="pos"/>
    <tableColumn id="4" xr3:uid="{00000000-0010-0000-5400-000004000000}" name="g"/>
    <tableColumn id="5" xr3:uid="{00000000-0010-0000-5400-000005000000}" name="p_att"/>
    <tableColumn id="6" xr3:uid="{00000000-0010-0000-5400-000006000000}" name="cmp"/>
    <tableColumn id="7" xr3:uid="{00000000-0010-0000-5400-000007000000}" name="p_yd"/>
    <tableColumn id="8" xr3:uid="{00000000-0010-0000-5400-000008000000}" name="p_td"/>
    <tableColumn id="9" xr3:uid="{00000000-0010-0000-5400-000009000000}" name="int"/>
    <tableColumn id="10" xr3:uid="{00000000-0010-0000-5400-00000A000000}" name="car"/>
    <tableColumn id="11" xr3:uid="{00000000-0010-0000-5400-00000B000000}" name="r_yd"/>
    <tableColumn id="12" xr3:uid="{00000000-0010-0000-5400-00000C000000}" name="r_td"/>
    <tableColumn id="13" xr3:uid="{00000000-0010-0000-5400-00000D000000}" name="tgt"/>
    <tableColumn id="14" xr3:uid="{00000000-0010-0000-5400-00000E000000}" name="rec"/>
    <tableColumn id="15" xr3:uid="{00000000-0010-0000-5400-00000F000000}" name="rec_yd"/>
    <tableColumn id="16" xr3:uid="{00000000-0010-0000-5400-000010000000}" name="rec_td"/>
    <tableColumn id="17" xr3:uid="{00000000-0010-0000-5400-000011000000}" name="fmb"/>
    <tableColumn id="18" xr3:uid="{00000000-0010-0000-5400-000012000000}" name="tp_c"/>
    <tableColumn id="19" xr3:uid="{00000000-0010-0000-5400-000013000000}" name="f_ppr"/>
    <tableColumn id="20" xr3:uid="{00000000-0010-0000-5400-000014000000}" name="tgt_share"/>
    <tableColumn id="21" xr3:uid="{00000000-0010-0000-5400-000015000000}" name="ypc"/>
    <tableColumn id="22" xr3:uid="{00000000-0010-0000-5400-000016000000}" name="ypr"/>
    <tableColumn id="23" xr3:uid="{00000000-0010-0000-5400-000017000000}" name="cmp_pct"/>
    <tableColumn id="24" xr3:uid="{00000000-0010-0000-5400-000018000000}" name="td_rate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L31" totalsRowShown="0">
  <autoFilter ref="A30:L31" xr:uid="{00000000-0009-0000-0100-000058000000}"/>
  <tableColumns count="12">
    <tableColumn id="1" xr3:uid="{00000000-0010-0000-5500-000001000000}" name="team"/>
    <tableColumn id="2" xr3:uid="{00000000-0010-0000-5500-000002000000}" name="off_yd"/>
    <tableColumn id="3" xr3:uid="{00000000-0010-0000-5500-000003000000}" name="p_yd"/>
    <tableColumn id="4" xr3:uid="{00000000-0010-0000-5500-000004000000}" name="car"/>
    <tableColumn id="5" xr3:uid="{00000000-0010-0000-5500-000005000000}" name="r_yd"/>
    <tableColumn id="6" xr3:uid="{00000000-0010-0000-5500-000006000000}" name="r_td"/>
    <tableColumn id="7" xr3:uid="{00000000-0010-0000-5500-000007000000}" name="p_ff"/>
    <tableColumn id="8" xr3:uid="{00000000-0010-0000-5500-000008000000}" name="p_att"/>
    <tableColumn id="9" xr3:uid="{00000000-0010-0000-5500-000009000000}" name="cmp_pct"/>
    <tableColumn id="10" xr3:uid="{00000000-0010-0000-5500-00000A000000}" name="p_td"/>
    <tableColumn id="11" xr3:uid="{00000000-0010-0000-5500-00000B000000}" name="int"/>
    <tableColumn id="12" xr3:uid="{00000000-0010-0000-5500-00000C000000}" name="fmb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L33" totalsRowShown="0">
  <autoFilter ref="A32:L33" xr:uid="{00000000-0009-0000-0100-000059000000}"/>
  <tableColumns count="12">
    <tableColumn id="1" xr3:uid="{00000000-0010-0000-5600-000001000000}" name="team">
      <calculatedColumnFormula>A31</calculatedColumnFormula>
    </tableColumn>
    <tableColumn id="2" xr3:uid="{00000000-0010-0000-5600-000002000000}" name="off_yd">
      <calculatedColumnFormula>C33 + E33</calculatedColumnFormula>
    </tableColumn>
    <tableColumn id="3" xr3:uid="{00000000-0010-0000-5600-000003000000}" name="p_yd">
      <calculatedColumnFormula>SUM(INDIRECT(A33 &amp; "_Table4[[#All],[p_yd]]"))</calculatedColumnFormula>
    </tableColumn>
    <tableColumn id="4" xr3:uid="{00000000-0010-0000-56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>
      <calculatedColumnFormula>SUM(INDIRECT(A33 &amp; "_Table4[[#All],[cmp]]"))/H33</calculatedColumnFormula>
    </tableColumn>
    <tableColumn id="10" xr3:uid="{00000000-0010-0000-56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>
  <autoFilter ref="A35:AB39" xr:uid="{00000000-0009-0000-0100-00005A000000}"/>
  <tableColumns count="28">
    <tableColumn id="1" xr3:uid="{00000000-0010-0000-5700-000001000000}" name="Name"/>
    <tableColumn id="2" xr3:uid="{00000000-0010-0000-5700-000002000000}" name="POS"/>
    <tableColumn id="3" xr3:uid="{00000000-0010-0000-5700-000003000000}" name="Age"/>
    <tableColumn id="4" xr3:uid="{00000000-0010-0000-5700-000004000000}" name="Exp"/>
    <tableColumn id="5" xr3:uid="{00000000-0010-0000-5700-000005000000}" name="College"/>
    <tableColumn id="6" xr3:uid="{00000000-0010-0000-5700-000006000000}" name="team"/>
    <tableColumn id="7" xr3:uid="{00000000-0010-0000-5700-000007000000}" name="g"/>
    <tableColumn id="8" xr3:uid="{00000000-0010-0000-5700-000008000000}" name="p_att"/>
    <tableColumn id="9" xr3:uid="{00000000-0010-0000-5700-000009000000}" name="cmp"/>
    <tableColumn id="10" xr3:uid="{00000000-0010-0000-5700-00000A000000}" name="p_yd"/>
    <tableColumn id="11" xr3:uid="{00000000-0010-0000-5700-00000B000000}" name="p_td"/>
    <tableColumn id="12" xr3:uid="{00000000-0010-0000-5700-00000C000000}" name="int"/>
    <tableColumn id="13" xr3:uid="{00000000-0010-0000-5700-00000D000000}" name="car"/>
    <tableColumn id="14" xr3:uid="{00000000-0010-0000-5700-00000E000000}" name="r_yd"/>
    <tableColumn id="15" xr3:uid="{00000000-0010-0000-5700-00000F000000}" name="r_td"/>
    <tableColumn id="16" xr3:uid="{00000000-0010-0000-5700-000010000000}" name="tgt"/>
    <tableColumn id="17" xr3:uid="{00000000-0010-0000-5700-000011000000}" name="rec"/>
    <tableColumn id="18" xr3:uid="{00000000-0010-0000-5700-000012000000}" name="rec_yd"/>
    <tableColumn id="19" xr3:uid="{00000000-0010-0000-5700-000013000000}" name="rec_td"/>
    <tableColumn id="20" xr3:uid="{00000000-0010-0000-5700-000014000000}" name="fmb"/>
    <tableColumn id="21" xr3:uid="{00000000-0010-0000-5700-000015000000}" name="tp_c"/>
    <tableColumn id="22" xr3:uid="{00000000-0010-0000-5700-000016000000}" name="f_ppr"/>
    <tableColumn id="23" xr3:uid="{00000000-0010-0000-5700-000017000000}" name="tgt_share"/>
    <tableColumn id="24" xr3:uid="{00000000-0010-0000-5700-000018000000}" name="ypc"/>
    <tableColumn id="25" xr3:uid="{00000000-0010-0000-5700-000019000000}" name="ypr"/>
    <tableColumn id="26" xr3:uid="{00000000-0010-0000-5700-00001A000000}" name="cmp_pct"/>
    <tableColumn id="27" xr3:uid="{00000000-0010-0000-5700-00001B000000}" name="td_rate"/>
    <tableColumn id="28" xr3:uid="{00000000-0010-0000-5700-00001C000000}" name="f_custom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>
  <autoFilter ref="A45:AB50" xr:uid="{00000000-0009-0000-0100-00005B000000}"/>
  <tableColumns count="28">
    <tableColumn id="1" xr3:uid="{00000000-0010-0000-5800-000001000000}" name="Name"/>
    <tableColumn id="2" xr3:uid="{00000000-0010-0000-5800-000002000000}" name="POS"/>
    <tableColumn id="3" xr3:uid="{00000000-0010-0000-5800-000003000000}" name="Age"/>
    <tableColumn id="4" xr3:uid="{00000000-0010-0000-5800-000004000000}" name="Exp"/>
    <tableColumn id="5" xr3:uid="{00000000-0010-0000-5800-000005000000}" name="College"/>
    <tableColumn id="6" xr3:uid="{00000000-0010-0000-5800-000006000000}" name="team"/>
    <tableColumn id="7" xr3:uid="{00000000-0010-0000-5800-000007000000}" name="g"/>
    <tableColumn id="8" xr3:uid="{00000000-0010-0000-5800-000008000000}" name="p_att"/>
    <tableColumn id="9" xr3:uid="{00000000-0010-0000-5800-000009000000}" name="cmp"/>
    <tableColumn id="10" xr3:uid="{00000000-0010-0000-5800-00000A000000}" name="p_yd"/>
    <tableColumn id="11" xr3:uid="{00000000-0010-0000-5800-00000B000000}" name="p_td"/>
    <tableColumn id="12" xr3:uid="{00000000-0010-0000-5800-00000C000000}" name="int"/>
    <tableColumn id="13" xr3:uid="{00000000-0010-0000-5800-00000D000000}" name="car"/>
    <tableColumn id="14" xr3:uid="{00000000-0010-0000-5800-00000E000000}" name="r_yd"/>
    <tableColumn id="15" xr3:uid="{00000000-0010-0000-5800-00000F000000}" name="r_td"/>
    <tableColumn id="16" xr3:uid="{00000000-0010-0000-5800-000010000000}" name="tgt"/>
    <tableColumn id="17" xr3:uid="{00000000-0010-0000-5800-000011000000}" name="rec"/>
    <tableColumn id="18" xr3:uid="{00000000-0010-0000-5800-000012000000}" name="rec_yd"/>
    <tableColumn id="19" xr3:uid="{00000000-0010-0000-5800-000013000000}" name="rec_td"/>
    <tableColumn id="20" xr3:uid="{00000000-0010-0000-5800-000014000000}" name="fmb"/>
    <tableColumn id="21" xr3:uid="{00000000-0010-0000-5800-000015000000}" name="tp_c"/>
    <tableColumn id="22" xr3:uid="{00000000-0010-0000-5800-000016000000}" name="f_ppr"/>
    <tableColumn id="23" xr3:uid="{00000000-0010-0000-5800-000017000000}" name="tgt_share"/>
    <tableColumn id="24" xr3:uid="{00000000-0010-0000-5800-000018000000}" name="ypc"/>
    <tableColumn id="25" xr3:uid="{00000000-0010-0000-5800-000019000000}" name="ypr"/>
    <tableColumn id="26" xr3:uid="{00000000-0010-0000-5800-00001A000000}" name="cmp_pct"/>
    <tableColumn id="27" xr3:uid="{00000000-0010-0000-5800-00001B000000}" name="td_rate"/>
    <tableColumn id="28" xr3:uid="{00000000-0010-0000-58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>
  <autoFilter ref="A60:AB73" xr:uid="{00000000-0009-0000-0100-00005C000000}"/>
  <tableColumns count="28">
    <tableColumn id="1" xr3:uid="{00000000-0010-0000-5900-000001000000}" name="Name"/>
    <tableColumn id="2" xr3:uid="{00000000-0010-0000-5900-000002000000}" name="POS"/>
    <tableColumn id="3" xr3:uid="{00000000-0010-0000-5900-000003000000}" name="Age"/>
    <tableColumn id="4" xr3:uid="{00000000-0010-0000-5900-000004000000}" name="Exp"/>
    <tableColumn id="5" xr3:uid="{00000000-0010-0000-5900-000005000000}" name="College"/>
    <tableColumn id="6" xr3:uid="{00000000-0010-0000-5900-000006000000}" name="team"/>
    <tableColumn id="7" xr3:uid="{00000000-0010-0000-5900-000007000000}" name="g"/>
    <tableColumn id="8" xr3:uid="{00000000-0010-0000-5900-000008000000}" name="p_att"/>
    <tableColumn id="9" xr3:uid="{00000000-0010-0000-5900-000009000000}" name="cmp"/>
    <tableColumn id="10" xr3:uid="{00000000-0010-0000-5900-00000A000000}" name="p_yd"/>
    <tableColumn id="11" xr3:uid="{00000000-0010-0000-5900-00000B000000}" name="p_td"/>
    <tableColumn id="12" xr3:uid="{00000000-0010-0000-5900-00000C000000}" name="int"/>
    <tableColumn id="13" xr3:uid="{00000000-0010-0000-5900-00000D000000}" name="car"/>
    <tableColumn id="14" xr3:uid="{00000000-0010-0000-5900-00000E000000}" name="r_yd"/>
    <tableColumn id="15" xr3:uid="{00000000-0010-0000-5900-00000F000000}" name="r_td"/>
    <tableColumn id="16" xr3:uid="{00000000-0010-0000-5900-000010000000}" name="tgt"/>
    <tableColumn id="17" xr3:uid="{00000000-0010-0000-5900-000011000000}" name="rec"/>
    <tableColumn id="18" xr3:uid="{00000000-0010-0000-5900-000012000000}" name="rec_yd"/>
    <tableColumn id="19" xr3:uid="{00000000-0010-0000-5900-000013000000}" name="rec_td"/>
    <tableColumn id="20" xr3:uid="{00000000-0010-0000-5900-000014000000}" name="fmb"/>
    <tableColumn id="21" xr3:uid="{00000000-0010-0000-5900-000015000000}" name="tp_c"/>
    <tableColumn id="22" xr3:uid="{00000000-0010-0000-5900-000016000000}" name="f_ppr"/>
    <tableColumn id="23" xr3:uid="{00000000-0010-0000-5900-000017000000}" name="tgt_share"/>
    <tableColumn id="24" xr3:uid="{00000000-0010-0000-5900-000018000000}" name="ypc"/>
    <tableColumn id="25" xr3:uid="{00000000-0010-0000-5900-000019000000}" name="ypr"/>
    <tableColumn id="26" xr3:uid="{00000000-0010-0000-5900-00001A000000}" name="cmp_pct"/>
    <tableColumn id="27" xr3:uid="{00000000-0010-0000-5900-00001B000000}" name="td_rate"/>
    <tableColumn id="28" xr3:uid="{00000000-0010-0000-5900-00001C000000}" name="f_custom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>
  <autoFilter ref="A75:AB83" xr:uid="{00000000-0009-0000-0100-00005D000000}"/>
  <tableColumns count="28">
    <tableColumn id="1" xr3:uid="{00000000-0010-0000-5A00-000001000000}" name="Name"/>
    <tableColumn id="2" xr3:uid="{00000000-0010-0000-5A00-000002000000}" name="POS"/>
    <tableColumn id="3" xr3:uid="{00000000-0010-0000-5A00-000003000000}" name="Age"/>
    <tableColumn id="4" xr3:uid="{00000000-0010-0000-5A00-000004000000}" name="Exp"/>
    <tableColumn id="5" xr3:uid="{00000000-0010-0000-5A00-000005000000}" name="College"/>
    <tableColumn id="6" xr3:uid="{00000000-0010-0000-5A00-000006000000}" name="team"/>
    <tableColumn id="7" xr3:uid="{00000000-0010-0000-5A00-000007000000}" name="g"/>
    <tableColumn id="8" xr3:uid="{00000000-0010-0000-5A00-000008000000}" name="p_att"/>
    <tableColumn id="9" xr3:uid="{00000000-0010-0000-5A00-000009000000}" name="cmp"/>
    <tableColumn id="10" xr3:uid="{00000000-0010-0000-5A00-00000A000000}" name="p_yd"/>
    <tableColumn id="11" xr3:uid="{00000000-0010-0000-5A00-00000B000000}" name="p_td"/>
    <tableColumn id="12" xr3:uid="{00000000-0010-0000-5A00-00000C000000}" name="int"/>
    <tableColumn id="13" xr3:uid="{00000000-0010-0000-5A00-00000D000000}" name="car"/>
    <tableColumn id="14" xr3:uid="{00000000-0010-0000-5A00-00000E000000}" name="r_yd"/>
    <tableColumn id="15" xr3:uid="{00000000-0010-0000-5A00-00000F000000}" name="r_td"/>
    <tableColumn id="16" xr3:uid="{00000000-0010-0000-5A00-000010000000}" name="tgt"/>
    <tableColumn id="17" xr3:uid="{00000000-0010-0000-5A00-000011000000}" name="rec"/>
    <tableColumn id="18" xr3:uid="{00000000-0010-0000-5A00-000012000000}" name="rec_yd"/>
    <tableColumn id="19" xr3:uid="{00000000-0010-0000-5A00-000013000000}" name="rec_td"/>
    <tableColumn id="20" xr3:uid="{00000000-0010-0000-5A00-000014000000}" name="fmb"/>
    <tableColumn id="21" xr3:uid="{00000000-0010-0000-5A00-000015000000}" name="tp_c"/>
    <tableColumn id="22" xr3:uid="{00000000-0010-0000-5A00-000016000000}" name="f_ppr"/>
    <tableColumn id="23" xr3:uid="{00000000-0010-0000-5A00-000017000000}" name="tgt_share"/>
    <tableColumn id="24" xr3:uid="{00000000-0010-0000-5A00-000018000000}" name="ypc"/>
    <tableColumn id="25" xr3:uid="{00000000-0010-0000-5A00-000019000000}" name="ypr"/>
    <tableColumn id="26" xr3:uid="{00000000-0010-0000-5A00-00001A000000}" name="cmp_pct"/>
    <tableColumn id="27" xr3:uid="{00000000-0010-0000-5A00-00001B000000}" name="td_rate"/>
    <tableColumn id="28" xr3:uid="{00000000-0010-0000-5A00-00001C000000}" name="f_custom"/>
  </tableColumns>
  <tableStyleInfo name="TableStyleLight9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X20" totalsRowShown="0">
  <autoFilter ref="A1:X20" xr:uid="{00000000-0009-0000-0100-00005E000000}"/>
  <tableColumns count="24">
    <tableColumn id="1" xr3:uid="{00000000-0010-0000-5B00-000001000000}" name="player_name"/>
    <tableColumn id="2" xr3:uid="{00000000-0010-0000-5B00-000002000000}" name="recent_team"/>
    <tableColumn id="3" xr3:uid="{00000000-0010-0000-5B00-000003000000}" name="pos"/>
    <tableColumn id="4" xr3:uid="{00000000-0010-0000-5B00-000004000000}" name="g"/>
    <tableColumn id="5" xr3:uid="{00000000-0010-0000-5B00-000005000000}" name="p_att"/>
    <tableColumn id="6" xr3:uid="{00000000-0010-0000-5B00-000006000000}" name="cmp"/>
    <tableColumn id="7" xr3:uid="{00000000-0010-0000-5B00-000007000000}" name="p_yd"/>
    <tableColumn id="8" xr3:uid="{00000000-0010-0000-5B00-000008000000}" name="p_td"/>
    <tableColumn id="9" xr3:uid="{00000000-0010-0000-5B00-000009000000}" name="int"/>
    <tableColumn id="10" xr3:uid="{00000000-0010-0000-5B00-00000A000000}" name="car"/>
    <tableColumn id="11" xr3:uid="{00000000-0010-0000-5B00-00000B000000}" name="r_yd"/>
    <tableColumn id="12" xr3:uid="{00000000-0010-0000-5B00-00000C000000}" name="r_td"/>
    <tableColumn id="13" xr3:uid="{00000000-0010-0000-5B00-00000D000000}" name="tgt"/>
    <tableColumn id="14" xr3:uid="{00000000-0010-0000-5B00-00000E000000}" name="rec"/>
    <tableColumn id="15" xr3:uid="{00000000-0010-0000-5B00-00000F000000}" name="rec_yd"/>
    <tableColumn id="16" xr3:uid="{00000000-0010-0000-5B00-000010000000}" name="rec_td"/>
    <tableColumn id="17" xr3:uid="{00000000-0010-0000-5B00-000011000000}" name="fmb"/>
    <tableColumn id="18" xr3:uid="{00000000-0010-0000-5B00-000012000000}" name="tp_c"/>
    <tableColumn id="19" xr3:uid="{00000000-0010-0000-5B00-000013000000}" name="f_ppr"/>
    <tableColumn id="20" xr3:uid="{00000000-0010-0000-5B00-000014000000}" name="tgt_share"/>
    <tableColumn id="21" xr3:uid="{00000000-0010-0000-5B00-000015000000}" name="ypc"/>
    <tableColumn id="22" xr3:uid="{00000000-0010-0000-5B00-000016000000}" name="ypr"/>
    <tableColumn id="23" xr3:uid="{00000000-0010-0000-5B00-000017000000}" name="cmp_pct"/>
    <tableColumn id="24" xr3:uid="{00000000-0010-0000-5B00-000018000000}" name="td_rate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L31" totalsRowShown="0">
  <autoFilter ref="A30:L31" xr:uid="{00000000-0009-0000-0100-00005F000000}"/>
  <tableColumns count="12">
    <tableColumn id="1" xr3:uid="{00000000-0010-0000-5C00-000001000000}" name="team"/>
    <tableColumn id="2" xr3:uid="{00000000-0010-0000-5C00-000002000000}" name="off_yd"/>
    <tableColumn id="3" xr3:uid="{00000000-0010-0000-5C00-000003000000}" name="p_yd"/>
    <tableColumn id="4" xr3:uid="{00000000-0010-0000-5C00-000004000000}" name="car"/>
    <tableColumn id="5" xr3:uid="{00000000-0010-0000-5C00-000005000000}" name="r_yd"/>
    <tableColumn id="6" xr3:uid="{00000000-0010-0000-5C00-000006000000}" name="r_td"/>
    <tableColumn id="7" xr3:uid="{00000000-0010-0000-5C00-000007000000}" name="p_ff"/>
    <tableColumn id="8" xr3:uid="{00000000-0010-0000-5C00-000008000000}" name="p_att"/>
    <tableColumn id="9" xr3:uid="{00000000-0010-0000-5C00-000009000000}" name="cmp_pct"/>
    <tableColumn id="10" xr3:uid="{00000000-0010-0000-5C00-00000A000000}" name="p_td"/>
    <tableColumn id="11" xr3:uid="{00000000-0010-0000-5C00-00000B000000}" name="int"/>
    <tableColumn id="12" xr3:uid="{00000000-0010-0000-5C00-00000C000000}" name="fmb"/>
  </tableColumns>
  <tableStyleInfo name="TableStyleLight9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L33" totalsRowShown="0">
  <autoFilter ref="A32:L33" xr:uid="{00000000-0009-0000-0100-000060000000}"/>
  <tableColumns count="12">
    <tableColumn id="1" xr3:uid="{00000000-0010-0000-5D00-000001000000}" name="team">
      <calculatedColumnFormula>A31</calculatedColumnFormula>
    </tableColumn>
    <tableColumn id="2" xr3:uid="{00000000-0010-0000-5D00-000002000000}" name="off_yd">
      <calculatedColumnFormula>C33 + E33</calculatedColumnFormula>
    </tableColumn>
    <tableColumn id="3" xr3:uid="{00000000-0010-0000-5D00-000003000000}" name="p_yd">
      <calculatedColumnFormula>SUM(INDIRECT(A33 &amp; "_Table4[[#All],[p_yd]]"))</calculatedColumnFormula>
    </tableColumn>
    <tableColumn id="4" xr3:uid="{00000000-0010-0000-5D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>
      <calculatedColumnFormula>SUM(INDIRECT(A33 &amp; "_Table4[[#All],[cmp]]"))/H33</calculatedColumnFormula>
    </tableColumn>
    <tableColumn id="10" xr3:uid="{00000000-0010-0000-5D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>
  <autoFilter ref="A35:AB38" xr:uid="{00000000-0009-0000-0100-000061000000}"/>
  <tableColumns count="28">
    <tableColumn id="1" xr3:uid="{00000000-0010-0000-5E00-000001000000}" name="Name"/>
    <tableColumn id="2" xr3:uid="{00000000-0010-0000-5E00-000002000000}" name="POS"/>
    <tableColumn id="3" xr3:uid="{00000000-0010-0000-5E00-000003000000}" name="Age"/>
    <tableColumn id="4" xr3:uid="{00000000-0010-0000-5E00-000004000000}" name="Exp"/>
    <tableColumn id="5" xr3:uid="{00000000-0010-0000-5E00-000005000000}" name="College"/>
    <tableColumn id="6" xr3:uid="{00000000-0010-0000-5E00-000006000000}" name="team"/>
    <tableColumn id="7" xr3:uid="{00000000-0010-0000-5E00-000007000000}" name="g"/>
    <tableColumn id="8" xr3:uid="{00000000-0010-0000-5E00-000008000000}" name="p_att"/>
    <tableColumn id="9" xr3:uid="{00000000-0010-0000-5E00-000009000000}" name="cmp"/>
    <tableColumn id="10" xr3:uid="{00000000-0010-0000-5E00-00000A000000}" name="p_yd"/>
    <tableColumn id="11" xr3:uid="{00000000-0010-0000-5E00-00000B000000}" name="p_td"/>
    <tableColumn id="12" xr3:uid="{00000000-0010-0000-5E00-00000C000000}" name="int"/>
    <tableColumn id="13" xr3:uid="{00000000-0010-0000-5E00-00000D000000}" name="car"/>
    <tableColumn id="14" xr3:uid="{00000000-0010-0000-5E00-00000E000000}" name="r_yd"/>
    <tableColumn id="15" xr3:uid="{00000000-0010-0000-5E00-00000F000000}" name="r_td"/>
    <tableColumn id="16" xr3:uid="{00000000-0010-0000-5E00-000010000000}" name="tgt"/>
    <tableColumn id="17" xr3:uid="{00000000-0010-0000-5E00-000011000000}" name="rec"/>
    <tableColumn id="18" xr3:uid="{00000000-0010-0000-5E00-000012000000}" name="rec_yd"/>
    <tableColumn id="19" xr3:uid="{00000000-0010-0000-5E00-000013000000}" name="rec_td"/>
    <tableColumn id="20" xr3:uid="{00000000-0010-0000-5E00-000014000000}" name="fmb"/>
    <tableColumn id="21" xr3:uid="{00000000-0010-0000-5E00-000015000000}" name="tp_c"/>
    <tableColumn id="22" xr3:uid="{00000000-0010-0000-5E00-000016000000}" name="f_ppr"/>
    <tableColumn id="23" xr3:uid="{00000000-0010-0000-5E00-000017000000}" name="tgt_share"/>
    <tableColumn id="24" xr3:uid="{00000000-0010-0000-5E00-000018000000}" name="ypc"/>
    <tableColumn id="25" xr3:uid="{00000000-0010-0000-5E00-000019000000}" name="ypr"/>
    <tableColumn id="26" xr3:uid="{00000000-0010-0000-5E00-00001A000000}" name="cmp_pct"/>
    <tableColumn id="27" xr3:uid="{00000000-0010-0000-5E00-00001B000000}" name="td_rate"/>
    <tableColumn id="28" xr3:uid="{00000000-0010-0000-5E00-00001C000000}" name="f_custom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>
  <autoFilter ref="A45:AB52" xr:uid="{00000000-0009-0000-0100-000062000000}"/>
  <tableColumns count="28">
    <tableColumn id="1" xr3:uid="{00000000-0010-0000-5F00-000001000000}" name="Name"/>
    <tableColumn id="2" xr3:uid="{00000000-0010-0000-5F00-000002000000}" name="POS"/>
    <tableColumn id="3" xr3:uid="{00000000-0010-0000-5F00-000003000000}" name="Age"/>
    <tableColumn id="4" xr3:uid="{00000000-0010-0000-5F00-000004000000}" name="Exp"/>
    <tableColumn id="5" xr3:uid="{00000000-0010-0000-5F00-000005000000}" name="College"/>
    <tableColumn id="6" xr3:uid="{00000000-0010-0000-5F00-000006000000}" name="team"/>
    <tableColumn id="7" xr3:uid="{00000000-0010-0000-5F00-000007000000}" name="g"/>
    <tableColumn id="8" xr3:uid="{00000000-0010-0000-5F00-000008000000}" name="p_att"/>
    <tableColumn id="9" xr3:uid="{00000000-0010-0000-5F00-000009000000}" name="cmp"/>
    <tableColumn id="10" xr3:uid="{00000000-0010-0000-5F00-00000A000000}" name="p_yd"/>
    <tableColumn id="11" xr3:uid="{00000000-0010-0000-5F00-00000B000000}" name="p_td"/>
    <tableColumn id="12" xr3:uid="{00000000-0010-0000-5F00-00000C000000}" name="int"/>
    <tableColumn id="13" xr3:uid="{00000000-0010-0000-5F00-00000D000000}" name="car"/>
    <tableColumn id="14" xr3:uid="{00000000-0010-0000-5F00-00000E000000}" name="r_yd"/>
    <tableColumn id="15" xr3:uid="{00000000-0010-0000-5F00-00000F000000}" name="r_td"/>
    <tableColumn id="16" xr3:uid="{00000000-0010-0000-5F00-000010000000}" name="tgt"/>
    <tableColumn id="17" xr3:uid="{00000000-0010-0000-5F00-000011000000}" name="rec"/>
    <tableColumn id="18" xr3:uid="{00000000-0010-0000-5F00-000012000000}" name="rec_yd"/>
    <tableColumn id="19" xr3:uid="{00000000-0010-0000-5F00-000013000000}" name="rec_td"/>
    <tableColumn id="20" xr3:uid="{00000000-0010-0000-5F00-000014000000}" name="fmb"/>
    <tableColumn id="21" xr3:uid="{00000000-0010-0000-5F00-000015000000}" name="tp_c"/>
    <tableColumn id="22" xr3:uid="{00000000-0010-0000-5F00-000016000000}" name="f_ppr"/>
    <tableColumn id="23" xr3:uid="{00000000-0010-0000-5F00-000017000000}" name="tgt_share"/>
    <tableColumn id="24" xr3:uid="{00000000-0010-0000-5F00-000018000000}" name="ypc"/>
    <tableColumn id="25" xr3:uid="{00000000-0010-0000-5F00-000019000000}" name="ypr"/>
    <tableColumn id="26" xr3:uid="{00000000-0010-0000-5F00-00001A000000}" name="cmp_pct"/>
    <tableColumn id="27" xr3:uid="{00000000-0010-0000-5F00-00001B000000}" name="td_rate"/>
    <tableColumn id="28" xr3:uid="{00000000-0010-0000-5F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>
  <autoFilter ref="A60:AB73" xr:uid="{00000000-0009-0000-0100-000063000000}"/>
  <tableColumns count="28">
    <tableColumn id="1" xr3:uid="{00000000-0010-0000-6000-000001000000}" name="Name"/>
    <tableColumn id="2" xr3:uid="{00000000-0010-0000-6000-000002000000}" name="POS"/>
    <tableColumn id="3" xr3:uid="{00000000-0010-0000-6000-000003000000}" name="Age"/>
    <tableColumn id="4" xr3:uid="{00000000-0010-0000-6000-000004000000}" name="Exp"/>
    <tableColumn id="5" xr3:uid="{00000000-0010-0000-6000-000005000000}" name="College"/>
    <tableColumn id="6" xr3:uid="{00000000-0010-0000-6000-000006000000}" name="team"/>
    <tableColumn id="7" xr3:uid="{00000000-0010-0000-6000-000007000000}" name="g"/>
    <tableColumn id="8" xr3:uid="{00000000-0010-0000-6000-000008000000}" name="p_att"/>
    <tableColumn id="9" xr3:uid="{00000000-0010-0000-6000-000009000000}" name="cmp"/>
    <tableColumn id="10" xr3:uid="{00000000-0010-0000-6000-00000A000000}" name="p_yd"/>
    <tableColumn id="11" xr3:uid="{00000000-0010-0000-6000-00000B000000}" name="p_td"/>
    <tableColumn id="12" xr3:uid="{00000000-0010-0000-6000-00000C000000}" name="int"/>
    <tableColumn id="13" xr3:uid="{00000000-0010-0000-6000-00000D000000}" name="car"/>
    <tableColumn id="14" xr3:uid="{00000000-0010-0000-6000-00000E000000}" name="r_yd"/>
    <tableColumn id="15" xr3:uid="{00000000-0010-0000-6000-00000F000000}" name="r_td"/>
    <tableColumn id="16" xr3:uid="{00000000-0010-0000-6000-000010000000}" name="tgt"/>
    <tableColumn id="17" xr3:uid="{00000000-0010-0000-6000-000011000000}" name="rec"/>
    <tableColumn id="18" xr3:uid="{00000000-0010-0000-6000-000012000000}" name="rec_yd"/>
    <tableColumn id="19" xr3:uid="{00000000-0010-0000-6000-000013000000}" name="rec_td"/>
    <tableColumn id="20" xr3:uid="{00000000-0010-0000-6000-000014000000}" name="fmb"/>
    <tableColumn id="21" xr3:uid="{00000000-0010-0000-6000-000015000000}" name="tp_c"/>
    <tableColumn id="22" xr3:uid="{00000000-0010-0000-6000-000016000000}" name="f_ppr"/>
    <tableColumn id="23" xr3:uid="{00000000-0010-0000-6000-000017000000}" name="tgt_share"/>
    <tableColumn id="24" xr3:uid="{00000000-0010-0000-6000-000018000000}" name="ypc"/>
    <tableColumn id="25" xr3:uid="{00000000-0010-0000-6000-000019000000}" name="ypr"/>
    <tableColumn id="26" xr3:uid="{00000000-0010-0000-6000-00001A000000}" name="cmp_pct"/>
    <tableColumn id="27" xr3:uid="{00000000-0010-0000-6000-00001B000000}" name="td_rate"/>
    <tableColumn id="28" xr3:uid="{00000000-0010-0000-6000-00001C000000}" name="f_custom"/>
  </tableColumns>
  <tableStyleInfo name="TableStyleLight9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>
  <autoFilter ref="A75:AB84" xr:uid="{00000000-0009-0000-0100-000064000000}"/>
  <tableColumns count="28">
    <tableColumn id="1" xr3:uid="{00000000-0010-0000-6100-000001000000}" name="Name"/>
    <tableColumn id="2" xr3:uid="{00000000-0010-0000-6100-000002000000}" name="POS"/>
    <tableColumn id="3" xr3:uid="{00000000-0010-0000-6100-000003000000}" name="Age"/>
    <tableColumn id="4" xr3:uid="{00000000-0010-0000-6100-000004000000}" name="Exp"/>
    <tableColumn id="5" xr3:uid="{00000000-0010-0000-6100-000005000000}" name="College"/>
    <tableColumn id="6" xr3:uid="{00000000-0010-0000-6100-000006000000}" name="team"/>
    <tableColumn id="7" xr3:uid="{00000000-0010-0000-6100-000007000000}" name="g"/>
    <tableColumn id="8" xr3:uid="{00000000-0010-0000-6100-000008000000}" name="p_att"/>
    <tableColumn id="9" xr3:uid="{00000000-0010-0000-6100-000009000000}" name="cmp"/>
    <tableColumn id="10" xr3:uid="{00000000-0010-0000-6100-00000A000000}" name="p_yd"/>
    <tableColumn id="11" xr3:uid="{00000000-0010-0000-6100-00000B000000}" name="p_td"/>
    <tableColumn id="12" xr3:uid="{00000000-0010-0000-6100-00000C000000}" name="int"/>
    <tableColumn id="13" xr3:uid="{00000000-0010-0000-6100-00000D000000}" name="car"/>
    <tableColumn id="14" xr3:uid="{00000000-0010-0000-6100-00000E000000}" name="r_yd"/>
    <tableColumn id="15" xr3:uid="{00000000-0010-0000-6100-00000F000000}" name="r_td"/>
    <tableColumn id="16" xr3:uid="{00000000-0010-0000-6100-000010000000}" name="tgt"/>
    <tableColumn id="17" xr3:uid="{00000000-0010-0000-6100-000011000000}" name="rec"/>
    <tableColumn id="18" xr3:uid="{00000000-0010-0000-6100-000012000000}" name="rec_yd"/>
    <tableColumn id="19" xr3:uid="{00000000-0010-0000-6100-000013000000}" name="rec_td"/>
    <tableColumn id="20" xr3:uid="{00000000-0010-0000-6100-000014000000}" name="fmb"/>
    <tableColumn id="21" xr3:uid="{00000000-0010-0000-6100-000015000000}" name="tp_c"/>
    <tableColumn id="22" xr3:uid="{00000000-0010-0000-6100-000016000000}" name="f_ppr"/>
    <tableColumn id="23" xr3:uid="{00000000-0010-0000-6100-000017000000}" name="tgt_share"/>
    <tableColumn id="24" xr3:uid="{00000000-0010-0000-6100-000018000000}" name="ypc"/>
    <tableColumn id="25" xr3:uid="{00000000-0010-0000-6100-000019000000}" name="ypr"/>
    <tableColumn id="26" xr3:uid="{00000000-0010-0000-6100-00001A000000}" name="cmp_pct"/>
    <tableColumn id="27" xr3:uid="{00000000-0010-0000-6100-00001B000000}" name="td_rate"/>
    <tableColumn id="28" xr3:uid="{00000000-0010-0000-6100-00001C000000}" name="f_custom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X16" totalsRowShown="0">
  <autoFilter ref="A1:X16" xr:uid="{00000000-0009-0000-0100-000065000000}"/>
  <tableColumns count="24">
    <tableColumn id="1" xr3:uid="{00000000-0010-0000-6200-000001000000}" name="player_name"/>
    <tableColumn id="2" xr3:uid="{00000000-0010-0000-6200-000002000000}" name="recent_team"/>
    <tableColumn id="3" xr3:uid="{00000000-0010-0000-6200-000003000000}" name="pos"/>
    <tableColumn id="4" xr3:uid="{00000000-0010-0000-6200-000004000000}" name="g"/>
    <tableColumn id="5" xr3:uid="{00000000-0010-0000-6200-000005000000}" name="p_att"/>
    <tableColumn id="6" xr3:uid="{00000000-0010-0000-6200-000006000000}" name="cmp"/>
    <tableColumn id="7" xr3:uid="{00000000-0010-0000-6200-000007000000}" name="p_yd"/>
    <tableColumn id="8" xr3:uid="{00000000-0010-0000-6200-000008000000}" name="p_td"/>
    <tableColumn id="9" xr3:uid="{00000000-0010-0000-6200-000009000000}" name="int"/>
    <tableColumn id="10" xr3:uid="{00000000-0010-0000-6200-00000A000000}" name="car"/>
    <tableColumn id="11" xr3:uid="{00000000-0010-0000-6200-00000B000000}" name="r_yd"/>
    <tableColumn id="12" xr3:uid="{00000000-0010-0000-6200-00000C000000}" name="r_td"/>
    <tableColumn id="13" xr3:uid="{00000000-0010-0000-6200-00000D000000}" name="tgt"/>
    <tableColumn id="14" xr3:uid="{00000000-0010-0000-6200-00000E000000}" name="rec"/>
    <tableColumn id="15" xr3:uid="{00000000-0010-0000-6200-00000F000000}" name="rec_yd"/>
    <tableColumn id="16" xr3:uid="{00000000-0010-0000-6200-000010000000}" name="rec_td"/>
    <tableColumn id="17" xr3:uid="{00000000-0010-0000-6200-000011000000}" name="fmb"/>
    <tableColumn id="18" xr3:uid="{00000000-0010-0000-6200-000012000000}" name="tp_c"/>
    <tableColumn id="19" xr3:uid="{00000000-0010-0000-6200-000013000000}" name="f_ppr"/>
    <tableColumn id="20" xr3:uid="{00000000-0010-0000-6200-000014000000}" name="tgt_share"/>
    <tableColumn id="21" xr3:uid="{00000000-0010-0000-6200-000015000000}" name="ypc"/>
    <tableColumn id="22" xr3:uid="{00000000-0010-0000-6200-000016000000}" name="ypr"/>
    <tableColumn id="23" xr3:uid="{00000000-0010-0000-6200-000017000000}" name="cmp_pct"/>
    <tableColumn id="24" xr3:uid="{00000000-0010-0000-6200-000018000000}" name="td_rate"/>
  </tableColumns>
  <tableStyleInfo name="TableStyleLight9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L31" totalsRowShown="0">
  <autoFilter ref="A30:L31" xr:uid="{00000000-0009-0000-0100-000066000000}"/>
  <tableColumns count="12">
    <tableColumn id="1" xr3:uid="{00000000-0010-0000-6300-000001000000}" name="team"/>
    <tableColumn id="2" xr3:uid="{00000000-0010-0000-6300-000002000000}" name="off_yd"/>
    <tableColumn id="3" xr3:uid="{00000000-0010-0000-6300-000003000000}" name="p_yd"/>
    <tableColumn id="4" xr3:uid="{00000000-0010-0000-6300-000004000000}" name="car"/>
    <tableColumn id="5" xr3:uid="{00000000-0010-0000-6300-000005000000}" name="r_yd"/>
    <tableColumn id="6" xr3:uid="{00000000-0010-0000-6300-000006000000}" name="r_td"/>
    <tableColumn id="7" xr3:uid="{00000000-0010-0000-6300-000007000000}" name="p_ff"/>
    <tableColumn id="8" xr3:uid="{00000000-0010-0000-6300-000008000000}" name="p_att"/>
    <tableColumn id="9" xr3:uid="{00000000-0010-0000-6300-000009000000}" name="cmp_pct"/>
    <tableColumn id="10" xr3:uid="{00000000-0010-0000-6300-00000A000000}" name="p_td"/>
    <tableColumn id="11" xr3:uid="{00000000-0010-0000-6300-00000B000000}" name="int"/>
    <tableColumn id="12" xr3:uid="{00000000-0010-0000-6300-00000C000000}" name="fmb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L33" totalsRowShown="0">
  <autoFilter ref="A32:L33" xr:uid="{00000000-0009-0000-0100-000067000000}"/>
  <tableColumns count="12">
    <tableColumn id="1" xr3:uid="{00000000-0010-0000-6400-000001000000}" name="team">
      <calculatedColumnFormula>A31</calculatedColumnFormula>
    </tableColumn>
    <tableColumn id="2" xr3:uid="{00000000-0010-0000-6400-000002000000}" name="off_yd">
      <calculatedColumnFormula>C33 + E33</calculatedColumnFormula>
    </tableColumn>
    <tableColumn id="3" xr3:uid="{00000000-0010-0000-6400-000003000000}" name="p_yd">
      <calculatedColumnFormula>SUM(INDIRECT(A33 &amp; "_Table4[[#All],[p_yd]]"))</calculatedColumnFormula>
    </tableColumn>
    <tableColumn id="4" xr3:uid="{00000000-0010-0000-64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>
      <calculatedColumnFormula>SUM(INDIRECT(A33 &amp; "_Table4[[#All],[cmp]]"))/H33</calculatedColumnFormula>
    </tableColumn>
    <tableColumn id="10" xr3:uid="{00000000-0010-0000-64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>
  <autoFilter ref="A35:AB38" xr:uid="{00000000-0009-0000-0100-000068000000}"/>
  <tableColumns count="28">
    <tableColumn id="1" xr3:uid="{00000000-0010-0000-6500-000001000000}" name="Name"/>
    <tableColumn id="2" xr3:uid="{00000000-0010-0000-6500-000002000000}" name="POS"/>
    <tableColumn id="3" xr3:uid="{00000000-0010-0000-6500-000003000000}" name="Age"/>
    <tableColumn id="4" xr3:uid="{00000000-0010-0000-6500-000004000000}" name="Exp"/>
    <tableColumn id="5" xr3:uid="{00000000-0010-0000-6500-000005000000}" name="College"/>
    <tableColumn id="6" xr3:uid="{00000000-0010-0000-6500-000006000000}" name="team"/>
    <tableColumn id="7" xr3:uid="{00000000-0010-0000-6500-000007000000}" name="g"/>
    <tableColumn id="8" xr3:uid="{00000000-0010-0000-6500-000008000000}" name="p_att"/>
    <tableColumn id="9" xr3:uid="{00000000-0010-0000-6500-000009000000}" name="cmp"/>
    <tableColumn id="10" xr3:uid="{00000000-0010-0000-6500-00000A000000}" name="p_yd"/>
    <tableColumn id="11" xr3:uid="{00000000-0010-0000-6500-00000B000000}" name="p_td"/>
    <tableColumn id="12" xr3:uid="{00000000-0010-0000-6500-00000C000000}" name="int"/>
    <tableColumn id="13" xr3:uid="{00000000-0010-0000-6500-00000D000000}" name="car"/>
    <tableColumn id="14" xr3:uid="{00000000-0010-0000-6500-00000E000000}" name="r_yd"/>
    <tableColumn id="15" xr3:uid="{00000000-0010-0000-6500-00000F000000}" name="r_td"/>
    <tableColumn id="16" xr3:uid="{00000000-0010-0000-6500-000010000000}" name="tgt"/>
    <tableColumn id="17" xr3:uid="{00000000-0010-0000-6500-000011000000}" name="rec"/>
    <tableColumn id="18" xr3:uid="{00000000-0010-0000-6500-000012000000}" name="rec_yd"/>
    <tableColumn id="19" xr3:uid="{00000000-0010-0000-6500-000013000000}" name="rec_td"/>
    <tableColumn id="20" xr3:uid="{00000000-0010-0000-6500-000014000000}" name="fmb"/>
    <tableColumn id="21" xr3:uid="{00000000-0010-0000-6500-000015000000}" name="tp_c"/>
    <tableColumn id="22" xr3:uid="{00000000-0010-0000-6500-000016000000}" name="f_ppr"/>
    <tableColumn id="23" xr3:uid="{00000000-0010-0000-6500-000017000000}" name="tgt_share"/>
    <tableColumn id="24" xr3:uid="{00000000-0010-0000-6500-000018000000}" name="ypc"/>
    <tableColumn id="25" xr3:uid="{00000000-0010-0000-6500-000019000000}" name="ypr"/>
    <tableColumn id="26" xr3:uid="{00000000-0010-0000-6500-00001A000000}" name="cmp_pct"/>
    <tableColumn id="27" xr3:uid="{00000000-0010-0000-6500-00001B000000}" name="td_rate"/>
    <tableColumn id="28" xr3:uid="{00000000-0010-0000-6500-00001C000000}" name="f_custom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>
  <autoFilter ref="A45:AB51" xr:uid="{00000000-0009-0000-0100-000069000000}"/>
  <tableColumns count="28">
    <tableColumn id="1" xr3:uid="{00000000-0010-0000-6600-000001000000}" name="Name"/>
    <tableColumn id="2" xr3:uid="{00000000-0010-0000-6600-000002000000}" name="POS"/>
    <tableColumn id="3" xr3:uid="{00000000-0010-0000-6600-000003000000}" name="Age"/>
    <tableColumn id="4" xr3:uid="{00000000-0010-0000-6600-000004000000}" name="Exp"/>
    <tableColumn id="5" xr3:uid="{00000000-0010-0000-6600-000005000000}" name="College"/>
    <tableColumn id="6" xr3:uid="{00000000-0010-0000-6600-000006000000}" name="team"/>
    <tableColumn id="7" xr3:uid="{00000000-0010-0000-6600-000007000000}" name="g"/>
    <tableColumn id="8" xr3:uid="{00000000-0010-0000-6600-000008000000}" name="p_att"/>
    <tableColumn id="9" xr3:uid="{00000000-0010-0000-6600-000009000000}" name="cmp"/>
    <tableColumn id="10" xr3:uid="{00000000-0010-0000-6600-00000A000000}" name="p_yd"/>
    <tableColumn id="11" xr3:uid="{00000000-0010-0000-6600-00000B000000}" name="p_td"/>
    <tableColumn id="12" xr3:uid="{00000000-0010-0000-6600-00000C000000}" name="int"/>
    <tableColumn id="13" xr3:uid="{00000000-0010-0000-6600-00000D000000}" name="car"/>
    <tableColumn id="14" xr3:uid="{00000000-0010-0000-6600-00000E000000}" name="r_yd"/>
    <tableColumn id="15" xr3:uid="{00000000-0010-0000-6600-00000F000000}" name="r_td"/>
    <tableColumn id="16" xr3:uid="{00000000-0010-0000-6600-000010000000}" name="tgt"/>
    <tableColumn id="17" xr3:uid="{00000000-0010-0000-6600-000011000000}" name="rec"/>
    <tableColumn id="18" xr3:uid="{00000000-0010-0000-6600-000012000000}" name="rec_yd"/>
    <tableColumn id="19" xr3:uid="{00000000-0010-0000-6600-000013000000}" name="rec_td"/>
    <tableColumn id="20" xr3:uid="{00000000-0010-0000-6600-000014000000}" name="fmb"/>
    <tableColumn id="21" xr3:uid="{00000000-0010-0000-6600-000015000000}" name="tp_c"/>
    <tableColumn id="22" xr3:uid="{00000000-0010-0000-6600-000016000000}" name="f_ppr"/>
    <tableColumn id="23" xr3:uid="{00000000-0010-0000-6600-000017000000}" name="tgt_share"/>
    <tableColumn id="24" xr3:uid="{00000000-0010-0000-6600-000018000000}" name="ypc"/>
    <tableColumn id="25" xr3:uid="{00000000-0010-0000-6600-000019000000}" name="ypr"/>
    <tableColumn id="26" xr3:uid="{00000000-0010-0000-6600-00001A000000}" name="cmp_pct"/>
    <tableColumn id="27" xr3:uid="{00000000-0010-0000-6600-00001B000000}" name="td_rate"/>
    <tableColumn id="28" xr3:uid="{00000000-0010-0000-66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>
  <autoFilter ref="A60:AB73" xr:uid="{00000000-0009-0000-0100-00006A000000}"/>
  <tableColumns count="28">
    <tableColumn id="1" xr3:uid="{00000000-0010-0000-6700-000001000000}" name="Name"/>
    <tableColumn id="2" xr3:uid="{00000000-0010-0000-6700-000002000000}" name="POS"/>
    <tableColumn id="3" xr3:uid="{00000000-0010-0000-6700-000003000000}" name="Age"/>
    <tableColumn id="4" xr3:uid="{00000000-0010-0000-6700-000004000000}" name="Exp"/>
    <tableColumn id="5" xr3:uid="{00000000-0010-0000-6700-000005000000}" name="College"/>
    <tableColumn id="6" xr3:uid="{00000000-0010-0000-6700-000006000000}" name="team"/>
    <tableColumn id="7" xr3:uid="{00000000-0010-0000-6700-000007000000}" name="g"/>
    <tableColumn id="8" xr3:uid="{00000000-0010-0000-6700-000008000000}" name="p_att"/>
    <tableColumn id="9" xr3:uid="{00000000-0010-0000-6700-000009000000}" name="cmp"/>
    <tableColumn id="10" xr3:uid="{00000000-0010-0000-6700-00000A000000}" name="p_yd"/>
    <tableColumn id="11" xr3:uid="{00000000-0010-0000-6700-00000B000000}" name="p_td"/>
    <tableColumn id="12" xr3:uid="{00000000-0010-0000-6700-00000C000000}" name="int"/>
    <tableColumn id="13" xr3:uid="{00000000-0010-0000-6700-00000D000000}" name="car"/>
    <tableColumn id="14" xr3:uid="{00000000-0010-0000-6700-00000E000000}" name="r_yd"/>
    <tableColumn id="15" xr3:uid="{00000000-0010-0000-6700-00000F000000}" name="r_td"/>
    <tableColumn id="16" xr3:uid="{00000000-0010-0000-6700-000010000000}" name="tgt"/>
    <tableColumn id="17" xr3:uid="{00000000-0010-0000-6700-000011000000}" name="rec"/>
    <tableColumn id="18" xr3:uid="{00000000-0010-0000-6700-000012000000}" name="rec_yd"/>
    <tableColumn id="19" xr3:uid="{00000000-0010-0000-6700-000013000000}" name="rec_td"/>
    <tableColumn id="20" xr3:uid="{00000000-0010-0000-6700-000014000000}" name="fmb"/>
    <tableColumn id="21" xr3:uid="{00000000-0010-0000-6700-000015000000}" name="tp_c"/>
    <tableColumn id="22" xr3:uid="{00000000-0010-0000-6700-000016000000}" name="f_ppr"/>
    <tableColumn id="23" xr3:uid="{00000000-0010-0000-6700-000017000000}" name="tgt_share"/>
    <tableColumn id="24" xr3:uid="{00000000-0010-0000-6700-000018000000}" name="ypc"/>
    <tableColumn id="25" xr3:uid="{00000000-0010-0000-6700-000019000000}" name="ypr"/>
    <tableColumn id="26" xr3:uid="{00000000-0010-0000-6700-00001A000000}" name="cmp_pct"/>
    <tableColumn id="27" xr3:uid="{00000000-0010-0000-6700-00001B000000}" name="td_rate"/>
    <tableColumn id="28" xr3:uid="{00000000-0010-0000-6700-00001C000000}" name="f_custom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>
  <autoFilter ref="A75:AB82" xr:uid="{00000000-0009-0000-0100-00006B000000}"/>
  <tableColumns count="28">
    <tableColumn id="1" xr3:uid="{00000000-0010-0000-6800-000001000000}" name="Name"/>
    <tableColumn id="2" xr3:uid="{00000000-0010-0000-6800-000002000000}" name="POS"/>
    <tableColumn id="3" xr3:uid="{00000000-0010-0000-6800-000003000000}" name="Age"/>
    <tableColumn id="4" xr3:uid="{00000000-0010-0000-6800-000004000000}" name="Exp"/>
    <tableColumn id="5" xr3:uid="{00000000-0010-0000-6800-000005000000}" name="College"/>
    <tableColumn id="6" xr3:uid="{00000000-0010-0000-6800-000006000000}" name="team"/>
    <tableColumn id="7" xr3:uid="{00000000-0010-0000-6800-000007000000}" name="g"/>
    <tableColumn id="8" xr3:uid="{00000000-0010-0000-6800-000008000000}" name="p_att"/>
    <tableColumn id="9" xr3:uid="{00000000-0010-0000-6800-000009000000}" name="cmp"/>
    <tableColumn id="10" xr3:uid="{00000000-0010-0000-6800-00000A000000}" name="p_yd"/>
    <tableColumn id="11" xr3:uid="{00000000-0010-0000-6800-00000B000000}" name="p_td"/>
    <tableColumn id="12" xr3:uid="{00000000-0010-0000-6800-00000C000000}" name="int"/>
    <tableColumn id="13" xr3:uid="{00000000-0010-0000-6800-00000D000000}" name="car"/>
    <tableColumn id="14" xr3:uid="{00000000-0010-0000-6800-00000E000000}" name="r_yd"/>
    <tableColumn id="15" xr3:uid="{00000000-0010-0000-6800-00000F000000}" name="r_td"/>
    <tableColumn id="16" xr3:uid="{00000000-0010-0000-6800-000010000000}" name="tgt"/>
    <tableColumn id="17" xr3:uid="{00000000-0010-0000-6800-000011000000}" name="rec"/>
    <tableColumn id="18" xr3:uid="{00000000-0010-0000-6800-000012000000}" name="rec_yd"/>
    <tableColumn id="19" xr3:uid="{00000000-0010-0000-6800-000013000000}" name="rec_td"/>
    <tableColumn id="20" xr3:uid="{00000000-0010-0000-6800-000014000000}" name="fmb"/>
    <tableColumn id="21" xr3:uid="{00000000-0010-0000-6800-000015000000}" name="tp_c"/>
    <tableColumn id="22" xr3:uid="{00000000-0010-0000-6800-000016000000}" name="f_ppr"/>
    <tableColumn id="23" xr3:uid="{00000000-0010-0000-6800-000017000000}" name="tgt_share"/>
    <tableColumn id="24" xr3:uid="{00000000-0010-0000-6800-000018000000}" name="ypc"/>
    <tableColumn id="25" xr3:uid="{00000000-0010-0000-6800-000019000000}" name="ypr"/>
    <tableColumn id="26" xr3:uid="{00000000-0010-0000-6800-00001A000000}" name="cmp_pct"/>
    <tableColumn id="27" xr3:uid="{00000000-0010-0000-6800-00001B000000}" name="td_rate"/>
    <tableColumn id="28" xr3:uid="{00000000-0010-0000-6800-00001C000000}" name="f_custom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X18" totalsRowShown="0">
  <autoFilter ref="A1:X18" xr:uid="{00000000-0009-0000-0100-00006C000000}"/>
  <tableColumns count="24">
    <tableColumn id="1" xr3:uid="{00000000-0010-0000-6900-000001000000}" name="player_name"/>
    <tableColumn id="2" xr3:uid="{00000000-0010-0000-6900-000002000000}" name="recent_team"/>
    <tableColumn id="3" xr3:uid="{00000000-0010-0000-6900-000003000000}" name="pos"/>
    <tableColumn id="4" xr3:uid="{00000000-0010-0000-6900-000004000000}" name="g"/>
    <tableColumn id="5" xr3:uid="{00000000-0010-0000-6900-000005000000}" name="p_att"/>
    <tableColumn id="6" xr3:uid="{00000000-0010-0000-6900-000006000000}" name="cmp"/>
    <tableColumn id="7" xr3:uid="{00000000-0010-0000-6900-000007000000}" name="p_yd"/>
    <tableColumn id="8" xr3:uid="{00000000-0010-0000-6900-000008000000}" name="p_td"/>
    <tableColumn id="9" xr3:uid="{00000000-0010-0000-6900-000009000000}" name="int"/>
    <tableColumn id="10" xr3:uid="{00000000-0010-0000-6900-00000A000000}" name="car"/>
    <tableColumn id="11" xr3:uid="{00000000-0010-0000-6900-00000B000000}" name="r_yd"/>
    <tableColumn id="12" xr3:uid="{00000000-0010-0000-6900-00000C000000}" name="r_td"/>
    <tableColumn id="13" xr3:uid="{00000000-0010-0000-6900-00000D000000}" name="tgt"/>
    <tableColumn id="14" xr3:uid="{00000000-0010-0000-6900-00000E000000}" name="rec"/>
    <tableColumn id="15" xr3:uid="{00000000-0010-0000-6900-00000F000000}" name="rec_yd"/>
    <tableColumn id="16" xr3:uid="{00000000-0010-0000-6900-000010000000}" name="rec_td"/>
    <tableColumn id="17" xr3:uid="{00000000-0010-0000-6900-000011000000}" name="fmb"/>
    <tableColumn id="18" xr3:uid="{00000000-0010-0000-6900-000012000000}" name="tp_c"/>
    <tableColumn id="19" xr3:uid="{00000000-0010-0000-6900-000013000000}" name="f_ppr"/>
    <tableColumn id="20" xr3:uid="{00000000-0010-0000-6900-000014000000}" name="tgt_share"/>
    <tableColumn id="21" xr3:uid="{00000000-0010-0000-6900-000015000000}" name="ypc"/>
    <tableColumn id="22" xr3:uid="{00000000-0010-0000-6900-000016000000}" name="ypr"/>
    <tableColumn id="23" xr3:uid="{00000000-0010-0000-6900-000017000000}" name="cmp_pct"/>
    <tableColumn id="24" xr3:uid="{00000000-0010-0000-6900-000018000000}" name="td_rate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L31" totalsRowShown="0">
  <autoFilter ref="A30:L31" xr:uid="{00000000-0009-0000-0100-00006D000000}"/>
  <tableColumns count="12">
    <tableColumn id="1" xr3:uid="{00000000-0010-0000-6A00-000001000000}" name="team"/>
    <tableColumn id="2" xr3:uid="{00000000-0010-0000-6A00-000002000000}" name="off_yd"/>
    <tableColumn id="3" xr3:uid="{00000000-0010-0000-6A00-000003000000}" name="p_yd"/>
    <tableColumn id="4" xr3:uid="{00000000-0010-0000-6A00-000004000000}" name="car"/>
    <tableColumn id="5" xr3:uid="{00000000-0010-0000-6A00-000005000000}" name="r_yd"/>
    <tableColumn id="6" xr3:uid="{00000000-0010-0000-6A00-000006000000}" name="r_td"/>
    <tableColumn id="7" xr3:uid="{00000000-0010-0000-6A00-000007000000}" name="p_ff"/>
    <tableColumn id="8" xr3:uid="{00000000-0010-0000-6A00-000008000000}" name="p_att"/>
    <tableColumn id="9" xr3:uid="{00000000-0010-0000-6A00-000009000000}" name="cmp_pct"/>
    <tableColumn id="10" xr3:uid="{00000000-0010-0000-6A00-00000A000000}" name="p_td"/>
    <tableColumn id="11" xr3:uid="{00000000-0010-0000-6A00-00000B000000}" name="int"/>
    <tableColumn id="12" xr3:uid="{00000000-0010-0000-6A00-00000C000000}" name="fmb"/>
  </tableColumns>
  <tableStyleInfo name="TableStyleLight9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L33" totalsRowShown="0">
  <autoFilter ref="A32:L33" xr:uid="{00000000-0009-0000-0100-00006E000000}"/>
  <tableColumns count="12">
    <tableColumn id="1" xr3:uid="{00000000-0010-0000-6B00-000001000000}" name="team">
      <calculatedColumnFormula>A31</calculatedColumnFormula>
    </tableColumn>
    <tableColumn id="2" xr3:uid="{00000000-0010-0000-6B00-000002000000}" name="off_yd">
      <calculatedColumnFormula>C33 + E33</calculatedColumnFormula>
    </tableColumn>
    <tableColumn id="3" xr3:uid="{00000000-0010-0000-6B00-000003000000}" name="p_yd">
      <calculatedColumnFormula>SUM(INDIRECT(A33 &amp; "_Table4[[#All],[p_yd]]"))</calculatedColumnFormula>
    </tableColumn>
    <tableColumn id="4" xr3:uid="{00000000-0010-0000-6B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>
      <calculatedColumnFormula>SUM(INDIRECT(A33 &amp; "_Table4[[#All],[cmp]]"))/H33</calculatedColumnFormula>
    </tableColumn>
    <tableColumn id="10" xr3:uid="{00000000-0010-0000-6B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>
  <autoFilter ref="A35:AB39" xr:uid="{00000000-0009-0000-0100-00006F000000}"/>
  <tableColumns count="28">
    <tableColumn id="1" xr3:uid="{00000000-0010-0000-6C00-000001000000}" name="Name"/>
    <tableColumn id="2" xr3:uid="{00000000-0010-0000-6C00-000002000000}" name="POS"/>
    <tableColumn id="3" xr3:uid="{00000000-0010-0000-6C00-000003000000}" name="Age"/>
    <tableColumn id="4" xr3:uid="{00000000-0010-0000-6C00-000004000000}" name="Exp"/>
    <tableColumn id="5" xr3:uid="{00000000-0010-0000-6C00-000005000000}" name="College"/>
    <tableColumn id="6" xr3:uid="{00000000-0010-0000-6C00-000006000000}" name="team"/>
    <tableColumn id="7" xr3:uid="{00000000-0010-0000-6C00-000007000000}" name="g"/>
    <tableColumn id="8" xr3:uid="{00000000-0010-0000-6C00-000008000000}" name="p_att"/>
    <tableColumn id="9" xr3:uid="{00000000-0010-0000-6C00-000009000000}" name="cmp"/>
    <tableColumn id="10" xr3:uid="{00000000-0010-0000-6C00-00000A000000}" name="p_yd"/>
    <tableColumn id="11" xr3:uid="{00000000-0010-0000-6C00-00000B000000}" name="p_td"/>
    <tableColumn id="12" xr3:uid="{00000000-0010-0000-6C00-00000C000000}" name="int"/>
    <tableColumn id="13" xr3:uid="{00000000-0010-0000-6C00-00000D000000}" name="car"/>
    <tableColumn id="14" xr3:uid="{00000000-0010-0000-6C00-00000E000000}" name="r_yd"/>
    <tableColumn id="15" xr3:uid="{00000000-0010-0000-6C00-00000F000000}" name="r_td"/>
    <tableColumn id="16" xr3:uid="{00000000-0010-0000-6C00-000010000000}" name="tgt"/>
    <tableColumn id="17" xr3:uid="{00000000-0010-0000-6C00-000011000000}" name="rec"/>
    <tableColumn id="18" xr3:uid="{00000000-0010-0000-6C00-000012000000}" name="rec_yd"/>
    <tableColumn id="19" xr3:uid="{00000000-0010-0000-6C00-000013000000}" name="rec_td"/>
    <tableColumn id="20" xr3:uid="{00000000-0010-0000-6C00-000014000000}" name="fmb"/>
    <tableColumn id="21" xr3:uid="{00000000-0010-0000-6C00-000015000000}" name="tp_c"/>
    <tableColumn id="22" xr3:uid="{00000000-0010-0000-6C00-000016000000}" name="f_ppr"/>
    <tableColumn id="23" xr3:uid="{00000000-0010-0000-6C00-000017000000}" name="tgt_share"/>
    <tableColumn id="24" xr3:uid="{00000000-0010-0000-6C00-000018000000}" name="ypc"/>
    <tableColumn id="25" xr3:uid="{00000000-0010-0000-6C00-000019000000}" name="ypr"/>
    <tableColumn id="26" xr3:uid="{00000000-0010-0000-6C00-00001A000000}" name="cmp_pct"/>
    <tableColumn id="27" xr3:uid="{00000000-0010-0000-6C00-00001B000000}" name="td_rate"/>
    <tableColumn id="28" xr3:uid="{00000000-0010-0000-6C00-00001C000000}" name="f_custom"/>
  </tableColumns>
  <tableStyleInfo name="TableStyleLight9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>
  <autoFilter ref="A45:AB50" xr:uid="{00000000-0009-0000-0100-000070000000}"/>
  <tableColumns count="28">
    <tableColumn id="1" xr3:uid="{00000000-0010-0000-6D00-000001000000}" name="Name"/>
    <tableColumn id="2" xr3:uid="{00000000-0010-0000-6D00-000002000000}" name="POS"/>
    <tableColumn id="3" xr3:uid="{00000000-0010-0000-6D00-000003000000}" name="Age"/>
    <tableColumn id="4" xr3:uid="{00000000-0010-0000-6D00-000004000000}" name="Exp"/>
    <tableColumn id="5" xr3:uid="{00000000-0010-0000-6D00-000005000000}" name="College"/>
    <tableColumn id="6" xr3:uid="{00000000-0010-0000-6D00-000006000000}" name="team"/>
    <tableColumn id="7" xr3:uid="{00000000-0010-0000-6D00-000007000000}" name="g"/>
    <tableColumn id="8" xr3:uid="{00000000-0010-0000-6D00-000008000000}" name="p_att"/>
    <tableColumn id="9" xr3:uid="{00000000-0010-0000-6D00-000009000000}" name="cmp"/>
    <tableColumn id="10" xr3:uid="{00000000-0010-0000-6D00-00000A000000}" name="p_yd"/>
    <tableColumn id="11" xr3:uid="{00000000-0010-0000-6D00-00000B000000}" name="p_td"/>
    <tableColumn id="12" xr3:uid="{00000000-0010-0000-6D00-00000C000000}" name="int"/>
    <tableColumn id="13" xr3:uid="{00000000-0010-0000-6D00-00000D000000}" name="car"/>
    <tableColumn id="14" xr3:uid="{00000000-0010-0000-6D00-00000E000000}" name="r_yd"/>
    <tableColumn id="15" xr3:uid="{00000000-0010-0000-6D00-00000F000000}" name="r_td"/>
    <tableColumn id="16" xr3:uid="{00000000-0010-0000-6D00-000010000000}" name="tgt"/>
    <tableColumn id="17" xr3:uid="{00000000-0010-0000-6D00-000011000000}" name="rec"/>
    <tableColumn id="18" xr3:uid="{00000000-0010-0000-6D00-000012000000}" name="rec_yd"/>
    <tableColumn id="19" xr3:uid="{00000000-0010-0000-6D00-000013000000}" name="rec_td"/>
    <tableColumn id="20" xr3:uid="{00000000-0010-0000-6D00-000014000000}" name="fmb"/>
    <tableColumn id="21" xr3:uid="{00000000-0010-0000-6D00-000015000000}" name="tp_c"/>
    <tableColumn id="22" xr3:uid="{00000000-0010-0000-6D00-000016000000}" name="f_ppr"/>
    <tableColumn id="23" xr3:uid="{00000000-0010-0000-6D00-000017000000}" name="tgt_share"/>
    <tableColumn id="24" xr3:uid="{00000000-0010-0000-6D00-000018000000}" name="ypc"/>
    <tableColumn id="25" xr3:uid="{00000000-0010-0000-6D00-000019000000}" name="ypr"/>
    <tableColumn id="26" xr3:uid="{00000000-0010-0000-6D00-00001A000000}" name="cmp_pct"/>
    <tableColumn id="27" xr3:uid="{00000000-0010-0000-6D00-00001B000000}" name="td_rate"/>
    <tableColumn id="28" xr3:uid="{00000000-0010-0000-6D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>
  <autoFilter ref="A60:AB74" xr:uid="{00000000-0009-0000-0100-000071000000}"/>
  <tableColumns count="28">
    <tableColumn id="1" xr3:uid="{00000000-0010-0000-6E00-000001000000}" name="Name"/>
    <tableColumn id="2" xr3:uid="{00000000-0010-0000-6E00-000002000000}" name="POS"/>
    <tableColumn id="3" xr3:uid="{00000000-0010-0000-6E00-000003000000}" name="Age"/>
    <tableColumn id="4" xr3:uid="{00000000-0010-0000-6E00-000004000000}" name="Exp"/>
    <tableColumn id="5" xr3:uid="{00000000-0010-0000-6E00-000005000000}" name="College"/>
    <tableColumn id="6" xr3:uid="{00000000-0010-0000-6E00-000006000000}" name="team"/>
    <tableColumn id="7" xr3:uid="{00000000-0010-0000-6E00-000007000000}" name="g"/>
    <tableColumn id="8" xr3:uid="{00000000-0010-0000-6E00-000008000000}" name="p_att"/>
    <tableColumn id="9" xr3:uid="{00000000-0010-0000-6E00-000009000000}" name="cmp"/>
    <tableColumn id="10" xr3:uid="{00000000-0010-0000-6E00-00000A000000}" name="p_yd"/>
    <tableColumn id="11" xr3:uid="{00000000-0010-0000-6E00-00000B000000}" name="p_td"/>
    <tableColumn id="12" xr3:uid="{00000000-0010-0000-6E00-00000C000000}" name="int"/>
    <tableColumn id="13" xr3:uid="{00000000-0010-0000-6E00-00000D000000}" name="car"/>
    <tableColumn id="14" xr3:uid="{00000000-0010-0000-6E00-00000E000000}" name="r_yd"/>
    <tableColumn id="15" xr3:uid="{00000000-0010-0000-6E00-00000F000000}" name="r_td"/>
    <tableColumn id="16" xr3:uid="{00000000-0010-0000-6E00-000010000000}" name="tgt"/>
    <tableColumn id="17" xr3:uid="{00000000-0010-0000-6E00-000011000000}" name="rec"/>
    <tableColumn id="18" xr3:uid="{00000000-0010-0000-6E00-000012000000}" name="rec_yd"/>
    <tableColumn id="19" xr3:uid="{00000000-0010-0000-6E00-000013000000}" name="rec_td"/>
    <tableColumn id="20" xr3:uid="{00000000-0010-0000-6E00-000014000000}" name="fmb"/>
    <tableColumn id="21" xr3:uid="{00000000-0010-0000-6E00-000015000000}" name="tp_c"/>
    <tableColumn id="22" xr3:uid="{00000000-0010-0000-6E00-000016000000}" name="f_ppr"/>
    <tableColumn id="23" xr3:uid="{00000000-0010-0000-6E00-000017000000}" name="tgt_share"/>
    <tableColumn id="24" xr3:uid="{00000000-0010-0000-6E00-000018000000}" name="ypc"/>
    <tableColumn id="25" xr3:uid="{00000000-0010-0000-6E00-000019000000}" name="ypr"/>
    <tableColumn id="26" xr3:uid="{00000000-0010-0000-6E00-00001A000000}" name="cmp_pct"/>
    <tableColumn id="27" xr3:uid="{00000000-0010-0000-6E00-00001B000000}" name="td_rate"/>
    <tableColumn id="28" xr3:uid="{00000000-0010-0000-6E00-00001C000000}" name="f_custom"/>
  </tableColumns>
  <tableStyleInfo name="TableStyleLight9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>
  <autoFilter ref="A75:AB82" xr:uid="{00000000-0009-0000-0100-000072000000}"/>
  <tableColumns count="28">
    <tableColumn id="1" xr3:uid="{00000000-0010-0000-6F00-000001000000}" name="Name"/>
    <tableColumn id="2" xr3:uid="{00000000-0010-0000-6F00-000002000000}" name="POS"/>
    <tableColumn id="3" xr3:uid="{00000000-0010-0000-6F00-000003000000}" name="Age"/>
    <tableColumn id="4" xr3:uid="{00000000-0010-0000-6F00-000004000000}" name="Exp"/>
    <tableColumn id="5" xr3:uid="{00000000-0010-0000-6F00-000005000000}" name="College"/>
    <tableColumn id="6" xr3:uid="{00000000-0010-0000-6F00-000006000000}" name="team"/>
    <tableColumn id="7" xr3:uid="{00000000-0010-0000-6F00-000007000000}" name="g"/>
    <tableColumn id="8" xr3:uid="{00000000-0010-0000-6F00-000008000000}" name="p_att"/>
    <tableColumn id="9" xr3:uid="{00000000-0010-0000-6F00-000009000000}" name="cmp"/>
    <tableColumn id="10" xr3:uid="{00000000-0010-0000-6F00-00000A000000}" name="p_yd"/>
    <tableColumn id="11" xr3:uid="{00000000-0010-0000-6F00-00000B000000}" name="p_td"/>
    <tableColumn id="12" xr3:uid="{00000000-0010-0000-6F00-00000C000000}" name="int"/>
    <tableColumn id="13" xr3:uid="{00000000-0010-0000-6F00-00000D000000}" name="car"/>
    <tableColumn id="14" xr3:uid="{00000000-0010-0000-6F00-00000E000000}" name="r_yd"/>
    <tableColumn id="15" xr3:uid="{00000000-0010-0000-6F00-00000F000000}" name="r_td"/>
    <tableColumn id="16" xr3:uid="{00000000-0010-0000-6F00-000010000000}" name="tgt"/>
    <tableColumn id="17" xr3:uid="{00000000-0010-0000-6F00-000011000000}" name="rec"/>
    <tableColumn id="18" xr3:uid="{00000000-0010-0000-6F00-000012000000}" name="rec_yd"/>
    <tableColumn id="19" xr3:uid="{00000000-0010-0000-6F00-000013000000}" name="rec_td"/>
    <tableColumn id="20" xr3:uid="{00000000-0010-0000-6F00-000014000000}" name="fmb"/>
    <tableColumn id="21" xr3:uid="{00000000-0010-0000-6F00-000015000000}" name="tp_c"/>
    <tableColumn id="22" xr3:uid="{00000000-0010-0000-6F00-000016000000}" name="f_ppr"/>
    <tableColumn id="23" xr3:uid="{00000000-0010-0000-6F00-000017000000}" name="tgt_share"/>
    <tableColumn id="24" xr3:uid="{00000000-0010-0000-6F00-000018000000}" name="ypc"/>
    <tableColumn id="25" xr3:uid="{00000000-0010-0000-6F00-000019000000}" name="ypr"/>
    <tableColumn id="26" xr3:uid="{00000000-0010-0000-6F00-00001A000000}" name="cmp_pct"/>
    <tableColumn id="27" xr3:uid="{00000000-0010-0000-6F00-00001B000000}" name="td_rate"/>
    <tableColumn id="28" xr3:uid="{00000000-0010-0000-6F00-00001C000000}" name="f_custom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X21" totalsRowShown="0">
  <autoFilter ref="A1:X21" xr:uid="{00000000-0009-0000-0100-000073000000}"/>
  <tableColumns count="24">
    <tableColumn id="1" xr3:uid="{00000000-0010-0000-7000-000001000000}" name="player_name"/>
    <tableColumn id="2" xr3:uid="{00000000-0010-0000-7000-000002000000}" name="recent_team"/>
    <tableColumn id="3" xr3:uid="{00000000-0010-0000-7000-000003000000}" name="pos"/>
    <tableColumn id="4" xr3:uid="{00000000-0010-0000-7000-000004000000}" name="g"/>
    <tableColumn id="5" xr3:uid="{00000000-0010-0000-7000-000005000000}" name="p_att"/>
    <tableColumn id="6" xr3:uid="{00000000-0010-0000-7000-000006000000}" name="cmp"/>
    <tableColumn id="7" xr3:uid="{00000000-0010-0000-7000-000007000000}" name="p_yd"/>
    <tableColumn id="8" xr3:uid="{00000000-0010-0000-7000-000008000000}" name="p_td"/>
    <tableColumn id="9" xr3:uid="{00000000-0010-0000-7000-000009000000}" name="int"/>
    <tableColumn id="10" xr3:uid="{00000000-0010-0000-7000-00000A000000}" name="car"/>
    <tableColumn id="11" xr3:uid="{00000000-0010-0000-7000-00000B000000}" name="r_yd"/>
    <tableColumn id="12" xr3:uid="{00000000-0010-0000-7000-00000C000000}" name="r_td"/>
    <tableColumn id="13" xr3:uid="{00000000-0010-0000-7000-00000D000000}" name="tgt"/>
    <tableColumn id="14" xr3:uid="{00000000-0010-0000-7000-00000E000000}" name="rec"/>
    <tableColumn id="15" xr3:uid="{00000000-0010-0000-7000-00000F000000}" name="rec_yd"/>
    <tableColumn id="16" xr3:uid="{00000000-0010-0000-7000-000010000000}" name="rec_td"/>
    <tableColumn id="17" xr3:uid="{00000000-0010-0000-7000-000011000000}" name="fmb"/>
    <tableColumn id="18" xr3:uid="{00000000-0010-0000-7000-000012000000}" name="tp_c"/>
    <tableColumn id="19" xr3:uid="{00000000-0010-0000-7000-000013000000}" name="f_ppr"/>
    <tableColumn id="20" xr3:uid="{00000000-0010-0000-7000-000014000000}" name="tgt_share"/>
    <tableColumn id="21" xr3:uid="{00000000-0010-0000-7000-000015000000}" name="ypc"/>
    <tableColumn id="22" xr3:uid="{00000000-0010-0000-7000-000016000000}" name="ypr"/>
    <tableColumn id="23" xr3:uid="{00000000-0010-0000-7000-000017000000}" name="cmp_pct"/>
    <tableColumn id="24" xr3:uid="{00000000-0010-0000-7000-000018000000}" name="td_rate"/>
  </tableColumns>
  <tableStyleInfo name="TableStyleLight9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L31" totalsRowShown="0">
  <autoFilter ref="A30:L31" xr:uid="{00000000-0009-0000-0100-000074000000}"/>
  <tableColumns count="12">
    <tableColumn id="1" xr3:uid="{00000000-0010-0000-7100-000001000000}" name="team"/>
    <tableColumn id="2" xr3:uid="{00000000-0010-0000-7100-000002000000}" name="off_yd"/>
    <tableColumn id="3" xr3:uid="{00000000-0010-0000-7100-000003000000}" name="p_yd"/>
    <tableColumn id="4" xr3:uid="{00000000-0010-0000-7100-000004000000}" name="car"/>
    <tableColumn id="5" xr3:uid="{00000000-0010-0000-7100-000005000000}" name="r_yd"/>
    <tableColumn id="6" xr3:uid="{00000000-0010-0000-7100-000006000000}" name="r_td"/>
    <tableColumn id="7" xr3:uid="{00000000-0010-0000-7100-000007000000}" name="p_ff"/>
    <tableColumn id="8" xr3:uid="{00000000-0010-0000-7100-000008000000}" name="p_att"/>
    <tableColumn id="9" xr3:uid="{00000000-0010-0000-7100-000009000000}" name="cmp_pct"/>
    <tableColumn id="10" xr3:uid="{00000000-0010-0000-7100-00000A000000}" name="p_td"/>
    <tableColumn id="11" xr3:uid="{00000000-0010-0000-7100-00000B000000}" name="int"/>
    <tableColumn id="12" xr3:uid="{00000000-0010-0000-7100-00000C000000}" name="fmb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L33" totalsRowShown="0">
  <autoFilter ref="A32:L33" xr:uid="{00000000-0009-0000-0100-000075000000}"/>
  <tableColumns count="12">
    <tableColumn id="1" xr3:uid="{00000000-0010-0000-7200-000001000000}" name="team">
      <calculatedColumnFormula>A31</calculatedColumnFormula>
    </tableColumn>
    <tableColumn id="2" xr3:uid="{00000000-0010-0000-7200-000002000000}" name="off_yd">
      <calculatedColumnFormula>C33 + E33</calculatedColumnFormula>
    </tableColumn>
    <tableColumn id="3" xr3:uid="{00000000-0010-0000-7200-000003000000}" name="p_yd">
      <calculatedColumnFormula>SUM(INDIRECT(A33 &amp; "_Table4[[#All],[p_yd]]"))</calculatedColumnFormula>
    </tableColumn>
    <tableColumn id="4" xr3:uid="{00000000-0010-0000-72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>
      <calculatedColumnFormula>SUM(INDIRECT(A33 &amp; "_Table4[[#All],[cmp]]"))/H33</calculatedColumnFormula>
    </tableColumn>
    <tableColumn id="10" xr3:uid="{00000000-0010-0000-72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>
  <autoFilter ref="A35:AB38" xr:uid="{00000000-0009-0000-0100-000076000000}"/>
  <tableColumns count="28">
    <tableColumn id="1" xr3:uid="{00000000-0010-0000-7300-000001000000}" name="Name"/>
    <tableColumn id="2" xr3:uid="{00000000-0010-0000-7300-000002000000}" name="POS"/>
    <tableColumn id="3" xr3:uid="{00000000-0010-0000-7300-000003000000}" name="Age"/>
    <tableColumn id="4" xr3:uid="{00000000-0010-0000-7300-000004000000}" name="Exp"/>
    <tableColumn id="5" xr3:uid="{00000000-0010-0000-7300-000005000000}" name="College"/>
    <tableColumn id="6" xr3:uid="{00000000-0010-0000-7300-000006000000}" name="team"/>
    <tableColumn id="7" xr3:uid="{00000000-0010-0000-7300-000007000000}" name="g"/>
    <tableColumn id="8" xr3:uid="{00000000-0010-0000-7300-000008000000}" name="p_att"/>
    <tableColumn id="9" xr3:uid="{00000000-0010-0000-7300-000009000000}" name="cmp"/>
    <tableColumn id="10" xr3:uid="{00000000-0010-0000-7300-00000A000000}" name="p_yd"/>
    <tableColumn id="11" xr3:uid="{00000000-0010-0000-7300-00000B000000}" name="p_td"/>
    <tableColumn id="12" xr3:uid="{00000000-0010-0000-7300-00000C000000}" name="int"/>
    <tableColumn id="13" xr3:uid="{00000000-0010-0000-7300-00000D000000}" name="car"/>
    <tableColumn id="14" xr3:uid="{00000000-0010-0000-7300-00000E000000}" name="r_yd"/>
    <tableColumn id="15" xr3:uid="{00000000-0010-0000-7300-00000F000000}" name="r_td"/>
    <tableColumn id="16" xr3:uid="{00000000-0010-0000-7300-000010000000}" name="tgt"/>
    <tableColumn id="17" xr3:uid="{00000000-0010-0000-7300-000011000000}" name="rec"/>
    <tableColumn id="18" xr3:uid="{00000000-0010-0000-7300-000012000000}" name="rec_yd"/>
    <tableColumn id="19" xr3:uid="{00000000-0010-0000-7300-000013000000}" name="rec_td"/>
    <tableColumn id="20" xr3:uid="{00000000-0010-0000-7300-000014000000}" name="fmb"/>
    <tableColumn id="21" xr3:uid="{00000000-0010-0000-7300-000015000000}" name="tp_c"/>
    <tableColumn id="22" xr3:uid="{00000000-0010-0000-7300-000016000000}" name="f_ppr"/>
    <tableColumn id="23" xr3:uid="{00000000-0010-0000-7300-000017000000}" name="tgt_share"/>
    <tableColumn id="24" xr3:uid="{00000000-0010-0000-7300-000018000000}" name="ypc"/>
    <tableColumn id="25" xr3:uid="{00000000-0010-0000-7300-000019000000}" name="ypr"/>
    <tableColumn id="26" xr3:uid="{00000000-0010-0000-7300-00001A000000}" name="cmp_pct"/>
    <tableColumn id="27" xr3:uid="{00000000-0010-0000-7300-00001B000000}" name="td_rate"/>
    <tableColumn id="28" xr3:uid="{00000000-0010-0000-7300-00001C000000}" name="f_custom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>
  <autoFilter ref="A45:AB51" xr:uid="{00000000-0009-0000-0100-000077000000}"/>
  <tableColumns count="28">
    <tableColumn id="1" xr3:uid="{00000000-0010-0000-7400-000001000000}" name="Name"/>
    <tableColumn id="2" xr3:uid="{00000000-0010-0000-7400-000002000000}" name="POS"/>
    <tableColumn id="3" xr3:uid="{00000000-0010-0000-7400-000003000000}" name="Age"/>
    <tableColumn id="4" xr3:uid="{00000000-0010-0000-7400-000004000000}" name="Exp"/>
    <tableColumn id="5" xr3:uid="{00000000-0010-0000-7400-000005000000}" name="College"/>
    <tableColumn id="6" xr3:uid="{00000000-0010-0000-7400-000006000000}" name="team"/>
    <tableColumn id="7" xr3:uid="{00000000-0010-0000-7400-000007000000}" name="g"/>
    <tableColumn id="8" xr3:uid="{00000000-0010-0000-7400-000008000000}" name="p_att"/>
    <tableColumn id="9" xr3:uid="{00000000-0010-0000-7400-000009000000}" name="cmp"/>
    <tableColumn id="10" xr3:uid="{00000000-0010-0000-7400-00000A000000}" name="p_yd"/>
    <tableColumn id="11" xr3:uid="{00000000-0010-0000-7400-00000B000000}" name="p_td"/>
    <tableColumn id="12" xr3:uid="{00000000-0010-0000-7400-00000C000000}" name="int"/>
    <tableColumn id="13" xr3:uid="{00000000-0010-0000-7400-00000D000000}" name="car"/>
    <tableColumn id="14" xr3:uid="{00000000-0010-0000-7400-00000E000000}" name="r_yd"/>
    <tableColumn id="15" xr3:uid="{00000000-0010-0000-7400-00000F000000}" name="r_td"/>
    <tableColumn id="16" xr3:uid="{00000000-0010-0000-7400-000010000000}" name="tgt"/>
    <tableColumn id="17" xr3:uid="{00000000-0010-0000-7400-000011000000}" name="rec"/>
    <tableColumn id="18" xr3:uid="{00000000-0010-0000-7400-000012000000}" name="rec_yd"/>
    <tableColumn id="19" xr3:uid="{00000000-0010-0000-7400-000013000000}" name="rec_td"/>
    <tableColumn id="20" xr3:uid="{00000000-0010-0000-7400-000014000000}" name="fmb"/>
    <tableColumn id="21" xr3:uid="{00000000-0010-0000-7400-000015000000}" name="tp_c"/>
    <tableColumn id="22" xr3:uid="{00000000-0010-0000-7400-000016000000}" name="f_ppr"/>
    <tableColumn id="23" xr3:uid="{00000000-0010-0000-7400-000017000000}" name="tgt_share"/>
    <tableColumn id="24" xr3:uid="{00000000-0010-0000-7400-000018000000}" name="ypc"/>
    <tableColumn id="25" xr3:uid="{00000000-0010-0000-7400-000019000000}" name="ypr"/>
    <tableColumn id="26" xr3:uid="{00000000-0010-0000-7400-00001A000000}" name="cmp_pct"/>
    <tableColumn id="27" xr3:uid="{00000000-0010-0000-7400-00001B000000}" name="td_rate"/>
    <tableColumn id="28" xr3:uid="{00000000-0010-0000-74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>
  <autoFilter ref="A60:AB72" xr:uid="{00000000-0009-0000-0100-000078000000}"/>
  <tableColumns count="28">
    <tableColumn id="1" xr3:uid="{00000000-0010-0000-7500-000001000000}" name="Name"/>
    <tableColumn id="2" xr3:uid="{00000000-0010-0000-7500-000002000000}" name="POS"/>
    <tableColumn id="3" xr3:uid="{00000000-0010-0000-7500-000003000000}" name="Age"/>
    <tableColumn id="4" xr3:uid="{00000000-0010-0000-7500-000004000000}" name="Exp"/>
    <tableColumn id="5" xr3:uid="{00000000-0010-0000-7500-000005000000}" name="College"/>
    <tableColumn id="6" xr3:uid="{00000000-0010-0000-7500-000006000000}" name="team"/>
    <tableColumn id="7" xr3:uid="{00000000-0010-0000-7500-000007000000}" name="g"/>
    <tableColumn id="8" xr3:uid="{00000000-0010-0000-7500-000008000000}" name="p_att"/>
    <tableColumn id="9" xr3:uid="{00000000-0010-0000-7500-000009000000}" name="cmp"/>
    <tableColumn id="10" xr3:uid="{00000000-0010-0000-7500-00000A000000}" name="p_yd"/>
    <tableColumn id="11" xr3:uid="{00000000-0010-0000-7500-00000B000000}" name="p_td"/>
    <tableColumn id="12" xr3:uid="{00000000-0010-0000-7500-00000C000000}" name="int"/>
    <tableColumn id="13" xr3:uid="{00000000-0010-0000-7500-00000D000000}" name="car"/>
    <tableColumn id="14" xr3:uid="{00000000-0010-0000-7500-00000E000000}" name="r_yd"/>
    <tableColumn id="15" xr3:uid="{00000000-0010-0000-7500-00000F000000}" name="r_td"/>
    <tableColumn id="16" xr3:uid="{00000000-0010-0000-7500-000010000000}" name="tgt"/>
    <tableColumn id="17" xr3:uid="{00000000-0010-0000-7500-000011000000}" name="rec"/>
    <tableColumn id="18" xr3:uid="{00000000-0010-0000-7500-000012000000}" name="rec_yd"/>
    <tableColumn id="19" xr3:uid="{00000000-0010-0000-7500-000013000000}" name="rec_td"/>
    <tableColumn id="20" xr3:uid="{00000000-0010-0000-7500-000014000000}" name="fmb"/>
    <tableColumn id="21" xr3:uid="{00000000-0010-0000-7500-000015000000}" name="tp_c"/>
    <tableColumn id="22" xr3:uid="{00000000-0010-0000-7500-000016000000}" name="f_ppr"/>
    <tableColumn id="23" xr3:uid="{00000000-0010-0000-7500-000017000000}" name="tgt_share"/>
    <tableColumn id="24" xr3:uid="{00000000-0010-0000-7500-000018000000}" name="ypc"/>
    <tableColumn id="25" xr3:uid="{00000000-0010-0000-7500-000019000000}" name="ypr"/>
    <tableColumn id="26" xr3:uid="{00000000-0010-0000-7500-00001A000000}" name="cmp_pct"/>
    <tableColumn id="27" xr3:uid="{00000000-0010-0000-7500-00001B000000}" name="td_rate"/>
    <tableColumn id="28" xr3:uid="{00000000-0010-0000-7500-00001C000000}" name="f_custom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>
  <autoFilter ref="A75:AB81" xr:uid="{00000000-0009-0000-0100-000079000000}"/>
  <tableColumns count="28">
    <tableColumn id="1" xr3:uid="{00000000-0010-0000-7600-000001000000}" name="Name"/>
    <tableColumn id="2" xr3:uid="{00000000-0010-0000-7600-000002000000}" name="POS"/>
    <tableColumn id="3" xr3:uid="{00000000-0010-0000-7600-000003000000}" name="Age"/>
    <tableColumn id="4" xr3:uid="{00000000-0010-0000-7600-000004000000}" name="Exp"/>
    <tableColumn id="5" xr3:uid="{00000000-0010-0000-7600-000005000000}" name="College"/>
    <tableColumn id="6" xr3:uid="{00000000-0010-0000-7600-000006000000}" name="team"/>
    <tableColumn id="7" xr3:uid="{00000000-0010-0000-7600-000007000000}" name="g"/>
    <tableColumn id="8" xr3:uid="{00000000-0010-0000-7600-000008000000}" name="p_att"/>
    <tableColumn id="9" xr3:uid="{00000000-0010-0000-7600-000009000000}" name="cmp"/>
    <tableColumn id="10" xr3:uid="{00000000-0010-0000-7600-00000A000000}" name="p_yd"/>
    <tableColumn id="11" xr3:uid="{00000000-0010-0000-7600-00000B000000}" name="p_td"/>
    <tableColumn id="12" xr3:uid="{00000000-0010-0000-7600-00000C000000}" name="int"/>
    <tableColumn id="13" xr3:uid="{00000000-0010-0000-7600-00000D000000}" name="car"/>
    <tableColumn id="14" xr3:uid="{00000000-0010-0000-7600-00000E000000}" name="r_yd"/>
    <tableColumn id="15" xr3:uid="{00000000-0010-0000-7600-00000F000000}" name="r_td"/>
    <tableColumn id="16" xr3:uid="{00000000-0010-0000-7600-000010000000}" name="tgt"/>
    <tableColumn id="17" xr3:uid="{00000000-0010-0000-7600-000011000000}" name="rec"/>
    <tableColumn id="18" xr3:uid="{00000000-0010-0000-7600-000012000000}" name="rec_yd"/>
    <tableColumn id="19" xr3:uid="{00000000-0010-0000-7600-000013000000}" name="rec_td"/>
    <tableColumn id="20" xr3:uid="{00000000-0010-0000-7600-000014000000}" name="fmb"/>
    <tableColumn id="21" xr3:uid="{00000000-0010-0000-7600-000015000000}" name="tp_c"/>
    <tableColumn id="22" xr3:uid="{00000000-0010-0000-7600-000016000000}" name="f_ppr"/>
    <tableColumn id="23" xr3:uid="{00000000-0010-0000-7600-000017000000}" name="tgt_share"/>
    <tableColumn id="24" xr3:uid="{00000000-0010-0000-7600-000018000000}" name="ypc"/>
    <tableColumn id="25" xr3:uid="{00000000-0010-0000-7600-000019000000}" name="ypr"/>
    <tableColumn id="26" xr3:uid="{00000000-0010-0000-7600-00001A000000}" name="cmp_pct"/>
    <tableColumn id="27" xr3:uid="{00000000-0010-0000-7600-00001B000000}" name="td_rate"/>
    <tableColumn id="28" xr3:uid="{00000000-0010-0000-7600-00001C000000}" name="f_custom"/>
  </tableColumns>
  <tableStyleInfo name="TableStyleLight9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X22" totalsRowShown="0">
  <autoFilter ref="A1:X22" xr:uid="{00000000-0009-0000-0100-00007A000000}"/>
  <tableColumns count="24">
    <tableColumn id="1" xr3:uid="{00000000-0010-0000-7700-000001000000}" name="player_name"/>
    <tableColumn id="2" xr3:uid="{00000000-0010-0000-7700-000002000000}" name="recent_team"/>
    <tableColumn id="3" xr3:uid="{00000000-0010-0000-7700-000003000000}" name="pos"/>
    <tableColumn id="4" xr3:uid="{00000000-0010-0000-7700-000004000000}" name="g"/>
    <tableColumn id="5" xr3:uid="{00000000-0010-0000-7700-000005000000}" name="p_att"/>
    <tableColumn id="6" xr3:uid="{00000000-0010-0000-7700-000006000000}" name="cmp"/>
    <tableColumn id="7" xr3:uid="{00000000-0010-0000-7700-000007000000}" name="p_yd"/>
    <tableColumn id="8" xr3:uid="{00000000-0010-0000-7700-000008000000}" name="p_td"/>
    <tableColumn id="9" xr3:uid="{00000000-0010-0000-7700-000009000000}" name="int"/>
    <tableColumn id="10" xr3:uid="{00000000-0010-0000-7700-00000A000000}" name="car"/>
    <tableColumn id="11" xr3:uid="{00000000-0010-0000-7700-00000B000000}" name="r_yd"/>
    <tableColumn id="12" xr3:uid="{00000000-0010-0000-7700-00000C000000}" name="r_td"/>
    <tableColumn id="13" xr3:uid="{00000000-0010-0000-7700-00000D000000}" name="tgt"/>
    <tableColumn id="14" xr3:uid="{00000000-0010-0000-7700-00000E000000}" name="rec"/>
    <tableColumn id="15" xr3:uid="{00000000-0010-0000-7700-00000F000000}" name="rec_yd"/>
    <tableColumn id="16" xr3:uid="{00000000-0010-0000-7700-000010000000}" name="rec_td"/>
    <tableColumn id="17" xr3:uid="{00000000-0010-0000-7700-000011000000}" name="fmb"/>
    <tableColumn id="18" xr3:uid="{00000000-0010-0000-7700-000012000000}" name="tp_c"/>
    <tableColumn id="19" xr3:uid="{00000000-0010-0000-7700-000013000000}" name="f_ppr"/>
    <tableColumn id="20" xr3:uid="{00000000-0010-0000-7700-000014000000}" name="tgt_share"/>
    <tableColumn id="21" xr3:uid="{00000000-0010-0000-7700-000015000000}" name="ypc"/>
    <tableColumn id="22" xr3:uid="{00000000-0010-0000-7700-000016000000}" name="ypr"/>
    <tableColumn id="23" xr3:uid="{00000000-0010-0000-7700-000017000000}" name="cmp_pct"/>
    <tableColumn id="24" xr3:uid="{00000000-0010-0000-7700-000018000000}" name="td_rate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L31" totalsRowShown="0">
  <autoFilter ref="A30:L31" xr:uid="{00000000-0009-0000-0100-00007B000000}"/>
  <tableColumns count="12">
    <tableColumn id="1" xr3:uid="{00000000-0010-0000-7800-000001000000}" name="team"/>
    <tableColumn id="2" xr3:uid="{00000000-0010-0000-7800-000002000000}" name="off_yd"/>
    <tableColumn id="3" xr3:uid="{00000000-0010-0000-7800-000003000000}" name="p_yd"/>
    <tableColumn id="4" xr3:uid="{00000000-0010-0000-7800-000004000000}" name="car"/>
    <tableColumn id="5" xr3:uid="{00000000-0010-0000-7800-000005000000}" name="r_yd"/>
    <tableColumn id="6" xr3:uid="{00000000-0010-0000-7800-000006000000}" name="r_td"/>
    <tableColumn id="7" xr3:uid="{00000000-0010-0000-7800-000007000000}" name="p_ff"/>
    <tableColumn id="8" xr3:uid="{00000000-0010-0000-7800-000008000000}" name="p_att"/>
    <tableColumn id="9" xr3:uid="{00000000-0010-0000-7800-000009000000}" name="cmp_pct"/>
    <tableColumn id="10" xr3:uid="{00000000-0010-0000-7800-00000A000000}" name="p_td"/>
    <tableColumn id="11" xr3:uid="{00000000-0010-0000-7800-00000B000000}" name="int"/>
    <tableColumn id="12" xr3:uid="{00000000-0010-0000-7800-00000C000000}" name="fmb"/>
  </tableColumns>
  <tableStyleInfo name="TableStyleLight9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L33" totalsRowShown="0">
  <autoFilter ref="A32:L33" xr:uid="{00000000-0009-0000-0100-00007C000000}"/>
  <tableColumns count="12">
    <tableColumn id="1" xr3:uid="{00000000-0010-0000-7900-000001000000}" name="team">
      <calculatedColumnFormula>A31</calculatedColumnFormula>
    </tableColumn>
    <tableColumn id="2" xr3:uid="{00000000-0010-0000-7900-000002000000}" name="off_yd">
      <calculatedColumnFormula>C33 + E33</calculatedColumnFormula>
    </tableColumn>
    <tableColumn id="3" xr3:uid="{00000000-0010-0000-7900-000003000000}" name="p_yd">
      <calculatedColumnFormula>SUM(INDIRECT(A33 &amp; "_Table4[[#All],[p_yd]]"))</calculatedColumnFormula>
    </tableColumn>
    <tableColumn id="4" xr3:uid="{00000000-0010-0000-79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>
      <calculatedColumnFormula>SUM(INDIRECT(A33 &amp; "_Table4[[#All],[cmp]]"))/H33</calculatedColumnFormula>
    </tableColumn>
    <tableColumn id="10" xr3:uid="{00000000-0010-0000-79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>
  <autoFilter ref="A35:AB39" xr:uid="{00000000-0009-0000-0100-00007D000000}"/>
  <tableColumns count="28">
    <tableColumn id="1" xr3:uid="{00000000-0010-0000-7A00-000001000000}" name="Name"/>
    <tableColumn id="2" xr3:uid="{00000000-0010-0000-7A00-000002000000}" name="POS"/>
    <tableColumn id="3" xr3:uid="{00000000-0010-0000-7A00-000003000000}" name="Age"/>
    <tableColumn id="4" xr3:uid="{00000000-0010-0000-7A00-000004000000}" name="Exp"/>
    <tableColumn id="5" xr3:uid="{00000000-0010-0000-7A00-000005000000}" name="College"/>
    <tableColumn id="6" xr3:uid="{00000000-0010-0000-7A00-000006000000}" name="team"/>
    <tableColumn id="7" xr3:uid="{00000000-0010-0000-7A00-000007000000}" name="g"/>
    <tableColumn id="8" xr3:uid="{00000000-0010-0000-7A00-000008000000}" name="p_att"/>
    <tableColumn id="9" xr3:uid="{00000000-0010-0000-7A00-000009000000}" name="cmp"/>
    <tableColumn id="10" xr3:uid="{00000000-0010-0000-7A00-00000A000000}" name="p_yd"/>
    <tableColumn id="11" xr3:uid="{00000000-0010-0000-7A00-00000B000000}" name="p_td"/>
    <tableColumn id="12" xr3:uid="{00000000-0010-0000-7A00-00000C000000}" name="int"/>
    <tableColumn id="13" xr3:uid="{00000000-0010-0000-7A00-00000D000000}" name="car"/>
    <tableColumn id="14" xr3:uid="{00000000-0010-0000-7A00-00000E000000}" name="r_yd"/>
    <tableColumn id="15" xr3:uid="{00000000-0010-0000-7A00-00000F000000}" name="r_td"/>
    <tableColumn id="16" xr3:uid="{00000000-0010-0000-7A00-000010000000}" name="tgt"/>
    <tableColumn id="17" xr3:uid="{00000000-0010-0000-7A00-000011000000}" name="rec"/>
    <tableColumn id="18" xr3:uid="{00000000-0010-0000-7A00-000012000000}" name="rec_yd"/>
    <tableColumn id="19" xr3:uid="{00000000-0010-0000-7A00-000013000000}" name="rec_td"/>
    <tableColumn id="20" xr3:uid="{00000000-0010-0000-7A00-000014000000}" name="fmb"/>
    <tableColumn id="21" xr3:uid="{00000000-0010-0000-7A00-000015000000}" name="tp_c"/>
    <tableColumn id="22" xr3:uid="{00000000-0010-0000-7A00-000016000000}" name="f_ppr"/>
    <tableColumn id="23" xr3:uid="{00000000-0010-0000-7A00-000017000000}" name="tgt_share"/>
    <tableColumn id="24" xr3:uid="{00000000-0010-0000-7A00-000018000000}" name="ypc"/>
    <tableColumn id="25" xr3:uid="{00000000-0010-0000-7A00-000019000000}" name="ypr"/>
    <tableColumn id="26" xr3:uid="{00000000-0010-0000-7A00-00001A000000}" name="cmp_pct"/>
    <tableColumn id="27" xr3:uid="{00000000-0010-0000-7A00-00001B000000}" name="td_rate"/>
    <tableColumn id="28" xr3:uid="{00000000-0010-0000-7A00-00001C000000}" name="f_custom"/>
  </tableColumns>
  <tableStyleInfo name="TableStyleLight9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>
  <autoFilter ref="A45:AB50" xr:uid="{00000000-0009-0000-0100-00007E000000}"/>
  <tableColumns count="28">
    <tableColumn id="1" xr3:uid="{00000000-0010-0000-7B00-000001000000}" name="Name"/>
    <tableColumn id="2" xr3:uid="{00000000-0010-0000-7B00-000002000000}" name="POS"/>
    <tableColumn id="3" xr3:uid="{00000000-0010-0000-7B00-000003000000}" name="Age"/>
    <tableColumn id="4" xr3:uid="{00000000-0010-0000-7B00-000004000000}" name="Exp"/>
    <tableColumn id="5" xr3:uid="{00000000-0010-0000-7B00-000005000000}" name="College"/>
    <tableColumn id="6" xr3:uid="{00000000-0010-0000-7B00-000006000000}" name="team"/>
    <tableColumn id="7" xr3:uid="{00000000-0010-0000-7B00-000007000000}" name="g"/>
    <tableColumn id="8" xr3:uid="{00000000-0010-0000-7B00-000008000000}" name="p_att"/>
    <tableColumn id="9" xr3:uid="{00000000-0010-0000-7B00-000009000000}" name="cmp"/>
    <tableColumn id="10" xr3:uid="{00000000-0010-0000-7B00-00000A000000}" name="p_yd"/>
    <tableColumn id="11" xr3:uid="{00000000-0010-0000-7B00-00000B000000}" name="p_td"/>
    <tableColumn id="12" xr3:uid="{00000000-0010-0000-7B00-00000C000000}" name="int"/>
    <tableColumn id="13" xr3:uid="{00000000-0010-0000-7B00-00000D000000}" name="car"/>
    <tableColumn id="14" xr3:uid="{00000000-0010-0000-7B00-00000E000000}" name="r_yd"/>
    <tableColumn id="15" xr3:uid="{00000000-0010-0000-7B00-00000F000000}" name="r_td"/>
    <tableColumn id="16" xr3:uid="{00000000-0010-0000-7B00-000010000000}" name="tgt"/>
    <tableColumn id="17" xr3:uid="{00000000-0010-0000-7B00-000011000000}" name="rec"/>
    <tableColumn id="18" xr3:uid="{00000000-0010-0000-7B00-000012000000}" name="rec_yd"/>
    <tableColumn id="19" xr3:uid="{00000000-0010-0000-7B00-000013000000}" name="rec_td"/>
    <tableColumn id="20" xr3:uid="{00000000-0010-0000-7B00-000014000000}" name="fmb"/>
    <tableColumn id="21" xr3:uid="{00000000-0010-0000-7B00-000015000000}" name="tp_c"/>
    <tableColumn id="22" xr3:uid="{00000000-0010-0000-7B00-000016000000}" name="f_ppr"/>
    <tableColumn id="23" xr3:uid="{00000000-0010-0000-7B00-000017000000}" name="tgt_share"/>
    <tableColumn id="24" xr3:uid="{00000000-0010-0000-7B00-000018000000}" name="ypc"/>
    <tableColumn id="25" xr3:uid="{00000000-0010-0000-7B00-000019000000}" name="ypr"/>
    <tableColumn id="26" xr3:uid="{00000000-0010-0000-7B00-00001A000000}" name="cmp_pct"/>
    <tableColumn id="27" xr3:uid="{00000000-0010-0000-7B00-00001B000000}" name="td_rate"/>
    <tableColumn id="28" xr3:uid="{00000000-0010-0000-7B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>
  <autoFilter ref="A60:AB72" xr:uid="{00000000-0009-0000-0100-00007F000000}"/>
  <tableColumns count="28">
    <tableColumn id="1" xr3:uid="{00000000-0010-0000-7C00-000001000000}" name="Name"/>
    <tableColumn id="2" xr3:uid="{00000000-0010-0000-7C00-000002000000}" name="POS"/>
    <tableColumn id="3" xr3:uid="{00000000-0010-0000-7C00-000003000000}" name="Age"/>
    <tableColumn id="4" xr3:uid="{00000000-0010-0000-7C00-000004000000}" name="Exp"/>
    <tableColumn id="5" xr3:uid="{00000000-0010-0000-7C00-000005000000}" name="College"/>
    <tableColumn id="6" xr3:uid="{00000000-0010-0000-7C00-000006000000}" name="team"/>
    <tableColumn id="7" xr3:uid="{00000000-0010-0000-7C00-000007000000}" name="g"/>
    <tableColumn id="8" xr3:uid="{00000000-0010-0000-7C00-000008000000}" name="p_att"/>
    <tableColumn id="9" xr3:uid="{00000000-0010-0000-7C00-000009000000}" name="cmp"/>
    <tableColumn id="10" xr3:uid="{00000000-0010-0000-7C00-00000A000000}" name="p_yd"/>
    <tableColumn id="11" xr3:uid="{00000000-0010-0000-7C00-00000B000000}" name="p_td"/>
    <tableColumn id="12" xr3:uid="{00000000-0010-0000-7C00-00000C000000}" name="int"/>
    <tableColumn id="13" xr3:uid="{00000000-0010-0000-7C00-00000D000000}" name="car"/>
    <tableColumn id="14" xr3:uid="{00000000-0010-0000-7C00-00000E000000}" name="r_yd"/>
    <tableColumn id="15" xr3:uid="{00000000-0010-0000-7C00-00000F000000}" name="r_td"/>
    <tableColumn id="16" xr3:uid="{00000000-0010-0000-7C00-000010000000}" name="tgt"/>
    <tableColumn id="17" xr3:uid="{00000000-0010-0000-7C00-000011000000}" name="rec"/>
    <tableColumn id="18" xr3:uid="{00000000-0010-0000-7C00-000012000000}" name="rec_yd"/>
    <tableColumn id="19" xr3:uid="{00000000-0010-0000-7C00-000013000000}" name="rec_td"/>
    <tableColumn id="20" xr3:uid="{00000000-0010-0000-7C00-000014000000}" name="fmb"/>
    <tableColumn id="21" xr3:uid="{00000000-0010-0000-7C00-000015000000}" name="tp_c"/>
    <tableColumn id="22" xr3:uid="{00000000-0010-0000-7C00-000016000000}" name="f_ppr"/>
    <tableColumn id="23" xr3:uid="{00000000-0010-0000-7C00-000017000000}" name="tgt_share"/>
    <tableColumn id="24" xr3:uid="{00000000-0010-0000-7C00-000018000000}" name="ypc"/>
    <tableColumn id="25" xr3:uid="{00000000-0010-0000-7C00-000019000000}" name="ypr"/>
    <tableColumn id="26" xr3:uid="{00000000-0010-0000-7C00-00001A000000}" name="cmp_pct"/>
    <tableColumn id="27" xr3:uid="{00000000-0010-0000-7C00-00001B000000}" name="td_rate"/>
    <tableColumn id="28" xr3:uid="{00000000-0010-0000-7C00-00001C000000}" name="f_custom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>
  <autoFilter ref="A75:AB82" xr:uid="{00000000-0009-0000-0100-000080000000}"/>
  <tableColumns count="28">
    <tableColumn id="1" xr3:uid="{00000000-0010-0000-7D00-000001000000}" name="Name"/>
    <tableColumn id="2" xr3:uid="{00000000-0010-0000-7D00-000002000000}" name="POS"/>
    <tableColumn id="3" xr3:uid="{00000000-0010-0000-7D00-000003000000}" name="Age"/>
    <tableColumn id="4" xr3:uid="{00000000-0010-0000-7D00-000004000000}" name="Exp"/>
    <tableColumn id="5" xr3:uid="{00000000-0010-0000-7D00-000005000000}" name="College"/>
    <tableColumn id="6" xr3:uid="{00000000-0010-0000-7D00-000006000000}" name="team"/>
    <tableColumn id="7" xr3:uid="{00000000-0010-0000-7D00-000007000000}" name="g"/>
    <tableColumn id="8" xr3:uid="{00000000-0010-0000-7D00-000008000000}" name="p_att"/>
    <tableColumn id="9" xr3:uid="{00000000-0010-0000-7D00-000009000000}" name="cmp"/>
    <tableColumn id="10" xr3:uid="{00000000-0010-0000-7D00-00000A000000}" name="p_yd"/>
    <tableColumn id="11" xr3:uid="{00000000-0010-0000-7D00-00000B000000}" name="p_td"/>
    <tableColumn id="12" xr3:uid="{00000000-0010-0000-7D00-00000C000000}" name="int"/>
    <tableColumn id="13" xr3:uid="{00000000-0010-0000-7D00-00000D000000}" name="car"/>
    <tableColumn id="14" xr3:uid="{00000000-0010-0000-7D00-00000E000000}" name="r_yd"/>
    <tableColumn id="15" xr3:uid="{00000000-0010-0000-7D00-00000F000000}" name="r_td"/>
    <tableColumn id="16" xr3:uid="{00000000-0010-0000-7D00-000010000000}" name="tgt"/>
    <tableColumn id="17" xr3:uid="{00000000-0010-0000-7D00-000011000000}" name="rec"/>
    <tableColumn id="18" xr3:uid="{00000000-0010-0000-7D00-000012000000}" name="rec_yd"/>
    <tableColumn id="19" xr3:uid="{00000000-0010-0000-7D00-000013000000}" name="rec_td"/>
    <tableColumn id="20" xr3:uid="{00000000-0010-0000-7D00-000014000000}" name="fmb"/>
    <tableColumn id="21" xr3:uid="{00000000-0010-0000-7D00-000015000000}" name="tp_c"/>
    <tableColumn id="22" xr3:uid="{00000000-0010-0000-7D00-000016000000}" name="f_ppr"/>
    <tableColumn id="23" xr3:uid="{00000000-0010-0000-7D00-000017000000}" name="tgt_share"/>
    <tableColumn id="24" xr3:uid="{00000000-0010-0000-7D00-000018000000}" name="ypc"/>
    <tableColumn id="25" xr3:uid="{00000000-0010-0000-7D00-000019000000}" name="ypr"/>
    <tableColumn id="26" xr3:uid="{00000000-0010-0000-7D00-00001A000000}" name="cmp_pct"/>
    <tableColumn id="27" xr3:uid="{00000000-0010-0000-7D00-00001B000000}" name="td_rate"/>
    <tableColumn id="28" xr3:uid="{00000000-0010-0000-7D00-00001C000000}" name="f_custom"/>
  </tableColumns>
  <tableStyleInfo name="TableStyleLight9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X16" totalsRowShown="0">
  <autoFilter ref="A1:X16" xr:uid="{00000000-0009-0000-0100-000081000000}"/>
  <tableColumns count="24">
    <tableColumn id="1" xr3:uid="{00000000-0010-0000-7E00-000001000000}" name="player_name"/>
    <tableColumn id="2" xr3:uid="{00000000-0010-0000-7E00-000002000000}" name="recent_team"/>
    <tableColumn id="3" xr3:uid="{00000000-0010-0000-7E00-000003000000}" name="pos"/>
    <tableColumn id="4" xr3:uid="{00000000-0010-0000-7E00-000004000000}" name="g"/>
    <tableColumn id="5" xr3:uid="{00000000-0010-0000-7E00-000005000000}" name="p_att"/>
    <tableColumn id="6" xr3:uid="{00000000-0010-0000-7E00-000006000000}" name="cmp"/>
    <tableColumn id="7" xr3:uid="{00000000-0010-0000-7E00-000007000000}" name="p_yd"/>
    <tableColumn id="8" xr3:uid="{00000000-0010-0000-7E00-000008000000}" name="p_td"/>
    <tableColumn id="9" xr3:uid="{00000000-0010-0000-7E00-000009000000}" name="int"/>
    <tableColumn id="10" xr3:uid="{00000000-0010-0000-7E00-00000A000000}" name="car"/>
    <tableColumn id="11" xr3:uid="{00000000-0010-0000-7E00-00000B000000}" name="r_yd"/>
    <tableColumn id="12" xr3:uid="{00000000-0010-0000-7E00-00000C000000}" name="r_td"/>
    <tableColumn id="13" xr3:uid="{00000000-0010-0000-7E00-00000D000000}" name="tgt"/>
    <tableColumn id="14" xr3:uid="{00000000-0010-0000-7E00-00000E000000}" name="rec"/>
    <tableColumn id="15" xr3:uid="{00000000-0010-0000-7E00-00000F000000}" name="rec_yd"/>
    <tableColumn id="16" xr3:uid="{00000000-0010-0000-7E00-000010000000}" name="rec_td"/>
    <tableColumn id="17" xr3:uid="{00000000-0010-0000-7E00-000011000000}" name="fmb"/>
    <tableColumn id="18" xr3:uid="{00000000-0010-0000-7E00-000012000000}" name="tp_c"/>
    <tableColumn id="19" xr3:uid="{00000000-0010-0000-7E00-000013000000}" name="f_ppr"/>
    <tableColumn id="20" xr3:uid="{00000000-0010-0000-7E00-000014000000}" name="tgt_share"/>
    <tableColumn id="21" xr3:uid="{00000000-0010-0000-7E00-000015000000}" name="ypc"/>
    <tableColumn id="22" xr3:uid="{00000000-0010-0000-7E00-000016000000}" name="ypr"/>
    <tableColumn id="23" xr3:uid="{00000000-0010-0000-7E00-000017000000}" name="cmp_pct"/>
    <tableColumn id="24" xr3:uid="{00000000-0010-0000-7E00-000018000000}" name="td_rate"/>
  </tableColumns>
  <tableStyleInfo name="TableStyleLight9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L31" totalsRowShown="0">
  <autoFilter ref="A30:L31" xr:uid="{00000000-0009-0000-0100-000082000000}"/>
  <tableColumns count="12">
    <tableColumn id="1" xr3:uid="{00000000-0010-0000-7F00-000001000000}" name="team"/>
    <tableColumn id="2" xr3:uid="{00000000-0010-0000-7F00-000002000000}" name="off_yd"/>
    <tableColumn id="3" xr3:uid="{00000000-0010-0000-7F00-000003000000}" name="p_yd"/>
    <tableColumn id="4" xr3:uid="{00000000-0010-0000-7F00-000004000000}" name="car"/>
    <tableColumn id="5" xr3:uid="{00000000-0010-0000-7F00-000005000000}" name="r_yd"/>
    <tableColumn id="6" xr3:uid="{00000000-0010-0000-7F00-000006000000}" name="r_td"/>
    <tableColumn id="7" xr3:uid="{00000000-0010-0000-7F00-000007000000}" name="p_ff"/>
    <tableColumn id="8" xr3:uid="{00000000-0010-0000-7F00-000008000000}" name="p_att"/>
    <tableColumn id="9" xr3:uid="{00000000-0010-0000-7F00-000009000000}" name="cmp_pct"/>
    <tableColumn id="10" xr3:uid="{00000000-0010-0000-7F00-00000A000000}" name="p_td"/>
    <tableColumn id="11" xr3:uid="{00000000-0010-0000-7F00-00000B000000}" name="int"/>
    <tableColumn id="12" xr3:uid="{00000000-0010-0000-7F00-00000C000000}" name="fmb"/>
  </tableColumns>
  <tableStyleInfo name="TableStyleLight9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L33" totalsRowShown="0">
  <autoFilter ref="A32:L33" xr:uid="{00000000-0009-0000-0100-000083000000}"/>
  <tableColumns count="12">
    <tableColumn id="1" xr3:uid="{00000000-0010-0000-8000-000001000000}" name="team">
      <calculatedColumnFormula>A31</calculatedColumnFormula>
    </tableColumn>
    <tableColumn id="2" xr3:uid="{00000000-0010-0000-8000-000002000000}" name="off_yd">
      <calculatedColumnFormula>C33 + E33</calculatedColumnFormula>
    </tableColumn>
    <tableColumn id="3" xr3:uid="{00000000-0010-0000-8000-000003000000}" name="p_yd">
      <calculatedColumnFormula>SUM(INDIRECT(A33 &amp; "_Table4[[#All],[p_yd]]"))</calculatedColumnFormula>
    </tableColumn>
    <tableColumn id="4" xr3:uid="{00000000-0010-0000-80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>
      <calculatedColumnFormula>SUM(INDIRECT(A33 &amp; "_Table4[[#All],[cmp]]"))/H33</calculatedColumnFormula>
    </tableColumn>
    <tableColumn id="10" xr3:uid="{00000000-0010-0000-80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>
  <autoFilter ref="A35:AB39" xr:uid="{00000000-0009-0000-0100-000084000000}"/>
  <tableColumns count="28">
    <tableColumn id="1" xr3:uid="{00000000-0010-0000-8100-000001000000}" name="Name"/>
    <tableColumn id="2" xr3:uid="{00000000-0010-0000-8100-000002000000}" name="POS"/>
    <tableColumn id="3" xr3:uid="{00000000-0010-0000-8100-000003000000}" name="Age"/>
    <tableColumn id="4" xr3:uid="{00000000-0010-0000-8100-000004000000}" name="Exp"/>
    <tableColumn id="5" xr3:uid="{00000000-0010-0000-8100-000005000000}" name="College"/>
    <tableColumn id="6" xr3:uid="{00000000-0010-0000-8100-000006000000}" name="team"/>
    <tableColumn id="7" xr3:uid="{00000000-0010-0000-8100-000007000000}" name="g"/>
    <tableColumn id="8" xr3:uid="{00000000-0010-0000-8100-000008000000}" name="p_att"/>
    <tableColumn id="9" xr3:uid="{00000000-0010-0000-8100-000009000000}" name="cmp"/>
    <tableColumn id="10" xr3:uid="{00000000-0010-0000-8100-00000A000000}" name="p_yd"/>
    <tableColumn id="11" xr3:uid="{00000000-0010-0000-8100-00000B000000}" name="p_td"/>
    <tableColumn id="12" xr3:uid="{00000000-0010-0000-8100-00000C000000}" name="int"/>
    <tableColumn id="13" xr3:uid="{00000000-0010-0000-8100-00000D000000}" name="car"/>
    <tableColumn id="14" xr3:uid="{00000000-0010-0000-8100-00000E000000}" name="r_yd"/>
    <tableColumn id="15" xr3:uid="{00000000-0010-0000-8100-00000F000000}" name="r_td"/>
    <tableColumn id="16" xr3:uid="{00000000-0010-0000-8100-000010000000}" name="tgt"/>
    <tableColumn id="17" xr3:uid="{00000000-0010-0000-8100-000011000000}" name="rec"/>
    <tableColumn id="18" xr3:uid="{00000000-0010-0000-8100-000012000000}" name="rec_yd"/>
    <tableColumn id="19" xr3:uid="{00000000-0010-0000-8100-000013000000}" name="rec_td"/>
    <tableColumn id="20" xr3:uid="{00000000-0010-0000-8100-000014000000}" name="fmb"/>
    <tableColumn id="21" xr3:uid="{00000000-0010-0000-8100-000015000000}" name="tp_c"/>
    <tableColumn id="22" xr3:uid="{00000000-0010-0000-8100-000016000000}" name="f_ppr"/>
    <tableColumn id="23" xr3:uid="{00000000-0010-0000-8100-000017000000}" name="tgt_share"/>
    <tableColumn id="24" xr3:uid="{00000000-0010-0000-8100-000018000000}" name="ypc"/>
    <tableColumn id="25" xr3:uid="{00000000-0010-0000-8100-000019000000}" name="ypr"/>
    <tableColumn id="26" xr3:uid="{00000000-0010-0000-8100-00001A000000}" name="cmp_pct"/>
    <tableColumn id="27" xr3:uid="{00000000-0010-0000-8100-00001B000000}" name="td_rate"/>
    <tableColumn id="28" xr3:uid="{00000000-0010-0000-8100-00001C000000}" name="f_custom"/>
  </tableColumns>
  <tableStyleInfo name="TableStyleLight9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>
  <autoFilter ref="A45:AB54" xr:uid="{00000000-0009-0000-0100-000085000000}"/>
  <tableColumns count="28">
    <tableColumn id="1" xr3:uid="{00000000-0010-0000-8200-000001000000}" name="Name"/>
    <tableColumn id="2" xr3:uid="{00000000-0010-0000-8200-000002000000}" name="POS"/>
    <tableColumn id="3" xr3:uid="{00000000-0010-0000-8200-000003000000}" name="Age"/>
    <tableColumn id="4" xr3:uid="{00000000-0010-0000-8200-000004000000}" name="Exp"/>
    <tableColumn id="5" xr3:uid="{00000000-0010-0000-8200-000005000000}" name="College"/>
    <tableColumn id="6" xr3:uid="{00000000-0010-0000-8200-000006000000}" name="team"/>
    <tableColumn id="7" xr3:uid="{00000000-0010-0000-8200-000007000000}" name="g"/>
    <tableColumn id="8" xr3:uid="{00000000-0010-0000-8200-000008000000}" name="p_att"/>
    <tableColumn id="9" xr3:uid="{00000000-0010-0000-8200-000009000000}" name="cmp"/>
    <tableColumn id="10" xr3:uid="{00000000-0010-0000-8200-00000A000000}" name="p_yd"/>
    <tableColumn id="11" xr3:uid="{00000000-0010-0000-8200-00000B000000}" name="p_td"/>
    <tableColumn id="12" xr3:uid="{00000000-0010-0000-8200-00000C000000}" name="int"/>
    <tableColumn id="13" xr3:uid="{00000000-0010-0000-8200-00000D000000}" name="car"/>
    <tableColumn id="14" xr3:uid="{00000000-0010-0000-8200-00000E000000}" name="r_yd"/>
    <tableColumn id="15" xr3:uid="{00000000-0010-0000-8200-00000F000000}" name="r_td"/>
    <tableColumn id="16" xr3:uid="{00000000-0010-0000-8200-000010000000}" name="tgt"/>
    <tableColumn id="17" xr3:uid="{00000000-0010-0000-8200-000011000000}" name="rec"/>
    <tableColumn id="18" xr3:uid="{00000000-0010-0000-8200-000012000000}" name="rec_yd"/>
    <tableColumn id="19" xr3:uid="{00000000-0010-0000-8200-000013000000}" name="rec_td"/>
    <tableColumn id="20" xr3:uid="{00000000-0010-0000-8200-000014000000}" name="fmb"/>
    <tableColumn id="21" xr3:uid="{00000000-0010-0000-8200-000015000000}" name="tp_c"/>
    <tableColumn id="22" xr3:uid="{00000000-0010-0000-8200-000016000000}" name="f_ppr"/>
    <tableColumn id="23" xr3:uid="{00000000-0010-0000-8200-000017000000}" name="tgt_share"/>
    <tableColumn id="24" xr3:uid="{00000000-0010-0000-8200-000018000000}" name="ypc"/>
    <tableColumn id="25" xr3:uid="{00000000-0010-0000-8200-000019000000}" name="ypr"/>
    <tableColumn id="26" xr3:uid="{00000000-0010-0000-8200-00001A000000}" name="cmp_pct"/>
    <tableColumn id="27" xr3:uid="{00000000-0010-0000-8200-00001B000000}" name="td_rate"/>
    <tableColumn id="28" xr3:uid="{00000000-0010-0000-82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>
  <autoFilter ref="A60:AB71" xr:uid="{00000000-0009-0000-0100-000086000000}"/>
  <tableColumns count="28">
    <tableColumn id="1" xr3:uid="{00000000-0010-0000-8300-000001000000}" name="Name"/>
    <tableColumn id="2" xr3:uid="{00000000-0010-0000-8300-000002000000}" name="POS"/>
    <tableColumn id="3" xr3:uid="{00000000-0010-0000-8300-000003000000}" name="Age"/>
    <tableColumn id="4" xr3:uid="{00000000-0010-0000-8300-000004000000}" name="Exp"/>
    <tableColumn id="5" xr3:uid="{00000000-0010-0000-8300-000005000000}" name="College"/>
    <tableColumn id="6" xr3:uid="{00000000-0010-0000-8300-000006000000}" name="team"/>
    <tableColumn id="7" xr3:uid="{00000000-0010-0000-8300-000007000000}" name="g"/>
    <tableColumn id="8" xr3:uid="{00000000-0010-0000-8300-000008000000}" name="p_att"/>
    <tableColumn id="9" xr3:uid="{00000000-0010-0000-8300-000009000000}" name="cmp"/>
    <tableColumn id="10" xr3:uid="{00000000-0010-0000-8300-00000A000000}" name="p_yd"/>
    <tableColumn id="11" xr3:uid="{00000000-0010-0000-8300-00000B000000}" name="p_td"/>
    <tableColumn id="12" xr3:uid="{00000000-0010-0000-8300-00000C000000}" name="int"/>
    <tableColumn id="13" xr3:uid="{00000000-0010-0000-8300-00000D000000}" name="car"/>
    <tableColumn id="14" xr3:uid="{00000000-0010-0000-8300-00000E000000}" name="r_yd"/>
    <tableColumn id="15" xr3:uid="{00000000-0010-0000-8300-00000F000000}" name="r_td"/>
    <tableColumn id="16" xr3:uid="{00000000-0010-0000-8300-000010000000}" name="tgt"/>
    <tableColumn id="17" xr3:uid="{00000000-0010-0000-8300-000011000000}" name="rec"/>
    <tableColumn id="18" xr3:uid="{00000000-0010-0000-8300-000012000000}" name="rec_yd"/>
    <tableColumn id="19" xr3:uid="{00000000-0010-0000-8300-000013000000}" name="rec_td"/>
    <tableColumn id="20" xr3:uid="{00000000-0010-0000-8300-000014000000}" name="fmb"/>
    <tableColumn id="21" xr3:uid="{00000000-0010-0000-8300-000015000000}" name="tp_c"/>
    <tableColumn id="22" xr3:uid="{00000000-0010-0000-8300-000016000000}" name="f_ppr"/>
    <tableColumn id="23" xr3:uid="{00000000-0010-0000-8300-000017000000}" name="tgt_share"/>
    <tableColumn id="24" xr3:uid="{00000000-0010-0000-8300-000018000000}" name="ypc"/>
    <tableColumn id="25" xr3:uid="{00000000-0010-0000-8300-000019000000}" name="ypr"/>
    <tableColumn id="26" xr3:uid="{00000000-0010-0000-8300-00001A000000}" name="cmp_pct"/>
    <tableColumn id="27" xr3:uid="{00000000-0010-0000-8300-00001B000000}" name="td_rate"/>
    <tableColumn id="28" xr3:uid="{00000000-0010-0000-8300-00001C000000}" name="f_custom"/>
  </tableColumns>
  <tableStyleInfo name="TableStyleLight9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>
  <autoFilter ref="A75:AB81" xr:uid="{00000000-0009-0000-0100-000087000000}"/>
  <tableColumns count="28">
    <tableColumn id="1" xr3:uid="{00000000-0010-0000-8400-000001000000}" name="Name"/>
    <tableColumn id="2" xr3:uid="{00000000-0010-0000-8400-000002000000}" name="POS"/>
    <tableColumn id="3" xr3:uid="{00000000-0010-0000-8400-000003000000}" name="Age"/>
    <tableColumn id="4" xr3:uid="{00000000-0010-0000-8400-000004000000}" name="Exp"/>
    <tableColumn id="5" xr3:uid="{00000000-0010-0000-8400-000005000000}" name="College"/>
    <tableColumn id="6" xr3:uid="{00000000-0010-0000-8400-000006000000}" name="team"/>
    <tableColumn id="7" xr3:uid="{00000000-0010-0000-8400-000007000000}" name="g"/>
    <tableColumn id="8" xr3:uid="{00000000-0010-0000-8400-000008000000}" name="p_att"/>
    <tableColumn id="9" xr3:uid="{00000000-0010-0000-8400-000009000000}" name="cmp"/>
    <tableColumn id="10" xr3:uid="{00000000-0010-0000-8400-00000A000000}" name="p_yd"/>
    <tableColumn id="11" xr3:uid="{00000000-0010-0000-8400-00000B000000}" name="p_td"/>
    <tableColumn id="12" xr3:uid="{00000000-0010-0000-8400-00000C000000}" name="int"/>
    <tableColumn id="13" xr3:uid="{00000000-0010-0000-8400-00000D000000}" name="car"/>
    <tableColumn id="14" xr3:uid="{00000000-0010-0000-8400-00000E000000}" name="r_yd"/>
    <tableColumn id="15" xr3:uid="{00000000-0010-0000-8400-00000F000000}" name="r_td"/>
    <tableColumn id="16" xr3:uid="{00000000-0010-0000-8400-000010000000}" name="tgt"/>
    <tableColumn id="17" xr3:uid="{00000000-0010-0000-8400-000011000000}" name="rec"/>
    <tableColumn id="18" xr3:uid="{00000000-0010-0000-8400-000012000000}" name="rec_yd"/>
    <tableColumn id="19" xr3:uid="{00000000-0010-0000-8400-000013000000}" name="rec_td"/>
    <tableColumn id="20" xr3:uid="{00000000-0010-0000-8400-000014000000}" name="fmb"/>
    <tableColumn id="21" xr3:uid="{00000000-0010-0000-8400-000015000000}" name="tp_c"/>
    <tableColumn id="22" xr3:uid="{00000000-0010-0000-8400-000016000000}" name="f_ppr"/>
    <tableColumn id="23" xr3:uid="{00000000-0010-0000-8400-000017000000}" name="tgt_share"/>
    <tableColumn id="24" xr3:uid="{00000000-0010-0000-8400-000018000000}" name="ypc"/>
    <tableColumn id="25" xr3:uid="{00000000-0010-0000-8400-000019000000}" name="ypr"/>
    <tableColumn id="26" xr3:uid="{00000000-0010-0000-8400-00001A000000}" name="cmp_pct"/>
    <tableColumn id="27" xr3:uid="{00000000-0010-0000-8400-00001B000000}" name="td_rate"/>
    <tableColumn id="28" xr3:uid="{00000000-0010-0000-8400-00001C000000}" name="f_custom"/>
  </tableColumns>
  <tableStyleInfo name="TableStyleLight9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X20" totalsRowShown="0">
  <autoFilter ref="A1:X20" xr:uid="{00000000-0009-0000-0100-000088000000}"/>
  <tableColumns count="24">
    <tableColumn id="1" xr3:uid="{00000000-0010-0000-8500-000001000000}" name="player_name"/>
    <tableColumn id="2" xr3:uid="{00000000-0010-0000-8500-000002000000}" name="recent_team"/>
    <tableColumn id="3" xr3:uid="{00000000-0010-0000-8500-000003000000}" name="pos"/>
    <tableColumn id="4" xr3:uid="{00000000-0010-0000-8500-000004000000}" name="g"/>
    <tableColumn id="5" xr3:uid="{00000000-0010-0000-8500-000005000000}" name="p_att"/>
    <tableColumn id="6" xr3:uid="{00000000-0010-0000-8500-000006000000}" name="cmp"/>
    <tableColumn id="7" xr3:uid="{00000000-0010-0000-8500-000007000000}" name="p_yd"/>
    <tableColumn id="8" xr3:uid="{00000000-0010-0000-8500-000008000000}" name="p_td"/>
    <tableColumn id="9" xr3:uid="{00000000-0010-0000-8500-000009000000}" name="int"/>
    <tableColumn id="10" xr3:uid="{00000000-0010-0000-8500-00000A000000}" name="car"/>
    <tableColumn id="11" xr3:uid="{00000000-0010-0000-8500-00000B000000}" name="r_yd"/>
    <tableColumn id="12" xr3:uid="{00000000-0010-0000-8500-00000C000000}" name="r_td"/>
    <tableColumn id="13" xr3:uid="{00000000-0010-0000-8500-00000D000000}" name="tgt"/>
    <tableColumn id="14" xr3:uid="{00000000-0010-0000-8500-00000E000000}" name="rec"/>
    <tableColumn id="15" xr3:uid="{00000000-0010-0000-8500-00000F000000}" name="rec_yd"/>
    <tableColumn id="16" xr3:uid="{00000000-0010-0000-8500-000010000000}" name="rec_td"/>
    <tableColumn id="17" xr3:uid="{00000000-0010-0000-8500-000011000000}" name="fmb"/>
    <tableColumn id="18" xr3:uid="{00000000-0010-0000-8500-000012000000}" name="tp_c"/>
    <tableColumn id="19" xr3:uid="{00000000-0010-0000-8500-000013000000}" name="f_ppr"/>
    <tableColumn id="20" xr3:uid="{00000000-0010-0000-8500-000014000000}" name="tgt_share"/>
    <tableColumn id="21" xr3:uid="{00000000-0010-0000-8500-000015000000}" name="ypc"/>
    <tableColumn id="22" xr3:uid="{00000000-0010-0000-8500-000016000000}" name="ypr"/>
    <tableColumn id="23" xr3:uid="{00000000-0010-0000-8500-000017000000}" name="cmp_pct"/>
    <tableColumn id="24" xr3:uid="{00000000-0010-0000-8500-000018000000}" name="td_rate"/>
  </tableColumns>
  <tableStyleInfo name="TableStyleLight9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L31" totalsRowShown="0">
  <autoFilter ref="A30:L31" xr:uid="{00000000-0009-0000-0100-000089000000}"/>
  <tableColumns count="12">
    <tableColumn id="1" xr3:uid="{00000000-0010-0000-8600-000001000000}" name="team"/>
    <tableColumn id="2" xr3:uid="{00000000-0010-0000-8600-000002000000}" name="off_yd"/>
    <tableColumn id="3" xr3:uid="{00000000-0010-0000-8600-000003000000}" name="p_yd"/>
    <tableColumn id="4" xr3:uid="{00000000-0010-0000-8600-000004000000}" name="car"/>
    <tableColumn id="5" xr3:uid="{00000000-0010-0000-8600-000005000000}" name="r_yd"/>
    <tableColumn id="6" xr3:uid="{00000000-0010-0000-8600-000006000000}" name="r_td"/>
    <tableColumn id="7" xr3:uid="{00000000-0010-0000-8600-000007000000}" name="p_ff"/>
    <tableColumn id="8" xr3:uid="{00000000-0010-0000-8600-000008000000}" name="p_att"/>
    <tableColumn id="9" xr3:uid="{00000000-0010-0000-8600-000009000000}" name="cmp_pct"/>
    <tableColumn id="10" xr3:uid="{00000000-0010-0000-8600-00000A000000}" name="p_td"/>
    <tableColumn id="11" xr3:uid="{00000000-0010-0000-8600-00000B000000}" name="int"/>
    <tableColumn id="12" xr3:uid="{00000000-0010-0000-8600-00000C000000}" name="fmb"/>
  </tableColumns>
  <tableStyleInfo name="TableStyleLight9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L33" totalsRowShown="0">
  <autoFilter ref="A32:L33" xr:uid="{00000000-0009-0000-0100-00008A000000}"/>
  <tableColumns count="12">
    <tableColumn id="1" xr3:uid="{00000000-0010-0000-8700-000001000000}" name="team">
      <calculatedColumnFormula>A31</calculatedColumnFormula>
    </tableColumn>
    <tableColumn id="2" xr3:uid="{00000000-0010-0000-8700-000002000000}" name="off_yd">
      <calculatedColumnFormula>C33 + E33</calculatedColumnFormula>
    </tableColumn>
    <tableColumn id="3" xr3:uid="{00000000-0010-0000-8700-000003000000}" name="p_yd">
      <calculatedColumnFormula>SUM(INDIRECT(A33 &amp; "_Table4[[#All],[p_yd]]"))</calculatedColumnFormula>
    </tableColumn>
    <tableColumn id="4" xr3:uid="{00000000-0010-0000-87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>
      <calculatedColumnFormula>SUM(INDIRECT(A33 &amp; "_Table4[[#All],[cmp]]"))/H33</calculatedColumnFormula>
    </tableColumn>
    <tableColumn id="10" xr3:uid="{00000000-0010-0000-87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>
  <autoFilter ref="A35:AB38" xr:uid="{00000000-0009-0000-0100-00008B000000}"/>
  <tableColumns count="28">
    <tableColumn id="1" xr3:uid="{00000000-0010-0000-8800-000001000000}" name="Name"/>
    <tableColumn id="2" xr3:uid="{00000000-0010-0000-8800-000002000000}" name="POS"/>
    <tableColumn id="3" xr3:uid="{00000000-0010-0000-8800-000003000000}" name="Age"/>
    <tableColumn id="4" xr3:uid="{00000000-0010-0000-8800-000004000000}" name="Exp"/>
    <tableColumn id="5" xr3:uid="{00000000-0010-0000-8800-000005000000}" name="College"/>
    <tableColumn id="6" xr3:uid="{00000000-0010-0000-8800-000006000000}" name="team"/>
    <tableColumn id="7" xr3:uid="{00000000-0010-0000-8800-000007000000}" name="g"/>
    <tableColumn id="8" xr3:uid="{00000000-0010-0000-8800-000008000000}" name="p_att"/>
    <tableColumn id="9" xr3:uid="{00000000-0010-0000-8800-000009000000}" name="cmp"/>
    <tableColumn id="10" xr3:uid="{00000000-0010-0000-8800-00000A000000}" name="p_yd"/>
    <tableColumn id="11" xr3:uid="{00000000-0010-0000-8800-00000B000000}" name="p_td"/>
    <tableColumn id="12" xr3:uid="{00000000-0010-0000-8800-00000C000000}" name="int"/>
    <tableColumn id="13" xr3:uid="{00000000-0010-0000-8800-00000D000000}" name="car"/>
    <tableColumn id="14" xr3:uid="{00000000-0010-0000-8800-00000E000000}" name="r_yd"/>
    <tableColumn id="15" xr3:uid="{00000000-0010-0000-8800-00000F000000}" name="r_td"/>
    <tableColumn id="16" xr3:uid="{00000000-0010-0000-8800-000010000000}" name="tgt"/>
    <tableColumn id="17" xr3:uid="{00000000-0010-0000-8800-000011000000}" name="rec"/>
    <tableColumn id="18" xr3:uid="{00000000-0010-0000-8800-000012000000}" name="rec_yd"/>
    <tableColumn id="19" xr3:uid="{00000000-0010-0000-8800-000013000000}" name="rec_td"/>
    <tableColumn id="20" xr3:uid="{00000000-0010-0000-8800-000014000000}" name="fmb"/>
    <tableColumn id="21" xr3:uid="{00000000-0010-0000-8800-000015000000}" name="tp_c"/>
    <tableColumn id="22" xr3:uid="{00000000-0010-0000-8800-000016000000}" name="f_ppr"/>
    <tableColumn id="23" xr3:uid="{00000000-0010-0000-8800-000017000000}" name="tgt_share"/>
    <tableColumn id="24" xr3:uid="{00000000-0010-0000-8800-000018000000}" name="ypc"/>
    <tableColumn id="25" xr3:uid="{00000000-0010-0000-8800-000019000000}" name="ypr"/>
    <tableColumn id="26" xr3:uid="{00000000-0010-0000-8800-00001A000000}" name="cmp_pct"/>
    <tableColumn id="27" xr3:uid="{00000000-0010-0000-8800-00001B000000}" name="td_rate"/>
    <tableColumn id="28" xr3:uid="{00000000-0010-0000-8800-00001C000000}" name="f_custom"/>
  </tableColumns>
  <tableStyleInfo name="TableStyleLight9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>
  <autoFilter ref="A45:AB51" xr:uid="{00000000-0009-0000-0100-00008C000000}"/>
  <tableColumns count="28">
    <tableColumn id="1" xr3:uid="{00000000-0010-0000-8900-000001000000}" name="Name"/>
    <tableColumn id="2" xr3:uid="{00000000-0010-0000-8900-000002000000}" name="POS"/>
    <tableColumn id="3" xr3:uid="{00000000-0010-0000-8900-000003000000}" name="Age"/>
    <tableColumn id="4" xr3:uid="{00000000-0010-0000-8900-000004000000}" name="Exp"/>
    <tableColumn id="5" xr3:uid="{00000000-0010-0000-8900-000005000000}" name="College"/>
    <tableColumn id="6" xr3:uid="{00000000-0010-0000-8900-000006000000}" name="team"/>
    <tableColumn id="7" xr3:uid="{00000000-0010-0000-8900-000007000000}" name="g"/>
    <tableColumn id="8" xr3:uid="{00000000-0010-0000-8900-000008000000}" name="p_att"/>
    <tableColumn id="9" xr3:uid="{00000000-0010-0000-8900-000009000000}" name="cmp"/>
    <tableColumn id="10" xr3:uid="{00000000-0010-0000-8900-00000A000000}" name="p_yd"/>
    <tableColumn id="11" xr3:uid="{00000000-0010-0000-8900-00000B000000}" name="p_td"/>
    <tableColumn id="12" xr3:uid="{00000000-0010-0000-8900-00000C000000}" name="int"/>
    <tableColumn id="13" xr3:uid="{00000000-0010-0000-8900-00000D000000}" name="car"/>
    <tableColumn id="14" xr3:uid="{00000000-0010-0000-8900-00000E000000}" name="r_yd"/>
    <tableColumn id="15" xr3:uid="{00000000-0010-0000-8900-00000F000000}" name="r_td"/>
    <tableColumn id="16" xr3:uid="{00000000-0010-0000-8900-000010000000}" name="tgt"/>
    <tableColumn id="17" xr3:uid="{00000000-0010-0000-8900-000011000000}" name="rec"/>
    <tableColumn id="18" xr3:uid="{00000000-0010-0000-8900-000012000000}" name="rec_yd"/>
    <tableColumn id="19" xr3:uid="{00000000-0010-0000-8900-000013000000}" name="rec_td"/>
    <tableColumn id="20" xr3:uid="{00000000-0010-0000-8900-000014000000}" name="fmb"/>
    <tableColumn id="21" xr3:uid="{00000000-0010-0000-8900-000015000000}" name="tp_c"/>
    <tableColumn id="22" xr3:uid="{00000000-0010-0000-8900-000016000000}" name="f_ppr"/>
    <tableColumn id="23" xr3:uid="{00000000-0010-0000-8900-000017000000}" name="tgt_share"/>
    <tableColumn id="24" xr3:uid="{00000000-0010-0000-8900-000018000000}" name="ypc"/>
    <tableColumn id="25" xr3:uid="{00000000-0010-0000-8900-000019000000}" name="ypr"/>
    <tableColumn id="26" xr3:uid="{00000000-0010-0000-8900-00001A000000}" name="cmp_pct"/>
    <tableColumn id="27" xr3:uid="{00000000-0010-0000-8900-00001B000000}" name="td_rate"/>
    <tableColumn id="28" xr3:uid="{00000000-0010-0000-89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>
  <autoFilter ref="A60:AB71" xr:uid="{00000000-0009-0000-0100-00008D000000}"/>
  <tableColumns count="28">
    <tableColumn id="1" xr3:uid="{00000000-0010-0000-8A00-000001000000}" name="Name"/>
    <tableColumn id="2" xr3:uid="{00000000-0010-0000-8A00-000002000000}" name="POS"/>
    <tableColumn id="3" xr3:uid="{00000000-0010-0000-8A00-000003000000}" name="Age"/>
    <tableColumn id="4" xr3:uid="{00000000-0010-0000-8A00-000004000000}" name="Exp"/>
    <tableColumn id="5" xr3:uid="{00000000-0010-0000-8A00-000005000000}" name="College"/>
    <tableColumn id="6" xr3:uid="{00000000-0010-0000-8A00-000006000000}" name="team"/>
    <tableColumn id="7" xr3:uid="{00000000-0010-0000-8A00-000007000000}" name="g"/>
    <tableColumn id="8" xr3:uid="{00000000-0010-0000-8A00-000008000000}" name="p_att"/>
    <tableColumn id="9" xr3:uid="{00000000-0010-0000-8A00-000009000000}" name="cmp"/>
    <tableColumn id="10" xr3:uid="{00000000-0010-0000-8A00-00000A000000}" name="p_yd"/>
    <tableColumn id="11" xr3:uid="{00000000-0010-0000-8A00-00000B000000}" name="p_td"/>
    <tableColumn id="12" xr3:uid="{00000000-0010-0000-8A00-00000C000000}" name="int"/>
    <tableColumn id="13" xr3:uid="{00000000-0010-0000-8A00-00000D000000}" name="car"/>
    <tableColumn id="14" xr3:uid="{00000000-0010-0000-8A00-00000E000000}" name="r_yd"/>
    <tableColumn id="15" xr3:uid="{00000000-0010-0000-8A00-00000F000000}" name="r_td"/>
    <tableColumn id="16" xr3:uid="{00000000-0010-0000-8A00-000010000000}" name="tgt"/>
    <tableColumn id="17" xr3:uid="{00000000-0010-0000-8A00-000011000000}" name="rec"/>
    <tableColumn id="18" xr3:uid="{00000000-0010-0000-8A00-000012000000}" name="rec_yd"/>
    <tableColumn id="19" xr3:uid="{00000000-0010-0000-8A00-000013000000}" name="rec_td"/>
    <tableColumn id="20" xr3:uid="{00000000-0010-0000-8A00-000014000000}" name="fmb"/>
    <tableColumn id="21" xr3:uid="{00000000-0010-0000-8A00-000015000000}" name="tp_c"/>
    <tableColumn id="22" xr3:uid="{00000000-0010-0000-8A00-000016000000}" name="f_ppr"/>
    <tableColumn id="23" xr3:uid="{00000000-0010-0000-8A00-000017000000}" name="tgt_share"/>
    <tableColumn id="24" xr3:uid="{00000000-0010-0000-8A00-000018000000}" name="ypc"/>
    <tableColumn id="25" xr3:uid="{00000000-0010-0000-8A00-000019000000}" name="ypr"/>
    <tableColumn id="26" xr3:uid="{00000000-0010-0000-8A00-00001A000000}" name="cmp_pct"/>
    <tableColumn id="27" xr3:uid="{00000000-0010-0000-8A00-00001B000000}" name="td_rate"/>
    <tableColumn id="28" xr3:uid="{00000000-0010-0000-8A00-00001C000000}" name="f_custom"/>
  </tableColumns>
  <tableStyleInfo name="TableStyleLight9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>
  <autoFilter ref="A75:AB81" xr:uid="{00000000-0009-0000-0100-00008E000000}"/>
  <tableColumns count="28">
    <tableColumn id="1" xr3:uid="{00000000-0010-0000-8B00-000001000000}" name="Name"/>
    <tableColumn id="2" xr3:uid="{00000000-0010-0000-8B00-000002000000}" name="POS"/>
    <tableColumn id="3" xr3:uid="{00000000-0010-0000-8B00-000003000000}" name="Age"/>
    <tableColumn id="4" xr3:uid="{00000000-0010-0000-8B00-000004000000}" name="Exp"/>
    <tableColumn id="5" xr3:uid="{00000000-0010-0000-8B00-000005000000}" name="College"/>
    <tableColumn id="6" xr3:uid="{00000000-0010-0000-8B00-000006000000}" name="team"/>
    <tableColumn id="7" xr3:uid="{00000000-0010-0000-8B00-000007000000}" name="g"/>
    <tableColumn id="8" xr3:uid="{00000000-0010-0000-8B00-000008000000}" name="p_att"/>
    <tableColumn id="9" xr3:uid="{00000000-0010-0000-8B00-000009000000}" name="cmp"/>
    <tableColumn id="10" xr3:uid="{00000000-0010-0000-8B00-00000A000000}" name="p_yd"/>
    <tableColumn id="11" xr3:uid="{00000000-0010-0000-8B00-00000B000000}" name="p_td"/>
    <tableColumn id="12" xr3:uid="{00000000-0010-0000-8B00-00000C000000}" name="int"/>
    <tableColumn id="13" xr3:uid="{00000000-0010-0000-8B00-00000D000000}" name="car"/>
    <tableColumn id="14" xr3:uid="{00000000-0010-0000-8B00-00000E000000}" name="r_yd"/>
    <tableColumn id="15" xr3:uid="{00000000-0010-0000-8B00-00000F000000}" name="r_td"/>
    <tableColumn id="16" xr3:uid="{00000000-0010-0000-8B00-000010000000}" name="tgt"/>
    <tableColumn id="17" xr3:uid="{00000000-0010-0000-8B00-000011000000}" name="rec"/>
    <tableColumn id="18" xr3:uid="{00000000-0010-0000-8B00-000012000000}" name="rec_yd"/>
    <tableColumn id="19" xr3:uid="{00000000-0010-0000-8B00-000013000000}" name="rec_td"/>
    <tableColumn id="20" xr3:uid="{00000000-0010-0000-8B00-000014000000}" name="fmb"/>
    <tableColumn id="21" xr3:uid="{00000000-0010-0000-8B00-000015000000}" name="tp_c"/>
    <tableColumn id="22" xr3:uid="{00000000-0010-0000-8B00-000016000000}" name="f_ppr"/>
    <tableColumn id="23" xr3:uid="{00000000-0010-0000-8B00-000017000000}" name="tgt_share"/>
    <tableColumn id="24" xr3:uid="{00000000-0010-0000-8B00-000018000000}" name="ypc"/>
    <tableColumn id="25" xr3:uid="{00000000-0010-0000-8B00-000019000000}" name="ypr"/>
    <tableColumn id="26" xr3:uid="{00000000-0010-0000-8B00-00001A000000}" name="cmp_pct"/>
    <tableColumn id="27" xr3:uid="{00000000-0010-0000-8B00-00001B000000}" name="td_rate"/>
    <tableColumn id="28" xr3:uid="{00000000-0010-0000-8B00-00001C000000}" name="f_custom"/>
  </tableColumns>
  <tableStyleInfo name="TableStyleLight9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X17" totalsRowShown="0">
  <autoFilter ref="A1:X17" xr:uid="{00000000-0009-0000-0100-00008F000000}"/>
  <tableColumns count="24">
    <tableColumn id="1" xr3:uid="{00000000-0010-0000-8C00-000001000000}" name="player_name"/>
    <tableColumn id="2" xr3:uid="{00000000-0010-0000-8C00-000002000000}" name="recent_team"/>
    <tableColumn id="3" xr3:uid="{00000000-0010-0000-8C00-000003000000}" name="pos"/>
    <tableColumn id="4" xr3:uid="{00000000-0010-0000-8C00-000004000000}" name="g"/>
    <tableColumn id="5" xr3:uid="{00000000-0010-0000-8C00-000005000000}" name="p_att"/>
    <tableColumn id="6" xr3:uid="{00000000-0010-0000-8C00-000006000000}" name="cmp"/>
    <tableColumn id="7" xr3:uid="{00000000-0010-0000-8C00-000007000000}" name="p_yd"/>
    <tableColumn id="8" xr3:uid="{00000000-0010-0000-8C00-000008000000}" name="p_td"/>
    <tableColumn id="9" xr3:uid="{00000000-0010-0000-8C00-000009000000}" name="int"/>
    <tableColumn id="10" xr3:uid="{00000000-0010-0000-8C00-00000A000000}" name="car"/>
    <tableColumn id="11" xr3:uid="{00000000-0010-0000-8C00-00000B000000}" name="r_yd"/>
    <tableColumn id="12" xr3:uid="{00000000-0010-0000-8C00-00000C000000}" name="r_td"/>
    <tableColumn id="13" xr3:uid="{00000000-0010-0000-8C00-00000D000000}" name="tgt"/>
    <tableColumn id="14" xr3:uid="{00000000-0010-0000-8C00-00000E000000}" name="rec"/>
    <tableColumn id="15" xr3:uid="{00000000-0010-0000-8C00-00000F000000}" name="rec_yd"/>
    <tableColumn id="16" xr3:uid="{00000000-0010-0000-8C00-000010000000}" name="rec_td"/>
    <tableColumn id="17" xr3:uid="{00000000-0010-0000-8C00-000011000000}" name="fmb"/>
    <tableColumn id="18" xr3:uid="{00000000-0010-0000-8C00-000012000000}" name="tp_c"/>
    <tableColumn id="19" xr3:uid="{00000000-0010-0000-8C00-000013000000}" name="f_ppr"/>
    <tableColumn id="20" xr3:uid="{00000000-0010-0000-8C00-000014000000}" name="tgt_share"/>
    <tableColumn id="21" xr3:uid="{00000000-0010-0000-8C00-000015000000}" name="ypc"/>
    <tableColumn id="22" xr3:uid="{00000000-0010-0000-8C00-000016000000}" name="ypr"/>
    <tableColumn id="23" xr3:uid="{00000000-0010-0000-8C00-000017000000}" name="cmp_pct"/>
    <tableColumn id="24" xr3:uid="{00000000-0010-0000-8C00-000018000000}" name="td_rate"/>
  </tableColumns>
  <tableStyleInfo name="TableStyleLight9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L31" totalsRowShown="0">
  <autoFilter ref="A30:L31" xr:uid="{00000000-0009-0000-0100-000090000000}"/>
  <tableColumns count="12">
    <tableColumn id="1" xr3:uid="{00000000-0010-0000-8D00-000001000000}" name="team"/>
    <tableColumn id="2" xr3:uid="{00000000-0010-0000-8D00-000002000000}" name="off_yd"/>
    <tableColumn id="3" xr3:uid="{00000000-0010-0000-8D00-000003000000}" name="p_yd"/>
    <tableColumn id="4" xr3:uid="{00000000-0010-0000-8D00-000004000000}" name="car"/>
    <tableColumn id="5" xr3:uid="{00000000-0010-0000-8D00-000005000000}" name="r_yd"/>
    <tableColumn id="6" xr3:uid="{00000000-0010-0000-8D00-000006000000}" name="r_td"/>
    <tableColumn id="7" xr3:uid="{00000000-0010-0000-8D00-000007000000}" name="p_ff"/>
    <tableColumn id="8" xr3:uid="{00000000-0010-0000-8D00-000008000000}" name="p_att"/>
    <tableColumn id="9" xr3:uid="{00000000-0010-0000-8D00-000009000000}" name="cmp_pct"/>
    <tableColumn id="10" xr3:uid="{00000000-0010-0000-8D00-00000A000000}" name="p_td"/>
    <tableColumn id="11" xr3:uid="{00000000-0010-0000-8D00-00000B000000}" name="int"/>
    <tableColumn id="12" xr3:uid="{00000000-0010-0000-8D00-00000C000000}" name="fmb"/>
  </tableColumns>
  <tableStyleInfo name="TableStyleLight9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L33" totalsRowShown="0">
  <autoFilter ref="A32:L33" xr:uid="{00000000-0009-0000-0100-000091000000}"/>
  <tableColumns count="12">
    <tableColumn id="1" xr3:uid="{00000000-0010-0000-8E00-000001000000}" name="team">
      <calculatedColumnFormula>A31</calculatedColumnFormula>
    </tableColumn>
    <tableColumn id="2" xr3:uid="{00000000-0010-0000-8E00-000002000000}" name="off_yd">
      <calculatedColumnFormula>C33 + E33</calculatedColumnFormula>
    </tableColumn>
    <tableColumn id="3" xr3:uid="{00000000-0010-0000-8E00-000003000000}" name="p_yd">
      <calculatedColumnFormula>SUM(INDIRECT(A33 &amp; "_Table4[[#All],[p_yd]]"))</calculatedColumnFormula>
    </tableColumn>
    <tableColumn id="4" xr3:uid="{00000000-0010-0000-8E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>
      <calculatedColumnFormula>SUM(INDIRECT(A33 &amp; "_Table4[[#All],[cmp]]"))/H33</calculatedColumnFormula>
    </tableColumn>
    <tableColumn id="10" xr3:uid="{00000000-0010-0000-8E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>
  <autoFilter ref="A35:AB38" xr:uid="{00000000-0009-0000-0100-000092000000}"/>
  <tableColumns count="28">
    <tableColumn id="1" xr3:uid="{00000000-0010-0000-8F00-000001000000}" name="Name"/>
    <tableColumn id="2" xr3:uid="{00000000-0010-0000-8F00-000002000000}" name="POS"/>
    <tableColumn id="3" xr3:uid="{00000000-0010-0000-8F00-000003000000}" name="Age"/>
    <tableColumn id="4" xr3:uid="{00000000-0010-0000-8F00-000004000000}" name="Exp"/>
    <tableColumn id="5" xr3:uid="{00000000-0010-0000-8F00-000005000000}" name="College"/>
    <tableColumn id="6" xr3:uid="{00000000-0010-0000-8F00-000006000000}" name="team"/>
    <tableColumn id="7" xr3:uid="{00000000-0010-0000-8F00-000007000000}" name="g"/>
    <tableColumn id="8" xr3:uid="{00000000-0010-0000-8F00-000008000000}" name="p_att"/>
    <tableColumn id="9" xr3:uid="{00000000-0010-0000-8F00-000009000000}" name="cmp"/>
    <tableColumn id="10" xr3:uid="{00000000-0010-0000-8F00-00000A000000}" name="p_yd"/>
    <tableColumn id="11" xr3:uid="{00000000-0010-0000-8F00-00000B000000}" name="p_td"/>
    <tableColumn id="12" xr3:uid="{00000000-0010-0000-8F00-00000C000000}" name="int"/>
    <tableColumn id="13" xr3:uid="{00000000-0010-0000-8F00-00000D000000}" name="car"/>
    <tableColumn id="14" xr3:uid="{00000000-0010-0000-8F00-00000E000000}" name="r_yd"/>
    <tableColumn id="15" xr3:uid="{00000000-0010-0000-8F00-00000F000000}" name="r_td"/>
    <tableColumn id="16" xr3:uid="{00000000-0010-0000-8F00-000010000000}" name="tgt"/>
    <tableColumn id="17" xr3:uid="{00000000-0010-0000-8F00-000011000000}" name="rec"/>
    <tableColumn id="18" xr3:uid="{00000000-0010-0000-8F00-000012000000}" name="rec_yd"/>
    <tableColumn id="19" xr3:uid="{00000000-0010-0000-8F00-000013000000}" name="rec_td"/>
    <tableColumn id="20" xr3:uid="{00000000-0010-0000-8F00-000014000000}" name="fmb"/>
    <tableColumn id="21" xr3:uid="{00000000-0010-0000-8F00-000015000000}" name="tp_c"/>
    <tableColumn id="22" xr3:uid="{00000000-0010-0000-8F00-000016000000}" name="f_ppr"/>
    <tableColumn id="23" xr3:uid="{00000000-0010-0000-8F00-000017000000}" name="tgt_share"/>
    <tableColumn id="24" xr3:uid="{00000000-0010-0000-8F00-000018000000}" name="ypc"/>
    <tableColumn id="25" xr3:uid="{00000000-0010-0000-8F00-000019000000}" name="ypr"/>
    <tableColumn id="26" xr3:uid="{00000000-0010-0000-8F00-00001A000000}" name="cmp_pct"/>
    <tableColumn id="27" xr3:uid="{00000000-0010-0000-8F00-00001B000000}" name="td_rate"/>
    <tableColumn id="28" xr3:uid="{00000000-0010-0000-8F00-00001C000000}" name="f_custom"/>
  </tableColumns>
  <tableStyleInfo name="TableStyleLight9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>
  <autoFilter ref="A45:AB51" xr:uid="{00000000-0009-0000-0100-000093000000}"/>
  <tableColumns count="28">
    <tableColumn id="1" xr3:uid="{00000000-0010-0000-9000-000001000000}" name="Name"/>
    <tableColumn id="2" xr3:uid="{00000000-0010-0000-9000-000002000000}" name="POS"/>
    <tableColumn id="3" xr3:uid="{00000000-0010-0000-9000-000003000000}" name="Age"/>
    <tableColumn id="4" xr3:uid="{00000000-0010-0000-9000-000004000000}" name="Exp"/>
    <tableColumn id="5" xr3:uid="{00000000-0010-0000-9000-000005000000}" name="College"/>
    <tableColumn id="6" xr3:uid="{00000000-0010-0000-9000-000006000000}" name="team"/>
    <tableColumn id="7" xr3:uid="{00000000-0010-0000-9000-000007000000}" name="g"/>
    <tableColumn id="8" xr3:uid="{00000000-0010-0000-9000-000008000000}" name="p_att"/>
    <tableColumn id="9" xr3:uid="{00000000-0010-0000-9000-000009000000}" name="cmp"/>
    <tableColumn id="10" xr3:uid="{00000000-0010-0000-9000-00000A000000}" name="p_yd"/>
    <tableColumn id="11" xr3:uid="{00000000-0010-0000-9000-00000B000000}" name="p_td"/>
    <tableColumn id="12" xr3:uid="{00000000-0010-0000-9000-00000C000000}" name="int"/>
    <tableColumn id="13" xr3:uid="{00000000-0010-0000-9000-00000D000000}" name="car"/>
    <tableColumn id="14" xr3:uid="{00000000-0010-0000-9000-00000E000000}" name="r_yd"/>
    <tableColumn id="15" xr3:uid="{00000000-0010-0000-9000-00000F000000}" name="r_td"/>
    <tableColumn id="16" xr3:uid="{00000000-0010-0000-9000-000010000000}" name="tgt"/>
    <tableColumn id="17" xr3:uid="{00000000-0010-0000-9000-000011000000}" name="rec"/>
    <tableColumn id="18" xr3:uid="{00000000-0010-0000-9000-000012000000}" name="rec_yd"/>
    <tableColumn id="19" xr3:uid="{00000000-0010-0000-9000-000013000000}" name="rec_td"/>
    <tableColumn id="20" xr3:uid="{00000000-0010-0000-9000-000014000000}" name="fmb"/>
    <tableColumn id="21" xr3:uid="{00000000-0010-0000-9000-000015000000}" name="tp_c"/>
    <tableColumn id="22" xr3:uid="{00000000-0010-0000-9000-000016000000}" name="f_ppr"/>
    <tableColumn id="23" xr3:uid="{00000000-0010-0000-9000-000017000000}" name="tgt_share"/>
    <tableColumn id="24" xr3:uid="{00000000-0010-0000-9000-000018000000}" name="ypc"/>
    <tableColumn id="25" xr3:uid="{00000000-0010-0000-9000-000019000000}" name="ypr"/>
    <tableColumn id="26" xr3:uid="{00000000-0010-0000-9000-00001A000000}" name="cmp_pct"/>
    <tableColumn id="27" xr3:uid="{00000000-0010-0000-9000-00001B000000}" name="td_rate"/>
    <tableColumn id="28" xr3:uid="{00000000-0010-0000-90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>
  <autoFilter ref="A60:AB73" xr:uid="{00000000-0009-0000-0100-000094000000}"/>
  <tableColumns count="28">
    <tableColumn id="1" xr3:uid="{00000000-0010-0000-9100-000001000000}" name="Name"/>
    <tableColumn id="2" xr3:uid="{00000000-0010-0000-9100-000002000000}" name="POS"/>
    <tableColumn id="3" xr3:uid="{00000000-0010-0000-9100-000003000000}" name="Age"/>
    <tableColumn id="4" xr3:uid="{00000000-0010-0000-9100-000004000000}" name="Exp"/>
    <tableColumn id="5" xr3:uid="{00000000-0010-0000-9100-000005000000}" name="College"/>
    <tableColumn id="6" xr3:uid="{00000000-0010-0000-9100-000006000000}" name="team"/>
    <tableColumn id="7" xr3:uid="{00000000-0010-0000-9100-000007000000}" name="g"/>
    <tableColumn id="8" xr3:uid="{00000000-0010-0000-9100-000008000000}" name="p_att"/>
    <tableColumn id="9" xr3:uid="{00000000-0010-0000-9100-000009000000}" name="cmp"/>
    <tableColumn id="10" xr3:uid="{00000000-0010-0000-9100-00000A000000}" name="p_yd"/>
    <tableColumn id="11" xr3:uid="{00000000-0010-0000-9100-00000B000000}" name="p_td"/>
    <tableColumn id="12" xr3:uid="{00000000-0010-0000-9100-00000C000000}" name="int"/>
    <tableColumn id="13" xr3:uid="{00000000-0010-0000-9100-00000D000000}" name="car"/>
    <tableColumn id="14" xr3:uid="{00000000-0010-0000-9100-00000E000000}" name="r_yd"/>
    <tableColumn id="15" xr3:uid="{00000000-0010-0000-9100-00000F000000}" name="r_td"/>
    <tableColumn id="16" xr3:uid="{00000000-0010-0000-9100-000010000000}" name="tgt"/>
    <tableColumn id="17" xr3:uid="{00000000-0010-0000-9100-000011000000}" name="rec"/>
    <tableColumn id="18" xr3:uid="{00000000-0010-0000-9100-000012000000}" name="rec_yd"/>
    <tableColumn id="19" xr3:uid="{00000000-0010-0000-9100-000013000000}" name="rec_td"/>
    <tableColumn id="20" xr3:uid="{00000000-0010-0000-9100-000014000000}" name="fmb"/>
    <tableColumn id="21" xr3:uid="{00000000-0010-0000-9100-000015000000}" name="tp_c"/>
    <tableColumn id="22" xr3:uid="{00000000-0010-0000-9100-000016000000}" name="f_ppr"/>
    <tableColumn id="23" xr3:uid="{00000000-0010-0000-9100-000017000000}" name="tgt_share"/>
    <tableColumn id="24" xr3:uid="{00000000-0010-0000-9100-000018000000}" name="ypc"/>
    <tableColumn id="25" xr3:uid="{00000000-0010-0000-9100-000019000000}" name="ypr"/>
    <tableColumn id="26" xr3:uid="{00000000-0010-0000-9100-00001A000000}" name="cmp_pct"/>
    <tableColumn id="27" xr3:uid="{00000000-0010-0000-9100-00001B000000}" name="td_rate"/>
    <tableColumn id="28" xr3:uid="{00000000-0010-0000-9100-00001C000000}" name="f_custom"/>
  </tableColumns>
  <tableStyleInfo name="TableStyleLight9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>
  <autoFilter ref="A75:AB81" xr:uid="{00000000-0009-0000-0100-000095000000}"/>
  <tableColumns count="28">
    <tableColumn id="1" xr3:uid="{00000000-0010-0000-9200-000001000000}" name="Name"/>
    <tableColumn id="2" xr3:uid="{00000000-0010-0000-9200-000002000000}" name="POS"/>
    <tableColumn id="3" xr3:uid="{00000000-0010-0000-9200-000003000000}" name="Age"/>
    <tableColumn id="4" xr3:uid="{00000000-0010-0000-9200-000004000000}" name="Exp"/>
    <tableColumn id="5" xr3:uid="{00000000-0010-0000-9200-000005000000}" name="College"/>
    <tableColumn id="6" xr3:uid="{00000000-0010-0000-9200-000006000000}" name="team"/>
    <tableColumn id="7" xr3:uid="{00000000-0010-0000-9200-000007000000}" name="g"/>
    <tableColumn id="8" xr3:uid="{00000000-0010-0000-9200-000008000000}" name="p_att"/>
    <tableColumn id="9" xr3:uid="{00000000-0010-0000-9200-000009000000}" name="cmp"/>
    <tableColumn id="10" xr3:uid="{00000000-0010-0000-9200-00000A000000}" name="p_yd"/>
    <tableColumn id="11" xr3:uid="{00000000-0010-0000-9200-00000B000000}" name="p_td"/>
    <tableColumn id="12" xr3:uid="{00000000-0010-0000-9200-00000C000000}" name="int"/>
    <tableColumn id="13" xr3:uid="{00000000-0010-0000-9200-00000D000000}" name="car"/>
    <tableColumn id="14" xr3:uid="{00000000-0010-0000-9200-00000E000000}" name="r_yd"/>
    <tableColumn id="15" xr3:uid="{00000000-0010-0000-9200-00000F000000}" name="r_td"/>
    <tableColumn id="16" xr3:uid="{00000000-0010-0000-9200-000010000000}" name="tgt"/>
    <tableColumn id="17" xr3:uid="{00000000-0010-0000-9200-000011000000}" name="rec"/>
    <tableColumn id="18" xr3:uid="{00000000-0010-0000-9200-000012000000}" name="rec_yd"/>
    <tableColumn id="19" xr3:uid="{00000000-0010-0000-9200-000013000000}" name="rec_td"/>
    <tableColumn id="20" xr3:uid="{00000000-0010-0000-9200-000014000000}" name="fmb"/>
    <tableColumn id="21" xr3:uid="{00000000-0010-0000-9200-000015000000}" name="tp_c"/>
    <tableColumn id="22" xr3:uid="{00000000-0010-0000-9200-000016000000}" name="f_ppr"/>
    <tableColumn id="23" xr3:uid="{00000000-0010-0000-9200-000017000000}" name="tgt_share"/>
    <tableColumn id="24" xr3:uid="{00000000-0010-0000-9200-000018000000}" name="ypc"/>
    <tableColumn id="25" xr3:uid="{00000000-0010-0000-9200-000019000000}" name="ypr"/>
    <tableColumn id="26" xr3:uid="{00000000-0010-0000-9200-00001A000000}" name="cmp_pct"/>
    <tableColumn id="27" xr3:uid="{00000000-0010-0000-9200-00001B000000}" name="td_rate"/>
    <tableColumn id="28" xr3:uid="{00000000-0010-0000-9200-00001C000000}" name="f_custom"/>
  </tableColumns>
  <tableStyleInfo name="TableStyleLight9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X18" totalsRowShown="0">
  <autoFilter ref="A1:X18" xr:uid="{00000000-0009-0000-0100-000096000000}"/>
  <tableColumns count="24">
    <tableColumn id="1" xr3:uid="{00000000-0010-0000-9300-000001000000}" name="player_name"/>
    <tableColumn id="2" xr3:uid="{00000000-0010-0000-9300-000002000000}" name="recent_team"/>
    <tableColumn id="3" xr3:uid="{00000000-0010-0000-9300-000003000000}" name="pos"/>
    <tableColumn id="4" xr3:uid="{00000000-0010-0000-9300-000004000000}" name="g"/>
    <tableColumn id="5" xr3:uid="{00000000-0010-0000-9300-000005000000}" name="p_att"/>
    <tableColumn id="6" xr3:uid="{00000000-0010-0000-9300-000006000000}" name="cmp"/>
    <tableColumn id="7" xr3:uid="{00000000-0010-0000-9300-000007000000}" name="p_yd"/>
    <tableColumn id="8" xr3:uid="{00000000-0010-0000-9300-000008000000}" name="p_td"/>
    <tableColumn id="9" xr3:uid="{00000000-0010-0000-9300-000009000000}" name="int"/>
    <tableColumn id="10" xr3:uid="{00000000-0010-0000-9300-00000A000000}" name="car"/>
    <tableColumn id="11" xr3:uid="{00000000-0010-0000-9300-00000B000000}" name="r_yd"/>
    <tableColumn id="12" xr3:uid="{00000000-0010-0000-9300-00000C000000}" name="r_td"/>
    <tableColumn id="13" xr3:uid="{00000000-0010-0000-9300-00000D000000}" name="tgt"/>
    <tableColumn id="14" xr3:uid="{00000000-0010-0000-9300-00000E000000}" name="rec"/>
    <tableColumn id="15" xr3:uid="{00000000-0010-0000-9300-00000F000000}" name="rec_yd"/>
    <tableColumn id="16" xr3:uid="{00000000-0010-0000-9300-000010000000}" name="rec_td"/>
    <tableColumn id="17" xr3:uid="{00000000-0010-0000-9300-000011000000}" name="fmb"/>
    <tableColumn id="18" xr3:uid="{00000000-0010-0000-9300-000012000000}" name="tp_c"/>
    <tableColumn id="19" xr3:uid="{00000000-0010-0000-9300-000013000000}" name="f_ppr"/>
    <tableColumn id="20" xr3:uid="{00000000-0010-0000-9300-000014000000}" name="tgt_share"/>
    <tableColumn id="21" xr3:uid="{00000000-0010-0000-9300-000015000000}" name="ypc"/>
    <tableColumn id="22" xr3:uid="{00000000-0010-0000-9300-000016000000}" name="ypr"/>
    <tableColumn id="23" xr3:uid="{00000000-0010-0000-9300-000017000000}" name="cmp_pct"/>
    <tableColumn id="24" xr3:uid="{00000000-0010-0000-9300-000018000000}" name="td_rate"/>
  </tableColumns>
  <tableStyleInfo name="TableStyleLight9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L31" totalsRowShown="0">
  <autoFilter ref="A30:L31" xr:uid="{00000000-0009-0000-0100-000097000000}"/>
  <tableColumns count="12">
    <tableColumn id="1" xr3:uid="{00000000-0010-0000-9400-000001000000}" name="team"/>
    <tableColumn id="2" xr3:uid="{00000000-0010-0000-9400-000002000000}" name="off_yd"/>
    <tableColumn id="3" xr3:uid="{00000000-0010-0000-9400-000003000000}" name="p_yd"/>
    <tableColumn id="4" xr3:uid="{00000000-0010-0000-9400-000004000000}" name="car"/>
    <tableColumn id="5" xr3:uid="{00000000-0010-0000-9400-000005000000}" name="r_yd"/>
    <tableColumn id="6" xr3:uid="{00000000-0010-0000-9400-000006000000}" name="r_td"/>
    <tableColumn id="7" xr3:uid="{00000000-0010-0000-9400-000007000000}" name="p_ff"/>
    <tableColumn id="8" xr3:uid="{00000000-0010-0000-9400-000008000000}" name="p_att"/>
    <tableColumn id="9" xr3:uid="{00000000-0010-0000-9400-000009000000}" name="cmp_pct"/>
    <tableColumn id="10" xr3:uid="{00000000-0010-0000-9400-00000A000000}" name="p_td"/>
    <tableColumn id="11" xr3:uid="{00000000-0010-0000-9400-00000B000000}" name="int"/>
    <tableColumn id="12" xr3:uid="{00000000-0010-0000-9400-00000C000000}" name="fmb"/>
  </tableColumns>
  <tableStyleInfo name="TableStyleLight9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L33" totalsRowShown="0">
  <autoFilter ref="A32:L33" xr:uid="{00000000-0009-0000-0100-000098000000}"/>
  <tableColumns count="12">
    <tableColumn id="1" xr3:uid="{00000000-0010-0000-9500-000001000000}" name="team">
      <calculatedColumnFormula>A31</calculatedColumnFormula>
    </tableColumn>
    <tableColumn id="2" xr3:uid="{00000000-0010-0000-9500-000002000000}" name="off_yd">
      <calculatedColumnFormula>C33 + E33</calculatedColumnFormula>
    </tableColumn>
    <tableColumn id="3" xr3:uid="{00000000-0010-0000-9500-000003000000}" name="p_yd">
      <calculatedColumnFormula>SUM(INDIRECT(A33 &amp; "_Table4[[#All],[p_yd]]"))</calculatedColumnFormula>
    </tableColumn>
    <tableColumn id="4" xr3:uid="{00000000-0010-0000-95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>
      <calculatedColumnFormula>SUM(INDIRECT(A33 &amp; "_Table4[[#All],[cmp]]"))/H33</calculatedColumnFormula>
    </tableColumn>
    <tableColumn id="10" xr3:uid="{00000000-0010-0000-95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>
  <autoFilter ref="A35:AB39" xr:uid="{00000000-0009-0000-0100-000099000000}"/>
  <tableColumns count="28">
    <tableColumn id="1" xr3:uid="{00000000-0010-0000-9600-000001000000}" name="Name"/>
    <tableColumn id="2" xr3:uid="{00000000-0010-0000-9600-000002000000}" name="POS"/>
    <tableColumn id="3" xr3:uid="{00000000-0010-0000-9600-000003000000}" name="Age"/>
    <tableColumn id="4" xr3:uid="{00000000-0010-0000-9600-000004000000}" name="Exp"/>
    <tableColumn id="5" xr3:uid="{00000000-0010-0000-9600-000005000000}" name="College"/>
    <tableColumn id="6" xr3:uid="{00000000-0010-0000-9600-000006000000}" name="team"/>
    <tableColumn id="7" xr3:uid="{00000000-0010-0000-9600-000007000000}" name="g"/>
    <tableColumn id="8" xr3:uid="{00000000-0010-0000-9600-000008000000}" name="p_att"/>
    <tableColumn id="9" xr3:uid="{00000000-0010-0000-9600-000009000000}" name="cmp"/>
    <tableColumn id="10" xr3:uid="{00000000-0010-0000-9600-00000A000000}" name="p_yd"/>
    <tableColumn id="11" xr3:uid="{00000000-0010-0000-9600-00000B000000}" name="p_td"/>
    <tableColumn id="12" xr3:uid="{00000000-0010-0000-9600-00000C000000}" name="int"/>
    <tableColumn id="13" xr3:uid="{00000000-0010-0000-9600-00000D000000}" name="car"/>
    <tableColumn id="14" xr3:uid="{00000000-0010-0000-9600-00000E000000}" name="r_yd"/>
    <tableColumn id="15" xr3:uid="{00000000-0010-0000-9600-00000F000000}" name="r_td"/>
    <tableColumn id="16" xr3:uid="{00000000-0010-0000-9600-000010000000}" name="tgt"/>
    <tableColumn id="17" xr3:uid="{00000000-0010-0000-9600-000011000000}" name="rec"/>
    <tableColumn id="18" xr3:uid="{00000000-0010-0000-9600-000012000000}" name="rec_yd"/>
    <tableColumn id="19" xr3:uid="{00000000-0010-0000-9600-000013000000}" name="rec_td"/>
    <tableColumn id="20" xr3:uid="{00000000-0010-0000-9600-000014000000}" name="fmb"/>
    <tableColumn id="21" xr3:uid="{00000000-0010-0000-9600-000015000000}" name="tp_c"/>
    <tableColumn id="22" xr3:uid="{00000000-0010-0000-9600-000016000000}" name="f_ppr"/>
    <tableColumn id="23" xr3:uid="{00000000-0010-0000-9600-000017000000}" name="tgt_share"/>
    <tableColumn id="24" xr3:uid="{00000000-0010-0000-9600-000018000000}" name="ypc"/>
    <tableColumn id="25" xr3:uid="{00000000-0010-0000-9600-000019000000}" name="ypr"/>
    <tableColumn id="26" xr3:uid="{00000000-0010-0000-9600-00001A000000}" name="cmp_pct"/>
    <tableColumn id="27" xr3:uid="{00000000-0010-0000-9600-00001B000000}" name="td_rate"/>
    <tableColumn id="28" xr3:uid="{00000000-0010-0000-9600-00001C000000}" name="f_custom"/>
  </tableColumns>
  <tableStyleInfo name="TableStyleLight9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>
  <autoFilter ref="A45:AB51" xr:uid="{00000000-0009-0000-0100-00009A000000}"/>
  <tableColumns count="28">
    <tableColumn id="1" xr3:uid="{00000000-0010-0000-9700-000001000000}" name="Name"/>
    <tableColumn id="2" xr3:uid="{00000000-0010-0000-9700-000002000000}" name="POS"/>
    <tableColumn id="3" xr3:uid="{00000000-0010-0000-9700-000003000000}" name="Age"/>
    <tableColumn id="4" xr3:uid="{00000000-0010-0000-9700-000004000000}" name="Exp"/>
    <tableColumn id="5" xr3:uid="{00000000-0010-0000-9700-000005000000}" name="College"/>
    <tableColumn id="6" xr3:uid="{00000000-0010-0000-9700-000006000000}" name="team"/>
    <tableColumn id="7" xr3:uid="{00000000-0010-0000-9700-000007000000}" name="g"/>
    <tableColumn id="8" xr3:uid="{00000000-0010-0000-9700-000008000000}" name="p_att"/>
    <tableColumn id="9" xr3:uid="{00000000-0010-0000-9700-000009000000}" name="cmp"/>
    <tableColumn id="10" xr3:uid="{00000000-0010-0000-9700-00000A000000}" name="p_yd"/>
    <tableColumn id="11" xr3:uid="{00000000-0010-0000-9700-00000B000000}" name="p_td"/>
    <tableColumn id="12" xr3:uid="{00000000-0010-0000-9700-00000C000000}" name="int"/>
    <tableColumn id="13" xr3:uid="{00000000-0010-0000-9700-00000D000000}" name="car"/>
    <tableColumn id="14" xr3:uid="{00000000-0010-0000-9700-00000E000000}" name="r_yd"/>
    <tableColumn id="15" xr3:uid="{00000000-0010-0000-9700-00000F000000}" name="r_td"/>
    <tableColumn id="16" xr3:uid="{00000000-0010-0000-9700-000010000000}" name="tgt"/>
    <tableColumn id="17" xr3:uid="{00000000-0010-0000-9700-000011000000}" name="rec"/>
    <tableColumn id="18" xr3:uid="{00000000-0010-0000-9700-000012000000}" name="rec_yd"/>
    <tableColumn id="19" xr3:uid="{00000000-0010-0000-9700-000013000000}" name="rec_td"/>
    <tableColumn id="20" xr3:uid="{00000000-0010-0000-9700-000014000000}" name="fmb"/>
    <tableColumn id="21" xr3:uid="{00000000-0010-0000-9700-000015000000}" name="tp_c"/>
    <tableColumn id="22" xr3:uid="{00000000-0010-0000-9700-000016000000}" name="f_ppr"/>
    <tableColumn id="23" xr3:uid="{00000000-0010-0000-9700-000017000000}" name="tgt_share"/>
    <tableColumn id="24" xr3:uid="{00000000-0010-0000-9700-000018000000}" name="ypc"/>
    <tableColumn id="25" xr3:uid="{00000000-0010-0000-9700-000019000000}" name="ypr"/>
    <tableColumn id="26" xr3:uid="{00000000-0010-0000-9700-00001A000000}" name="cmp_pct"/>
    <tableColumn id="27" xr3:uid="{00000000-0010-0000-9700-00001B000000}" name="td_rate"/>
    <tableColumn id="28" xr3:uid="{00000000-0010-0000-97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>
  <autoFilter ref="A60:AB72" xr:uid="{00000000-0009-0000-0100-00009B000000}"/>
  <tableColumns count="28">
    <tableColumn id="1" xr3:uid="{00000000-0010-0000-9800-000001000000}" name="Name"/>
    <tableColumn id="2" xr3:uid="{00000000-0010-0000-9800-000002000000}" name="POS"/>
    <tableColumn id="3" xr3:uid="{00000000-0010-0000-9800-000003000000}" name="Age"/>
    <tableColumn id="4" xr3:uid="{00000000-0010-0000-9800-000004000000}" name="Exp"/>
    <tableColumn id="5" xr3:uid="{00000000-0010-0000-9800-000005000000}" name="College"/>
    <tableColumn id="6" xr3:uid="{00000000-0010-0000-9800-000006000000}" name="team"/>
    <tableColumn id="7" xr3:uid="{00000000-0010-0000-9800-000007000000}" name="g"/>
    <tableColumn id="8" xr3:uid="{00000000-0010-0000-9800-000008000000}" name="p_att"/>
    <tableColumn id="9" xr3:uid="{00000000-0010-0000-9800-000009000000}" name="cmp"/>
    <tableColumn id="10" xr3:uid="{00000000-0010-0000-9800-00000A000000}" name="p_yd"/>
    <tableColumn id="11" xr3:uid="{00000000-0010-0000-9800-00000B000000}" name="p_td"/>
    <tableColumn id="12" xr3:uid="{00000000-0010-0000-9800-00000C000000}" name="int"/>
    <tableColumn id="13" xr3:uid="{00000000-0010-0000-9800-00000D000000}" name="car"/>
    <tableColumn id="14" xr3:uid="{00000000-0010-0000-9800-00000E000000}" name="r_yd"/>
    <tableColumn id="15" xr3:uid="{00000000-0010-0000-9800-00000F000000}" name="r_td"/>
    <tableColumn id="16" xr3:uid="{00000000-0010-0000-9800-000010000000}" name="tgt"/>
    <tableColumn id="17" xr3:uid="{00000000-0010-0000-9800-000011000000}" name="rec"/>
    <tableColumn id="18" xr3:uid="{00000000-0010-0000-9800-000012000000}" name="rec_yd"/>
    <tableColumn id="19" xr3:uid="{00000000-0010-0000-9800-000013000000}" name="rec_td"/>
    <tableColumn id="20" xr3:uid="{00000000-0010-0000-9800-000014000000}" name="fmb"/>
    <tableColumn id="21" xr3:uid="{00000000-0010-0000-9800-000015000000}" name="tp_c"/>
    <tableColumn id="22" xr3:uid="{00000000-0010-0000-9800-000016000000}" name="f_ppr"/>
    <tableColumn id="23" xr3:uid="{00000000-0010-0000-9800-000017000000}" name="tgt_share"/>
    <tableColumn id="24" xr3:uid="{00000000-0010-0000-9800-000018000000}" name="ypc"/>
    <tableColumn id="25" xr3:uid="{00000000-0010-0000-9800-000019000000}" name="ypr"/>
    <tableColumn id="26" xr3:uid="{00000000-0010-0000-9800-00001A000000}" name="cmp_pct"/>
    <tableColumn id="27" xr3:uid="{00000000-0010-0000-9800-00001B000000}" name="td_rate"/>
    <tableColumn id="28" xr3:uid="{00000000-0010-0000-9800-00001C000000}" name="f_custom"/>
  </tableColumns>
  <tableStyleInfo name="TableStyleLight9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>
  <autoFilter ref="A75:AB81" xr:uid="{00000000-0009-0000-0100-00009C000000}"/>
  <tableColumns count="28">
    <tableColumn id="1" xr3:uid="{00000000-0010-0000-9900-000001000000}" name="Name"/>
    <tableColumn id="2" xr3:uid="{00000000-0010-0000-9900-000002000000}" name="POS"/>
    <tableColumn id="3" xr3:uid="{00000000-0010-0000-9900-000003000000}" name="Age"/>
    <tableColumn id="4" xr3:uid="{00000000-0010-0000-9900-000004000000}" name="Exp"/>
    <tableColumn id="5" xr3:uid="{00000000-0010-0000-9900-000005000000}" name="College"/>
    <tableColumn id="6" xr3:uid="{00000000-0010-0000-9900-000006000000}" name="team"/>
    <tableColumn id="7" xr3:uid="{00000000-0010-0000-9900-000007000000}" name="g"/>
    <tableColumn id="8" xr3:uid="{00000000-0010-0000-9900-000008000000}" name="p_att"/>
    <tableColumn id="9" xr3:uid="{00000000-0010-0000-9900-000009000000}" name="cmp"/>
    <tableColumn id="10" xr3:uid="{00000000-0010-0000-9900-00000A000000}" name="p_yd"/>
    <tableColumn id="11" xr3:uid="{00000000-0010-0000-9900-00000B000000}" name="p_td"/>
    <tableColumn id="12" xr3:uid="{00000000-0010-0000-9900-00000C000000}" name="int"/>
    <tableColumn id="13" xr3:uid="{00000000-0010-0000-9900-00000D000000}" name="car"/>
    <tableColumn id="14" xr3:uid="{00000000-0010-0000-9900-00000E000000}" name="r_yd"/>
    <tableColumn id="15" xr3:uid="{00000000-0010-0000-9900-00000F000000}" name="r_td"/>
    <tableColumn id="16" xr3:uid="{00000000-0010-0000-9900-000010000000}" name="tgt"/>
    <tableColumn id="17" xr3:uid="{00000000-0010-0000-9900-000011000000}" name="rec"/>
    <tableColumn id="18" xr3:uid="{00000000-0010-0000-9900-000012000000}" name="rec_yd"/>
    <tableColumn id="19" xr3:uid="{00000000-0010-0000-9900-000013000000}" name="rec_td"/>
    <tableColumn id="20" xr3:uid="{00000000-0010-0000-9900-000014000000}" name="fmb"/>
    <tableColumn id="21" xr3:uid="{00000000-0010-0000-9900-000015000000}" name="tp_c"/>
    <tableColumn id="22" xr3:uid="{00000000-0010-0000-9900-000016000000}" name="f_ppr"/>
    <tableColumn id="23" xr3:uid="{00000000-0010-0000-9900-000017000000}" name="tgt_share"/>
    <tableColumn id="24" xr3:uid="{00000000-0010-0000-9900-000018000000}" name="ypc"/>
    <tableColumn id="25" xr3:uid="{00000000-0010-0000-9900-000019000000}" name="ypr"/>
    <tableColumn id="26" xr3:uid="{00000000-0010-0000-9900-00001A000000}" name="cmp_pct"/>
    <tableColumn id="27" xr3:uid="{00000000-0010-0000-9900-00001B000000}" name="td_rate"/>
    <tableColumn id="28" xr3:uid="{00000000-0010-0000-9900-00001C000000}" name="f_custom"/>
  </tableColumns>
  <tableStyleInfo name="TableStyleLight9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X25" totalsRowShown="0">
  <autoFilter ref="A1:X25" xr:uid="{00000000-0009-0000-0100-00009D000000}"/>
  <tableColumns count="24">
    <tableColumn id="1" xr3:uid="{00000000-0010-0000-9A00-000001000000}" name="player_name"/>
    <tableColumn id="2" xr3:uid="{00000000-0010-0000-9A00-000002000000}" name="recent_team"/>
    <tableColumn id="3" xr3:uid="{00000000-0010-0000-9A00-000003000000}" name="pos"/>
    <tableColumn id="4" xr3:uid="{00000000-0010-0000-9A00-000004000000}" name="g"/>
    <tableColumn id="5" xr3:uid="{00000000-0010-0000-9A00-000005000000}" name="p_att"/>
    <tableColumn id="6" xr3:uid="{00000000-0010-0000-9A00-000006000000}" name="cmp"/>
    <tableColumn id="7" xr3:uid="{00000000-0010-0000-9A00-000007000000}" name="p_yd"/>
    <tableColumn id="8" xr3:uid="{00000000-0010-0000-9A00-000008000000}" name="p_td"/>
    <tableColumn id="9" xr3:uid="{00000000-0010-0000-9A00-000009000000}" name="int"/>
    <tableColumn id="10" xr3:uid="{00000000-0010-0000-9A00-00000A000000}" name="car"/>
    <tableColumn id="11" xr3:uid="{00000000-0010-0000-9A00-00000B000000}" name="r_yd"/>
    <tableColumn id="12" xr3:uid="{00000000-0010-0000-9A00-00000C000000}" name="r_td"/>
    <tableColumn id="13" xr3:uid="{00000000-0010-0000-9A00-00000D000000}" name="tgt"/>
    <tableColumn id="14" xr3:uid="{00000000-0010-0000-9A00-00000E000000}" name="rec"/>
    <tableColumn id="15" xr3:uid="{00000000-0010-0000-9A00-00000F000000}" name="rec_yd"/>
    <tableColumn id="16" xr3:uid="{00000000-0010-0000-9A00-000010000000}" name="rec_td"/>
    <tableColumn id="17" xr3:uid="{00000000-0010-0000-9A00-000011000000}" name="fmb"/>
    <tableColumn id="18" xr3:uid="{00000000-0010-0000-9A00-000012000000}" name="tp_c"/>
    <tableColumn id="19" xr3:uid="{00000000-0010-0000-9A00-000013000000}" name="f_ppr"/>
    <tableColumn id="20" xr3:uid="{00000000-0010-0000-9A00-000014000000}" name="tgt_share"/>
    <tableColumn id="21" xr3:uid="{00000000-0010-0000-9A00-000015000000}" name="ypc"/>
    <tableColumn id="22" xr3:uid="{00000000-0010-0000-9A00-000016000000}" name="ypr"/>
    <tableColumn id="23" xr3:uid="{00000000-0010-0000-9A00-000017000000}" name="cmp_pct"/>
    <tableColumn id="24" xr3:uid="{00000000-0010-0000-9A00-000018000000}" name="td_rate"/>
  </tableColumns>
  <tableStyleInfo name="TableStyleLight9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L31" totalsRowShown="0">
  <autoFilter ref="A30:L31" xr:uid="{00000000-0009-0000-0100-00009E000000}"/>
  <tableColumns count="12">
    <tableColumn id="1" xr3:uid="{00000000-0010-0000-9B00-000001000000}" name="team"/>
    <tableColumn id="2" xr3:uid="{00000000-0010-0000-9B00-000002000000}" name="off_yd"/>
    <tableColumn id="3" xr3:uid="{00000000-0010-0000-9B00-000003000000}" name="p_yd"/>
    <tableColumn id="4" xr3:uid="{00000000-0010-0000-9B00-000004000000}" name="car"/>
    <tableColumn id="5" xr3:uid="{00000000-0010-0000-9B00-000005000000}" name="r_yd"/>
    <tableColumn id="6" xr3:uid="{00000000-0010-0000-9B00-000006000000}" name="r_td"/>
    <tableColumn id="7" xr3:uid="{00000000-0010-0000-9B00-000007000000}" name="p_ff"/>
    <tableColumn id="8" xr3:uid="{00000000-0010-0000-9B00-000008000000}" name="p_att"/>
    <tableColumn id="9" xr3:uid="{00000000-0010-0000-9B00-000009000000}" name="cmp_pct"/>
    <tableColumn id="10" xr3:uid="{00000000-0010-0000-9B00-00000A000000}" name="p_td"/>
    <tableColumn id="11" xr3:uid="{00000000-0010-0000-9B00-00000B000000}" name="int"/>
    <tableColumn id="12" xr3:uid="{00000000-0010-0000-9B00-00000C000000}" name="fmb"/>
  </tableColumns>
  <tableStyleInfo name="TableStyleLight9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L33" totalsRowShown="0">
  <autoFilter ref="A32:L33" xr:uid="{00000000-0009-0000-0100-00009F000000}"/>
  <tableColumns count="12">
    <tableColumn id="1" xr3:uid="{00000000-0010-0000-9C00-000001000000}" name="team">
      <calculatedColumnFormula>A31</calculatedColumnFormula>
    </tableColumn>
    <tableColumn id="2" xr3:uid="{00000000-0010-0000-9C00-000002000000}" name="off_yd">
      <calculatedColumnFormula>C33 + E33</calculatedColumnFormula>
    </tableColumn>
    <tableColumn id="3" xr3:uid="{00000000-0010-0000-9C00-000003000000}" name="p_yd">
      <calculatedColumnFormula>SUM(INDIRECT(A33 &amp; "_Table4[[#All],[p_yd]]"))</calculatedColumnFormula>
    </tableColumn>
    <tableColumn id="4" xr3:uid="{00000000-0010-0000-9C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>
      <calculatedColumnFormula>SUM(INDIRECT(A33 &amp; "_Table4[[#All],[cmp]]"))/H33</calculatedColumnFormula>
    </tableColumn>
    <tableColumn id="10" xr3:uid="{00000000-0010-0000-9C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>
  <autoFilter ref="A35:AB38" xr:uid="{00000000-0009-0000-0100-0000A0000000}"/>
  <tableColumns count="28">
    <tableColumn id="1" xr3:uid="{00000000-0010-0000-9D00-000001000000}" name="Name"/>
    <tableColumn id="2" xr3:uid="{00000000-0010-0000-9D00-000002000000}" name="POS"/>
    <tableColumn id="3" xr3:uid="{00000000-0010-0000-9D00-000003000000}" name="Age"/>
    <tableColumn id="4" xr3:uid="{00000000-0010-0000-9D00-000004000000}" name="Exp"/>
    <tableColumn id="5" xr3:uid="{00000000-0010-0000-9D00-000005000000}" name="College"/>
    <tableColumn id="6" xr3:uid="{00000000-0010-0000-9D00-000006000000}" name="team"/>
    <tableColumn id="7" xr3:uid="{00000000-0010-0000-9D00-000007000000}" name="g"/>
    <tableColumn id="8" xr3:uid="{00000000-0010-0000-9D00-000008000000}" name="p_att"/>
    <tableColumn id="9" xr3:uid="{00000000-0010-0000-9D00-000009000000}" name="cmp"/>
    <tableColumn id="10" xr3:uid="{00000000-0010-0000-9D00-00000A000000}" name="p_yd"/>
    <tableColumn id="11" xr3:uid="{00000000-0010-0000-9D00-00000B000000}" name="p_td"/>
    <tableColumn id="12" xr3:uid="{00000000-0010-0000-9D00-00000C000000}" name="int"/>
    <tableColumn id="13" xr3:uid="{00000000-0010-0000-9D00-00000D000000}" name="car"/>
    <tableColumn id="14" xr3:uid="{00000000-0010-0000-9D00-00000E000000}" name="r_yd"/>
    <tableColumn id="15" xr3:uid="{00000000-0010-0000-9D00-00000F000000}" name="r_td"/>
    <tableColumn id="16" xr3:uid="{00000000-0010-0000-9D00-000010000000}" name="tgt"/>
    <tableColumn id="17" xr3:uid="{00000000-0010-0000-9D00-000011000000}" name="rec"/>
    <tableColumn id="18" xr3:uid="{00000000-0010-0000-9D00-000012000000}" name="rec_yd"/>
    <tableColumn id="19" xr3:uid="{00000000-0010-0000-9D00-000013000000}" name="rec_td"/>
    <tableColumn id="20" xr3:uid="{00000000-0010-0000-9D00-000014000000}" name="fmb"/>
    <tableColumn id="21" xr3:uid="{00000000-0010-0000-9D00-000015000000}" name="tp_c"/>
    <tableColumn id="22" xr3:uid="{00000000-0010-0000-9D00-000016000000}" name="f_ppr"/>
    <tableColumn id="23" xr3:uid="{00000000-0010-0000-9D00-000017000000}" name="tgt_share"/>
    <tableColumn id="24" xr3:uid="{00000000-0010-0000-9D00-000018000000}" name="ypc"/>
    <tableColumn id="25" xr3:uid="{00000000-0010-0000-9D00-000019000000}" name="ypr"/>
    <tableColumn id="26" xr3:uid="{00000000-0010-0000-9D00-00001A000000}" name="cmp_pct"/>
    <tableColumn id="27" xr3:uid="{00000000-0010-0000-9D00-00001B000000}" name="td_rate"/>
    <tableColumn id="28" xr3:uid="{00000000-0010-0000-9D00-00001C000000}" name="f_custom"/>
  </tableColumns>
  <tableStyleInfo name="TableStyleLight9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>
  <autoFilter ref="A45:AB52" xr:uid="{00000000-0009-0000-0100-0000A1000000}"/>
  <tableColumns count="28">
    <tableColumn id="1" xr3:uid="{00000000-0010-0000-9E00-000001000000}" name="Name"/>
    <tableColumn id="2" xr3:uid="{00000000-0010-0000-9E00-000002000000}" name="POS"/>
    <tableColumn id="3" xr3:uid="{00000000-0010-0000-9E00-000003000000}" name="Age"/>
    <tableColumn id="4" xr3:uid="{00000000-0010-0000-9E00-000004000000}" name="Exp"/>
    <tableColumn id="5" xr3:uid="{00000000-0010-0000-9E00-000005000000}" name="College"/>
    <tableColumn id="6" xr3:uid="{00000000-0010-0000-9E00-000006000000}" name="team"/>
    <tableColumn id="7" xr3:uid="{00000000-0010-0000-9E00-000007000000}" name="g"/>
    <tableColumn id="8" xr3:uid="{00000000-0010-0000-9E00-000008000000}" name="p_att"/>
    <tableColumn id="9" xr3:uid="{00000000-0010-0000-9E00-000009000000}" name="cmp"/>
    <tableColumn id="10" xr3:uid="{00000000-0010-0000-9E00-00000A000000}" name="p_yd"/>
    <tableColumn id="11" xr3:uid="{00000000-0010-0000-9E00-00000B000000}" name="p_td"/>
    <tableColumn id="12" xr3:uid="{00000000-0010-0000-9E00-00000C000000}" name="int"/>
    <tableColumn id="13" xr3:uid="{00000000-0010-0000-9E00-00000D000000}" name="car"/>
    <tableColumn id="14" xr3:uid="{00000000-0010-0000-9E00-00000E000000}" name="r_yd"/>
    <tableColumn id="15" xr3:uid="{00000000-0010-0000-9E00-00000F000000}" name="r_td"/>
    <tableColumn id="16" xr3:uid="{00000000-0010-0000-9E00-000010000000}" name="tgt"/>
    <tableColumn id="17" xr3:uid="{00000000-0010-0000-9E00-000011000000}" name="rec"/>
    <tableColumn id="18" xr3:uid="{00000000-0010-0000-9E00-000012000000}" name="rec_yd"/>
    <tableColumn id="19" xr3:uid="{00000000-0010-0000-9E00-000013000000}" name="rec_td"/>
    <tableColumn id="20" xr3:uid="{00000000-0010-0000-9E00-000014000000}" name="fmb"/>
    <tableColumn id="21" xr3:uid="{00000000-0010-0000-9E00-000015000000}" name="tp_c"/>
    <tableColumn id="22" xr3:uid="{00000000-0010-0000-9E00-000016000000}" name="f_ppr"/>
    <tableColumn id="23" xr3:uid="{00000000-0010-0000-9E00-000017000000}" name="tgt_share"/>
    <tableColumn id="24" xr3:uid="{00000000-0010-0000-9E00-000018000000}" name="ypc"/>
    <tableColumn id="25" xr3:uid="{00000000-0010-0000-9E00-000019000000}" name="ypr"/>
    <tableColumn id="26" xr3:uid="{00000000-0010-0000-9E00-00001A000000}" name="cmp_pct"/>
    <tableColumn id="27" xr3:uid="{00000000-0010-0000-9E00-00001B000000}" name="td_rate"/>
    <tableColumn id="28" xr3:uid="{00000000-0010-0000-9E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>
  <autoFilter ref="A60:AB72" xr:uid="{00000000-0009-0000-0100-0000A2000000}"/>
  <tableColumns count="28">
    <tableColumn id="1" xr3:uid="{00000000-0010-0000-9F00-000001000000}" name="Name"/>
    <tableColumn id="2" xr3:uid="{00000000-0010-0000-9F00-000002000000}" name="POS"/>
    <tableColumn id="3" xr3:uid="{00000000-0010-0000-9F00-000003000000}" name="Age"/>
    <tableColumn id="4" xr3:uid="{00000000-0010-0000-9F00-000004000000}" name="Exp"/>
    <tableColumn id="5" xr3:uid="{00000000-0010-0000-9F00-000005000000}" name="College"/>
    <tableColumn id="6" xr3:uid="{00000000-0010-0000-9F00-000006000000}" name="team"/>
    <tableColumn id="7" xr3:uid="{00000000-0010-0000-9F00-000007000000}" name="g"/>
    <tableColumn id="8" xr3:uid="{00000000-0010-0000-9F00-000008000000}" name="p_att"/>
    <tableColumn id="9" xr3:uid="{00000000-0010-0000-9F00-000009000000}" name="cmp"/>
    <tableColumn id="10" xr3:uid="{00000000-0010-0000-9F00-00000A000000}" name="p_yd"/>
    <tableColumn id="11" xr3:uid="{00000000-0010-0000-9F00-00000B000000}" name="p_td"/>
    <tableColumn id="12" xr3:uid="{00000000-0010-0000-9F00-00000C000000}" name="int"/>
    <tableColumn id="13" xr3:uid="{00000000-0010-0000-9F00-00000D000000}" name="car"/>
    <tableColumn id="14" xr3:uid="{00000000-0010-0000-9F00-00000E000000}" name="r_yd"/>
    <tableColumn id="15" xr3:uid="{00000000-0010-0000-9F00-00000F000000}" name="r_td"/>
    <tableColumn id="16" xr3:uid="{00000000-0010-0000-9F00-000010000000}" name="tgt"/>
    <tableColumn id="17" xr3:uid="{00000000-0010-0000-9F00-000011000000}" name="rec"/>
    <tableColumn id="18" xr3:uid="{00000000-0010-0000-9F00-000012000000}" name="rec_yd"/>
    <tableColumn id="19" xr3:uid="{00000000-0010-0000-9F00-000013000000}" name="rec_td"/>
    <tableColumn id="20" xr3:uid="{00000000-0010-0000-9F00-000014000000}" name="fmb"/>
    <tableColumn id="21" xr3:uid="{00000000-0010-0000-9F00-000015000000}" name="tp_c"/>
    <tableColumn id="22" xr3:uid="{00000000-0010-0000-9F00-000016000000}" name="f_ppr"/>
    <tableColumn id="23" xr3:uid="{00000000-0010-0000-9F00-000017000000}" name="tgt_share"/>
    <tableColumn id="24" xr3:uid="{00000000-0010-0000-9F00-000018000000}" name="ypc"/>
    <tableColumn id="25" xr3:uid="{00000000-0010-0000-9F00-000019000000}" name="ypr"/>
    <tableColumn id="26" xr3:uid="{00000000-0010-0000-9F00-00001A000000}" name="cmp_pct"/>
    <tableColumn id="27" xr3:uid="{00000000-0010-0000-9F00-00001B000000}" name="td_rate"/>
    <tableColumn id="28" xr3:uid="{00000000-0010-0000-9F00-00001C000000}" name="f_custom"/>
  </tableColumns>
  <tableStyleInfo name="TableStyleLight9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>
  <autoFilter ref="A75:AB82" xr:uid="{00000000-0009-0000-0100-0000A3000000}"/>
  <tableColumns count="28">
    <tableColumn id="1" xr3:uid="{00000000-0010-0000-A000-000001000000}" name="Name"/>
    <tableColumn id="2" xr3:uid="{00000000-0010-0000-A000-000002000000}" name="POS"/>
    <tableColumn id="3" xr3:uid="{00000000-0010-0000-A000-000003000000}" name="Age"/>
    <tableColumn id="4" xr3:uid="{00000000-0010-0000-A000-000004000000}" name="Exp"/>
    <tableColumn id="5" xr3:uid="{00000000-0010-0000-A000-000005000000}" name="College"/>
    <tableColumn id="6" xr3:uid="{00000000-0010-0000-A000-000006000000}" name="team"/>
    <tableColumn id="7" xr3:uid="{00000000-0010-0000-A000-000007000000}" name="g"/>
    <tableColumn id="8" xr3:uid="{00000000-0010-0000-A000-000008000000}" name="p_att"/>
    <tableColumn id="9" xr3:uid="{00000000-0010-0000-A000-000009000000}" name="cmp"/>
    <tableColumn id="10" xr3:uid="{00000000-0010-0000-A000-00000A000000}" name="p_yd"/>
    <tableColumn id="11" xr3:uid="{00000000-0010-0000-A000-00000B000000}" name="p_td"/>
    <tableColumn id="12" xr3:uid="{00000000-0010-0000-A000-00000C000000}" name="int"/>
    <tableColumn id="13" xr3:uid="{00000000-0010-0000-A000-00000D000000}" name="car"/>
    <tableColumn id="14" xr3:uid="{00000000-0010-0000-A000-00000E000000}" name="r_yd"/>
    <tableColumn id="15" xr3:uid="{00000000-0010-0000-A000-00000F000000}" name="r_td"/>
    <tableColumn id="16" xr3:uid="{00000000-0010-0000-A000-000010000000}" name="tgt"/>
    <tableColumn id="17" xr3:uid="{00000000-0010-0000-A000-000011000000}" name="rec"/>
    <tableColumn id="18" xr3:uid="{00000000-0010-0000-A000-000012000000}" name="rec_yd"/>
    <tableColumn id="19" xr3:uid="{00000000-0010-0000-A000-000013000000}" name="rec_td"/>
    <tableColumn id="20" xr3:uid="{00000000-0010-0000-A000-000014000000}" name="fmb"/>
    <tableColumn id="21" xr3:uid="{00000000-0010-0000-A000-000015000000}" name="tp_c"/>
    <tableColumn id="22" xr3:uid="{00000000-0010-0000-A000-000016000000}" name="f_ppr"/>
    <tableColumn id="23" xr3:uid="{00000000-0010-0000-A000-000017000000}" name="tgt_share"/>
    <tableColumn id="24" xr3:uid="{00000000-0010-0000-A000-000018000000}" name="ypc"/>
    <tableColumn id="25" xr3:uid="{00000000-0010-0000-A000-000019000000}" name="ypr"/>
    <tableColumn id="26" xr3:uid="{00000000-0010-0000-A000-00001A000000}" name="cmp_pct"/>
    <tableColumn id="27" xr3:uid="{00000000-0010-0000-A000-00001B000000}" name="td_rate"/>
    <tableColumn id="28" xr3:uid="{00000000-0010-0000-A000-00001C000000}" name="f_custom"/>
  </tableColumns>
  <tableStyleInfo name="TableStyleLight9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X21" totalsRowShown="0">
  <autoFilter ref="A1:X21" xr:uid="{00000000-0009-0000-0100-0000A4000000}"/>
  <tableColumns count="24">
    <tableColumn id="1" xr3:uid="{00000000-0010-0000-A100-000001000000}" name="player_name"/>
    <tableColumn id="2" xr3:uid="{00000000-0010-0000-A100-000002000000}" name="recent_team"/>
    <tableColumn id="3" xr3:uid="{00000000-0010-0000-A100-000003000000}" name="pos"/>
    <tableColumn id="4" xr3:uid="{00000000-0010-0000-A100-000004000000}" name="g"/>
    <tableColumn id="5" xr3:uid="{00000000-0010-0000-A100-000005000000}" name="p_att"/>
    <tableColumn id="6" xr3:uid="{00000000-0010-0000-A100-000006000000}" name="cmp"/>
    <tableColumn id="7" xr3:uid="{00000000-0010-0000-A100-000007000000}" name="p_yd"/>
    <tableColumn id="8" xr3:uid="{00000000-0010-0000-A100-000008000000}" name="p_td"/>
    <tableColumn id="9" xr3:uid="{00000000-0010-0000-A100-000009000000}" name="int"/>
    <tableColumn id="10" xr3:uid="{00000000-0010-0000-A100-00000A000000}" name="car"/>
    <tableColumn id="11" xr3:uid="{00000000-0010-0000-A100-00000B000000}" name="r_yd"/>
    <tableColumn id="12" xr3:uid="{00000000-0010-0000-A100-00000C000000}" name="r_td"/>
    <tableColumn id="13" xr3:uid="{00000000-0010-0000-A100-00000D000000}" name="tgt"/>
    <tableColumn id="14" xr3:uid="{00000000-0010-0000-A100-00000E000000}" name="rec"/>
    <tableColumn id="15" xr3:uid="{00000000-0010-0000-A100-00000F000000}" name="rec_yd"/>
    <tableColumn id="16" xr3:uid="{00000000-0010-0000-A100-000010000000}" name="rec_td"/>
    <tableColumn id="17" xr3:uid="{00000000-0010-0000-A100-000011000000}" name="fmb"/>
    <tableColumn id="18" xr3:uid="{00000000-0010-0000-A100-000012000000}" name="tp_c"/>
    <tableColumn id="19" xr3:uid="{00000000-0010-0000-A100-000013000000}" name="f_ppr"/>
    <tableColumn id="20" xr3:uid="{00000000-0010-0000-A100-000014000000}" name="tgt_share"/>
    <tableColumn id="21" xr3:uid="{00000000-0010-0000-A100-000015000000}" name="ypc"/>
    <tableColumn id="22" xr3:uid="{00000000-0010-0000-A100-000016000000}" name="ypr"/>
    <tableColumn id="23" xr3:uid="{00000000-0010-0000-A100-000017000000}" name="cmp_pct"/>
    <tableColumn id="24" xr3:uid="{00000000-0010-0000-A100-000018000000}" name="td_rate"/>
  </tableColumns>
  <tableStyleInfo name="TableStyleLight9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L31" totalsRowShown="0">
  <autoFilter ref="A30:L31" xr:uid="{00000000-0009-0000-0100-0000A5000000}"/>
  <tableColumns count="12">
    <tableColumn id="1" xr3:uid="{00000000-0010-0000-A200-000001000000}" name="team"/>
    <tableColumn id="2" xr3:uid="{00000000-0010-0000-A200-000002000000}" name="off_yd"/>
    <tableColumn id="3" xr3:uid="{00000000-0010-0000-A200-000003000000}" name="p_yd"/>
    <tableColumn id="4" xr3:uid="{00000000-0010-0000-A200-000004000000}" name="car"/>
    <tableColumn id="5" xr3:uid="{00000000-0010-0000-A200-000005000000}" name="r_yd"/>
    <tableColumn id="6" xr3:uid="{00000000-0010-0000-A200-000006000000}" name="r_td"/>
    <tableColumn id="7" xr3:uid="{00000000-0010-0000-A200-000007000000}" name="p_ff"/>
    <tableColumn id="8" xr3:uid="{00000000-0010-0000-A200-000008000000}" name="p_att"/>
    <tableColumn id="9" xr3:uid="{00000000-0010-0000-A200-000009000000}" name="cmp_pct"/>
    <tableColumn id="10" xr3:uid="{00000000-0010-0000-A200-00000A000000}" name="p_td"/>
    <tableColumn id="11" xr3:uid="{00000000-0010-0000-A200-00000B000000}" name="int"/>
    <tableColumn id="12" xr3:uid="{00000000-0010-0000-A200-00000C000000}" name="fmb"/>
  </tableColumns>
  <tableStyleInfo name="TableStyleLight9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L33" totalsRowShown="0">
  <autoFilter ref="A32:L33" xr:uid="{00000000-0009-0000-0100-0000A6000000}"/>
  <tableColumns count="12">
    <tableColumn id="1" xr3:uid="{00000000-0010-0000-A300-000001000000}" name="team">
      <calculatedColumnFormula>A31</calculatedColumnFormula>
    </tableColumn>
    <tableColumn id="2" xr3:uid="{00000000-0010-0000-A300-000002000000}" name="off_yd">
      <calculatedColumnFormula>C33 + E33</calculatedColumnFormula>
    </tableColumn>
    <tableColumn id="3" xr3:uid="{00000000-0010-0000-A300-000003000000}" name="p_yd">
      <calculatedColumnFormula>SUM(INDIRECT(A33 &amp; "_Table4[[#All],[p_yd]]"))</calculatedColumnFormula>
    </tableColumn>
    <tableColumn id="4" xr3:uid="{00000000-0010-0000-A3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>
      <calculatedColumnFormula>SUM(INDIRECT(A33 &amp; "_Table4[[#All],[cmp]]"))/H33</calculatedColumnFormula>
    </tableColumn>
    <tableColumn id="10" xr3:uid="{00000000-0010-0000-A3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>
  <autoFilter ref="A35:AB38" xr:uid="{00000000-0009-0000-0100-0000A7000000}"/>
  <tableColumns count="28">
    <tableColumn id="1" xr3:uid="{00000000-0010-0000-A400-000001000000}" name="Name"/>
    <tableColumn id="2" xr3:uid="{00000000-0010-0000-A400-000002000000}" name="POS"/>
    <tableColumn id="3" xr3:uid="{00000000-0010-0000-A400-000003000000}" name="Age"/>
    <tableColumn id="4" xr3:uid="{00000000-0010-0000-A400-000004000000}" name="Exp"/>
    <tableColumn id="5" xr3:uid="{00000000-0010-0000-A400-000005000000}" name="College"/>
    <tableColumn id="6" xr3:uid="{00000000-0010-0000-A400-000006000000}" name="team"/>
    <tableColumn id="7" xr3:uid="{00000000-0010-0000-A400-000007000000}" name="g"/>
    <tableColumn id="8" xr3:uid="{00000000-0010-0000-A400-000008000000}" name="p_att"/>
    <tableColumn id="9" xr3:uid="{00000000-0010-0000-A400-000009000000}" name="cmp"/>
    <tableColumn id="10" xr3:uid="{00000000-0010-0000-A400-00000A000000}" name="p_yd"/>
    <tableColumn id="11" xr3:uid="{00000000-0010-0000-A400-00000B000000}" name="p_td"/>
    <tableColumn id="12" xr3:uid="{00000000-0010-0000-A400-00000C000000}" name="int"/>
    <tableColumn id="13" xr3:uid="{00000000-0010-0000-A400-00000D000000}" name="car"/>
    <tableColumn id="14" xr3:uid="{00000000-0010-0000-A400-00000E000000}" name="r_yd"/>
    <tableColumn id="15" xr3:uid="{00000000-0010-0000-A400-00000F000000}" name="r_td"/>
    <tableColumn id="16" xr3:uid="{00000000-0010-0000-A400-000010000000}" name="tgt"/>
    <tableColumn id="17" xr3:uid="{00000000-0010-0000-A400-000011000000}" name="rec"/>
    <tableColumn id="18" xr3:uid="{00000000-0010-0000-A400-000012000000}" name="rec_yd"/>
    <tableColumn id="19" xr3:uid="{00000000-0010-0000-A400-000013000000}" name="rec_td"/>
    <tableColumn id="20" xr3:uid="{00000000-0010-0000-A400-000014000000}" name="fmb"/>
    <tableColumn id="21" xr3:uid="{00000000-0010-0000-A400-000015000000}" name="tp_c"/>
    <tableColumn id="22" xr3:uid="{00000000-0010-0000-A400-000016000000}" name="f_ppr"/>
    <tableColumn id="23" xr3:uid="{00000000-0010-0000-A400-000017000000}" name="tgt_share"/>
    <tableColumn id="24" xr3:uid="{00000000-0010-0000-A400-000018000000}" name="ypc"/>
    <tableColumn id="25" xr3:uid="{00000000-0010-0000-A400-000019000000}" name="ypr"/>
    <tableColumn id="26" xr3:uid="{00000000-0010-0000-A400-00001A000000}" name="cmp_pct"/>
    <tableColumn id="27" xr3:uid="{00000000-0010-0000-A400-00001B000000}" name="td_rate"/>
    <tableColumn id="28" xr3:uid="{00000000-0010-0000-A400-00001C000000}" name="f_custom"/>
  </tableColumns>
  <tableStyleInfo name="TableStyleLight9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>
  <autoFilter ref="A45:AB51" xr:uid="{00000000-0009-0000-0100-0000A8000000}"/>
  <tableColumns count="28">
    <tableColumn id="1" xr3:uid="{00000000-0010-0000-A500-000001000000}" name="Name"/>
    <tableColumn id="2" xr3:uid="{00000000-0010-0000-A500-000002000000}" name="POS"/>
    <tableColumn id="3" xr3:uid="{00000000-0010-0000-A500-000003000000}" name="Age"/>
    <tableColumn id="4" xr3:uid="{00000000-0010-0000-A500-000004000000}" name="Exp"/>
    <tableColumn id="5" xr3:uid="{00000000-0010-0000-A500-000005000000}" name="College"/>
    <tableColumn id="6" xr3:uid="{00000000-0010-0000-A500-000006000000}" name="team"/>
    <tableColumn id="7" xr3:uid="{00000000-0010-0000-A500-000007000000}" name="g"/>
    <tableColumn id="8" xr3:uid="{00000000-0010-0000-A500-000008000000}" name="p_att"/>
    <tableColumn id="9" xr3:uid="{00000000-0010-0000-A500-000009000000}" name="cmp"/>
    <tableColumn id="10" xr3:uid="{00000000-0010-0000-A500-00000A000000}" name="p_yd"/>
    <tableColumn id="11" xr3:uid="{00000000-0010-0000-A500-00000B000000}" name="p_td"/>
    <tableColumn id="12" xr3:uid="{00000000-0010-0000-A500-00000C000000}" name="int"/>
    <tableColumn id="13" xr3:uid="{00000000-0010-0000-A500-00000D000000}" name="car"/>
    <tableColumn id="14" xr3:uid="{00000000-0010-0000-A500-00000E000000}" name="r_yd"/>
    <tableColumn id="15" xr3:uid="{00000000-0010-0000-A500-00000F000000}" name="r_td"/>
    <tableColumn id="16" xr3:uid="{00000000-0010-0000-A500-000010000000}" name="tgt"/>
    <tableColumn id="17" xr3:uid="{00000000-0010-0000-A500-000011000000}" name="rec"/>
    <tableColumn id="18" xr3:uid="{00000000-0010-0000-A500-000012000000}" name="rec_yd"/>
    <tableColumn id="19" xr3:uid="{00000000-0010-0000-A500-000013000000}" name="rec_td"/>
    <tableColumn id="20" xr3:uid="{00000000-0010-0000-A500-000014000000}" name="fmb"/>
    <tableColumn id="21" xr3:uid="{00000000-0010-0000-A500-000015000000}" name="tp_c"/>
    <tableColumn id="22" xr3:uid="{00000000-0010-0000-A500-000016000000}" name="f_ppr"/>
    <tableColumn id="23" xr3:uid="{00000000-0010-0000-A500-000017000000}" name="tgt_share"/>
    <tableColumn id="24" xr3:uid="{00000000-0010-0000-A500-000018000000}" name="ypc"/>
    <tableColumn id="25" xr3:uid="{00000000-0010-0000-A500-000019000000}" name="ypr"/>
    <tableColumn id="26" xr3:uid="{00000000-0010-0000-A500-00001A000000}" name="cmp_pct"/>
    <tableColumn id="27" xr3:uid="{00000000-0010-0000-A500-00001B000000}" name="td_rate"/>
    <tableColumn id="28" xr3:uid="{00000000-0010-0000-A5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>
  <autoFilter ref="A60:AB73" xr:uid="{00000000-0009-0000-0100-0000A9000000}"/>
  <tableColumns count="28">
    <tableColumn id="1" xr3:uid="{00000000-0010-0000-A600-000001000000}" name="Name"/>
    <tableColumn id="2" xr3:uid="{00000000-0010-0000-A600-000002000000}" name="POS"/>
    <tableColumn id="3" xr3:uid="{00000000-0010-0000-A600-000003000000}" name="Age"/>
    <tableColumn id="4" xr3:uid="{00000000-0010-0000-A600-000004000000}" name="Exp"/>
    <tableColumn id="5" xr3:uid="{00000000-0010-0000-A600-000005000000}" name="College"/>
    <tableColumn id="6" xr3:uid="{00000000-0010-0000-A600-000006000000}" name="team"/>
    <tableColumn id="7" xr3:uid="{00000000-0010-0000-A600-000007000000}" name="g"/>
    <tableColumn id="8" xr3:uid="{00000000-0010-0000-A600-000008000000}" name="p_att"/>
    <tableColumn id="9" xr3:uid="{00000000-0010-0000-A600-000009000000}" name="cmp"/>
    <tableColumn id="10" xr3:uid="{00000000-0010-0000-A600-00000A000000}" name="p_yd"/>
    <tableColumn id="11" xr3:uid="{00000000-0010-0000-A600-00000B000000}" name="p_td"/>
    <tableColumn id="12" xr3:uid="{00000000-0010-0000-A600-00000C000000}" name="int"/>
    <tableColumn id="13" xr3:uid="{00000000-0010-0000-A600-00000D000000}" name="car"/>
    <tableColumn id="14" xr3:uid="{00000000-0010-0000-A600-00000E000000}" name="r_yd"/>
    <tableColumn id="15" xr3:uid="{00000000-0010-0000-A600-00000F000000}" name="r_td"/>
    <tableColumn id="16" xr3:uid="{00000000-0010-0000-A600-000010000000}" name="tgt"/>
    <tableColumn id="17" xr3:uid="{00000000-0010-0000-A600-000011000000}" name="rec"/>
    <tableColumn id="18" xr3:uid="{00000000-0010-0000-A600-000012000000}" name="rec_yd"/>
    <tableColumn id="19" xr3:uid="{00000000-0010-0000-A600-000013000000}" name="rec_td"/>
    <tableColumn id="20" xr3:uid="{00000000-0010-0000-A600-000014000000}" name="fmb"/>
    <tableColumn id="21" xr3:uid="{00000000-0010-0000-A600-000015000000}" name="tp_c"/>
    <tableColumn id="22" xr3:uid="{00000000-0010-0000-A600-000016000000}" name="f_ppr"/>
    <tableColumn id="23" xr3:uid="{00000000-0010-0000-A600-000017000000}" name="tgt_share"/>
    <tableColumn id="24" xr3:uid="{00000000-0010-0000-A600-000018000000}" name="ypc"/>
    <tableColumn id="25" xr3:uid="{00000000-0010-0000-A600-000019000000}" name="ypr"/>
    <tableColumn id="26" xr3:uid="{00000000-0010-0000-A600-00001A000000}" name="cmp_pct"/>
    <tableColumn id="27" xr3:uid="{00000000-0010-0000-A600-00001B000000}" name="td_rate"/>
    <tableColumn id="28" xr3:uid="{00000000-0010-0000-A600-00001C000000}" name="f_custom"/>
  </tableColumns>
  <tableStyleInfo name="TableStyleLight9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>
  <autoFilter ref="A75:AB80" xr:uid="{00000000-0009-0000-0100-0000AA000000}"/>
  <tableColumns count="28">
    <tableColumn id="1" xr3:uid="{00000000-0010-0000-A700-000001000000}" name="Name"/>
    <tableColumn id="2" xr3:uid="{00000000-0010-0000-A700-000002000000}" name="POS"/>
    <tableColumn id="3" xr3:uid="{00000000-0010-0000-A700-000003000000}" name="Age"/>
    <tableColumn id="4" xr3:uid="{00000000-0010-0000-A700-000004000000}" name="Exp"/>
    <tableColumn id="5" xr3:uid="{00000000-0010-0000-A700-000005000000}" name="College"/>
    <tableColumn id="6" xr3:uid="{00000000-0010-0000-A700-000006000000}" name="team"/>
    <tableColumn id="7" xr3:uid="{00000000-0010-0000-A700-000007000000}" name="g"/>
    <tableColumn id="8" xr3:uid="{00000000-0010-0000-A700-000008000000}" name="p_att"/>
    <tableColumn id="9" xr3:uid="{00000000-0010-0000-A700-000009000000}" name="cmp"/>
    <tableColumn id="10" xr3:uid="{00000000-0010-0000-A700-00000A000000}" name="p_yd"/>
    <tableColumn id="11" xr3:uid="{00000000-0010-0000-A700-00000B000000}" name="p_td"/>
    <tableColumn id="12" xr3:uid="{00000000-0010-0000-A700-00000C000000}" name="int"/>
    <tableColumn id="13" xr3:uid="{00000000-0010-0000-A700-00000D000000}" name="car"/>
    <tableColumn id="14" xr3:uid="{00000000-0010-0000-A700-00000E000000}" name="r_yd"/>
    <tableColumn id="15" xr3:uid="{00000000-0010-0000-A700-00000F000000}" name="r_td"/>
    <tableColumn id="16" xr3:uid="{00000000-0010-0000-A700-000010000000}" name="tgt"/>
    <tableColumn id="17" xr3:uid="{00000000-0010-0000-A700-000011000000}" name="rec"/>
    <tableColumn id="18" xr3:uid="{00000000-0010-0000-A700-000012000000}" name="rec_yd"/>
    <tableColumn id="19" xr3:uid="{00000000-0010-0000-A700-000013000000}" name="rec_td"/>
    <tableColumn id="20" xr3:uid="{00000000-0010-0000-A700-000014000000}" name="fmb"/>
    <tableColumn id="21" xr3:uid="{00000000-0010-0000-A700-000015000000}" name="tp_c"/>
    <tableColumn id="22" xr3:uid="{00000000-0010-0000-A700-000016000000}" name="f_ppr"/>
    <tableColumn id="23" xr3:uid="{00000000-0010-0000-A700-000017000000}" name="tgt_share"/>
    <tableColumn id="24" xr3:uid="{00000000-0010-0000-A700-000018000000}" name="ypc"/>
    <tableColumn id="25" xr3:uid="{00000000-0010-0000-A700-000019000000}" name="ypr"/>
    <tableColumn id="26" xr3:uid="{00000000-0010-0000-A700-00001A000000}" name="cmp_pct"/>
    <tableColumn id="27" xr3:uid="{00000000-0010-0000-A700-00001B000000}" name="td_rate"/>
    <tableColumn id="28" xr3:uid="{00000000-0010-0000-A700-00001C000000}" name="f_custom"/>
  </tableColumns>
  <tableStyleInfo name="TableStyleLight9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X20" totalsRowShown="0">
  <autoFilter ref="A1:X20" xr:uid="{00000000-0009-0000-0100-0000AB000000}"/>
  <tableColumns count="24">
    <tableColumn id="1" xr3:uid="{00000000-0010-0000-A800-000001000000}" name="player_name"/>
    <tableColumn id="2" xr3:uid="{00000000-0010-0000-A800-000002000000}" name="recent_team"/>
    <tableColumn id="3" xr3:uid="{00000000-0010-0000-A800-000003000000}" name="pos"/>
    <tableColumn id="4" xr3:uid="{00000000-0010-0000-A800-000004000000}" name="g"/>
    <tableColumn id="5" xr3:uid="{00000000-0010-0000-A800-000005000000}" name="p_att"/>
    <tableColumn id="6" xr3:uid="{00000000-0010-0000-A800-000006000000}" name="cmp"/>
    <tableColumn id="7" xr3:uid="{00000000-0010-0000-A800-000007000000}" name="p_yd"/>
    <tableColumn id="8" xr3:uid="{00000000-0010-0000-A800-000008000000}" name="p_td"/>
    <tableColumn id="9" xr3:uid="{00000000-0010-0000-A800-000009000000}" name="int"/>
    <tableColumn id="10" xr3:uid="{00000000-0010-0000-A800-00000A000000}" name="car"/>
    <tableColumn id="11" xr3:uid="{00000000-0010-0000-A800-00000B000000}" name="r_yd"/>
    <tableColumn id="12" xr3:uid="{00000000-0010-0000-A800-00000C000000}" name="r_td"/>
    <tableColumn id="13" xr3:uid="{00000000-0010-0000-A800-00000D000000}" name="tgt"/>
    <tableColumn id="14" xr3:uid="{00000000-0010-0000-A800-00000E000000}" name="rec"/>
    <tableColumn id="15" xr3:uid="{00000000-0010-0000-A800-00000F000000}" name="rec_yd"/>
    <tableColumn id="16" xr3:uid="{00000000-0010-0000-A800-000010000000}" name="rec_td"/>
    <tableColumn id="17" xr3:uid="{00000000-0010-0000-A800-000011000000}" name="fmb"/>
    <tableColumn id="18" xr3:uid="{00000000-0010-0000-A800-000012000000}" name="tp_c"/>
    <tableColumn id="19" xr3:uid="{00000000-0010-0000-A800-000013000000}" name="f_ppr"/>
    <tableColumn id="20" xr3:uid="{00000000-0010-0000-A800-000014000000}" name="tgt_share"/>
    <tableColumn id="21" xr3:uid="{00000000-0010-0000-A800-000015000000}" name="ypc"/>
    <tableColumn id="22" xr3:uid="{00000000-0010-0000-A800-000016000000}" name="ypr"/>
    <tableColumn id="23" xr3:uid="{00000000-0010-0000-A800-000017000000}" name="cmp_pct"/>
    <tableColumn id="24" xr3:uid="{00000000-0010-0000-A800-000018000000}" name="td_rate"/>
  </tableColumns>
  <tableStyleInfo name="TableStyleLight9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L31" totalsRowShown="0">
  <autoFilter ref="A30:L31" xr:uid="{00000000-0009-0000-0100-0000AC000000}"/>
  <tableColumns count="12">
    <tableColumn id="1" xr3:uid="{00000000-0010-0000-A900-000001000000}" name="team"/>
    <tableColumn id="2" xr3:uid="{00000000-0010-0000-A900-000002000000}" name="off_yd"/>
    <tableColumn id="3" xr3:uid="{00000000-0010-0000-A900-000003000000}" name="p_yd"/>
    <tableColumn id="4" xr3:uid="{00000000-0010-0000-A900-000004000000}" name="car"/>
    <tableColumn id="5" xr3:uid="{00000000-0010-0000-A900-000005000000}" name="r_yd"/>
    <tableColumn id="6" xr3:uid="{00000000-0010-0000-A900-000006000000}" name="r_td"/>
    <tableColumn id="7" xr3:uid="{00000000-0010-0000-A900-000007000000}" name="p_ff"/>
    <tableColumn id="8" xr3:uid="{00000000-0010-0000-A900-000008000000}" name="p_att"/>
    <tableColumn id="9" xr3:uid="{00000000-0010-0000-A900-000009000000}" name="cmp_pct"/>
    <tableColumn id="10" xr3:uid="{00000000-0010-0000-A900-00000A000000}" name="p_td"/>
    <tableColumn id="11" xr3:uid="{00000000-0010-0000-A900-00000B000000}" name="int"/>
    <tableColumn id="12" xr3:uid="{00000000-0010-0000-A900-00000C000000}" name="fmb"/>
  </tableColumns>
  <tableStyleInfo name="TableStyleLight9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L33" totalsRowShown="0">
  <autoFilter ref="A32:L33" xr:uid="{00000000-0009-0000-0100-0000AD000000}"/>
  <tableColumns count="12">
    <tableColumn id="1" xr3:uid="{00000000-0010-0000-AA00-000001000000}" name="team">
      <calculatedColumnFormula>A31</calculatedColumnFormula>
    </tableColumn>
    <tableColumn id="2" xr3:uid="{00000000-0010-0000-AA00-000002000000}" name="off_yd">
      <calculatedColumnFormula>C33 + E33</calculatedColumnFormula>
    </tableColumn>
    <tableColumn id="3" xr3:uid="{00000000-0010-0000-AA00-000003000000}" name="p_yd">
      <calculatedColumnFormula>SUM(INDIRECT(A33 &amp; "_Table4[[#All],[p_yd]]"))</calculatedColumnFormula>
    </tableColumn>
    <tableColumn id="4" xr3:uid="{00000000-0010-0000-AA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>
      <calculatedColumnFormula>SUM(INDIRECT(A33 &amp; "_Table4[[#All],[cmp]]"))/H33</calculatedColumnFormula>
    </tableColumn>
    <tableColumn id="10" xr3:uid="{00000000-0010-0000-AA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>
  <autoFilter ref="A35:AB38" xr:uid="{00000000-0009-0000-0100-0000AE000000}"/>
  <tableColumns count="28">
    <tableColumn id="1" xr3:uid="{00000000-0010-0000-AB00-000001000000}" name="Name"/>
    <tableColumn id="2" xr3:uid="{00000000-0010-0000-AB00-000002000000}" name="POS"/>
    <tableColumn id="3" xr3:uid="{00000000-0010-0000-AB00-000003000000}" name="Age"/>
    <tableColumn id="4" xr3:uid="{00000000-0010-0000-AB00-000004000000}" name="Exp"/>
    <tableColumn id="5" xr3:uid="{00000000-0010-0000-AB00-000005000000}" name="College"/>
    <tableColumn id="6" xr3:uid="{00000000-0010-0000-AB00-000006000000}" name="team"/>
    <tableColumn id="7" xr3:uid="{00000000-0010-0000-AB00-000007000000}" name="g"/>
    <tableColumn id="8" xr3:uid="{00000000-0010-0000-AB00-000008000000}" name="p_att"/>
    <tableColumn id="9" xr3:uid="{00000000-0010-0000-AB00-000009000000}" name="cmp"/>
    <tableColumn id="10" xr3:uid="{00000000-0010-0000-AB00-00000A000000}" name="p_yd"/>
    <tableColumn id="11" xr3:uid="{00000000-0010-0000-AB00-00000B000000}" name="p_td"/>
    <tableColumn id="12" xr3:uid="{00000000-0010-0000-AB00-00000C000000}" name="int"/>
    <tableColumn id="13" xr3:uid="{00000000-0010-0000-AB00-00000D000000}" name="car"/>
    <tableColumn id="14" xr3:uid="{00000000-0010-0000-AB00-00000E000000}" name="r_yd"/>
    <tableColumn id="15" xr3:uid="{00000000-0010-0000-AB00-00000F000000}" name="r_td"/>
    <tableColumn id="16" xr3:uid="{00000000-0010-0000-AB00-000010000000}" name="tgt"/>
    <tableColumn id="17" xr3:uid="{00000000-0010-0000-AB00-000011000000}" name="rec"/>
    <tableColumn id="18" xr3:uid="{00000000-0010-0000-AB00-000012000000}" name="rec_yd"/>
    <tableColumn id="19" xr3:uid="{00000000-0010-0000-AB00-000013000000}" name="rec_td"/>
    <tableColumn id="20" xr3:uid="{00000000-0010-0000-AB00-000014000000}" name="fmb"/>
    <tableColumn id="21" xr3:uid="{00000000-0010-0000-AB00-000015000000}" name="tp_c"/>
    <tableColumn id="22" xr3:uid="{00000000-0010-0000-AB00-000016000000}" name="f_ppr"/>
    <tableColumn id="23" xr3:uid="{00000000-0010-0000-AB00-000017000000}" name="tgt_share"/>
    <tableColumn id="24" xr3:uid="{00000000-0010-0000-AB00-000018000000}" name="ypc"/>
    <tableColumn id="25" xr3:uid="{00000000-0010-0000-AB00-000019000000}" name="ypr"/>
    <tableColumn id="26" xr3:uid="{00000000-0010-0000-AB00-00001A000000}" name="cmp_pct"/>
    <tableColumn id="27" xr3:uid="{00000000-0010-0000-AB00-00001B000000}" name="td_rate"/>
    <tableColumn id="28" xr3:uid="{00000000-0010-0000-AB00-00001C000000}" name="f_custom"/>
  </tableColumns>
  <tableStyleInfo name="TableStyleLight9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>
  <autoFilter ref="A45:AB51" xr:uid="{00000000-0009-0000-0100-0000AF000000}"/>
  <tableColumns count="28">
    <tableColumn id="1" xr3:uid="{00000000-0010-0000-AC00-000001000000}" name="Name"/>
    <tableColumn id="2" xr3:uid="{00000000-0010-0000-AC00-000002000000}" name="POS"/>
    <tableColumn id="3" xr3:uid="{00000000-0010-0000-AC00-000003000000}" name="Age"/>
    <tableColumn id="4" xr3:uid="{00000000-0010-0000-AC00-000004000000}" name="Exp"/>
    <tableColumn id="5" xr3:uid="{00000000-0010-0000-AC00-000005000000}" name="College"/>
    <tableColumn id="6" xr3:uid="{00000000-0010-0000-AC00-000006000000}" name="team"/>
    <tableColumn id="7" xr3:uid="{00000000-0010-0000-AC00-000007000000}" name="g"/>
    <tableColumn id="8" xr3:uid="{00000000-0010-0000-AC00-000008000000}" name="p_att"/>
    <tableColumn id="9" xr3:uid="{00000000-0010-0000-AC00-000009000000}" name="cmp"/>
    <tableColumn id="10" xr3:uid="{00000000-0010-0000-AC00-00000A000000}" name="p_yd"/>
    <tableColumn id="11" xr3:uid="{00000000-0010-0000-AC00-00000B000000}" name="p_td"/>
    <tableColumn id="12" xr3:uid="{00000000-0010-0000-AC00-00000C000000}" name="int"/>
    <tableColumn id="13" xr3:uid="{00000000-0010-0000-AC00-00000D000000}" name="car"/>
    <tableColumn id="14" xr3:uid="{00000000-0010-0000-AC00-00000E000000}" name="r_yd"/>
    <tableColumn id="15" xr3:uid="{00000000-0010-0000-AC00-00000F000000}" name="r_td"/>
    <tableColumn id="16" xr3:uid="{00000000-0010-0000-AC00-000010000000}" name="tgt"/>
    <tableColumn id="17" xr3:uid="{00000000-0010-0000-AC00-000011000000}" name="rec"/>
    <tableColumn id="18" xr3:uid="{00000000-0010-0000-AC00-000012000000}" name="rec_yd"/>
    <tableColumn id="19" xr3:uid="{00000000-0010-0000-AC00-000013000000}" name="rec_td"/>
    <tableColumn id="20" xr3:uid="{00000000-0010-0000-AC00-000014000000}" name="fmb"/>
    <tableColumn id="21" xr3:uid="{00000000-0010-0000-AC00-000015000000}" name="tp_c"/>
    <tableColumn id="22" xr3:uid="{00000000-0010-0000-AC00-000016000000}" name="f_ppr"/>
    <tableColumn id="23" xr3:uid="{00000000-0010-0000-AC00-000017000000}" name="tgt_share"/>
    <tableColumn id="24" xr3:uid="{00000000-0010-0000-AC00-000018000000}" name="ypc"/>
    <tableColumn id="25" xr3:uid="{00000000-0010-0000-AC00-000019000000}" name="ypr"/>
    <tableColumn id="26" xr3:uid="{00000000-0010-0000-AC00-00001A000000}" name="cmp_pct"/>
    <tableColumn id="27" xr3:uid="{00000000-0010-0000-AC00-00001B000000}" name="td_rate"/>
    <tableColumn id="28" xr3:uid="{00000000-0010-0000-AC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>
  <autoFilter ref="A60:AB72" xr:uid="{00000000-0009-0000-0100-0000B0000000}"/>
  <tableColumns count="28">
    <tableColumn id="1" xr3:uid="{00000000-0010-0000-AD00-000001000000}" name="Name"/>
    <tableColumn id="2" xr3:uid="{00000000-0010-0000-AD00-000002000000}" name="POS"/>
    <tableColumn id="3" xr3:uid="{00000000-0010-0000-AD00-000003000000}" name="Age"/>
    <tableColumn id="4" xr3:uid="{00000000-0010-0000-AD00-000004000000}" name="Exp"/>
    <tableColumn id="5" xr3:uid="{00000000-0010-0000-AD00-000005000000}" name="College"/>
    <tableColumn id="6" xr3:uid="{00000000-0010-0000-AD00-000006000000}" name="team"/>
    <tableColumn id="7" xr3:uid="{00000000-0010-0000-AD00-000007000000}" name="g"/>
    <tableColumn id="8" xr3:uid="{00000000-0010-0000-AD00-000008000000}" name="p_att"/>
    <tableColumn id="9" xr3:uid="{00000000-0010-0000-AD00-000009000000}" name="cmp"/>
    <tableColumn id="10" xr3:uid="{00000000-0010-0000-AD00-00000A000000}" name="p_yd"/>
    <tableColumn id="11" xr3:uid="{00000000-0010-0000-AD00-00000B000000}" name="p_td"/>
    <tableColumn id="12" xr3:uid="{00000000-0010-0000-AD00-00000C000000}" name="int"/>
    <tableColumn id="13" xr3:uid="{00000000-0010-0000-AD00-00000D000000}" name="car"/>
    <tableColumn id="14" xr3:uid="{00000000-0010-0000-AD00-00000E000000}" name="r_yd"/>
    <tableColumn id="15" xr3:uid="{00000000-0010-0000-AD00-00000F000000}" name="r_td"/>
    <tableColumn id="16" xr3:uid="{00000000-0010-0000-AD00-000010000000}" name="tgt"/>
    <tableColumn id="17" xr3:uid="{00000000-0010-0000-AD00-000011000000}" name="rec"/>
    <tableColumn id="18" xr3:uid="{00000000-0010-0000-AD00-000012000000}" name="rec_yd"/>
    <tableColumn id="19" xr3:uid="{00000000-0010-0000-AD00-000013000000}" name="rec_td"/>
    <tableColumn id="20" xr3:uid="{00000000-0010-0000-AD00-000014000000}" name="fmb"/>
    <tableColumn id="21" xr3:uid="{00000000-0010-0000-AD00-000015000000}" name="tp_c"/>
    <tableColumn id="22" xr3:uid="{00000000-0010-0000-AD00-000016000000}" name="f_ppr"/>
    <tableColumn id="23" xr3:uid="{00000000-0010-0000-AD00-000017000000}" name="tgt_share"/>
    <tableColumn id="24" xr3:uid="{00000000-0010-0000-AD00-000018000000}" name="ypc"/>
    <tableColumn id="25" xr3:uid="{00000000-0010-0000-AD00-000019000000}" name="ypr"/>
    <tableColumn id="26" xr3:uid="{00000000-0010-0000-AD00-00001A000000}" name="cmp_pct"/>
    <tableColumn id="27" xr3:uid="{00000000-0010-0000-AD00-00001B000000}" name="td_rate"/>
    <tableColumn id="28" xr3:uid="{00000000-0010-0000-AD00-00001C000000}" name="f_custom"/>
  </tableColumns>
  <tableStyleInfo name="TableStyleLight9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>
  <autoFilter ref="A75:AB81" xr:uid="{00000000-0009-0000-0100-0000B1000000}"/>
  <tableColumns count="28">
    <tableColumn id="1" xr3:uid="{00000000-0010-0000-AE00-000001000000}" name="Name"/>
    <tableColumn id="2" xr3:uid="{00000000-0010-0000-AE00-000002000000}" name="POS"/>
    <tableColumn id="3" xr3:uid="{00000000-0010-0000-AE00-000003000000}" name="Age"/>
    <tableColumn id="4" xr3:uid="{00000000-0010-0000-AE00-000004000000}" name="Exp"/>
    <tableColumn id="5" xr3:uid="{00000000-0010-0000-AE00-000005000000}" name="College"/>
    <tableColumn id="6" xr3:uid="{00000000-0010-0000-AE00-000006000000}" name="team"/>
    <tableColumn id="7" xr3:uid="{00000000-0010-0000-AE00-000007000000}" name="g"/>
    <tableColumn id="8" xr3:uid="{00000000-0010-0000-AE00-000008000000}" name="p_att"/>
    <tableColumn id="9" xr3:uid="{00000000-0010-0000-AE00-000009000000}" name="cmp"/>
    <tableColumn id="10" xr3:uid="{00000000-0010-0000-AE00-00000A000000}" name="p_yd"/>
    <tableColumn id="11" xr3:uid="{00000000-0010-0000-AE00-00000B000000}" name="p_td"/>
    <tableColumn id="12" xr3:uid="{00000000-0010-0000-AE00-00000C000000}" name="int"/>
    <tableColumn id="13" xr3:uid="{00000000-0010-0000-AE00-00000D000000}" name="car"/>
    <tableColumn id="14" xr3:uid="{00000000-0010-0000-AE00-00000E000000}" name="r_yd"/>
    <tableColumn id="15" xr3:uid="{00000000-0010-0000-AE00-00000F000000}" name="r_td"/>
    <tableColumn id="16" xr3:uid="{00000000-0010-0000-AE00-000010000000}" name="tgt"/>
    <tableColumn id="17" xr3:uid="{00000000-0010-0000-AE00-000011000000}" name="rec"/>
    <tableColumn id="18" xr3:uid="{00000000-0010-0000-AE00-000012000000}" name="rec_yd"/>
    <tableColumn id="19" xr3:uid="{00000000-0010-0000-AE00-000013000000}" name="rec_td"/>
    <tableColumn id="20" xr3:uid="{00000000-0010-0000-AE00-000014000000}" name="fmb"/>
    <tableColumn id="21" xr3:uid="{00000000-0010-0000-AE00-000015000000}" name="tp_c"/>
    <tableColumn id="22" xr3:uid="{00000000-0010-0000-AE00-000016000000}" name="f_ppr"/>
    <tableColumn id="23" xr3:uid="{00000000-0010-0000-AE00-000017000000}" name="tgt_share"/>
    <tableColumn id="24" xr3:uid="{00000000-0010-0000-AE00-000018000000}" name="ypc"/>
    <tableColumn id="25" xr3:uid="{00000000-0010-0000-AE00-000019000000}" name="ypr"/>
    <tableColumn id="26" xr3:uid="{00000000-0010-0000-AE00-00001A000000}" name="cmp_pct"/>
    <tableColumn id="27" xr3:uid="{00000000-0010-0000-AE00-00001B000000}" name="td_rate"/>
    <tableColumn id="28" xr3:uid="{00000000-0010-0000-AE00-00001C000000}" name="f_custom"/>
  </tableColumns>
  <tableStyleInfo name="TableStyleLight9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X15" totalsRowShown="0">
  <autoFilter ref="A1:X15" xr:uid="{00000000-0009-0000-0100-0000B2000000}"/>
  <tableColumns count="24">
    <tableColumn id="1" xr3:uid="{00000000-0010-0000-AF00-000001000000}" name="player_name"/>
    <tableColumn id="2" xr3:uid="{00000000-0010-0000-AF00-000002000000}" name="recent_team"/>
    <tableColumn id="3" xr3:uid="{00000000-0010-0000-AF00-000003000000}" name="pos"/>
    <tableColumn id="4" xr3:uid="{00000000-0010-0000-AF00-000004000000}" name="g"/>
    <tableColumn id="5" xr3:uid="{00000000-0010-0000-AF00-000005000000}" name="p_att"/>
    <tableColumn id="6" xr3:uid="{00000000-0010-0000-AF00-000006000000}" name="cmp"/>
    <tableColumn id="7" xr3:uid="{00000000-0010-0000-AF00-000007000000}" name="p_yd"/>
    <tableColumn id="8" xr3:uid="{00000000-0010-0000-AF00-000008000000}" name="p_td"/>
    <tableColumn id="9" xr3:uid="{00000000-0010-0000-AF00-000009000000}" name="int"/>
    <tableColumn id="10" xr3:uid="{00000000-0010-0000-AF00-00000A000000}" name="car"/>
    <tableColumn id="11" xr3:uid="{00000000-0010-0000-AF00-00000B000000}" name="r_yd"/>
    <tableColumn id="12" xr3:uid="{00000000-0010-0000-AF00-00000C000000}" name="r_td"/>
    <tableColumn id="13" xr3:uid="{00000000-0010-0000-AF00-00000D000000}" name="tgt"/>
    <tableColumn id="14" xr3:uid="{00000000-0010-0000-AF00-00000E000000}" name="rec"/>
    <tableColumn id="15" xr3:uid="{00000000-0010-0000-AF00-00000F000000}" name="rec_yd"/>
    <tableColumn id="16" xr3:uid="{00000000-0010-0000-AF00-000010000000}" name="rec_td"/>
    <tableColumn id="17" xr3:uid="{00000000-0010-0000-AF00-000011000000}" name="fmb"/>
    <tableColumn id="18" xr3:uid="{00000000-0010-0000-AF00-000012000000}" name="tp_c"/>
    <tableColumn id="19" xr3:uid="{00000000-0010-0000-AF00-000013000000}" name="f_ppr"/>
    <tableColumn id="20" xr3:uid="{00000000-0010-0000-AF00-000014000000}" name="tgt_share"/>
    <tableColumn id="21" xr3:uid="{00000000-0010-0000-AF00-000015000000}" name="ypc"/>
    <tableColumn id="22" xr3:uid="{00000000-0010-0000-AF00-000016000000}" name="ypr"/>
    <tableColumn id="23" xr3:uid="{00000000-0010-0000-AF00-000017000000}" name="cmp_pct"/>
    <tableColumn id="24" xr3:uid="{00000000-0010-0000-AF00-000018000000}" name="td_rate"/>
  </tableColumns>
  <tableStyleInfo name="TableStyleLight9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L31" totalsRowShown="0">
  <autoFilter ref="A30:L31" xr:uid="{00000000-0009-0000-0100-0000B3000000}"/>
  <tableColumns count="12">
    <tableColumn id="1" xr3:uid="{00000000-0010-0000-B000-000001000000}" name="team"/>
    <tableColumn id="2" xr3:uid="{00000000-0010-0000-B000-000002000000}" name="off_yd"/>
    <tableColumn id="3" xr3:uid="{00000000-0010-0000-B000-000003000000}" name="p_yd"/>
    <tableColumn id="4" xr3:uid="{00000000-0010-0000-B000-000004000000}" name="car"/>
    <tableColumn id="5" xr3:uid="{00000000-0010-0000-B000-000005000000}" name="r_yd"/>
    <tableColumn id="6" xr3:uid="{00000000-0010-0000-B000-000006000000}" name="r_td"/>
    <tableColumn id="7" xr3:uid="{00000000-0010-0000-B000-000007000000}" name="p_ff"/>
    <tableColumn id="8" xr3:uid="{00000000-0010-0000-B000-000008000000}" name="p_att"/>
    <tableColumn id="9" xr3:uid="{00000000-0010-0000-B000-000009000000}" name="cmp_pct"/>
    <tableColumn id="10" xr3:uid="{00000000-0010-0000-B000-00000A000000}" name="p_td"/>
    <tableColumn id="11" xr3:uid="{00000000-0010-0000-B000-00000B000000}" name="int"/>
    <tableColumn id="12" xr3:uid="{00000000-0010-0000-B000-00000C000000}" name="fmb"/>
  </tableColumns>
  <tableStyleInfo name="TableStyleLight9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L33" totalsRowShown="0">
  <autoFilter ref="A32:L33" xr:uid="{00000000-0009-0000-0100-0000B4000000}"/>
  <tableColumns count="12">
    <tableColumn id="1" xr3:uid="{00000000-0010-0000-B100-000001000000}" name="team">
      <calculatedColumnFormula>A31</calculatedColumnFormula>
    </tableColumn>
    <tableColumn id="2" xr3:uid="{00000000-0010-0000-B100-000002000000}" name="off_yd">
      <calculatedColumnFormula>C33 + E33</calculatedColumnFormula>
    </tableColumn>
    <tableColumn id="3" xr3:uid="{00000000-0010-0000-B100-000003000000}" name="p_yd">
      <calculatedColumnFormula>SUM(INDIRECT(A33 &amp; "_Table4[[#All],[p_yd]]"))</calculatedColumnFormula>
    </tableColumn>
    <tableColumn id="4" xr3:uid="{00000000-0010-0000-B1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>
      <calculatedColumnFormula>SUM(INDIRECT(A33 &amp; "_Table4[[#All],[cmp]]"))/H33</calculatedColumnFormula>
    </tableColumn>
    <tableColumn id="10" xr3:uid="{00000000-0010-0000-B1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>
  <autoFilter ref="A35:AB39" xr:uid="{00000000-0009-0000-0100-0000B5000000}"/>
  <tableColumns count="28">
    <tableColumn id="1" xr3:uid="{00000000-0010-0000-B200-000001000000}" name="Name"/>
    <tableColumn id="2" xr3:uid="{00000000-0010-0000-B200-000002000000}" name="POS"/>
    <tableColumn id="3" xr3:uid="{00000000-0010-0000-B200-000003000000}" name="Age"/>
    <tableColumn id="4" xr3:uid="{00000000-0010-0000-B200-000004000000}" name="Exp"/>
    <tableColumn id="5" xr3:uid="{00000000-0010-0000-B200-000005000000}" name="College"/>
    <tableColumn id="6" xr3:uid="{00000000-0010-0000-B200-000006000000}" name="team"/>
    <tableColumn id="7" xr3:uid="{00000000-0010-0000-B200-000007000000}" name="g"/>
    <tableColumn id="8" xr3:uid="{00000000-0010-0000-B200-000008000000}" name="p_att"/>
    <tableColumn id="9" xr3:uid="{00000000-0010-0000-B200-000009000000}" name="cmp"/>
    <tableColumn id="10" xr3:uid="{00000000-0010-0000-B200-00000A000000}" name="p_yd"/>
    <tableColumn id="11" xr3:uid="{00000000-0010-0000-B200-00000B000000}" name="p_td"/>
    <tableColumn id="12" xr3:uid="{00000000-0010-0000-B200-00000C000000}" name="int"/>
    <tableColumn id="13" xr3:uid="{00000000-0010-0000-B200-00000D000000}" name="car"/>
    <tableColumn id="14" xr3:uid="{00000000-0010-0000-B200-00000E000000}" name="r_yd"/>
    <tableColumn id="15" xr3:uid="{00000000-0010-0000-B200-00000F000000}" name="r_td"/>
    <tableColumn id="16" xr3:uid="{00000000-0010-0000-B200-000010000000}" name="tgt"/>
    <tableColumn id="17" xr3:uid="{00000000-0010-0000-B200-000011000000}" name="rec"/>
    <tableColumn id="18" xr3:uid="{00000000-0010-0000-B200-000012000000}" name="rec_yd"/>
    <tableColumn id="19" xr3:uid="{00000000-0010-0000-B200-000013000000}" name="rec_td"/>
    <tableColumn id="20" xr3:uid="{00000000-0010-0000-B200-000014000000}" name="fmb"/>
    <tableColumn id="21" xr3:uid="{00000000-0010-0000-B200-000015000000}" name="tp_c"/>
    <tableColumn id="22" xr3:uid="{00000000-0010-0000-B200-000016000000}" name="f_ppr"/>
    <tableColumn id="23" xr3:uid="{00000000-0010-0000-B200-000017000000}" name="tgt_share"/>
    <tableColumn id="24" xr3:uid="{00000000-0010-0000-B200-000018000000}" name="ypc"/>
    <tableColumn id="25" xr3:uid="{00000000-0010-0000-B200-000019000000}" name="ypr"/>
    <tableColumn id="26" xr3:uid="{00000000-0010-0000-B200-00001A000000}" name="cmp_pct"/>
    <tableColumn id="27" xr3:uid="{00000000-0010-0000-B200-00001B000000}" name="td_rate"/>
    <tableColumn id="28" xr3:uid="{00000000-0010-0000-B200-00001C000000}" name="f_custom"/>
  </tableColumns>
  <tableStyleInfo name="TableStyleLight9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>
  <autoFilter ref="A45:AB51" xr:uid="{00000000-0009-0000-0100-0000B6000000}"/>
  <tableColumns count="28">
    <tableColumn id="1" xr3:uid="{00000000-0010-0000-B300-000001000000}" name="Name"/>
    <tableColumn id="2" xr3:uid="{00000000-0010-0000-B300-000002000000}" name="POS"/>
    <tableColumn id="3" xr3:uid="{00000000-0010-0000-B300-000003000000}" name="Age"/>
    <tableColumn id="4" xr3:uid="{00000000-0010-0000-B300-000004000000}" name="Exp"/>
    <tableColumn id="5" xr3:uid="{00000000-0010-0000-B300-000005000000}" name="College"/>
    <tableColumn id="6" xr3:uid="{00000000-0010-0000-B300-000006000000}" name="team"/>
    <tableColumn id="7" xr3:uid="{00000000-0010-0000-B300-000007000000}" name="g"/>
    <tableColumn id="8" xr3:uid="{00000000-0010-0000-B300-000008000000}" name="p_att"/>
    <tableColumn id="9" xr3:uid="{00000000-0010-0000-B300-000009000000}" name="cmp"/>
    <tableColumn id="10" xr3:uid="{00000000-0010-0000-B300-00000A000000}" name="p_yd"/>
    <tableColumn id="11" xr3:uid="{00000000-0010-0000-B300-00000B000000}" name="p_td"/>
    <tableColumn id="12" xr3:uid="{00000000-0010-0000-B300-00000C000000}" name="int"/>
    <tableColumn id="13" xr3:uid="{00000000-0010-0000-B300-00000D000000}" name="car"/>
    <tableColumn id="14" xr3:uid="{00000000-0010-0000-B300-00000E000000}" name="r_yd"/>
    <tableColumn id="15" xr3:uid="{00000000-0010-0000-B300-00000F000000}" name="r_td"/>
    <tableColumn id="16" xr3:uid="{00000000-0010-0000-B300-000010000000}" name="tgt"/>
    <tableColumn id="17" xr3:uid="{00000000-0010-0000-B300-000011000000}" name="rec"/>
    <tableColumn id="18" xr3:uid="{00000000-0010-0000-B300-000012000000}" name="rec_yd"/>
    <tableColumn id="19" xr3:uid="{00000000-0010-0000-B300-000013000000}" name="rec_td"/>
    <tableColumn id="20" xr3:uid="{00000000-0010-0000-B300-000014000000}" name="fmb"/>
    <tableColumn id="21" xr3:uid="{00000000-0010-0000-B300-000015000000}" name="tp_c"/>
    <tableColumn id="22" xr3:uid="{00000000-0010-0000-B300-000016000000}" name="f_ppr"/>
    <tableColumn id="23" xr3:uid="{00000000-0010-0000-B300-000017000000}" name="tgt_share"/>
    <tableColumn id="24" xr3:uid="{00000000-0010-0000-B300-000018000000}" name="ypc"/>
    <tableColumn id="25" xr3:uid="{00000000-0010-0000-B300-000019000000}" name="ypr"/>
    <tableColumn id="26" xr3:uid="{00000000-0010-0000-B300-00001A000000}" name="cmp_pct"/>
    <tableColumn id="27" xr3:uid="{00000000-0010-0000-B300-00001B000000}" name="td_rate"/>
    <tableColumn id="28" xr3:uid="{00000000-0010-0000-B3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>
  <autoFilter ref="A60:AB73" xr:uid="{00000000-0009-0000-0100-0000B7000000}"/>
  <tableColumns count="28">
    <tableColumn id="1" xr3:uid="{00000000-0010-0000-B400-000001000000}" name="Name"/>
    <tableColumn id="2" xr3:uid="{00000000-0010-0000-B400-000002000000}" name="POS"/>
    <tableColumn id="3" xr3:uid="{00000000-0010-0000-B400-000003000000}" name="Age"/>
    <tableColumn id="4" xr3:uid="{00000000-0010-0000-B400-000004000000}" name="Exp"/>
    <tableColumn id="5" xr3:uid="{00000000-0010-0000-B400-000005000000}" name="College"/>
    <tableColumn id="6" xr3:uid="{00000000-0010-0000-B400-000006000000}" name="team"/>
    <tableColumn id="7" xr3:uid="{00000000-0010-0000-B400-000007000000}" name="g"/>
    <tableColumn id="8" xr3:uid="{00000000-0010-0000-B400-000008000000}" name="p_att"/>
    <tableColumn id="9" xr3:uid="{00000000-0010-0000-B400-000009000000}" name="cmp"/>
    <tableColumn id="10" xr3:uid="{00000000-0010-0000-B400-00000A000000}" name="p_yd"/>
    <tableColumn id="11" xr3:uid="{00000000-0010-0000-B400-00000B000000}" name="p_td"/>
    <tableColumn id="12" xr3:uid="{00000000-0010-0000-B400-00000C000000}" name="int"/>
    <tableColumn id="13" xr3:uid="{00000000-0010-0000-B400-00000D000000}" name="car"/>
    <tableColumn id="14" xr3:uid="{00000000-0010-0000-B400-00000E000000}" name="r_yd"/>
    <tableColumn id="15" xr3:uid="{00000000-0010-0000-B400-00000F000000}" name="r_td"/>
    <tableColumn id="16" xr3:uid="{00000000-0010-0000-B400-000010000000}" name="tgt"/>
    <tableColumn id="17" xr3:uid="{00000000-0010-0000-B400-000011000000}" name="rec"/>
    <tableColumn id="18" xr3:uid="{00000000-0010-0000-B400-000012000000}" name="rec_yd"/>
    <tableColumn id="19" xr3:uid="{00000000-0010-0000-B400-000013000000}" name="rec_td"/>
    <tableColumn id="20" xr3:uid="{00000000-0010-0000-B400-000014000000}" name="fmb"/>
    <tableColumn id="21" xr3:uid="{00000000-0010-0000-B400-000015000000}" name="tp_c"/>
    <tableColumn id="22" xr3:uid="{00000000-0010-0000-B400-000016000000}" name="f_ppr"/>
    <tableColumn id="23" xr3:uid="{00000000-0010-0000-B400-000017000000}" name="tgt_share"/>
    <tableColumn id="24" xr3:uid="{00000000-0010-0000-B400-000018000000}" name="ypc"/>
    <tableColumn id="25" xr3:uid="{00000000-0010-0000-B400-000019000000}" name="ypr"/>
    <tableColumn id="26" xr3:uid="{00000000-0010-0000-B400-00001A000000}" name="cmp_pct"/>
    <tableColumn id="27" xr3:uid="{00000000-0010-0000-B400-00001B000000}" name="td_rate"/>
    <tableColumn id="28" xr3:uid="{00000000-0010-0000-B400-00001C000000}" name="f_custom"/>
  </tableColumns>
  <tableStyleInfo name="TableStyleLight9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>
  <autoFilter ref="A75:AB81" xr:uid="{00000000-0009-0000-0100-0000B8000000}"/>
  <tableColumns count="28">
    <tableColumn id="1" xr3:uid="{00000000-0010-0000-B500-000001000000}" name="Name"/>
    <tableColumn id="2" xr3:uid="{00000000-0010-0000-B500-000002000000}" name="POS"/>
    <tableColumn id="3" xr3:uid="{00000000-0010-0000-B500-000003000000}" name="Age"/>
    <tableColumn id="4" xr3:uid="{00000000-0010-0000-B500-000004000000}" name="Exp"/>
    <tableColumn id="5" xr3:uid="{00000000-0010-0000-B500-000005000000}" name="College"/>
    <tableColumn id="6" xr3:uid="{00000000-0010-0000-B500-000006000000}" name="team"/>
    <tableColumn id="7" xr3:uid="{00000000-0010-0000-B500-000007000000}" name="g"/>
    <tableColumn id="8" xr3:uid="{00000000-0010-0000-B500-000008000000}" name="p_att"/>
    <tableColumn id="9" xr3:uid="{00000000-0010-0000-B500-000009000000}" name="cmp"/>
    <tableColumn id="10" xr3:uid="{00000000-0010-0000-B500-00000A000000}" name="p_yd"/>
    <tableColumn id="11" xr3:uid="{00000000-0010-0000-B500-00000B000000}" name="p_td"/>
    <tableColumn id="12" xr3:uid="{00000000-0010-0000-B500-00000C000000}" name="int"/>
    <tableColumn id="13" xr3:uid="{00000000-0010-0000-B500-00000D000000}" name="car"/>
    <tableColumn id="14" xr3:uid="{00000000-0010-0000-B500-00000E000000}" name="r_yd"/>
    <tableColumn id="15" xr3:uid="{00000000-0010-0000-B500-00000F000000}" name="r_td"/>
    <tableColumn id="16" xr3:uid="{00000000-0010-0000-B500-000010000000}" name="tgt"/>
    <tableColumn id="17" xr3:uid="{00000000-0010-0000-B500-000011000000}" name="rec"/>
    <tableColumn id="18" xr3:uid="{00000000-0010-0000-B500-000012000000}" name="rec_yd"/>
    <tableColumn id="19" xr3:uid="{00000000-0010-0000-B500-000013000000}" name="rec_td"/>
    <tableColumn id="20" xr3:uid="{00000000-0010-0000-B500-000014000000}" name="fmb"/>
    <tableColumn id="21" xr3:uid="{00000000-0010-0000-B500-000015000000}" name="tp_c"/>
    <tableColumn id="22" xr3:uid="{00000000-0010-0000-B500-000016000000}" name="f_ppr"/>
    <tableColumn id="23" xr3:uid="{00000000-0010-0000-B500-000017000000}" name="tgt_share"/>
    <tableColumn id="24" xr3:uid="{00000000-0010-0000-B500-000018000000}" name="ypc"/>
    <tableColumn id="25" xr3:uid="{00000000-0010-0000-B500-000019000000}" name="ypr"/>
    <tableColumn id="26" xr3:uid="{00000000-0010-0000-B500-00001A000000}" name="cmp_pct"/>
    <tableColumn id="27" xr3:uid="{00000000-0010-0000-B500-00001B000000}" name="td_rate"/>
    <tableColumn id="28" xr3:uid="{00000000-0010-0000-B500-00001C000000}" name="f_custom"/>
  </tableColumns>
  <tableStyleInfo name="TableStyleLight9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X18" totalsRowShown="0">
  <autoFilter ref="A1:X18" xr:uid="{00000000-0009-0000-0100-0000B9000000}"/>
  <tableColumns count="24">
    <tableColumn id="1" xr3:uid="{00000000-0010-0000-B600-000001000000}" name="player_name"/>
    <tableColumn id="2" xr3:uid="{00000000-0010-0000-B600-000002000000}" name="recent_team"/>
    <tableColumn id="3" xr3:uid="{00000000-0010-0000-B600-000003000000}" name="pos"/>
    <tableColumn id="4" xr3:uid="{00000000-0010-0000-B600-000004000000}" name="g"/>
    <tableColumn id="5" xr3:uid="{00000000-0010-0000-B600-000005000000}" name="p_att"/>
    <tableColumn id="6" xr3:uid="{00000000-0010-0000-B600-000006000000}" name="cmp"/>
    <tableColumn id="7" xr3:uid="{00000000-0010-0000-B600-000007000000}" name="p_yd"/>
    <tableColumn id="8" xr3:uid="{00000000-0010-0000-B600-000008000000}" name="p_td"/>
    <tableColumn id="9" xr3:uid="{00000000-0010-0000-B600-000009000000}" name="int"/>
    <tableColumn id="10" xr3:uid="{00000000-0010-0000-B600-00000A000000}" name="car"/>
    <tableColumn id="11" xr3:uid="{00000000-0010-0000-B600-00000B000000}" name="r_yd"/>
    <tableColumn id="12" xr3:uid="{00000000-0010-0000-B600-00000C000000}" name="r_td"/>
    <tableColumn id="13" xr3:uid="{00000000-0010-0000-B600-00000D000000}" name="tgt"/>
    <tableColumn id="14" xr3:uid="{00000000-0010-0000-B600-00000E000000}" name="rec"/>
    <tableColumn id="15" xr3:uid="{00000000-0010-0000-B600-00000F000000}" name="rec_yd"/>
    <tableColumn id="16" xr3:uid="{00000000-0010-0000-B600-000010000000}" name="rec_td"/>
    <tableColumn id="17" xr3:uid="{00000000-0010-0000-B600-000011000000}" name="fmb"/>
    <tableColumn id="18" xr3:uid="{00000000-0010-0000-B600-000012000000}" name="tp_c"/>
    <tableColumn id="19" xr3:uid="{00000000-0010-0000-B600-000013000000}" name="f_ppr"/>
    <tableColumn id="20" xr3:uid="{00000000-0010-0000-B600-000014000000}" name="tgt_share"/>
    <tableColumn id="21" xr3:uid="{00000000-0010-0000-B600-000015000000}" name="ypc"/>
    <tableColumn id="22" xr3:uid="{00000000-0010-0000-B600-000016000000}" name="ypr"/>
    <tableColumn id="23" xr3:uid="{00000000-0010-0000-B600-000017000000}" name="cmp_pct"/>
    <tableColumn id="24" xr3:uid="{00000000-0010-0000-B600-000018000000}" name="td_rate"/>
  </tableColumns>
  <tableStyleInfo name="TableStyleLight9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L31" totalsRowShown="0">
  <autoFilter ref="A30:L31" xr:uid="{00000000-0009-0000-0100-0000BA000000}"/>
  <tableColumns count="12">
    <tableColumn id="1" xr3:uid="{00000000-0010-0000-B700-000001000000}" name="team"/>
    <tableColumn id="2" xr3:uid="{00000000-0010-0000-B700-000002000000}" name="off_yd"/>
    <tableColumn id="3" xr3:uid="{00000000-0010-0000-B700-000003000000}" name="p_yd"/>
    <tableColumn id="4" xr3:uid="{00000000-0010-0000-B700-000004000000}" name="car"/>
    <tableColumn id="5" xr3:uid="{00000000-0010-0000-B700-000005000000}" name="r_yd"/>
    <tableColumn id="6" xr3:uid="{00000000-0010-0000-B700-000006000000}" name="r_td"/>
    <tableColumn id="7" xr3:uid="{00000000-0010-0000-B700-000007000000}" name="p_ff"/>
    <tableColumn id="8" xr3:uid="{00000000-0010-0000-B700-000008000000}" name="p_att"/>
    <tableColumn id="9" xr3:uid="{00000000-0010-0000-B700-000009000000}" name="cmp_pct"/>
    <tableColumn id="10" xr3:uid="{00000000-0010-0000-B700-00000A000000}" name="p_td"/>
    <tableColumn id="11" xr3:uid="{00000000-0010-0000-B700-00000B000000}" name="int"/>
    <tableColumn id="12" xr3:uid="{00000000-0010-0000-B700-00000C000000}" name="fmb"/>
  </tableColumns>
  <tableStyleInfo name="TableStyleLight9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L33" totalsRowShown="0">
  <autoFilter ref="A32:L33" xr:uid="{00000000-0009-0000-0100-0000BB000000}"/>
  <tableColumns count="12">
    <tableColumn id="1" xr3:uid="{00000000-0010-0000-B800-000001000000}" name="team">
      <calculatedColumnFormula>A31</calculatedColumnFormula>
    </tableColumn>
    <tableColumn id="2" xr3:uid="{00000000-0010-0000-B800-000002000000}" name="off_yd">
      <calculatedColumnFormula>C33 + E33</calculatedColumnFormula>
    </tableColumn>
    <tableColumn id="3" xr3:uid="{00000000-0010-0000-B800-000003000000}" name="p_yd">
      <calculatedColumnFormula>SUM(INDIRECT(A33 &amp; "_Table4[[#All],[p_yd]]"))</calculatedColumnFormula>
    </tableColumn>
    <tableColumn id="4" xr3:uid="{00000000-0010-0000-B8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>
      <calculatedColumnFormula>SUM(INDIRECT(A33 &amp; "_Table4[[#All],[cmp]]"))/H33</calculatedColumnFormula>
    </tableColumn>
    <tableColumn id="10" xr3:uid="{00000000-0010-0000-B8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>
  <autoFilter ref="A35:AB39" xr:uid="{00000000-0009-0000-0100-0000BC000000}"/>
  <tableColumns count="28">
    <tableColumn id="1" xr3:uid="{00000000-0010-0000-B900-000001000000}" name="Name"/>
    <tableColumn id="2" xr3:uid="{00000000-0010-0000-B900-000002000000}" name="POS"/>
    <tableColumn id="3" xr3:uid="{00000000-0010-0000-B900-000003000000}" name="Age"/>
    <tableColumn id="4" xr3:uid="{00000000-0010-0000-B900-000004000000}" name="Exp"/>
    <tableColumn id="5" xr3:uid="{00000000-0010-0000-B900-000005000000}" name="College"/>
    <tableColumn id="6" xr3:uid="{00000000-0010-0000-B900-000006000000}" name="team"/>
    <tableColumn id="7" xr3:uid="{00000000-0010-0000-B900-000007000000}" name="g"/>
    <tableColumn id="8" xr3:uid="{00000000-0010-0000-B900-000008000000}" name="p_att"/>
    <tableColumn id="9" xr3:uid="{00000000-0010-0000-B900-000009000000}" name="cmp"/>
    <tableColumn id="10" xr3:uid="{00000000-0010-0000-B900-00000A000000}" name="p_yd"/>
    <tableColumn id="11" xr3:uid="{00000000-0010-0000-B900-00000B000000}" name="p_td"/>
    <tableColumn id="12" xr3:uid="{00000000-0010-0000-B900-00000C000000}" name="int"/>
    <tableColumn id="13" xr3:uid="{00000000-0010-0000-B900-00000D000000}" name="car"/>
    <tableColumn id="14" xr3:uid="{00000000-0010-0000-B900-00000E000000}" name="r_yd"/>
    <tableColumn id="15" xr3:uid="{00000000-0010-0000-B900-00000F000000}" name="r_td"/>
    <tableColumn id="16" xr3:uid="{00000000-0010-0000-B900-000010000000}" name="tgt"/>
    <tableColumn id="17" xr3:uid="{00000000-0010-0000-B900-000011000000}" name="rec"/>
    <tableColumn id="18" xr3:uid="{00000000-0010-0000-B900-000012000000}" name="rec_yd"/>
    <tableColumn id="19" xr3:uid="{00000000-0010-0000-B900-000013000000}" name="rec_td"/>
    <tableColumn id="20" xr3:uid="{00000000-0010-0000-B900-000014000000}" name="fmb"/>
    <tableColumn id="21" xr3:uid="{00000000-0010-0000-B900-000015000000}" name="tp_c"/>
    <tableColumn id="22" xr3:uid="{00000000-0010-0000-B900-000016000000}" name="f_ppr"/>
    <tableColumn id="23" xr3:uid="{00000000-0010-0000-B900-000017000000}" name="tgt_share"/>
    <tableColumn id="24" xr3:uid="{00000000-0010-0000-B900-000018000000}" name="ypc"/>
    <tableColumn id="25" xr3:uid="{00000000-0010-0000-B900-000019000000}" name="ypr"/>
    <tableColumn id="26" xr3:uid="{00000000-0010-0000-B900-00001A000000}" name="cmp_pct"/>
    <tableColumn id="27" xr3:uid="{00000000-0010-0000-B900-00001B000000}" name="td_rate"/>
    <tableColumn id="28" xr3:uid="{00000000-0010-0000-B900-00001C000000}" name="f_custom"/>
  </tableColumns>
  <tableStyleInfo name="TableStyleLight9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>
  <autoFilter ref="A45:AB52" xr:uid="{00000000-0009-0000-0100-0000BD000000}"/>
  <tableColumns count="28">
    <tableColumn id="1" xr3:uid="{00000000-0010-0000-BA00-000001000000}" name="Name"/>
    <tableColumn id="2" xr3:uid="{00000000-0010-0000-BA00-000002000000}" name="POS"/>
    <tableColumn id="3" xr3:uid="{00000000-0010-0000-BA00-000003000000}" name="Age"/>
    <tableColumn id="4" xr3:uid="{00000000-0010-0000-BA00-000004000000}" name="Exp"/>
    <tableColumn id="5" xr3:uid="{00000000-0010-0000-BA00-000005000000}" name="College"/>
    <tableColumn id="6" xr3:uid="{00000000-0010-0000-BA00-000006000000}" name="team"/>
    <tableColumn id="7" xr3:uid="{00000000-0010-0000-BA00-000007000000}" name="g"/>
    <tableColumn id="8" xr3:uid="{00000000-0010-0000-BA00-000008000000}" name="p_att"/>
    <tableColumn id="9" xr3:uid="{00000000-0010-0000-BA00-000009000000}" name="cmp"/>
    <tableColumn id="10" xr3:uid="{00000000-0010-0000-BA00-00000A000000}" name="p_yd"/>
    <tableColumn id="11" xr3:uid="{00000000-0010-0000-BA00-00000B000000}" name="p_td"/>
    <tableColumn id="12" xr3:uid="{00000000-0010-0000-BA00-00000C000000}" name="int"/>
    <tableColumn id="13" xr3:uid="{00000000-0010-0000-BA00-00000D000000}" name="car"/>
    <tableColumn id="14" xr3:uid="{00000000-0010-0000-BA00-00000E000000}" name="r_yd"/>
    <tableColumn id="15" xr3:uid="{00000000-0010-0000-BA00-00000F000000}" name="r_td"/>
    <tableColumn id="16" xr3:uid="{00000000-0010-0000-BA00-000010000000}" name="tgt"/>
    <tableColumn id="17" xr3:uid="{00000000-0010-0000-BA00-000011000000}" name="rec"/>
    <tableColumn id="18" xr3:uid="{00000000-0010-0000-BA00-000012000000}" name="rec_yd"/>
    <tableColumn id="19" xr3:uid="{00000000-0010-0000-BA00-000013000000}" name="rec_td"/>
    <tableColumn id="20" xr3:uid="{00000000-0010-0000-BA00-000014000000}" name="fmb"/>
    <tableColumn id="21" xr3:uid="{00000000-0010-0000-BA00-000015000000}" name="tp_c"/>
    <tableColumn id="22" xr3:uid="{00000000-0010-0000-BA00-000016000000}" name="f_ppr"/>
    <tableColumn id="23" xr3:uid="{00000000-0010-0000-BA00-000017000000}" name="tgt_share"/>
    <tableColumn id="24" xr3:uid="{00000000-0010-0000-BA00-000018000000}" name="ypc"/>
    <tableColumn id="25" xr3:uid="{00000000-0010-0000-BA00-000019000000}" name="ypr"/>
    <tableColumn id="26" xr3:uid="{00000000-0010-0000-BA00-00001A000000}" name="cmp_pct"/>
    <tableColumn id="27" xr3:uid="{00000000-0010-0000-BA00-00001B000000}" name="td_rate"/>
    <tableColumn id="28" xr3:uid="{00000000-0010-0000-BA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>
  <autoFilter ref="A60:AB71" xr:uid="{00000000-0009-0000-0100-0000BE000000}"/>
  <tableColumns count="28">
    <tableColumn id="1" xr3:uid="{00000000-0010-0000-BB00-000001000000}" name="Name"/>
    <tableColumn id="2" xr3:uid="{00000000-0010-0000-BB00-000002000000}" name="POS"/>
    <tableColumn id="3" xr3:uid="{00000000-0010-0000-BB00-000003000000}" name="Age"/>
    <tableColumn id="4" xr3:uid="{00000000-0010-0000-BB00-000004000000}" name="Exp"/>
    <tableColumn id="5" xr3:uid="{00000000-0010-0000-BB00-000005000000}" name="College"/>
    <tableColumn id="6" xr3:uid="{00000000-0010-0000-BB00-000006000000}" name="team"/>
    <tableColumn id="7" xr3:uid="{00000000-0010-0000-BB00-000007000000}" name="g"/>
    <tableColumn id="8" xr3:uid="{00000000-0010-0000-BB00-000008000000}" name="p_att"/>
    <tableColumn id="9" xr3:uid="{00000000-0010-0000-BB00-000009000000}" name="cmp"/>
    <tableColumn id="10" xr3:uid="{00000000-0010-0000-BB00-00000A000000}" name="p_yd"/>
    <tableColumn id="11" xr3:uid="{00000000-0010-0000-BB00-00000B000000}" name="p_td"/>
    <tableColumn id="12" xr3:uid="{00000000-0010-0000-BB00-00000C000000}" name="int"/>
    <tableColumn id="13" xr3:uid="{00000000-0010-0000-BB00-00000D000000}" name="car"/>
    <tableColumn id="14" xr3:uid="{00000000-0010-0000-BB00-00000E000000}" name="r_yd"/>
    <tableColumn id="15" xr3:uid="{00000000-0010-0000-BB00-00000F000000}" name="r_td"/>
    <tableColumn id="16" xr3:uid="{00000000-0010-0000-BB00-000010000000}" name="tgt"/>
    <tableColumn id="17" xr3:uid="{00000000-0010-0000-BB00-000011000000}" name="rec"/>
    <tableColumn id="18" xr3:uid="{00000000-0010-0000-BB00-000012000000}" name="rec_yd"/>
    <tableColumn id="19" xr3:uid="{00000000-0010-0000-BB00-000013000000}" name="rec_td"/>
    <tableColumn id="20" xr3:uid="{00000000-0010-0000-BB00-000014000000}" name="fmb"/>
    <tableColumn id="21" xr3:uid="{00000000-0010-0000-BB00-000015000000}" name="tp_c"/>
    <tableColumn id="22" xr3:uid="{00000000-0010-0000-BB00-000016000000}" name="f_ppr"/>
    <tableColumn id="23" xr3:uid="{00000000-0010-0000-BB00-000017000000}" name="tgt_share"/>
    <tableColumn id="24" xr3:uid="{00000000-0010-0000-BB00-000018000000}" name="ypc"/>
    <tableColumn id="25" xr3:uid="{00000000-0010-0000-BB00-000019000000}" name="ypr"/>
    <tableColumn id="26" xr3:uid="{00000000-0010-0000-BB00-00001A000000}" name="cmp_pct"/>
    <tableColumn id="27" xr3:uid="{00000000-0010-0000-BB00-00001B000000}" name="td_rate"/>
    <tableColumn id="28" xr3:uid="{00000000-0010-0000-BB00-00001C000000}" name="f_custom"/>
  </tableColumns>
  <tableStyleInfo name="TableStyleLight9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>
  <autoFilter ref="A75:AB80" xr:uid="{00000000-0009-0000-0100-0000BF000000}"/>
  <tableColumns count="28">
    <tableColumn id="1" xr3:uid="{00000000-0010-0000-BC00-000001000000}" name="Name"/>
    <tableColumn id="2" xr3:uid="{00000000-0010-0000-BC00-000002000000}" name="POS"/>
    <tableColumn id="3" xr3:uid="{00000000-0010-0000-BC00-000003000000}" name="Age"/>
    <tableColumn id="4" xr3:uid="{00000000-0010-0000-BC00-000004000000}" name="Exp"/>
    <tableColumn id="5" xr3:uid="{00000000-0010-0000-BC00-000005000000}" name="College"/>
    <tableColumn id="6" xr3:uid="{00000000-0010-0000-BC00-000006000000}" name="team"/>
    <tableColumn id="7" xr3:uid="{00000000-0010-0000-BC00-000007000000}" name="g"/>
    <tableColumn id="8" xr3:uid="{00000000-0010-0000-BC00-000008000000}" name="p_att"/>
    <tableColumn id="9" xr3:uid="{00000000-0010-0000-BC00-000009000000}" name="cmp"/>
    <tableColumn id="10" xr3:uid="{00000000-0010-0000-BC00-00000A000000}" name="p_yd"/>
    <tableColumn id="11" xr3:uid="{00000000-0010-0000-BC00-00000B000000}" name="p_td"/>
    <tableColumn id="12" xr3:uid="{00000000-0010-0000-BC00-00000C000000}" name="int"/>
    <tableColumn id="13" xr3:uid="{00000000-0010-0000-BC00-00000D000000}" name="car"/>
    <tableColumn id="14" xr3:uid="{00000000-0010-0000-BC00-00000E000000}" name="r_yd"/>
    <tableColumn id="15" xr3:uid="{00000000-0010-0000-BC00-00000F000000}" name="r_td"/>
    <tableColumn id="16" xr3:uid="{00000000-0010-0000-BC00-000010000000}" name="tgt"/>
    <tableColumn id="17" xr3:uid="{00000000-0010-0000-BC00-000011000000}" name="rec"/>
    <tableColumn id="18" xr3:uid="{00000000-0010-0000-BC00-000012000000}" name="rec_yd"/>
    <tableColumn id="19" xr3:uid="{00000000-0010-0000-BC00-000013000000}" name="rec_td"/>
    <tableColumn id="20" xr3:uid="{00000000-0010-0000-BC00-000014000000}" name="fmb"/>
    <tableColumn id="21" xr3:uid="{00000000-0010-0000-BC00-000015000000}" name="tp_c"/>
    <tableColumn id="22" xr3:uid="{00000000-0010-0000-BC00-000016000000}" name="f_ppr"/>
    <tableColumn id="23" xr3:uid="{00000000-0010-0000-BC00-000017000000}" name="tgt_share"/>
    <tableColumn id="24" xr3:uid="{00000000-0010-0000-BC00-000018000000}" name="ypc"/>
    <tableColumn id="25" xr3:uid="{00000000-0010-0000-BC00-000019000000}" name="ypr"/>
    <tableColumn id="26" xr3:uid="{00000000-0010-0000-BC00-00001A000000}" name="cmp_pct"/>
    <tableColumn id="27" xr3:uid="{00000000-0010-0000-BC00-00001B000000}" name="td_rate"/>
    <tableColumn id="28" xr3:uid="{00000000-0010-0000-BC00-00001C000000}" name="f_custom"/>
  </tableColumns>
  <tableStyleInfo name="TableStyleLight9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X20" totalsRowShown="0">
  <autoFilter ref="A1:X20" xr:uid="{00000000-0009-0000-0100-0000C0000000}"/>
  <tableColumns count="24">
    <tableColumn id="1" xr3:uid="{00000000-0010-0000-BD00-000001000000}" name="player_name"/>
    <tableColumn id="2" xr3:uid="{00000000-0010-0000-BD00-000002000000}" name="recent_team"/>
    <tableColumn id="3" xr3:uid="{00000000-0010-0000-BD00-000003000000}" name="pos"/>
    <tableColumn id="4" xr3:uid="{00000000-0010-0000-BD00-000004000000}" name="g"/>
    <tableColumn id="5" xr3:uid="{00000000-0010-0000-BD00-000005000000}" name="p_att"/>
    <tableColumn id="6" xr3:uid="{00000000-0010-0000-BD00-000006000000}" name="cmp"/>
    <tableColumn id="7" xr3:uid="{00000000-0010-0000-BD00-000007000000}" name="p_yd"/>
    <tableColumn id="8" xr3:uid="{00000000-0010-0000-BD00-000008000000}" name="p_td"/>
    <tableColumn id="9" xr3:uid="{00000000-0010-0000-BD00-000009000000}" name="int"/>
    <tableColumn id="10" xr3:uid="{00000000-0010-0000-BD00-00000A000000}" name="car"/>
    <tableColumn id="11" xr3:uid="{00000000-0010-0000-BD00-00000B000000}" name="r_yd"/>
    <tableColumn id="12" xr3:uid="{00000000-0010-0000-BD00-00000C000000}" name="r_td"/>
    <tableColumn id="13" xr3:uid="{00000000-0010-0000-BD00-00000D000000}" name="tgt"/>
    <tableColumn id="14" xr3:uid="{00000000-0010-0000-BD00-00000E000000}" name="rec"/>
    <tableColumn id="15" xr3:uid="{00000000-0010-0000-BD00-00000F000000}" name="rec_yd"/>
    <tableColumn id="16" xr3:uid="{00000000-0010-0000-BD00-000010000000}" name="rec_td"/>
    <tableColumn id="17" xr3:uid="{00000000-0010-0000-BD00-000011000000}" name="fmb"/>
    <tableColumn id="18" xr3:uid="{00000000-0010-0000-BD00-000012000000}" name="tp_c"/>
    <tableColumn id="19" xr3:uid="{00000000-0010-0000-BD00-000013000000}" name="f_ppr"/>
    <tableColumn id="20" xr3:uid="{00000000-0010-0000-BD00-000014000000}" name="tgt_share"/>
    <tableColumn id="21" xr3:uid="{00000000-0010-0000-BD00-000015000000}" name="ypc"/>
    <tableColumn id="22" xr3:uid="{00000000-0010-0000-BD00-000016000000}" name="ypr"/>
    <tableColumn id="23" xr3:uid="{00000000-0010-0000-BD00-000017000000}" name="cmp_pct"/>
    <tableColumn id="24" xr3:uid="{00000000-0010-0000-BD00-000018000000}" name="td_rate"/>
  </tableColumns>
  <tableStyleInfo name="TableStyleLight9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L31" totalsRowShown="0">
  <autoFilter ref="A30:L31" xr:uid="{00000000-0009-0000-0100-0000C1000000}"/>
  <tableColumns count="12">
    <tableColumn id="1" xr3:uid="{00000000-0010-0000-BE00-000001000000}" name="team"/>
    <tableColumn id="2" xr3:uid="{00000000-0010-0000-BE00-000002000000}" name="off_yd"/>
    <tableColumn id="3" xr3:uid="{00000000-0010-0000-BE00-000003000000}" name="p_yd"/>
    <tableColumn id="4" xr3:uid="{00000000-0010-0000-BE00-000004000000}" name="car"/>
    <tableColumn id="5" xr3:uid="{00000000-0010-0000-BE00-000005000000}" name="r_yd"/>
    <tableColumn id="6" xr3:uid="{00000000-0010-0000-BE00-000006000000}" name="r_td"/>
    <tableColumn id="7" xr3:uid="{00000000-0010-0000-BE00-000007000000}" name="p_ff"/>
    <tableColumn id="8" xr3:uid="{00000000-0010-0000-BE00-000008000000}" name="p_att"/>
    <tableColumn id="9" xr3:uid="{00000000-0010-0000-BE00-000009000000}" name="cmp_pct"/>
    <tableColumn id="10" xr3:uid="{00000000-0010-0000-BE00-00000A000000}" name="p_td"/>
    <tableColumn id="11" xr3:uid="{00000000-0010-0000-BE00-00000B000000}" name="int"/>
    <tableColumn id="12" xr3:uid="{00000000-0010-0000-BE00-00000C000000}" name="fmb"/>
  </tableColumns>
  <tableStyleInfo name="TableStyleLight9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L33" totalsRowShown="0">
  <autoFilter ref="A32:L33" xr:uid="{00000000-0009-0000-0100-0000C2000000}"/>
  <tableColumns count="12">
    <tableColumn id="1" xr3:uid="{00000000-0010-0000-BF00-000001000000}" name="team">
      <calculatedColumnFormula>A31</calculatedColumnFormula>
    </tableColumn>
    <tableColumn id="2" xr3:uid="{00000000-0010-0000-BF00-000002000000}" name="off_yd">
      <calculatedColumnFormula>C33 + E33</calculatedColumnFormula>
    </tableColumn>
    <tableColumn id="3" xr3:uid="{00000000-0010-0000-BF00-000003000000}" name="p_yd">
      <calculatedColumnFormula>SUM(INDIRECT(A33 &amp; "_Table4[[#All],[p_yd]]"))</calculatedColumnFormula>
    </tableColumn>
    <tableColumn id="4" xr3:uid="{00000000-0010-0000-BF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>
      <calculatedColumnFormula>SUM(INDIRECT(A33 &amp; "_Table4[[#All],[cmp]]"))/H33</calculatedColumnFormula>
    </tableColumn>
    <tableColumn id="10" xr3:uid="{00000000-0010-0000-BF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>
  <autoFilter ref="A35:AB38" xr:uid="{00000000-0009-0000-0100-0000C3000000}"/>
  <tableColumns count="28">
    <tableColumn id="1" xr3:uid="{00000000-0010-0000-C000-000001000000}" name="Name"/>
    <tableColumn id="2" xr3:uid="{00000000-0010-0000-C000-000002000000}" name="POS"/>
    <tableColumn id="3" xr3:uid="{00000000-0010-0000-C000-000003000000}" name="Age"/>
    <tableColumn id="4" xr3:uid="{00000000-0010-0000-C000-000004000000}" name="Exp"/>
    <tableColumn id="5" xr3:uid="{00000000-0010-0000-C000-000005000000}" name="College"/>
    <tableColumn id="6" xr3:uid="{00000000-0010-0000-C000-000006000000}" name="team"/>
    <tableColumn id="7" xr3:uid="{00000000-0010-0000-C000-000007000000}" name="g"/>
    <tableColumn id="8" xr3:uid="{00000000-0010-0000-C000-000008000000}" name="p_att"/>
    <tableColumn id="9" xr3:uid="{00000000-0010-0000-C000-000009000000}" name="cmp"/>
    <tableColumn id="10" xr3:uid="{00000000-0010-0000-C000-00000A000000}" name="p_yd"/>
    <tableColumn id="11" xr3:uid="{00000000-0010-0000-C000-00000B000000}" name="p_td"/>
    <tableColumn id="12" xr3:uid="{00000000-0010-0000-C000-00000C000000}" name="int"/>
    <tableColumn id="13" xr3:uid="{00000000-0010-0000-C000-00000D000000}" name="car"/>
    <tableColumn id="14" xr3:uid="{00000000-0010-0000-C000-00000E000000}" name="r_yd"/>
    <tableColumn id="15" xr3:uid="{00000000-0010-0000-C000-00000F000000}" name="r_td"/>
    <tableColumn id="16" xr3:uid="{00000000-0010-0000-C000-000010000000}" name="tgt"/>
    <tableColumn id="17" xr3:uid="{00000000-0010-0000-C000-000011000000}" name="rec"/>
    <tableColumn id="18" xr3:uid="{00000000-0010-0000-C000-000012000000}" name="rec_yd"/>
    <tableColumn id="19" xr3:uid="{00000000-0010-0000-C000-000013000000}" name="rec_td"/>
    <tableColumn id="20" xr3:uid="{00000000-0010-0000-C000-000014000000}" name="fmb"/>
    <tableColumn id="21" xr3:uid="{00000000-0010-0000-C000-000015000000}" name="tp_c"/>
    <tableColumn id="22" xr3:uid="{00000000-0010-0000-C000-000016000000}" name="f_ppr"/>
    <tableColumn id="23" xr3:uid="{00000000-0010-0000-C000-000017000000}" name="tgt_share"/>
    <tableColumn id="24" xr3:uid="{00000000-0010-0000-C000-000018000000}" name="ypc"/>
    <tableColumn id="25" xr3:uid="{00000000-0010-0000-C000-000019000000}" name="ypr"/>
    <tableColumn id="26" xr3:uid="{00000000-0010-0000-C000-00001A000000}" name="cmp_pct"/>
    <tableColumn id="27" xr3:uid="{00000000-0010-0000-C000-00001B000000}" name="td_rate"/>
    <tableColumn id="28" xr3:uid="{00000000-0010-0000-C000-00001C000000}" name="f_custom"/>
  </tableColumns>
  <tableStyleInfo name="TableStyleLight9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>
  <autoFilter ref="A45:AB52" xr:uid="{00000000-0009-0000-0100-0000C4000000}"/>
  <tableColumns count="28">
    <tableColumn id="1" xr3:uid="{00000000-0010-0000-C100-000001000000}" name="Name"/>
    <tableColumn id="2" xr3:uid="{00000000-0010-0000-C100-000002000000}" name="POS"/>
    <tableColumn id="3" xr3:uid="{00000000-0010-0000-C100-000003000000}" name="Age"/>
    <tableColumn id="4" xr3:uid="{00000000-0010-0000-C100-000004000000}" name="Exp"/>
    <tableColumn id="5" xr3:uid="{00000000-0010-0000-C100-000005000000}" name="College"/>
    <tableColumn id="6" xr3:uid="{00000000-0010-0000-C100-000006000000}" name="team"/>
    <tableColumn id="7" xr3:uid="{00000000-0010-0000-C100-000007000000}" name="g"/>
    <tableColumn id="8" xr3:uid="{00000000-0010-0000-C100-000008000000}" name="p_att"/>
    <tableColumn id="9" xr3:uid="{00000000-0010-0000-C100-000009000000}" name="cmp"/>
    <tableColumn id="10" xr3:uid="{00000000-0010-0000-C100-00000A000000}" name="p_yd"/>
    <tableColumn id="11" xr3:uid="{00000000-0010-0000-C100-00000B000000}" name="p_td"/>
    <tableColumn id="12" xr3:uid="{00000000-0010-0000-C100-00000C000000}" name="int"/>
    <tableColumn id="13" xr3:uid="{00000000-0010-0000-C100-00000D000000}" name="car"/>
    <tableColumn id="14" xr3:uid="{00000000-0010-0000-C100-00000E000000}" name="r_yd"/>
    <tableColumn id="15" xr3:uid="{00000000-0010-0000-C100-00000F000000}" name="r_td"/>
    <tableColumn id="16" xr3:uid="{00000000-0010-0000-C100-000010000000}" name="tgt"/>
    <tableColumn id="17" xr3:uid="{00000000-0010-0000-C100-000011000000}" name="rec"/>
    <tableColumn id="18" xr3:uid="{00000000-0010-0000-C100-000012000000}" name="rec_yd"/>
    <tableColumn id="19" xr3:uid="{00000000-0010-0000-C100-000013000000}" name="rec_td"/>
    <tableColumn id="20" xr3:uid="{00000000-0010-0000-C100-000014000000}" name="fmb"/>
    <tableColumn id="21" xr3:uid="{00000000-0010-0000-C100-000015000000}" name="tp_c"/>
    <tableColumn id="22" xr3:uid="{00000000-0010-0000-C100-000016000000}" name="f_ppr"/>
    <tableColumn id="23" xr3:uid="{00000000-0010-0000-C100-000017000000}" name="tgt_share"/>
    <tableColumn id="24" xr3:uid="{00000000-0010-0000-C100-000018000000}" name="ypc"/>
    <tableColumn id="25" xr3:uid="{00000000-0010-0000-C100-000019000000}" name="ypr"/>
    <tableColumn id="26" xr3:uid="{00000000-0010-0000-C100-00001A000000}" name="cmp_pct"/>
    <tableColumn id="27" xr3:uid="{00000000-0010-0000-C100-00001B000000}" name="td_rate"/>
    <tableColumn id="28" xr3:uid="{00000000-0010-0000-C1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>
  <autoFilter ref="A60:AB73" xr:uid="{00000000-0009-0000-0100-0000C5000000}"/>
  <tableColumns count="28">
    <tableColumn id="1" xr3:uid="{00000000-0010-0000-C200-000001000000}" name="Name"/>
    <tableColumn id="2" xr3:uid="{00000000-0010-0000-C200-000002000000}" name="POS"/>
    <tableColumn id="3" xr3:uid="{00000000-0010-0000-C200-000003000000}" name="Age"/>
    <tableColumn id="4" xr3:uid="{00000000-0010-0000-C200-000004000000}" name="Exp"/>
    <tableColumn id="5" xr3:uid="{00000000-0010-0000-C200-000005000000}" name="College"/>
    <tableColumn id="6" xr3:uid="{00000000-0010-0000-C200-000006000000}" name="team"/>
    <tableColumn id="7" xr3:uid="{00000000-0010-0000-C200-000007000000}" name="g"/>
    <tableColumn id="8" xr3:uid="{00000000-0010-0000-C200-000008000000}" name="p_att"/>
    <tableColumn id="9" xr3:uid="{00000000-0010-0000-C200-000009000000}" name="cmp"/>
    <tableColumn id="10" xr3:uid="{00000000-0010-0000-C200-00000A000000}" name="p_yd"/>
    <tableColumn id="11" xr3:uid="{00000000-0010-0000-C200-00000B000000}" name="p_td"/>
    <tableColumn id="12" xr3:uid="{00000000-0010-0000-C200-00000C000000}" name="int"/>
    <tableColumn id="13" xr3:uid="{00000000-0010-0000-C200-00000D000000}" name="car"/>
    <tableColumn id="14" xr3:uid="{00000000-0010-0000-C200-00000E000000}" name="r_yd"/>
    <tableColumn id="15" xr3:uid="{00000000-0010-0000-C200-00000F000000}" name="r_td"/>
    <tableColumn id="16" xr3:uid="{00000000-0010-0000-C200-000010000000}" name="tgt"/>
    <tableColumn id="17" xr3:uid="{00000000-0010-0000-C200-000011000000}" name="rec"/>
    <tableColumn id="18" xr3:uid="{00000000-0010-0000-C200-000012000000}" name="rec_yd"/>
    <tableColumn id="19" xr3:uid="{00000000-0010-0000-C200-000013000000}" name="rec_td"/>
    <tableColumn id="20" xr3:uid="{00000000-0010-0000-C200-000014000000}" name="fmb"/>
    <tableColumn id="21" xr3:uid="{00000000-0010-0000-C200-000015000000}" name="tp_c"/>
    <tableColumn id="22" xr3:uid="{00000000-0010-0000-C200-000016000000}" name="f_ppr"/>
    <tableColumn id="23" xr3:uid="{00000000-0010-0000-C200-000017000000}" name="tgt_share"/>
    <tableColumn id="24" xr3:uid="{00000000-0010-0000-C200-000018000000}" name="ypc"/>
    <tableColumn id="25" xr3:uid="{00000000-0010-0000-C200-000019000000}" name="ypr"/>
    <tableColumn id="26" xr3:uid="{00000000-0010-0000-C200-00001A000000}" name="cmp_pct"/>
    <tableColumn id="27" xr3:uid="{00000000-0010-0000-C200-00001B000000}" name="td_rate"/>
    <tableColumn id="28" xr3:uid="{00000000-0010-0000-C200-00001C000000}" name="f_custom"/>
  </tableColumns>
  <tableStyleInfo name="TableStyleLight9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>
  <autoFilter ref="A75:AB80" xr:uid="{00000000-0009-0000-0100-0000C6000000}"/>
  <tableColumns count="28">
    <tableColumn id="1" xr3:uid="{00000000-0010-0000-C300-000001000000}" name="Name"/>
    <tableColumn id="2" xr3:uid="{00000000-0010-0000-C300-000002000000}" name="POS"/>
    <tableColumn id="3" xr3:uid="{00000000-0010-0000-C300-000003000000}" name="Age"/>
    <tableColumn id="4" xr3:uid="{00000000-0010-0000-C300-000004000000}" name="Exp"/>
    <tableColumn id="5" xr3:uid="{00000000-0010-0000-C300-000005000000}" name="College"/>
    <tableColumn id="6" xr3:uid="{00000000-0010-0000-C300-000006000000}" name="team"/>
    <tableColumn id="7" xr3:uid="{00000000-0010-0000-C300-000007000000}" name="g"/>
    <tableColumn id="8" xr3:uid="{00000000-0010-0000-C300-000008000000}" name="p_att"/>
    <tableColumn id="9" xr3:uid="{00000000-0010-0000-C300-000009000000}" name="cmp"/>
    <tableColumn id="10" xr3:uid="{00000000-0010-0000-C300-00000A000000}" name="p_yd"/>
    <tableColumn id="11" xr3:uid="{00000000-0010-0000-C300-00000B000000}" name="p_td"/>
    <tableColumn id="12" xr3:uid="{00000000-0010-0000-C300-00000C000000}" name="int"/>
    <tableColumn id="13" xr3:uid="{00000000-0010-0000-C300-00000D000000}" name="car"/>
    <tableColumn id="14" xr3:uid="{00000000-0010-0000-C300-00000E000000}" name="r_yd"/>
    <tableColumn id="15" xr3:uid="{00000000-0010-0000-C300-00000F000000}" name="r_td"/>
    <tableColumn id="16" xr3:uid="{00000000-0010-0000-C300-000010000000}" name="tgt"/>
    <tableColumn id="17" xr3:uid="{00000000-0010-0000-C300-000011000000}" name="rec"/>
    <tableColumn id="18" xr3:uid="{00000000-0010-0000-C300-000012000000}" name="rec_yd"/>
    <tableColumn id="19" xr3:uid="{00000000-0010-0000-C300-000013000000}" name="rec_td"/>
    <tableColumn id="20" xr3:uid="{00000000-0010-0000-C300-000014000000}" name="fmb"/>
    <tableColumn id="21" xr3:uid="{00000000-0010-0000-C300-000015000000}" name="tp_c"/>
    <tableColumn id="22" xr3:uid="{00000000-0010-0000-C300-000016000000}" name="f_ppr"/>
    <tableColumn id="23" xr3:uid="{00000000-0010-0000-C300-000017000000}" name="tgt_share"/>
    <tableColumn id="24" xr3:uid="{00000000-0010-0000-C300-000018000000}" name="ypc"/>
    <tableColumn id="25" xr3:uid="{00000000-0010-0000-C300-000019000000}" name="ypr"/>
    <tableColumn id="26" xr3:uid="{00000000-0010-0000-C300-00001A000000}" name="cmp_pct"/>
    <tableColumn id="27" xr3:uid="{00000000-0010-0000-C300-00001B000000}" name="td_rate"/>
    <tableColumn id="28" xr3:uid="{00000000-0010-0000-C300-00001C000000}" name="f_custom"/>
  </tableColumns>
  <tableStyleInfo name="TableStyleLight9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X21" totalsRowShown="0">
  <autoFilter ref="A1:X21" xr:uid="{00000000-0009-0000-0100-0000C7000000}"/>
  <tableColumns count="24">
    <tableColumn id="1" xr3:uid="{00000000-0010-0000-C400-000001000000}" name="player_name"/>
    <tableColumn id="2" xr3:uid="{00000000-0010-0000-C400-000002000000}" name="recent_team"/>
    <tableColumn id="3" xr3:uid="{00000000-0010-0000-C400-000003000000}" name="pos"/>
    <tableColumn id="4" xr3:uid="{00000000-0010-0000-C400-000004000000}" name="g"/>
    <tableColumn id="5" xr3:uid="{00000000-0010-0000-C400-000005000000}" name="p_att"/>
    <tableColumn id="6" xr3:uid="{00000000-0010-0000-C400-000006000000}" name="cmp"/>
    <tableColumn id="7" xr3:uid="{00000000-0010-0000-C400-000007000000}" name="p_yd"/>
    <tableColumn id="8" xr3:uid="{00000000-0010-0000-C400-000008000000}" name="p_td"/>
    <tableColumn id="9" xr3:uid="{00000000-0010-0000-C400-000009000000}" name="int"/>
    <tableColumn id="10" xr3:uid="{00000000-0010-0000-C400-00000A000000}" name="car"/>
    <tableColumn id="11" xr3:uid="{00000000-0010-0000-C400-00000B000000}" name="r_yd"/>
    <tableColumn id="12" xr3:uid="{00000000-0010-0000-C400-00000C000000}" name="r_td"/>
    <tableColumn id="13" xr3:uid="{00000000-0010-0000-C400-00000D000000}" name="tgt"/>
    <tableColumn id="14" xr3:uid="{00000000-0010-0000-C400-00000E000000}" name="rec"/>
    <tableColumn id="15" xr3:uid="{00000000-0010-0000-C400-00000F000000}" name="rec_yd"/>
    <tableColumn id="16" xr3:uid="{00000000-0010-0000-C400-000010000000}" name="rec_td"/>
    <tableColumn id="17" xr3:uid="{00000000-0010-0000-C400-000011000000}" name="fmb"/>
    <tableColumn id="18" xr3:uid="{00000000-0010-0000-C400-000012000000}" name="tp_c"/>
    <tableColumn id="19" xr3:uid="{00000000-0010-0000-C400-000013000000}" name="f_ppr"/>
    <tableColumn id="20" xr3:uid="{00000000-0010-0000-C400-000014000000}" name="tgt_share"/>
    <tableColumn id="21" xr3:uid="{00000000-0010-0000-C400-000015000000}" name="ypc"/>
    <tableColumn id="22" xr3:uid="{00000000-0010-0000-C400-000016000000}" name="ypr"/>
    <tableColumn id="23" xr3:uid="{00000000-0010-0000-C400-000017000000}" name="cmp_pct"/>
    <tableColumn id="24" xr3:uid="{00000000-0010-0000-C400-000018000000}" name="td_rate"/>
  </tableColumns>
  <tableStyleInfo name="TableStyleLight9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L31" totalsRowShown="0">
  <autoFilter ref="A30:L31" xr:uid="{00000000-0009-0000-0100-0000C8000000}"/>
  <tableColumns count="12">
    <tableColumn id="1" xr3:uid="{00000000-0010-0000-C500-000001000000}" name="team"/>
    <tableColumn id="2" xr3:uid="{00000000-0010-0000-C500-000002000000}" name="off_yd"/>
    <tableColumn id="3" xr3:uid="{00000000-0010-0000-C500-000003000000}" name="p_yd"/>
    <tableColumn id="4" xr3:uid="{00000000-0010-0000-C500-000004000000}" name="car"/>
    <tableColumn id="5" xr3:uid="{00000000-0010-0000-C500-000005000000}" name="r_yd"/>
    <tableColumn id="6" xr3:uid="{00000000-0010-0000-C500-000006000000}" name="r_td"/>
    <tableColumn id="7" xr3:uid="{00000000-0010-0000-C500-000007000000}" name="p_ff"/>
    <tableColumn id="8" xr3:uid="{00000000-0010-0000-C500-000008000000}" name="p_att"/>
    <tableColumn id="9" xr3:uid="{00000000-0010-0000-C500-000009000000}" name="cmp_pct"/>
    <tableColumn id="10" xr3:uid="{00000000-0010-0000-C500-00000A000000}" name="p_td"/>
    <tableColumn id="11" xr3:uid="{00000000-0010-0000-C500-00000B000000}" name="int"/>
    <tableColumn id="12" xr3:uid="{00000000-0010-0000-C500-00000C000000}" name="fmb"/>
  </tableColumns>
  <tableStyleInfo name="TableStyleLight9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L33" totalsRowShown="0">
  <autoFilter ref="A32:L33" xr:uid="{00000000-0009-0000-0100-0000C9000000}"/>
  <tableColumns count="12">
    <tableColumn id="1" xr3:uid="{00000000-0010-0000-C600-000001000000}" name="team">
      <calculatedColumnFormula>A31</calculatedColumnFormula>
    </tableColumn>
    <tableColumn id="2" xr3:uid="{00000000-0010-0000-C600-000002000000}" name="off_yd">
      <calculatedColumnFormula>C33 + E33</calculatedColumnFormula>
    </tableColumn>
    <tableColumn id="3" xr3:uid="{00000000-0010-0000-C600-000003000000}" name="p_yd">
      <calculatedColumnFormula>SUM(INDIRECT(A33 &amp; "_Table4[[#All],[p_yd]]"))</calculatedColumnFormula>
    </tableColumn>
    <tableColumn id="4" xr3:uid="{00000000-0010-0000-C6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>
      <calculatedColumnFormula>SUM(INDIRECT(A33 &amp; "_Table4[[#All],[cmp]]"))/H33</calculatedColumnFormula>
    </tableColumn>
    <tableColumn id="10" xr3:uid="{00000000-0010-0000-C6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>
  <autoFilter ref="A35:AB39" xr:uid="{00000000-0009-0000-0100-0000CA000000}"/>
  <tableColumns count="28">
    <tableColumn id="1" xr3:uid="{00000000-0010-0000-C700-000001000000}" name="Name"/>
    <tableColumn id="2" xr3:uid="{00000000-0010-0000-C700-000002000000}" name="POS"/>
    <tableColumn id="3" xr3:uid="{00000000-0010-0000-C700-000003000000}" name="Age"/>
    <tableColumn id="4" xr3:uid="{00000000-0010-0000-C700-000004000000}" name="Exp"/>
    <tableColumn id="5" xr3:uid="{00000000-0010-0000-C700-000005000000}" name="College"/>
    <tableColumn id="6" xr3:uid="{00000000-0010-0000-C700-000006000000}" name="team"/>
    <tableColumn id="7" xr3:uid="{00000000-0010-0000-C700-000007000000}" name="g"/>
    <tableColumn id="8" xr3:uid="{00000000-0010-0000-C700-000008000000}" name="p_att"/>
    <tableColumn id="9" xr3:uid="{00000000-0010-0000-C700-000009000000}" name="cmp"/>
    <tableColumn id="10" xr3:uid="{00000000-0010-0000-C700-00000A000000}" name="p_yd"/>
    <tableColumn id="11" xr3:uid="{00000000-0010-0000-C700-00000B000000}" name="p_td"/>
    <tableColumn id="12" xr3:uid="{00000000-0010-0000-C700-00000C000000}" name="int"/>
    <tableColumn id="13" xr3:uid="{00000000-0010-0000-C700-00000D000000}" name="car"/>
    <tableColumn id="14" xr3:uid="{00000000-0010-0000-C700-00000E000000}" name="r_yd"/>
    <tableColumn id="15" xr3:uid="{00000000-0010-0000-C700-00000F000000}" name="r_td"/>
    <tableColumn id="16" xr3:uid="{00000000-0010-0000-C700-000010000000}" name="tgt"/>
    <tableColumn id="17" xr3:uid="{00000000-0010-0000-C700-000011000000}" name="rec"/>
    <tableColumn id="18" xr3:uid="{00000000-0010-0000-C700-000012000000}" name="rec_yd"/>
    <tableColumn id="19" xr3:uid="{00000000-0010-0000-C700-000013000000}" name="rec_td"/>
    <tableColumn id="20" xr3:uid="{00000000-0010-0000-C700-000014000000}" name="fmb"/>
    <tableColumn id="21" xr3:uid="{00000000-0010-0000-C700-000015000000}" name="tp_c"/>
    <tableColumn id="22" xr3:uid="{00000000-0010-0000-C700-000016000000}" name="f_ppr"/>
    <tableColumn id="23" xr3:uid="{00000000-0010-0000-C700-000017000000}" name="tgt_share"/>
    <tableColumn id="24" xr3:uid="{00000000-0010-0000-C700-000018000000}" name="ypc"/>
    <tableColumn id="25" xr3:uid="{00000000-0010-0000-C700-000019000000}" name="ypr"/>
    <tableColumn id="26" xr3:uid="{00000000-0010-0000-C700-00001A000000}" name="cmp_pct"/>
    <tableColumn id="27" xr3:uid="{00000000-0010-0000-C700-00001B000000}" name="td_rate"/>
    <tableColumn id="28" xr3:uid="{00000000-0010-0000-C700-00001C000000}" name="f_custom"/>
  </tableColumns>
  <tableStyleInfo name="TableStyleLight9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>
  <autoFilter ref="A45:AB51" xr:uid="{00000000-0009-0000-0100-0000CB000000}"/>
  <tableColumns count="28">
    <tableColumn id="1" xr3:uid="{00000000-0010-0000-C800-000001000000}" name="Name"/>
    <tableColumn id="2" xr3:uid="{00000000-0010-0000-C800-000002000000}" name="POS"/>
    <tableColumn id="3" xr3:uid="{00000000-0010-0000-C800-000003000000}" name="Age"/>
    <tableColumn id="4" xr3:uid="{00000000-0010-0000-C800-000004000000}" name="Exp"/>
    <tableColumn id="5" xr3:uid="{00000000-0010-0000-C800-000005000000}" name="College"/>
    <tableColumn id="6" xr3:uid="{00000000-0010-0000-C800-000006000000}" name="team"/>
    <tableColumn id="7" xr3:uid="{00000000-0010-0000-C800-000007000000}" name="g"/>
    <tableColumn id="8" xr3:uid="{00000000-0010-0000-C800-000008000000}" name="p_att"/>
    <tableColumn id="9" xr3:uid="{00000000-0010-0000-C800-000009000000}" name="cmp"/>
    <tableColumn id="10" xr3:uid="{00000000-0010-0000-C800-00000A000000}" name="p_yd"/>
    <tableColumn id="11" xr3:uid="{00000000-0010-0000-C800-00000B000000}" name="p_td"/>
    <tableColumn id="12" xr3:uid="{00000000-0010-0000-C800-00000C000000}" name="int"/>
    <tableColumn id="13" xr3:uid="{00000000-0010-0000-C800-00000D000000}" name="car"/>
    <tableColumn id="14" xr3:uid="{00000000-0010-0000-C800-00000E000000}" name="r_yd"/>
    <tableColumn id="15" xr3:uid="{00000000-0010-0000-C800-00000F000000}" name="r_td"/>
    <tableColumn id="16" xr3:uid="{00000000-0010-0000-C800-000010000000}" name="tgt"/>
    <tableColumn id="17" xr3:uid="{00000000-0010-0000-C800-000011000000}" name="rec"/>
    <tableColumn id="18" xr3:uid="{00000000-0010-0000-C800-000012000000}" name="rec_yd"/>
    <tableColumn id="19" xr3:uid="{00000000-0010-0000-C800-000013000000}" name="rec_td"/>
    <tableColumn id="20" xr3:uid="{00000000-0010-0000-C800-000014000000}" name="fmb"/>
    <tableColumn id="21" xr3:uid="{00000000-0010-0000-C800-000015000000}" name="tp_c"/>
    <tableColumn id="22" xr3:uid="{00000000-0010-0000-C800-000016000000}" name="f_ppr"/>
    <tableColumn id="23" xr3:uid="{00000000-0010-0000-C800-000017000000}" name="tgt_share"/>
    <tableColumn id="24" xr3:uid="{00000000-0010-0000-C800-000018000000}" name="ypc"/>
    <tableColumn id="25" xr3:uid="{00000000-0010-0000-C800-000019000000}" name="ypr"/>
    <tableColumn id="26" xr3:uid="{00000000-0010-0000-C800-00001A000000}" name="cmp_pct"/>
    <tableColumn id="27" xr3:uid="{00000000-0010-0000-C800-00001B000000}" name="td_rate"/>
    <tableColumn id="28" xr3:uid="{00000000-0010-0000-C8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>
  <autoFilter ref="A60:AB71" xr:uid="{00000000-0009-0000-0100-0000CC000000}"/>
  <tableColumns count="28">
    <tableColumn id="1" xr3:uid="{00000000-0010-0000-C900-000001000000}" name="Name"/>
    <tableColumn id="2" xr3:uid="{00000000-0010-0000-C900-000002000000}" name="POS"/>
    <tableColumn id="3" xr3:uid="{00000000-0010-0000-C900-000003000000}" name="Age"/>
    <tableColumn id="4" xr3:uid="{00000000-0010-0000-C900-000004000000}" name="Exp"/>
    <tableColumn id="5" xr3:uid="{00000000-0010-0000-C900-000005000000}" name="College"/>
    <tableColumn id="6" xr3:uid="{00000000-0010-0000-C900-000006000000}" name="team"/>
    <tableColumn id="7" xr3:uid="{00000000-0010-0000-C900-000007000000}" name="g"/>
    <tableColumn id="8" xr3:uid="{00000000-0010-0000-C900-000008000000}" name="p_att"/>
    <tableColumn id="9" xr3:uid="{00000000-0010-0000-C900-000009000000}" name="cmp"/>
    <tableColumn id="10" xr3:uid="{00000000-0010-0000-C900-00000A000000}" name="p_yd"/>
    <tableColumn id="11" xr3:uid="{00000000-0010-0000-C900-00000B000000}" name="p_td"/>
    <tableColumn id="12" xr3:uid="{00000000-0010-0000-C900-00000C000000}" name="int"/>
    <tableColumn id="13" xr3:uid="{00000000-0010-0000-C900-00000D000000}" name="car"/>
    <tableColumn id="14" xr3:uid="{00000000-0010-0000-C900-00000E000000}" name="r_yd"/>
    <tableColumn id="15" xr3:uid="{00000000-0010-0000-C900-00000F000000}" name="r_td"/>
    <tableColumn id="16" xr3:uid="{00000000-0010-0000-C900-000010000000}" name="tgt"/>
    <tableColumn id="17" xr3:uid="{00000000-0010-0000-C900-000011000000}" name="rec"/>
    <tableColumn id="18" xr3:uid="{00000000-0010-0000-C900-000012000000}" name="rec_yd"/>
    <tableColumn id="19" xr3:uid="{00000000-0010-0000-C900-000013000000}" name="rec_td"/>
    <tableColumn id="20" xr3:uid="{00000000-0010-0000-C900-000014000000}" name="fmb"/>
    <tableColumn id="21" xr3:uid="{00000000-0010-0000-C900-000015000000}" name="tp_c"/>
    <tableColumn id="22" xr3:uid="{00000000-0010-0000-C900-000016000000}" name="f_ppr"/>
    <tableColumn id="23" xr3:uid="{00000000-0010-0000-C900-000017000000}" name="tgt_share"/>
    <tableColumn id="24" xr3:uid="{00000000-0010-0000-C900-000018000000}" name="ypc"/>
    <tableColumn id="25" xr3:uid="{00000000-0010-0000-C900-000019000000}" name="ypr"/>
    <tableColumn id="26" xr3:uid="{00000000-0010-0000-C900-00001A000000}" name="cmp_pct"/>
    <tableColumn id="27" xr3:uid="{00000000-0010-0000-C900-00001B000000}" name="td_rate"/>
    <tableColumn id="28" xr3:uid="{00000000-0010-0000-C900-00001C000000}" name="f_custom"/>
  </tableColumns>
  <tableStyleInfo name="TableStyleLight9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>
  <autoFilter ref="A75:AB81" xr:uid="{00000000-0009-0000-0100-0000CD000000}"/>
  <tableColumns count="28">
    <tableColumn id="1" xr3:uid="{00000000-0010-0000-CA00-000001000000}" name="Name"/>
    <tableColumn id="2" xr3:uid="{00000000-0010-0000-CA00-000002000000}" name="POS"/>
    <tableColumn id="3" xr3:uid="{00000000-0010-0000-CA00-000003000000}" name="Age"/>
    <tableColumn id="4" xr3:uid="{00000000-0010-0000-CA00-000004000000}" name="Exp"/>
    <tableColumn id="5" xr3:uid="{00000000-0010-0000-CA00-000005000000}" name="College"/>
    <tableColumn id="6" xr3:uid="{00000000-0010-0000-CA00-000006000000}" name="team"/>
    <tableColumn id="7" xr3:uid="{00000000-0010-0000-CA00-000007000000}" name="g"/>
    <tableColumn id="8" xr3:uid="{00000000-0010-0000-CA00-000008000000}" name="p_att"/>
    <tableColumn id="9" xr3:uid="{00000000-0010-0000-CA00-000009000000}" name="cmp"/>
    <tableColumn id="10" xr3:uid="{00000000-0010-0000-CA00-00000A000000}" name="p_yd"/>
    <tableColumn id="11" xr3:uid="{00000000-0010-0000-CA00-00000B000000}" name="p_td"/>
    <tableColumn id="12" xr3:uid="{00000000-0010-0000-CA00-00000C000000}" name="int"/>
    <tableColumn id="13" xr3:uid="{00000000-0010-0000-CA00-00000D000000}" name="car"/>
    <tableColumn id="14" xr3:uid="{00000000-0010-0000-CA00-00000E000000}" name="r_yd"/>
    <tableColumn id="15" xr3:uid="{00000000-0010-0000-CA00-00000F000000}" name="r_td"/>
    <tableColumn id="16" xr3:uid="{00000000-0010-0000-CA00-000010000000}" name="tgt"/>
    <tableColumn id="17" xr3:uid="{00000000-0010-0000-CA00-000011000000}" name="rec"/>
    <tableColumn id="18" xr3:uid="{00000000-0010-0000-CA00-000012000000}" name="rec_yd"/>
    <tableColumn id="19" xr3:uid="{00000000-0010-0000-CA00-000013000000}" name="rec_td"/>
    <tableColumn id="20" xr3:uid="{00000000-0010-0000-CA00-000014000000}" name="fmb"/>
    <tableColumn id="21" xr3:uid="{00000000-0010-0000-CA00-000015000000}" name="tp_c"/>
    <tableColumn id="22" xr3:uid="{00000000-0010-0000-CA00-000016000000}" name="f_ppr"/>
    <tableColumn id="23" xr3:uid="{00000000-0010-0000-CA00-000017000000}" name="tgt_share"/>
    <tableColumn id="24" xr3:uid="{00000000-0010-0000-CA00-000018000000}" name="ypc"/>
    <tableColumn id="25" xr3:uid="{00000000-0010-0000-CA00-000019000000}" name="ypr"/>
    <tableColumn id="26" xr3:uid="{00000000-0010-0000-CA00-00001A000000}" name="cmp_pct"/>
    <tableColumn id="27" xr3:uid="{00000000-0010-0000-CA00-00001B000000}" name="td_rate"/>
    <tableColumn id="28" xr3:uid="{00000000-0010-0000-CA00-00001C000000}" name="f_custom"/>
  </tableColumns>
  <tableStyleInfo name="TableStyleLight9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X21" totalsRowShown="0">
  <autoFilter ref="A1:X21" xr:uid="{00000000-0009-0000-0100-0000CE000000}"/>
  <tableColumns count="24">
    <tableColumn id="1" xr3:uid="{00000000-0010-0000-CB00-000001000000}" name="player_name"/>
    <tableColumn id="2" xr3:uid="{00000000-0010-0000-CB00-000002000000}" name="recent_team"/>
    <tableColumn id="3" xr3:uid="{00000000-0010-0000-CB00-000003000000}" name="pos"/>
    <tableColumn id="4" xr3:uid="{00000000-0010-0000-CB00-000004000000}" name="g"/>
    <tableColumn id="5" xr3:uid="{00000000-0010-0000-CB00-000005000000}" name="p_att"/>
    <tableColumn id="6" xr3:uid="{00000000-0010-0000-CB00-000006000000}" name="cmp"/>
    <tableColumn id="7" xr3:uid="{00000000-0010-0000-CB00-000007000000}" name="p_yd"/>
    <tableColumn id="8" xr3:uid="{00000000-0010-0000-CB00-000008000000}" name="p_td"/>
    <tableColumn id="9" xr3:uid="{00000000-0010-0000-CB00-000009000000}" name="int"/>
    <tableColumn id="10" xr3:uid="{00000000-0010-0000-CB00-00000A000000}" name="car"/>
    <tableColumn id="11" xr3:uid="{00000000-0010-0000-CB00-00000B000000}" name="r_yd"/>
    <tableColumn id="12" xr3:uid="{00000000-0010-0000-CB00-00000C000000}" name="r_td"/>
    <tableColumn id="13" xr3:uid="{00000000-0010-0000-CB00-00000D000000}" name="tgt"/>
    <tableColumn id="14" xr3:uid="{00000000-0010-0000-CB00-00000E000000}" name="rec"/>
    <tableColumn id="15" xr3:uid="{00000000-0010-0000-CB00-00000F000000}" name="rec_yd"/>
    <tableColumn id="16" xr3:uid="{00000000-0010-0000-CB00-000010000000}" name="rec_td"/>
    <tableColumn id="17" xr3:uid="{00000000-0010-0000-CB00-000011000000}" name="fmb"/>
    <tableColumn id="18" xr3:uid="{00000000-0010-0000-CB00-000012000000}" name="tp_c"/>
    <tableColumn id="19" xr3:uid="{00000000-0010-0000-CB00-000013000000}" name="f_ppr"/>
    <tableColumn id="20" xr3:uid="{00000000-0010-0000-CB00-000014000000}" name="tgt_share"/>
    <tableColumn id="21" xr3:uid="{00000000-0010-0000-CB00-000015000000}" name="ypc"/>
    <tableColumn id="22" xr3:uid="{00000000-0010-0000-CB00-000016000000}" name="ypr"/>
    <tableColumn id="23" xr3:uid="{00000000-0010-0000-CB00-000017000000}" name="cmp_pct"/>
    <tableColumn id="24" xr3:uid="{00000000-0010-0000-CB00-000018000000}" name="td_rate"/>
  </tableColumns>
  <tableStyleInfo name="TableStyleLight9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L31" totalsRowShown="0">
  <autoFilter ref="A30:L31" xr:uid="{00000000-0009-0000-0100-0000CF000000}"/>
  <tableColumns count="12">
    <tableColumn id="1" xr3:uid="{00000000-0010-0000-CC00-000001000000}" name="team"/>
    <tableColumn id="2" xr3:uid="{00000000-0010-0000-CC00-000002000000}" name="off_yd"/>
    <tableColumn id="3" xr3:uid="{00000000-0010-0000-CC00-000003000000}" name="p_yd"/>
    <tableColumn id="4" xr3:uid="{00000000-0010-0000-CC00-000004000000}" name="car"/>
    <tableColumn id="5" xr3:uid="{00000000-0010-0000-CC00-000005000000}" name="r_yd"/>
    <tableColumn id="6" xr3:uid="{00000000-0010-0000-CC00-000006000000}" name="r_td"/>
    <tableColumn id="7" xr3:uid="{00000000-0010-0000-CC00-000007000000}" name="p_ff"/>
    <tableColumn id="8" xr3:uid="{00000000-0010-0000-CC00-000008000000}" name="p_att"/>
    <tableColumn id="9" xr3:uid="{00000000-0010-0000-CC00-000009000000}" name="cmp_pct"/>
    <tableColumn id="10" xr3:uid="{00000000-0010-0000-CC00-00000A000000}" name="p_td"/>
    <tableColumn id="11" xr3:uid="{00000000-0010-0000-CC00-00000B000000}" name="int"/>
    <tableColumn id="12" xr3:uid="{00000000-0010-0000-CC00-00000C000000}" name="fmb"/>
  </tableColumns>
  <tableStyleInfo name="TableStyleLight9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L33" totalsRowShown="0">
  <autoFilter ref="A32:L33" xr:uid="{00000000-0009-0000-0100-0000D0000000}"/>
  <tableColumns count="12">
    <tableColumn id="1" xr3:uid="{00000000-0010-0000-CD00-000001000000}" name="team">
      <calculatedColumnFormula>A31</calculatedColumnFormula>
    </tableColumn>
    <tableColumn id="2" xr3:uid="{00000000-0010-0000-CD00-000002000000}" name="off_yd">
      <calculatedColumnFormula>C33 + E33</calculatedColumnFormula>
    </tableColumn>
    <tableColumn id="3" xr3:uid="{00000000-0010-0000-CD00-000003000000}" name="p_yd">
      <calculatedColumnFormula>SUM(INDIRECT(A33 &amp; "_Table4[[#All],[p_yd]]"))</calculatedColumnFormula>
    </tableColumn>
    <tableColumn id="4" xr3:uid="{00000000-0010-0000-CD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>
      <calculatedColumnFormula>SUM(INDIRECT(A33 &amp; "_Table4[[#All],[cmp]]"))/H33</calculatedColumnFormula>
    </tableColumn>
    <tableColumn id="10" xr3:uid="{00000000-0010-0000-CD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>
  <autoFilter ref="A35:AB38" xr:uid="{00000000-0009-0000-0100-0000D1000000}"/>
  <tableColumns count="28">
    <tableColumn id="1" xr3:uid="{00000000-0010-0000-CE00-000001000000}" name="Name"/>
    <tableColumn id="2" xr3:uid="{00000000-0010-0000-CE00-000002000000}" name="POS"/>
    <tableColumn id="3" xr3:uid="{00000000-0010-0000-CE00-000003000000}" name="Age"/>
    <tableColumn id="4" xr3:uid="{00000000-0010-0000-CE00-000004000000}" name="Exp"/>
    <tableColumn id="5" xr3:uid="{00000000-0010-0000-CE00-000005000000}" name="College"/>
    <tableColumn id="6" xr3:uid="{00000000-0010-0000-CE00-000006000000}" name="team"/>
    <tableColumn id="7" xr3:uid="{00000000-0010-0000-CE00-000007000000}" name="g"/>
    <tableColumn id="8" xr3:uid="{00000000-0010-0000-CE00-000008000000}" name="p_att"/>
    <tableColumn id="9" xr3:uid="{00000000-0010-0000-CE00-000009000000}" name="cmp"/>
    <tableColumn id="10" xr3:uid="{00000000-0010-0000-CE00-00000A000000}" name="p_yd"/>
    <tableColumn id="11" xr3:uid="{00000000-0010-0000-CE00-00000B000000}" name="p_td"/>
    <tableColumn id="12" xr3:uid="{00000000-0010-0000-CE00-00000C000000}" name="int"/>
    <tableColumn id="13" xr3:uid="{00000000-0010-0000-CE00-00000D000000}" name="car"/>
    <tableColumn id="14" xr3:uid="{00000000-0010-0000-CE00-00000E000000}" name="r_yd"/>
    <tableColumn id="15" xr3:uid="{00000000-0010-0000-CE00-00000F000000}" name="r_td"/>
    <tableColumn id="16" xr3:uid="{00000000-0010-0000-CE00-000010000000}" name="tgt"/>
    <tableColumn id="17" xr3:uid="{00000000-0010-0000-CE00-000011000000}" name="rec"/>
    <tableColumn id="18" xr3:uid="{00000000-0010-0000-CE00-000012000000}" name="rec_yd"/>
    <tableColumn id="19" xr3:uid="{00000000-0010-0000-CE00-000013000000}" name="rec_td"/>
    <tableColumn id="20" xr3:uid="{00000000-0010-0000-CE00-000014000000}" name="fmb"/>
    <tableColumn id="21" xr3:uid="{00000000-0010-0000-CE00-000015000000}" name="tp_c"/>
    <tableColumn id="22" xr3:uid="{00000000-0010-0000-CE00-000016000000}" name="f_ppr"/>
    <tableColumn id="23" xr3:uid="{00000000-0010-0000-CE00-000017000000}" name="tgt_share"/>
    <tableColumn id="24" xr3:uid="{00000000-0010-0000-CE00-000018000000}" name="ypc"/>
    <tableColumn id="25" xr3:uid="{00000000-0010-0000-CE00-000019000000}" name="ypr"/>
    <tableColumn id="26" xr3:uid="{00000000-0010-0000-CE00-00001A000000}" name="cmp_pct"/>
    <tableColumn id="27" xr3:uid="{00000000-0010-0000-CE00-00001B000000}" name="td_rate"/>
    <tableColumn id="28" xr3:uid="{00000000-0010-0000-CE00-00001C000000}" name="f_custom"/>
  </tableColumns>
  <tableStyleInfo name="TableStyleLight9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>
  <autoFilter ref="A45:AB51" xr:uid="{00000000-0009-0000-0100-0000D2000000}"/>
  <tableColumns count="28">
    <tableColumn id="1" xr3:uid="{00000000-0010-0000-CF00-000001000000}" name="Name"/>
    <tableColumn id="2" xr3:uid="{00000000-0010-0000-CF00-000002000000}" name="POS"/>
    <tableColumn id="3" xr3:uid="{00000000-0010-0000-CF00-000003000000}" name="Age"/>
    <tableColumn id="4" xr3:uid="{00000000-0010-0000-CF00-000004000000}" name="Exp"/>
    <tableColumn id="5" xr3:uid="{00000000-0010-0000-CF00-000005000000}" name="College"/>
    <tableColumn id="6" xr3:uid="{00000000-0010-0000-CF00-000006000000}" name="team"/>
    <tableColumn id="7" xr3:uid="{00000000-0010-0000-CF00-000007000000}" name="g"/>
    <tableColumn id="8" xr3:uid="{00000000-0010-0000-CF00-000008000000}" name="p_att"/>
    <tableColumn id="9" xr3:uid="{00000000-0010-0000-CF00-000009000000}" name="cmp"/>
    <tableColumn id="10" xr3:uid="{00000000-0010-0000-CF00-00000A000000}" name="p_yd"/>
    <tableColumn id="11" xr3:uid="{00000000-0010-0000-CF00-00000B000000}" name="p_td"/>
    <tableColumn id="12" xr3:uid="{00000000-0010-0000-CF00-00000C000000}" name="int"/>
    <tableColumn id="13" xr3:uid="{00000000-0010-0000-CF00-00000D000000}" name="car"/>
    <tableColumn id="14" xr3:uid="{00000000-0010-0000-CF00-00000E000000}" name="r_yd"/>
    <tableColumn id="15" xr3:uid="{00000000-0010-0000-CF00-00000F000000}" name="r_td"/>
    <tableColumn id="16" xr3:uid="{00000000-0010-0000-CF00-000010000000}" name="tgt"/>
    <tableColumn id="17" xr3:uid="{00000000-0010-0000-CF00-000011000000}" name="rec"/>
    <tableColumn id="18" xr3:uid="{00000000-0010-0000-CF00-000012000000}" name="rec_yd"/>
    <tableColumn id="19" xr3:uid="{00000000-0010-0000-CF00-000013000000}" name="rec_td"/>
    <tableColumn id="20" xr3:uid="{00000000-0010-0000-CF00-000014000000}" name="fmb"/>
    <tableColumn id="21" xr3:uid="{00000000-0010-0000-CF00-000015000000}" name="tp_c"/>
    <tableColumn id="22" xr3:uid="{00000000-0010-0000-CF00-000016000000}" name="f_ppr"/>
    <tableColumn id="23" xr3:uid="{00000000-0010-0000-CF00-000017000000}" name="tgt_share"/>
    <tableColumn id="24" xr3:uid="{00000000-0010-0000-CF00-000018000000}" name="ypc"/>
    <tableColumn id="25" xr3:uid="{00000000-0010-0000-CF00-000019000000}" name="ypr"/>
    <tableColumn id="26" xr3:uid="{00000000-0010-0000-CF00-00001A000000}" name="cmp_pct"/>
    <tableColumn id="27" xr3:uid="{00000000-0010-0000-CF00-00001B000000}" name="td_rate"/>
    <tableColumn id="28" xr3:uid="{00000000-0010-0000-CF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>
  <autoFilter ref="A60:AB72" xr:uid="{00000000-0009-0000-0100-0000D3000000}"/>
  <tableColumns count="28">
    <tableColumn id="1" xr3:uid="{00000000-0010-0000-D000-000001000000}" name="Name"/>
    <tableColumn id="2" xr3:uid="{00000000-0010-0000-D000-000002000000}" name="POS"/>
    <tableColumn id="3" xr3:uid="{00000000-0010-0000-D000-000003000000}" name="Age"/>
    <tableColumn id="4" xr3:uid="{00000000-0010-0000-D000-000004000000}" name="Exp"/>
    <tableColumn id="5" xr3:uid="{00000000-0010-0000-D000-000005000000}" name="College"/>
    <tableColumn id="6" xr3:uid="{00000000-0010-0000-D000-000006000000}" name="team"/>
    <tableColumn id="7" xr3:uid="{00000000-0010-0000-D000-000007000000}" name="g"/>
    <tableColumn id="8" xr3:uid="{00000000-0010-0000-D000-000008000000}" name="p_att"/>
    <tableColumn id="9" xr3:uid="{00000000-0010-0000-D000-000009000000}" name="cmp"/>
    <tableColumn id="10" xr3:uid="{00000000-0010-0000-D000-00000A000000}" name="p_yd"/>
    <tableColumn id="11" xr3:uid="{00000000-0010-0000-D000-00000B000000}" name="p_td"/>
    <tableColumn id="12" xr3:uid="{00000000-0010-0000-D000-00000C000000}" name="int"/>
    <tableColumn id="13" xr3:uid="{00000000-0010-0000-D000-00000D000000}" name="car"/>
    <tableColumn id="14" xr3:uid="{00000000-0010-0000-D000-00000E000000}" name="r_yd"/>
    <tableColumn id="15" xr3:uid="{00000000-0010-0000-D000-00000F000000}" name="r_td"/>
    <tableColumn id="16" xr3:uid="{00000000-0010-0000-D000-000010000000}" name="tgt"/>
    <tableColumn id="17" xr3:uid="{00000000-0010-0000-D000-000011000000}" name="rec"/>
    <tableColumn id="18" xr3:uid="{00000000-0010-0000-D000-000012000000}" name="rec_yd"/>
    <tableColumn id="19" xr3:uid="{00000000-0010-0000-D000-000013000000}" name="rec_td"/>
    <tableColumn id="20" xr3:uid="{00000000-0010-0000-D000-000014000000}" name="fmb"/>
    <tableColumn id="21" xr3:uid="{00000000-0010-0000-D000-000015000000}" name="tp_c"/>
    <tableColumn id="22" xr3:uid="{00000000-0010-0000-D000-000016000000}" name="f_ppr"/>
    <tableColumn id="23" xr3:uid="{00000000-0010-0000-D000-000017000000}" name="tgt_share"/>
    <tableColumn id="24" xr3:uid="{00000000-0010-0000-D000-000018000000}" name="ypc"/>
    <tableColumn id="25" xr3:uid="{00000000-0010-0000-D000-000019000000}" name="ypr"/>
    <tableColumn id="26" xr3:uid="{00000000-0010-0000-D000-00001A000000}" name="cmp_pct"/>
    <tableColumn id="27" xr3:uid="{00000000-0010-0000-D000-00001B000000}" name="td_rate"/>
    <tableColumn id="28" xr3:uid="{00000000-0010-0000-D000-00001C000000}" name="f_custom"/>
  </tableColumns>
  <tableStyleInfo name="TableStyleLight9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>
  <autoFilter ref="A75:AB81" xr:uid="{00000000-0009-0000-0100-0000D4000000}"/>
  <tableColumns count="28">
    <tableColumn id="1" xr3:uid="{00000000-0010-0000-D100-000001000000}" name="Name"/>
    <tableColumn id="2" xr3:uid="{00000000-0010-0000-D100-000002000000}" name="POS"/>
    <tableColumn id="3" xr3:uid="{00000000-0010-0000-D100-000003000000}" name="Age"/>
    <tableColumn id="4" xr3:uid="{00000000-0010-0000-D100-000004000000}" name="Exp"/>
    <tableColumn id="5" xr3:uid="{00000000-0010-0000-D100-000005000000}" name="College"/>
    <tableColumn id="6" xr3:uid="{00000000-0010-0000-D100-000006000000}" name="team"/>
    <tableColumn id="7" xr3:uid="{00000000-0010-0000-D100-000007000000}" name="g"/>
    <tableColumn id="8" xr3:uid="{00000000-0010-0000-D100-000008000000}" name="p_att"/>
    <tableColumn id="9" xr3:uid="{00000000-0010-0000-D100-000009000000}" name="cmp"/>
    <tableColumn id="10" xr3:uid="{00000000-0010-0000-D100-00000A000000}" name="p_yd"/>
    <tableColumn id="11" xr3:uid="{00000000-0010-0000-D100-00000B000000}" name="p_td"/>
    <tableColumn id="12" xr3:uid="{00000000-0010-0000-D100-00000C000000}" name="int"/>
    <tableColumn id="13" xr3:uid="{00000000-0010-0000-D100-00000D000000}" name="car"/>
    <tableColumn id="14" xr3:uid="{00000000-0010-0000-D100-00000E000000}" name="r_yd"/>
    <tableColumn id="15" xr3:uid="{00000000-0010-0000-D100-00000F000000}" name="r_td"/>
    <tableColumn id="16" xr3:uid="{00000000-0010-0000-D100-000010000000}" name="tgt"/>
    <tableColumn id="17" xr3:uid="{00000000-0010-0000-D100-000011000000}" name="rec"/>
    <tableColumn id="18" xr3:uid="{00000000-0010-0000-D100-000012000000}" name="rec_yd"/>
    <tableColumn id="19" xr3:uid="{00000000-0010-0000-D100-000013000000}" name="rec_td"/>
    <tableColumn id="20" xr3:uid="{00000000-0010-0000-D100-000014000000}" name="fmb"/>
    <tableColumn id="21" xr3:uid="{00000000-0010-0000-D100-000015000000}" name="tp_c"/>
    <tableColumn id="22" xr3:uid="{00000000-0010-0000-D100-000016000000}" name="f_ppr"/>
    <tableColumn id="23" xr3:uid="{00000000-0010-0000-D100-000017000000}" name="tgt_share"/>
    <tableColumn id="24" xr3:uid="{00000000-0010-0000-D100-000018000000}" name="ypc"/>
    <tableColumn id="25" xr3:uid="{00000000-0010-0000-D100-000019000000}" name="ypr"/>
    <tableColumn id="26" xr3:uid="{00000000-0010-0000-D100-00001A000000}" name="cmp_pct"/>
    <tableColumn id="27" xr3:uid="{00000000-0010-0000-D100-00001B000000}" name="td_rate"/>
    <tableColumn id="28" xr3:uid="{00000000-0010-0000-D100-00001C000000}" name="f_custom"/>
  </tableColumns>
  <tableStyleInfo name="TableStyleLight9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X22" totalsRowShown="0">
  <autoFilter ref="A1:X22" xr:uid="{00000000-0009-0000-0100-0000D5000000}"/>
  <tableColumns count="24">
    <tableColumn id="1" xr3:uid="{00000000-0010-0000-D200-000001000000}" name="player_name"/>
    <tableColumn id="2" xr3:uid="{00000000-0010-0000-D200-000002000000}" name="recent_team"/>
    <tableColumn id="3" xr3:uid="{00000000-0010-0000-D200-000003000000}" name="pos"/>
    <tableColumn id="4" xr3:uid="{00000000-0010-0000-D200-000004000000}" name="g"/>
    <tableColumn id="5" xr3:uid="{00000000-0010-0000-D200-000005000000}" name="p_att"/>
    <tableColumn id="6" xr3:uid="{00000000-0010-0000-D200-000006000000}" name="cmp"/>
    <tableColumn id="7" xr3:uid="{00000000-0010-0000-D200-000007000000}" name="p_yd"/>
    <tableColumn id="8" xr3:uid="{00000000-0010-0000-D200-000008000000}" name="p_td"/>
    <tableColumn id="9" xr3:uid="{00000000-0010-0000-D200-000009000000}" name="int"/>
    <tableColumn id="10" xr3:uid="{00000000-0010-0000-D200-00000A000000}" name="car"/>
    <tableColumn id="11" xr3:uid="{00000000-0010-0000-D200-00000B000000}" name="r_yd"/>
    <tableColumn id="12" xr3:uid="{00000000-0010-0000-D200-00000C000000}" name="r_td"/>
    <tableColumn id="13" xr3:uid="{00000000-0010-0000-D200-00000D000000}" name="tgt"/>
    <tableColumn id="14" xr3:uid="{00000000-0010-0000-D200-00000E000000}" name="rec"/>
    <tableColumn id="15" xr3:uid="{00000000-0010-0000-D200-00000F000000}" name="rec_yd"/>
    <tableColumn id="16" xr3:uid="{00000000-0010-0000-D200-000010000000}" name="rec_td"/>
    <tableColumn id="17" xr3:uid="{00000000-0010-0000-D200-000011000000}" name="fmb"/>
    <tableColumn id="18" xr3:uid="{00000000-0010-0000-D200-000012000000}" name="tp_c"/>
    <tableColumn id="19" xr3:uid="{00000000-0010-0000-D200-000013000000}" name="f_ppr"/>
    <tableColumn id="20" xr3:uid="{00000000-0010-0000-D200-000014000000}" name="tgt_share"/>
    <tableColumn id="21" xr3:uid="{00000000-0010-0000-D200-000015000000}" name="ypc"/>
    <tableColumn id="22" xr3:uid="{00000000-0010-0000-D200-000016000000}" name="ypr"/>
    <tableColumn id="23" xr3:uid="{00000000-0010-0000-D200-000017000000}" name="cmp_pct"/>
    <tableColumn id="24" xr3:uid="{00000000-0010-0000-D200-000018000000}" name="td_rate"/>
  </tableColumns>
  <tableStyleInfo name="TableStyleLight9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L31" totalsRowShown="0">
  <autoFilter ref="A30:L31" xr:uid="{00000000-0009-0000-0100-0000D6000000}"/>
  <tableColumns count="12">
    <tableColumn id="1" xr3:uid="{00000000-0010-0000-D300-000001000000}" name="team"/>
    <tableColumn id="2" xr3:uid="{00000000-0010-0000-D300-000002000000}" name="off_yd"/>
    <tableColumn id="3" xr3:uid="{00000000-0010-0000-D300-000003000000}" name="p_yd"/>
    <tableColumn id="4" xr3:uid="{00000000-0010-0000-D300-000004000000}" name="car"/>
    <tableColumn id="5" xr3:uid="{00000000-0010-0000-D300-000005000000}" name="r_yd"/>
    <tableColumn id="6" xr3:uid="{00000000-0010-0000-D300-000006000000}" name="r_td"/>
    <tableColumn id="7" xr3:uid="{00000000-0010-0000-D300-000007000000}" name="p_ff"/>
    <tableColumn id="8" xr3:uid="{00000000-0010-0000-D300-000008000000}" name="p_att"/>
    <tableColumn id="9" xr3:uid="{00000000-0010-0000-D300-000009000000}" name="cmp_pct"/>
    <tableColumn id="10" xr3:uid="{00000000-0010-0000-D300-00000A000000}" name="p_td"/>
    <tableColumn id="11" xr3:uid="{00000000-0010-0000-D300-00000B000000}" name="int"/>
    <tableColumn id="12" xr3:uid="{00000000-0010-0000-D300-00000C000000}" name="fmb"/>
  </tableColumns>
  <tableStyleInfo name="TableStyleLight9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L33" totalsRowShown="0">
  <autoFilter ref="A32:L33" xr:uid="{00000000-0009-0000-0100-0000D7000000}"/>
  <tableColumns count="12">
    <tableColumn id="1" xr3:uid="{00000000-0010-0000-D400-000001000000}" name="team">
      <calculatedColumnFormula>A31</calculatedColumnFormula>
    </tableColumn>
    <tableColumn id="2" xr3:uid="{00000000-0010-0000-D400-000002000000}" name="off_yd">
      <calculatedColumnFormula>C33 + E33</calculatedColumnFormula>
    </tableColumn>
    <tableColumn id="3" xr3:uid="{00000000-0010-0000-D400-000003000000}" name="p_yd">
      <calculatedColumnFormula>SUM(INDIRECT(A33 &amp; "_Table4[[#All],[p_yd]]"))</calculatedColumnFormula>
    </tableColumn>
    <tableColumn id="4" xr3:uid="{00000000-0010-0000-D4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>
      <calculatedColumnFormula>SUM(INDIRECT(A33 &amp; "_Table4[[#All],[cmp]]"))/H33</calculatedColumnFormula>
    </tableColumn>
    <tableColumn id="10" xr3:uid="{00000000-0010-0000-D4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>
  <autoFilter ref="A35:AB38" xr:uid="{00000000-0009-0000-0100-0000D8000000}"/>
  <tableColumns count="28">
    <tableColumn id="1" xr3:uid="{00000000-0010-0000-D500-000001000000}" name="Name"/>
    <tableColumn id="2" xr3:uid="{00000000-0010-0000-D500-000002000000}" name="POS"/>
    <tableColumn id="3" xr3:uid="{00000000-0010-0000-D500-000003000000}" name="Age"/>
    <tableColumn id="4" xr3:uid="{00000000-0010-0000-D500-000004000000}" name="Exp"/>
    <tableColumn id="5" xr3:uid="{00000000-0010-0000-D500-000005000000}" name="College"/>
    <tableColumn id="6" xr3:uid="{00000000-0010-0000-D500-000006000000}" name="team"/>
    <tableColumn id="7" xr3:uid="{00000000-0010-0000-D500-000007000000}" name="g"/>
    <tableColumn id="8" xr3:uid="{00000000-0010-0000-D500-000008000000}" name="p_att"/>
    <tableColumn id="9" xr3:uid="{00000000-0010-0000-D500-000009000000}" name="cmp"/>
    <tableColumn id="10" xr3:uid="{00000000-0010-0000-D500-00000A000000}" name="p_yd"/>
    <tableColumn id="11" xr3:uid="{00000000-0010-0000-D500-00000B000000}" name="p_td"/>
    <tableColumn id="12" xr3:uid="{00000000-0010-0000-D500-00000C000000}" name="int"/>
    <tableColumn id="13" xr3:uid="{00000000-0010-0000-D500-00000D000000}" name="car"/>
    <tableColumn id="14" xr3:uid="{00000000-0010-0000-D500-00000E000000}" name="r_yd"/>
    <tableColumn id="15" xr3:uid="{00000000-0010-0000-D500-00000F000000}" name="r_td"/>
    <tableColumn id="16" xr3:uid="{00000000-0010-0000-D500-000010000000}" name="tgt"/>
    <tableColumn id="17" xr3:uid="{00000000-0010-0000-D500-000011000000}" name="rec"/>
    <tableColumn id="18" xr3:uid="{00000000-0010-0000-D500-000012000000}" name="rec_yd"/>
    <tableColumn id="19" xr3:uid="{00000000-0010-0000-D500-000013000000}" name="rec_td"/>
    <tableColumn id="20" xr3:uid="{00000000-0010-0000-D500-000014000000}" name="fmb"/>
    <tableColumn id="21" xr3:uid="{00000000-0010-0000-D500-000015000000}" name="tp_c"/>
    <tableColumn id="22" xr3:uid="{00000000-0010-0000-D500-000016000000}" name="f_ppr"/>
    <tableColumn id="23" xr3:uid="{00000000-0010-0000-D500-000017000000}" name="tgt_share"/>
    <tableColumn id="24" xr3:uid="{00000000-0010-0000-D500-000018000000}" name="ypc"/>
    <tableColumn id="25" xr3:uid="{00000000-0010-0000-D500-000019000000}" name="ypr"/>
    <tableColumn id="26" xr3:uid="{00000000-0010-0000-D500-00001A000000}" name="cmp_pct"/>
    <tableColumn id="27" xr3:uid="{00000000-0010-0000-D500-00001B000000}" name="td_rate"/>
    <tableColumn id="28" xr3:uid="{00000000-0010-0000-D500-00001C000000}" name="f_custom"/>
  </tableColumns>
  <tableStyleInfo name="TableStyleLight9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>
  <autoFilter ref="A45:AB51" xr:uid="{00000000-0009-0000-0100-0000D9000000}"/>
  <tableColumns count="28">
    <tableColumn id="1" xr3:uid="{00000000-0010-0000-D600-000001000000}" name="Name"/>
    <tableColumn id="2" xr3:uid="{00000000-0010-0000-D600-000002000000}" name="POS"/>
    <tableColumn id="3" xr3:uid="{00000000-0010-0000-D600-000003000000}" name="Age"/>
    <tableColumn id="4" xr3:uid="{00000000-0010-0000-D600-000004000000}" name="Exp"/>
    <tableColumn id="5" xr3:uid="{00000000-0010-0000-D600-000005000000}" name="College"/>
    <tableColumn id="6" xr3:uid="{00000000-0010-0000-D600-000006000000}" name="team"/>
    <tableColumn id="7" xr3:uid="{00000000-0010-0000-D600-000007000000}" name="g"/>
    <tableColumn id="8" xr3:uid="{00000000-0010-0000-D600-000008000000}" name="p_att"/>
    <tableColumn id="9" xr3:uid="{00000000-0010-0000-D600-000009000000}" name="cmp"/>
    <tableColumn id="10" xr3:uid="{00000000-0010-0000-D600-00000A000000}" name="p_yd"/>
    <tableColumn id="11" xr3:uid="{00000000-0010-0000-D600-00000B000000}" name="p_td"/>
    <tableColumn id="12" xr3:uid="{00000000-0010-0000-D600-00000C000000}" name="int"/>
    <tableColumn id="13" xr3:uid="{00000000-0010-0000-D600-00000D000000}" name="car"/>
    <tableColumn id="14" xr3:uid="{00000000-0010-0000-D600-00000E000000}" name="r_yd"/>
    <tableColumn id="15" xr3:uid="{00000000-0010-0000-D600-00000F000000}" name="r_td"/>
    <tableColumn id="16" xr3:uid="{00000000-0010-0000-D600-000010000000}" name="tgt"/>
    <tableColumn id="17" xr3:uid="{00000000-0010-0000-D600-000011000000}" name="rec"/>
    <tableColumn id="18" xr3:uid="{00000000-0010-0000-D600-000012000000}" name="rec_yd"/>
    <tableColumn id="19" xr3:uid="{00000000-0010-0000-D600-000013000000}" name="rec_td"/>
    <tableColumn id="20" xr3:uid="{00000000-0010-0000-D600-000014000000}" name="fmb"/>
    <tableColumn id="21" xr3:uid="{00000000-0010-0000-D600-000015000000}" name="tp_c"/>
    <tableColumn id="22" xr3:uid="{00000000-0010-0000-D600-000016000000}" name="f_ppr"/>
    <tableColumn id="23" xr3:uid="{00000000-0010-0000-D600-000017000000}" name="tgt_share"/>
    <tableColumn id="24" xr3:uid="{00000000-0010-0000-D600-000018000000}" name="ypc"/>
    <tableColumn id="25" xr3:uid="{00000000-0010-0000-D600-000019000000}" name="ypr"/>
    <tableColumn id="26" xr3:uid="{00000000-0010-0000-D600-00001A000000}" name="cmp_pct"/>
    <tableColumn id="27" xr3:uid="{00000000-0010-0000-D600-00001B000000}" name="td_rate"/>
    <tableColumn id="28" xr3:uid="{00000000-0010-0000-D6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>
  <autoFilter ref="A60:AB72" xr:uid="{00000000-0009-0000-0100-0000DA000000}"/>
  <tableColumns count="28">
    <tableColumn id="1" xr3:uid="{00000000-0010-0000-D700-000001000000}" name="Name"/>
    <tableColumn id="2" xr3:uid="{00000000-0010-0000-D700-000002000000}" name="POS"/>
    <tableColumn id="3" xr3:uid="{00000000-0010-0000-D700-000003000000}" name="Age"/>
    <tableColumn id="4" xr3:uid="{00000000-0010-0000-D700-000004000000}" name="Exp"/>
    <tableColumn id="5" xr3:uid="{00000000-0010-0000-D700-000005000000}" name="College"/>
    <tableColumn id="6" xr3:uid="{00000000-0010-0000-D700-000006000000}" name="team"/>
    <tableColumn id="7" xr3:uid="{00000000-0010-0000-D700-000007000000}" name="g"/>
    <tableColumn id="8" xr3:uid="{00000000-0010-0000-D700-000008000000}" name="p_att"/>
    <tableColumn id="9" xr3:uid="{00000000-0010-0000-D700-000009000000}" name="cmp"/>
    <tableColumn id="10" xr3:uid="{00000000-0010-0000-D700-00000A000000}" name="p_yd"/>
    <tableColumn id="11" xr3:uid="{00000000-0010-0000-D700-00000B000000}" name="p_td"/>
    <tableColumn id="12" xr3:uid="{00000000-0010-0000-D700-00000C000000}" name="int"/>
    <tableColumn id="13" xr3:uid="{00000000-0010-0000-D700-00000D000000}" name="car"/>
    <tableColumn id="14" xr3:uid="{00000000-0010-0000-D700-00000E000000}" name="r_yd"/>
    <tableColumn id="15" xr3:uid="{00000000-0010-0000-D700-00000F000000}" name="r_td"/>
    <tableColumn id="16" xr3:uid="{00000000-0010-0000-D700-000010000000}" name="tgt"/>
    <tableColumn id="17" xr3:uid="{00000000-0010-0000-D700-000011000000}" name="rec"/>
    <tableColumn id="18" xr3:uid="{00000000-0010-0000-D700-000012000000}" name="rec_yd"/>
    <tableColumn id="19" xr3:uid="{00000000-0010-0000-D700-000013000000}" name="rec_td"/>
    <tableColumn id="20" xr3:uid="{00000000-0010-0000-D700-000014000000}" name="fmb"/>
    <tableColumn id="21" xr3:uid="{00000000-0010-0000-D700-000015000000}" name="tp_c"/>
    <tableColumn id="22" xr3:uid="{00000000-0010-0000-D700-000016000000}" name="f_ppr"/>
    <tableColumn id="23" xr3:uid="{00000000-0010-0000-D700-000017000000}" name="tgt_share"/>
    <tableColumn id="24" xr3:uid="{00000000-0010-0000-D700-000018000000}" name="ypc"/>
    <tableColumn id="25" xr3:uid="{00000000-0010-0000-D700-000019000000}" name="ypr"/>
    <tableColumn id="26" xr3:uid="{00000000-0010-0000-D700-00001A000000}" name="cmp_pct"/>
    <tableColumn id="27" xr3:uid="{00000000-0010-0000-D700-00001B000000}" name="td_rate"/>
    <tableColumn id="28" xr3:uid="{00000000-0010-0000-D700-00001C000000}" name="f_custom"/>
  </tableColumns>
  <tableStyleInfo name="TableStyleLight9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>
  <autoFilter ref="A75:AB82" xr:uid="{00000000-0009-0000-0100-0000DB000000}"/>
  <tableColumns count="28">
    <tableColumn id="1" xr3:uid="{00000000-0010-0000-D800-000001000000}" name="Name"/>
    <tableColumn id="2" xr3:uid="{00000000-0010-0000-D800-000002000000}" name="POS"/>
    <tableColumn id="3" xr3:uid="{00000000-0010-0000-D800-000003000000}" name="Age"/>
    <tableColumn id="4" xr3:uid="{00000000-0010-0000-D800-000004000000}" name="Exp"/>
    <tableColumn id="5" xr3:uid="{00000000-0010-0000-D800-000005000000}" name="College"/>
    <tableColumn id="6" xr3:uid="{00000000-0010-0000-D800-000006000000}" name="team"/>
    <tableColumn id="7" xr3:uid="{00000000-0010-0000-D800-000007000000}" name="g"/>
    <tableColumn id="8" xr3:uid="{00000000-0010-0000-D800-000008000000}" name="p_att"/>
    <tableColumn id="9" xr3:uid="{00000000-0010-0000-D800-000009000000}" name="cmp"/>
    <tableColumn id="10" xr3:uid="{00000000-0010-0000-D800-00000A000000}" name="p_yd"/>
    <tableColumn id="11" xr3:uid="{00000000-0010-0000-D800-00000B000000}" name="p_td"/>
    <tableColumn id="12" xr3:uid="{00000000-0010-0000-D800-00000C000000}" name="int"/>
    <tableColumn id="13" xr3:uid="{00000000-0010-0000-D800-00000D000000}" name="car"/>
    <tableColumn id="14" xr3:uid="{00000000-0010-0000-D800-00000E000000}" name="r_yd"/>
    <tableColumn id="15" xr3:uid="{00000000-0010-0000-D800-00000F000000}" name="r_td"/>
    <tableColumn id="16" xr3:uid="{00000000-0010-0000-D800-000010000000}" name="tgt"/>
    <tableColumn id="17" xr3:uid="{00000000-0010-0000-D800-000011000000}" name="rec"/>
    <tableColumn id="18" xr3:uid="{00000000-0010-0000-D800-000012000000}" name="rec_yd"/>
    <tableColumn id="19" xr3:uid="{00000000-0010-0000-D800-000013000000}" name="rec_td"/>
    <tableColumn id="20" xr3:uid="{00000000-0010-0000-D800-000014000000}" name="fmb"/>
    <tableColumn id="21" xr3:uid="{00000000-0010-0000-D800-000015000000}" name="tp_c"/>
    <tableColumn id="22" xr3:uid="{00000000-0010-0000-D800-000016000000}" name="f_ppr"/>
    <tableColumn id="23" xr3:uid="{00000000-0010-0000-D800-000017000000}" name="tgt_share"/>
    <tableColumn id="24" xr3:uid="{00000000-0010-0000-D800-000018000000}" name="ypc"/>
    <tableColumn id="25" xr3:uid="{00000000-0010-0000-D800-000019000000}" name="ypr"/>
    <tableColumn id="26" xr3:uid="{00000000-0010-0000-D800-00001A000000}" name="cmp_pct"/>
    <tableColumn id="27" xr3:uid="{00000000-0010-0000-D800-00001B000000}" name="td_rate"/>
    <tableColumn id="28" xr3:uid="{00000000-0010-0000-D800-00001C000000}" name="f_custom"/>
  </tableColumns>
  <tableStyleInfo name="TableStyleLight9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X20" totalsRowShown="0">
  <autoFilter ref="A1:X20" xr:uid="{00000000-0009-0000-0100-0000DC000000}"/>
  <tableColumns count="24">
    <tableColumn id="1" xr3:uid="{00000000-0010-0000-D900-000001000000}" name="player_name"/>
    <tableColumn id="2" xr3:uid="{00000000-0010-0000-D900-000002000000}" name="recent_team"/>
    <tableColumn id="3" xr3:uid="{00000000-0010-0000-D900-000003000000}" name="pos"/>
    <tableColumn id="4" xr3:uid="{00000000-0010-0000-D900-000004000000}" name="g"/>
    <tableColumn id="5" xr3:uid="{00000000-0010-0000-D900-000005000000}" name="p_att"/>
    <tableColumn id="6" xr3:uid="{00000000-0010-0000-D900-000006000000}" name="cmp"/>
    <tableColumn id="7" xr3:uid="{00000000-0010-0000-D900-000007000000}" name="p_yd"/>
    <tableColumn id="8" xr3:uid="{00000000-0010-0000-D900-000008000000}" name="p_td"/>
    <tableColumn id="9" xr3:uid="{00000000-0010-0000-D900-000009000000}" name="int"/>
    <tableColumn id="10" xr3:uid="{00000000-0010-0000-D900-00000A000000}" name="car"/>
    <tableColumn id="11" xr3:uid="{00000000-0010-0000-D900-00000B000000}" name="r_yd"/>
    <tableColumn id="12" xr3:uid="{00000000-0010-0000-D900-00000C000000}" name="r_td"/>
    <tableColumn id="13" xr3:uid="{00000000-0010-0000-D900-00000D000000}" name="tgt"/>
    <tableColumn id="14" xr3:uid="{00000000-0010-0000-D900-00000E000000}" name="rec"/>
    <tableColumn id="15" xr3:uid="{00000000-0010-0000-D900-00000F000000}" name="rec_yd"/>
    <tableColumn id="16" xr3:uid="{00000000-0010-0000-D900-000010000000}" name="rec_td"/>
    <tableColumn id="17" xr3:uid="{00000000-0010-0000-D900-000011000000}" name="fmb"/>
    <tableColumn id="18" xr3:uid="{00000000-0010-0000-D900-000012000000}" name="tp_c"/>
    <tableColumn id="19" xr3:uid="{00000000-0010-0000-D900-000013000000}" name="f_ppr"/>
    <tableColumn id="20" xr3:uid="{00000000-0010-0000-D900-000014000000}" name="tgt_share"/>
    <tableColumn id="21" xr3:uid="{00000000-0010-0000-D900-000015000000}" name="ypc"/>
    <tableColumn id="22" xr3:uid="{00000000-0010-0000-D900-000016000000}" name="ypr"/>
    <tableColumn id="23" xr3:uid="{00000000-0010-0000-D900-000017000000}" name="cmp_pct"/>
    <tableColumn id="24" xr3:uid="{00000000-0010-0000-D900-000018000000}" name="td_rate"/>
  </tableColumns>
  <tableStyleInfo name="TableStyleLight9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L31" totalsRowShown="0">
  <autoFilter ref="A30:L31" xr:uid="{00000000-0009-0000-0100-0000DD000000}"/>
  <tableColumns count="12">
    <tableColumn id="1" xr3:uid="{00000000-0010-0000-DA00-000001000000}" name="team"/>
    <tableColumn id="2" xr3:uid="{00000000-0010-0000-DA00-000002000000}" name="off_yd"/>
    <tableColumn id="3" xr3:uid="{00000000-0010-0000-DA00-000003000000}" name="p_yd"/>
    <tableColumn id="4" xr3:uid="{00000000-0010-0000-DA00-000004000000}" name="car"/>
    <tableColumn id="5" xr3:uid="{00000000-0010-0000-DA00-000005000000}" name="r_yd"/>
    <tableColumn id="6" xr3:uid="{00000000-0010-0000-DA00-000006000000}" name="r_td"/>
    <tableColumn id="7" xr3:uid="{00000000-0010-0000-DA00-000007000000}" name="p_ff"/>
    <tableColumn id="8" xr3:uid="{00000000-0010-0000-DA00-000008000000}" name="p_att"/>
    <tableColumn id="9" xr3:uid="{00000000-0010-0000-DA00-000009000000}" name="cmp_pct"/>
    <tableColumn id="10" xr3:uid="{00000000-0010-0000-DA00-00000A000000}" name="p_td"/>
    <tableColumn id="11" xr3:uid="{00000000-0010-0000-DA00-00000B000000}" name="int"/>
    <tableColumn id="12" xr3:uid="{00000000-0010-0000-DA00-00000C000000}" name="fmb"/>
  </tableColumns>
  <tableStyleInfo name="TableStyleLight9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L33" totalsRowShown="0">
  <autoFilter ref="A32:L33" xr:uid="{00000000-0009-0000-0100-0000DE000000}"/>
  <tableColumns count="12">
    <tableColumn id="1" xr3:uid="{00000000-0010-0000-DB00-000001000000}" name="team">
      <calculatedColumnFormula>A31</calculatedColumnFormula>
    </tableColumn>
    <tableColumn id="2" xr3:uid="{00000000-0010-0000-DB00-000002000000}" name="off_yd">
      <calculatedColumnFormula>C33 + E33</calculatedColumnFormula>
    </tableColumn>
    <tableColumn id="3" xr3:uid="{00000000-0010-0000-DB00-000003000000}" name="p_yd">
      <calculatedColumnFormula>SUM(INDIRECT(A33 &amp; "_Table4[[#All],[p_yd]]"))</calculatedColumnFormula>
    </tableColumn>
    <tableColumn id="4" xr3:uid="{00000000-0010-0000-DB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>
      <calculatedColumnFormula>SUM(INDIRECT(A33 &amp; "_Table4[[#All],[cmp]]"))/H33</calculatedColumnFormula>
    </tableColumn>
    <tableColumn id="10" xr3:uid="{00000000-0010-0000-DB00-00000A000000}" name="p_td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Light9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>
  <autoFilter ref="A35:AB38" xr:uid="{00000000-0009-0000-0100-0000DF000000}"/>
  <tableColumns count="28">
    <tableColumn id="1" xr3:uid="{00000000-0010-0000-DC00-000001000000}" name="Name"/>
    <tableColumn id="2" xr3:uid="{00000000-0010-0000-DC00-000002000000}" name="POS"/>
    <tableColumn id="3" xr3:uid="{00000000-0010-0000-DC00-000003000000}" name="Age"/>
    <tableColumn id="4" xr3:uid="{00000000-0010-0000-DC00-000004000000}" name="Exp"/>
    <tableColumn id="5" xr3:uid="{00000000-0010-0000-DC00-000005000000}" name="College"/>
    <tableColumn id="6" xr3:uid="{00000000-0010-0000-DC00-000006000000}" name="team"/>
    <tableColumn id="7" xr3:uid="{00000000-0010-0000-DC00-000007000000}" name="g"/>
    <tableColumn id="8" xr3:uid="{00000000-0010-0000-DC00-000008000000}" name="p_att"/>
    <tableColumn id="9" xr3:uid="{00000000-0010-0000-DC00-000009000000}" name="cmp"/>
    <tableColumn id="10" xr3:uid="{00000000-0010-0000-DC00-00000A000000}" name="p_yd"/>
    <tableColumn id="11" xr3:uid="{00000000-0010-0000-DC00-00000B000000}" name="p_td"/>
    <tableColumn id="12" xr3:uid="{00000000-0010-0000-DC00-00000C000000}" name="int"/>
    <tableColumn id="13" xr3:uid="{00000000-0010-0000-DC00-00000D000000}" name="car"/>
    <tableColumn id="14" xr3:uid="{00000000-0010-0000-DC00-00000E000000}" name="r_yd"/>
    <tableColumn id="15" xr3:uid="{00000000-0010-0000-DC00-00000F000000}" name="r_td"/>
    <tableColumn id="16" xr3:uid="{00000000-0010-0000-DC00-000010000000}" name="tgt"/>
    <tableColumn id="17" xr3:uid="{00000000-0010-0000-DC00-000011000000}" name="rec"/>
    <tableColumn id="18" xr3:uid="{00000000-0010-0000-DC00-000012000000}" name="rec_yd"/>
    <tableColumn id="19" xr3:uid="{00000000-0010-0000-DC00-000013000000}" name="rec_td"/>
    <tableColumn id="20" xr3:uid="{00000000-0010-0000-DC00-000014000000}" name="fmb"/>
    <tableColumn id="21" xr3:uid="{00000000-0010-0000-DC00-000015000000}" name="tp_c"/>
    <tableColumn id="22" xr3:uid="{00000000-0010-0000-DC00-000016000000}" name="f_ppr"/>
    <tableColumn id="23" xr3:uid="{00000000-0010-0000-DC00-000017000000}" name="tgt_share"/>
    <tableColumn id="24" xr3:uid="{00000000-0010-0000-DC00-000018000000}" name="ypc"/>
    <tableColumn id="25" xr3:uid="{00000000-0010-0000-DC00-000019000000}" name="ypr"/>
    <tableColumn id="26" xr3:uid="{00000000-0010-0000-DC00-00001A000000}" name="cmp_pct"/>
    <tableColumn id="27" xr3:uid="{00000000-0010-0000-DC00-00001B000000}" name="td_rate"/>
    <tableColumn id="28" xr3:uid="{00000000-0010-0000-DC00-00001C000000}" name="f_custom"/>
  </tableColumns>
  <tableStyleInfo name="TableStyleLight9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>
  <autoFilter ref="A45:AB52" xr:uid="{00000000-0009-0000-0100-0000E0000000}"/>
  <tableColumns count="28">
    <tableColumn id="1" xr3:uid="{00000000-0010-0000-DD00-000001000000}" name="Name"/>
    <tableColumn id="2" xr3:uid="{00000000-0010-0000-DD00-000002000000}" name="POS"/>
    <tableColumn id="3" xr3:uid="{00000000-0010-0000-DD00-000003000000}" name="Age"/>
    <tableColumn id="4" xr3:uid="{00000000-0010-0000-DD00-000004000000}" name="Exp"/>
    <tableColumn id="5" xr3:uid="{00000000-0010-0000-DD00-000005000000}" name="College"/>
    <tableColumn id="6" xr3:uid="{00000000-0010-0000-DD00-000006000000}" name="team"/>
    <tableColumn id="7" xr3:uid="{00000000-0010-0000-DD00-000007000000}" name="g"/>
    <tableColumn id="8" xr3:uid="{00000000-0010-0000-DD00-000008000000}" name="p_att"/>
    <tableColumn id="9" xr3:uid="{00000000-0010-0000-DD00-000009000000}" name="cmp"/>
    <tableColumn id="10" xr3:uid="{00000000-0010-0000-DD00-00000A000000}" name="p_yd"/>
    <tableColumn id="11" xr3:uid="{00000000-0010-0000-DD00-00000B000000}" name="p_td"/>
    <tableColumn id="12" xr3:uid="{00000000-0010-0000-DD00-00000C000000}" name="int"/>
    <tableColumn id="13" xr3:uid="{00000000-0010-0000-DD00-00000D000000}" name="car"/>
    <tableColumn id="14" xr3:uid="{00000000-0010-0000-DD00-00000E000000}" name="r_yd"/>
    <tableColumn id="15" xr3:uid="{00000000-0010-0000-DD00-00000F000000}" name="r_td"/>
    <tableColumn id="16" xr3:uid="{00000000-0010-0000-DD00-000010000000}" name="tgt"/>
    <tableColumn id="17" xr3:uid="{00000000-0010-0000-DD00-000011000000}" name="rec"/>
    <tableColumn id="18" xr3:uid="{00000000-0010-0000-DD00-000012000000}" name="rec_yd"/>
    <tableColumn id="19" xr3:uid="{00000000-0010-0000-DD00-000013000000}" name="rec_td"/>
    <tableColumn id="20" xr3:uid="{00000000-0010-0000-DD00-000014000000}" name="fmb"/>
    <tableColumn id="21" xr3:uid="{00000000-0010-0000-DD00-000015000000}" name="tp_c"/>
    <tableColumn id="22" xr3:uid="{00000000-0010-0000-DD00-000016000000}" name="f_ppr"/>
    <tableColumn id="23" xr3:uid="{00000000-0010-0000-DD00-000017000000}" name="tgt_share"/>
    <tableColumn id="24" xr3:uid="{00000000-0010-0000-DD00-000018000000}" name="ypc"/>
    <tableColumn id="25" xr3:uid="{00000000-0010-0000-DD00-000019000000}" name="ypr"/>
    <tableColumn id="26" xr3:uid="{00000000-0010-0000-DD00-00001A000000}" name="cmp_pct"/>
    <tableColumn id="27" xr3:uid="{00000000-0010-0000-DD00-00001B000000}" name="td_rate"/>
    <tableColumn id="28" xr3:uid="{00000000-0010-0000-DD00-00001C000000}" name="f_custom">
      <calculatedColumnFormula>($J46*Cp_yd)+($K46*Cp_td)+($L46*Cint)+($M46*Ccar)+($N46*Cr_td)+($O46*Cr_yd)+(Q46*Crec)+($R46*Crec_yd)+($S46*Crec_td)+($T46*Cfmb)+($U46*Ctp_c)</calculatedColumnFormula>
    </tableColumn>
  </tableColumns>
  <tableStyleInfo name="TableStyleLight9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>
  <autoFilter ref="A60:AB73" xr:uid="{00000000-0009-0000-0100-0000E1000000}"/>
  <tableColumns count="28">
    <tableColumn id="1" xr3:uid="{00000000-0010-0000-DE00-000001000000}" name="Name"/>
    <tableColumn id="2" xr3:uid="{00000000-0010-0000-DE00-000002000000}" name="POS"/>
    <tableColumn id="3" xr3:uid="{00000000-0010-0000-DE00-000003000000}" name="Age"/>
    <tableColumn id="4" xr3:uid="{00000000-0010-0000-DE00-000004000000}" name="Exp"/>
    <tableColumn id="5" xr3:uid="{00000000-0010-0000-DE00-000005000000}" name="College"/>
    <tableColumn id="6" xr3:uid="{00000000-0010-0000-DE00-000006000000}" name="team"/>
    <tableColumn id="7" xr3:uid="{00000000-0010-0000-DE00-000007000000}" name="g"/>
    <tableColumn id="8" xr3:uid="{00000000-0010-0000-DE00-000008000000}" name="p_att"/>
    <tableColumn id="9" xr3:uid="{00000000-0010-0000-DE00-000009000000}" name="cmp"/>
    <tableColumn id="10" xr3:uid="{00000000-0010-0000-DE00-00000A000000}" name="p_yd"/>
    <tableColumn id="11" xr3:uid="{00000000-0010-0000-DE00-00000B000000}" name="p_td"/>
    <tableColumn id="12" xr3:uid="{00000000-0010-0000-DE00-00000C000000}" name="int"/>
    <tableColumn id="13" xr3:uid="{00000000-0010-0000-DE00-00000D000000}" name="car"/>
    <tableColumn id="14" xr3:uid="{00000000-0010-0000-DE00-00000E000000}" name="r_yd"/>
    <tableColumn id="15" xr3:uid="{00000000-0010-0000-DE00-00000F000000}" name="r_td"/>
    <tableColumn id="16" xr3:uid="{00000000-0010-0000-DE00-000010000000}" name="tgt"/>
    <tableColumn id="17" xr3:uid="{00000000-0010-0000-DE00-000011000000}" name="rec"/>
    <tableColumn id="18" xr3:uid="{00000000-0010-0000-DE00-000012000000}" name="rec_yd"/>
    <tableColumn id="19" xr3:uid="{00000000-0010-0000-DE00-000013000000}" name="rec_td"/>
    <tableColumn id="20" xr3:uid="{00000000-0010-0000-DE00-000014000000}" name="fmb"/>
    <tableColumn id="21" xr3:uid="{00000000-0010-0000-DE00-000015000000}" name="tp_c"/>
    <tableColumn id="22" xr3:uid="{00000000-0010-0000-DE00-000016000000}" name="f_ppr"/>
    <tableColumn id="23" xr3:uid="{00000000-0010-0000-DE00-000017000000}" name="tgt_share"/>
    <tableColumn id="24" xr3:uid="{00000000-0010-0000-DE00-000018000000}" name="ypc"/>
    <tableColumn id="25" xr3:uid="{00000000-0010-0000-DE00-000019000000}" name="ypr"/>
    <tableColumn id="26" xr3:uid="{00000000-0010-0000-DE00-00001A000000}" name="cmp_pct"/>
    <tableColumn id="27" xr3:uid="{00000000-0010-0000-DE00-00001B000000}" name="td_rate"/>
    <tableColumn id="28" xr3:uid="{00000000-0010-0000-DE00-00001C000000}" name="f_custom"/>
  </tableColumns>
  <tableStyleInfo name="TableStyleLight9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>
  <autoFilter ref="A75:AB81" xr:uid="{00000000-0009-0000-0100-0000E2000000}"/>
  <tableColumns count="28">
    <tableColumn id="1" xr3:uid="{00000000-0010-0000-DF00-000001000000}" name="Name"/>
    <tableColumn id="2" xr3:uid="{00000000-0010-0000-DF00-000002000000}" name="POS"/>
    <tableColumn id="3" xr3:uid="{00000000-0010-0000-DF00-000003000000}" name="Age"/>
    <tableColumn id="4" xr3:uid="{00000000-0010-0000-DF00-000004000000}" name="Exp"/>
    <tableColumn id="5" xr3:uid="{00000000-0010-0000-DF00-000005000000}" name="College"/>
    <tableColumn id="6" xr3:uid="{00000000-0010-0000-DF00-000006000000}" name="team"/>
    <tableColumn id="7" xr3:uid="{00000000-0010-0000-DF00-000007000000}" name="g"/>
    <tableColumn id="8" xr3:uid="{00000000-0010-0000-DF00-000008000000}" name="p_att"/>
    <tableColumn id="9" xr3:uid="{00000000-0010-0000-DF00-000009000000}" name="cmp"/>
    <tableColumn id="10" xr3:uid="{00000000-0010-0000-DF00-00000A000000}" name="p_yd"/>
    <tableColumn id="11" xr3:uid="{00000000-0010-0000-DF00-00000B000000}" name="p_td"/>
    <tableColumn id="12" xr3:uid="{00000000-0010-0000-DF00-00000C000000}" name="int"/>
    <tableColumn id="13" xr3:uid="{00000000-0010-0000-DF00-00000D000000}" name="car"/>
    <tableColumn id="14" xr3:uid="{00000000-0010-0000-DF00-00000E000000}" name="r_yd"/>
    <tableColumn id="15" xr3:uid="{00000000-0010-0000-DF00-00000F000000}" name="r_td"/>
    <tableColumn id="16" xr3:uid="{00000000-0010-0000-DF00-000010000000}" name="tgt"/>
    <tableColumn id="17" xr3:uid="{00000000-0010-0000-DF00-000011000000}" name="rec"/>
    <tableColumn id="18" xr3:uid="{00000000-0010-0000-DF00-000012000000}" name="rec_yd"/>
    <tableColumn id="19" xr3:uid="{00000000-0010-0000-DF00-000013000000}" name="rec_td"/>
    <tableColumn id="20" xr3:uid="{00000000-0010-0000-DF00-000014000000}" name="fmb"/>
    <tableColumn id="21" xr3:uid="{00000000-0010-0000-DF00-000015000000}" name="tp_c"/>
    <tableColumn id="22" xr3:uid="{00000000-0010-0000-DF00-000016000000}" name="f_ppr"/>
    <tableColumn id="23" xr3:uid="{00000000-0010-0000-DF00-000017000000}" name="tgt_share"/>
    <tableColumn id="24" xr3:uid="{00000000-0010-0000-DF00-000018000000}" name="ypc"/>
    <tableColumn id="25" xr3:uid="{00000000-0010-0000-DF00-000019000000}" name="ypr"/>
    <tableColumn id="26" xr3:uid="{00000000-0010-0000-DF00-00001A000000}" name="cmp_pct"/>
    <tableColumn id="27" xr3:uid="{00000000-0010-0000-DF00-00001B000000}" name="td_rate"/>
    <tableColumn id="28" xr3:uid="{00000000-0010-0000-DF00-00001C000000}" name="f_custo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dimension ref="B2:O13"/>
  <sheetViews>
    <sheetView workbookViewId="0">
      <selection activeCell="C5" sqref="C5"/>
    </sheetView>
  </sheetViews>
  <sheetFormatPr defaultRowHeight="15" x14ac:dyDescent="0.25"/>
  <sheetData>
    <row r="2" spans="2:15" x14ac:dyDescent="0.25">
      <c r="B2" t="s">
        <v>1748</v>
      </c>
      <c r="E2" t="s">
        <v>1751</v>
      </c>
      <c r="G2" t="s">
        <v>1754</v>
      </c>
      <c r="O2" t="s">
        <v>1760</v>
      </c>
    </row>
    <row r="3" spans="2:15" x14ac:dyDescent="0.25">
      <c r="B3" s="1" t="s">
        <v>1749</v>
      </c>
      <c r="C3">
        <v>4</v>
      </c>
      <c r="E3" t="s">
        <v>1752</v>
      </c>
      <c r="G3" t="s">
        <v>1755</v>
      </c>
    </row>
    <row r="4" spans="2:15" x14ac:dyDescent="0.25">
      <c r="B4" t="s">
        <v>1750</v>
      </c>
      <c r="C4">
        <v>0.04</v>
      </c>
      <c r="E4" t="s">
        <v>1753</v>
      </c>
      <c r="G4" t="s">
        <v>1756</v>
      </c>
    </row>
    <row r="5" spans="2:15" x14ac:dyDescent="0.25">
      <c r="B5" s="1" t="s">
        <v>8</v>
      </c>
      <c r="C5">
        <v>-2</v>
      </c>
      <c r="G5" t="s">
        <v>1757</v>
      </c>
    </row>
    <row r="6" spans="2:15" x14ac:dyDescent="0.25">
      <c r="B6" t="s">
        <v>16</v>
      </c>
      <c r="C6">
        <v>-2</v>
      </c>
      <c r="G6" t="s">
        <v>1759</v>
      </c>
    </row>
    <row r="7" spans="2:15" x14ac:dyDescent="0.25">
      <c r="B7" s="1" t="s">
        <v>13</v>
      </c>
      <c r="C7">
        <v>1</v>
      </c>
    </row>
    <row r="8" spans="2:15" x14ac:dyDescent="0.25">
      <c r="B8" t="s">
        <v>9</v>
      </c>
      <c r="C8">
        <v>0</v>
      </c>
      <c r="G8" t="s">
        <v>1758</v>
      </c>
    </row>
    <row r="9" spans="2:15" x14ac:dyDescent="0.25">
      <c r="B9" t="s">
        <v>10</v>
      </c>
      <c r="C9">
        <v>0.1</v>
      </c>
    </row>
    <row r="10" spans="2:15" x14ac:dyDescent="0.25">
      <c r="B10" t="s">
        <v>11</v>
      </c>
      <c r="C10">
        <v>6</v>
      </c>
    </row>
    <row r="11" spans="2:15" x14ac:dyDescent="0.25">
      <c r="B11" t="s">
        <v>14</v>
      </c>
      <c r="C11">
        <v>0.1</v>
      </c>
    </row>
    <row r="12" spans="2:15" x14ac:dyDescent="0.25">
      <c r="B12" t="s">
        <v>15</v>
      </c>
      <c r="C12">
        <v>6</v>
      </c>
    </row>
    <row r="13" spans="2:15" x14ac:dyDescent="0.25">
      <c r="B13" t="s">
        <v>17</v>
      </c>
      <c r="C13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zoomScale="77" zoomScaleNormal="77" workbookViewId="0">
      <selection activeCell="AB39" sqref="AB39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24</v>
      </c>
      <c r="B2" t="s">
        <v>25</v>
      </c>
      <c r="C2" t="s">
        <v>26</v>
      </c>
      <c r="D2">
        <v>4</v>
      </c>
      <c r="E2">
        <v>132</v>
      </c>
      <c r="F2">
        <v>90</v>
      </c>
      <c r="G2">
        <v>780</v>
      </c>
      <c r="H2">
        <v>1</v>
      </c>
      <c r="I2">
        <v>3</v>
      </c>
      <c r="J2">
        <v>14</v>
      </c>
      <c r="K2">
        <v>36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32.799999999999997</v>
      </c>
      <c r="T2">
        <v>0</v>
      </c>
      <c r="U2">
        <v>2.5714285714285698</v>
      </c>
      <c r="W2">
        <v>0.68181818181818199</v>
      </c>
      <c r="X2">
        <v>7.5757575757575803E-3</v>
      </c>
      <c r="Y2">
        <f>($G2*Cp_yd)+($H2*Cp_td)+($I2*Cint)+($J2*Ccar)+($K2*Cr_yd)+($L2*Cr_td)+($N2*Crec)+($O2*Crec_yd)+($P2*Crec_td)+($Q2*Cfmb)+($R2*Ctp_c)</f>
        <v>32.800000000000004</v>
      </c>
    </row>
    <row r="3" spans="1:25" x14ac:dyDescent="0.25">
      <c r="A3" t="s">
        <v>27</v>
      </c>
      <c r="B3" t="s">
        <v>25</v>
      </c>
      <c r="C3" t="s">
        <v>26</v>
      </c>
      <c r="D3">
        <v>2</v>
      </c>
      <c r="E3">
        <v>58</v>
      </c>
      <c r="F3">
        <v>38</v>
      </c>
      <c r="G3">
        <v>402</v>
      </c>
      <c r="H3">
        <v>2</v>
      </c>
      <c r="I3">
        <v>2</v>
      </c>
      <c r="J3">
        <v>4</v>
      </c>
      <c r="K3">
        <v>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18.579999999999998</v>
      </c>
      <c r="T3">
        <v>0</v>
      </c>
      <c r="U3">
        <v>1.25</v>
      </c>
      <c r="W3">
        <v>0.65517241379310298</v>
      </c>
      <c r="X3">
        <v>3.4482758620689703E-2</v>
      </c>
      <c r="Y3">
        <f>($G3*Cp_yd)+($H3*Cp_td)+($I3*Cint)+($J3*Ccar)+($K3*Cr_yd)+($L3*Cr_td)+($N3*Crec)+($O3*Crec_yd)+($P3*Crec_td)+($Q3*Cfmb)+($R3*Ctp_c)</f>
        <v>18.580000000000002</v>
      </c>
    </row>
    <row r="4" spans="1:25" x14ac:dyDescent="0.25">
      <c r="A4" t="s">
        <v>28</v>
      </c>
      <c r="B4" t="s">
        <v>25</v>
      </c>
      <c r="C4" t="s">
        <v>26</v>
      </c>
      <c r="D4">
        <v>11</v>
      </c>
      <c r="E4">
        <v>390</v>
      </c>
      <c r="F4">
        <v>259</v>
      </c>
      <c r="G4">
        <v>2368</v>
      </c>
      <c r="H4">
        <v>14</v>
      </c>
      <c r="I4">
        <v>7</v>
      </c>
      <c r="J4">
        <v>67</v>
      </c>
      <c r="K4">
        <v>418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4</v>
      </c>
      <c r="S4">
        <v>200.52</v>
      </c>
      <c r="T4">
        <v>0</v>
      </c>
      <c r="U4">
        <v>6.23880597014925</v>
      </c>
      <c r="W4">
        <v>0.66410256410256396</v>
      </c>
      <c r="X4">
        <v>3.5897435897435902E-2</v>
      </c>
      <c r="Y4">
        <f>($G4*Cp_yd)+($H4*Cp_td)+($I4*Cint)+($J4*Ccar)+($K4*Cr_yd)+($L4*Cr_td)+($N4*Crec)+($O4*Crec_yd)+($P4*Crec_td)+($Q4*Cfmb)+($R4*Ctp_c)</f>
        <v>200.52</v>
      </c>
    </row>
    <row r="5" spans="1:25" x14ac:dyDescent="0.25">
      <c r="A5" t="s">
        <v>29</v>
      </c>
      <c r="B5" t="s">
        <v>25</v>
      </c>
      <c r="C5" t="s">
        <v>26</v>
      </c>
      <c r="D5">
        <v>5</v>
      </c>
      <c r="E5">
        <v>83</v>
      </c>
      <c r="F5">
        <v>45</v>
      </c>
      <c r="G5">
        <v>412</v>
      </c>
      <c r="H5">
        <v>0</v>
      </c>
      <c r="I5">
        <v>5</v>
      </c>
      <c r="J5">
        <v>15</v>
      </c>
      <c r="K5">
        <v>61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8.58</v>
      </c>
      <c r="T5">
        <v>0</v>
      </c>
      <c r="U5">
        <v>4.06666666666667</v>
      </c>
      <c r="W5">
        <v>0.54216867469879504</v>
      </c>
      <c r="X5">
        <v>0</v>
      </c>
      <c r="Y5">
        <f>($G5*Cp_yd)+($H5*Cp_td)+($I5*Cint)+($J5*Ccar)+($K5*Cr_yd)+($L5*Cr_td)+($N5*Crec)+($O5*Crec_yd)+($P5*Crec_td)+($Q5*Cfmb)+($R5*Ctp_c)</f>
        <v>8.5800000000000018</v>
      </c>
    </row>
    <row r="6" spans="1:25" x14ac:dyDescent="0.25">
      <c r="A6" t="s">
        <v>30</v>
      </c>
      <c r="B6" t="s">
        <v>25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15</v>
      </c>
      <c r="K6">
        <v>55</v>
      </c>
      <c r="L6">
        <v>1</v>
      </c>
      <c r="M6">
        <v>7</v>
      </c>
      <c r="N6">
        <v>5</v>
      </c>
      <c r="O6">
        <v>54</v>
      </c>
      <c r="P6">
        <v>0</v>
      </c>
      <c r="Q6">
        <v>0</v>
      </c>
      <c r="R6">
        <v>0</v>
      </c>
      <c r="S6">
        <v>21.9</v>
      </c>
      <c r="T6">
        <v>1.0558069381598799E-2</v>
      </c>
      <c r="U6">
        <v>3.6666666666666701</v>
      </c>
      <c r="V6">
        <v>10.8</v>
      </c>
      <c r="Y6">
        <f>($G6*Cp_yd)+($H6*Cp_td)+($I6*Cint)+($J6*Ccar)+($K6*Cr_yd)+($L6*Cr_td)+($N6*Crec)+($O6*Crec_yd)+($P6*Crec_td)+($Q6*Cfmb)+($R6*Ctp_c)</f>
        <v>21.9</v>
      </c>
    </row>
    <row r="7" spans="1:25" x14ac:dyDescent="0.25">
      <c r="A7" t="s">
        <v>32</v>
      </c>
      <c r="B7" t="s">
        <v>25</v>
      </c>
      <c r="C7" t="s">
        <v>31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21</v>
      </c>
      <c r="K7">
        <v>102</v>
      </c>
      <c r="L7">
        <v>1</v>
      </c>
      <c r="M7">
        <v>8</v>
      </c>
      <c r="N7">
        <v>4</v>
      </c>
      <c r="O7">
        <v>9</v>
      </c>
      <c r="P7">
        <v>0</v>
      </c>
      <c r="Q7">
        <v>0</v>
      </c>
      <c r="R7">
        <v>0</v>
      </c>
      <c r="S7">
        <v>21.1</v>
      </c>
      <c r="T7">
        <v>1.2066365007541499E-2</v>
      </c>
      <c r="U7">
        <v>4.8571428571428603</v>
      </c>
      <c r="V7">
        <v>2.25</v>
      </c>
      <c r="Y7">
        <f>($G7*Cp_yd)+($H7*Cp_td)+($I7*Cint)+($J7*Ccar)+($K7*Cr_yd)+($L7*Cr_td)+($N7*Crec)+($O7*Crec_yd)+($P7*Crec_td)+($Q7*Cfmb)+($R7*Ctp_c)</f>
        <v>21.1</v>
      </c>
    </row>
    <row r="8" spans="1:25" x14ac:dyDescent="0.25">
      <c r="A8" t="s">
        <v>33</v>
      </c>
      <c r="B8" t="s">
        <v>25</v>
      </c>
      <c r="C8" t="s">
        <v>31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70</v>
      </c>
      <c r="K8">
        <v>299</v>
      </c>
      <c r="L8">
        <v>2</v>
      </c>
      <c r="M8">
        <v>33</v>
      </c>
      <c r="N8">
        <v>24</v>
      </c>
      <c r="O8">
        <v>184</v>
      </c>
      <c r="P8">
        <v>0</v>
      </c>
      <c r="Q8">
        <v>0</v>
      </c>
      <c r="R8">
        <v>1</v>
      </c>
      <c r="S8">
        <v>86.3</v>
      </c>
      <c r="T8">
        <v>4.9773755656108601E-2</v>
      </c>
      <c r="U8">
        <v>4.2714285714285696</v>
      </c>
      <c r="V8">
        <v>7.6666666666666696</v>
      </c>
      <c r="Y8">
        <f>($G8*Cp_yd)+($H8*Cp_td)+($I8*Cint)+($J8*Ccar)+($K8*Cr_yd)+($L8*Cr_td)+($N8*Crec)+($O8*Crec_yd)+($P8*Crec_td)+($Q8*Cfmb)+($R8*Ctp_c)</f>
        <v>86.300000000000011</v>
      </c>
    </row>
    <row r="9" spans="1:25" x14ac:dyDescent="0.25">
      <c r="A9" t="s">
        <v>34</v>
      </c>
      <c r="B9" t="s">
        <v>25</v>
      </c>
      <c r="C9" t="s">
        <v>31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183</v>
      </c>
      <c r="K9">
        <v>782</v>
      </c>
      <c r="L9">
        <v>7</v>
      </c>
      <c r="M9">
        <v>58</v>
      </c>
      <c r="N9">
        <v>46</v>
      </c>
      <c r="O9">
        <v>300</v>
      </c>
      <c r="P9">
        <v>1</v>
      </c>
      <c r="Q9">
        <v>1</v>
      </c>
      <c r="R9">
        <v>0</v>
      </c>
      <c r="S9">
        <v>200.2</v>
      </c>
      <c r="T9">
        <v>8.7481146304675697E-2</v>
      </c>
      <c r="U9">
        <v>4.2732240437158504</v>
      </c>
      <c r="V9">
        <v>6.5217391304347796</v>
      </c>
      <c r="Y9">
        <f>($G9*Cp_yd)+($H9*Cp_td)+($I9*Cint)+($J9*Ccar)+($K9*Cr_yd)+($L9*Cr_td)+($N9*Crec)+($O9*Crec_yd)+($P9*Crec_td)+($Q9*Cfmb)+($R9*Ctp_c)</f>
        <v>200.2</v>
      </c>
    </row>
    <row r="10" spans="1:25" x14ac:dyDescent="0.25">
      <c r="A10" t="s">
        <v>35</v>
      </c>
      <c r="B10" t="s">
        <v>25</v>
      </c>
      <c r="C10" t="s">
        <v>31</v>
      </c>
      <c r="D10">
        <v>10</v>
      </c>
      <c r="E10">
        <v>0</v>
      </c>
      <c r="F10">
        <v>0</v>
      </c>
      <c r="G10">
        <v>0</v>
      </c>
      <c r="H10">
        <v>0</v>
      </c>
      <c r="I10">
        <v>0</v>
      </c>
      <c r="J10">
        <v>27</v>
      </c>
      <c r="K10">
        <v>60</v>
      </c>
      <c r="L10">
        <v>1</v>
      </c>
      <c r="M10">
        <v>5</v>
      </c>
      <c r="N10">
        <v>4</v>
      </c>
      <c r="O10">
        <v>21</v>
      </c>
      <c r="P10">
        <v>0</v>
      </c>
      <c r="Q10">
        <v>0</v>
      </c>
      <c r="R10">
        <v>0</v>
      </c>
      <c r="S10">
        <v>18.100000000000001</v>
      </c>
      <c r="T10">
        <v>7.5414781297134196E-3</v>
      </c>
      <c r="U10">
        <v>2.2222222222222201</v>
      </c>
      <c r="V10">
        <v>5.25</v>
      </c>
      <c r="Y10">
        <f>($G10*Cp_yd)+($H10*Cp_td)+($I10*Cint)+($J10*Ccar)+($K10*Cr_yd)+($L10*Cr_td)+($N10*Crec)+($O10*Crec_yd)+($P10*Crec_td)+($Q10*Cfmb)+($R10*Ctp_c)</f>
        <v>18.100000000000001</v>
      </c>
    </row>
    <row r="11" spans="1:25" x14ac:dyDescent="0.25">
      <c r="A11" t="s">
        <v>36</v>
      </c>
      <c r="B11" t="s">
        <v>25</v>
      </c>
      <c r="C11" t="s">
        <v>31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5</v>
      </c>
      <c r="P11">
        <v>0</v>
      </c>
      <c r="Q11">
        <v>0</v>
      </c>
      <c r="R11">
        <v>0</v>
      </c>
      <c r="S11">
        <v>1.5</v>
      </c>
      <c r="T11">
        <v>1.5082956259426801E-3</v>
      </c>
      <c r="V11">
        <v>5</v>
      </c>
      <c r="Y11">
        <f>($G11*Cp_yd)+($H11*Cp_td)+($I11*Cint)+($J11*Ccar)+($K11*Cr_yd)+($L11*Cr_td)+($N11*Crec)+($O11*Crec_yd)+($P11*Crec_td)+($Q11*Cfmb)+($R11*Ctp_c)</f>
        <v>1.5</v>
      </c>
    </row>
    <row r="12" spans="1:25" x14ac:dyDescent="0.25">
      <c r="A12" t="s">
        <v>37</v>
      </c>
      <c r="B12" t="s">
        <v>25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</v>
      </c>
      <c r="N12">
        <v>3</v>
      </c>
      <c r="O12">
        <v>18</v>
      </c>
      <c r="P12">
        <v>0</v>
      </c>
      <c r="Q12">
        <v>0</v>
      </c>
      <c r="R12">
        <v>0</v>
      </c>
      <c r="S12">
        <v>4.8</v>
      </c>
      <c r="T12">
        <v>4.5248868778280504E-3</v>
      </c>
      <c r="V12">
        <v>6</v>
      </c>
      <c r="Y12">
        <f>($G12*Cp_yd)+($H12*Cp_td)+($I12*Cint)+($J12*Ccar)+($K12*Cr_yd)+($L12*Cr_td)+($N12*Crec)+($O12*Crec_yd)+($P12*Crec_td)+($Q12*Cfmb)+($R12*Ctp_c)</f>
        <v>4.8</v>
      </c>
    </row>
    <row r="13" spans="1:25" x14ac:dyDescent="0.25">
      <c r="A13" t="s">
        <v>39</v>
      </c>
      <c r="B13" t="s">
        <v>25</v>
      </c>
      <c r="C13" t="s">
        <v>38</v>
      </c>
      <c r="D13">
        <v>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7</v>
      </c>
      <c r="N13">
        <v>3</v>
      </c>
      <c r="O13">
        <v>9</v>
      </c>
      <c r="P13">
        <v>0</v>
      </c>
      <c r="Q13">
        <v>0</v>
      </c>
      <c r="R13">
        <v>0</v>
      </c>
      <c r="S13">
        <v>3.9</v>
      </c>
      <c r="T13">
        <v>1.0558069381598799E-2</v>
      </c>
      <c r="V13">
        <v>3</v>
      </c>
      <c r="Y13">
        <f>($G13*Cp_yd)+($H13*Cp_td)+($I13*Cint)+($J13*Ccar)+($K13*Cr_yd)+($L13*Cr_td)+($N13*Crec)+($O13*Crec_yd)+($P13*Crec_td)+($Q13*Cfmb)+($R13*Ctp_c)</f>
        <v>3.9</v>
      </c>
    </row>
    <row r="14" spans="1:25" x14ac:dyDescent="0.25">
      <c r="A14" t="s">
        <v>40</v>
      </c>
      <c r="B14" t="s">
        <v>25</v>
      </c>
      <c r="C14" t="s">
        <v>38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39</v>
      </c>
      <c r="N14">
        <v>29</v>
      </c>
      <c r="O14">
        <v>265</v>
      </c>
      <c r="P14">
        <v>1</v>
      </c>
      <c r="Q14">
        <v>0</v>
      </c>
      <c r="R14">
        <v>0</v>
      </c>
      <c r="S14">
        <v>61.5</v>
      </c>
      <c r="T14">
        <v>5.8823529411764698E-2</v>
      </c>
      <c r="V14">
        <v>9.1379310344827598</v>
      </c>
      <c r="Y14">
        <f>($G14*Cp_yd)+($H14*Cp_td)+($I14*Cint)+($J14*Ccar)+($K14*Cr_yd)+($L14*Cr_td)+($N14*Crec)+($O14*Crec_yd)+($P14*Crec_td)+($Q14*Cfmb)+($R14*Ctp_c)</f>
        <v>61.5</v>
      </c>
    </row>
    <row r="15" spans="1:25" x14ac:dyDescent="0.25">
      <c r="A15" t="s">
        <v>41</v>
      </c>
      <c r="B15" t="s">
        <v>25</v>
      </c>
      <c r="C15" t="s">
        <v>38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69</v>
      </c>
      <c r="N15">
        <v>47</v>
      </c>
      <c r="O15">
        <v>406</v>
      </c>
      <c r="P15">
        <v>4</v>
      </c>
      <c r="Q15">
        <v>0</v>
      </c>
      <c r="R15">
        <v>0</v>
      </c>
      <c r="S15">
        <v>115.6</v>
      </c>
      <c r="T15">
        <v>0.104072398190045</v>
      </c>
      <c r="V15">
        <v>8.6382978723404307</v>
      </c>
      <c r="Y15">
        <f>($G15*Cp_yd)+($H15*Cp_td)+($I15*Cint)+($J15*Ccar)+($K15*Cr_yd)+($L15*Cr_td)+($N15*Crec)+($O15*Crec_yd)+($P15*Crec_td)+($Q15*Cfmb)+($R15*Ctp_c)</f>
        <v>111.6</v>
      </c>
    </row>
    <row r="16" spans="1:25" x14ac:dyDescent="0.25">
      <c r="A16" t="s">
        <v>42</v>
      </c>
      <c r="B16" t="s">
        <v>25</v>
      </c>
      <c r="C16" t="s">
        <v>43</v>
      </c>
      <c r="D16">
        <v>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</v>
      </c>
      <c r="N16">
        <v>7</v>
      </c>
      <c r="O16">
        <v>45</v>
      </c>
      <c r="P16">
        <v>0</v>
      </c>
      <c r="Q16">
        <v>0</v>
      </c>
      <c r="R16">
        <v>0</v>
      </c>
      <c r="S16">
        <v>11.5</v>
      </c>
      <c r="T16">
        <v>1.5082956259426799E-2</v>
      </c>
      <c r="V16">
        <v>6.4285714285714297</v>
      </c>
      <c r="Y16">
        <f>($G16*Cp_yd)+($H16*Cp_td)+($I16*Cint)+($J16*Ccar)+($K16*Cr_yd)+($L16*Cr_td)+($N16*Crec)+($O16*Crec_yd)+($P16*Crec_td)+($Q16*Cfmb)+($R16*Ctp_c)</f>
        <v>11.5</v>
      </c>
    </row>
    <row r="17" spans="1:25" x14ac:dyDescent="0.25">
      <c r="A17" t="s">
        <v>44</v>
      </c>
      <c r="B17" t="s">
        <v>25</v>
      </c>
      <c r="C17" t="s">
        <v>43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47</v>
      </c>
      <c r="N17">
        <v>24</v>
      </c>
      <c r="O17">
        <v>236</v>
      </c>
      <c r="P17">
        <v>2</v>
      </c>
      <c r="Q17">
        <v>0</v>
      </c>
      <c r="R17">
        <v>0</v>
      </c>
      <c r="S17">
        <v>61.6</v>
      </c>
      <c r="T17">
        <v>7.0889894419306196E-2</v>
      </c>
      <c r="V17">
        <v>9.8333333333333304</v>
      </c>
      <c r="Y17">
        <f>($G17*Cp_yd)+($H17*Cp_td)+($I17*Cint)+($J17*Ccar)+($K17*Cr_yd)+($L17*Cr_td)+($N17*Crec)+($O17*Crec_yd)+($P17*Crec_td)+($Q17*Cfmb)+($R17*Ctp_c)</f>
        <v>59.6</v>
      </c>
    </row>
    <row r="18" spans="1:25" x14ac:dyDescent="0.25">
      <c r="A18" t="s">
        <v>45</v>
      </c>
      <c r="B18" t="s">
        <v>25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5</v>
      </c>
      <c r="N18">
        <v>2</v>
      </c>
      <c r="O18">
        <v>21</v>
      </c>
      <c r="P18">
        <v>0</v>
      </c>
      <c r="Q18">
        <v>0</v>
      </c>
      <c r="R18">
        <v>0</v>
      </c>
      <c r="S18">
        <v>4.0999999999999996</v>
      </c>
      <c r="T18">
        <v>7.5414781297134196E-3</v>
      </c>
      <c r="V18">
        <v>10.5</v>
      </c>
      <c r="Y18">
        <f>($G18*Cp_yd)+($H18*Cp_td)+($I18*Cint)+($J18*Ccar)+($K18*Cr_yd)+($L18*Cr_td)+($N18*Crec)+($O18*Crec_yd)+($P18*Crec_td)+($Q18*Cfmb)+($R18*Ctp_c)</f>
        <v>4.0999999999999996</v>
      </c>
    </row>
    <row r="19" spans="1:25" x14ac:dyDescent="0.25">
      <c r="A19" t="s">
        <v>46</v>
      </c>
      <c r="B19" t="s">
        <v>25</v>
      </c>
      <c r="C19" t="s">
        <v>43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96</v>
      </c>
      <c r="N19">
        <v>64</v>
      </c>
      <c r="O19">
        <v>717</v>
      </c>
      <c r="P19">
        <v>3</v>
      </c>
      <c r="Q19">
        <v>0</v>
      </c>
      <c r="R19">
        <v>0</v>
      </c>
      <c r="S19">
        <v>151.69999999999999</v>
      </c>
      <c r="T19">
        <v>0.144796380090498</v>
      </c>
      <c r="V19">
        <v>11.203125</v>
      </c>
      <c r="Y19">
        <f>($G19*Cp_yd)+($H19*Cp_td)+($I19*Cint)+($J19*Ccar)+($K19*Cr_yd)+($L19*Cr_td)+($N19*Crec)+($O19*Crec_yd)+($P19*Crec_td)+($Q19*Cfmb)+($R19*Ctp_c)</f>
        <v>153.69999999999999</v>
      </c>
    </row>
    <row r="20" spans="1:25" x14ac:dyDescent="0.25">
      <c r="A20" t="s">
        <v>47</v>
      </c>
      <c r="B20" t="s">
        <v>25</v>
      </c>
      <c r="C20" t="s">
        <v>43</v>
      </c>
      <c r="D20">
        <v>11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44</v>
      </c>
      <c r="L20">
        <v>0</v>
      </c>
      <c r="M20">
        <v>64</v>
      </c>
      <c r="N20">
        <v>52</v>
      </c>
      <c r="O20">
        <v>467</v>
      </c>
      <c r="P20">
        <v>2</v>
      </c>
      <c r="Q20">
        <v>0</v>
      </c>
      <c r="R20">
        <v>0</v>
      </c>
      <c r="S20">
        <v>115.1</v>
      </c>
      <c r="T20">
        <v>9.6530920060331801E-2</v>
      </c>
      <c r="U20">
        <v>6.28571428571429</v>
      </c>
      <c r="V20">
        <v>8.9807692307692299</v>
      </c>
      <c r="Y20">
        <f>($G20*Cp_yd)+($H20*Cp_td)+($I20*Cint)+($J20*Ccar)+($K20*Cr_yd)+($L20*Cr_td)+($N20*Crec)+($O20*Crec_yd)+($P20*Crec_td)+($Q20*Cfmb)+($R20*Ctp_c)</f>
        <v>115.1</v>
      </c>
    </row>
    <row r="21" spans="1:25" x14ac:dyDescent="0.25">
      <c r="A21" t="s">
        <v>48</v>
      </c>
      <c r="B21" t="s">
        <v>25</v>
      </c>
      <c r="C21" t="s">
        <v>43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1</v>
      </c>
      <c r="L21">
        <v>0</v>
      </c>
      <c r="M21">
        <v>107</v>
      </c>
      <c r="N21">
        <v>67</v>
      </c>
      <c r="O21">
        <v>709</v>
      </c>
      <c r="P21">
        <v>3</v>
      </c>
      <c r="Q21">
        <v>0</v>
      </c>
      <c r="R21">
        <v>0</v>
      </c>
      <c r="S21">
        <v>156</v>
      </c>
      <c r="T21">
        <v>0.161387631975867</v>
      </c>
      <c r="U21">
        <v>1</v>
      </c>
      <c r="V21">
        <v>10.5820895522388</v>
      </c>
      <c r="Y21">
        <f>($G21*Cp_yd)+($H21*Cp_td)+($I21*Cint)+($J21*Ccar)+($K21*Cr_yd)+($L21*Cr_td)+($N21*Crec)+($O21*Crec_yd)+($P21*Crec_td)+($Q21*Cfmb)+($R21*Ctp_c)</f>
        <v>156</v>
      </c>
    </row>
    <row r="22" spans="1:25" x14ac:dyDescent="0.25">
      <c r="A22" t="s">
        <v>49</v>
      </c>
      <c r="B22" t="s">
        <v>25</v>
      </c>
      <c r="C22" t="s">
        <v>43</v>
      </c>
      <c r="D22">
        <v>2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15</v>
      </c>
      <c r="L22">
        <v>0</v>
      </c>
      <c r="M22">
        <v>2</v>
      </c>
      <c r="N22">
        <v>2</v>
      </c>
      <c r="O22">
        <v>6</v>
      </c>
      <c r="P22">
        <v>0</v>
      </c>
      <c r="Q22">
        <v>0</v>
      </c>
      <c r="R22">
        <v>0</v>
      </c>
      <c r="S22">
        <v>4.0999999999999996</v>
      </c>
      <c r="T22">
        <v>3.0165912518853701E-3</v>
      </c>
      <c r="U22">
        <v>3.75</v>
      </c>
      <c r="V22">
        <v>3</v>
      </c>
      <c r="Y22">
        <f>($G22*Cp_yd)+($H22*Cp_td)+($I22*Cint)+($J22*Ccar)+($K22*Cr_yd)+($L22*Cr_td)+($N22*Crec)+($O22*Crec_yd)+($P22*Crec_td)+($Q22*Cfmb)+($R22*Ctp_c)</f>
        <v>4.0999999999999996</v>
      </c>
    </row>
    <row r="23" spans="1:25" x14ac:dyDescent="0.25">
      <c r="A23" t="s">
        <v>50</v>
      </c>
      <c r="B23" t="s">
        <v>25</v>
      </c>
      <c r="C23" t="s">
        <v>43</v>
      </c>
      <c r="D23">
        <v>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17</v>
      </c>
      <c r="N23">
        <v>7</v>
      </c>
      <c r="O23">
        <v>76</v>
      </c>
      <c r="P23">
        <v>0</v>
      </c>
      <c r="Q23">
        <v>0</v>
      </c>
      <c r="R23">
        <v>0</v>
      </c>
      <c r="S23">
        <v>14.6</v>
      </c>
      <c r="T23">
        <v>2.5641025641025599E-2</v>
      </c>
      <c r="V23">
        <v>10.8571428571429</v>
      </c>
      <c r="Y23">
        <f>($G23*Cp_yd)+($H23*Cp_td)+($I23*Cint)+($J23*Ccar)+($K23*Cr_yd)+($L23*Cr_td)+($N23*Crec)+($O23*Crec_yd)+($P23*Crec_td)+($Q23*Cfmb)+($R23*Ctp_c)</f>
        <v>14.600000000000001</v>
      </c>
    </row>
    <row r="24" spans="1:25" x14ac:dyDescent="0.25">
      <c r="A24" t="s">
        <v>51</v>
      </c>
      <c r="B24" t="s">
        <v>25</v>
      </c>
      <c r="C24" t="s">
        <v>43</v>
      </c>
      <c r="D24">
        <v>8</v>
      </c>
      <c r="E24">
        <v>0</v>
      </c>
      <c r="F24">
        <v>0</v>
      </c>
      <c r="G24">
        <v>0</v>
      </c>
      <c r="H24">
        <v>0</v>
      </c>
      <c r="I24">
        <v>0</v>
      </c>
      <c r="J24">
        <v>6</v>
      </c>
      <c r="K24">
        <v>-5</v>
      </c>
      <c r="L24">
        <v>0</v>
      </c>
      <c r="M24">
        <v>56</v>
      </c>
      <c r="N24">
        <v>41</v>
      </c>
      <c r="O24">
        <v>414</v>
      </c>
      <c r="P24">
        <v>1</v>
      </c>
      <c r="Q24">
        <v>0</v>
      </c>
      <c r="R24">
        <v>0</v>
      </c>
      <c r="S24">
        <v>87.9</v>
      </c>
      <c r="T24">
        <v>8.4464555052790394E-2</v>
      </c>
      <c r="U24">
        <v>-0.83333333333333304</v>
      </c>
      <c r="V24">
        <v>10.097560975609801</v>
      </c>
      <c r="Y24">
        <f>($G24*Cp_yd)+($H24*Cp_td)+($I24*Cint)+($J24*Ccar)+($K24*Cr_yd)+($L24*Cr_td)+($N24*Crec)+($O24*Crec_yd)+($P24*Crec_td)+($Q24*Cfmb)+($R24*Ctp_c)</f>
        <v>87.9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  <c r="M30" t="s">
        <v>60</v>
      </c>
    </row>
    <row r="31" spans="1:25" x14ac:dyDescent="0.25">
      <c r="A31" t="s">
        <v>25</v>
      </c>
      <c r="B31">
        <v>5835</v>
      </c>
      <c r="C31">
        <v>3962</v>
      </c>
      <c r="D31">
        <v>434</v>
      </c>
      <c r="E31">
        <v>1873</v>
      </c>
      <c r="F31">
        <v>15</v>
      </c>
      <c r="G31">
        <v>1401.98</v>
      </c>
      <c r="H31">
        <v>663</v>
      </c>
      <c r="I31">
        <v>0.65158371040723995</v>
      </c>
      <c r="J31">
        <v>17</v>
      </c>
      <c r="K31">
        <v>17</v>
      </c>
      <c r="L31">
        <v>6</v>
      </c>
      <c r="M31">
        <f ca="1">SUM(INDIRECT(A33 &amp; "_Table1[[#All],[f_custom]]"))</f>
        <v>1397.9799999999998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  <c r="M32" t="s">
        <v>60</v>
      </c>
    </row>
    <row r="33" spans="1:28" x14ac:dyDescent="0.25">
      <c r="A33" t="str">
        <f>A31</f>
        <v>ARI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2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61</v>
      </c>
      <c r="B36" t="s">
        <v>26</v>
      </c>
      <c r="C36">
        <v>28</v>
      </c>
      <c r="D36">
        <v>4</v>
      </c>
      <c r="E36" t="s">
        <v>62</v>
      </c>
      <c r="F36" t="s">
        <v>25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10</v>
      </c>
      <c r="S36">
        <v>0</v>
      </c>
      <c r="T36">
        <v>0</v>
      </c>
      <c r="U36">
        <v>0</v>
      </c>
      <c r="V36">
        <f>($J36*0.04)+($K36*4)+($L36*-2)+($N36*0.1)+($O36*6)+($Q36)+($R36*0.1)+($S36*6)+($T36*-2)</f>
        <v>2</v>
      </c>
      <c r="W36" t="e">
        <f ca="1">$P36/$H$33</f>
        <v>#DIV/0!</v>
      </c>
      <c r="X36" t="e">
        <f>$N36/$M36</f>
        <v>#DIV/0!</v>
      </c>
      <c r="Y36">
        <f>$R36/$Q36</f>
        <v>10</v>
      </c>
      <c r="Z36" t="e">
        <f>$I36/$H36</f>
        <v>#DIV/0!</v>
      </c>
      <c r="AA36" t="e">
        <f>$J36/$H36</f>
        <v>#DIV/0!</v>
      </c>
      <c r="AB36">
        <f>($J36*Cp_yd)+($K36*Cp_td)+($L36*Cint)+($M36*Ccar)+($N36*Cr_td)+($O36*Cr_yd)+(Q36*Crec)+($R36*Crec_yd)+($S36*Crec_td)+($T36*Cfmb)+($U36*Ctp_c)</f>
        <v>2</v>
      </c>
    </row>
    <row r="37" spans="1:28" x14ac:dyDescent="0.25">
      <c r="A37" t="s">
        <v>63</v>
      </c>
      <c r="B37" t="s">
        <v>26</v>
      </c>
      <c r="C37">
        <v>30</v>
      </c>
      <c r="D37">
        <v>8</v>
      </c>
      <c r="E37" t="s">
        <v>64</v>
      </c>
      <c r="F37" t="s">
        <v>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e">
        <f t="shared" ref="W37:W40" ca="1" si="0">$P37/$H$33</f>
        <v>#DIV/0!</v>
      </c>
      <c r="X37" t="e">
        <f t="shared" ref="X37:X40" si="1">$N37/$M37</f>
        <v>#DIV/0!</v>
      </c>
      <c r="Y37" t="e">
        <f t="shared" ref="Y37:Y40" si="2">$R37/$Q37</f>
        <v>#DIV/0!</v>
      </c>
      <c r="Z37" t="e">
        <f t="shared" ref="Z37:Z40" si="3">$I37/$H37</f>
        <v>#DIV/0!</v>
      </c>
      <c r="AA37" t="e">
        <f t="shared" ref="AA37:AA40" si="4">$J37/$H37</f>
        <v>#DIV/0!</v>
      </c>
      <c r="AB37">
        <f>($J37*Cp_yd)+($K37*Cp_td)+($L37*Cint)+($M37*Ccar)+($N37*Cr_td)+($O37*Cr_yd)+(Q37*Crec)+($R37*Crec_yd)+($S37*Crec_td)+($T37*Cfmb)+($U37*Ctp_c)</f>
        <v>0</v>
      </c>
    </row>
    <row r="38" spans="1:28" x14ac:dyDescent="0.25">
      <c r="A38" t="s">
        <v>65</v>
      </c>
      <c r="B38" t="s">
        <v>26</v>
      </c>
      <c r="C38">
        <v>36</v>
      </c>
      <c r="D38">
        <v>14</v>
      </c>
      <c r="E38" t="s">
        <v>66</v>
      </c>
      <c r="F38" t="s">
        <v>25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t="e">
        <f t="shared" ca="1" si="0"/>
        <v>#DIV/0!</v>
      </c>
      <c r="X38" t="e">
        <f t="shared" si="1"/>
        <v>#DIV/0!</v>
      </c>
      <c r="Y38" t="e">
        <f t="shared" si="2"/>
        <v>#DIV/0!</v>
      </c>
      <c r="Z38" t="e">
        <f t="shared" si="3"/>
        <v>#DIV/0!</v>
      </c>
      <c r="AA38" t="e">
        <f t="shared" si="4"/>
        <v>#DIV/0!</v>
      </c>
      <c r="AB38">
        <f>($J38*Cp_yd)+($K38*Cp_td)+($L38*Cint)+($M38*Ccar)+($N38*Cr_td)+($O38*Cr_yd)+(Q38*Crec)+($R38*Crec_yd)+($S38*Crec_td)+($T38*Cfmb)+($U38*Ctp_c)</f>
        <v>0</v>
      </c>
    </row>
    <row r="39" spans="1:28" x14ac:dyDescent="0.25">
      <c r="A39" t="s">
        <v>67</v>
      </c>
      <c r="B39" t="s">
        <v>26</v>
      </c>
      <c r="C39">
        <v>26</v>
      </c>
      <c r="D39">
        <v>5</v>
      </c>
      <c r="E39" t="s">
        <v>68</v>
      </c>
      <c r="F39" t="s">
        <v>25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t="e">
        <f t="shared" ca="1" si="0"/>
        <v>#DIV/0!</v>
      </c>
      <c r="X39" t="e">
        <f t="shared" si="1"/>
        <v>#DIV/0!</v>
      </c>
      <c r="Y39" t="e">
        <f t="shared" si="2"/>
        <v>#DIV/0!</v>
      </c>
      <c r="Z39" t="e">
        <f t="shared" si="3"/>
        <v>#DIV/0!</v>
      </c>
      <c r="AA39" t="e">
        <f t="shared" si="4"/>
        <v>#DIV/0!</v>
      </c>
      <c r="AB39">
        <f>($J39*Cp_yd)+($K39*Cp_td)+($L39*Cint)+($M39*Ccar)+($N39*Cr_td)+($O39*Cr_yd)+(Q39*Crec)+($R39*Crec_yd)+($S39*Crec_td)+($T39*Cfmb)+($U39*Ctp_c)</f>
        <v>0</v>
      </c>
    </row>
    <row r="40" spans="1:28" x14ac:dyDescent="0.25">
      <c r="A40" t="s">
        <v>69</v>
      </c>
      <c r="B40" t="s">
        <v>26</v>
      </c>
      <c r="C40">
        <v>24</v>
      </c>
      <c r="D40">
        <v>0</v>
      </c>
      <c r="E40" t="s">
        <v>70</v>
      </c>
      <c r="F40" t="s">
        <v>25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t="e">
        <f t="shared" ca="1" si="0"/>
        <v>#DIV/0!</v>
      </c>
      <c r="X40" t="e">
        <f t="shared" si="1"/>
        <v>#DIV/0!</v>
      </c>
      <c r="Y40" t="e">
        <f t="shared" si="2"/>
        <v>#DIV/0!</v>
      </c>
      <c r="Z40" t="e">
        <f t="shared" si="3"/>
        <v>#DIV/0!</v>
      </c>
      <c r="AA40" t="e">
        <f t="shared" si="4"/>
        <v>#DIV/0!</v>
      </c>
      <c r="AB40">
        <f>($J40*Cp_yd)+($K40*Cp_td)+($L40*Cint)+($M40*Ccar)+($N40*Cr_td)+($O40*Cr_yd)+(Q40*Crec)+($R40*Crec_yd)+($S40*Crec_td)+($T40*Cfmb)+($U40*Ctp_c)</f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71</v>
      </c>
      <c r="B46" t="s">
        <v>31</v>
      </c>
      <c r="C46">
        <v>28</v>
      </c>
      <c r="D46">
        <v>7</v>
      </c>
      <c r="E46" t="s">
        <v>72</v>
      </c>
      <c r="F46" t="s">
        <v>25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e">
        <f ca="1">$P46/$H$33</f>
        <v>#DIV/0!</v>
      </c>
      <c r="X46" t="e">
        <f>$N46/$M46</f>
        <v>#DIV/0!</v>
      </c>
      <c r="Y46" t="e">
        <f>$R46/$Q46</f>
        <v>#DIV/0!</v>
      </c>
      <c r="Z46" t="e">
        <f t="shared" ref="Z46:Z51" si="5">$R46/$Q46</f>
        <v>#DIV/0!</v>
      </c>
      <c r="AA46" t="e">
        <f>$J46/$H46</f>
        <v>#DIV/0!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73</v>
      </c>
      <c r="B47" t="s">
        <v>31</v>
      </c>
      <c r="C47">
        <v>28</v>
      </c>
      <c r="D47">
        <v>7</v>
      </c>
      <c r="E47" t="s">
        <v>74</v>
      </c>
      <c r="F47" t="s">
        <v>25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e">
        <f t="shared" ref="W47:W51" ca="1" si="6">$P47/$H$33</f>
        <v>#DIV/0!</v>
      </c>
      <c r="X47" t="e">
        <f t="shared" ref="X47:X51" si="7">$N47/$M47</f>
        <v>#DIV/0!</v>
      </c>
      <c r="Y47" t="e">
        <f t="shared" ref="Y47:Y51" si="8">$R47/$Q47</f>
        <v>#DIV/0!</v>
      </c>
      <c r="Z47" t="e">
        <f t="shared" si="5"/>
        <v>#DIV/0!</v>
      </c>
      <c r="AA47" t="e">
        <f t="shared" ref="AA47:AA51" si="9">$J47/$H47</f>
        <v>#DIV/0!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75</v>
      </c>
      <c r="B48" t="s">
        <v>31</v>
      </c>
      <c r="C48">
        <v>24</v>
      </c>
      <c r="D48">
        <v>0</v>
      </c>
      <c r="E48" t="s">
        <v>76</v>
      </c>
      <c r="F48" t="s">
        <v>25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t="e">
        <f t="shared" ca="1" si="6"/>
        <v>#DIV/0!</v>
      </c>
      <c r="X48" t="e">
        <f t="shared" si="7"/>
        <v>#DIV/0!</v>
      </c>
      <c r="Y48" t="e">
        <f t="shared" si="8"/>
        <v>#DIV/0!</v>
      </c>
      <c r="Z48" t="e">
        <f t="shared" si="5"/>
        <v>#DIV/0!</v>
      </c>
      <c r="AA48" t="e">
        <f t="shared" si="9"/>
        <v>#DIV/0!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77</v>
      </c>
      <c r="B49" t="s">
        <v>31</v>
      </c>
      <c r="C49">
        <v>23</v>
      </c>
      <c r="D49">
        <v>2</v>
      </c>
      <c r="E49" t="s">
        <v>78</v>
      </c>
      <c r="F49" t="s">
        <v>25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 t="e">
        <f t="shared" ca="1" si="6"/>
        <v>#DIV/0!</v>
      </c>
      <c r="X49" t="e">
        <f t="shared" si="7"/>
        <v>#DIV/0!</v>
      </c>
      <c r="Y49" t="e">
        <f t="shared" si="8"/>
        <v>#DIV/0!</v>
      </c>
      <c r="Z49" t="e">
        <f t="shared" si="5"/>
        <v>#DIV/0!</v>
      </c>
      <c r="AA49" t="e">
        <f t="shared" si="9"/>
        <v>#DIV/0!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79</v>
      </c>
      <c r="B50" t="s">
        <v>31</v>
      </c>
      <c r="C50">
        <v>27</v>
      </c>
      <c r="D50">
        <v>7</v>
      </c>
      <c r="E50" t="s">
        <v>80</v>
      </c>
      <c r="F50" t="s">
        <v>25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 t="e">
        <f t="shared" ca="1" si="6"/>
        <v>#DIV/0!</v>
      </c>
      <c r="X50" t="e">
        <f t="shared" si="7"/>
        <v>#DIV/0!</v>
      </c>
      <c r="Y50" t="e">
        <f t="shared" si="8"/>
        <v>#DIV/0!</v>
      </c>
      <c r="Z50" t="e">
        <f t="shared" si="5"/>
        <v>#DIV/0!</v>
      </c>
      <c r="AA50" t="e">
        <f t="shared" si="9"/>
        <v>#DIV/0!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81</v>
      </c>
      <c r="B51" t="s">
        <v>31</v>
      </c>
      <c r="C51">
        <v>26</v>
      </c>
      <c r="D51">
        <v>2</v>
      </c>
      <c r="E51" t="s">
        <v>82</v>
      </c>
      <c r="F51" t="s">
        <v>25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e">
        <f t="shared" ca="1" si="6"/>
        <v>#DIV/0!</v>
      </c>
      <c r="X51" t="e">
        <f t="shared" si="7"/>
        <v>#DIV/0!</v>
      </c>
      <c r="Y51" t="e">
        <f t="shared" si="8"/>
        <v>#DIV/0!</v>
      </c>
      <c r="Z51" t="e">
        <f t="shared" si="5"/>
        <v>#DIV/0!</v>
      </c>
      <c r="AA51" t="e">
        <f t="shared" si="9"/>
        <v>#DIV/0!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83</v>
      </c>
      <c r="B61" t="s">
        <v>43</v>
      </c>
      <c r="C61">
        <v>24</v>
      </c>
      <c r="D61">
        <v>0</v>
      </c>
      <c r="E61" t="s">
        <v>84</v>
      </c>
      <c r="F61" t="s">
        <v>25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 t="e">
        <f t="shared" ref="W61:W71" ca="1" si="10">$P61/$H$33</f>
        <v>#DIV/0!</v>
      </c>
      <c r="X61" t="e">
        <f t="shared" ref="X61:X71" si="11">$N61/$M61</f>
        <v>#DIV/0!</v>
      </c>
      <c r="Y61" t="e">
        <f t="shared" ref="Y61:Z71" si="12">$R61/$Q61</f>
        <v>#DIV/0!</v>
      </c>
      <c r="Z61" t="e">
        <f t="shared" si="12"/>
        <v>#DIV/0!</v>
      </c>
      <c r="AA61" t="e">
        <f t="shared" ref="AA61:AA71" si="13">$J61/$H61</f>
        <v>#DIV/0!</v>
      </c>
      <c r="AB61">
        <v>0</v>
      </c>
    </row>
    <row r="62" spans="1:28" x14ac:dyDescent="0.25">
      <c r="A62" t="s">
        <v>85</v>
      </c>
      <c r="B62" t="s">
        <v>43</v>
      </c>
      <c r="C62">
        <v>26</v>
      </c>
      <c r="D62">
        <v>2</v>
      </c>
      <c r="E62" t="s">
        <v>86</v>
      </c>
      <c r="F62" t="s">
        <v>25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 t="e">
        <f t="shared" ca="1" si="10"/>
        <v>#DIV/0!</v>
      </c>
      <c r="X62" t="e">
        <f t="shared" si="11"/>
        <v>#DIV/0!</v>
      </c>
      <c r="Y62" t="e">
        <f t="shared" si="12"/>
        <v>#DIV/0!</v>
      </c>
      <c r="Z62" t="e">
        <f t="shared" si="12"/>
        <v>#DIV/0!</v>
      </c>
      <c r="AA62" t="e">
        <f t="shared" si="13"/>
        <v>#DIV/0!</v>
      </c>
      <c r="AB62">
        <v>0</v>
      </c>
    </row>
    <row r="63" spans="1:28" x14ac:dyDescent="0.25">
      <c r="A63" t="s">
        <v>87</v>
      </c>
      <c r="B63" t="s">
        <v>43</v>
      </c>
      <c r="C63">
        <v>26</v>
      </c>
      <c r="D63">
        <v>5</v>
      </c>
      <c r="E63" t="s">
        <v>68</v>
      </c>
      <c r="F63" t="s">
        <v>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 t="e">
        <f t="shared" ca="1" si="10"/>
        <v>#DIV/0!</v>
      </c>
      <c r="X63" t="e">
        <f t="shared" si="11"/>
        <v>#DIV/0!</v>
      </c>
      <c r="Y63" t="e">
        <f t="shared" si="12"/>
        <v>#DIV/0!</v>
      </c>
      <c r="Z63" t="e">
        <f t="shared" si="12"/>
        <v>#DIV/0!</v>
      </c>
      <c r="AA63" t="e">
        <f t="shared" si="13"/>
        <v>#DIV/0!</v>
      </c>
      <c r="AB63">
        <v>0</v>
      </c>
    </row>
    <row r="64" spans="1:28" x14ac:dyDescent="0.25">
      <c r="A64" t="s">
        <v>88</v>
      </c>
      <c r="B64" t="s">
        <v>43</v>
      </c>
      <c r="C64">
        <v>23</v>
      </c>
      <c r="D64">
        <v>0</v>
      </c>
      <c r="E64" t="s">
        <v>89</v>
      </c>
      <c r="F64" t="s">
        <v>25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 t="e">
        <f t="shared" ca="1" si="10"/>
        <v>#DIV/0!</v>
      </c>
      <c r="X64" t="e">
        <f t="shared" si="11"/>
        <v>#DIV/0!</v>
      </c>
      <c r="Y64" t="e">
        <f t="shared" si="12"/>
        <v>#DIV/0!</v>
      </c>
      <c r="Z64" t="e">
        <f t="shared" si="12"/>
        <v>#DIV/0!</v>
      </c>
      <c r="AA64" t="e">
        <f t="shared" si="13"/>
        <v>#DIV/0!</v>
      </c>
      <c r="AB64">
        <v>0</v>
      </c>
    </row>
    <row r="65" spans="1:28" x14ac:dyDescent="0.25">
      <c r="A65" t="s">
        <v>90</v>
      </c>
      <c r="B65" t="s">
        <v>43</v>
      </c>
      <c r="C65">
        <v>26</v>
      </c>
      <c r="D65">
        <v>2</v>
      </c>
      <c r="E65" t="s">
        <v>91</v>
      </c>
      <c r="F65" t="s">
        <v>25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 t="e">
        <f t="shared" ca="1" si="10"/>
        <v>#DIV/0!</v>
      </c>
      <c r="X65" t="e">
        <f t="shared" si="11"/>
        <v>#DIV/0!</v>
      </c>
      <c r="Y65" t="e">
        <f t="shared" si="12"/>
        <v>#DIV/0!</v>
      </c>
      <c r="Z65" t="e">
        <f t="shared" si="12"/>
        <v>#DIV/0!</v>
      </c>
      <c r="AA65" t="e">
        <f t="shared" si="13"/>
        <v>#DIV/0!</v>
      </c>
      <c r="AB65">
        <v>0</v>
      </c>
    </row>
    <row r="66" spans="1:28" x14ac:dyDescent="0.25">
      <c r="A66" t="s">
        <v>92</v>
      </c>
      <c r="B66" t="s">
        <v>43</v>
      </c>
      <c r="C66">
        <v>24</v>
      </c>
      <c r="D66">
        <v>1</v>
      </c>
      <c r="E66" t="s">
        <v>93</v>
      </c>
      <c r="F66" t="s">
        <v>25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 t="e">
        <f t="shared" ca="1" si="10"/>
        <v>#DIV/0!</v>
      </c>
      <c r="X66" t="e">
        <f t="shared" si="11"/>
        <v>#DIV/0!</v>
      </c>
      <c r="Y66" t="e">
        <f t="shared" si="12"/>
        <v>#DIV/0!</v>
      </c>
      <c r="Z66" t="e">
        <f t="shared" si="12"/>
        <v>#DIV/0!</v>
      </c>
      <c r="AA66" t="e">
        <f t="shared" si="13"/>
        <v>#DIV/0!</v>
      </c>
      <c r="AB66">
        <v>0</v>
      </c>
    </row>
    <row r="67" spans="1:28" x14ac:dyDescent="0.25">
      <c r="A67" t="s">
        <v>94</v>
      </c>
      <c r="B67" t="s">
        <v>43</v>
      </c>
      <c r="C67">
        <v>25</v>
      </c>
      <c r="D67">
        <v>3</v>
      </c>
      <c r="E67" t="s">
        <v>95</v>
      </c>
      <c r="F67" t="s">
        <v>25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 t="e">
        <f t="shared" ca="1" si="10"/>
        <v>#DIV/0!</v>
      </c>
      <c r="X67" t="e">
        <f t="shared" si="11"/>
        <v>#DIV/0!</v>
      </c>
      <c r="Y67" t="e">
        <f t="shared" si="12"/>
        <v>#DIV/0!</v>
      </c>
      <c r="Z67" t="e">
        <f t="shared" si="12"/>
        <v>#DIV/0!</v>
      </c>
      <c r="AA67" t="e">
        <f t="shared" si="13"/>
        <v>#DIV/0!</v>
      </c>
      <c r="AB67">
        <v>0</v>
      </c>
    </row>
    <row r="68" spans="1:28" x14ac:dyDescent="0.25">
      <c r="A68" t="s">
        <v>96</v>
      </c>
      <c r="B68" t="s">
        <v>43</v>
      </c>
      <c r="C68">
        <v>23</v>
      </c>
      <c r="D68">
        <v>3</v>
      </c>
      <c r="E68" t="s">
        <v>62</v>
      </c>
      <c r="F68" t="s">
        <v>25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 t="e">
        <f t="shared" ca="1" si="10"/>
        <v>#DIV/0!</v>
      </c>
      <c r="X68" t="e">
        <f t="shared" si="11"/>
        <v>#DIV/0!</v>
      </c>
      <c r="Y68" t="e">
        <f t="shared" si="12"/>
        <v>#DIV/0!</v>
      </c>
      <c r="Z68" t="e">
        <f t="shared" si="12"/>
        <v>#DIV/0!</v>
      </c>
      <c r="AA68" t="e">
        <f t="shared" si="13"/>
        <v>#DIV/0!</v>
      </c>
      <c r="AB68">
        <v>0</v>
      </c>
    </row>
    <row r="69" spans="1:28" x14ac:dyDescent="0.25">
      <c r="A69" t="s">
        <v>97</v>
      </c>
      <c r="B69" t="s">
        <v>43</v>
      </c>
      <c r="C69">
        <v>28</v>
      </c>
      <c r="D69">
        <v>6</v>
      </c>
      <c r="E69" t="s">
        <v>98</v>
      </c>
      <c r="F69" t="s">
        <v>25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 t="e">
        <f t="shared" ca="1" si="10"/>
        <v>#DIV/0!</v>
      </c>
      <c r="X69" t="e">
        <f t="shared" si="11"/>
        <v>#DIV/0!</v>
      </c>
      <c r="Y69" t="e">
        <f t="shared" si="12"/>
        <v>#DIV/0!</v>
      </c>
      <c r="Z69" t="e">
        <f t="shared" si="12"/>
        <v>#DIV/0!</v>
      </c>
      <c r="AA69" t="e">
        <f t="shared" si="13"/>
        <v>#DIV/0!</v>
      </c>
      <c r="AB69">
        <v>0</v>
      </c>
    </row>
    <row r="70" spans="1:28" x14ac:dyDescent="0.25">
      <c r="A70" t="s">
        <v>99</v>
      </c>
      <c r="B70" t="s">
        <v>43</v>
      </c>
      <c r="C70">
        <v>24</v>
      </c>
      <c r="D70">
        <v>1</v>
      </c>
      <c r="E70" t="s">
        <v>100</v>
      </c>
      <c r="F70" t="s">
        <v>25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 t="e">
        <f t="shared" ca="1" si="10"/>
        <v>#DIV/0!</v>
      </c>
      <c r="X70" t="e">
        <f t="shared" si="11"/>
        <v>#DIV/0!</v>
      </c>
      <c r="Y70" t="e">
        <f t="shared" si="12"/>
        <v>#DIV/0!</v>
      </c>
      <c r="Z70" t="e">
        <f t="shared" si="12"/>
        <v>#DIV/0!</v>
      </c>
      <c r="AA70" t="e">
        <f t="shared" si="13"/>
        <v>#DIV/0!</v>
      </c>
      <c r="AB70">
        <v>0</v>
      </c>
    </row>
    <row r="71" spans="1:28" x14ac:dyDescent="0.25">
      <c r="A71" t="s">
        <v>101</v>
      </c>
      <c r="B71" t="s">
        <v>43</v>
      </c>
      <c r="C71">
        <v>23</v>
      </c>
      <c r="D71">
        <v>0</v>
      </c>
      <c r="E71" t="s">
        <v>102</v>
      </c>
      <c r="F71" t="s">
        <v>25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 t="e">
        <f t="shared" ca="1" si="10"/>
        <v>#DIV/0!</v>
      </c>
      <c r="X71" t="e">
        <f t="shared" si="11"/>
        <v>#DIV/0!</v>
      </c>
      <c r="Y71" t="e">
        <f t="shared" si="12"/>
        <v>#DIV/0!</v>
      </c>
      <c r="Z71" t="e">
        <f t="shared" si="12"/>
        <v>#DIV/0!</v>
      </c>
      <c r="AA71" t="e">
        <f t="shared" si="13"/>
        <v>#DIV/0!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103</v>
      </c>
      <c r="B76" t="s">
        <v>38</v>
      </c>
      <c r="C76">
        <v>32</v>
      </c>
      <c r="D76">
        <v>11</v>
      </c>
      <c r="E76" t="s">
        <v>102</v>
      </c>
      <c r="F76" t="s">
        <v>25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 t="e">
        <f t="shared" ref="W76:W82" ca="1" si="14">$P76/$H$33</f>
        <v>#DIV/0!</v>
      </c>
      <c r="X76" t="e">
        <f t="shared" ref="X76:X82" si="15">$N76/$M76</f>
        <v>#DIV/0!</v>
      </c>
      <c r="Y76" t="e">
        <f t="shared" ref="Y76:Z82" si="16">$R76/$Q76</f>
        <v>#DIV/0!</v>
      </c>
      <c r="Z76" t="e">
        <f t="shared" si="16"/>
        <v>#DIV/0!</v>
      </c>
      <c r="AA76" t="e">
        <f t="shared" ref="AA76:AA82" si="17">$J76/$H76</f>
        <v>#DIV/0!</v>
      </c>
      <c r="AB76">
        <v>0</v>
      </c>
    </row>
    <row r="77" spans="1:28" x14ac:dyDescent="0.25">
      <c r="A77" t="s">
        <v>104</v>
      </c>
      <c r="B77" t="s">
        <v>38</v>
      </c>
      <c r="C77">
        <v>25</v>
      </c>
      <c r="D77">
        <v>0</v>
      </c>
      <c r="E77" t="s">
        <v>105</v>
      </c>
      <c r="F77" t="s">
        <v>25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t="e">
        <f t="shared" ca="1" si="14"/>
        <v>#DIV/0!</v>
      </c>
      <c r="X77" t="e">
        <f t="shared" si="15"/>
        <v>#DIV/0!</v>
      </c>
      <c r="Y77" t="e">
        <f t="shared" si="16"/>
        <v>#DIV/0!</v>
      </c>
      <c r="Z77" t="e">
        <f t="shared" si="16"/>
        <v>#DIV/0!</v>
      </c>
      <c r="AA77" t="e">
        <f t="shared" si="17"/>
        <v>#DIV/0!</v>
      </c>
      <c r="AB77">
        <v>0</v>
      </c>
    </row>
    <row r="78" spans="1:28" x14ac:dyDescent="0.25">
      <c r="A78" t="s">
        <v>106</v>
      </c>
      <c r="B78" t="s">
        <v>38</v>
      </c>
      <c r="C78">
        <v>23</v>
      </c>
      <c r="D78">
        <v>2</v>
      </c>
      <c r="E78" t="s">
        <v>107</v>
      </c>
      <c r="F78" t="s">
        <v>25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t="e">
        <f t="shared" ca="1" si="14"/>
        <v>#DIV/0!</v>
      </c>
      <c r="X78" t="e">
        <f t="shared" si="15"/>
        <v>#DIV/0!</v>
      </c>
      <c r="Y78" t="e">
        <f t="shared" si="16"/>
        <v>#DIV/0!</v>
      </c>
      <c r="Z78" t="e">
        <f t="shared" si="16"/>
        <v>#DIV/0!</v>
      </c>
      <c r="AA78" t="e">
        <f t="shared" si="17"/>
        <v>#DIV/0!</v>
      </c>
      <c r="AB78">
        <v>0</v>
      </c>
    </row>
    <row r="79" spans="1:28" x14ac:dyDescent="0.25">
      <c r="A79" t="s">
        <v>108</v>
      </c>
      <c r="B79" t="s">
        <v>38</v>
      </c>
      <c r="C79">
        <v>26</v>
      </c>
      <c r="D79">
        <v>1</v>
      </c>
      <c r="E79" t="s">
        <v>93</v>
      </c>
      <c r="F79" t="s">
        <v>25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t="e">
        <f t="shared" ca="1" si="14"/>
        <v>#DIV/0!</v>
      </c>
      <c r="X79" t="e">
        <f t="shared" si="15"/>
        <v>#DIV/0!</v>
      </c>
      <c r="Y79" t="e">
        <f t="shared" si="16"/>
        <v>#DIV/0!</v>
      </c>
      <c r="Z79" t="e">
        <f t="shared" si="16"/>
        <v>#DIV/0!</v>
      </c>
      <c r="AA79" t="e">
        <f t="shared" si="17"/>
        <v>#DIV/0!</v>
      </c>
      <c r="AB79">
        <v>0</v>
      </c>
    </row>
    <row r="80" spans="1:28" x14ac:dyDescent="0.25">
      <c r="A80" t="s">
        <v>109</v>
      </c>
      <c r="B80" t="s">
        <v>38</v>
      </c>
      <c r="C80">
        <v>29</v>
      </c>
      <c r="D80">
        <v>9</v>
      </c>
      <c r="E80" t="s">
        <v>66</v>
      </c>
      <c r="F80" t="s">
        <v>25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 t="e">
        <f t="shared" ca="1" si="14"/>
        <v>#DIV/0!</v>
      </c>
      <c r="X80" t="e">
        <f t="shared" si="15"/>
        <v>#DIV/0!</v>
      </c>
      <c r="Y80" t="e">
        <f t="shared" si="16"/>
        <v>#DIV/0!</v>
      </c>
      <c r="Z80" t="e">
        <f t="shared" si="16"/>
        <v>#DIV/0!</v>
      </c>
      <c r="AA80" t="e">
        <f t="shared" si="17"/>
        <v>#DIV/0!</v>
      </c>
      <c r="AB80">
        <v>0</v>
      </c>
    </row>
    <row r="81" spans="1:28" x14ac:dyDescent="0.25">
      <c r="A81" t="s">
        <v>110</v>
      </c>
      <c r="B81" t="s">
        <v>38</v>
      </c>
      <c r="C81">
        <v>26</v>
      </c>
      <c r="D81">
        <v>2</v>
      </c>
      <c r="E81" t="s">
        <v>111</v>
      </c>
      <c r="F81" t="s">
        <v>25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t="e">
        <f t="shared" ca="1" si="14"/>
        <v>#DIV/0!</v>
      </c>
      <c r="X81" t="e">
        <f t="shared" si="15"/>
        <v>#DIV/0!</v>
      </c>
      <c r="Y81" t="e">
        <f t="shared" si="16"/>
        <v>#DIV/0!</v>
      </c>
      <c r="Z81" t="e">
        <f t="shared" si="16"/>
        <v>#DIV/0!</v>
      </c>
      <c r="AA81" t="e">
        <f t="shared" si="17"/>
        <v>#DIV/0!</v>
      </c>
      <c r="AB81">
        <v>0</v>
      </c>
    </row>
    <row r="82" spans="1:28" x14ac:dyDescent="0.25">
      <c r="A82" t="s">
        <v>112</v>
      </c>
      <c r="B82" t="s">
        <v>38</v>
      </c>
      <c r="C82">
        <v>23</v>
      </c>
      <c r="D82">
        <v>0</v>
      </c>
      <c r="E82" t="s">
        <v>95</v>
      </c>
      <c r="F82" t="s">
        <v>25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t="e">
        <f t="shared" ca="1" si="14"/>
        <v>#DIV/0!</v>
      </c>
      <c r="X82" t="e">
        <f t="shared" si="15"/>
        <v>#DIV/0!</v>
      </c>
      <c r="Y82" t="e">
        <f t="shared" si="16"/>
        <v>#DIV/0!</v>
      </c>
      <c r="Z82" t="e">
        <f t="shared" si="16"/>
        <v>#DIV/0!</v>
      </c>
      <c r="AA82" t="e">
        <f t="shared" si="17"/>
        <v>#DIV/0!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tabSelected="1" topLeftCell="C1" workbookViewId="0">
      <selection activeCell="Y6" sqref="Y6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113</v>
      </c>
      <c r="B2" t="s">
        <v>114</v>
      </c>
      <c r="C2" t="s">
        <v>115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2</v>
      </c>
      <c r="L2">
        <v>0</v>
      </c>
      <c r="M2">
        <v>2</v>
      </c>
      <c r="N2">
        <v>1</v>
      </c>
      <c r="O2">
        <v>8</v>
      </c>
      <c r="P2">
        <v>0</v>
      </c>
      <c r="Q2">
        <v>0</v>
      </c>
      <c r="R2">
        <v>0</v>
      </c>
      <c r="S2">
        <v>2</v>
      </c>
      <c r="T2">
        <v>3.0165912518853701E-3</v>
      </c>
      <c r="U2">
        <v>2</v>
      </c>
      <c r="V2">
        <v>8</v>
      </c>
      <c r="Y2">
        <f>($G2*Admin!$C$4)+($H2*Admin!$C$3)+($I2*Admin!$C$5)+($K2*Admin!$C$9)+($L2*Admin!$C$10)+($N2*Admin!$C$7)+($O2*Admin!$C$11)+($P2*Admin!$C$12)+($Q2*Admin!$C$6)+($R2*Admin!$C$13)</f>
        <v>2</v>
      </c>
    </row>
    <row r="3" spans="1:25" x14ac:dyDescent="0.25">
      <c r="A3" t="s">
        <v>116</v>
      </c>
      <c r="B3" t="s">
        <v>114</v>
      </c>
      <c r="C3" t="s">
        <v>26</v>
      </c>
      <c r="D3">
        <v>4</v>
      </c>
      <c r="E3">
        <v>115</v>
      </c>
      <c r="F3">
        <v>73</v>
      </c>
      <c r="G3">
        <v>708</v>
      </c>
      <c r="H3">
        <v>2</v>
      </c>
      <c r="I3">
        <v>0</v>
      </c>
      <c r="J3">
        <v>16</v>
      </c>
      <c r="K3">
        <v>64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38.72</v>
      </c>
      <c r="T3">
        <v>0</v>
      </c>
      <c r="U3">
        <v>4</v>
      </c>
      <c r="W3">
        <v>0.63478260869565195</v>
      </c>
      <c r="X3">
        <v>1.7391304347826101E-2</v>
      </c>
      <c r="Y3">
        <f>($G3*Admin!$C$4)+($H3*Admin!$C$3)+($I3*Admin!$C$5)+($K3*Admin!$C$9)+($L3*Admin!$C$10)+($N3*Admin!$C$7)+($O3*Admin!$C$11)+($P3*Admin!$C$12)+($Q3*Admin!$C$6)+($R3*Admin!$C$13)</f>
        <v>38.72</v>
      </c>
    </row>
    <row r="4" spans="1:25" x14ac:dyDescent="0.25">
      <c r="A4" t="s">
        <v>117</v>
      </c>
      <c r="B4" t="s">
        <v>114</v>
      </c>
      <c r="C4" t="s">
        <v>26</v>
      </c>
      <c r="D4">
        <v>13</v>
      </c>
      <c r="E4">
        <v>300</v>
      </c>
      <c r="F4">
        <v>184</v>
      </c>
      <c r="G4">
        <v>2219</v>
      </c>
      <c r="H4">
        <v>15</v>
      </c>
      <c r="I4">
        <v>9</v>
      </c>
      <c r="J4">
        <v>85</v>
      </c>
      <c r="K4">
        <v>438</v>
      </c>
      <c r="L4">
        <v>4</v>
      </c>
      <c r="M4">
        <v>0</v>
      </c>
      <c r="N4">
        <v>0</v>
      </c>
      <c r="O4">
        <v>0</v>
      </c>
      <c r="P4">
        <v>0</v>
      </c>
      <c r="Q4">
        <v>3</v>
      </c>
      <c r="R4">
        <v>2</v>
      </c>
      <c r="S4">
        <v>196.56</v>
      </c>
      <c r="T4">
        <v>0</v>
      </c>
      <c r="U4">
        <v>5.1529411764705904</v>
      </c>
      <c r="W4">
        <v>0.61333333333333295</v>
      </c>
      <c r="X4">
        <v>0.05</v>
      </c>
      <c r="Y4">
        <f>($G4*Admin!$C$4)+($H4*Admin!$C$3)+($I4*Admin!$C$5)+($K4*Admin!$C$9)+($L4*Admin!$C$10)+($N4*Admin!$C$7)+($O4*Admin!$C$11)+($P4*Admin!$C$12)+($Q4*Admin!$C$6)+($R4*Admin!$C$13)</f>
        <v>196.56</v>
      </c>
    </row>
    <row r="5" spans="1:25" x14ac:dyDescent="0.25">
      <c r="A5" t="s">
        <v>118</v>
      </c>
      <c r="B5" t="s">
        <v>114</v>
      </c>
      <c r="C5" t="s">
        <v>31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22</v>
      </c>
      <c r="K5">
        <v>109</v>
      </c>
      <c r="L5">
        <v>1</v>
      </c>
      <c r="M5">
        <v>14</v>
      </c>
      <c r="N5">
        <v>13</v>
      </c>
      <c r="O5">
        <v>61</v>
      </c>
      <c r="P5">
        <v>0</v>
      </c>
      <c r="Q5">
        <v>0</v>
      </c>
      <c r="R5">
        <v>0</v>
      </c>
      <c r="S5">
        <v>36</v>
      </c>
      <c r="T5">
        <v>2.1116138763197598E-2</v>
      </c>
      <c r="U5">
        <v>4.9545454545454497</v>
      </c>
      <c r="V5">
        <v>4.6923076923076898</v>
      </c>
      <c r="Y5">
        <f>($G5*Admin!$C$4)+($H5*Admin!$C$3)+($I5*Admin!$C$5)+($K5*Admin!$C$9)+($L5*Admin!$C$10)+($N5*Admin!$C$7)+($O5*Admin!$C$11)+($P5*Admin!$C$12)+($Q5*Admin!$C$6)+($R5*Admin!$C$13)</f>
        <v>36</v>
      </c>
    </row>
    <row r="6" spans="1:25" x14ac:dyDescent="0.25">
      <c r="A6" t="s">
        <v>119</v>
      </c>
      <c r="B6" t="s">
        <v>114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76</v>
      </c>
      <c r="K6">
        <v>366</v>
      </c>
      <c r="L6">
        <v>1</v>
      </c>
      <c r="M6">
        <v>2</v>
      </c>
      <c r="N6">
        <v>2</v>
      </c>
      <c r="O6">
        <v>3</v>
      </c>
      <c r="P6">
        <v>0</v>
      </c>
      <c r="Q6">
        <v>0</v>
      </c>
      <c r="R6">
        <v>0</v>
      </c>
      <c r="S6">
        <v>44.9</v>
      </c>
      <c r="T6">
        <v>3.0165912518853701E-3</v>
      </c>
      <c r="U6">
        <v>4.8157894736842097</v>
      </c>
      <c r="V6">
        <v>1.5</v>
      </c>
      <c r="Y6">
        <f>($G6*Admin!$C$4)+($H6*Admin!$C$3)+($I6*Admin!$C$5)+($K6*Admin!$C$9)+($L6*Admin!$C$10)+($N6*Admin!$C$7)+($O6*Admin!$C$11)+($P6*Admin!$C$12)+($Q6*Admin!$C$6)+($R6*Admin!$C$13)</f>
        <v>44.9</v>
      </c>
    </row>
    <row r="7" spans="1:25" x14ac:dyDescent="0.25">
      <c r="A7" t="s">
        <v>120</v>
      </c>
      <c r="B7" t="s">
        <v>114</v>
      </c>
      <c r="C7" t="s">
        <v>31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144</v>
      </c>
      <c r="K7">
        <v>695</v>
      </c>
      <c r="L7">
        <v>8</v>
      </c>
      <c r="M7">
        <v>31</v>
      </c>
      <c r="N7">
        <v>21</v>
      </c>
      <c r="O7">
        <v>122</v>
      </c>
      <c r="P7">
        <v>0</v>
      </c>
      <c r="Q7">
        <v>1</v>
      </c>
      <c r="R7">
        <v>0</v>
      </c>
      <c r="S7">
        <v>154.69999999999999</v>
      </c>
      <c r="T7">
        <v>4.67571644042232E-2</v>
      </c>
      <c r="U7">
        <v>4.8263888888888902</v>
      </c>
      <c r="V7">
        <v>5.8095238095238102</v>
      </c>
      <c r="Y7">
        <f>($G7*Admin!$C$4)+($H7*Admin!$C$3)+($I7*Admin!$C$5)+($K7*Admin!$C$9)+($L7*Admin!$C$10)+($N7*Admin!$C$7)+($O7*Admin!$C$11)+($P7*Admin!$C$12)+($Q7*Admin!$C$6)+($R7*Admin!$C$13)</f>
        <v>148.69999999999999</v>
      </c>
    </row>
    <row r="8" spans="1:25" x14ac:dyDescent="0.25">
      <c r="A8" t="s">
        <v>32</v>
      </c>
      <c r="B8" t="s">
        <v>114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2</v>
      </c>
      <c r="K8">
        <v>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</v>
      </c>
      <c r="T8">
        <v>0</v>
      </c>
      <c r="U8">
        <v>1</v>
      </c>
      <c r="Y8">
        <f>($G8*Admin!$C$4)+($H8*Admin!$C$3)+($I8*Admin!$C$5)+($K8*Admin!$C$9)+($L8*Admin!$C$10)+($N8*Admin!$C$7)+($O8*Admin!$C$11)+($P8*Admin!$C$12)+($Q8*Admin!$C$6)+($R8*Admin!$C$13)</f>
        <v>0.2</v>
      </c>
    </row>
    <row r="9" spans="1:25" x14ac:dyDescent="0.25">
      <c r="A9" t="s">
        <v>121</v>
      </c>
      <c r="B9" t="s">
        <v>114</v>
      </c>
      <c r="C9" t="s">
        <v>31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1035</v>
      </c>
      <c r="L9">
        <v>3</v>
      </c>
      <c r="M9">
        <v>17</v>
      </c>
      <c r="N9">
        <v>16</v>
      </c>
      <c r="O9">
        <v>139</v>
      </c>
      <c r="P9">
        <v>1</v>
      </c>
      <c r="Q9">
        <v>0</v>
      </c>
      <c r="R9">
        <v>1</v>
      </c>
      <c r="S9">
        <v>159.4</v>
      </c>
      <c r="T9">
        <v>2.5641025641025599E-2</v>
      </c>
      <c r="U9">
        <v>4.9285714285714297</v>
      </c>
      <c r="V9">
        <v>8.6875</v>
      </c>
      <c r="Y9">
        <f>($G9*Admin!$C$4)+($H9*Admin!$C$3)+($I9*Admin!$C$5)+($K9*Admin!$C$9)+($L9*Admin!$C$10)+($N9*Admin!$C$7)+($O9*Admin!$C$11)+($P9*Admin!$C$12)+($Q9*Admin!$C$6)+($R9*Admin!$C$13)</f>
        <v>159.4</v>
      </c>
    </row>
    <row r="10" spans="1:25" x14ac:dyDescent="0.25">
      <c r="A10" t="s">
        <v>122</v>
      </c>
      <c r="B10" t="s">
        <v>114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100</v>
      </c>
      <c r="P10">
        <v>0</v>
      </c>
      <c r="Q10">
        <v>0</v>
      </c>
      <c r="R10">
        <v>0</v>
      </c>
      <c r="S10">
        <v>19</v>
      </c>
      <c r="T10">
        <v>1.9607843137254902E-2</v>
      </c>
      <c r="V10">
        <v>11.1111111111111</v>
      </c>
      <c r="Y10">
        <f>($G10*Admin!$C$4)+($H10*Admin!$C$3)+($I10*Admin!$C$5)+($K10*Admin!$C$9)+($L10*Admin!$C$10)+($N10*Admin!$C$7)+($O10*Admin!$C$11)+($P10*Admin!$C$12)+($Q10*Admin!$C$6)+($R10*Admin!$C$13)</f>
        <v>19</v>
      </c>
    </row>
    <row r="11" spans="1:25" x14ac:dyDescent="0.25">
      <c r="A11" t="s">
        <v>123</v>
      </c>
      <c r="B11" t="s">
        <v>114</v>
      </c>
      <c r="C11" t="s">
        <v>38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3.0165912518853701E-3</v>
      </c>
      <c r="U11">
        <v>0</v>
      </c>
      <c r="Y11">
        <f>($G11*Admin!$C$4)+($H11*Admin!$C$3)+($I11*Admin!$C$5)+($K11*Admin!$C$9)+($L11*Admin!$C$10)+($N11*Admin!$C$7)+($O11*Admin!$C$11)+($P11*Admin!$C$12)+($Q11*Admin!$C$6)+($R11*Admin!$C$13)</f>
        <v>0</v>
      </c>
    </row>
    <row r="12" spans="1:25" x14ac:dyDescent="0.25">
      <c r="A12" t="s">
        <v>124</v>
      </c>
      <c r="B12" t="s">
        <v>114</v>
      </c>
      <c r="C12" t="s">
        <v>38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59</v>
      </c>
      <c r="N12">
        <v>28</v>
      </c>
      <c r="O12">
        <v>356</v>
      </c>
      <c r="P12">
        <v>2</v>
      </c>
      <c r="Q12">
        <v>0</v>
      </c>
      <c r="R12">
        <v>0</v>
      </c>
      <c r="S12">
        <v>75.599999999999994</v>
      </c>
      <c r="T12">
        <v>8.8989441930618404E-2</v>
      </c>
      <c r="V12">
        <v>12.714285714285699</v>
      </c>
      <c r="Y12">
        <f>($G12*Admin!$C$4)+($H12*Admin!$C$3)+($I12*Admin!$C$5)+($K12*Admin!$C$9)+($L12*Admin!$C$10)+($N12*Admin!$C$7)+($O12*Admin!$C$11)+($P12*Admin!$C$12)+($Q12*Admin!$C$6)+($R12*Admin!$C$13)</f>
        <v>75.599999999999994</v>
      </c>
    </row>
    <row r="13" spans="1:25" x14ac:dyDescent="0.25">
      <c r="A13" t="s">
        <v>125</v>
      </c>
      <c r="B13" t="s">
        <v>114</v>
      </c>
      <c r="C13" t="s">
        <v>38</v>
      </c>
      <c r="D13">
        <v>10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21</v>
      </c>
      <c r="N13">
        <v>16</v>
      </c>
      <c r="O13">
        <v>150</v>
      </c>
      <c r="P13">
        <v>4</v>
      </c>
      <c r="Q13">
        <v>0</v>
      </c>
      <c r="R13">
        <v>0</v>
      </c>
      <c r="S13">
        <v>55</v>
      </c>
      <c r="T13">
        <v>3.1674208144796399E-2</v>
      </c>
      <c r="V13">
        <v>9.375</v>
      </c>
      <c r="Y13">
        <f>($G13*Admin!$C$4)+($H13*Admin!$C$3)+($I13*Admin!$C$5)+($K13*Admin!$C$9)+($L13*Admin!$C$10)+($N13*Admin!$C$7)+($O13*Admin!$C$11)+($P13*Admin!$C$12)+($Q13*Admin!$C$6)+($R13*Admin!$C$13)</f>
        <v>55</v>
      </c>
    </row>
    <row r="14" spans="1:25" x14ac:dyDescent="0.25">
      <c r="A14" t="s">
        <v>126</v>
      </c>
      <c r="B14" t="s">
        <v>114</v>
      </c>
      <c r="C14" t="s">
        <v>38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11</v>
      </c>
      <c r="N14">
        <v>9</v>
      </c>
      <c r="O14">
        <v>89</v>
      </c>
      <c r="P14">
        <v>0</v>
      </c>
      <c r="Q14">
        <v>0</v>
      </c>
      <c r="R14">
        <v>0</v>
      </c>
      <c r="S14">
        <v>17.899999999999999</v>
      </c>
      <c r="T14">
        <v>1.6591251885369501E-2</v>
      </c>
      <c r="V14">
        <v>9.8888888888888893</v>
      </c>
      <c r="Y14">
        <f>($G14*Admin!$C$4)+($H14*Admin!$C$3)+($I14*Admin!$C$5)+($K14*Admin!$C$9)+($L14*Admin!$C$10)+($N14*Admin!$C$7)+($O14*Admin!$C$11)+($P14*Admin!$C$12)+($Q14*Admin!$C$6)+($R14*Admin!$C$13)</f>
        <v>17.899999999999999</v>
      </c>
    </row>
    <row r="15" spans="1:25" x14ac:dyDescent="0.25">
      <c r="A15" t="s">
        <v>127</v>
      </c>
      <c r="B15" t="s">
        <v>114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15</v>
      </c>
      <c r="P15">
        <v>0</v>
      </c>
      <c r="Q15">
        <v>0</v>
      </c>
      <c r="R15">
        <v>0</v>
      </c>
      <c r="S15">
        <v>4.5</v>
      </c>
      <c r="T15">
        <v>7.5414781297134196E-3</v>
      </c>
      <c r="V15">
        <v>5</v>
      </c>
      <c r="Y15">
        <f>($G15*Admin!$C$4)+($H15*Admin!$C$3)+($I15*Admin!$C$5)+($K15*Admin!$C$9)+($L15*Admin!$C$10)+($N15*Admin!$C$7)+($O15*Admin!$C$11)+($P15*Admin!$C$12)+($Q15*Admin!$C$6)+($R15*Admin!$C$13)</f>
        <v>4.5</v>
      </c>
    </row>
    <row r="16" spans="1:25" x14ac:dyDescent="0.25">
      <c r="A16" t="s">
        <v>128</v>
      </c>
      <c r="B16" t="s">
        <v>114</v>
      </c>
      <c r="C16" t="s">
        <v>43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23</v>
      </c>
      <c r="N16">
        <v>13</v>
      </c>
      <c r="O16">
        <v>268</v>
      </c>
      <c r="P16">
        <v>2</v>
      </c>
      <c r="Q16">
        <v>0</v>
      </c>
      <c r="R16">
        <v>0</v>
      </c>
      <c r="S16">
        <v>51.8</v>
      </c>
      <c r="T16">
        <v>3.46907993966818E-2</v>
      </c>
      <c r="V16">
        <v>20.615384615384599</v>
      </c>
      <c r="Y16">
        <f>($G16*Admin!$C$4)+($H16*Admin!$C$3)+($I16*Admin!$C$5)+($K16*Admin!$C$9)+($L16*Admin!$C$10)+($N16*Admin!$C$7)+($O16*Admin!$C$11)+($P16*Admin!$C$12)+($Q16*Admin!$C$6)+($R16*Admin!$C$13)</f>
        <v>51.8</v>
      </c>
    </row>
    <row r="17" spans="1:25" x14ac:dyDescent="0.25">
      <c r="A17" t="s">
        <v>129</v>
      </c>
      <c r="B17" t="s">
        <v>114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117</v>
      </c>
      <c r="N17">
        <v>72</v>
      </c>
      <c r="O17">
        <v>866</v>
      </c>
      <c r="P17">
        <v>4</v>
      </c>
      <c r="Q17">
        <v>0</v>
      </c>
      <c r="R17">
        <v>0</v>
      </c>
      <c r="S17">
        <v>178.6</v>
      </c>
      <c r="T17">
        <v>0.17647058823529399</v>
      </c>
      <c r="V17">
        <v>12.0277777777778</v>
      </c>
      <c r="Y17">
        <f>($G17*Admin!$C$4)+($H17*Admin!$C$3)+($I17*Admin!$C$5)+($K17*Admin!$C$9)+($L17*Admin!$C$10)+($N17*Admin!$C$7)+($O17*Admin!$C$11)+($P17*Admin!$C$12)+($Q17*Admin!$C$6)+($R17*Admin!$C$13)</f>
        <v>182.60000000000002</v>
      </c>
    </row>
    <row r="18" spans="1:25" x14ac:dyDescent="0.25">
      <c r="A18" t="s">
        <v>130</v>
      </c>
      <c r="B18" t="s">
        <v>114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15</v>
      </c>
      <c r="P18">
        <v>0</v>
      </c>
      <c r="Q18">
        <v>0</v>
      </c>
      <c r="R18">
        <v>0</v>
      </c>
      <c r="S18">
        <v>2.5</v>
      </c>
      <c r="T18">
        <v>1.5082956259426801E-3</v>
      </c>
      <c r="V18">
        <v>15</v>
      </c>
      <c r="Y18">
        <f>($G18*Admin!$C$4)+($H18*Admin!$C$3)+($I18*Admin!$C$5)+($K18*Admin!$C$9)+($L18*Admin!$C$10)+($N18*Admin!$C$7)+($O18*Admin!$C$11)+($P18*Admin!$C$12)+($Q18*Admin!$C$6)+($R18*Admin!$C$13)</f>
        <v>2.5</v>
      </c>
    </row>
    <row r="19" spans="1:25" x14ac:dyDescent="0.25">
      <c r="A19" t="s">
        <v>131</v>
      </c>
      <c r="B19" t="s">
        <v>114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1.5082956259426801E-3</v>
      </c>
      <c r="Y19">
        <f>($G19*Admin!$C$4)+($H19*Admin!$C$3)+($I19*Admin!$C$5)+($K19*Admin!$C$9)+($L19*Admin!$C$10)+($N19*Admin!$C$7)+($O19*Admin!$C$11)+($P19*Admin!$C$12)+($Q19*Admin!$C$6)+($R19*Admin!$C$13)</f>
        <v>0</v>
      </c>
    </row>
    <row r="20" spans="1:25" x14ac:dyDescent="0.25">
      <c r="A20" t="s">
        <v>132</v>
      </c>
      <c r="B20" t="s">
        <v>114</v>
      </c>
      <c r="C20" t="s">
        <v>43</v>
      </c>
      <c r="D20">
        <v>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13</v>
      </c>
      <c r="O20">
        <v>202</v>
      </c>
      <c r="P20">
        <v>1</v>
      </c>
      <c r="Q20">
        <v>0</v>
      </c>
      <c r="R20">
        <v>0</v>
      </c>
      <c r="S20">
        <v>41.2</v>
      </c>
      <c r="T20">
        <v>3.0165912518853699E-2</v>
      </c>
      <c r="V20">
        <v>15.538461538461499</v>
      </c>
      <c r="Y20">
        <f>($G20*Admin!$C$4)+($H20*Admin!$C$3)+($I20*Admin!$C$5)+($K20*Admin!$C$9)+($L20*Admin!$C$10)+($N20*Admin!$C$7)+($O20*Admin!$C$11)+($P20*Admin!$C$12)+($Q20*Admin!$C$6)+($R20*Admin!$C$13)</f>
        <v>39.200000000000003</v>
      </c>
    </row>
    <row r="21" spans="1:25" x14ac:dyDescent="0.25">
      <c r="A21" t="s">
        <v>133</v>
      </c>
      <c r="B21" t="s">
        <v>114</v>
      </c>
      <c r="C21" t="s">
        <v>43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7</v>
      </c>
      <c r="L21">
        <v>0</v>
      </c>
      <c r="M21">
        <v>61</v>
      </c>
      <c r="N21">
        <v>40</v>
      </c>
      <c r="O21">
        <v>533</v>
      </c>
      <c r="P21">
        <v>3</v>
      </c>
      <c r="Q21">
        <v>0</v>
      </c>
      <c r="R21">
        <v>0</v>
      </c>
      <c r="S21">
        <v>110</v>
      </c>
      <c r="T21">
        <v>9.2006033182503805E-2</v>
      </c>
      <c r="U21">
        <v>3.5</v>
      </c>
      <c r="V21">
        <v>13.324999999999999</v>
      </c>
      <c r="Y21">
        <f>($G21*Admin!$C$4)+($H21*Admin!$C$3)+($I21*Admin!$C$5)+($K21*Admin!$C$9)+($L21*Admin!$C$10)+($N21*Admin!$C$7)+($O21*Admin!$C$11)+($P21*Admin!$C$12)+($Q21*Admin!$C$6)+($R21*Admin!$C$13)</f>
        <v>112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5">
      <c r="A31" t="s">
        <v>114</v>
      </c>
      <c r="B31">
        <v>5645</v>
      </c>
      <c r="C31">
        <v>2927</v>
      </c>
      <c r="D31">
        <v>559</v>
      </c>
      <c r="E31">
        <v>2718</v>
      </c>
      <c r="F31">
        <v>17</v>
      </c>
      <c r="G31">
        <v>1188.58</v>
      </c>
      <c r="H31">
        <v>415</v>
      </c>
      <c r="I31">
        <v>0.61927710843373496</v>
      </c>
      <c r="J31">
        <v>17</v>
      </c>
      <c r="K31">
        <v>9</v>
      </c>
      <c r="L31">
        <v>6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ATL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4</v>
      </c>
      <c r="I33">
        <f ca="1">SUM(INDIRECT(A33 &amp; "_Table4[[#All],[cmp]]"))/H33</f>
        <v>0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134</v>
      </c>
      <c r="B36" t="s">
        <v>26</v>
      </c>
      <c r="C36">
        <v>30</v>
      </c>
      <c r="D36">
        <v>6</v>
      </c>
      <c r="E36" t="s">
        <v>98</v>
      </c>
      <c r="F36" t="s">
        <v>114</v>
      </c>
      <c r="G36">
        <v>0</v>
      </c>
      <c r="H36">
        <v>4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135</v>
      </c>
      <c r="B37" t="s">
        <v>26</v>
      </c>
      <c r="C37">
        <v>23</v>
      </c>
      <c r="D37">
        <v>2</v>
      </c>
      <c r="E37" t="s">
        <v>136</v>
      </c>
      <c r="F37" t="s">
        <v>114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137</v>
      </c>
      <c r="B38" t="s">
        <v>26</v>
      </c>
      <c r="C38">
        <v>28</v>
      </c>
      <c r="D38">
        <v>4</v>
      </c>
      <c r="E38" t="s">
        <v>138</v>
      </c>
      <c r="F38" t="s">
        <v>114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139</v>
      </c>
      <c r="B46" t="s">
        <v>31</v>
      </c>
      <c r="C46">
        <v>23</v>
      </c>
      <c r="D46">
        <v>2</v>
      </c>
      <c r="E46" t="s">
        <v>82</v>
      </c>
      <c r="F46" t="s">
        <v>114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140</v>
      </c>
      <c r="B47" t="s">
        <v>31</v>
      </c>
      <c r="C47">
        <v>28</v>
      </c>
      <c r="D47">
        <v>5</v>
      </c>
      <c r="E47" t="s">
        <v>141</v>
      </c>
      <c r="F47" t="s">
        <v>114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142</v>
      </c>
      <c r="B48" t="s">
        <v>31</v>
      </c>
      <c r="C48">
        <v>32</v>
      </c>
      <c r="D48">
        <v>11</v>
      </c>
      <c r="E48" t="s">
        <v>143</v>
      </c>
      <c r="F48" t="s">
        <v>114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144</v>
      </c>
      <c r="B49" t="s">
        <v>31</v>
      </c>
      <c r="C49">
        <v>25</v>
      </c>
      <c r="D49">
        <v>1</v>
      </c>
      <c r="E49" t="s">
        <v>145</v>
      </c>
      <c r="F49" t="s">
        <v>114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146</v>
      </c>
      <c r="B50" t="s">
        <v>31</v>
      </c>
      <c r="C50">
        <v>21</v>
      </c>
      <c r="D50">
        <v>0</v>
      </c>
      <c r="E50" t="s">
        <v>66</v>
      </c>
      <c r="F50" t="s">
        <v>114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147</v>
      </c>
      <c r="B51" t="s">
        <v>31</v>
      </c>
      <c r="C51">
        <v>24</v>
      </c>
      <c r="D51">
        <v>0</v>
      </c>
      <c r="E51" t="s">
        <v>148</v>
      </c>
      <c r="F51" t="s">
        <v>114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149</v>
      </c>
      <c r="B61" t="s">
        <v>43</v>
      </c>
      <c r="C61">
        <v>24</v>
      </c>
      <c r="D61">
        <v>1</v>
      </c>
      <c r="E61" t="s">
        <v>150</v>
      </c>
      <c r="F61" t="s">
        <v>114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151</v>
      </c>
      <c r="B62" t="s">
        <v>43</v>
      </c>
      <c r="C62">
        <v>26</v>
      </c>
      <c r="D62">
        <v>4</v>
      </c>
      <c r="E62" t="s">
        <v>102</v>
      </c>
      <c r="F62" t="s">
        <v>114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152</v>
      </c>
      <c r="B63" t="s">
        <v>43</v>
      </c>
      <c r="C63">
        <v>24</v>
      </c>
      <c r="D63">
        <v>2</v>
      </c>
      <c r="E63" t="s">
        <v>153</v>
      </c>
      <c r="F63" t="s">
        <v>114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154</v>
      </c>
      <c r="B64" t="s">
        <v>43</v>
      </c>
      <c r="C64">
        <v>25</v>
      </c>
      <c r="D64">
        <v>3</v>
      </c>
      <c r="E64" t="s">
        <v>155</v>
      </c>
      <c r="F64" t="s">
        <v>114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156</v>
      </c>
      <c r="B65" t="s">
        <v>43</v>
      </c>
      <c r="C65">
        <v>22</v>
      </c>
      <c r="D65">
        <v>0</v>
      </c>
      <c r="E65" t="s">
        <v>157</v>
      </c>
      <c r="F65" t="s">
        <v>114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158</v>
      </c>
      <c r="B66" t="s">
        <v>43</v>
      </c>
      <c r="C66">
        <v>27</v>
      </c>
      <c r="D66">
        <v>4</v>
      </c>
      <c r="E66" t="s">
        <v>159</v>
      </c>
      <c r="F66" t="s">
        <v>114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160</v>
      </c>
      <c r="B67" t="s">
        <v>43</v>
      </c>
      <c r="C67">
        <v>28</v>
      </c>
      <c r="D67">
        <v>6</v>
      </c>
      <c r="E67" t="s">
        <v>161</v>
      </c>
      <c r="F67" t="s">
        <v>114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162</v>
      </c>
      <c r="B68" t="s">
        <v>43</v>
      </c>
      <c r="C68">
        <v>29</v>
      </c>
      <c r="D68">
        <v>7</v>
      </c>
      <c r="E68" t="s">
        <v>163</v>
      </c>
      <c r="F68" t="s">
        <v>114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164</v>
      </c>
      <c r="B69" t="s">
        <v>43</v>
      </c>
      <c r="C69">
        <v>22</v>
      </c>
      <c r="D69">
        <v>2</v>
      </c>
      <c r="E69" t="s">
        <v>78</v>
      </c>
      <c r="F69" t="s">
        <v>114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165</v>
      </c>
      <c r="B70" t="s">
        <v>43</v>
      </c>
      <c r="C70">
        <v>23</v>
      </c>
      <c r="D70">
        <v>0</v>
      </c>
      <c r="E70" t="s">
        <v>166</v>
      </c>
      <c r="F70" t="s">
        <v>114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167</v>
      </c>
      <c r="B71" t="s">
        <v>43</v>
      </c>
      <c r="C71">
        <v>26</v>
      </c>
      <c r="D71">
        <v>5</v>
      </c>
      <c r="E71" t="s">
        <v>168</v>
      </c>
      <c r="F71" t="s">
        <v>114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169</v>
      </c>
      <c r="B72" t="s">
        <v>43</v>
      </c>
      <c r="C72">
        <v>25</v>
      </c>
      <c r="D72">
        <v>1</v>
      </c>
      <c r="E72" t="s">
        <v>170</v>
      </c>
      <c r="F72" t="s">
        <v>114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171</v>
      </c>
      <c r="B76" t="s">
        <v>38</v>
      </c>
      <c r="C76">
        <v>24</v>
      </c>
      <c r="D76">
        <v>1</v>
      </c>
      <c r="E76" t="s">
        <v>102</v>
      </c>
      <c r="F76" t="s">
        <v>114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172</v>
      </c>
      <c r="B77" t="s">
        <v>38</v>
      </c>
      <c r="C77">
        <v>23</v>
      </c>
      <c r="D77">
        <v>2</v>
      </c>
      <c r="E77" t="s">
        <v>173</v>
      </c>
      <c r="F77" t="s">
        <v>114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174</v>
      </c>
      <c r="B78" t="s">
        <v>38</v>
      </c>
      <c r="C78">
        <v>25</v>
      </c>
      <c r="D78">
        <v>3</v>
      </c>
      <c r="E78" t="s">
        <v>175</v>
      </c>
      <c r="F78" t="s">
        <v>114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176</v>
      </c>
      <c r="B79" t="s">
        <v>38</v>
      </c>
      <c r="C79">
        <v>28</v>
      </c>
      <c r="D79">
        <v>3</v>
      </c>
      <c r="E79" t="s">
        <v>100</v>
      </c>
      <c r="F79" t="s">
        <v>114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177</v>
      </c>
      <c r="B80" t="s">
        <v>38</v>
      </c>
      <c r="C80">
        <v>22</v>
      </c>
      <c r="D80">
        <v>3</v>
      </c>
      <c r="E80" t="s">
        <v>178</v>
      </c>
      <c r="F80" t="s">
        <v>114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179</v>
      </c>
      <c r="B81" t="s">
        <v>38</v>
      </c>
      <c r="C81">
        <v>31</v>
      </c>
      <c r="D81">
        <v>8</v>
      </c>
      <c r="E81" t="s">
        <v>180</v>
      </c>
      <c r="F81" t="s">
        <v>114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181</v>
      </c>
      <c r="B82" t="s">
        <v>38</v>
      </c>
      <c r="C82">
        <v>27</v>
      </c>
      <c r="D82">
        <v>7</v>
      </c>
      <c r="E82" t="s">
        <v>182</v>
      </c>
      <c r="F82" t="s">
        <v>114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topLeftCell="B13" zoomScale="84" zoomScaleNormal="84" workbookViewId="0">
      <selection activeCell="AB46" sqref="AB46:AB51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183</v>
      </c>
      <c r="B2" t="s">
        <v>184</v>
      </c>
      <c r="C2" t="s">
        <v>115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16</v>
      </c>
      <c r="L2">
        <v>0</v>
      </c>
      <c r="M2">
        <v>13</v>
      </c>
      <c r="N2">
        <v>11</v>
      </c>
      <c r="O2">
        <v>74</v>
      </c>
      <c r="P2">
        <v>0</v>
      </c>
      <c r="Q2">
        <v>0</v>
      </c>
      <c r="R2">
        <v>0</v>
      </c>
      <c r="S2">
        <v>20</v>
      </c>
      <c r="T2">
        <v>3.13253012048193E-2</v>
      </c>
      <c r="U2">
        <v>2.28571428571429</v>
      </c>
      <c r="V2">
        <v>6.7272727272727302</v>
      </c>
      <c r="Y2">
        <f>($G2*Admin!$C$4)+($H2*Admin!$C$3)+($I2*Admin!$C$5)+($K2*Admin!$C$9)+($L2*Admin!$C$10)+($N2*Admin!$C$7)+($O2*Admin!$C$11)+($P2*Admin!$C$12)+($Q2*Admin!$C$6)+($R2*Admin!$C$13)</f>
        <v>20</v>
      </c>
    </row>
    <row r="3" spans="1:25" x14ac:dyDescent="0.25">
      <c r="A3" t="s">
        <v>185</v>
      </c>
      <c r="B3" t="s">
        <v>184</v>
      </c>
      <c r="C3" t="s">
        <v>26</v>
      </c>
      <c r="D3">
        <v>2</v>
      </c>
      <c r="E3">
        <v>49</v>
      </c>
      <c r="F3">
        <v>22</v>
      </c>
      <c r="G3">
        <v>302</v>
      </c>
      <c r="H3">
        <v>0</v>
      </c>
      <c r="I3">
        <v>2</v>
      </c>
      <c r="J3">
        <v>3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5.58</v>
      </c>
      <c r="T3">
        <v>0</v>
      </c>
      <c r="U3">
        <v>-1.6666666666666701</v>
      </c>
      <c r="W3">
        <v>0.44897959183673503</v>
      </c>
      <c r="X3">
        <v>0</v>
      </c>
      <c r="Y3">
        <f>($G3*Admin!$C$4)+($H3*Admin!$C$3)+($I3*Admin!$C$5)+($K3*Admin!$C$9)+($L3*Admin!$C$10)+($N3*Admin!$C$7)+($O3*Admin!$C$11)+($P3*Admin!$C$12)+($Q3*Admin!$C$6)+($R3*Admin!$C$13)</f>
        <v>5.58</v>
      </c>
    </row>
    <row r="4" spans="1:25" x14ac:dyDescent="0.25">
      <c r="A4" t="s">
        <v>186</v>
      </c>
      <c r="B4" t="s">
        <v>184</v>
      </c>
      <c r="C4" t="s">
        <v>26</v>
      </c>
      <c r="D4">
        <v>12</v>
      </c>
      <c r="E4">
        <v>326</v>
      </c>
      <c r="F4">
        <v>203</v>
      </c>
      <c r="G4">
        <v>2242</v>
      </c>
      <c r="H4">
        <v>17</v>
      </c>
      <c r="I4">
        <v>7</v>
      </c>
      <c r="J4">
        <v>112</v>
      </c>
      <c r="K4">
        <v>764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236.08</v>
      </c>
      <c r="T4">
        <v>0</v>
      </c>
      <c r="U4">
        <v>6.8214285714285703</v>
      </c>
      <c r="W4">
        <v>0.622699386503067</v>
      </c>
      <c r="X4">
        <v>5.2147239263803699E-2</v>
      </c>
      <c r="Y4">
        <f>($G4*Admin!$C$4)+($H4*Admin!$C$3)+($I4*Admin!$C$5)+($K4*Admin!$C$9)+($L4*Admin!$C$10)+($N4*Admin!$C$7)+($O4*Admin!$C$11)+($P4*Admin!$C$12)+($Q4*Admin!$C$6)+($R4*Admin!$C$13)</f>
        <v>236.08</v>
      </c>
    </row>
    <row r="5" spans="1:25" x14ac:dyDescent="0.25">
      <c r="A5" t="s">
        <v>187</v>
      </c>
      <c r="B5" t="s">
        <v>184</v>
      </c>
      <c r="C5" t="s">
        <v>26</v>
      </c>
      <c r="D5">
        <v>5</v>
      </c>
      <c r="E5">
        <v>112</v>
      </c>
      <c r="F5">
        <v>75</v>
      </c>
      <c r="G5">
        <v>658</v>
      </c>
      <c r="H5">
        <v>2</v>
      </c>
      <c r="I5">
        <v>3</v>
      </c>
      <c r="J5">
        <v>43</v>
      </c>
      <c r="K5">
        <v>137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50.02</v>
      </c>
      <c r="T5">
        <v>0</v>
      </c>
      <c r="U5">
        <v>3.18604651162791</v>
      </c>
      <c r="W5">
        <v>0.66964285714285698</v>
      </c>
      <c r="X5">
        <v>1.7857142857142901E-2</v>
      </c>
      <c r="Y5">
        <f>($G5*Admin!$C$4)+($H5*Admin!$C$3)+($I5*Admin!$C$5)+($K5*Admin!$C$9)+($L5*Admin!$C$10)+($N5*Admin!$C$7)+($O5*Admin!$C$11)+($P5*Admin!$C$12)+($Q5*Admin!$C$6)+($R5*Admin!$C$13)</f>
        <v>50.02</v>
      </c>
    </row>
    <row r="6" spans="1:25" x14ac:dyDescent="0.25">
      <c r="A6" t="s">
        <v>188</v>
      </c>
      <c r="B6" t="s">
        <v>184</v>
      </c>
      <c r="C6" t="s">
        <v>31</v>
      </c>
      <c r="D6">
        <v>9</v>
      </c>
      <c r="E6">
        <v>0</v>
      </c>
      <c r="F6">
        <v>0</v>
      </c>
      <c r="G6">
        <v>0</v>
      </c>
      <c r="H6">
        <v>0</v>
      </c>
      <c r="I6">
        <v>0</v>
      </c>
      <c r="J6">
        <v>87</v>
      </c>
      <c r="K6">
        <v>433</v>
      </c>
      <c r="L6">
        <v>3</v>
      </c>
      <c r="M6">
        <v>2</v>
      </c>
      <c r="N6">
        <v>0</v>
      </c>
      <c r="O6">
        <v>0</v>
      </c>
      <c r="P6">
        <v>0</v>
      </c>
      <c r="Q6">
        <v>1</v>
      </c>
      <c r="R6">
        <v>0</v>
      </c>
      <c r="S6">
        <v>59.3</v>
      </c>
      <c r="T6">
        <v>4.8192771084337397E-3</v>
      </c>
      <c r="U6">
        <v>4.9770114942528698</v>
      </c>
      <c r="Y6">
        <f>($G6*Admin!$C$4)+($H6*Admin!$C$3)+($I6*Admin!$C$5)+($K6*Admin!$C$9)+($L6*Admin!$C$10)+($N6*Admin!$C$7)+($O6*Admin!$C$11)+($P6*Admin!$C$12)+($Q6*Admin!$C$6)+($R6*Admin!$C$13)</f>
        <v>59.300000000000004</v>
      </c>
    </row>
    <row r="7" spans="1:25" x14ac:dyDescent="0.25">
      <c r="A7" t="s">
        <v>189</v>
      </c>
      <c r="B7" t="s">
        <v>184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92</v>
      </c>
      <c r="K7">
        <v>520</v>
      </c>
      <c r="L7">
        <v>2</v>
      </c>
      <c r="M7">
        <v>8</v>
      </c>
      <c r="N7">
        <v>7</v>
      </c>
      <c r="O7">
        <v>42</v>
      </c>
      <c r="P7">
        <v>1</v>
      </c>
      <c r="Q7">
        <v>0</v>
      </c>
      <c r="R7">
        <v>0</v>
      </c>
      <c r="S7">
        <v>81.2</v>
      </c>
      <c r="T7">
        <v>1.92771084337349E-2</v>
      </c>
      <c r="U7">
        <v>5.6521739130434803</v>
      </c>
      <c r="V7">
        <v>6</v>
      </c>
      <c r="Y7">
        <f>($G7*Admin!$C$4)+($H7*Admin!$C$3)+($I7*Admin!$C$5)+($K7*Admin!$C$9)+($L7*Admin!$C$10)+($N7*Admin!$C$7)+($O7*Admin!$C$11)+($P7*Admin!$C$12)+($Q7*Admin!$C$6)+($R7*Admin!$C$13)</f>
        <v>81.2</v>
      </c>
    </row>
    <row r="8" spans="1:25" x14ac:dyDescent="0.25">
      <c r="A8" t="s">
        <v>190</v>
      </c>
      <c r="B8" t="s">
        <v>184</v>
      </c>
      <c r="C8" t="s">
        <v>31</v>
      </c>
      <c r="D8">
        <v>13</v>
      </c>
      <c r="E8">
        <v>0</v>
      </c>
      <c r="F8">
        <v>0</v>
      </c>
      <c r="G8">
        <v>0</v>
      </c>
      <c r="H8">
        <v>0</v>
      </c>
      <c r="I8">
        <v>0</v>
      </c>
      <c r="J8">
        <v>49</v>
      </c>
      <c r="K8">
        <v>262</v>
      </c>
      <c r="L8">
        <v>0</v>
      </c>
      <c r="M8">
        <v>12</v>
      </c>
      <c r="N8">
        <v>12</v>
      </c>
      <c r="O8">
        <v>58</v>
      </c>
      <c r="P8">
        <v>0</v>
      </c>
      <c r="Q8">
        <v>1</v>
      </c>
      <c r="R8">
        <v>0</v>
      </c>
      <c r="S8">
        <v>42</v>
      </c>
      <c r="T8">
        <v>2.89156626506024E-2</v>
      </c>
      <c r="U8">
        <v>5.3469387755101998</v>
      </c>
      <c r="V8">
        <v>4.8333333333333304</v>
      </c>
      <c r="Y8">
        <f>($G8*Admin!$C$4)+($H8*Admin!$C$3)+($I8*Admin!$C$5)+($K8*Admin!$C$9)+($L8*Admin!$C$10)+($N8*Admin!$C$7)+($O8*Admin!$C$11)+($P8*Admin!$C$12)+($Q8*Admin!$C$6)+($R8*Admin!$C$13)</f>
        <v>42</v>
      </c>
    </row>
    <row r="9" spans="1:25" x14ac:dyDescent="0.25">
      <c r="A9" t="s">
        <v>191</v>
      </c>
      <c r="B9" t="s">
        <v>184</v>
      </c>
      <c r="C9" t="s">
        <v>31</v>
      </c>
      <c r="D9">
        <v>12</v>
      </c>
      <c r="E9">
        <v>0</v>
      </c>
      <c r="F9">
        <v>0</v>
      </c>
      <c r="G9">
        <v>0</v>
      </c>
      <c r="H9">
        <v>0</v>
      </c>
      <c r="I9">
        <v>0</v>
      </c>
      <c r="J9">
        <v>109</v>
      </c>
      <c r="K9">
        <v>482</v>
      </c>
      <c r="L9">
        <v>4</v>
      </c>
      <c r="M9">
        <v>26</v>
      </c>
      <c r="N9">
        <v>17</v>
      </c>
      <c r="O9">
        <v>89</v>
      </c>
      <c r="P9">
        <v>1</v>
      </c>
      <c r="Q9">
        <v>0</v>
      </c>
      <c r="R9">
        <v>0</v>
      </c>
      <c r="S9">
        <v>104.1</v>
      </c>
      <c r="T9">
        <v>6.26506024096386E-2</v>
      </c>
      <c r="U9">
        <v>4.4220183486238502</v>
      </c>
      <c r="V9">
        <v>5.2352941176470598</v>
      </c>
      <c r="Y9">
        <f>($G9*Admin!$C$4)+($H9*Admin!$C$3)+($I9*Admin!$C$5)+($K9*Admin!$C$9)+($L9*Admin!$C$10)+($N9*Admin!$C$7)+($O9*Admin!$C$11)+($P9*Admin!$C$12)+($Q9*Admin!$C$6)+($R9*Admin!$C$13)</f>
        <v>104.10000000000001</v>
      </c>
    </row>
    <row r="10" spans="1:25" x14ac:dyDescent="0.25">
      <c r="A10" t="s">
        <v>192</v>
      </c>
      <c r="B10" t="s">
        <v>184</v>
      </c>
      <c r="C10" t="s">
        <v>31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8</v>
      </c>
      <c r="K10">
        <v>18</v>
      </c>
      <c r="L10">
        <v>0</v>
      </c>
      <c r="M10">
        <v>2</v>
      </c>
      <c r="N10">
        <v>2</v>
      </c>
      <c r="O10">
        <v>4</v>
      </c>
      <c r="P10">
        <v>0</v>
      </c>
      <c r="Q10">
        <v>0</v>
      </c>
      <c r="R10">
        <v>0</v>
      </c>
      <c r="S10">
        <v>4.2</v>
      </c>
      <c r="T10">
        <v>4.8192771084337397E-3</v>
      </c>
      <c r="U10">
        <v>2.25</v>
      </c>
      <c r="V10">
        <v>2</v>
      </c>
      <c r="Y10">
        <f>($G10*Admin!$C$4)+($H10*Admin!$C$3)+($I10*Admin!$C$5)+($K10*Admin!$C$9)+($L10*Admin!$C$10)+($N10*Admin!$C$7)+($O10*Admin!$C$11)+($P10*Admin!$C$12)+($Q10*Admin!$C$6)+($R10*Admin!$C$13)</f>
        <v>4.2</v>
      </c>
    </row>
    <row r="11" spans="1:25" x14ac:dyDescent="0.25">
      <c r="A11" t="s">
        <v>193</v>
      </c>
      <c r="B11" t="s">
        <v>184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</v>
      </c>
      <c r="N11">
        <v>4</v>
      </c>
      <c r="O11">
        <v>49</v>
      </c>
      <c r="P11">
        <v>0</v>
      </c>
      <c r="Q11">
        <v>0</v>
      </c>
      <c r="R11">
        <v>0</v>
      </c>
      <c r="S11">
        <v>8.9</v>
      </c>
      <c r="T11">
        <v>1.44578313253012E-2</v>
      </c>
      <c r="V11">
        <v>12.25</v>
      </c>
      <c r="Y11">
        <f>($G11*Admin!$C$4)+($H11*Admin!$C$3)+($I11*Admin!$C$5)+($K11*Admin!$C$9)+($L11*Admin!$C$10)+($N11*Admin!$C$7)+($O11*Admin!$C$11)+($P11*Admin!$C$12)+($Q11*Admin!$C$6)+($R11*Admin!$C$13)</f>
        <v>8.9</v>
      </c>
    </row>
    <row r="12" spans="1:25" x14ac:dyDescent="0.25">
      <c r="A12" t="s">
        <v>194</v>
      </c>
      <c r="B12" t="s">
        <v>184</v>
      </c>
      <c r="C12" t="s">
        <v>38</v>
      </c>
      <c r="D12">
        <v>14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60</v>
      </c>
      <c r="N12">
        <v>36</v>
      </c>
      <c r="O12">
        <v>373</v>
      </c>
      <c r="P12">
        <v>3</v>
      </c>
      <c r="Q12">
        <v>0</v>
      </c>
      <c r="R12">
        <v>0</v>
      </c>
      <c r="S12">
        <v>91.3</v>
      </c>
      <c r="T12">
        <v>0.14457831325301199</v>
      </c>
      <c r="V12">
        <v>10.3611111111111</v>
      </c>
      <c r="Y12">
        <f>($G12*Admin!$C$4)+($H12*Admin!$C$3)+($I12*Admin!$C$5)+($K12*Admin!$C$9)+($L12*Admin!$C$10)+($N12*Admin!$C$7)+($O12*Admin!$C$11)+($P12*Admin!$C$12)+($Q12*Admin!$C$6)+($R12*Admin!$C$13)</f>
        <v>91.300000000000011</v>
      </c>
    </row>
    <row r="13" spans="1:25" x14ac:dyDescent="0.25">
      <c r="A13" t="s">
        <v>195</v>
      </c>
      <c r="B13" t="s">
        <v>184</v>
      </c>
      <c r="C13" t="s">
        <v>38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25</v>
      </c>
      <c r="N13">
        <v>14</v>
      </c>
      <c r="O13">
        <v>149</v>
      </c>
      <c r="P13">
        <v>2</v>
      </c>
      <c r="Q13">
        <v>0</v>
      </c>
      <c r="R13">
        <v>0</v>
      </c>
      <c r="S13">
        <v>40.9</v>
      </c>
      <c r="T13">
        <v>6.02409638554217E-2</v>
      </c>
      <c r="V13">
        <v>10.6428571428571</v>
      </c>
      <c r="Y13">
        <f>($G13*Admin!$C$4)+($H13*Admin!$C$3)+($I13*Admin!$C$5)+($K13*Admin!$C$9)+($L13*Admin!$C$10)+($N13*Admin!$C$7)+($O13*Admin!$C$11)+($P13*Admin!$C$12)+($Q13*Admin!$C$6)+($R13*Admin!$C$13)</f>
        <v>40.9</v>
      </c>
    </row>
    <row r="14" spans="1:25" x14ac:dyDescent="0.25">
      <c r="A14" t="s">
        <v>196</v>
      </c>
      <c r="B14" t="s">
        <v>184</v>
      </c>
      <c r="C14" t="s">
        <v>38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8</v>
      </c>
      <c r="L14">
        <v>0</v>
      </c>
      <c r="M14">
        <v>113</v>
      </c>
      <c r="N14">
        <v>73</v>
      </c>
      <c r="O14">
        <v>847</v>
      </c>
      <c r="P14">
        <v>5</v>
      </c>
      <c r="Q14">
        <v>0</v>
      </c>
      <c r="R14">
        <v>0</v>
      </c>
      <c r="S14">
        <v>190.5</v>
      </c>
      <c r="T14">
        <v>0.27228915662650599</v>
      </c>
      <c r="U14">
        <v>2.6666666666666701</v>
      </c>
      <c r="V14">
        <v>11.6027397260274</v>
      </c>
      <c r="Y14">
        <f>($G14*Admin!$C$4)+($H14*Admin!$C$3)+($I14*Admin!$C$5)+($K14*Admin!$C$9)+($L14*Admin!$C$10)+($N14*Admin!$C$7)+($O14*Admin!$C$11)+($P14*Admin!$C$12)+($Q14*Admin!$C$6)+($R14*Admin!$C$13)</f>
        <v>188.5</v>
      </c>
    </row>
    <row r="15" spans="1:25" x14ac:dyDescent="0.25">
      <c r="A15" t="s">
        <v>45</v>
      </c>
      <c r="B15" t="s">
        <v>184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0.1</v>
      </c>
      <c r="T15">
        <v>0</v>
      </c>
      <c r="U15">
        <v>1</v>
      </c>
      <c r="Y15">
        <f>($G15*Admin!$C$4)+($H15*Admin!$C$3)+($I15*Admin!$C$5)+($K15*Admin!$C$9)+($L15*Admin!$C$10)+($N15*Admin!$C$7)+($O15*Admin!$C$11)+($P15*Admin!$C$12)+($Q15*Admin!$C$6)+($R15*Admin!$C$13)</f>
        <v>0.1</v>
      </c>
    </row>
    <row r="16" spans="1:25" x14ac:dyDescent="0.25">
      <c r="A16" t="s">
        <v>197</v>
      </c>
      <c r="B16" t="s">
        <v>184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12</v>
      </c>
      <c r="K16">
        <v>84</v>
      </c>
      <c r="L16">
        <v>1</v>
      </c>
      <c r="M16">
        <v>49</v>
      </c>
      <c r="N16">
        <v>37</v>
      </c>
      <c r="O16">
        <v>407</v>
      </c>
      <c r="P16">
        <v>3</v>
      </c>
      <c r="Q16">
        <v>0</v>
      </c>
      <c r="R16">
        <v>0</v>
      </c>
      <c r="S16">
        <v>116.1</v>
      </c>
      <c r="T16">
        <v>0.118072289156627</v>
      </c>
      <c r="U16">
        <v>7</v>
      </c>
      <c r="V16">
        <v>11</v>
      </c>
      <c r="Y16">
        <f>($G16*Admin!$C$4)+($H16*Admin!$C$3)+($I16*Admin!$C$5)+($K16*Admin!$C$9)+($L16*Admin!$C$10)+($N16*Admin!$C$7)+($O16*Admin!$C$11)+($P16*Admin!$C$12)+($Q16*Admin!$C$6)+($R16*Admin!$C$13)</f>
        <v>110.1</v>
      </c>
    </row>
    <row r="17" spans="1:25" x14ac:dyDescent="0.25">
      <c r="A17" t="s">
        <v>198</v>
      </c>
      <c r="B17" t="s">
        <v>184</v>
      </c>
      <c r="C17" t="s">
        <v>43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17</v>
      </c>
      <c r="N17">
        <v>9</v>
      </c>
      <c r="O17">
        <v>153</v>
      </c>
      <c r="P17">
        <v>0</v>
      </c>
      <c r="Q17">
        <v>0</v>
      </c>
      <c r="R17">
        <v>0</v>
      </c>
      <c r="S17">
        <v>24.3</v>
      </c>
      <c r="T17">
        <v>4.09638554216867E-2</v>
      </c>
      <c r="V17">
        <v>17</v>
      </c>
      <c r="Y17">
        <f>($G17*Admin!$C$4)+($H17*Admin!$C$3)+($I17*Admin!$C$5)+($K17*Admin!$C$9)+($L17*Admin!$C$10)+($N17*Admin!$C$7)+($O17*Admin!$C$11)+($P17*Admin!$C$12)+($Q17*Admin!$C$6)+($R17*Admin!$C$13)</f>
        <v>24.3</v>
      </c>
    </row>
    <row r="18" spans="1:25" x14ac:dyDescent="0.25">
      <c r="A18" t="s">
        <v>199</v>
      </c>
      <c r="B18" t="s">
        <v>184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75</v>
      </c>
      <c r="N18">
        <v>48</v>
      </c>
      <c r="O18">
        <v>458</v>
      </c>
      <c r="P18">
        <v>2</v>
      </c>
      <c r="Q18">
        <v>0</v>
      </c>
      <c r="R18">
        <v>0</v>
      </c>
      <c r="S18">
        <v>103.8</v>
      </c>
      <c r="T18">
        <v>0.180722891566265</v>
      </c>
      <c r="V18">
        <v>9.5416666666666696</v>
      </c>
      <c r="Y18">
        <f>($G18*Admin!$C$4)+($H18*Admin!$C$3)+($I18*Admin!$C$5)+($K18*Admin!$C$9)+($L18*Admin!$C$10)+($N18*Admin!$C$7)+($O18*Admin!$C$11)+($P18*Admin!$C$12)+($Q18*Admin!$C$6)+($R18*Admin!$C$13)</f>
        <v>105.80000000000001</v>
      </c>
    </row>
    <row r="19" spans="1:25" x14ac:dyDescent="0.25">
      <c r="A19" t="s">
        <v>200</v>
      </c>
      <c r="B19" t="s">
        <v>184</v>
      </c>
      <c r="C19" t="s">
        <v>43</v>
      </c>
      <c r="D19">
        <v>7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  <c r="K19">
        <v>0</v>
      </c>
      <c r="L19">
        <v>0</v>
      </c>
      <c r="M19">
        <v>17</v>
      </c>
      <c r="N19">
        <v>8</v>
      </c>
      <c r="O19">
        <v>62</v>
      </c>
      <c r="P19">
        <v>0</v>
      </c>
      <c r="Q19">
        <v>0</v>
      </c>
      <c r="R19">
        <v>0</v>
      </c>
      <c r="S19">
        <v>12.2</v>
      </c>
      <c r="T19">
        <v>4.09638554216867E-2</v>
      </c>
      <c r="V19">
        <v>7.75</v>
      </c>
      <c r="W19">
        <v>0</v>
      </c>
      <c r="X19">
        <v>0</v>
      </c>
      <c r="Y19">
        <f>($G19*Admin!$C$4)+($H19*Admin!$C$3)+($I19*Admin!$C$5)+($K19*Admin!$C$9)+($L19*Admin!$C$10)+($N19*Admin!$C$7)+($O19*Admin!$C$11)+($P19*Admin!$C$12)+($Q19*Admin!$C$6)+($R19*Admin!$C$13)</f>
        <v>12.2</v>
      </c>
    </row>
    <row r="20" spans="1:25" x14ac:dyDescent="0.25">
      <c r="A20" t="s">
        <v>201</v>
      </c>
      <c r="B20" t="s">
        <v>184</v>
      </c>
      <c r="C20" t="s">
        <v>43</v>
      </c>
      <c r="D20">
        <v>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28</v>
      </c>
      <c r="N20">
        <v>15</v>
      </c>
      <c r="O20">
        <v>285</v>
      </c>
      <c r="P20">
        <v>2</v>
      </c>
      <c r="Q20">
        <v>0</v>
      </c>
      <c r="R20">
        <v>0</v>
      </c>
      <c r="S20">
        <v>53.5</v>
      </c>
      <c r="T20">
        <v>6.7469879518072304E-2</v>
      </c>
      <c r="V20">
        <v>19</v>
      </c>
      <c r="Y20">
        <f>($G20*Admin!$C$4)+($H20*Admin!$C$3)+($I20*Admin!$C$5)+($K20*Admin!$C$9)+($L20*Admin!$C$10)+($N20*Admin!$C$7)+($O20*Admin!$C$11)+($P20*Admin!$C$12)+($Q20*Admin!$C$6)+($R20*Admin!$C$13)</f>
        <v>55.5</v>
      </c>
    </row>
    <row r="21" spans="1:25" x14ac:dyDescent="0.25">
      <c r="A21" t="s">
        <v>202</v>
      </c>
      <c r="B21" t="s">
        <v>184</v>
      </c>
      <c r="C21" t="s">
        <v>43</v>
      </c>
      <c r="D21">
        <v>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3</v>
      </c>
      <c r="O21">
        <v>119</v>
      </c>
      <c r="P21">
        <v>0</v>
      </c>
      <c r="Q21">
        <v>0</v>
      </c>
      <c r="R21">
        <v>0</v>
      </c>
      <c r="S21">
        <v>12.9</v>
      </c>
      <c r="T21">
        <v>1.20481927710843E-2</v>
      </c>
      <c r="V21">
        <v>39.6666666666667</v>
      </c>
      <c r="Y21">
        <f>($G21*Admin!$C$4)+($H21*Admin!$C$3)+($I21*Admin!$C$5)+($K21*Admin!$C$9)+($L21*Admin!$C$10)+($N21*Admin!$C$7)+($O21*Admin!$C$11)+($P21*Admin!$C$12)+($Q21*Admin!$C$6)+($R21*Admin!$C$13)</f>
        <v>14.9</v>
      </c>
    </row>
    <row r="22" spans="1:25" x14ac:dyDescent="0.25">
      <c r="A22" t="s">
        <v>203</v>
      </c>
      <c r="B22" t="s">
        <v>184</v>
      </c>
      <c r="C22" t="s">
        <v>43</v>
      </c>
      <c r="D22">
        <v>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7</v>
      </c>
      <c r="N22">
        <v>4</v>
      </c>
      <c r="O22">
        <v>33</v>
      </c>
      <c r="P22">
        <v>0</v>
      </c>
      <c r="Q22">
        <v>0</v>
      </c>
      <c r="R22">
        <v>0</v>
      </c>
      <c r="S22">
        <v>7.3</v>
      </c>
      <c r="T22">
        <v>1.68674698795181E-2</v>
      </c>
      <c r="V22">
        <v>8.25</v>
      </c>
      <c r="Y22">
        <f>($G22*Admin!$C$4)+($H22*Admin!$C$3)+($I22*Admin!$C$5)+($K22*Admin!$C$9)+($L22*Admin!$C$10)+($N22*Admin!$C$7)+($O22*Admin!$C$11)+($P22*Admin!$C$12)+($Q22*Admin!$C$6)+($R22*Admin!$C$13)</f>
        <v>7.3000000000000007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5">
      <c r="A31" t="s">
        <v>184</v>
      </c>
      <c r="B31">
        <v>5922</v>
      </c>
      <c r="C31">
        <v>3202</v>
      </c>
      <c r="D31">
        <v>526</v>
      </c>
      <c r="E31">
        <v>2720</v>
      </c>
      <c r="F31">
        <v>14</v>
      </c>
      <c r="G31">
        <v>1264.28</v>
      </c>
      <c r="H31">
        <v>488</v>
      </c>
      <c r="I31">
        <v>0.61475409836065598</v>
      </c>
      <c r="J31">
        <v>19</v>
      </c>
      <c r="K31">
        <v>13</v>
      </c>
      <c r="L31">
        <v>5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BAL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204</v>
      </c>
      <c r="B36" t="s">
        <v>26</v>
      </c>
      <c r="C36">
        <v>25</v>
      </c>
      <c r="D36">
        <v>1</v>
      </c>
      <c r="E36" t="s">
        <v>205</v>
      </c>
      <c r="F36" t="s">
        <v>184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206</v>
      </c>
      <c r="B37" t="s">
        <v>26</v>
      </c>
      <c r="C37">
        <v>25</v>
      </c>
      <c r="D37">
        <v>4</v>
      </c>
      <c r="E37" t="s">
        <v>207</v>
      </c>
      <c r="F37" t="s">
        <v>184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208</v>
      </c>
      <c r="B38" t="s">
        <v>26</v>
      </c>
      <c r="C38">
        <v>26</v>
      </c>
      <c r="D38">
        <v>6</v>
      </c>
      <c r="E38" t="s">
        <v>209</v>
      </c>
      <c r="F38" t="s">
        <v>184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210</v>
      </c>
      <c r="B39" t="s">
        <v>26</v>
      </c>
      <c r="C39">
        <v>37</v>
      </c>
      <c r="D39">
        <v>8</v>
      </c>
      <c r="E39" t="s">
        <v>211</v>
      </c>
      <c r="F39" t="s">
        <v>184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212</v>
      </c>
      <c r="B46" t="s">
        <v>31</v>
      </c>
      <c r="C46">
        <v>24</v>
      </c>
      <c r="D46">
        <v>4</v>
      </c>
      <c r="E46" t="s">
        <v>213</v>
      </c>
      <c r="F46" t="s">
        <v>184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214</v>
      </c>
      <c r="B47" t="s">
        <v>31</v>
      </c>
      <c r="C47">
        <v>28</v>
      </c>
      <c r="D47">
        <v>6</v>
      </c>
      <c r="E47" t="s">
        <v>215</v>
      </c>
      <c r="F47" t="s">
        <v>184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216</v>
      </c>
      <c r="B48" t="s">
        <v>31</v>
      </c>
      <c r="C48">
        <v>30</v>
      </c>
      <c r="D48">
        <v>9</v>
      </c>
      <c r="E48" t="s">
        <v>72</v>
      </c>
      <c r="F48" t="s">
        <v>184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217</v>
      </c>
      <c r="B49" t="s">
        <v>31</v>
      </c>
      <c r="C49">
        <v>25</v>
      </c>
      <c r="D49">
        <v>5</v>
      </c>
      <c r="E49" t="s">
        <v>218</v>
      </c>
      <c r="F49" t="s">
        <v>184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219</v>
      </c>
      <c r="B50" t="s">
        <v>31</v>
      </c>
      <c r="C50">
        <v>21</v>
      </c>
      <c r="D50">
        <v>0</v>
      </c>
      <c r="E50" t="s">
        <v>220</v>
      </c>
      <c r="F50" t="s">
        <v>184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221</v>
      </c>
      <c r="B51" t="s">
        <v>31</v>
      </c>
      <c r="C51">
        <v>24</v>
      </c>
      <c r="D51">
        <v>0</v>
      </c>
      <c r="E51" t="s">
        <v>222</v>
      </c>
      <c r="F51" t="s">
        <v>184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223</v>
      </c>
      <c r="B61" t="s">
        <v>43</v>
      </c>
      <c r="C61">
        <v>30</v>
      </c>
      <c r="D61">
        <v>9</v>
      </c>
      <c r="E61" t="s">
        <v>78</v>
      </c>
      <c r="F61" t="s">
        <v>184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224</v>
      </c>
      <c r="B62" t="s">
        <v>43</v>
      </c>
      <c r="C62">
        <v>23</v>
      </c>
      <c r="D62">
        <v>3</v>
      </c>
      <c r="E62" t="s">
        <v>225</v>
      </c>
      <c r="F62" t="s">
        <v>184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226</v>
      </c>
      <c r="B63" t="s">
        <v>43</v>
      </c>
      <c r="C63">
        <v>30</v>
      </c>
      <c r="D63">
        <v>9</v>
      </c>
      <c r="E63" t="s">
        <v>227</v>
      </c>
      <c r="F63" t="s">
        <v>184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228</v>
      </c>
      <c r="B64" t="s">
        <v>43</v>
      </c>
      <c r="C64">
        <v>25</v>
      </c>
      <c r="D64">
        <v>1</v>
      </c>
      <c r="E64" t="s">
        <v>66</v>
      </c>
      <c r="F64" t="s">
        <v>184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229</v>
      </c>
      <c r="B65" t="s">
        <v>43</v>
      </c>
      <c r="C65">
        <v>25</v>
      </c>
      <c r="D65">
        <v>1</v>
      </c>
      <c r="E65" t="s">
        <v>230</v>
      </c>
      <c r="F65" t="s">
        <v>184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231</v>
      </c>
      <c r="B66" t="s">
        <v>43</v>
      </c>
      <c r="C66">
        <v>22</v>
      </c>
      <c r="D66">
        <v>0</v>
      </c>
      <c r="E66" t="s">
        <v>232</v>
      </c>
      <c r="F66" t="s">
        <v>184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233</v>
      </c>
      <c r="B67" t="s">
        <v>43</v>
      </c>
      <c r="C67">
        <v>25</v>
      </c>
      <c r="D67">
        <v>4</v>
      </c>
      <c r="E67" t="s">
        <v>66</v>
      </c>
      <c r="F67" t="s">
        <v>184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234</v>
      </c>
      <c r="B68" t="s">
        <v>43</v>
      </c>
      <c r="C68">
        <v>22</v>
      </c>
      <c r="D68">
        <v>0</v>
      </c>
      <c r="E68" t="s">
        <v>235</v>
      </c>
      <c r="F68" t="s">
        <v>184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236</v>
      </c>
      <c r="B69" t="s">
        <v>43</v>
      </c>
      <c r="C69">
        <v>26</v>
      </c>
      <c r="D69">
        <v>4</v>
      </c>
      <c r="E69" t="s">
        <v>237</v>
      </c>
      <c r="F69" t="s">
        <v>184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238</v>
      </c>
      <c r="B70" t="s">
        <v>43</v>
      </c>
      <c r="C70">
        <v>24</v>
      </c>
      <c r="D70">
        <v>0</v>
      </c>
      <c r="E70" t="s">
        <v>215</v>
      </c>
      <c r="F70" t="s">
        <v>184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239</v>
      </c>
      <c r="B71" t="s">
        <v>43</v>
      </c>
      <c r="C71">
        <v>28</v>
      </c>
      <c r="D71">
        <v>5</v>
      </c>
      <c r="E71" t="s">
        <v>240</v>
      </c>
      <c r="F71" t="s">
        <v>184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241</v>
      </c>
      <c r="B72" t="s">
        <v>43</v>
      </c>
      <c r="C72">
        <v>24</v>
      </c>
      <c r="D72">
        <v>3</v>
      </c>
      <c r="E72" t="s">
        <v>218</v>
      </c>
      <c r="F72" t="s">
        <v>184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242</v>
      </c>
      <c r="B76" t="s">
        <v>38</v>
      </c>
      <c r="C76">
        <v>27</v>
      </c>
      <c r="D76">
        <v>6</v>
      </c>
      <c r="E76" t="s">
        <v>68</v>
      </c>
      <c r="F76" t="s">
        <v>184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243</v>
      </c>
      <c r="B77" t="s">
        <v>38</v>
      </c>
      <c r="C77">
        <v>24</v>
      </c>
      <c r="D77">
        <v>2</v>
      </c>
      <c r="E77" t="s">
        <v>244</v>
      </c>
      <c r="F77" t="s">
        <v>184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245</v>
      </c>
      <c r="B78" t="s">
        <v>38</v>
      </c>
      <c r="C78">
        <v>23</v>
      </c>
      <c r="D78">
        <v>2</v>
      </c>
      <c r="E78" t="s">
        <v>246</v>
      </c>
      <c r="F78" t="s">
        <v>184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247</v>
      </c>
      <c r="B79" t="s">
        <v>38</v>
      </c>
      <c r="C79">
        <v>25</v>
      </c>
      <c r="D79">
        <v>0</v>
      </c>
      <c r="E79" t="s">
        <v>248</v>
      </c>
      <c r="F79" t="s">
        <v>184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topLeftCell="B13" zoomScale="86" zoomScaleNormal="86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249</v>
      </c>
      <c r="B2" t="s">
        <v>250</v>
      </c>
      <c r="C2" t="s">
        <v>115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10</v>
      </c>
      <c r="N2">
        <v>8</v>
      </c>
      <c r="O2">
        <v>69</v>
      </c>
      <c r="P2">
        <v>1</v>
      </c>
      <c r="Q2">
        <v>0</v>
      </c>
      <c r="R2">
        <v>0</v>
      </c>
      <c r="S2">
        <v>20.9</v>
      </c>
      <c r="T2">
        <v>2.0491803278688499E-2</v>
      </c>
      <c r="V2">
        <v>8.625</v>
      </c>
      <c r="Y2">
        <f>($G2*Admin!$C$4)+($H2*Admin!$C$3)+($I2*Admin!$C$5)+($K2*Admin!$C$9)+($L2*Admin!$C$10)+($N2*Admin!$C$7)+($O2*Admin!$C$11)+($P2*Admin!$C$12)+($Q2*Admin!$C$6)+($R2*Admin!$C$13)</f>
        <v>20.9</v>
      </c>
    </row>
    <row r="3" spans="1:25" x14ac:dyDescent="0.25">
      <c r="A3" t="s">
        <v>251</v>
      </c>
      <c r="B3" t="s">
        <v>250</v>
      </c>
      <c r="C3" t="s">
        <v>26</v>
      </c>
      <c r="D3">
        <v>2</v>
      </c>
      <c r="E3">
        <v>7</v>
      </c>
      <c r="F3">
        <v>2</v>
      </c>
      <c r="G3">
        <v>8</v>
      </c>
      <c r="H3">
        <v>0</v>
      </c>
      <c r="I3">
        <v>0</v>
      </c>
      <c r="J3">
        <v>5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0.32</v>
      </c>
      <c r="T3">
        <v>0</v>
      </c>
      <c r="U3">
        <v>0</v>
      </c>
      <c r="W3">
        <v>0.28571428571428598</v>
      </c>
      <c r="X3">
        <v>0</v>
      </c>
      <c r="Y3">
        <f>($G3*Admin!$C$4)+($H3*Admin!$C$3)+($I3*Admin!$C$5)+($K3*Admin!$C$9)+($L3*Admin!$C$10)+($N3*Admin!$C$7)+($O3*Admin!$C$11)+($P3*Admin!$C$12)+($Q3*Admin!$C$6)+($R3*Admin!$C$13)</f>
        <v>0.32</v>
      </c>
    </row>
    <row r="4" spans="1:25" x14ac:dyDescent="0.25">
      <c r="A4" t="s">
        <v>252</v>
      </c>
      <c r="B4" t="s">
        <v>250</v>
      </c>
      <c r="C4" t="s">
        <v>26</v>
      </c>
      <c r="D4">
        <v>16</v>
      </c>
      <c r="E4">
        <v>567</v>
      </c>
      <c r="F4">
        <v>359</v>
      </c>
      <c r="G4">
        <v>4283</v>
      </c>
      <c r="H4">
        <v>35</v>
      </c>
      <c r="I4">
        <v>14</v>
      </c>
      <c r="J4">
        <v>124</v>
      </c>
      <c r="K4">
        <v>762</v>
      </c>
      <c r="L4">
        <v>7</v>
      </c>
      <c r="M4">
        <v>0</v>
      </c>
      <c r="N4">
        <v>0</v>
      </c>
      <c r="O4">
        <v>0</v>
      </c>
      <c r="P4">
        <v>0</v>
      </c>
      <c r="Q4">
        <v>5</v>
      </c>
      <c r="R4">
        <v>2</v>
      </c>
      <c r="S4">
        <v>395.52</v>
      </c>
      <c r="T4">
        <v>0</v>
      </c>
      <c r="U4">
        <v>6.1451612903225801</v>
      </c>
      <c r="W4">
        <v>0.63315696649029996</v>
      </c>
      <c r="X4">
        <v>6.1728395061728399E-2</v>
      </c>
      <c r="Y4">
        <f>($G4*Admin!$C$4)+($H4*Admin!$C$3)+($I4*Admin!$C$5)+($K4*Admin!$C$9)+($L4*Admin!$C$10)+($N4*Admin!$C$7)+($O4*Admin!$C$11)+($P4*Admin!$C$12)+($Q4*Admin!$C$6)+($R4*Admin!$C$13)</f>
        <v>395.52</v>
      </c>
    </row>
    <row r="5" spans="1:25" x14ac:dyDescent="0.25">
      <c r="A5" t="s">
        <v>253</v>
      </c>
      <c r="B5" t="s">
        <v>250</v>
      </c>
      <c r="C5" t="s">
        <v>31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0.4</v>
      </c>
      <c r="T5">
        <v>0</v>
      </c>
      <c r="U5">
        <v>2</v>
      </c>
      <c r="Y5">
        <f>($G5*Admin!$C$4)+($H5*Admin!$C$3)+($I5*Admin!$C$5)+($K5*Admin!$C$9)+($L5*Admin!$C$10)+($N5*Admin!$C$7)+($O5*Admin!$C$11)+($P5*Admin!$C$12)+($Q5*Admin!$C$6)+($R5*Admin!$C$13)</f>
        <v>0.4</v>
      </c>
    </row>
    <row r="6" spans="1:25" x14ac:dyDescent="0.25">
      <c r="A6" t="s">
        <v>254</v>
      </c>
      <c r="B6" t="s">
        <v>250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177</v>
      </c>
      <c r="K6">
        <v>819</v>
      </c>
      <c r="L6">
        <v>5</v>
      </c>
      <c r="M6">
        <v>52</v>
      </c>
      <c r="N6">
        <v>38</v>
      </c>
      <c r="O6">
        <v>280</v>
      </c>
      <c r="P6">
        <v>1</v>
      </c>
      <c r="Q6">
        <v>3</v>
      </c>
      <c r="R6">
        <v>0</v>
      </c>
      <c r="S6">
        <v>177.9</v>
      </c>
      <c r="T6">
        <v>0.10655737704918</v>
      </c>
      <c r="U6">
        <v>4.6271186440678003</v>
      </c>
      <c r="V6">
        <v>7.3684210526315796</v>
      </c>
      <c r="Y6">
        <f>($G6*Admin!$C$4)+($H6*Admin!$C$3)+($I6*Admin!$C$5)+($K6*Admin!$C$9)+($L6*Admin!$C$10)+($N6*Admin!$C$7)+($O6*Admin!$C$11)+($P6*Admin!$C$12)+($Q6*Admin!$C$6)+($R6*Admin!$C$13)</f>
        <v>177.9</v>
      </c>
    </row>
    <row r="7" spans="1:25" x14ac:dyDescent="0.25">
      <c r="A7" t="s">
        <v>255</v>
      </c>
      <c r="B7" t="s">
        <v>250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89</v>
      </c>
      <c r="K7">
        <v>507</v>
      </c>
      <c r="L7">
        <v>2</v>
      </c>
      <c r="M7">
        <v>32</v>
      </c>
      <c r="N7">
        <v>21</v>
      </c>
      <c r="O7">
        <v>180</v>
      </c>
      <c r="P7">
        <v>1</v>
      </c>
      <c r="Q7">
        <v>1</v>
      </c>
      <c r="R7">
        <v>0</v>
      </c>
      <c r="S7">
        <v>105.7</v>
      </c>
      <c r="T7">
        <v>6.5573770491803296E-2</v>
      </c>
      <c r="U7">
        <v>5.69662921348315</v>
      </c>
      <c r="V7">
        <v>8.5714285714285694</v>
      </c>
      <c r="Y7">
        <f>($G7*Admin!$C$4)+($H7*Admin!$C$3)+($I7*Admin!$C$5)+($K7*Admin!$C$9)+($L7*Admin!$C$10)+($N7*Admin!$C$7)+($O7*Admin!$C$11)+($P7*Admin!$C$12)+($Q7*Admin!$C$6)+($R7*Admin!$C$13)</f>
        <v>105.7</v>
      </c>
    </row>
    <row r="8" spans="1:25" x14ac:dyDescent="0.25">
      <c r="A8" t="s">
        <v>256</v>
      </c>
      <c r="B8" t="s">
        <v>250</v>
      </c>
      <c r="C8" t="s">
        <v>31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-3</v>
      </c>
      <c r="L8">
        <v>0</v>
      </c>
      <c r="M8">
        <v>9</v>
      </c>
      <c r="N8">
        <v>5</v>
      </c>
      <c r="O8">
        <v>53</v>
      </c>
      <c r="P8">
        <v>1</v>
      </c>
      <c r="Q8">
        <v>0</v>
      </c>
      <c r="R8">
        <v>0</v>
      </c>
      <c r="S8">
        <v>28</v>
      </c>
      <c r="T8">
        <v>1.84426229508197E-2</v>
      </c>
      <c r="U8">
        <v>-0.5</v>
      </c>
      <c r="V8">
        <v>10.6</v>
      </c>
      <c r="Y8">
        <f>($G8*Admin!$C$4)+($H8*Admin!$C$3)+($I8*Admin!$C$5)+($K8*Admin!$C$9)+($L8*Admin!$C$10)+($N8*Admin!$C$7)+($O8*Admin!$C$11)+($P8*Admin!$C$12)+($Q8*Admin!$C$6)+($R8*Admin!$C$13)</f>
        <v>16</v>
      </c>
    </row>
    <row r="9" spans="1:25" x14ac:dyDescent="0.25">
      <c r="A9" t="s">
        <v>257</v>
      </c>
      <c r="B9" t="s">
        <v>250</v>
      </c>
      <c r="C9" t="s">
        <v>31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17</v>
      </c>
      <c r="K9">
        <v>91</v>
      </c>
      <c r="L9">
        <v>0</v>
      </c>
      <c r="M9">
        <v>8</v>
      </c>
      <c r="N9">
        <v>7</v>
      </c>
      <c r="O9">
        <v>27</v>
      </c>
      <c r="P9">
        <v>0</v>
      </c>
      <c r="Q9">
        <v>1</v>
      </c>
      <c r="R9">
        <v>0</v>
      </c>
      <c r="S9">
        <v>16.8</v>
      </c>
      <c r="T9">
        <v>1.63934426229508E-2</v>
      </c>
      <c r="U9">
        <v>5.3529411764705896</v>
      </c>
      <c r="V9">
        <v>3.8571428571428599</v>
      </c>
      <c r="Y9">
        <f>($G9*Admin!$C$4)+($H9*Admin!$C$3)+($I9*Admin!$C$5)+($K9*Admin!$C$9)+($L9*Admin!$C$10)+($N9*Admin!$C$7)+($O9*Admin!$C$11)+($P9*Admin!$C$12)+($Q9*Admin!$C$6)+($R9*Admin!$C$13)</f>
        <v>16.8</v>
      </c>
    </row>
    <row r="10" spans="1:25" x14ac:dyDescent="0.25">
      <c r="A10" t="s">
        <v>258</v>
      </c>
      <c r="B10" t="s">
        <v>250</v>
      </c>
      <c r="C10" t="s">
        <v>38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48</v>
      </c>
      <c r="O10">
        <v>517</v>
      </c>
      <c r="P10">
        <v>6</v>
      </c>
      <c r="Q10">
        <v>0</v>
      </c>
      <c r="R10">
        <v>0</v>
      </c>
      <c r="S10">
        <v>135.69999999999999</v>
      </c>
      <c r="T10">
        <v>0.133196721311475</v>
      </c>
      <c r="V10">
        <v>10.7708333333333</v>
      </c>
      <c r="Y10">
        <f>($G10*Admin!$C$4)+($H10*Admin!$C$3)+($I10*Admin!$C$5)+($K10*Admin!$C$9)+($L10*Admin!$C$10)+($N10*Admin!$C$7)+($O10*Admin!$C$11)+($P10*Admin!$C$12)+($Q10*Admin!$C$6)+($R10*Admin!$C$13)</f>
        <v>135.69999999999999</v>
      </c>
    </row>
    <row r="11" spans="1:25" x14ac:dyDescent="0.25">
      <c r="A11" t="s">
        <v>259</v>
      </c>
      <c r="B11" t="s">
        <v>250</v>
      </c>
      <c r="C11" t="s">
        <v>38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8</v>
      </c>
      <c r="O11">
        <v>84</v>
      </c>
      <c r="P11">
        <v>1</v>
      </c>
      <c r="Q11">
        <v>0</v>
      </c>
      <c r="R11">
        <v>0</v>
      </c>
      <c r="S11">
        <v>20.399999999999999</v>
      </c>
      <c r="T11">
        <v>2.2540983606557399E-2</v>
      </c>
      <c r="V11">
        <v>10.5</v>
      </c>
      <c r="Y11">
        <f>($G11*Admin!$C$4)+($H11*Admin!$C$3)+($I11*Admin!$C$5)+($K11*Admin!$C$9)+($L11*Admin!$C$10)+($N11*Admin!$C$7)+($O11*Admin!$C$11)+($P11*Admin!$C$12)+($Q11*Admin!$C$6)+($R11*Admin!$C$13)</f>
        <v>22.4</v>
      </c>
    </row>
    <row r="12" spans="1:25" x14ac:dyDescent="0.25">
      <c r="A12" t="s">
        <v>260</v>
      </c>
      <c r="B12" t="s">
        <v>250</v>
      </c>
      <c r="C12" t="s">
        <v>38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7</v>
      </c>
      <c r="P12">
        <v>0</v>
      </c>
      <c r="Q12">
        <v>0</v>
      </c>
      <c r="R12">
        <v>0</v>
      </c>
      <c r="S12">
        <v>1.7</v>
      </c>
      <c r="T12">
        <v>2.04918032786885E-3</v>
      </c>
      <c r="V12">
        <v>7</v>
      </c>
      <c r="Y12">
        <f>($G12*Admin!$C$4)+($H12*Admin!$C$3)+($I12*Admin!$C$5)+($K12*Admin!$C$9)+($L12*Admin!$C$10)+($N12*Admin!$C$7)+($O12*Admin!$C$11)+($P12*Admin!$C$12)+($Q12*Admin!$C$6)+($R12*Admin!$C$13)</f>
        <v>1.7000000000000002</v>
      </c>
    </row>
    <row r="13" spans="1:25" x14ac:dyDescent="0.25">
      <c r="A13" t="s">
        <v>261</v>
      </c>
      <c r="B13" t="s">
        <v>250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18</v>
      </c>
      <c r="P13">
        <v>0</v>
      </c>
      <c r="Q13">
        <v>0</v>
      </c>
      <c r="R13">
        <v>0</v>
      </c>
      <c r="S13">
        <v>3.8</v>
      </c>
      <c r="T13">
        <v>4.0983606557377103E-3</v>
      </c>
      <c r="V13">
        <v>9</v>
      </c>
      <c r="Y13">
        <f>($G13*Admin!$C$4)+($H13*Admin!$C$3)+($I13*Admin!$C$5)+($K13*Admin!$C$9)+($L13*Admin!$C$10)+($N13*Admin!$C$7)+($O13*Admin!$C$11)+($P13*Admin!$C$12)+($Q13*Admin!$C$6)+($R13*Admin!$C$13)</f>
        <v>3.8</v>
      </c>
    </row>
    <row r="14" spans="1:25" x14ac:dyDescent="0.25">
      <c r="A14" t="s">
        <v>262</v>
      </c>
      <c r="B14" t="s">
        <v>250</v>
      </c>
      <c r="C14" t="s">
        <v>43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93</v>
      </c>
      <c r="N14">
        <v>48</v>
      </c>
      <c r="O14">
        <v>836</v>
      </c>
      <c r="P14">
        <v>7</v>
      </c>
      <c r="Q14">
        <v>0</v>
      </c>
      <c r="R14">
        <v>0</v>
      </c>
      <c r="S14">
        <v>171.6</v>
      </c>
      <c r="T14">
        <v>0.19057377049180299</v>
      </c>
      <c r="V14">
        <v>17.4166666666667</v>
      </c>
      <c r="Y14">
        <f>($G14*Admin!$C$4)+($H14*Admin!$C$3)+($I14*Admin!$C$5)+($K14*Admin!$C$9)+($L14*Admin!$C$10)+($N14*Admin!$C$7)+($O14*Admin!$C$11)+($P14*Admin!$C$12)+($Q14*Admin!$C$6)+($R14*Admin!$C$13)</f>
        <v>173.60000000000002</v>
      </c>
    </row>
    <row r="15" spans="1:25" x14ac:dyDescent="0.25">
      <c r="A15" t="s">
        <v>263</v>
      </c>
      <c r="B15" t="s">
        <v>250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</v>
      </c>
      <c r="N15">
        <v>4</v>
      </c>
      <c r="O15">
        <v>41</v>
      </c>
      <c r="P15">
        <v>0</v>
      </c>
      <c r="Q15">
        <v>0</v>
      </c>
      <c r="R15">
        <v>0</v>
      </c>
      <c r="S15">
        <v>8.1</v>
      </c>
      <c r="T15">
        <v>1.2295081967213101E-2</v>
      </c>
      <c r="V15">
        <v>10.25</v>
      </c>
      <c r="Y15">
        <f>($G15*Admin!$C$4)+($H15*Admin!$C$3)+($I15*Admin!$C$5)+($K15*Admin!$C$9)+($L15*Admin!$C$10)+($N15*Admin!$C$7)+($O15*Admin!$C$11)+($P15*Admin!$C$12)+($Q15*Admin!$C$6)+($R15*Admin!$C$13)</f>
        <v>8.1000000000000014</v>
      </c>
    </row>
    <row r="16" spans="1:25" x14ac:dyDescent="0.25">
      <c r="A16" t="s">
        <v>264</v>
      </c>
      <c r="B16" t="s">
        <v>250</v>
      </c>
      <c r="C16" t="s">
        <v>43</v>
      </c>
      <c r="D16">
        <v>15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55</v>
      </c>
      <c r="L16">
        <v>1</v>
      </c>
      <c r="M16">
        <v>65</v>
      </c>
      <c r="N16">
        <v>42</v>
      </c>
      <c r="O16">
        <v>423</v>
      </c>
      <c r="P16">
        <v>4</v>
      </c>
      <c r="Q16">
        <v>0</v>
      </c>
      <c r="R16">
        <v>0</v>
      </c>
      <c r="S16">
        <v>119.8</v>
      </c>
      <c r="T16">
        <v>0.133196721311475</v>
      </c>
      <c r="U16">
        <v>6.1111111111111098</v>
      </c>
      <c r="V16">
        <v>10.0714285714286</v>
      </c>
      <c r="Y16">
        <f>($G16*Admin!$C$4)+($H16*Admin!$C$3)+($I16*Admin!$C$5)+($K16*Admin!$C$9)+($L16*Admin!$C$10)+($N16*Admin!$C$7)+($O16*Admin!$C$11)+($P16*Admin!$C$12)+($Q16*Admin!$C$6)+($R16*Admin!$C$13)</f>
        <v>119.80000000000001</v>
      </c>
    </row>
    <row r="17" spans="1:25" x14ac:dyDescent="0.25">
      <c r="A17" t="s">
        <v>265</v>
      </c>
      <c r="B17" t="s">
        <v>250</v>
      </c>
      <c r="C17" t="s">
        <v>43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42</v>
      </c>
      <c r="P17">
        <v>1</v>
      </c>
      <c r="Q17">
        <v>0</v>
      </c>
      <c r="R17">
        <v>0</v>
      </c>
      <c r="S17">
        <v>11.2</v>
      </c>
      <c r="T17">
        <v>4.0983606557377103E-3</v>
      </c>
      <c r="V17">
        <v>42</v>
      </c>
      <c r="Y17">
        <f>($G17*Admin!$C$4)+($H17*Admin!$C$3)+($I17*Admin!$C$5)+($K17*Admin!$C$9)+($L17*Admin!$C$10)+($N17*Admin!$C$7)+($O17*Admin!$C$11)+($P17*Admin!$C$12)+($Q17*Admin!$C$6)+($R17*Admin!$C$13)</f>
        <v>11.2</v>
      </c>
    </row>
    <row r="18" spans="1:25" x14ac:dyDescent="0.25">
      <c r="A18" t="s">
        <v>266</v>
      </c>
      <c r="B18" t="s">
        <v>250</v>
      </c>
      <c r="C18" t="s">
        <v>43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13</v>
      </c>
      <c r="N18">
        <v>6</v>
      </c>
      <c r="O18">
        <v>60</v>
      </c>
      <c r="P18">
        <v>0</v>
      </c>
      <c r="Q18">
        <v>0</v>
      </c>
      <c r="R18">
        <v>0</v>
      </c>
      <c r="S18">
        <v>12</v>
      </c>
      <c r="T18">
        <v>2.6639344262295101E-2</v>
      </c>
      <c r="V18">
        <v>10</v>
      </c>
      <c r="Y18">
        <f>($G18*Admin!$C$4)+($H18*Admin!$C$3)+($I18*Admin!$C$5)+($K18*Admin!$C$9)+($L18*Admin!$C$10)+($N18*Admin!$C$7)+($O18*Admin!$C$11)+($P18*Admin!$C$12)+($Q18*Admin!$C$6)+($R18*Admin!$C$13)</f>
        <v>12</v>
      </c>
    </row>
    <row r="19" spans="1:25" x14ac:dyDescent="0.25">
      <c r="A19" t="s">
        <v>267</v>
      </c>
      <c r="B19" t="s">
        <v>250</v>
      </c>
      <c r="C19" t="s">
        <v>43</v>
      </c>
      <c r="D19">
        <v>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7</v>
      </c>
      <c r="N19">
        <v>4</v>
      </c>
      <c r="O19">
        <v>64</v>
      </c>
      <c r="P19">
        <v>0</v>
      </c>
      <c r="Q19">
        <v>0</v>
      </c>
      <c r="R19">
        <v>0</v>
      </c>
      <c r="S19">
        <v>10.4</v>
      </c>
      <c r="T19">
        <v>1.4344262295082E-2</v>
      </c>
      <c r="V19">
        <v>16</v>
      </c>
      <c r="Y19">
        <f>($G19*Admin!$C$4)+($H19*Admin!$C$3)+($I19*Admin!$C$5)+($K19*Admin!$C$9)+($L19*Admin!$C$10)+($N19*Admin!$C$7)+($O19*Admin!$C$11)+($P19*Admin!$C$12)+($Q19*Admin!$C$6)+($R19*Admin!$C$13)</f>
        <v>10.4</v>
      </c>
    </row>
    <row r="20" spans="1:25" x14ac:dyDescent="0.25">
      <c r="A20" t="s">
        <v>268</v>
      </c>
      <c r="B20" t="s">
        <v>250</v>
      </c>
      <c r="C20" t="s">
        <v>43</v>
      </c>
      <c r="D20">
        <v>10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10</v>
      </c>
      <c r="O20">
        <v>161</v>
      </c>
      <c r="P20">
        <v>1</v>
      </c>
      <c r="Q20">
        <v>0</v>
      </c>
      <c r="R20">
        <v>0</v>
      </c>
      <c r="S20">
        <v>34.1</v>
      </c>
      <c r="T20">
        <v>4.0983606557376998E-2</v>
      </c>
      <c r="V20">
        <v>16.100000000000001</v>
      </c>
      <c r="Y20">
        <f>($G20*Admin!$C$4)+($H20*Admin!$C$3)+($I20*Admin!$C$5)+($K20*Admin!$C$9)+($L20*Admin!$C$10)+($N20*Admin!$C$7)+($O20*Admin!$C$11)+($P20*Admin!$C$12)+($Q20*Admin!$C$6)+($R20*Admin!$C$13)</f>
        <v>32.1</v>
      </c>
    </row>
    <row r="21" spans="1:25" x14ac:dyDescent="0.25">
      <c r="A21" t="s">
        <v>269</v>
      </c>
      <c r="B21" t="s">
        <v>250</v>
      </c>
      <c r="C21" t="s">
        <v>43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-3</v>
      </c>
      <c r="L21">
        <v>0</v>
      </c>
      <c r="M21">
        <v>154</v>
      </c>
      <c r="N21">
        <v>108</v>
      </c>
      <c r="O21">
        <v>1429</v>
      </c>
      <c r="P21">
        <v>11</v>
      </c>
      <c r="Q21">
        <v>0</v>
      </c>
      <c r="R21">
        <v>0</v>
      </c>
      <c r="S21">
        <v>316.60000000000002</v>
      </c>
      <c r="T21">
        <v>0.31557377049180302</v>
      </c>
      <c r="U21">
        <v>-3</v>
      </c>
      <c r="V21">
        <v>13.2314814814815</v>
      </c>
      <c r="Y21">
        <f>($G21*Admin!$C$4)+($H21*Admin!$C$3)+($I21*Admin!$C$5)+($K21*Admin!$C$9)+($L21*Admin!$C$10)+($N21*Admin!$C$7)+($O21*Admin!$C$11)+($P21*Admin!$C$12)+($Q21*Admin!$C$6)+($R21*Admin!$C$13)</f>
        <v>316.60000000000002</v>
      </c>
    </row>
    <row r="22" spans="1:25" x14ac:dyDescent="0.25">
      <c r="A22" t="s">
        <v>270</v>
      </c>
      <c r="B22" t="s">
        <v>250</v>
      </c>
      <c r="C22" t="s">
        <v>43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2.04918032786885E-3</v>
      </c>
      <c r="Y22">
        <f>($G22*Admin!$C$4)+($H22*Admin!$C$3)+($I22*Admin!$C$5)+($K22*Admin!$C$9)+($L22*Admin!$C$10)+($N22*Admin!$C$7)+($O22*Admin!$C$11)+($P22*Admin!$C$12)+($Q22*Admin!$C$6)+($R22*Admin!$C$13)</f>
        <v>0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5">
      <c r="A31" t="s">
        <v>250</v>
      </c>
      <c r="B31">
        <v>6523</v>
      </c>
      <c r="C31">
        <v>4291</v>
      </c>
      <c r="D31">
        <v>430</v>
      </c>
      <c r="E31">
        <v>2232</v>
      </c>
      <c r="F31">
        <v>15</v>
      </c>
      <c r="G31">
        <v>1590.94</v>
      </c>
      <c r="H31">
        <v>574</v>
      </c>
      <c r="I31">
        <v>0.62891986062717797</v>
      </c>
      <c r="J31">
        <v>35</v>
      </c>
      <c r="K31">
        <v>14</v>
      </c>
      <c r="L31">
        <v>10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BUF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271</v>
      </c>
      <c r="B36" t="s">
        <v>26</v>
      </c>
      <c r="C36">
        <v>27</v>
      </c>
      <c r="D36">
        <v>6</v>
      </c>
      <c r="E36" t="s">
        <v>272</v>
      </c>
      <c r="F36" t="s">
        <v>250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273</v>
      </c>
      <c r="B37" t="s">
        <v>26</v>
      </c>
      <c r="C37">
        <v>27</v>
      </c>
      <c r="D37">
        <v>5</v>
      </c>
      <c r="E37" t="s">
        <v>70</v>
      </c>
      <c r="F37" t="s">
        <v>250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274</v>
      </c>
      <c r="B38" t="s">
        <v>26</v>
      </c>
      <c r="C38">
        <v>32</v>
      </c>
      <c r="D38">
        <v>10</v>
      </c>
      <c r="E38" t="s">
        <v>78</v>
      </c>
      <c r="F38" t="s">
        <v>250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275</v>
      </c>
      <c r="B46" t="s">
        <v>31</v>
      </c>
      <c r="C46">
        <v>23</v>
      </c>
      <c r="D46">
        <v>2</v>
      </c>
      <c r="E46" t="s">
        <v>173</v>
      </c>
      <c r="F46" t="s">
        <v>250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276</v>
      </c>
      <c r="B47" t="s">
        <v>31</v>
      </c>
      <c r="C47">
        <v>25</v>
      </c>
      <c r="D47">
        <v>4</v>
      </c>
      <c r="E47" t="s">
        <v>277</v>
      </c>
      <c r="F47" t="s">
        <v>250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278</v>
      </c>
      <c r="B48" t="s">
        <v>31</v>
      </c>
      <c r="C48">
        <v>26</v>
      </c>
      <c r="D48">
        <v>5</v>
      </c>
      <c r="E48" t="s">
        <v>153</v>
      </c>
      <c r="F48" t="s">
        <v>250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279</v>
      </c>
      <c r="B49" t="s">
        <v>31</v>
      </c>
      <c r="C49">
        <v>24</v>
      </c>
      <c r="D49">
        <v>0</v>
      </c>
      <c r="E49" t="s">
        <v>280</v>
      </c>
      <c r="F49" t="s">
        <v>250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281</v>
      </c>
      <c r="B50" t="s">
        <v>31</v>
      </c>
      <c r="C50">
        <v>33</v>
      </c>
      <c r="D50">
        <v>11</v>
      </c>
      <c r="E50" t="s">
        <v>282</v>
      </c>
      <c r="F50" t="s">
        <v>250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283</v>
      </c>
      <c r="B61" t="s">
        <v>43</v>
      </c>
      <c r="C61">
        <v>28</v>
      </c>
      <c r="D61">
        <v>3</v>
      </c>
      <c r="E61" t="s">
        <v>218</v>
      </c>
      <c r="F61" t="s">
        <v>250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284</v>
      </c>
      <c r="B62" t="s">
        <v>43</v>
      </c>
      <c r="C62">
        <v>24</v>
      </c>
      <c r="D62">
        <v>2</v>
      </c>
      <c r="E62" t="s">
        <v>285</v>
      </c>
      <c r="F62" t="s">
        <v>250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286</v>
      </c>
      <c r="B63" t="s">
        <v>43</v>
      </c>
      <c r="C63">
        <v>24</v>
      </c>
      <c r="D63">
        <v>4</v>
      </c>
      <c r="E63" t="s">
        <v>282</v>
      </c>
      <c r="F63" t="s">
        <v>250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287</v>
      </c>
      <c r="B64" t="s">
        <v>43</v>
      </c>
      <c r="C64">
        <v>29</v>
      </c>
      <c r="D64">
        <v>9</v>
      </c>
      <c r="E64" t="s">
        <v>232</v>
      </c>
      <c r="F64" t="s">
        <v>250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288</v>
      </c>
      <c r="B65" t="s">
        <v>43</v>
      </c>
      <c r="C65">
        <v>25</v>
      </c>
      <c r="D65">
        <v>5</v>
      </c>
      <c r="E65" t="s">
        <v>289</v>
      </c>
      <c r="F65" t="s">
        <v>250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290</v>
      </c>
      <c r="B66" t="s">
        <v>43</v>
      </c>
      <c r="C66">
        <v>26</v>
      </c>
      <c r="D66">
        <v>5</v>
      </c>
      <c r="E66" t="s">
        <v>291</v>
      </c>
      <c r="F66" t="s">
        <v>250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292</v>
      </c>
      <c r="B67" t="s">
        <v>43</v>
      </c>
      <c r="C67">
        <v>26</v>
      </c>
      <c r="D67">
        <v>3</v>
      </c>
      <c r="E67" t="s">
        <v>280</v>
      </c>
      <c r="F67" t="s">
        <v>250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293</v>
      </c>
      <c r="B68" t="s">
        <v>43</v>
      </c>
      <c r="C68">
        <v>25</v>
      </c>
      <c r="D68">
        <v>3</v>
      </c>
      <c r="E68" t="s">
        <v>294</v>
      </c>
      <c r="F68" t="s">
        <v>250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295</v>
      </c>
      <c r="B69" t="s">
        <v>43</v>
      </c>
      <c r="C69">
        <v>23</v>
      </c>
      <c r="D69">
        <v>2</v>
      </c>
      <c r="E69" t="s">
        <v>296</v>
      </c>
      <c r="F69" t="s">
        <v>250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297</v>
      </c>
      <c r="B70" t="s">
        <v>43</v>
      </c>
      <c r="C70">
        <v>23</v>
      </c>
      <c r="D70">
        <v>0</v>
      </c>
      <c r="E70" t="s">
        <v>298</v>
      </c>
      <c r="F70" t="s">
        <v>250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299</v>
      </c>
      <c r="B71" t="s">
        <v>43</v>
      </c>
      <c r="C71">
        <v>27</v>
      </c>
      <c r="D71">
        <v>6</v>
      </c>
      <c r="E71" t="s">
        <v>300</v>
      </c>
      <c r="F71" t="s">
        <v>250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301</v>
      </c>
      <c r="B72" t="s">
        <v>43</v>
      </c>
      <c r="C72">
        <v>23</v>
      </c>
      <c r="D72">
        <v>0</v>
      </c>
      <c r="E72" t="s">
        <v>178</v>
      </c>
      <c r="F72" t="s">
        <v>250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302</v>
      </c>
      <c r="B73" t="s">
        <v>43</v>
      </c>
      <c r="C73">
        <v>24</v>
      </c>
      <c r="D73">
        <v>0</v>
      </c>
      <c r="E73" t="s">
        <v>155</v>
      </c>
      <c r="F73" t="s">
        <v>250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303</v>
      </c>
      <c r="B76" t="s">
        <v>38</v>
      </c>
      <c r="C76">
        <v>23</v>
      </c>
      <c r="D76">
        <v>0</v>
      </c>
      <c r="E76" t="s">
        <v>207</v>
      </c>
      <c r="F76" t="s">
        <v>250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304</v>
      </c>
      <c r="B77" t="s">
        <v>38</v>
      </c>
      <c r="C77">
        <v>26</v>
      </c>
      <c r="D77">
        <v>5</v>
      </c>
      <c r="E77" t="s">
        <v>240</v>
      </c>
      <c r="F77" t="s">
        <v>250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305</v>
      </c>
      <c r="B78" t="s">
        <v>38</v>
      </c>
      <c r="C78">
        <v>24</v>
      </c>
      <c r="D78">
        <v>2</v>
      </c>
      <c r="E78" t="s">
        <v>168</v>
      </c>
      <c r="F78" t="s">
        <v>250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306</v>
      </c>
      <c r="B79" t="s">
        <v>38</v>
      </c>
      <c r="C79">
        <v>27</v>
      </c>
      <c r="D79">
        <v>4</v>
      </c>
      <c r="E79" t="s">
        <v>307</v>
      </c>
      <c r="F79" t="s">
        <v>250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308</v>
      </c>
      <c r="B80" t="s">
        <v>38</v>
      </c>
      <c r="C80">
        <v>23</v>
      </c>
      <c r="D80">
        <v>0</v>
      </c>
      <c r="E80" t="s">
        <v>309</v>
      </c>
      <c r="F80" t="s">
        <v>250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topLeftCell="C25" zoomScale="87" zoomScaleNormal="87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310</v>
      </c>
      <c r="B2" t="s">
        <v>311</v>
      </c>
      <c r="C2" t="s">
        <v>26</v>
      </c>
      <c r="D2">
        <v>7</v>
      </c>
      <c r="E2">
        <v>206</v>
      </c>
      <c r="F2">
        <v>119</v>
      </c>
      <c r="G2">
        <v>1313</v>
      </c>
      <c r="H2">
        <v>6</v>
      </c>
      <c r="I2">
        <v>6</v>
      </c>
      <c r="J2">
        <v>16</v>
      </c>
      <c r="K2">
        <v>52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73.72</v>
      </c>
      <c r="T2">
        <v>0</v>
      </c>
      <c r="U2">
        <v>3.25</v>
      </c>
      <c r="W2">
        <v>0.57766990291262099</v>
      </c>
      <c r="X2">
        <v>2.9126213592233E-2</v>
      </c>
      <c r="Y2">
        <f>($G2*Admin!$C$4)+($H2*Admin!$C$3)+($I2*Admin!$C$5)+($K2*Admin!$C$9)+($L2*Admin!$C$10)+($N2*Admin!$C$7)+($O2*Admin!$C$11)+($P2*Admin!$C$12)+($Q2*Admin!$C$6)+($R2*Admin!$C$13)</f>
        <v>73.720000000000013</v>
      </c>
    </row>
    <row r="3" spans="1:25" x14ac:dyDescent="0.25">
      <c r="A3" t="s">
        <v>312</v>
      </c>
      <c r="B3" t="s">
        <v>311</v>
      </c>
      <c r="C3" t="s">
        <v>26</v>
      </c>
      <c r="D3">
        <v>1</v>
      </c>
      <c r="E3">
        <v>5</v>
      </c>
      <c r="F3">
        <v>3</v>
      </c>
      <c r="G3">
        <v>59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0.36</v>
      </c>
      <c r="T3">
        <v>0</v>
      </c>
      <c r="W3">
        <v>0.6</v>
      </c>
      <c r="X3">
        <v>0</v>
      </c>
      <c r="Y3">
        <f>($G3*Admin!$C$4)+($H3*Admin!$C$3)+($I3*Admin!$C$5)+($K3*Admin!$C$9)+($L3*Admin!$C$10)+($N3*Admin!$C$7)+($O3*Admin!$C$11)+($P3*Admin!$C$12)+($Q3*Admin!$C$6)+($R3*Admin!$C$13)</f>
        <v>0.35999999999999988</v>
      </c>
    </row>
    <row r="4" spans="1:25" x14ac:dyDescent="0.25">
      <c r="A4" t="s">
        <v>313</v>
      </c>
      <c r="B4" t="s">
        <v>311</v>
      </c>
      <c r="C4" t="s">
        <v>26</v>
      </c>
      <c r="D4">
        <v>6</v>
      </c>
      <c r="E4">
        <v>106</v>
      </c>
      <c r="F4">
        <v>63</v>
      </c>
      <c r="G4">
        <v>731</v>
      </c>
      <c r="H4">
        <v>3</v>
      </c>
      <c r="I4">
        <v>3</v>
      </c>
      <c r="J4">
        <v>6</v>
      </c>
      <c r="K4">
        <v>39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39.14</v>
      </c>
      <c r="T4">
        <v>0</v>
      </c>
      <c r="U4">
        <v>6.5</v>
      </c>
      <c r="W4">
        <v>0.59433962264150897</v>
      </c>
      <c r="X4">
        <v>2.83018867924528E-2</v>
      </c>
      <c r="Y4">
        <f>($G4*Admin!$C$4)+($H4*Admin!$C$3)+($I4*Admin!$C$5)+($K4*Admin!$C$9)+($L4*Admin!$C$10)+($N4*Admin!$C$7)+($O4*Admin!$C$11)+($P4*Admin!$C$12)+($Q4*Admin!$C$6)+($R4*Admin!$C$13)</f>
        <v>39.14</v>
      </c>
    </row>
    <row r="5" spans="1:25" x14ac:dyDescent="0.25">
      <c r="A5" t="s">
        <v>314</v>
      </c>
      <c r="B5" t="s">
        <v>311</v>
      </c>
      <c r="C5" t="s">
        <v>26</v>
      </c>
      <c r="D5">
        <v>6</v>
      </c>
      <c r="E5">
        <v>140</v>
      </c>
      <c r="F5">
        <v>82</v>
      </c>
      <c r="G5">
        <v>1143</v>
      </c>
      <c r="H5">
        <v>7</v>
      </c>
      <c r="I5">
        <v>3</v>
      </c>
      <c r="J5">
        <v>26</v>
      </c>
      <c r="K5">
        <v>106</v>
      </c>
      <c r="L5">
        <v>2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86.32</v>
      </c>
      <c r="T5">
        <v>0</v>
      </c>
      <c r="U5">
        <v>4.0769230769230802</v>
      </c>
      <c r="W5">
        <v>0.58571428571428596</v>
      </c>
      <c r="X5">
        <v>0.05</v>
      </c>
      <c r="Y5">
        <f>($G5*Admin!$C$4)+($H5*Admin!$C$3)+($I5*Admin!$C$5)+($K5*Admin!$C$9)+($L5*Admin!$C$10)+($N5*Admin!$C$7)+($O5*Admin!$C$11)+($P5*Admin!$C$12)+($Q5*Admin!$C$6)+($R5*Admin!$C$13)</f>
        <v>86.32</v>
      </c>
    </row>
    <row r="6" spans="1:25" x14ac:dyDescent="0.25">
      <c r="A6" t="s">
        <v>315</v>
      </c>
      <c r="B6" t="s">
        <v>311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466</v>
      </c>
      <c r="L6">
        <v>2</v>
      </c>
      <c r="M6">
        <v>17</v>
      </c>
      <c r="N6">
        <v>14</v>
      </c>
      <c r="O6">
        <v>171</v>
      </c>
      <c r="P6">
        <v>0</v>
      </c>
      <c r="Q6">
        <v>0</v>
      </c>
      <c r="R6">
        <v>0</v>
      </c>
      <c r="S6">
        <v>89.7</v>
      </c>
      <c r="T6">
        <v>2.9616724738675999E-2</v>
      </c>
      <c r="U6">
        <v>4.9052631578947397</v>
      </c>
      <c r="V6">
        <v>12.214285714285699</v>
      </c>
      <c r="Y6">
        <f>($G6*Admin!$C$4)+($H6*Admin!$C$3)+($I6*Admin!$C$5)+($K6*Admin!$C$9)+($L6*Admin!$C$10)+($N6*Admin!$C$7)+($O6*Admin!$C$11)+($P6*Admin!$C$12)+($Q6*Admin!$C$6)+($R6*Admin!$C$13)</f>
        <v>89.699999999999989</v>
      </c>
    </row>
    <row r="7" spans="1:25" x14ac:dyDescent="0.25">
      <c r="A7" t="s">
        <v>316</v>
      </c>
      <c r="B7" t="s">
        <v>311</v>
      </c>
      <c r="C7" t="s">
        <v>31</v>
      </c>
      <c r="D7">
        <v>6</v>
      </c>
      <c r="E7">
        <v>0</v>
      </c>
      <c r="F7">
        <v>0</v>
      </c>
      <c r="G7">
        <v>0</v>
      </c>
      <c r="H7">
        <v>0</v>
      </c>
      <c r="I7">
        <v>0</v>
      </c>
      <c r="J7">
        <v>85</v>
      </c>
      <c r="K7">
        <v>393</v>
      </c>
      <c r="L7">
        <v>2</v>
      </c>
      <c r="M7">
        <v>43</v>
      </c>
      <c r="N7">
        <v>33</v>
      </c>
      <c r="O7">
        <v>277</v>
      </c>
      <c r="P7">
        <v>1</v>
      </c>
      <c r="Q7">
        <v>0</v>
      </c>
      <c r="R7">
        <v>0</v>
      </c>
      <c r="S7">
        <v>118</v>
      </c>
      <c r="T7">
        <v>7.4912891986062699E-2</v>
      </c>
      <c r="U7">
        <v>4.6235294117647099</v>
      </c>
      <c r="V7">
        <v>8.3939393939393891</v>
      </c>
      <c r="Y7">
        <f>($G7*Admin!$C$4)+($H7*Admin!$C$3)+($I7*Admin!$C$5)+($K7*Admin!$C$9)+($L7*Admin!$C$10)+($N7*Admin!$C$7)+($O7*Admin!$C$11)+($P7*Admin!$C$12)+($Q7*Admin!$C$6)+($R7*Admin!$C$13)</f>
        <v>118.00000000000001</v>
      </c>
    </row>
    <row r="8" spans="1:25" x14ac:dyDescent="0.25">
      <c r="A8" t="s">
        <v>317</v>
      </c>
      <c r="B8" t="s">
        <v>311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203</v>
      </c>
      <c r="K8">
        <v>914</v>
      </c>
      <c r="L8">
        <v>5</v>
      </c>
      <c r="M8">
        <v>9</v>
      </c>
      <c r="N8">
        <v>5</v>
      </c>
      <c r="O8">
        <v>26</v>
      </c>
      <c r="P8">
        <v>0</v>
      </c>
      <c r="Q8">
        <v>0</v>
      </c>
      <c r="R8">
        <v>1</v>
      </c>
      <c r="S8">
        <v>131</v>
      </c>
      <c r="T8">
        <v>1.5679442508710801E-2</v>
      </c>
      <c r="U8">
        <v>4.5024630541871904</v>
      </c>
      <c r="V8">
        <v>5.2</v>
      </c>
      <c r="Y8">
        <f>($G8*Admin!$C$4)+($H8*Admin!$C$3)+($I8*Admin!$C$5)+($K8*Admin!$C$9)+($L8*Admin!$C$10)+($N8*Admin!$C$7)+($O8*Admin!$C$11)+($P8*Admin!$C$12)+($Q8*Admin!$C$6)+($R8*Admin!$C$13)</f>
        <v>131</v>
      </c>
    </row>
    <row r="9" spans="1:25" x14ac:dyDescent="0.25">
      <c r="A9" t="s">
        <v>318</v>
      </c>
      <c r="B9" t="s">
        <v>311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23</v>
      </c>
      <c r="K9">
        <v>77</v>
      </c>
      <c r="L9">
        <v>3</v>
      </c>
      <c r="M9">
        <v>12</v>
      </c>
      <c r="N9">
        <v>10</v>
      </c>
      <c r="O9">
        <v>93</v>
      </c>
      <c r="P9">
        <v>0</v>
      </c>
      <c r="Q9">
        <v>0</v>
      </c>
      <c r="R9">
        <v>0</v>
      </c>
      <c r="S9">
        <v>45</v>
      </c>
      <c r="T9">
        <v>2.0905923344947699E-2</v>
      </c>
      <c r="U9">
        <v>3.3478260869565202</v>
      </c>
      <c r="V9">
        <v>9.3000000000000007</v>
      </c>
      <c r="Y9">
        <f>($G9*Admin!$C$4)+($H9*Admin!$C$3)+($I9*Admin!$C$5)+($K9*Admin!$C$9)+($L9*Admin!$C$10)+($N9*Admin!$C$7)+($O9*Admin!$C$11)+($P9*Admin!$C$12)+($Q9*Admin!$C$6)+($R9*Admin!$C$13)</f>
        <v>45</v>
      </c>
    </row>
    <row r="10" spans="1:25" x14ac:dyDescent="0.25">
      <c r="A10" t="s">
        <v>319</v>
      </c>
      <c r="B10" t="s">
        <v>311</v>
      </c>
      <c r="C10" t="s">
        <v>31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43</v>
      </c>
      <c r="L10">
        <v>0</v>
      </c>
      <c r="M10">
        <v>4</v>
      </c>
      <c r="N10">
        <v>2</v>
      </c>
      <c r="O10">
        <v>10</v>
      </c>
      <c r="P10">
        <v>0</v>
      </c>
      <c r="Q10">
        <v>0</v>
      </c>
      <c r="R10">
        <v>0</v>
      </c>
      <c r="S10">
        <v>7.3</v>
      </c>
      <c r="T10">
        <v>6.9686411149825801E-3</v>
      </c>
      <c r="U10">
        <v>4.7777777777777803</v>
      </c>
      <c r="V10">
        <v>5</v>
      </c>
      <c r="Y10">
        <f>($G10*Admin!$C$4)+($H10*Admin!$C$3)+($I10*Admin!$C$5)+($K10*Admin!$C$9)+($L10*Admin!$C$10)+($N10*Admin!$C$7)+($O10*Admin!$C$11)+($P10*Admin!$C$12)+($Q10*Admin!$C$6)+($R10*Admin!$C$13)</f>
        <v>7.3</v>
      </c>
    </row>
    <row r="11" spans="1:25" x14ac:dyDescent="0.25">
      <c r="A11" t="s">
        <v>320</v>
      </c>
      <c r="B11" t="s">
        <v>311</v>
      </c>
      <c r="C11" t="s">
        <v>38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9</v>
      </c>
      <c r="N11">
        <v>8</v>
      </c>
      <c r="O11">
        <v>100</v>
      </c>
      <c r="P11">
        <v>0</v>
      </c>
      <c r="Q11">
        <v>0</v>
      </c>
      <c r="R11">
        <v>0</v>
      </c>
      <c r="S11">
        <v>18</v>
      </c>
      <c r="T11">
        <v>1.5679442508710801E-2</v>
      </c>
      <c r="V11">
        <v>12.5</v>
      </c>
      <c r="Y11">
        <f>($G11*Admin!$C$4)+($H11*Admin!$C$3)+($I11*Admin!$C$5)+($K11*Admin!$C$9)+($L11*Admin!$C$10)+($N11*Admin!$C$7)+($O11*Admin!$C$11)+($P11*Admin!$C$12)+($Q11*Admin!$C$6)+($R11*Admin!$C$13)</f>
        <v>18</v>
      </c>
    </row>
    <row r="12" spans="1:25" x14ac:dyDescent="0.25">
      <c r="A12" t="s">
        <v>321</v>
      </c>
      <c r="B12" t="s">
        <v>311</v>
      </c>
      <c r="C12" t="s">
        <v>38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30</v>
      </c>
      <c r="N12">
        <v>21</v>
      </c>
      <c r="O12">
        <v>197</v>
      </c>
      <c r="P12">
        <v>0</v>
      </c>
      <c r="Q12">
        <v>0</v>
      </c>
      <c r="R12">
        <v>0</v>
      </c>
      <c r="S12">
        <v>40.700000000000003</v>
      </c>
      <c r="T12">
        <v>5.2264808362369297E-2</v>
      </c>
      <c r="V12">
        <v>9.3809523809523796</v>
      </c>
      <c r="Y12">
        <f>($G12*Admin!$C$4)+($H12*Admin!$C$3)+($I12*Admin!$C$5)+($K12*Admin!$C$9)+($L12*Admin!$C$10)+($N12*Admin!$C$7)+($O12*Admin!$C$11)+($P12*Admin!$C$12)+($Q12*Admin!$C$6)+($R12*Admin!$C$13)</f>
        <v>40.700000000000003</v>
      </c>
    </row>
    <row r="13" spans="1:25" x14ac:dyDescent="0.25">
      <c r="A13" t="s">
        <v>322</v>
      </c>
      <c r="B13" t="s">
        <v>311</v>
      </c>
      <c r="C13" t="s">
        <v>38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6</v>
      </c>
      <c r="N13">
        <v>2</v>
      </c>
      <c r="O13">
        <v>46</v>
      </c>
      <c r="P13">
        <v>0</v>
      </c>
      <c r="Q13">
        <v>0</v>
      </c>
      <c r="R13">
        <v>0</v>
      </c>
      <c r="S13">
        <v>6.6</v>
      </c>
      <c r="T13">
        <v>1.04529616724739E-2</v>
      </c>
      <c r="V13">
        <v>23</v>
      </c>
      <c r="Y13">
        <f>($G13*Admin!$C$4)+($H13*Admin!$C$3)+($I13*Admin!$C$5)+($K13*Admin!$C$9)+($L13*Admin!$C$10)+($N13*Admin!$C$7)+($O13*Admin!$C$11)+($P13*Admin!$C$12)+($Q13*Admin!$C$6)+($R13*Admin!$C$13)</f>
        <v>6.6000000000000005</v>
      </c>
    </row>
    <row r="14" spans="1:25" x14ac:dyDescent="0.25">
      <c r="A14" t="s">
        <v>323</v>
      </c>
      <c r="B14" t="s">
        <v>311</v>
      </c>
      <c r="C14" t="s">
        <v>38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32</v>
      </c>
      <c r="N14">
        <v>19</v>
      </c>
      <c r="O14">
        <v>174</v>
      </c>
      <c r="P14">
        <v>3</v>
      </c>
      <c r="Q14">
        <v>0</v>
      </c>
      <c r="R14">
        <v>0</v>
      </c>
      <c r="S14">
        <v>54.4</v>
      </c>
      <c r="T14">
        <v>5.5749128919860599E-2</v>
      </c>
      <c r="V14">
        <v>9.1578947368421009</v>
      </c>
      <c r="Y14">
        <f>($G14*Admin!$C$4)+($H14*Admin!$C$3)+($I14*Admin!$C$5)+($K14*Admin!$C$9)+($L14*Admin!$C$10)+($N14*Admin!$C$7)+($O14*Admin!$C$11)+($P14*Admin!$C$12)+($Q14*Admin!$C$6)+($R14*Admin!$C$13)</f>
        <v>54.400000000000006</v>
      </c>
    </row>
    <row r="15" spans="1:25" x14ac:dyDescent="0.25">
      <c r="A15" t="s">
        <v>324</v>
      </c>
      <c r="B15" t="s">
        <v>311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10</v>
      </c>
      <c r="K15">
        <v>53</v>
      </c>
      <c r="L15">
        <v>0</v>
      </c>
      <c r="M15">
        <v>118</v>
      </c>
      <c r="N15">
        <v>63</v>
      </c>
      <c r="O15">
        <v>888</v>
      </c>
      <c r="P15">
        <v>7</v>
      </c>
      <c r="Q15">
        <v>0</v>
      </c>
      <c r="R15">
        <v>0</v>
      </c>
      <c r="S15">
        <v>199.1</v>
      </c>
      <c r="T15">
        <v>0.20557491289198601</v>
      </c>
      <c r="U15">
        <v>5.3</v>
      </c>
      <c r="V15">
        <v>14.0952380952381</v>
      </c>
      <c r="Y15">
        <f>($G15*Admin!$C$4)+($H15*Admin!$C$3)+($I15*Admin!$C$5)+($K15*Admin!$C$9)+($L15*Admin!$C$10)+($N15*Admin!$C$7)+($O15*Admin!$C$11)+($P15*Admin!$C$12)+($Q15*Admin!$C$6)+($R15*Admin!$C$13)</f>
        <v>199.10000000000002</v>
      </c>
    </row>
    <row r="16" spans="1:25" x14ac:dyDescent="0.25">
      <c r="A16" t="s">
        <v>325</v>
      </c>
      <c r="B16" t="s">
        <v>311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65</v>
      </c>
      <c r="L16">
        <v>1</v>
      </c>
      <c r="M16">
        <v>32</v>
      </c>
      <c r="N16">
        <v>27</v>
      </c>
      <c r="O16">
        <v>272</v>
      </c>
      <c r="P16">
        <v>1</v>
      </c>
      <c r="Q16">
        <v>0</v>
      </c>
      <c r="R16">
        <v>0</v>
      </c>
      <c r="S16">
        <v>72.7</v>
      </c>
      <c r="T16">
        <v>5.5749128919860599E-2</v>
      </c>
      <c r="U16">
        <v>7.2222222222222197</v>
      </c>
      <c r="V16">
        <v>10.074074074074099</v>
      </c>
      <c r="Y16">
        <f>($G16*Admin!$C$4)+($H16*Admin!$C$3)+($I16*Admin!$C$5)+($K16*Admin!$C$9)+($L16*Admin!$C$10)+($N16*Admin!$C$7)+($O16*Admin!$C$11)+($P16*Admin!$C$12)+($Q16*Admin!$C$6)+($R16*Admin!$C$13)</f>
        <v>72.7</v>
      </c>
    </row>
    <row r="17" spans="1:25" x14ac:dyDescent="0.25">
      <c r="A17" t="s">
        <v>50</v>
      </c>
      <c r="B17" t="s">
        <v>311</v>
      </c>
      <c r="C17" t="s">
        <v>43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27</v>
      </c>
      <c r="N17">
        <v>13</v>
      </c>
      <c r="O17">
        <v>206</v>
      </c>
      <c r="P17">
        <v>1</v>
      </c>
      <c r="Q17">
        <v>0</v>
      </c>
      <c r="R17">
        <v>0</v>
      </c>
      <c r="S17">
        <v>37.6</v>
      </c>
      <c r="T17">
        <v>4.7038327526132399E-2</v>
      </c>
      <c r="V17">
        <v>15.846153846153801</v>
      </c>
      <c r="Y17">
        <f>($G17*Admin!$C$4)+($H17*Admin!$C$3)+($I17*Admin!$C$5)+($K17*Admin!$C$9)+($L17*Admin!$C$10)+($N17*Admin!$C$7)+($O17*Admin!$C$11)+($P17*Admin!$C$12)+($Q17*Admin!$C$6)+($R17*Admin!$C$13)</f>
        <v>39.6</v>
      </c>
    </row>
    <row r="18" spans="1:25" x14ac:dyDescent="0.25">
      <c r="A18" t="s">
        <v>326</v>
      </c>
      <c r="B18" t="s">
        <v>311</v>
      </c>
      <c r="C18" t="s">
        <v>43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41</v>
      </c>
      <c r="N18">
        <v>22</v>
      </c>
      <c r="O18">
        <v>296</v>
      </c>
      <c r="P18">
        <v>2</v>
      </c>
      <c r="Q18">
        <v>0</v>
      </c>
      <c r="R18">
        <v>0</v>
      </c>
      <c r="S18">
        <v>61.6</v>
      </c>
      <c r="T18">
        <v>7.1428571428571397E-2</v>
      </c>
      <c r="V18">
        <v>13.454545454545499</v>
      </c>
      <c r="Y18">
        <f>($G18*Admin!$C$4)+($H18*Admin!$C$3)+($I18*Admin!$C$5)+($K18*Admin!$C$9)+($L18*Admin!$C$10)+($N18*Admin!$C$7)+($O18*Admin!$C$11)+($P18*Admin!$C$12)+($Q18*Admin!$C$6)+($R18*Admin!$C$13)</f>
        <v>63.6</v>
      </c>
    </row>
    <row r="19" spans="1:25" x14ac:dyDescent="0.25">
      <c r="A19" t="s">
        <v>327</v>
      </c>
      <c r="B19" t="s">
        <v>311</v>
      </c>
      <c r="C19" t="s">
        <v>43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47</v>
      </c>
      <c r="N19">
        <v>28</v>
      </c>
      <c r="O19">
        <v>490</v>
      </c>
      <c r="P19">
        <v>1</v>
      </c>
      <c r="Q19">
        <v>0</v>
      </c>
      <c r="R19">
        <v>0</v>
      </c>
      <c r="S19">
        <v>83</v>
      </c>
      <c r="T19">
        <v>8.1881533101045303E-2</v>
      </c>
      <c r="V19">
        <v>17.5</v>
      </c>
      <c r="Y19">
        <f>($G19*Admin!$C$4)+($H19*Admin!$C$3)+($I19*Admin!$C$5)+($K19*Admin!$C$9)+($L19*Admin!$C$10)+($N19*Admin!$C$7)+($O19*Admin!$C$11)+($P19*Admin!$C$12)+($Q19*Admin!$C$6)+($R19*Admin!$C$13)</f>
        <v>83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5">
      <c r="A31" t="s">
        <v>311</v>
      </c>
      <c r="B31">
        <v>5454</v>
      </c>
      <c r="C31">
        <v>3246</v>
      </c>
      <c r="D31">
        <v>482</v>
      </c>
      <c r="E31">
        <v>2208</v>
      </c>
      <c r="F31">
        <v>16</v>
      </c>
      <c r="G31">
        <v>1164.24</v>
      </c>
      <c r="H31">
        <v>457</v>
      </c>
      <c r="I31">
        <v>0.58424507658643299</v>
      </c>
      <c r="J31">
        <v>16</v>
      </c>
      <c r="K31">
        <v>13</v>
      </c>
      <c r="L31">
        <v>3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CAR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328</v>
      </c>
      <c r="B36" t="s">
        <v>26</v>
      </c>
      <c r="C36">
        <v>24</v>
      </c>
      <c r="D36">
        <v>0</v>
      </c>
      <c r="E36" t="s">
        <v>240</v>
      </c>
      <c r="F36" t="s">
        <v>311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329</v>
      </c>
      <c r="B37" t="s">
        <v>26</v>
      </c>
      <c r="C37">
        <v>35</v>
      </c>
      <c r="D37">
        <v>12</v>
      </c>
      <c r="E37" t="s">
        <v>76</v>
      </c>
      <c r="F37" t="s">
        <v>311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330</v>
      </c>
      <c r="B38" t="s">
        <v>26</v>
      </c>
      <c r="C38">
        <v>27</v>
      </c>
      <c r="D38">
        <v>3</v>
      </c>
      <c r="E38" t="s">
        <v>111</v>
      </c>
      <c r="F38" t="s">
        <v>311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331</v>
      </c>
      <c r="B39" t="s">
        <v>26</v>
      </c>
      <c r="C39">
        <v>22</v>
      </c>
      <c r="D39">
        <v>0</v>
      </c>
      <c r="E39" t="s">
        <v>153</v>
      </c>
      <c r="F39" t="s">
        <v>311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332</v>
      </c>
      <c r="B46" t="s">
        <v>31</v>
      </c>
      <c r="C46">
        <v>25</v>
      </c>
      <c r="D46">
        <v>2</v>
      </c>
      <c r="E46" t="s">
        <v>333</v>
      </c>
      <c r="F46" t="s">
        <v>311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334</v>
      </c>
      <c r="B47" t="s">
        <v>31</v>
      </c>
      <c r="C47">
        <v>24</v>
      </c>
      <c r="D47">
        <v>1</v>
      </c>
      <c r="E47" t="s">
        <v>335</v>
      </c>
      <c r="F47" t="s">
        <v>311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336</v>
      </c>
      <c r="B48" t="s">
        <v>31</v>
      </c>
      <c r="C48">
        <v>24</v>
      </c>
      <c r="D48">
        <v>3</v>
      </c>
      <c r="E48" t="s">
        <v>218</v>
      </c>
      <c r="F48" t="s">
        <v>311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337</v>
      </c>
      <c r="B49" t="s">
        <v>31</v>
      </c>
      <c r="C49">
        <v>23</v>
      </c>
      <c r="D49">
        <v>0</v>
      </c>
      <c r="E49" t="s">
        <v>277</v>
      </c>
      <c r="F49" t="s">
        <v>311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338</v>
      </c>
      <c r="B50" t="s">
        <v>31</v>
      </c>
      <c r="C50">
        <v>26</v>
      </c>
      <c r="D50">
        <v>5</v>
      </c>
      <c r="E50" t="s">
        <v>339</v>
      </c>
      <c r="F50" t="s">
        <v>311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340</v>
      </c>
      <c r="B61" t="s">
        <v>43</v>
      </c>
      <c r="C61">
        <v>30</v>
      </c>
      <c r="D61">
        <v>7</v>
      </c>
      <c r="E61" t="s">
        <v>341</v>
      </c>
      <c r="F61" t="s">
        <v>311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342</v>
      </c>
      <c r="B62" t="s">
        <v>43</v>
      </c>
      <c r="C62">
        <v>26</v>
      </c>
      <c r="D62">
        <v>6</v>
      </c>
      <c r="E62" t="s">
        <v>227</v>
      </c>
      <c r="F62" t="s">
        <v>311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343</v>
      </c>
      <c r="B63" t="s">
        <v>43</v>
      </c>
      <c r="C63">
        <v>26</v>
      </c>
      <c r="D63">
        <v>2</v>
      </c>
      <c r="E63" t="s">
        <v>344</v>
      </c>
      <c r="F63" t="s">
        <v>311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345</v>
      </c>
      <c r="B64" t="s">
        <v>43</v>
      </c>
      <c r="C64">
        <v>23</v>
      </c>
      <c r="D64">
        <v>3</v>
      </c>
      <c r="E64" t="s">
        <v>227</v>
      </c>
      <c r="F64" t="s">
        <v>311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346</v>
      </c>
      <c r="B65" t="s">
        <v>43</v>
      </c>
      <c r="C65">
        <v>22</v>
      </c>
      <c r="D65">
        <v>0</v>
      </c>
      <c r="E65" t="s">
        <v>240</v>
      </c>
      <c r="F65" t="s">
        <v>311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347</v>
      </c>
      <c r="B66" t="s">
        <v>43</v>
      </c>
      <c r="C66">
        <v>26</v>
      </c>
      <c r="D66">
        <v>1</v>
      </c>
      <c r="E66" t="s">
        <v>213</v>
      </c>
      <c r="F66" t="s">
        <v>311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348</v>
      </c>
      <c r="B67" t="s">
        <v>43</v>
      </c>
      <c r="C67">
        <v>24</v>
      </c>
      <c r="D67">
        <v>4</v>
      </c>
      <c r="E67" t="s">
        <v>84</v>
      </c>
      <c r="F67" t="s">
        <v>311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349</v>
      </c>
      <c r="B68" t="s">
        <v>43</v>
      </c>
      <c r="C68">
        <v>24</v>
      </c>
      <c r="D68">
        <v>3</v>
      </c>
      <c r="E68" t="s">
        <v>341</v>
      </c>
      <c r="F68" t="s">
        <v>311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350</v>
      </c>
      <c r="B69" t="s">
        <v>43</v>
      </c>
      <c r="C69">
        <v>32</v>
      </c>
      <c r="D69">
        <v>10</v>
      </c>
      <c r="E69" t="s">
        <v>351</v>
      </c>
      <c r="F69" t="s">
        <v>311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352</v>
      </c>
      <c r="B70" t="s">
        <v>43</v>
      </c>
      <c r="C70">
        <v>23</v>
      </c>
      <c r="D70">
        <v>0</v>
      </c>
      <c r="E70" t="s">
        <v>341</v>
      </c>
      <c r="F70" t="s">
        <v>311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353</v>
      </c>
      <c r="B71" t="s">
        <v>43</v>
      </c>
      <c r="C71">
        <v>28</v>
      </c>
      <c r="D71">
        <v>4</v>
      </c>
      <c r="E71" t="s">
        <v>173</v>
      </c>
      <c r="F71" t="s">
        <v>311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354</v>
      </c>
      <c r="B72" t="s">
        <v>43</v>
      </c>
      <c r="C72">
        <v>25</v>
      </c>
      <c r="D72">
        <v>1</v>
      </c>
      <c r="E72" t="s">
        <v>89</v>
      </c>
      <c r="F72" t="s">
        <v>311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355</v>
      </c>
      <c r="B76" t="s">
        <v>38</v>
      </c>
      <c r="C76">
        <v>29</v>
      </c>
      <c r="D76">
        <v>6</v>
      </c>
      <c r="E76" t="s">
        <v>341</v>
      </c>
      <c r="F76" t="s">
        <v>311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356</v>
      </c>
      <c r="B77" t="s">
        <v>38</v>
      </c>
      <c r="C77">
        <v>26</v>
      </c>
      <c r="D77">
        <v>3</v>
      </c>
      <c r="E77" t="s">
        <v>357</v>
      </c>
      <c r="F77" t="s">
        <v>311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358</v>
      </c>
      <c r="B78" t="s">
        <v>38</v>
      </c>
      <c r="C78">
        <v>26</v>
      </c>
      <c r="D78">
        <v>2</v>
      </c>
      <c r="E78" t="s">
        <v>227</v>
      </c>
      <c r="F78" t="s">
        <v>311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359</v>
      </c>
      <c r="B79" t="s">
        <v>38</v>
      </c>
      <c r="C79">
        <v>27</v>
      </c>
      <c r="D79">
        <v>6</v>
      </c>
      <c r="E79" t="s">
        <v>360</v>
      </c>
      <c r="F79" t="s">
        <v>311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361</v>
      </c>
      <c r="B80" t="s">
        <v>38</v>
      </c>
      <c r="C80">
        <v>23</v>
      </c>
      <c r="D80">
        <v>3</v>
      </c>
      <c r="E80" t="s">
        <v>362</v>
      </c>
      <c r="F80" t="s">
        <v>311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F16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60</v>
      </c>
    </row>
    <row r="2" spans="1:25" x14ac:dyDescent="0.25">
      <c r="A2" t="s">
        <v>363</v>
      </c>
      <c r="B2" t="s">
        <v>364</v>
      </c>
      <c r="C2" t="s">
        <v>115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2.1881838074398201E-3</v>
      </c>
      <c r="Y2">
        <f>($G2*Admin!$C$4)+($H2*Admin!$C$3)+($I2*Admin!$C$5)+($K2*Admin!$C$9)+($L2*Admin!$C$10)+($N2*Admin!$C$7)+($O2*Admin!$C$11)+($P2*Admin!$C$12)+($Q2*Admin!$C$6)+($R2*Admin!$C$13)</f>
        <v>0</v>
      </c>
    </row>
    <row r="3" spans="1:25" x14ac:dyDescent="0.25">
      <c r="A3" t="s">
        <v>365</v>
      </c>
      <c r="B3" t="s">
        <v>364</v>
      </c>
      <c r="C3" t="s">
        <v>26</v>
      </c>
      <c r="D3">
        <v>15</v>
      </c>
      <c r="E3">
        <v>318</v>
      </c>
      <c r="F3">
        <v>192</v>
      </c>
      <c r="G3">
        <v>2242</v>
      </c>
      <c r="H3">
        <v>17</v>
      </c>
      <c r="I3">
        <v>11</v>
      </c>
      <c r="J3">
        <v>160</v>
      </c>
      <c r="K3">
        <v>1143</v>
      </c>
      <c r="L3">
        <v>8</v>
      </c>
      <c r="M3">
        <v>0</v>
      </c>
      <c r="N3">
        <v>0</v>
      </c>
      <c r="O3">
        <v>0</v>
      </c>
      <c r="P3">
        <v>0</v>
      </c>
      <c r="Q3">
        <v>2</v>
      </c>
      <c r="R3">
        <v>1</v>
      </c>
      <c r="S3">
        <v>295.98</v>
      </c>
      <c r="T3">
        <v>0</v>
      </c>
      <c r="U3">
        <v>7.1437499999999998</v>
      </c>
      <c r="W3">
        <v>0.60377358490566002</v>
      </c>
      <c r="X3">
        <v>5.3459119496855299E-2</v>
      </c>
      <c r="Y3">
        <f>($G3*Admin!$C$4)+($H3*Admin!$C$3)+($I3*Admin!$C$5)+($K3*Admin!$C$9)+($L3*Admin!$C$10)+($N3*Admin!$C$7)+($O3*Admin!$C$11)+($P3*Admin!$C$12)+($Q3*Admin!$C$6)+($R3*Admin!$C$13)</f>
        <v>295.98</v>
      </c>
    </row>
    <row r="4" spans="1:25" x14ac:dyDescent="0.25">
      <c r="A4" t="s">
        <v>366</v>
      </c>
      <c r="B4" t="s">
        <v>364</v>
      </c>
      <c r="C4" t="s">
        <v>26</v>
      </c>
      <c r="D4">
        <v>3</v>
      </c>
      <c r="E4">
        <v>25</v>
      </c>
      <c r="F4">
        <v>14</v>
      </c>
      <c r="G4">
        <v>139</v>
      </c>
      <c r="H4">
        <v>1</v>
      </c>
      <c r="I4">
        <v>1</v>
      </c>
      <c r="J4">
        <v>2</v>
      </c>
      <c r="K4">
        <v>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8.26</v>
      </c>
      <c r="T4">
        <v>0</v>
      </c>
      <c r="U4">
        <v>3.5</v>
      </c>
      <c r="W4">
        <v>0.56000000000000005</v>
      </c>
      <c r="X4">
        <v>0.04</v>
      </c>
      <c r="Y4">
        <f>($G4*Admin!$C$4)+($H4*Admin!$C$3)+($I4*Admin!$C$5)+($K4*Admin!$C$9)+($L4*Admin!$C$10)+($N4*Admin!$C$7)+($O4*Admin!$C$11)+($P4*Admin!$C$12)+($Q4*Admin!$C$6)+($R4*Admin!$C$13)</f>
        <v>8.26</v>
      </c>
    </row>
    <row r="5" spans="1:25" x14ac:dyDescent="0.25">
      <c r="A5" t="s">
        <v>367</v>
      </c>
      <c r="B5" t="s">
        <v>364</v>
      </c>
      <c r="C5" t="s">
        <v>26</v>
      </c>
      <c r="D5">
        <v>1</v>
      </c>
      <c r="E5">
        <v>8</v>
      </c>
      <c r="F5">
        <v>2</v>
      </c>
      <c r="G5">
        <v>33</v>
      </c>
      <c r="H5">
        <v>0</v>
      </c>
      <c r="I5">
        <v>2</v>
      </c>
      <c r="J5">
        <v>2</v>
      </c>
      <c r="K5">
        <v>-2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-2.88</v>
      </c>
      <c r="T5">
        <v>0</v>
      </c>
      <c r="U5">
        <v>-1</v>
      </c>
      <c r="W5">
        <v>0.25</v>
      </c>
      <c r="X5">
        <v>0</v>
      </c>
      <c r="Y5">
        <f>($G5*Admin!$C$4)+($H5*Admin!$C$3)+($I5*Admin!$C$5)+($K5*Admin!$C$9)+($L5*Admin!$C$10)+($N5*Admin!$C$7)+($O5*Admin!$C$11)+($P5*Admin!$C$12)+($Q5*Admin!$C$6)+($R5*Admin!$C$13)</f>
        <v>-2.88</v>
      </c>
    </row>
    <row r="6" spans="1:25" x14ac:dyDescent="0.25">
      <c r="A6" t="s">
        <v>368</v>
      </c>
      <c r="B6" t="s">
        <v>364</v>
      </c>
      <c r="C6" t="s">
        <v>26</v>
      </c>
      <c r="D6">
        <v>2</v>
      </c>
      <c r="E6">
        <v>26</v>
      </c>
      <c r="F6">
        <v>15</v>
      </c>
      <c r="G6">
        <v>184</v>
      </c>
      <c r="H6">
        <v>1</v>
      </c>
      <c r="I6">
        <v>1</v>
      </c>
      <c r="J6">
        <v>4</v>
      </c>
      <c r="K6">
        <v>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10.16</v>
      </c>
      <c r="T6">
        <v>0</v>
      </c>
      <c r="U6">
        <v>2</v>
      </c>
      <c r="W6">
        <v>0.57692307692307698</v>
      </c>
      <c r="X6">
        <v>3.8461538461538498E-2</v>
      </c>
      <c r="Y6">
        <f>($G6*Admin!$C$4)+($H6*Admin!$C$3)+($I6*Admin!$C$5)+($K6*Admin!$C$9)+($L6*Admin!$C$10)+($N6*Admin!$C$7)+($O6*Admin!$C$11)+($P6*Admin!$C$12)+($Q6*Admin!$C$6)+($R6*Admin!$C$13)</f>
        <v>10.16</v>
      </c>
    </row>
    <row r="7" spans="1:25" x14ac:dyDescent="0.25">
      <c r="A7" t="s">
        <v>369</v>
      </c>
      <c r="B7" t="s">
        <v>364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14</v>
      </c>
      <c r="K7">
        <v>64</v>
      </c>
      <c r="L7">
        <v>0</v>
      </c>
      <c r="M7">
        <v>1</v>
      </c>
      <c r="N7">
        <v>1</v>
      </c>
      <c r="O7">
        <v>33</v>
      </c>
      <c r="P7">
        <v>0</v>
      </c>
      <c r="Q7">
        <v>0</v>
      </c>
      <c r="R7">
        <v>0</v>
      </c>
      <c r="S7">
        <v>10.7</v>
      </c>
      <c r="T7">
        <v>2.1881838074398201E-3</v>
      </c>
      <c r="U7">
        <v>4.5714285714285703</v>
      </c>
      <c r="V7">
        <v>33</v>
      </c>
      <c r="Y7">
        <f>($G7*Admin!$C$4)+($H7*Admin!$C$3)+($I7*Admin!$C$5)+($K7*Admin!$C$9)+($L7*Admin!$C$10)+($N7*Admin!$C$7)+($O7*Admin!$C$11)+($P7*Admin!$C$12)+($Q7*Admin!$C$6)+($R7*Admin!$C$13)</f>
        <v>10.700000000000001</v>
      </c>
    </row>
    <row r="8" spans="1:25" x14ac:dyDescent="0.25">
      <c r="A8" t="s">
        <v>370</v>
      </c>
      <c r="B8" t="s">
        <v>364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201</v>
      </c>
      <c r="K8">
        <v>801</v>
      </c>
      <c r="L8">
        <v>5</v>
      </c>
      <c r="M8">
        <v>40</v>
      </c>
      <c r="N8">
        <v>34</v>
      </c>
      <c r="O8">
        <v>316</v>
      </c>
      <c r="P8">
        <v>1</v>
      </c>
      <c r="Q8">
        <v>1</v>
      </c>
      <c r="R8">
        <v>0</v>
      </c>
      <c r="S8">
        <v>177.7</v>
      </c>
      <c r="T8">
        <v>8.7527352297592995E-2</v>
      </c>
      <c r="U8">
        <v>3.98507462686567</v>
      </c>
      <c r="V8">
        <v>9.2941176470588207</v>
      </c>
      <c r="Y8">
        <f>($G8*Admin!$C$4)+($H8*Admin!$C$3)+($I8*Admin!$C$5)+($K8*Admin!$C$9)+($L8*Admin!$C$10)+($N8*Admin!$C$7)+($O8*Admin!$C$11)+($P8*Admin!$C$12)+($Q8*Admin!$C$6)+($R8*Admin!$C$13)</f>
        <v>179.70000000000002</v>
      </c>
    </row>
    <row r="9" spans="1:25" x14ac:dyDescent="0.25">
      <c r="A9" t="s">
        <v>371</v>
      </c>
      <c r="B9" t="s">
        <v>364</v>
      </c>
      <c r="C9" t="s">
        <v>31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129</v>
      </c>
      <c r="K9">
        <v>731</v>
      </c>
      <c r="L9">
        <v>4</v>
      </c>
      <c r="M9">
        <v>12</v>
      </c>
      <c r="N9">
        <v>9</v>
      </c>
      <c r="O9">
        <v>57</v>
      </c>
      <c r="P9">
        <v>1</v>
      </c>
      <c r="Q9">
        <v>0</v>
      </c>
      <c r="R9">
        <v>0</v>
      </c>
      <c r="S9">
        <v>117.8</v>
      </c>
      <c r="T9">
        <v>2.6258205689277898E-2</v>
      </c>
      <c r="U9">
        <v>5.6666666666666696</v>
      </c>
      <c r="V9">
        <v>6.3333333333333304</v>
      </c>
      <c r="Y9">
        <f>($G9*Admin!$C$4)+($H9*Admin!$C$3)+($I9*Admin!$C$5)+($K9*Admin!$C$9)+($L9*Admin!$C$10)+($N9*Admin!$C$7)+($O9*Admin!$C$11)+($P9*Admin!$C$12)+($Q9*Admin!$C$6)+($R9*Admin!$C$13)</f>
        <v>117.80000000000001</v>
      </c>
    </row>
    <row r="10" spans="1:25" x14ac:dyDescent="0.25">
      <c r="A10" t="s">
        <v>372</v>
      </c>
      <c r="B10" t="s">
        <v>364</v>
      </c>
      <c r="C10" t="s">
        <v>31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24</v>
      </c>
      <c r="K10">
        <v>54</v>
      </c>
      <c r="L10">
        <v>0</v>
      </c>
      <c r="M10">
        <v>7</v>
      </c>
      <c r="N10">
        <v>1</v>
      </c>
      <c r="O10">
        <v>6</v>
      </c>
      <c r="P10">
        <v>0</v>
      </c>
      <c r="Q10">
        <v>0</v>
      </c>
      <c r="R10">
        <v>0</v>
      </c>
      <c r="S10">
        <v>7</v>
      </c>
      <c r="T10">
        <v>1.53172866520788E-2</v>
      </c>
      <c r="U10">
        <v>2.25</v>
      </c>
      <c r="V10">
        <v>6</v>
      </c>
      <c r="Y10">
        <f>($G10*Admin!$C$4)+($H10*Admin!$C$3)+($I10*Admin!$C$5)+($K10*Admin!$C$9)+($L10*Admin!$C$10)+($N10*Admin!$C$7)+($O10*Admin!$C$11)+($P10*Admin!$C$12)+($Q10*Admin!$C$6)+($R10*Admin!$C$13)</f>
        <v>7</v>
      </c>
    </row>
    <row r="11" spans="1:25" x14ac:dyDescent="0.25">
      <c r="A11" t="s">
        <v>373</v>
      </c>
      <c r="B11" t="s">
        <v>364</v>
      </c>
      <c r="C11" t="s">
        <v>38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9</v>
      </c>
      <c r="L11">
        <v>0</v>
      </c>
      <c r="M11">
        <v>69</v>
      </c>
      <c r="N11">
        <v>50</v>
      </c>
      <c r="O11">
        <v>544</v>
      </c>
      <c r="P11">
        <v>7</v>
      </c>
      <c r="Q11">
        <v>0</v>
      </c>
      <c r="R11">
        <v>0</v>
      </c>
      <c r="S11">
        <v>147.30000000000001</v>
      </c>
      <c r="T11">
        <v>0.150984682713348</v>
      </c>
      <c r="U11">
        <v>4.5</v>
      </c>
      <c r="V11">
        <v>10.88</v>
      </c>
      <c r="Y11">
        <f>($G11*Admin!$C$4)+($H11*Admin!$C$3)+($I11*Admin!$C$5)+($K11*Admin!$C$9)+($L11*Admin!$C$10)+($N11*Admin!$C$7)+($O11*Admin!$C$11)+($P11*Admin!$C$12)+($Q11*Admin!$C$6)+($R11*Admin!$C$13)</f>
        <v>147.30000000000001</v>
      </c>
    </row>
    <row r="12" spans="1:25" x14ac:dyDescent="0.25">
      <c r="A12" t="s">
        <v>374</v>
      </c>
      <c r="B12" t="s">
        <v>364</v>
      </c>
      <c r="C12" t="s">
        <v>38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2.1881838074398201E-3</v>
      </c>
      <c r="Y12">
        <f>($G12*Admin!$C$4)+($H12*Admin!$C$3)+($I12*Admin!$C$5)+($K12*Admin!$C$9)+($L12*Admin!$C$10)+($N12*Admin!$C$7)+($O12*Admin!$C$11)+($P12*Admin!$C$12)+($Q12*Admin!$C$6)+($R12*Admin!$C$13)</f>
        <v>0</v>
      </c>
    </row>
    <row r="13" spans="1:25" x14ac:dyDescent="0.25">
      <c r="A13" t="s">
        <v>375</v>
      </c>
      <c r="B13" t="s">
        <v>364</v>
      </c>
      <c r="C13" t="s">
        <v>38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26</v>
      </c>
      <c r="P13">
        <v>0</v>
      </c>
      <c r="Q13">
        <v>0</v>
      </c>
      <c r="R13">
        <v>0</v>
      </c>
      <c r="S13">
        <v>6.6</v>
      </c>
      <c r="T13">
        <v>1.7505470459518599E-2</v>
      </c>
      <c r="V13">
        <v>6.5</v>
      </c>
      <c r="Y13">
        <f>($G13*Admin!$C$4)+($H13*Admin!$C$3)+($I13*Admin!$C$5)+($K13*Admin!$C$9)+($L13*Admin!$C$10)+($N13*Admin!$C$7)+($O13*Admin!$C$11)+($P13*Admin!$C$12)+($Q13*Admin!$C$6)+($R13*Admin!$C$13)</f>
        <v>6.6</v>
      </c>
    </row>
    <row r="14" spans="1:25" x14ac:dyDescent="0.25">
      <c r="A14" t="s">
        <v>376</v>
      </c>
      <c r="B14" t="s">
        <v>364</v>
      </c>
      <c r="C14" t="s">
        <v>38</v>
      </c>
      <c r="D14">
        <v>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</v>
      </c>
      <c r="N14">
        <v>2</v>
      </c>
      <c r="O14">
        <v>26</v>
      </c>
      <c r="P14">
        <v>0</v>
      </c>
      <c r="Q14">
        <v>0</v>
      </c>
      <c r="R14">
        <v>0</v>
      </c>
      <c r="S14">
        <v>6.6</v>
      </c>
      <c r="T14">
        <v>8.7527352297592995E-3</v>
      </c>
      <c r="V14">
        <v>13</v>
      </c>
      <c r="Y14">
        <f>($G14*Admin!$C$4)+($H14*Admin!$C$3)+($I14*Admin!$C$5)+($K14*Admin!$C$9)+($L14*Admin!$C$10)+($N14*Admin!$C$7)+($O14*Admin!$C$11)+($P14*Admin!$C$12)+($Q14*Admin!$C$6)+($R14*Admin!$C$13)</f>
        <v>4.5999999999999996</v>
      </c>
    </row>
    <row r="15" spans="1:25" x14ac:dyDescent="0.25">
      <c r="A15" t="s">
        <v>377</v>
      </c>
      <c r="B15" t="s">
        <v>364</v>
      </c>
      <c r="C15" t="s">
        <v>43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16</v>
      </c>
      <c r="N15">
        <v>10</v>
      </c>
      <c r="O15">
        <v>135</v>
      </c>
      <c r="P15">
        <v>2</v>
      </c>
      <c r="Q15">
        <v>0</v>
      </c>
      <c r="R15">
        <v>0</v>
      </c>
      <c r="S15">
        <v>35.5</v>
      </c>
      <c r="T15">
        <v>3.5010940919037198E-2</v>
      </c>
      <c r="V15">
        <v>13.5</v>
      </c>
      <c r="Y15">
        <f>($G15*Admin!$C$4)+($H15*Admin!$C$3)+($I15*Admin!$C$5)+($K15*Admin!$C$9)+($L15*Admin!$C$10)+($N15*Admin!$C$7)+($O15*Admin!$C$11)+($P15*Admin!$C$12)+($Q15*Admin!$C$6)+($R15*Admin!$C$13)</f>
        <v>35.5</v>
      </c>
    </row>
    <row r="16" spans="1:25" x14ac:dyDescent="0.25">
      <c r="A16" t="s">
        <v>378</v>
      </c>
      <c r="B16" t="s">
        <v>364</v>
      </c>
      <c r="C16" t="s">
        <v>43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</v>
      </c>
      <c r="L16">
        <v>0</v>
      </c>
      <c r="M16">
        <v>29</v>
      </c>
      <c r="N16">
        <v>14</v>
      </c>
      <c r="O16">
        <v>140</v>
      </c>
      <c r="P16">
        <v>0</v>
      </c>
      <c r="Q16">
        <v>0</v>
      </c>
      <c r="R16">
        <v>0</v>
      </c>
      <c r="S16">
        <v>26.4</v>
      </c>
      <c r="T16">
        <v>6.3457330415754895E-2</v>
      </c>
      <c r="U16">
        <v>4</v>
      </c>
      <c r="V16">
        <v>10</v>
      </c>
      <c r="Y16">
        <f>($G16*Admin!$C$4)+($H16*Admin!$C$3)+($I16*Admin!$C$5)+($K16*Admin!$C$9)+($L16*Admin!$C$10)+($N16*Admin!$C$7)+($O16*Admin!$C$11)+($P16*Admin!$C$12)+($Q16*Admin!$C$6)+($R16*Admin!$C$13)</f>
        <v>28.4</v>
      </c>
    </row>
    <row r="17" spans="1:25" x14ac:dyDescent="0.25">
      <c r="A17" t="s">
        <v>379</v>
      </c>
      <c r="B17" t="s">
        <v>364</v>
      </c>
      <c r="C17" t="s">
        <v>43</v>
      </c>
      <c r="D17">
        <v>11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61</v>
      </c>
      <c r="N17">
        <v>40</v>
      </c>
      <c r="O17">
        <v>493</v>
      </c>
      <c r="P17">
        <v>2</v>
      </c>
      <c r="Q17">
        <v>0</v>
      </c>
      <c r="R17">
        <v>0</v>
      </c>
      <c r="S17">
        <v>101.5</v>
      </c>
      <c r="T17">
        <v>0.133479212253829</v>
      </c>
      <c r="U17">
        <v>2</v>
      </c>
      <c r="V17">
        <v>12.324999999999999</v>
      </c>
      <c r="Y17">
        <f>($G17*Admin!$C$4)+($H17*Admin!$C$3)+($I17*Admin!$C$5)+($K17*Admin!$C$9)+($L17*Admin!$C$10)+($N17*Admin!$C$7)+($O17*Admin!$C$11)+($P17*Admin!$C$12)+($Q17*Admin!$C$6)+($R17*Admin!$C$13)</f>
        <v>101.5</v>
      </c>
    </row>
    <row r="18" spans="1:25" x14ac:dyDescent="0.25">
      <c r="A18" t="s">
        <v>380</v>
      </c>
      <c r="B18" t="s">
        <v>364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37</v>
      </c>
      <c r="L18">
        <v>0</v>
      </c>
      <c r="M18">
        <v>41</v>
      </c>
      <c r="N18">
        <v>19</v>
      </c>
      <c r="O18">
        <v>245</v>
      </c>
      <c r="P18">
        <v>3</v>
      </c>
      <c r="Q18">
        <v>0</v>
      </c>
      <c r="R18">
        <v>0</v>
      </c>
      <c r="S18">
        <v>65.2</v>
      </c>
      <c r="T18">
        <v>8.97155361050328E-2</v>
      </c>
      <c r="U18">
        <v>18.5</v>
      </c>
      <c r="V18">
        <v>12.894736842105299</v>
      </c>
      <c r="Y18">
        <f>($G18*Admin!$C$4)+($H18*Admin!$C$3)+($I18*Admin!$C$5)+($K18*Admin!$C$9)+($L18*Admin!$C$10)+($N18*Admin!$C$7)+($O18*Admin!$C$11)+($P18*Admin!$C$12)+($Q18*Admin!$C$6)+($R18*Admin!$C$13)</f>
        <v>65.2</v>
      </c>
    </row>
    <row r="19" spans="1:25" x14ac:dyDescent="0.25">
      <c r="A19" t="s">
        <v>381</v>
      </c>
      <c r="B19" t="s">
        <v>364</v>
      </c>
      <c r="C19" t="s">
        <v>43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6</v>
      </c>
      <c r="K19">
        <v>54</v>
      </c>
      <c r="L19">
        <v>0</v>
      </c>
      <c r="M19">
        <v>39</v>
      </c>
      <c r="N19">
        <v>22</v>
      </c>
      <c r="O19">
        <v>325</v>
      </c>
      <c r="P19">
        <v>1</v>
      </c>
      <c r="Q19">
        <v>0</v>
      </c>
      <c r="R19">
        <v>0</v>
      </c>
      <c r="S19">
        <v>63.9</v>
      </c>
      <c r="T19">
        <v>8.5339168490153203E-2</v>
      </c>
      <c r="U19">
        <v>9</v>
      </c>
      <c r="V19">
        <v>14.7727272727273</v>
      </c>
      <c r="Y19">
        <f>($G19*Admin!$C$4)+($H19*Admin!$C$3)+($I19*Admin!$C$5)+($K19*Admin!$C$9)+($L19*Admin!$C$10)+($N19*Admin!$C$7)+($O19*Admin!$C$11)+($P19*Admin!$C$12)+($Q19*Admin!$C$6)+($R19*Admin!$C$13)</f>
        <v>65.900000000000006</v>
      </c>
    </row>
    <row r="20" spans="1:25" x14ac:dyDescent="0.25">
      <c r="A20" t="s">
        <v>382</v>
      </c>
      <c r="B20" t="s">
        <v>364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-1</v>
      </c>
      <c r="L20">
        <v>0</v>
      </c>
      <c r="M20">
        <v>4</v>
      </c>
      <c r="N20">
        <v>1</v>
      </c>
      <c r="O20">
        <v>15</v>
      </c>
      <c r="P20">
        <v>0</v>
      </c>
      <c r="Q20">
        <v>0</v>
      </c>
      <c r="R20">
        <v>0</v>
      </c>
      <c r="S20">
        <v>0.4</v>
      </c>
      <c r="T20">
        <v>8.7527352297592995E-3</v>
      </c>
      <c r="U20">
        <v>-1</v>
      </c>
      <c r="V20">
        <v>15</v>
      </c>
      <c r="Y20">
        <f>($G20*Admin!$C$4)+($H20*Admin!$C$3)+($I20*Admin!$C$5)+($K20*Admin!$C$9)+($L20*Admin!$C$10)+($N20*Admin!$C$7)+($O20*Admin!$C$11)+($P20*Admin!$C$12)+($Q20*Admin!$C$6)+($R20*Admin!$C$13)</f>
        <v>2.4</v>
      </c>
    </row>
    <row r="21" spans="1:25" x14ac:dyDescent="0.25">
      <c r="A21" t="s">
        <v>383</v>
      </c>
      <c r="B21" t="s">
        <v>364</v>
      </c>
      <c r="C21" t="s">
        <v>43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</v>
      </c>
      <c r="N21">
        <v>7</v>
      </c>
      <c r="O21">
        <v>116</v>
      </c>
      <c r="P21">
        <v>1</v>
      </c>
      <c r="Q21">
        <v>0</v>
      </c>
      <c r="R21">
        <v>0</v>
      </c>
      <c r="S21">
        <v>24.6</v>
      </c>
      <c r="T21">
        <v>1.9693654266958401E-2</v>
      </c>
      <c r="V21">
        <v>16.571428571428601</v>
      </c>
      <c r="Y21">
        <f>($G21*Admin!$C$4)+($H21*Admin!$C$3)+($I21*Admin!$C$5)+($K21*Admin!$C$9)+($L21*Admin!$C$10)+($N21*Admin!$C$7)+($O21*Admin!$C$11)+($P21*Admin!$C$12)+($Q21*Admin!$C$6)+($R21*Admin!$C$13)</f>
        <v>24.6</v>
      </c>
    </row>
    <row r="22" spans="1:25" x14ac:dyDescent="0.25">
      <c r="A22" t="s">
        <v>384</v>
      </c>
      <c r="B22" t="s">
        <v>364</v>
      </c>
      <c r="C22" t="s">
        <v>43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2</v>
      </c>
      <c r="O22">
        <v>14</v>
      </c>
      <c r="P22">
        <v>0</v>
      </c>
      <c r="Q22">
        <v>0</v>
      </c>
      <c r="R22">
        <v>0</v>
      </c>
      <c r="S22">
        <v>3.4</v>
      </c>
      <c r="T22">
        <v>6.5645514223194703E-3</v>
      </c>
      <c r="V22">
        <v>7</v>
      </c>
      <c r="Y22">
        <f>($G22*Admin!$C$4)+($H22*Admin!$C$3)+($I22*Admin!$C$5)+($K22*Admin!$C$9)+($L22*Admin!$C$10)+($N22*Admin!$C$7)+($O22*Admin!$C$11)+($P22*Admin!$C$12)+($Q22*Admin!$C$6)+($R22*Admin!$C$13)</f>
        <v>3.4000000000000004</v>
      </c>
    </row>
    <row r="23" spans="1:25" x14ac:dyDescent="0.25">
      <c r="A23" t="s">
        <v>385</v>
      </c>
      <c r="B23" t="s">
        <v>364</v>
      </c>
      <c r="C23" t="s">
        <v>43</v>
      </c>
      <c r="D23">
        <v>9</v>
      </c>
      <c r="E23">
        <v>0</v>
      </c>
      <c r="F23">
        <v>0</v>
      </c>
      <c r="G23">
        <v>0</v>
      </c>
      <c r="H23">
        <v>0</v>
      </c>
      <c r="I23">
        <v>0</v>
      </c>
      <c r="J23">
        <v>9</v>
      </c>
      <c r="K23">
        <v>103</v>
      </c>
      <c r="L23">
        <v>1</v>
      </c>
      <c r="M23">
        <v>14</v>
      </c>
      <c r="N23">
        <v>7</v>
      </c>
      <c r="O23">
        <v>107</v>
      </c>
      <c r="P23">
        <v>1</v>
      </c>
      <c r="Q23">
        <v>1</v>
      </c>
      <c r="R23">
        <v>0</v>
      </c>
      <c r="S23">
        <v>38</v>
      </c>
      <c r="T23">
        <v>3.06345733041575E-2</v>
      </c>
      <c r="U23">
        <v>11.4444444444444</v>
      </c>
      <c r="V23">
        <v>15.285714285714301</v>
      </c>
      <c r="Y23">
        <f>($G23*Admin!$C$4)+($H23*Admin!$C$3)+($I23*Admin!$C$5)+($K23*Admin!$C$9)+($L23*Admin!$C$10)+($N23*Admin!$C$7)+($O23*Admin!$C$11)+($P23*Admin!$C$12)+($Q23*Admin!$C$6)+($R23*Admin!$C$13)</f>
        <v>38</v>
      </c>
    </row>
    <row r="30" spans="1:25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5">
      <c r="A31" t="s">
        <v>364</v>
      </c>
      <c r="B31">
        <v>5612</v>
      </c>
      <c r="C31">
        <v>2598</v>
      </c>
      <c r="D31">
        <v>558</v>
      </c>
      <c r="E31">
        <v>3014</v>
      </c>
      <c r="F31">
        <v>18</v>
      </c>
      <c r="G31">
        <v>1144.1199999999999</v>
      </c>
      <c r="H31">
        <v>377</v>
      </c>
      <c r="I31">
        <v>0.59151193633952304</v>
      </c>
      <c r="J31">
        <v>19</v>
      </c>
      <c r="K31">
        <v>15</v>
      </c>
      <c r="L31">
        <v>4</v>
      </c>
    </row>
    <row r="32" spans="1:25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CHI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386</v>
      </c>
      <c r="B36" t="s">
        <v>26</v>
      </c>
      <c r="C36">
        <v>23</v>
      </c>
      <c r="D36">
        <v>0</v>
      </c>
      <c r="E36" t="s">
        <v>387</v>
      </c>
      <c r="F36" t="s">
        <v>364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388</v>
      </c>
      <c r="B37" t="s">
        <v>26</v>
      </c>
      <c r="C37">
        <v>24</v>
      </c>
      <c r="D37">
        <v>3</v>
      </c>
      <c r="E37" t="s">
        <v>213</v>
      </c>
      <c r="F37" t="s">
        <v>364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389</v>
      </c>
      <c r="B38" t="s">
        <v>26</v>
      </c>
      <c r="C38">
        <v>29</v>
      </c>
      <c r="D38">
        <v>7</v>
      </c>
      <c r="E38" t="s">
        <v>74</v>
      </c>
      <c r="F38" t="s">
        <v>364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390</v>
      </c>
      <c r="B39" t="s">
        <v>26</v>
      </c>
      <c r="C39">
        <v>28</v>
      </c>
      <c r="D39">
        <v>4</v>
      </c>
      <c r="E39" t="s">
        <v>391</v>
      </c>
      <c r="F39" t="s">
        <v>364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392</v>
      </c>
      <c r="B46" t="s">
        <v>31</v>
      </c>
      <c r="C46">
        <v>24</v>
      </c>
      <c r="D46">
        <v>2</v>
      </c>
      <c r="E46" t="s">
        <v>393</v>
      </c>
      <c r="F46" t="s">
        <v>364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394</v>
      </c>
      <c r="B47" t="s">
        <v>31</v>
      </c>
      <c r="C47">
        <v>27</v>
      </c>
      <c r="D47">
        <v>6</v>
      </c>
      <c r="E47" t="s">
        <v>66</v>
      </c>
      <c r="F47" t="s">
        <v>364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395</v>
      </c>
      <c r="B48" t="s">
        <v>31</v>
      </c>
      <c r="C48">
        <v>25</v>
      </c>
      <c r="D48">
        <v>3</v>
      </c>
      <c r="E48" t="s">
        <v>333</v>
      </c>
      <c r="F48" t="s">
        <v>364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396</v>
      </c>
      <c r="B49" t="s">
        <v>31</v>
      </c>
      <c r="C49">
        <v>25</v>
      </c>
      <c r="D49">
        <v>5</v>
      </c>
      <c r="E49" t="s">
        <v>397</v>
      </c>
      <c r="F49" t="s">
        <v>364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398</v>
      </c>
      <c r="B50" t="s">
        <v>31</v>
      </c>
      <c r="C50">
        <v>22</v>
      </c>
      <c r="D50">
        <v>0</v>
      </c>
      <c r="E50" t="s">
        <v>66</v>
      </c>
      <c r="F50" t="s">
        <v>364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399</v>
      </c>
      <c r="B61" t="s">
        <v>43</v>
      </c>
      <c r="C61">
        <v>25</v>
      </c>
      <c r="D61">
        <v>4</v>
      </c>
      <c r="E61" t="s">
        <v>362</v>
      </c>
      <c r="F61" t="s">
        <v>364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400</v>
      </c>
      <c r="B62" t="s">
        <v>43</v>
      </c>
      <c r="C62">
        <v>27</v>
      </c>
      <c r="D62">
        <v>5</v>
      </c>
      <c r="E62" t="s">
        <v>333</v>
      </c>
      <c r="F62" t="s">
        <v>364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401</v>
      </c>
      <c r="B63" t="s">
        <v>43</v>
      </c>
      <c r="C63">
        <v>27</v>
      </c>
      <c r="D63">
        <v>4</v>
      </c>
      <c r="E63" t="s">
        <v>402</v>
      </c>
      <c r="F63" t="s">
        <v>364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403</v>
      </c>
      <c r="B64" t="s">
        <v>43</v>
      </c>
      <c r="C64">
        <v>26</v>
      </c>
      <c r="D64">
        <v>2</v>
      </c>
      <c r="E64" t="s">
        <v>143</v>
      </c>
      <c r="F64" t="s">
        <v>364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404</v>
      </c>
      <c r="B65" t="s">
        <v>43</v>
      </c>
      <c r="C65">
        <v>25</v>
      </c>
      <c r="D65">
        <v>4</v>
      </c>
      <c r="E65" t="s">
        <v>405</v>
      </c>
      <c r="F65" t="s">
        <v>364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406</v>
      </c>
      <c r="B66" t="s">
        <v>43</v>
      </c>
      <c r="C66">
        <v>26</v>
      </c>
      <c r="D66">
        <v>6</v>
      </c>
      <c r="E66" t="s">
        <v>232</v>
      </c>
      <c r="F66" t="s">
        <v>364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407</v>
      </c>
      <c r="B67" t="s">
        <v>43</v>
      </c>
      <c r="C67">
        <v>27</v>
      </c>
      <c r="D67">
        <v>6</v>
      </c>
      <c r="E67" t="s">
        <v>86</v>
      </c>
      <c r="F67" t="s">
        <v>364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408</v>
      </c>
      <c r="B68" t="s">
        <v>43</v>
      </c>
      <c r="C68">
        <v>25</v>
      </c>
      <c r="D68">
        <v>2</v>
      </c>
      <c r="E68" t="s">
        <v>409</v>
      </c>
      <c r="F68" t="s">
        <v>364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410</v>
      </c>
      <c r="B69" t="s">
        <v>43</v>
      </c>
      <c r="C69">
        <v>21</v>
      </c>
      <c r="D69">
        <v>0</v>
      </c>
      <c r="E69" t="s">
        <v>136</v>
      </c>
      <c r="F69" t="s">
        <v>364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411</v>
      </c>
      <c r="B70" t="s">
        <v>43</v>
      </c>
      <c r="C70">
        <v>26</v>
      </c>
      <c r="D70">
        <v>6</v>
      </c>
      <c r="E70" t="s">
        <v>362</v>
      </c>
      <c r="F70" t="s">
        <v>364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412</v>
      </c>
      <c r="B71" t="s">
        <v>43</v>
      </c>
      <c r="C71">
        <v>27</v>
      </c>
      <c r="D71">
        <v>4</v>
      </c>
      <c r="E71" t="s">
        <v>413</v>
      </c>
      <c r="F71" t="s">
        <v>364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414</v>
      </c>
      <c r="B76" t="s">
        <v>38</v>
      </c>
      <c r="C76">
        <v>26</v>
      </c>
      <c r="D76">
        <v>4</v>
      </c>
      <c r="E76" t="s">
        <v>415</v>
      </c>
      <c r="F76" t="s">
        <v>364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416</v>
      </c>
      <c r="B77" t="s">
        <v>38</v>
      </c>
      <c r="C77">
        <v>24</v>
      </c>
      <c r="D77">
        <v>4</v>
      </c>
      <c r="E77" t="s">
        <v>362</v>
      </c>
      <c r="F77" t="s">
        <v>364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417</v>
      </c>
      <c r="B78" t="s">
        <v>38</v>
      </c>
      <c r="C78">
        <v>39</v>
      </c>
      <c r="D78">
        <v>18</v>
      </c>
      <c r="E78" t="s">
        <v>418</v>
      </c>
      <c r="F78" t="s">
        <v>364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419</v>
      </c>
      <c r="B79" t="s">
        <v>38</v>
      </c>
      <c r="C79">
        <v>25</v>
      </c>
      <c r="D79">
        <v>4</v>
      </c>
      <c r="E79" t="s">
        <v>300</v>
      </c>
      <c r="F79" t="s">
        <v>364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420</v>
      </c>
      <c r="B80" t="s">
        <v>38</v>
      </c>
      <c r="D80">
        <v>0</v>
      </c>
      <c r="E80" t="s">
        <v>421</v>
      </c>
      <c r="F80" t="s">
        <v>364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422</v>
      </c>
      <c r="B81" t="s">
        <v>38</v>
      </c>
      <c r="C81">
        <v>29</v>
      </c>
      <c r="D81">
        <v>6</v>
      </c>
      <c r="E81" t="s">
        <v>423</v>
      </c>
      <c r="F81" t="s">
        <v>364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topLeftCell="G22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424</v>
      </c>
      <c r="B2" t="s">
        <v>425</v>
      </c>
      <c r="C2" t="s">
        <v>26</v>
      </c>
      <c r="D2">
        <v>1</v>
      </c>
      <c r="E2">
        <v>3</v>
      </c>
      <c r="F2">
        <v>3</v>
      </c>
      <c r="G2">
        <v>22</v>
      </c>
      <c r="H2">
        <v>0</v>
      </c>
      <c r="I2">
        <v>0</v>
      </c>
      <c r="J2">
        <v>3</v>
      </c>
      <c r="K2">
        <v>-1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0.78</v>
      </c>
      <c r="T2">
        <v>0</v>
      </c>
      <c r="U2">
        <v>-0.33333333333333298</v>
      </c>
      <c r="W2">
        <v>1</v>
      </c>
      <c r="X2">
        <v>0</v>
      </c>
    </row>
    <row r="3" spans="1:24" x14ac:dyDescent="0.25">
      <c r="A3" t="s">
        <v>426</v>
      </c>
      <c r="B3" t="s">
        <v>425</v>
      </c>
      <c r="C3" t="s">
        <v>26</v>
      </c>
      <c r="D3">
        <v>16</v>
      </c>
      <c r="E3">
        <v>606</v>
      </c>
      <c r="F3">
        <v>414</v>
      </c>
      <c r="G3">
        <v>4475</v>
      </c>
      <c r="H3">
        <v>35</v>
      </c>
      <c r="I3">
        <v>12</v>
      </c>
      <c r="J3">
        <v>75</v>
      </c>
      <c r="K3">
        <v>257</v>
      </c>
      <c r="L3">
        <v>5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350.7</v>
      </c>
      <c r="T3">
        <v>0</v>
      </c>
      <c r="U3">
        <v>3.4266666666666699</v>
      </c>
      <c r="W3">
        <v>0.683168316831683</v>
      </c>
      <c r="X3">
        <v>5.7755775577557802E-2</v>
      </c>
    </row>
    <row r="4" spans="1:24" x14ac:dyDescent="0.25">
      <c r="A4" t="s">
        <v>427</v>
      </c>
      <c r="B4" t="s">
        <v>425</v>
      </c>
      <c r="C4" t="s">
        <v>31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3</v>
      </c>
      <c r="O4">
        <v>38</v>
      </c>
      <c r="P4">
        <v>1</v>
      </c>
      <c r="Q4">
        <v>0</v>
      </c>
      <c r="R4">
        <v>0</v>
      </c>
      <c r="S4">
        <v>12.8</v>
      </c>
      <c r="T4">
        <v>1.0610079575596801E-2</v>
      </c>
      <c r="V4">
        <v>12.6666666666667</v>
      </c>
    </row>
    <row r="5" spans="1:24" x14ac:dyDescent="0.25">
      <c r="A5" t="s">
        <v>428</v>
      </c>
      <c r="B5" t="s">
        <v>425</v>
      </c>
      <c r="C5" t="s">
        <v>31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210</v>
      </c>
      <c r="K5">
        <v>814</v>
      </c>
      <c r="L5">
        <v>7</v>
      </c>
      <c r="M5">
        <v>75</v>
      </c>
      <c r="N5">
        <v>60</v>
      </c>
      <c r="O5">
        <v>441</v>
      </c>
      <c r="P5">
        <v>2</v>
      </c>
      <c r="Q5">
        <v>0</v>
      </c>
      <c r="R5">
        <v>0</v>
      </c>
      <c r="S5">
        <v>239.5</v>
      </c>
      <c r="T5">
        <v>0.19893899204244</v>
      </c>
      <c r="U5">
        <v>3.8761904761904802</v>
      </c>
      <c r="V5">
        <v>7.35</v>
      </c>
    </row>
    <row r="6" spans="1:24" x14ac:dyDescent="0.25">
      <c r="A6" t="s">
        <v>429</v>
      </c>
      <c r="B6" t="s">
        <v>425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394</v>
      </c>
      <c r="L6">
        <v>2</v>
      </c>
      <c r="M6">
        <v>51</v>
      </c>
      <c r="N6">
        <v>38</v>
      </c>
      <c r="O6">
        <v>287</v>
      </c>
      <c r="P6">
        <v>4</v>
      </c>
      <c r="Q6">
        <v>0</v>
      </c>
      <c r="R6">
        <v>0</v>
      </c>
      <c r="S6">
        <v>142.1</v>
      </c>
      <c r="T6">
        <v>0.13527851458885901</v>
      </c>
      <c r="U6">
        <v>4.1473684210526303</v>
      </c>
      <c r="V6">
        <v>7.5526315789473699</v>
      </c>
    </row>
    <row r="7" spans="1:24" x14ac:dyDescent="0.25">
      <c r="A7" t="s">
        <v>36</v>
      </c>
      <c r="B7" t="s">
        <v>425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6</v>
      </c>
      <c r="K7">
        <v>30</v>
      </c>
      <c r="L7">
        <v>0</v>
      </c>
      <c r="M7">
        <v>3</v>
      </c>
      <c r="N7">
        <v>2</v>
      </c>
      <c r="O7">
        <v>30</v>
      </c>
      <c r="P7">
        <v>0</v>
      </c>
      <c r="Q7">
        <v>0</v>
      </c>
      <c r="R7">
        <v>0</v>
      </c>
      <c r="S7">
        <v>8</v>
      </c>
      <c r="T7">
        <v>7.9575596816976093E-3</v>
      </c>
      <c r="U7">
        <v>5</v>
      </c>
      <c r="V7">
        <v>15</v>
      </c>
    </row>
    <row r="8" spans="1:24" x14ac:dyDescent="0.25">
      <c r="A8" t="s">
        <v>430</v>
      </c>
      <c r="B8" t="s">
        <v>425</v>
      </c>
      <c r="C8" t="s">
        <v>38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2</v>
      </c>
      <c r="O8">
        <v>5</v>
      </c>
      <c r="P8">
        <v>0</v>
      </c>
      <c r="Q8">
        <v>0</v>
      </c>
      <c r="R8">
        <v>0</v>
      </c>
      <c r="S8">
        <v>2.5</v>
      </c>
      <c r="T8">
        <v>1.0610079575596801E-2</v>
      </c>
      <c r="V8">
        <v>2.5</v>
      </c>
    </row>
    <row r="9" spans="1:24" x14ac:dyDescent="0.25">
      <c r="A9" t="s">
        <v>431</v>
      </c>
      <c r="B9" t="s">
        <v>425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-2</v>
      </c>
      <c r="P9">
        <v>0</v>
      </c>
      <c r="Q9">
        <v>0</v>
      </c>
      <c r="R9">
        <v>0</v>
      </c>
      <c r="S9">
        <v>1.8</v>
      </c>
      <c r="T9">
        <v>5.3050397877984099E-3</v>
      </c>
      <c r="V9">
        <v>-1</v>
      </c>
    </row>
    <row r="10" spans="1:24" x14ac:dyDescent="0.25">
      <c r="A10" t="s">
        <v>432</v>
      </c>
      <c r="B10" t="s">
        <v>425</v>
      </c>
      <c r="C10" t="s">
        <v>38</v>
      </c>
      <c r="D10">
        <v>13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68</v>
      </c>
      <c r="N10">
        <v>52</v>
      </c>
      <c r="O10">
        <v>414</v>
      </c>
      <c r="P10">
        <v>2</v>
      </c>
      <c r="Q10">
        <v>0</v>
      </c>
      <c r="R10">
        <v>0</v>
      </c>
      <c r="S10">
        <v>105.4</v>
      </c>
      <c r="T10">
        <v>0.18037135278514599</v>
      </c>
      <c r="V10">
        <v>7.9615384615384599</v>
      </c>
    </row>
    <row r="11" spans="1:24" x14ac:dyDescent="0.25">
      <c r="A11" t="s">
        <v>433</v>
      </c>
      <c r="B11" t="s">
        <v>425</v>
      </c>
      <c r="C11" t="s">
        <v>38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18</v>
      </c>
      <c r="N11">
        <v>17</v>
      </c>
      <c r="O11">
        <v>139</v>
      </c>
      <c r="P11">
        <v>1</v>
      </c>
      <c r="Q11">
        <v>0</v>
      </c>
      <c r="R11">
        <v>0</v>
      </c>
      <c r="S11">
        <v>36.9</v>
      </c>
      <c r="T11">
        <v>4.7745358090185701E-2</v>
      </c>
      <c r="V11">
        <v>8.1764705882352899</v>
      </c>
    </row>
    <row r="12" spans="1:24" x14ac:dyDescent="0.25">
      <c r="A12" t="s">
        <v>434</v>
      </c>
      <c r="B12" t="s">
        <v>425</v>
      </c>
      <c r="C12" t="s">
        <v>43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5</v>
      </c>
      <c r="K12">
        <v>8</v>
      </c>
      <c r="L12">
        <v>0</v>
      </c>
      <c r="M12">
        <v>134</v>
      </c>
      <c r="N12">
        <v>87</v>
      </c>
      <c r="O12">
        <v>1046</v>
      </c>
      <c r="P12">
        <v>9</v>
      </c>
      <c r="Q12">
        <v>0</v>
      </c>
      <c r="R12">
        <v>0</v>
      </c>
      <c r="S12">
        <v>242.4</v>
      </c>
      <c r="T12">
        <v>0.35543766578249297</v>
      </c>
      <c r="U12">
        <v>1.6</v>
      </c>
      <c r="V12">
        <v>12.022988505747101</v>
      </c>
    </row>
    <row r="13" spans="1:24" x14ac:dyDescent="0.25">
      <c r="A13" t="s">
        <v>435</v>
      </c>
      <c r="B13" t="s">
        <v>425</v>
      </c>
      <c r="C13" t="s">
        <v>43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</v>
      </c>
      <c r="N13">
        <v>2</v>
      </c>
      <c r="O13">
        <v>38</v>
      </c>
      <c r="P13">
        <v>0</v>
      </c>
      <c r="Q13">
        <v>0</v>
      </c>
      <c r="R13">
        <v>0</v>
      </c>
      <c r="S13">
        <v>7.8</v>
      </c>
      <c r="T13">
        <v>2.6525198938991999E-2</v>
      </c>
      <c r="V13">
        <v>19</v>
      </c>
    </row>
    <row r="14" spans="1:24" x14ac:dyDescent="0.25">
      <c r="A14" t="s">
        <v>436</v>
      </c>
      <c r="B14" t="s">
        <v>425</v>
      </c>
      <c r="C14" t="s">
        <v>43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2.6525198938992002E-3</v>
      </c>
    </row>
    <row r="15" spans="1:24" x14ac:dyDescent="0.25">
      <c r="A15" t="s">
        <v>437</v>
      </c>
      <c r="B15" t="s">
        <v>425</v>
      </c>
      <c r="C15" t="s">
        <v>43</v>
      </c>
      <c r="D15">
        <v>16</v>
      </c>
      <c r="E15">
        <v>1</v>
      </c>
      <c r="F15">
        <v>1</v>
      </c>
      <c r="G15">
        <v>23</v>
      </c>
      <c r="H15">
        <v>0</v>
      </c>
      <c r="I15">
        <v>0</v>
      </c>
      <c r="J15">
        <v>0</v>
      </c>
      <c r="K15">
        <v>0</v>
      </c>
      <c r="L15">
        <v>0</v>
      </c>
      <c r="M15">
        <v>82</v>
      </c>
      <c r="N15">
        <v>58</v>
      </c>
      <c r="O15">
        <v>762</v>
      </c>
      <c r="P15">
        <v>5</v>
      </c>
      <c r="Q15">
        <v>0</v>
      </c>
      <c r="R15">
        <v>0</v>
      </c>
      <c r="S15">
        <v>167.12</v>
      </c>
      <c r="T15">
        <v>0.21750663129973499</v>
      </c>
      <c r="V15">
        <v>13.137931034482801</v>
      </c>
      <c r="W15">
        <v>1</v>
      </c>
      <c r="X15">
        <v>0</v>
      </c>
    </row>
    <row r="16" spans="1:24" x14ac:dyDescent="0.25">
      <c r="A16" t="s">
        <v>438</v>
      </c>
      <c r="B16" t="s">
        <v>425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109</v>
      </c>
      <c r="N16">
        <v>74</v>
      </c>
      <c r="O16">
        <v>1029</v>
      </c>
      <c r="P16">
        <v>7</v>
      </c>
      <c r="Q16">
        <v>0</v>
      </c>
      <c r="R16">
        <v>0</v>
      </c>
      <c r="S16">
        <v>220.9</v>
      </c>
      <c r="T16">
        <v>0.289124668435013</v>
      </c>
      <c r="V16">
        <v>13.9054054054054</v>
      </c>
    </row>
    <row r="17" spans="1:22" x14ac:dyDescent="0.25">
      <c r="A17" t="s">
        <v>439</v>
      </c>
      <c r="B17" t="s">
        <v>425</v>
      </c>
      <c r="C17" t="s">
        <v>43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23</v>
      </c>
      <c r="N17">
        <v>15</v>
      </c>
      <c r="O17">
        <v>231</v>
      </c>
      <c r="P17">
        <v>4</v>
      </c>
      <c r="Q17">
        <v>0</v>
      </c>
      <c r="R17">
        <v>0</v>
      </c>
      <c r="S17">
        <v>63.2</v>
      </c>
      <c r="T17">
        <v>6.1007957559681698E-2</v>
      </c>
      <c r="U17">
        <v>11</v>
      </c>
      <c r="V17">
        <v>15.4</v>
      </c>
    </row>
    <row r="18" spans="1:22" x14ac:dyDescent="0.25">
      <c r="A18" t="s">
        <v>440</v>
      </c>
      <c r="B18" t="s">
        <v>425</v>
      </c>
      <c r="C18" t="s">
        <v>43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4</v>
      </c>
      <c r="K18">
        <v>15</v>
      </c>
      <c r="L18">
        <v>0</v>
      </c>
      <c r="M18">
        <v>10</v>
      </c>
      <c r="N18">
        <v>6</v>
      </c>
      <c r="O18">
        <v>62</v>
      </c>
      <c r="P18">
        <v>0</v>
      </c>
      <c r="Q18">
        <v>0</v>
      </c>
      <c r="R18">
        <v>0</v>
      </c>
      <c r="S18">
        <v>13.7</v>
      </c>
      <c r="T18">
        <v>2.6525198938991999E-2</v>
      </c>
      <c r="U18">
        <v>3.75</v>
      </c>
      <c r="V18">
        <v>10.3333333333333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425</v>
      </c>
      <c r="B31">
        <v>6048</v>
      </c>
      <c r="C31">
        <v>4520</v>
      </c>
      <c r="D31">
        <v>399</v>
      </c>
      <c r="E31">
        <v>1528</v>
      </c>
      <c r="F31">
        <v>14</v>
      </c>
      <c r="G31">
        <v>1615.6</v>
      </c>
      <c r="H31">
        <v>610</v>
      </c>
      <c r="I31">
        <v>0.68524590163934396</v>
      </c>
      <c r="J31">
        <v>35</v>
      </c>
      <c r="K31">
        <v>12</v>
      </c>
      <c r="L31">
        <v>3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CIN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441</v>
      </c>
      <c r="B36" t="s">
        <v>26</v>
      </c>
      <c r="C36">
        <v>27</v>
      </c>
      <c r="D36">
        <v>1</v>
      </c>
      <c r="E36" t="s">
        <v>86</v>
      </c>
      <c r="F36" t="s">
        <v>425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442</v>
      </c>
      <c r="B37" t="s">
        <v>26</v>
      </c>
      <c r="C37">
        <v>26</v>
      </c>
      <c r="D37">
        <v>4</v>
      </c>
      <c r="E37" t="s">
        <v>227</v>
      </c>
      <c r="F37" t="s">
        <v>425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443</v>
      </c>
      <c r="B38" t="s">
        <v>26</v>
      </c>
      <c r="C38">
        <v>31</v>
      </c>
      <c r="D38">
        <v>8</v>
      </c>
      <c r="E38" t="s">
        <v>141</v>
      </c>
      <c r="F38" t="s">
        <v>425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444</v>
      </c>
      <c r="B39" t="s">
        <v>26</v>
      </c>
      <c r="C39">
        <v>26</v>
      </c>
      <c r="D39">
        <v>2</v>
      </c>
      <c r="E39" t="s">
        <v>211</v>
      </c>
      <c r="F39" t="s">
        <v>425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445</v>
      </c>
      <c r="B46" t="s">
        <v>31</v>
      </c>
      <c r="C46">
        <v>23</v>
      </c>
      <c r="D46">
        <v>0</v>
      </c>
      <c r="E46" t="s">
        <v>446</v>
      </c>
      <c r="F46" t="s">
        <v>425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447</v>
      </c>
      <c r="B47" t="s">
        <v>31</v>
      </c>
      <c r="C47">
        <v>25</v>
      </c>
      <c r="D47">
        <v>3</v>
      </c>
      <c r="E47" t="s">
        <v>105</v>
      </c>
      <c r="F47" t="s">
        <v>425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448</v>
      </c>
      <c r="B48" t="s">
        <v>31</v>
      </c>
      <c r="C48">
        <v>27</v>
      </c>
      <c r="D48">
        <v>7</v>
      </c>
      <c r="E48" t="s">
        <v>68</v>
      </c>
      <c r="F48" t="s">
        <v>425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449</v>
      </c>
      <c r="B49" t="s">
        <v>31</v>
      </c>
      <c r="C49">
        <v>23</v>
      </c>
      <c r="D49">
        <v>0</v>
      </c>
      <c r="E49" t="s">
        <v>450</v>
      </c>
      <c r="F49" t="s">
        <v>425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451</v>
      </c>
      <c r="B50" t="s">
        <v>31</v>
      </c>
      <c r="C50">
        <v>24</v>
      </c>
      <c r="D50">
        <v>0</v>
      </c>
      <c r="E50" t="s">
        <v>89</v>
      </c>
      <c r="F50" t="s">
        <v>425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452</v>
      </c>
      <c r="B51" t="s">
        <v>31</v>
      </c>
      <c r="C51">
        <v>25</v>
      </c>
      <c r="D51">
        <v>5</v>
      </c>
      <c r="E51" t="s">
        <v>307</v>
      </c>
      <c r="F51" t="s">
        <v>425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453</v>
      </c>
      <c r="B61" t="s">
        <v>43</v>
      </c>
      <c r="C61">
        <v>29</v>
      </c>
      <c r="D61">
        <v>8</v>
      </c>
      <c r="E61" t="s">
        <v>74</v>
      </c>
      <c r="F61" t="s">
        <v>425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454</v>
      </c>
      <c r="B62" t="s">
        <v>43</v>
      </c>
      <c r="C62">
        <v>23</v>
      </c>
      <c r="D62">
        <v>0</v>
      </c>
      <c r="E62" t="s">
        <v>455</v>
      </c>
      <c r="F62" t="s">
        <v>425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456</v>
      </c>
      <c r="B63" t="s">
        <v>43</v>
      </c>
      <c r="C63">
        <v>23</v>
      </c>
      <c r="D63">
        <v>3</v>
      </c>
      <c r="E63" t="s">
        <v>227</v>
      </c>
      <c r="F63" t="s">
        <v>425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457</v>
      </c>
      <c r="B64" t="s">
        <v>43</v>
      </c>
      <c r="C64">
        <v>24</v>
      </c>
      <c r="D64">
        <v>4</v>
      </c>
      <c r="E64" t="s">
        <v>458</v>
      </c>
      <c r="F64" t="s">
        <v>425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459</v>
      </c>
      <c r="B65" t="s">
        <v>43</v>
      </c>
      <c r="C65">
        <v>24</v>
      </c>
      <c r="D65">
        <v>0</v>
      </c>
      <c r="E65" t="s">
        <v>460</v>
      </c>
      <c r="F65" t="s">
        <v>425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461</v>
      </c>
      <c r="B66" t="s">
        <v>43</v>
      </c>
      <c r="C66">
        <v>23</v>
      </c>
      <c r="D66">
        <v>0</v>
      </c>
      <c r="E66" t="s">
        <v>415</v>
      </c>
      <c r="F66" t="s">
        <v>425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462</v>
      </c>
      <c r="B67" t="s">
        <v>43</v>
      </c>
      <c r="C67">
        <v>27</v>
      </c>
      <c r="D67">
        <v>3</v>
      </c>
      <c r="E67" t="s">
        <v>102</v>
      </c>
      <c r="F67" t="s">
        <v>425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463</v>
      </c>
      <c r="B68" t="s">
        <v>43</v>
      </c>
      <c r="C68">
        <v>23</v>
      </c>
      <c r="D68">
        <v>0</v>
      </c>
      <c r="E68" t="s">
        <v>464</v>
      </c>
      <c r="F68" t="s">
        <v>425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465</v>
      </c>
      <c r="B69" t="s">
        <v>43</v>
      </c>
      <c r="C69">
        <v>24</v>
      </c>
      <c r="D69">
        <v>0</v>
      </c>
      <c r="E69" t="s">
        <v>62</v>
      </c>
      <c r="F69" t="s">
        <v>425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466</v>
      </c>
      <c r="B70" t="s">
        <v>43</v>
      </c>
      <c r="C70">
        <v>25</v>
      </c>
      <c r="D70">
        <v>1</v>
      </c>
      <c r="E70" t="s">
        <v>467</v>
      </c>
      <c r="F70" t="s">
        <v>425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468</v>
      </c>
      <c r="B71" t="s">
        <v>43</v>
      </c>
      <c r="C71">
        <v>26</v>
      </c>
      <c r="D71">
        <v>5</v>
      </c>
      <c r="E71" t="s">
        <v>248</v>
      </c>
      <c r="F71" t="s">
        <v>425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469</v>
      </c>
      <c r="B72" t="s">
        <v>43</v>
      </c>
      <c r="C72">
        <v>29</v>
      </c>
      <c r="D72">
        <v>6</v>
      </c>
      <c r="E72" t="s">
        <v>64</v>
      </c>
      <c r="F72" t="s">
        <v>425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470</v>
      </c>
      <c r="B76" t="s">
        <v>38</v>
      </c>
      <c r="C76">
        <v>26</v>
      </c>
      <c r="D76">
        <v>4</v>
      </c>
      <c r="E76" t="s">
        <v>418</v>
      </c>
      <c r="F76" t="s">
        <v>425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471</v>
      </c>
      <c r="B77" t="s">
        <v>38</v>
      </c>
      <c r="C77">
        <v>27</v>
      </c>
      <c r="D77">
        <v>2</v>
      </c>
      <c r="E77" t="s">
        <v>339</v>
      </c>
      <c r="F77" t="s">
        <v>425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472</v>
      </c>
      <c r="B78" t="s">
        <v>38</v>
      </c>
      <c r="C78">
        <v>28</v>
      </c>
      <c r="D78">
        <v>4</v>
      </c>
      <c r="E78" t="s">
        <v>473</v>
      </c>
      <c r="F78" t="s">
        <v>425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474</v>
      </c>
      <c r="B79" t="s">
        <v>38</v>
      </c>
      <c r="C79">
        <v>27</v>
      </c>
      <c r="D79">
        <v>5</v>
      </c>
      <c r="E79" t="s">
        <v>86</v>
      </c>
      <c r="F79" t="s">
        <v>425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475</v>
      </c>
      <c r="B80" t="s">
        <v>38</v>
      </c>
      <c r="C80">
        <v>25</v>
      </c>
      <c r="D80">
        <v>5</v>
      </c>
      <c r="E80" t="s">
        <v>153</v>
      </c>
      <c r="F80" t="s">
        <v>425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476</v>
      </c>
      <c r="B81" t="s">
        <v>38</v>
      </c>
      <c r="C81">
        <v>24</v>
      </c>
      <c r="D81">
        <v>0</v>
      </c>
      <c r="E81" t="s">
        <v>70</v>
      </c>
      <c r="F81" t="s">
        <v>425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477</v>
      </c>
      <c r="B82" t="s">
        <v>38</v>
      </c>
      <c r="C82">
        <v>26</v>
      </c>
      <c r="D82">
        <v>4</v>
      </c>
      <c r="E82" t="s">
        <v>80</v>
      </c>
      <c r="F82" t="s">
        <v>425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topLeftCell="G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478</v>
      </c>
      <c r="B2" t="s">
        <v>479</v>
      </c>
      <c r="C2" t="s">
        <v>26</v>
      </c>
      <c r="D2">
        <v>6</v>
      </c>
      <c r="E2">
        <v>170</v>
      </c>
      <c r="F2">
        <v>99</v>
      </c>
      <c r="G2">
        <v>1102</v>
      </c>
      <c r="H2">
        <v>7</v>
      </c>
      <c r="I2">
        <v>5</v>
      </c>
      <c r="J2">
        <v>36</v>
      </c>
      <c r="K2">
        <v>175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85.58</v>
      </c>
      <c r="T2">
        <v>0</v>
      </c>
      <c r="U2">
        <v>4.8611111111111098</v>
      </c>
      <c r="W2">
        <v>0.58235294117647096</v>
      </c>
      <c r="X2">
        <v>4.11764705882353E-2</v>
      </c>
    </row>
    <row r="3" spans="1:24" x14ac:dyDescent="0.25">
      <c r="A3" t="s">
        <v>480</v>
      </c>
      <c r="B3" t="s">
        <v>479</v>
      </c>
      <c r="C3" t="s">
        <v>26</v>
      </c>
      <c r="D3">
        <v>14</v>
      </c>
      <c r="E3">
        <v>369</v>
      </c>
      <c r="F3">
        <v>236</v>
      </c>
      <c r="G3">
        <v>2608</v>
      </c>
      <c r="H3">
        <v>12</v>
      </c>
      <c r="I3">
        <v>6</v>
      </c>
      <c r="J3">
        <v>49</v>
      </c>
      <c r="K3">
        <v>243</v>
      </c>
      <c r="L3">
        <v>2</v>
      </c>
      <c r="M3">
        <v>0</v>
      </c>
      <c r="N3">
        <v>0</v>
      </c>
      <c r="O3">
        <v>0</v>
      </c>
      <c r="P3">
        <v>0</v>
      </c>
      <c r="Q3">
        <v>4</v>
      </c>
      <c r="R3">
        <v>0</v>
      </c>
      <c r="S3">
        <v>168.62</v>
      </c>
      <c r="T3">
        <v>0</v>
      </c>
      <c r="U3">
        <v>4.9591836734693899</v>
      </c>
      <c r="W3">
        <v>0.63956639566395701</v>
      </c>
      <c r="X3">
        <v>3.2520325203252001E-2</v>
      </c>
    </row>
    <row r="4" spans="1:24" x14ac:dyDescent="0.25">
      <c r="A4" t="s">
        <v>481</v>
      </c>
      <c r="B4" t="s">
        <v>479</v>
      </c>
      <c r="C4" t="s">
        <v>31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-4</v>
      </c>
      <c r="L4">
        <v>0</v>
      </c>
      <c r="M4">
        <v>4</v>
      </c>
      <c r="N4">
        <v>2</v>
      </c>
      <c r="O4">
        <v>8</v>
      </c>
      <c r="P4">
        <v>0</v>
      </c>
      <c r="Q4">
        <v>0</v>
      </c>
      <c r="R4">
        <v>0</v>
      </c>
      <c r="S4">
        <v>2.4</v>
      </c>
      <c r="T4">
        <v>6.5573770491803296E-3</v>
      </c>
      <c r="U4">
        <v>-4</v>
      </c>
      <c r="V4">
        <v>4</v>
      </c>
    </row>
    <row r="5" spans="1:24" x14ac:dyDescent="0.25">
      <c r="A5" t="s">
        <v>253</v>
      </c>
      <c r="B5" t="s">
        <v>479</v>
      </c>
      <c r="C5" t="s">
        <v>31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17</v>
      </c>
      <c r="L5">
        <v>0</v>
      </c>
      <c r="M5">
        <v>3</v>
      </c>
      <c r="N5">
        <v>3</v>
      </c>
      <c r="O5">
        <v>7</v>
      </c>
      <c r="P5">
        <v>0</v>
      </c>
      <c r="Q5">
        <v>0</v>
      </c>
      <c r="R5">
        <v>0</v>
      </c>
      <c r="S5">
        <v>5.4</v>
      </c>
      <c r="T5">
        <v>4.9180327868852498E-3</v>
      </c>
      <c r="U5">
        <v>4.25</v>
      </c>
      <c r="V5">
        <v>2.3333333333333299</v>
      </c>
    </row>
    <row r="6" spans="1:24" x14ac:dyDescent="0.25">
      <c r="A6" t="s">
        <v>482</v>
      </c>
      <c r="B6" t="s">
        <v>479</v>
      </c>
      <c r="C6" t="s">
        <v>31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8</v>
      </c>
      <c r="K6">
        <v>12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1.2</v>
      </c>
      <c r="T6">
        <v>0</v>
      </c>
      <c r="U6">
        <v>1.5</v>
      </c>
    </row>
    <row r="7" spans="1:24" x14ac:dyDescent="0.25">
      <c r="A7" t="s">
        <v>483</v>
      </c>
      <c r="B7" t="s">
        <v>479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123</v>
      </c>
      <c r="K7">
        <v>468</v>
      </c>
      <c r="L7">
        <v>3</v>
      </c>
      <c r="M7">
        <v>44</v>
      </c>
      <c r="N7">
        <v>35</v>
      </c>
      <c r="O7">
        <v>210</v>
      </c>
      <c r="P7">
        <v>1</v>
      </c>
      <c r="Q7">
        <v>0</v>
      </c>
      <c r="R7">
        <v>0</v>
      </c>
      <c r="S7">
        <v>126.8</v>
      </c>
      <c r="T7">
        <v>7.2131147540983598E-2</v>
      </c>
      <c r="U7">
        <v>3.8048780487804899</v>
      </c>
      <c r="V7">
        <v>6</v>
      </c>
    </row>
    <row r="8" spans="1:24" x14ac:dyDescent="0.25">
      <c r="A8" t="s">
        <v>484</v>
      </c>
      <c r="B8" t="s">
        <v>479</v>
      </c>
      <c r="C8" t="s">
        <v>31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302</v>
      </c>
      <c r="K8">
        <v>1525</v>
      </c>
      <c r="L8">
        <v>12</v>
      </c>
      <c r="M8">
        <v>37</v>
      </c>
      <c r="N8">
        <v>27</v>
      </c>
      <c r="O8">
        <v>239</v>
      </c>
      <c r="P8">
        <v>1</v>
      </c>
      <c r="Q8">
        <v>1</v>
      </c>
      <c r="R8">
        <v>1</v>
      </c>
      <c r="S8">
        <v>281.39999999999998</v>
      </c>
      <c r="T8">
        <v>6.0655737704918E-2</v>
      </c>
      <c r="U8">
        <v>5.0496688741721902</v>
      </c>
      <c r="V8">
        <v>8.8518518518518494</v>
      </c>
    </row>
    <row r="9" spans="1:24" x14ac:dyDescent="0.25">
      <c r="A9" t="s">
        <v>485</v>
      </c>
      <c r="B9" t="s">
        <v>479</v>
      </c>
      <c r="C9" t="s">
        <v>38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-8</v>
      </c>
      <c r="L9">
        <v>0</v>
      </c>
      <c r="M9">
        <v>80</v>
      </c>
      <c r="N9">
        <v>58</v>
      </c>
      <c r="O9">
        <v>628</v>
      </c>
      <c r="P9">
        <v>4</v>
      </c>
      <c r="Q9">
        <v>0</v>
      </c>
      <c r="R9">
        <v>0</v>
      </c>
      <c r="S9">
        <v>142</v>
      </c>
      <c r="T9">
        <v>0.13114754098360701</v>
      </c>
      <c r="U9">
        <v>-4</v>
      </c>
      <c r="V9">
        <v>10.8275862068966</v>
      </c>
    </row>
    <row r="10" spans="1:24" x14ac:dyDescent="0.25">
      <c r="A10" t="s">
        <v>486</v>
      </c>
      <c r="B10" t="s">
        <v>479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8</v>
      </c>
      <c r="L10">
        <v>0</v>
      </c>
      <c r="M10">
        <v>42</v>
      </c>
      <c r="N10">
        <v>31</v>
      </c>
      <c r="O10">
        <v>239</v>
      </c>
      <c r="P10">
        <v>1</v>
      </c>
      <c r="Q10">
        <v>0</v>
      </c>
      <c r="R10">
        <v>0</v>
      </c>
      <c r="S10">
        <v>61.7</v>
      </c>
      <c r="T10">
        <v>6.8852459016393405E-2</v>
      </c>
      <c r="U10">
        <v>8</v>
      </c>
      <c r="V10">
        <v>7.7096774193548399</v>
      </c>
    </row>
    <row r="11" spans="1:24" x14ac:dyDescent="0.25">
      <c r="A11" t="s">
        <v>487</v>
      </c>
      <c r="B11" t="s">
        <v>479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1.63934426229508E-3</v>
      </c>
    </row>
    <row r="12" spans="1:24" x14ac:dyDescent="0.25">
      <c r="A12" t="s">
        <v>488</v>
      </c>
      <c r="B12" t="s">
        <v>479</v>
      </c>
      <c r="C12" t="s">
        <v>38</v>
      </c>
      <c r="D12">
        <v>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</v>
      </c>
      <c r="N12">
        <v>5</v>
      </c>
      <c r="O12">
        <v>45</v>
      </c>
      <c r="P12">
        <v>0</v>
      </c>
      <c r="Q12">
        <v>0</v>
      </c>
      <c r="R12">
        <v>0</v>
      </c>
      <c r="S12">
        <v>9.5</v>
      </c>
      <c r="T12">
        <v>1.63934426229508E-2</v>
      </c>
      <c r="V12">
        <v>9</v>
      </c>
    </row>
    <row r="13" spans="1:24" x14ac:dyDescent="0.25">
      <c r="A13" t="s">
        <v>489</v>
      </c>
      <c r="B13" t="s">
        <v>479</v>
      </c>
      <c r="C13" t="s">
        <v>43</v>
      </c>
      <c r="D13">
        <v>17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132</v>
      </c>
      <c r="N13">
        <v>78</v>
      </c>
      <c r="O13">
        <v>1160</v>
      </c>
      <c r="P13">
        <v>9</v>
      </c>
      <c r="Q13">
        <v>0</v>
      </c>
      <c r="R13">
        <v>0</v>
      </c>
      <c r="S13">
        <v>246</v>
      </c>
      <c r="T13">
        <v>0.21639344262295099</v>
      </c>
      <c r="V13">
        <v>14.871794871794901</v>
      </c>
      <c r="W13">
        <v>0</v>
      </c>
      <c r="X13">
        <v>0</v>
      </c>
    </row>
    <row r="14" spans="1:24" x14ac:dyDescent="0.25">
      <c r="A14" t="s">
        <v>490</v>
      </c>
      <c r="B14" t="s">
        <v>479</v>
      </c>
      <c r="C14" t="s">
        <v>43</v>
      </c>
      <c r="D14">
        <v>6</v>
      </c>
      <c r="E14">
        <v>0</v>
      </c>
      <c r="F14">
        <v>0</v>
      </c>
      <c r="G14">
        <v>0</v>
      </c>
      <c r="H14">
        <v>0</v>
      </c>
      <c r="I14">
        <v>0</v>
      </c>
      <c r="J14">
        <v>4</v>
      </c>
      <c r="K14">
        <v>57</v>
      </c>
      <c r="L14">
        <v>1</v>
      </c>
      <c r="M14">
        <v>10</v>
      </c>
      <c r="N14">
        <v>4</v>
      </c>
      <c r="O14">
        <v>51</v>
      </c>
      <c r="P14">
        <v>0</v>
      </c>
      <c r="Q14">
        <v>0</v>
      </c>
      <c r="R14">
        <v>0</v>
      </c>
      <c r="S14">
        <v>18.8</v>
      </c>
      <c r="T14">
        <v>1.63934426229508E-2</v>
      </c>
      <c r="U14">
        <v>14.25</v>
      </c>
      <c r="V14">
        <v>12.75</v>
      </c>
    </row>
    <row r="15" spans="1:24" x14ac:dyDescent="0.25">
      <c r="A15" t="s">
        <v>491</v>
      </c>
      <c r="B15" t="s">
        <v>479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25</v>
      </c>
      <c r="P15">
        <v>0</v>
      </c>
      <c r="Q15">
        <v>0</v>
      </c>
      <c r="R15">
        <v>0</v>
      </c>
      <c r="S15">
        <v>4.5</v>
      </c>
      <c r="T15">
        <v>3.27868852459016E-3</v>
      </c>
      <c r="V15">
        <v>12.5</v>
      </c>
    </row>
    <row r="16" spans="1:24" x14ac:dyDescent="0.25">
      <c r="A16" t="s">
        <v>492</v>
      </c>
      <c r="B16" t="s">
        <v>479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35</v>
      </c>
      <c r="N16">
        <v>24</v>
      </c>
      <c r="O16">
        <v>214</v>
      </c>
      <c r="P16">
        <v>0</v>
      </c>
      <c r="Q16">
        <v>0</v>
      </c>
      <c r="R16">
        <v>0</v>
      </c>
      <c r="S16">
        <v>45.4</v>
      </c>
      <c r="T16">
        <v>5.7377049180327898E-2</v>
      </c>
      <c r="V16">
        <v>8.9166666666666696</v>
      </c>
    </row>
    <row r="17" spans="1:22" x14ac:dyDescent="0.25">
      <c r="A17" t="s">
        <v>493</v>
      </c>
      <c r="B17" t="s">
        <v>479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96</v>
      </c>
      <c r="N17">
        <v>61</v>
      </c>
      <c r="O17">
        <v>839</v>
      </c>
      <c r="P17">
        <v>3</v>
      </c>
      <c r="Q17">
        <v>0</v>
      </c>
      <c r="R17">
        <v>0</v>
      </c>
      <c r="S17">
        <v>167.1</v>
      </c>
      <c r="T17">
        <v>0.15737704918032799</v>
      </c>
      <c r="U17">
        <v>2</v>
      </c>
      <c r="V17">
        <v>13.7540983606557</v>
      </c>
    </row>
    <row r="18" spans="1:22" x14ac:dyDescent="0.25">
      <c r="A18" t="s">
        <v>494</v>
      </c>
      <c r="B18" t="s">
        <v>479</v>
      </c>
      <c r="C18" t="s">
        <v>43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-5</v>
      </c>
      <c r="L18">
        <v>0</v>
      </c>
      <c r="M18">
        <v>10</v>
      </c>
      <c r="N18">
        <v>5</v>
      </c>
      <c r="O18">
        <v>45</v>
      </c>
      <c r="P18">
        <v>0</v>
      </c>
      <c r="Q18">
        <v>0</v>
      </c>
      <c r="R18">
        <v>0</v>
      </c>
      <c r="S18">
        <v>9</v>
      </c>
      <c r="T18">
        <v>1.63934426229508E-2</v>
      </c>
      <c r="U18">
        <v>-5</v>
      </c>
      <c r="V18">
        <v>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479</v>
      </c>
      <c r="B31">
        <v>6200</v>
      </c>
      <c r="C31">
        <v>3710</v>
      </c>
      <c r="D31">
        <v>532</v>
      </c>
      <c r="E31">
        <v>2490</v>
      </c>
      <c r="F31">
        <v>19</v>
      </c>
      <c r="G31">
        <v>1375.4</v>
      </c>
      <c r="H31">
        <v>540</v>
      </c>
      <c r="I31">
        <v>0.62037037037037002</v>
      </c>
      <c r="J31">
        <v>19</v>
      </c>
      <c r="K31">
        <v>12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CLE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495</v>
      </c>
      <c r="B36" t="s">
        <v>26</v>
      </c>
      <c r="C36">
        <v>28</v>
      </c>
      <c r="D36">
        <v>7</v>
      </c>
      <c r="E36" t="s">
        <v>143</v>
      </c>
      <c r="F36" t="s">
        <v>479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496</v>
      </c>
      <c r="B37" t="s">
        <v>26</v>
      </c>
      <c r="C37">
        <v>24</v>
      </c>
      <c r="D37">
        <v>3</v>
      </c>
      <c r="E37" t="s">
        <v>307</v>
      </c>
      <c r="F37" t="s">
        <v>479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497</v>
      </c>
      <c r="B38" t="s">
        <v>26</v>
      </c>
      <c r="C38">
        <v>23</v>
      </c>
      <c r="D38">
        <v>0</v>
      </c>
      <c r="E38" t="s">
        <v>418</v>
      </c>
      <c r="F38" t="s">
        <v>479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498</v>
      </c>
      <c r="B39" t="s">
        <v>26</v>
      </c>
      <c r="C39">
        <v>27</v>
      </c>
      <c r="D39">
        <v>7</v>
      </c>
      <c r="E39" t="s">
        <v>458</v>
      </c>
      <c r="F39" t="s">
        <v>479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499</v>
      </c>
      <c r="B46" t="s">
        <v>31</v>
      </c>
      <c r="C46">
        <v>27</v>
      </c>
      <c r="D46">
        <v>6</v>
      </c>
      <c r="E46" t="s">
        <v>173</v>
      </c>
      <c r="F46" t="s">
        <v>479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500</v>
      </c>
      <c r="B47" t="s">
        <v>31</v>
      </c>
      <c r="C47">
        <v>25</v>
      </c>
      <c r="D47">
        <v>3</v>
      </c>
      <c r="E47" t="s">
        <v>418</v>
      </c>
      <c r="F47" t="s">
        <v>479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501</v>
      </c>
      <c r="B48" t="s">
        <v>31</v>
      </c>
      <c r="C48">
        <v>23</v>
      </c>
      <c r="D48">
        <v>2</v>
      </c>
      <c r="E48" t="s">
        <v>136</v>
      </c>
      <c r="F48" t="s">
        <v>479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502</v>
      </c>
      <c r="B49" t="s">
        <v>31</v>
      </c>
      <c r="C49">
        <v>22</v>
      </c>
      <c r="D49">
        <v>0</v>
      </c>
      <c r="E49" t="s">
        <v>455</v>
      </c>
      <c r="F49" t="s">
        <v>479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503</v>
      </c>
      <c r="B50" t="s">
        <v>31</v>
      </c>
      <c r="C50">
        <v>26</v>
      </c>
      <c r="D50">
        <v>2</v>
      </c>
      <c r="E50" t="s">
        <v>143</v>
      </c>
      <c r="F50" t="s">
        <v>479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504</v>
      </c>
      <c r="B51" t="s">
        <v>31</v>
      </c>
      <c r="C51">
        <v>29</v>
      </c>
      <c r="D51">
        <v>5</v>
      </c>
      <c r="E51" t="s">
        <v>240</v>
      </c>
      <c r="F51" t="s">
        <v>479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505</v>
      </c>
      <c r="B61" t="s">
        <v>43</v>
      </c>
      <c r="C61">
        <v>22</v>
      </c>
      <c r="D61">
        <v>2</v>
      </c>
      <c r="E61" t="s">
        <v>62</v>
      </c>
      <c r="F61" t="s">
        <v>479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506</v>
      </c>
      <c r="B62" t="s">
        <v>43</v>
      </c>
      <c r="C62">
        <v>29</v>
      </c>
      <c r="D62">
        <v>9</v>
      </c>
      <c r="E62" t="s">
        <v>153</v>
      </c>
      <c r="F62" t="s">
        <v>479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507</v>
      </c>
      <c r="B63" t="s">
        <v>43</v>
      </c>
      <c r="C63">
        <v>24</v>
      </c>
      <c r="D63">
        <v>3</v>
      </c>
      <c r="E63" t="s">
        <v>508</v>
      </c>
      <c r="F63" t="s">
        <v>479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509</v>
      </c>
      <c r="B64" t="s">
        <v>43</v>
      </c>
      <c r="C64">
        <v>32</v>
      </c>
      <c r="D64">
        <v>10</v>
      </c>
      <c r="E64" t="s">
        <v>66</v>
      </c>
      <c r="F64" t="s">
        <v>479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510</v>
      </c>
      <c r="B65" t="s">
        <v>43</v>
      </c>
      <c r="C65">
        <v>30</v>
      </c>
      <c r="D65">
        <v>8</v>
      </c>
      <c r="E65" t="s">
        <v>511</v>
      </c>
      <c r="F65" t="s">
        <v>479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512</v>
      </c>
      <c r="B66" t="s">
        <v>43</v>
      </c>
      <c r="C66">
        <v>25</v>
      </c>
      <c r="D66">
        <v>1</v>
      </c>
      <c r="E66" t="s">
        <v>397</v>
      </c>
      <c r="F66" t="s">
        <v>479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513</v>
      </c>
      <c r="B67" t="s">
        <v>43</v>
      </c>
      <c r="C67">
        <v>23</v>
      </c>
      <c r="D67">
        <v>3</v>
      </c>
      <c r="E67" t="s">
        <v>240</v>
      </c>
      <c r="F67" t="s">
        <v>479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514</v>
      </c>
      <c r="B68" t="s">
        <v>43</v>
      </c>
      <c r="C68">
        <v>24</v>
      </c>
      <c r="D68">
        <v>4</v>
      </c>
      <c r="E68" t="s">
        <v>105</v>
      </c>
      <c r="F68" t="s">
        <v>479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515</v>
      </c>
      <c r="B69" t="s">
        <v>43</v>
      </c>
      <c r="C69">
        <v>22</v>
      </c>
      <c r="D69">
        <v>3</v>
      </c>
      <c r="E69" t="s">
        <v>464</v>
      </c>
      <c r="F69" t="s">
        <v>479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516</v>
      </c>
      <c r="B70" t="s">
        <v>43</v>
      </c>
      <c r="C70">
        <v>23</v>
      </c>
      <c r="D70">
        <v>0</v>
      </c>
      <c r="E70" t="s">
        <v>143</v>
      </c>
      <c r="F70" t="s">
        <v>479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517</v>
      </c>
      <c r="B71" t="s">
        <v>43</v>
      </c>
      <c r="C71">
        <v>25</v>
      </c>
      <c r="D71">
        <v>1</v>
      </c>
      <c r="E71" t="s">
        <v>335</v>
      </c>
      <c r="F71" t="s">
        <v>479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518</v>
      </c>
      <c r="B72" t="s">
        <v>43</v>
      </c>
      <c r="C72">
        <v>24</v>
      </c>
      <c r="D72">
        <v>1</v>
      </c>
      <c r="E72" t="s">
        <v>519</v>
      </c>
      <c r="F72" t="s">
        <v>479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520</v>
      </c>
      <c r="B73" t="s">
        <v>43</v>
      </c>
      <c r="C73">
        <v>23</v>
      </c>
      <c r="D73">
        <v>2</v>
      </c>
      <c r="E73" t="s">
        <v>68</v>
      </c>
      <c r="F73" t="s">
        <v>479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521</v>
      </c>
      <c r="B76" t="s">
        <v>38</v>
      </c>
      <c r="C76">
        <v>31</v>
      </c>
      <c r="D76">
        <v>6</v>
      </c>
      <c r="E76" t="s">
        <v>282</v>
      </c>
      <c r="F76" t="s">
        <v>479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522</v>
      </c>
      <c r="B77" t="s">
        <v>38</v>
      </c>
      <c r="C77">
        <v>25</v>
      </c>
      <c r="D77">
        <v>4</v>
      </c>
      <c r="E77" t="s">
        <v>523</v>
      </c>
      <c r="F77" t="s">
        <v>479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524</v>
      </c>
      <c r="B78" t="s">
        <v>38</v>
      </c>
      <c r="C78">
        <v>25</v>
      </c>
      <c r="D78">
        <v>3</v>
      </c>
      <c r="E78" t="s">
        <v>153</v>
      </c>
      <c r="F78" t="s">
        <v>479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525</v>
      </c>
      <c r="B79" t="s">
        <v>38</v>
      </c>
      <c r="C79">
        <v>25</v>
      </c>
      <c r="D79">
        <v>0</v>
      </c>
      <c r="E79" t="s">
        <v>526</v>
      </c>
      <c r="F79" t="s">
        <v>479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527</v>
      </c>
      <c r="B80" t="s">
        <v>38</v>
      </c>
      <c r="C80">
        <v>23</v>
      </c>
      <c r="D80">
        <v>1</v>
      </c>
      <c r="E80" t="s">
        <v>523</v>
      </c>
      <c r="F80" t="s">
        <v>479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528</v>
      </c>
      <c r="B81" t="s">
        <v>38</v>
      </c>
      <c r="C81">
        <v>27</v>
      </c>
      <c r="D81">
        <v>7</v>
      </c>
      <c r="E81" t="s">
        <v>397</v>
      </c>
      <c r="F81" t="s">
        <v>479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529</v>
      </c>
      <c r="B2" t="s">
        <v>530</v>
      </c>
      <c r="C2" t="s">
        <v>26</v>
      </c>
      <c r="D2">
        <v>8</v>
      </c>
      <c r="E2">
        <v>162</v>
      </c>
      <c r="F2">
        <v>94</v>
      </c>
      <c r="G2">
        <v>1051</v>
      </c>
      <c r="H2">
        <v>5</v>
      </c>
      <c r="I2">
        <v>3</v>
      </c>
      <c r="J2">
        <v>9</v>
      </c>
      <c r="K2">
        <v>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56.64</v>
      </c>
      <c r="T2">
        <v>0</v>
      </c>
      <c r="U2">
        <v>0.66666666666666696</v>
      </c>
      <c r="W2">
        <v>0.58024691358024705</v>
      </c>
      <c r="X2">
        <v>3.0864197530864199E-2</v>
      </c>
    </row>
    <row r="3" spans="1:24" x14ac:dyDescent="0.25">
      <c r="A3" t="s">
        <v>531</v>
      </c>
      <c r="B3" t="s">
        <v>530</v>
      </c>
      <c r="C3" t="s">
        <v>26</v>
      </c>
      <c r="D3">
        <v>12</v>
      </c>
      <c r="E3">
        <v>394</v>
      </c>
      <c r="F3">
        <v>261</v>
      </c>
      <c r="G3">
        <v>2860</v>
      </c>
      <c r="H3">
        <v>23</v>
      </c>
      <c r="I3">
        <v>15</v>
      </c>
      <c r="J3">
        <v>45</v>
      </c>
      <c r="K3">
        <v>182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198.6</v>
      </c>
      <c r="T3">
        <v>0</v>
      </c>
      <c r="U3">
        <v>4.0444444444444398</v>
      </c>
      <c r="W3">
        <v>0.66243654822334996</v>
      </c>
      <c r="X3">
        <v>5.8375634517766499E-2</v>
      </c>
    </row>
    <row r="4" spans="1:24" x14ac:dyDescent="0.25">
      <c r="A4" t="s">
        <v>532</v>
      </c>
      <c r="B4" t="s">
        <v>530</v>
      </c>
      <c r="C4" t="s">
        <v>31</v>
      </c>
      <c r="D4">
        <v>15</v>
      </c>
      <c r="E4">
        <v>0</v>
      </c>
      <c r="F4">
        <v>0</v>
      </c>
      <c r="G4">
        <v>0</v>
      </c>
      <c r="H4">
        <v>0</v>
      </c>
      <c r="I4">
        <v>0</v>
      </c>
      <c r="J4">
        <v>231</v>
      </c>
      <c r="K4">
        <v>876</v>
      </c>
      <c r="L4">
        <v>12</v>
      </c>
      <c r="M4">
        <v>23</v>
      </c>
      <c r="N4">
        <v>17</v>
      </c>
      <c r="O4">
        <v>92</v>
      </c>
      <c r="P4">
        <v>0</v>
      </c>
      <c r="Q4">
        <v>0</v>
      </c>
      <c r="R4">
        <v>0</v>
      </c>
      <c r="S4">
        <v>185.8</v>
      </c>
      <c r="T4">
        <v>4.2592592592592599E-2</v>
      </c>
      <c r="U4">
        <v>3.7922077922077899</v>
      </c>
      <c r="V4">
        <v>5.4117647058823497</v>
      </c>
    </row>
    <row r="5" spans="1:24" x14ac:dyDescent="0.25">
      <c r="A5" t="s">
        <v>192</v>
      </c>
      <c r="B5" t="s">
        <v>530</v>
      </c>
      <c r="C5" t="s">
        <v>31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38</v>
      </c>
      <c r="K5">
        <v>161</v>
      </c>
      <c r="L5">
        <v>1</v>
      </c>
      <c r="M5">
        <v>7</v>
      </c>
      <c r="N5">
        <v>6</v>
      </c>
      <c r="O5">
        <v>63</v>
      </c>
      <c r="P5">
        <v>0</v>
      </c>
      <c r="Q5">
        <v>0</v>
      </c>
      <c r="R5">
        <v>0</v>
      </c>
      <c r="S5">
        <v>34.4</v>
      </c>
      <c r="T5">
        <v>1.2962962962963001E-2</v>
      </c>
      <c r="U5">
        <v>4.2368421052631602</v>
      </c>
      <c r="V5">
        <v>10.5</v>
      </c>
    </row>
    <row r="6" spans="1:24" x14ac:dyDescent="0.25">
      <c r="A6" t="s">
        <v>533</v>
      </c>
      <c r="B6" t="s">
        <v>530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193</v>
      </c>
      <c r="K6">
        <v>1007</v>
      </c>
      <c r="L6">
        <v>9</v>
      </c>
      <c r="M6">
        <v>55</v>
      </c>
      <c r="N6">
        <v>39</v>
      </c>
      <c r="O6">
        <v>371</v>
      </c>
      <c r="P6">
        <v>3</v>
      </c>
      <c r="Q6">
        <v>0</v>
      </c>
      <c r="R6">
        <v>0</v>
      </c>
      <c r="S6">
        <v>248.8</v>
      </c>
      <c r="T6">
        <v>0.101851851851852</v>
      </c>
      <c r="U6">
        <v>5.2176165803108798</v>
      </c>
      <c r="V6">
        <v>9.5128205128205092</v>
      </c>
    </row>
    <row r="7" spans="1:24" x14ac:dyDescent="0.25">
      <c r="A7" t="s">
        <v>534</v>
      </c>
      <c r="B7" t="s">
        <v>530</v>
      </c>
      <c r="C7" t="s">
        <v>38</v>
      </c>
      <c r="D7">
        <v>15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89</v>
      </c>
      <c r="N7">
        <v>57</v>
      </c>
      <c r="O7">
        <v>577</v>
      </c>
      <c r="P7">
        <v>5</v>
      </c>
      <c r="Q7">
        <v>0</v>
      </c>
      <c r="R7">
        <v>0</v>
      </c>
      <c r="S7">
        <v>142.69999999999999</v>
      </c>
      <c r="T7">
        <v>0.164814814814815</v>
      </c>
      <c r="V7">
        <v>10.1228070175439</v>
      </c>
    </row>
    <row r="8" spans="1:24" x14ac:dyDescent="0.25">
      <c r="A8" t="s">
        <v>535</v>
      </c>
      <c r="B8" t="s">
        <v>530</v>
      </c>
      <c r="C8" t="s">
        <v>38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22</v>
      </c>
      <c r="N8">
        <v>19</v>
      </c>
      <c r="O8">
        <v>174</v>
      </c>
      <c r="P8">
        <v>2</v>
      </c>
      <c r="Q8">
        <v>0</v>
      </c>
      <c r="R8">
        <v>0</v>
      </c>
      <c r="S8">
        <v>48.4</v>
      </c>
      <c r="T8">
        <v>4.0740740740740702E-2</v>
      </c>
      <c r="V8">
        <v>9.1578947368421009</v>
      </c>
    </row>
    <row r="9" spans="1:24" x14ac:dyDescent="0.25">
      <c r="A9" t="s">
        <v>536</v>
      </c>
      <c r="B9" t="s">
        <v>530</v>
      </c>
      <c r="C9" t="s">
        <v>38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16</v>
      </c>
      <c r="N9">
        <v>11</v>
      </c>
      <c r="O9">
        <v>103</v>
      </c>
      <c r="P9">
        <v>2</v>
      </c>
      <c r="Q9">
        <v>0</v>
      </c>
      <c r="R9">
        <v>0</v>
      </c>
      <c r="S9">
        <v>39.5</v>
      </c>
      <c r="T9">
        <v>2.96296296296296E-2</v>
      </c>
      <c r="U9">
        <v>2</v>
      </c>
      <c r="V9">
        <v>9.3636363636363598</v>
      </c>
    </row>
    <row r="10" spans="1:24" x14ac:dyDescent="0.25">
      <c r="A10" t="s">
        <v>537</v>
      </c>
      <c r="B10" t="s">
        <v>530</v>
      </c>
      <c r="C10" t="s">
        <v>38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</v>
      </c>
      <c r="N10">
        <v>2</v>
      </c>
      <c r="O10">
        <v>11</v>
      </c>
      <c r="P10">
        <v>0</v>
      </c>
      <c r="Q10">
        <v>0</v>
      </c>
      <c r="R10">
        <v>0</v>
      </c>
      <c r="S10">
        <v>3.1</v>
      </c>
      <c r="T10">
        <v>5.5555555555555601E-3</v>
      </c>
      <c r="V10">
        <v>5.5</v>
      </c>
    </row>
    <row r="11" spans="1:24" x14ac:dyDescent="0.25">
      <c r="A11" t="s">
        <v>538</v>
      </c>
      <c r="B11" t="s">
        <v>530</v>
      </c>
      <c r="C11" t="s">
        <v>43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10</v>
      </c>
      <c r="K11">
        <v>47</v>
      </c>
      <c r="L11">
        <v>0</v>
      </c>
      <c r="M11">
        <v>156</v>
      </c>
      <c r="N11">
        <v>107</v>
      </c>
      <c r="O11">
        <v>1359</v>
      </c>
      <c r="P11">
        <v>9</v>
      </c>
      <c r="Q11">
        <v>0</v>
      </c>
      <c r="R11">
        <v>0</v>
      </c>
      <c r="S11">
        <v>301.60000000000002</v>
      </c>
      <c r="T11">
        <v>0.28888888888888897</v>
      </c>
      <c r="U11">
        <v>4.7</v>
      </c>
      <c r="V11">
        <v>12.7009345794393</v>
      </c>
    </row>
    <row r="12" spans="1:24" x14ac:dyDescent="0.25">
      <c r="A12" t="s">
        <v>539</v>
      </c>
      <c r="B12" t="s">
        <v>530</v>
      </c>
      <c r="C12" t="s">
        <v>43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</v>
      </c>
      <c r="N12">
        <v>2</v>
      </c>
      <c r="O12">
        <v>16</v>
      </c>
      <c r="P12">
        <v>0</v>
      </c>
      <c r="Q12">
        <v>0</v>
      </c>
      <c r="R12">
        <v>0</v>
      </c>
      <c r="S12">
        <v>3.6</v>
      </c>
      <c r="T12">
        <v>1.1111111111111099E-2</v>
      </c>
      <c r="V12">
        <v>8</v>
      </c>
    </row>
    <row r="13" spans="1:24" x14ac:dyDescent="0.25">
      <c r="A13" t="s">
        <v>540</v>
      </c>
      <c r="B13" t="s">
        <v>530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12</v>
      </c>
      <c r="P13">
        <v>0</v>
      </c>
      <c r="Q13">
        <v>0</v>
      </c>
      <c r="R13">
        <v>0</v>
      </c>
      <c r="S13">
        <v>3.2</v>
      </c>
      <c r="T13">
        <v>5.5555555555555601E-3</v>
      </c>
      <c r="V13">
        <v>6</v>
      </c>
    </row>
    <row r="14" spans="1:24" x14ac:dyDescent="0.25">
      <c r="A14" t="s">
        <v>541</v>
      </c>
      <c r="B14" t="s">
        <v>530</v>
      </c>
      <c r="C14" t="s">
        <v>43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1.85185185185185E-3</v>
      </c>
    </row>
    <row r="15" spans="1:24" x14ac:dyDescent="0.25">
      <c r="A15" t="s">
        <v>542</v>
      </c>
      <c r="B15" t="s">
        <v>530</v>
      </c>
      <c r="C15" t="s">
        <v>43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17</v>
      </c>
      <c r="L15">
        <v>0</v>
      </c>
      <c r="M15">
        <v>2</v>
      </c>
      <c r="N15">
        <v>1</v>
      </c>
      <c r="O15">
        <v>9</v>
      </c>
      <c r="P15">
        <v>0</v>
      </c>
      <c r="Q15">
        <v>0</v>
      </c>
      <c r="R15">
        <v>0</v>
      </c>
      <c r="S15">
        <v>3.6</v>
      </c>
      <c r="T15">
        <v>3.7037037037036999E-3</v>
      </c>
      <c r="U15">
        <v>5.6666666666666696</v>
      </c>
      <c r="V15">
        <v>9</v>
      </c>
    </row>
    <row r="16" spans="1:24" x14ac:dyDescent="0.25">
      <c r="A16" t="s">
        <v>543</v>
      </c>
      <c r="B16" t="s">
        <v>530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74</v>
      </c>
      <c r="N16">
        <v>39</v>
      </c>
      <c r="O16">
        <v>424</v>
      </c>
      <c r="P16">
        <v>4</v>
      </c>
      <c r="Q16">
        <v>0</v>
      </c>
      <c r="R16">
        <v>0</v>
      </c>
      <c r="S16">
        <v>105.4</v>
      </c>
      <c r="T16">
        <v>0.13703703703703701</v>
      </c>
      <c r="V16">
        <v>10.871794871794901</v>
      </c>
    </row>
    <row r="17" spans="1:22" x14ac:dyDescent="0.25">
      <c r="A17" t="s">
        <v>544</v>
      </c>
      <c r="B17" t="s">
        <v>530</v>
      </c>
      <c r="C17" t="s">
        <v>43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74</v>
      </c>
      <c r="N17">
        <v>43</v>
      </c>
      <c r="O17">
        <v>555</v>
      </c>
      <c r="P17">
        <v>3</v>
      </c>
      <c r="Q17">
        <v>0</v>
      </c>
      <c r="R17">
        <v>0</v>
      </c>
      <c r="S17">
        <v>114.5</v>
      </c>
      <c r="T17">
        <v>0.13703703703703701</v>
      </c>
      <c r="V17">
        <v>12.906976744186</v>
      </c>
    </row>
    <row r="18" spans="1:22" x14ac:dyDescent="0.25">
      <c r="A18" t="s">
        <v>545</v>
      </c>
      <c r="B18" t="s">
        <v>530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</v>
      </c>
      <c r="N18">
        <v>3</v>
      </c>
      <c r="O18">
        <v>24</v>
      </c>
      <c r="P18">
        <v>0</v>
      </c>
      <c r="Q18">
        <v>0</v>
      </c>
      <c r="R18">
        <v>0</v>
      </c>
      <c r="S18">
        <v>5.4</v>
      </c>
      <c r="T18">
        <v>7.4074074074074103E-3</v>
      </c>
      <c r="V18">
        <v>8</v>
      </c>
    </row>
    <row r="19" spans="1:22" x14ac:dyDescent="0.25">
      <c r="A19" t="s">
        <v>546</v>
      </c>
      <c r="B19" t="s">
        <v>530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7</v>
      </c>
      <c r="O19">
        <v>121</v>
      </c>
      <c r="P19">
        <v>0</v>
      </c>
      <c r="Q19">
        <v>0</v>
      </c>
      <c r="R19">
        <v>0</v>
      </c>
      <c r="S19">
        <v>19.100000000000001</v>
      </c>
      <c r="T19">
        <v>1.85185185185185E-2</v>
      </c>
      <c r="V19">
        <v>17.285714285714299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530</v>
      </c>
      <c r="B31">
        <v>6209</v>
      </c>
      <c r="C31">
        <v>3911</v>
      </c>
      <c r="D31">
        <v>530</v>
      </c>
      <c r="E31">
        <v>2298</v>
      </c>
      <c r="F31">
        <v>24</v>
      </c>
      <c r="G31">
        <v>1514.34</v>
      </c>
      <c r="H31">
        <v>556</v>
      </c>
      <c r="I31">
        <v>0.638489208633094</v>
      </c>
      <c r="J31">
        <v>28</v>
      </c>
      <c r="K31">
        <v>18</v>
      </c>
      <c r="L31">
        <v>1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DAL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547</v>
      </c>
      <c r="B36" t="s">
        <v>26</v>
      </c>
      <c r="C36">
        <v>28</v>
      </c>
      <c r="D36">
        <v>5</v>
      </c>
      <c r="E36" t="s">
        <v>344</v>
      </c>
      <c r="F36" t="s">
        <v>530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548</v>
      </c>
      <c r="B37" t="s">
        <v>26</v>
      </c>
      <c r="C37">
        <v>30</v>
      </c>
      <c r="D37">
        <v>8</v>
      </c>
      <c r="E37" t="s">
        <v>549</v>
      </c>
      <c r="F37" t="s">
        <v>530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550</v>
      </c>
      <c r="B38" t="s">
        <v>26</v>
      </c>
      <c r="C38">
        <v>29</v>
      </c>
      <c r="D38">
        <v>6</v>
      </c>
      <c r="E38" t="s">
        <v>309</v>
      </c>
      <c r="F38" t="s">
        <v>530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551</v>
      </c>
      <c r="B46" t="s">
        <v>31</v>
      </c>
      <c r="C46">
        <v>24</v>
      </c>
      <c r="D46">
        <v>2</v>
      </c>
      <c r="E46" t="s">
        <v>178</v>
      </c>
      <c r="F46" t="s">
        <v>530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552</v>
      </c>
      <c r="B47" t="s">
        <v>31</v>
      </c>
      <c r="C47">
        <v>25</v>
      </c>
      <c r="D47">
        <v>4</v>
      </c>
      <c r="E47" t="s">
        <v>341</v>
      </c>
      <c r="F47" t="s">
        <v>530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553</v>
      </c>
      <c r="B48" t="s">
        <v>31</v>
      </c>
      <c r="C48">
        <v>26</v>
      </c>
      <c r="D48">
        <v>6</v>
      </c>
      <c r="E48" t="s">
        <v>78</v>
      </c>
      <c r="F48" t="s">
        <v>530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554</v>
      </c>
      <c r="B49" t="s">
        <v>31</v>
      </c>
      <c r="C49">
        <v>23</v>
      </c>
      <c r="D49">
        <v>0</v>
      </c>
      <c r="E49" t="s">
        <v>555</v>
      </c>
      <c r="F49" t="s">
        <v>530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556</v>
      </c>
      <c r="B50" t="s">
        <v>31</v>
      </c>
      <c r="C50">
        <v>26</v>
      </c>
      <c r="D50">
        <v>5</v>
      </c>
      <c r="E50" t="s">
        <v>557</v>
      </c>
      <c r="F50" t="s">
        <v>530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558</v>
      </c>
      <c r="B51" t="s">
        <v>31</v>
      </c>
      <c r="C51">
        <v>21</v>
      </c>
      <c r="D51">
        <v>0</v>
      </c>
      <c r="E51" t="s">
        <v>559</v>
      </c>
      <c r="F51" t="s">
        <v>530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560</v>
      </c>
      <c r="B61" t="s">
        <v>43</v>
      </c>
      <c r="C61">
        <v>23</v>
      </c>
      <c r="D61">
        <v>0</v>
      </c>
      <c r="E61" t="s">
        <v>391</v>
      </c>
      <c r="F61" t="s">
        <v>530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561</v>
      </c>
      <c r="B62" t="s">
        <v>43</v>
      </c>
      <c r="C62">
        <v>23</v>
      </c>
      <c r="D62">
        <v>0</v>
      </c>
      <c r="E62" t="s">
        <v>341</v>
      </c>
      <c r="F62" t="s">
        <v>530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562</v>
      </c>
      <c r="B63" t="s">
        <v>43</v>
      </c>
      <c r="C63">
        <v>29</v>
      </c>
      <c r="D63">
        <v>10</v>
      </c>
      <c r="E63" t="s">
        <v>111</v>
      </c>
      <c r="F63" t="s">
        <v>530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563</v>
      </c>
      <c r="B64" t="s">
        <v>43</v>
      </c>
      <c r="C64">
        <v>25</v>
      </c>
      <c r="D64">
        <v>1</v>
      </c>
      <c r="E64" t="s">
        <v>240</v>
      </c>
      <c r="F64" t="s">
        <v>530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564</v>
      </c>
      <c r="B65" t="s">
        <v>43</v>
      </c>
      <c r="C65">
        <v>24</v>
      </c>
      <c r="D65">
        <v>0</v>
      </c>
      <c r="E65" t="s">
        <v>565</v>
      </c>
      <c r="F65" t="s">
        <v>530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566</v>
      </c>
      <c r="B66" t="s">
        <v>43</v>
      </c>
      <c r="C66">
        <v>25</v>
      </c>
      <c r="D66">
        <v>3</v>
      </c>
      <c r="E66" t="s">
        <v>102</v>
      </c>
      <c r="F66" t="s">
        <v>530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567</v>
      </c>
      <c r="B67" t="s">
        <v>43</v>
      </c>
      <c r="C67">
        <v>27</v>
      </c>
      <c r="D67">
        <v>6</v>
      </c>
      <c r="E67" t="s">
        <v>107</v>
      </c>
      <c r="F67" t="s">
        <v>530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568</v>
      </c>
      <c r="B68" t="s">
        <v>43</v>
      </c>
      <c r="C68">
        <v>24</v>
      </c>
      <c r="D68">
        <v>1</v>
      </c>
      <c r="E68" t="s">
        <v>569</v>
      </c>
      <c r="F68" t="s">
        <v>530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570</v>
      </c>
      <c r="B69" t="s">
        <v>43</v>
      </c>
      <c r="C69">
        <v>27</v>
      </c>
      <c r="D69">
        <v>4</v>
      </c>
      <c r="E69" t="s">
        <v>218</v>
      </c>
      <c r="F69" t="s">
        <v>530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571</v>
      </c>
      <c r="B70" t="s">
        <v>43</v>
      </c>
      <c r="C70">
        <v>24</v>
      </c>
      <c r="D70">
        <v>4</v>
      </c>
      <c r="E70" t="s">
        <v>68</v>
      </c>
      <c r="F70" t="s">
        <v>530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572</v>
      </c>
      <c r="B71" t="s">
        <v>43</v>
      </c>
      <c r="C71">
        <v>22</v>
      </c>
      <c r="D71">
        <v>0</v>
      </c>
      <c r="E71" t="s">
        <v>280</v>
      </c>
      <c r="F71" t="s">
        <v>530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573</v>
      </c>
      <c r="B72" t="s">
        <v>43</v>
      </c>
      <c r="C72">
        <v>23</v>
      </c>
      <c r="D72">
        <v>0</v>
      </c>
      <c r="E72" t="s">
        <v>574</v>
      </c>
      <c r="F72" t="s">
        <v>530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575</v>
      </c>
      <c r="B73" t="s">
        <v>43</v>
      </c>
      <c r="C73">
        <v>24</v>
      </c>
      <c r="D73">
        <v>2</v>
      </c>
      <c r="E73" t="s">
        <v>519</v>
      </c>
      <c r="F73" t="s">
        <v>530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576</v>
      </c>
      <c r="B74" t="s">
        <v>43</v>
      </c>
      <c r="C74">
        <v>27</v>
      </c>
      <c r="D74">
        <v>2</v>
      </c>
      <c r="E74" t="s">
        <v>76</v>
      </c>
      <c r="F74" t="s">
        <v>530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577</v>
      </c>
      <c r="B76" t="s">
        <v>38</v>
      </c>
      <c r="C76">
        <v>24</v>
      </c>
      <c r="D76">
        <v>0</v>
      </c>
      <c r="E76" t="s">
        <v>143</v>
      </c>
      <c r="F76" t="s">
        <v>530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578</v>
      </c>
      <c r="B77" t="s">
        <v>38</v>
      </c>
      <c r="C77">
        <v>24</v>
      </c>
      <c r="D77">
        <v>2</v>
      </c>
      <c r="E77" t="s">
        <v>72</v>
      </c>
      <c r="F77" t="s">
        <v>530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579</v>
      </c>
      <c r="B78" t="s">
        <v>38</v>
      </c>
      <c r="C78">
        <v>25</v>
      </c>
      <c r="D78">
        <v>1</v>
      </c>
      <c r="E78" t="s">
        <v>70</v>
      </c>
      <c r="F78" t="s">
        <v>530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580</v>
      </c>
      <c r="B79" t="s">
        <v>38</v>
      </c>
      <c r="C79">
        <v>24</v>
      </c>
      <c r="D79">
        <v>2</v>
      </c>
      <c r="E79" t="s">
        <v>360</v>
      </c>
      <c r="F79" t="s">
        <v>530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581</v>
      </c>
      <c r="B80" t="s">
        <v>38</v>
      </c>
      <c r="C80">
        <v>25</v>
      </c>
      <c r="D80">
        <v>4</v>
      </c>
      <c r="E80" t="s">
        <v>105</v>
      </c>
      <c r="F80" t="s">
        <v>530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582</v>
      </c>
      <c r="B81" t="s">
        <v>38</v>
      </c>
      <c r="C81">
        <v>24</v>
      </c>
      <c r="D81">
        <v>0</v>
      </c>
      <c r="E81" t="s">
        <v>105</v>
      </c>
      <c r="F81" t="s">
        <v>530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topLeftCell="H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583</v>
      </c>
      <c r="B2" t="s">
        <v>584</v>
      </c>
      <c r="C2" t="s">
        <v>26</v>
      </c>
      <c r="D2">
        <v>4</v>
      </c>
      <c r="E2">
        <v>88</v>
      </c>
      <c r="F2">
        <v>53</v>
      </c>
      <c r="G2">
        <v>483</v>
      </c>
      <c r="H2">
        <v>2</v>
      </c>
      <c r="I2">
        <v>4</v>
      </c>
      <c r="J2">
        <v>6</v>
      </c>
      <c r="K2">
        <v>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18.02</v>
      </c>
      <c r="T2">
        <v>0</v>
      </c>
      <c r="U2">
        <v>1.1666666666666701</v>
      </c>
      <c r="W2">
        <v>0.60227272727272696</v>
      </c>
      <c r="X2">
        <v>2.27272727272727E-2</v>
      </c>
    </row>
    <row r="3" spans="1:24" x14ac:dyDescent="0.25">
      <c r="A3" t="s">
        <v>585</v>
      </c>
      <c r="B3" t="s">
        <v>584</v>
      </c>
      <c r="C3" t="s">
        <v>26</v>
      </c>
      <c r="D3">
        <v>15</v>
      </c>
      <c r="E3">
        <v>483</v>
      </c>
      <c r="F3">
        <v>292</v>
      </c>
      <c r="G3">
        <v>3524</v>
      </c>
      <c r="H3">
        <v>16</v>
      </c>
      <c r="I3">
        <v>11</v>
      </c>
      <c r="J3">
        <v>55</v>
      </c>
      <c r="K3">
        <v>277</v>
      </c>
      <c r="L3">
        <v>3</v>
      </c>
      <c r="M3">
        <v>1</v>
      </c>
      <c r="N3">
        <v>1</v>
      </c>
      <c r="O3">
        <v>1</v>
      </c>
      <c r="P3">
        <v>0</v>
      </c>
      <c r="Q3">
        <v>2</v>
      </c>
      <c r="R3">
        <v>0</v>
      </c>
      <c r="S3">
        <v>225.76</v>
      </c>
      <c r="T3">
        <v>1.79856115107914E-3</v>
      </c>
      <c r="U3">
        <v>5.0363636363636397</v>
      </c>
      <c r="V3">
        <v>1</v>
      </c>
      <c r="W3">
        <v>0.60455486542443104</v>
      </c>
      <c r="X3">
        <v>3.3126293995859202E-2</v>
      </c>
    </row>
    <row r="4" spans="1:24" x14ac:dyDescent="0.25">
      <c r="A4" t="s">
        <v>586</v>
      </c>
      <c r="B4" t="s">
        <v>584</v>
      </c>
      <c r="C4" t="s">
        <v>31</v>
      </c>
      <c r="D4">
        <v>5</v>
      </c>
      <c r="E4">
        <v>0</v>
      </c>
      <c r="F4">
        <v>0</v>
      </c>
      <c r="G4">
        <v>0</v>
      </c>
      <c r="H4">
        <v>0</v>
      </c>
      <c r="I4">
        <v>0</v>
      </c>
      <c r="J4">
        <v>26</v>
      </c>
      <c r="K4">
        <v>125</v>
      </c>
      <c r="L4">
        <v>0</v>
      </c>
      <c r="M4">
        <v>7</v>
      </c>
      <c r="N4">
        <v>6</v>
      </c>
      <c r="O4">
        <v>61</v>
      </c>
      <c r="P4">
        <v>0</v>
      </c>
      <c r="Q4">
        <v>0</v>
      </c>
      <c r="R4">
        <v>0</v>
      </c>
      <c r="S4">
        <v>24.6</v>
      </c>
      <c r="T4">
        <v>1.2589928057554E-2</v>
      </c>
      <c r="U4">
        <v>4.8076923076923102</v>
      </c>
      <c r="V4">
        <v>10.1666666666667</v>
      </c>
    </row>
    <row r="5" spans="1:24" x14ac:dyDescent="0.25">
      <c r="A5" t="s">
        <v>587</v>
      </c>
      <c r="B5" t="s">
        <v>584</v>
      </c>
      <c r="C5" t="s">
        <v>31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3</v>
      </c>
      <c r="K5">
        <v>4</v>
      </c>
      <c r="L5">
        <v>0</v>
      </c>
      <c r="M5">
        <v>1</v>
      </c>
      <c r="N5">
        <v>1</v>
      </c>
      <c r="O5">
        <v>3</v>
      </c>
      <c r="P5">
        <v>0</v>
      </c>
      <c r="Q5">
        <v>0</v>
      </c>
      <c r="R5">
        <v>0</v>
      </c>
      <c r="S5">
        <v>1.7</v>
      </c>
      <c r="T5">
        <v>1.79856115107914E-3</v>
      </c>
      <c r="U5">
        <v>1.3333333333333299</v>
      </c>
      <c r="V5">
        <v>3</v>
      </c>
    </row>
    <row r="6" spans="1:24" x14ac:dyDescent="0.25">
      <c r="A6" t="s">
        <v>588</v>
      </c>
      <c r="B6" t="s">
        <v>584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47</v>
      </c>
      <c r="K6">
        <v>204</v>
      </c>
      <c r="L6">
        <v>0</v>
      </c>
      <c r="M6">
        <v>22</v>
      </c>
      <c r="N6">
        <v>16</v>
      </c>
      <c r="O6">
        <v>76</v>
      </c>
      <c r="P6">
        <v>0</v>
      </c>
      <c r="Q6">
        <v>1</v>
      </c>
      <c r="R6">
        <v>0</v>
      </c>
      <c r="S6">
        <v>42</v>
      </c>
      <c r="T6">
        <v>3.9568345323740997E-2</v>
      </c>
      <c r="U6">
        <v>4.3404255319148897</v>
      </c>
      <c r="V6">
        <v>4.75</v>
      </c>
    </row>
    <row r="7" spans="1:24" x14ac:dyDescent="0.25">
      <c r="A7" t="s">
        <v>589</v>
      </c>
      <c r="B7" t="s">
        <v>584</v>
      </c>
      <c r="C7" t="s">
        <v>31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160</v>
      </c>
      <c r="K7">
        <v>703</v>
      </c>
      <c r="L7">
        <v>5</v>
      </c>
      <c r="M7">
        <v>34</v>
      </c>
      <c r="N7">
        <v>26</v>
      </c>
      <c r="O7">
        <v>124</v>
      </c>
      <c r="P7">
        <v>0</v>
      </c>
      <c r="Q7">
        <v>0</v>
      </c>
      <c r="R7">
        <v>1</v>
      </c>
      <c r="S7">
        <v>140.69999999999999</v>
      </c>
      <c r="T7">
        <v>6.11510791366906E-2</v>
      </c>
      <c r="U7">
        <v>4.3937499999999998</v>
      </c>
      <c r="V7">
        <v>4.7692307692307701</v>
      </c>
    </row>
    <row r="8" spans="1:24" x14ac:dyDescent="0.25">
      <c r="A8" t="s">
        <v>590</v>
      </c>
      <c r="B8" t="s">
        <v>584</v>
      </c>
      <c r="C8" t="s">
        <v>31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24</v>
      </c>
      <c r="K8">
        <v>102</v>
      </c>
      <c r="L8">
        <v>0</v>
      </c>
      <c r="M8">
        <v>15</v>
      </c>
      <c r="N8">
        <v>9</v>
      </c>
      <c r="O8">
        <v>96</v>
      </c>
      <c r="P8">
        <v>0</v>
      </c>
      <c r="Q8">
        <v>0</v>
      </c>
      <c r="R8">
        <v>0</v>
      </c>
      <c r="S8">
        <v>28.8</v>
      </c>
      <c r="T8">
        <v>2.6978417266187001E-2</v>
      </c>
      <c r="U8">
        <v>4.25</v>
      </c>
      <c r="V8">
        <v>10.6666666666667</v>
      </c>
    </row>
    <row r="9" spans="1:24" x14ac:dyDescent="0.25">
      <c r="A9" t="s">
        <v>591</v>
      </c>
      <c r="B9" t="s">
        <v>584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90</v>
      </c>
      <c r="K9">
        <v>318</v>
      </c>
      <c r="L9">
        <v>2</v>
      </c>
      <c r="M9">
        <v>32</v>
      </c>
      <c r="N9">
        <v>25</v>
      </c>
      <c r="O9">
        <v>223</v>
      </c>
      <c r="P9">
        <v>0</v>
      </c>
      <c r="Q9">
        <v>2</v>
      </c>
      <c r="R9">
        <v>0</v>
      </c>
      <c r="S9">
        <v>87.1</v>
      </c>
      <c r="T9">
        <v>5.7553956834532398E-2</v>
      </c>
      <c r="U9">
        <v>3.5333333333333301</v>
      </c>
      <c r="V9">
        <v>8.92</v>
      </c>
    </row>
    <row r="10" spans="1:24" x14ac:dyDescent="0.25">
      <c r="A10" t="s">
        <v>592</v>
      </c>
      <c r="B10" t="s">
        <v>584</v>
      </c>
      <c r="C10" t="s">
        <v>31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16</v>
      </c>
      <c r="K10">
        <v>84</v>
      </c>
      <c r="L10">
        <v>1</v>
      </c>
      <c r="M10">
        <v>10</v>
      </c>
      <c r="N10">
        <v>8</v>
      </c>
      <c r="O10">
        <v>99</v>
      </c>
      <c r="P10">
        <v>1</v>
      </c>
      <c r="Q10">
        <v>0</v>
      </c>
      <c r="R10">
        <v>0</v>
      </c>
      <c r="S10">
        <v>38.299999999999997</v>
      </c>
      <c r="T10">
        <v>1.7985611510791401E-2</v>
      </c>
      <c r="U10">
        <v>5.25</v>
      </c>
      <c r="V10">
        <v>12.375</v>
      </c>
    </row>
    <row r="11" spans="1:24" x14ac:dyDescent="0.25">
      <c r="A11" t="s">
        <v>593</v>
      </c>
      <c r="B11" t="s">
        <v>584</v>
      </c>
      <c r="C11" t="s">
        <v>31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24</v>
      </c>
      <c r="P11">
        <v>1</v>
      </c>
      <c r="Q11">
        <v>0</v>
      </c>
      <c r="R11">
        <v>0</v>
      </c>
      <c r="S11">
        <v>9.4</v>
      </c>
      <c r="T11">
        <v>1.79856115107914E-3</v>
      </c>
      <c r="U11">
        <v>0</v>
      </c>
      <c r="V11">
        <v>24</v>
      </c>
    </row>
    <row r="12" spans="1:24" x14ac:dyDescent="0.25">
      <c r="A12" t="s">
        <v>594</v>
      </c>
      <c r="B12" t="s">
        <v>584</v>
      </c>
      <c r="C12" t="s">
        <v>38</v>
      </c>
      <c r="D12">
        <v>8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11</v>
      </c>
      <c r="N12">
        <v>5</v>
      </c>
      <c r="O12">
        <v>69</v>
      </c>
      <c r="P12">
        <v>0</v>
      </c>
      <c r="Q12">
        <v>0</v>
      </c>
      <c r="R12">
        <v>0</v>
      </c>
      <c r="S12">
        <v>11.9</v>
      </c>
      <c r="T12">
        <v>1.9784172661870499E-2</v>
      </c>
      <c r="U12">
        <v>0</v>
      </c>
      <c r="V12">
        <v>13.8</v>
      </c>
    </row>
    <row r="13" spans="1:24" x14ac:dyDescent="0.25">
      <c r="A13" t="s">
        <v>595</v>
      </c>
      <c r="B13" t="s">
        <v>584</v>
      </c>
      <c r="C13" t="s">
        <v>38</v>
      </c>
      <c r="D13">
        <v>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18</v>
      </c>
      <c r="N13">
        <v>10</v>
      </c>
      <c r="O13">
        <v>95</v>
      </c>
      <c r="P13">
        <v>1</v>
      </c>
      <c r="Q13">
        <v>0</v>
      </c>
      <c r="R13">
        <v>0</v>
      </c>
      <c r="S13">
        <v>25.5</v>
      </c>
      <c r="T13">
        <v>3.2374100719424502E-2</v>
      </c>
      <c r="V13">
        <v>9.5</v>
      </c>
    </row>
    <row r="14" spans="1:24" x14ac:dyDescent="0.25">
      <c r="A14" t="s">
        <v>596</v>
      </c>
      <c r="B14" t="s">
        <v>584</v>
      </c>
      <c r="C14" t="s">
        <v>38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24</v>
      </c>
      <c r="N14">
        <v>15</v>
      </c>
      <c r="O14">
        <v>148</v>
      </c>
      <c r="P14">
        <v>1</v>
      </c>
      <c r="Q14">
        <v>0</v>
      </c>
      <c r="R14">
        <v>0</v>
      </c>
      <c r="S14">
        <v>35.799999999999997</v>
      </c>
      <c r="T14">
        <v>4.3165467625899297E-2</v>
      </c>
      <c r="V14">
        <v>9.8666666666666707</v>
      </c>
    </row>
    <row r="15" spans="1:24" x14ac:dyDescent="0.25">
      <c r="A15" t="s">
        <v>597</v>
      </c>
      <c r="B15" t="s">
        <v>584</v>
      </c>
      <c r="C15" t="s">
        <v>38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79</v>
      </c>
      <c r="P15">
        <v>2</v>
      </c>
      <c r="Q15">
        <v>0</v>
      </c>
      <c r="R15">
        <v>0</v>
      </c>
      <c r="S15">
        <v>28.9</v>
      </c>
      <c r="T15">
        <v>2.3381294964028802E-2</v>
      </c>
      <c r="V15">
        <v>8.7777777777777803</v>
      </c>
    </row>
    <row r="16" spans="1:24" x14ac:dyDescent="0.25">
      <c r="A16" t="s">
        <v>598</v>
      </c>
      <c r="B16" t="s">
        <v>584</v>
      </c>
      <c r="C16" t="s">
        <v>38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55</v>
      </c>
      <c r="N16">
        <v>33</v>
      </c>
      <c r="O16">
        <v>411</v>
      </c>
      <c r="P16">
        <v>2</v>
      </c>
      <c r="Q16">
        <v>0</v>
      </c>
      <c r="R16">
        <v>0</v>
      </c>
      <c r="S16">
        <v>86.1</v>
      </c>
      <c r="T16">
        <v>9.89208633093525E-2</v>
      </c>
      <c r="V16">
        <v>12.454545454545499</v>
      </c>
    </row>
    <row r="17" spans="1:22" x14ac:dyDescent="0.25">
      <c r="A17" t="s">
        <v>599</v>
      </c>
      <c r="B17" t="s">
        <v>584</v>
      </c>
      <c r="C17" t="s">
        <v>43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6</v>
      </c>
      <c r="O17">
        <v>42</v>
      </c>
      <c r="P17">
        <v>1</v>
      </c>
      <c r="Q17">
        <v>0</v>
      </c>
      <c r="R17">
        <v>0</v>
      </c>
      <c r="S17">
        <v>16.2</v>
      </c>
      <c r="T17">
        <v>2.5179856115107899E-2</v>
      </c>
      <c r="V17">
        <v>7</v>
      </c>
    </row>
    <row r="18" spans="1:22" x14ac:dyDescent="0.25">
      <c r="A18" t="s">
        <v>600</v>
      </c>
      <c r="B18" t="s">
        <v>584</v>
      </c>
      <c r="C18" t="s">
        <v>43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5</v>
      </c>
      <c r="L18">
        <v>0</v>
      </c>
      <c r="M18">
        <v>109</v>
      </c>
      <c r="N18">
        <v>64</v>
      </c>
      <c r="O18">
        <v>829</v>
      </c>
      <c r="P18">
        <v>2</v>
      </c>
      <c r="Q18">
        <v>0</v>
      </c>
      <c r="R18">
        <v>0</v>
      </c>
      <c r="S18">
        <v>159.4</v>
      </c>
      <c r="T18">
        <v>0.19604316546762601</v>
      </c>
      <c r="U18">
        <v>5</v>
      </c>
      <c r="V18">
        <v>12.953125</v>
      </c>
    </row>
    <row r="19" spans="1:22" x14ac:dyDescent="0.25">
      <c r="A19" t="s">
        <v>601</v>
      </c>
      <c r="B19" t="s">
        <v>584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</v>
      </c>
      <c r="N19">
        <v>4</v>
      </c>
      <c r="O19">
        <v>74</v>
      </c>
      <c r="P19">
        <v>0</v>
      </c>
      <c r="Q19">
        <v>0</v>
      </c>
      <c r="R19">
        <v>0</v>
      </c>
      <c r="S19">
        <v>11.4</v>
      </c>
      <c r="T19">
        <v>1.07913669064748E-2</v>
      </c>
      <c r="V19">
        <v>18.5</v>
      </c>
    </row>
    <row r="20" spans="1:22" x14ac:dyDescent="0.25">
      <c r="A20" t="s">
        <v>602</v>
      </c>
      <c r="B20" t="s">
        <v>584</v>
      </c>
      <c r="C20" t="s">
        <v>43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4</v>
      </c>
      <c r="K20">
        <v>40</v>
      </c>
      <c r="L20">
        <v>0</v>
      </c>
      <c r="M20">
        <v>100</v>
      </c>
      <c r="N20">
        <v>67</v>
      </c>
      <c r="O20">
        <v>972</v>
      </c>
      <c r="P20">
        <v>6</v>
      </c>
      <c r="Q20">
        <v>0</v>
      </c>
      <c r="R20">
        <v>0</v>
      </c>
      <c r="S20">
        <v>204.2</v>
      </c>
      <c r="T20">
        <v>0.17985611510791399</v>
      </c>
      <c r="U20">
        <v>10</v>
      </c>
      <c r="V20">
        <v>14.5074626865672</v>
      </c>
    </row>
    <row r="21" spans="1:22" x14ac:dyDescent="0.25">
      <c r="A21" t="s">
        <v>603</v>
      </c>
      <c r="B21" t="s">
        <v>584</v>
      </c>
      <c r="C21" t="s">
        <v>43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75</v>
      </c>
      <c r="P21">
        <v>1</v>
      </c>
      <c r="Q21">
        <v>0</v>
      </c>
      <c r="R21">
        <v>0</v>
      </c>
      <c r="S21">
        <v>15.5</v>
      </c>
      <c r="T21">
        <v>8.9928057553956796E-3</v>
      </c>
      <c r="V21">
        <v>37.5</v>
      </c>
    </row>
    <row r="22" spans="1:22" x14ac:dyDescent="0.25">
      <c r="A22" t="s">
        <v>604</v>
      </c>
      <c r="B22" t="s">
        <v>584</v>
      </c>
      <c r="C22" t="s">
        <v>43</v>
      </c>
      <c r="D22">
        <v>6</v>
      </c>
      <c r="E22">
        <v>0</v>
      </c>
      <c r="F22">
        <v>0</v>
      </c>
      <c r="G22">
        <v>0</v>
      </c>
      <c r="H22">
        <v>0</v>
      </c>
      <c r="I22">
        <v>0</v>
      </c>
      <c r="J22">
        <v>2</v>
      </c>
      <c r="K22">
        <v>23</v>
      </c>
      <c r="L22">
        <v>0</v>
      </c>
      <c r="M22">
        <v>14</v>
      </c>
      <c r="N22">
        <v>7</v>
      </c>
      <c r="O22">
        <v>165</v>
      </c>
      <c r="P22">
        <v>0</v>
      </c>
      <c r="Q22">
        <v>0</v>
      </c>
      <c r="R22">
        <v>0</v>
      </c>
      <c r="S22">
        <v>25.8</v>
      </c>
      <c r="T22">
        <v>2.5179856115107899E-2</v>
      </c>
      <c r="U22">
        <v>11.5</v>
      </c>
      <c r="V22">
        <v>23.571428571428601</v>
      </c>
    </row>
    <row r="23" spans="1:22" x14ac:dyDescent="0.25">
      <c r="A23" t="s">
        <v>605</v>
      </c>
      <c r="B23" t="s">
        <v>584</v>
      </c>
      <c r="C23" t="s">
        <v>43</v>
      </c>
      <c r="D23">
        <v>11</v>
      </c>
      <c r="E23">
        <v>0</v>
      </c>
      <c r="F23">
        <v>0</v>
      </c>
      <c r="G23">
        <v>0</v>
      </c>
      <c r="H23">
        <v>0</v>
      </c>
      <c r="I23">
        <v>0</v>
      </c>
      <c r="J23">
        <v>2</v>
      </c>
      <c r="K23">
        <v>13</v>
      </c>
      <c r="L23">
        <v>0</v>
      </c>
      <c r="M23">
        <v>33</v>
      </c>
      <c r="N23">
        <v>24</v>
      </c>
      <c r="O23">
        <v>311</v>
      </c>
      <c r="P23">
        <v>0</v>
      </c>
      <c r="Q23">
        <v>0</v>
      </c>
      <c r="R23">
        <v>0</v>
      </c>
      <c r="S23">
        <v>56.4</v>
      </c>
      <c r="T23">
        <v>5.9352517985611503E-2</v>
      </c>
      <c r="U23">
        <v>6.5</v>
      </c>
      <c r="V23">
        <v>12.9583333333333</v>
      </c>
    </row>
    <row r="24" spans="1:22" x14ac:dyDescent="0.25">
      <c r="A24" t="s">
        <v>606</v>
      </c>
      <c r="B24" t="s">
        <v>584</v>
      </c>
      <c r="C24" t="s">
        <v>43</v>
      </c>
      <c r="D24">
        <v>9</v>
      </c>
      <c r="E24">
        <v>0</v>
      </c>
      <c r="F24">
        <v>0</v>
      </c>
      <c r="G24">
        <v>0</v>
      </c>
      <c r="H24">
        <v>0</v>
      </c>
      <c r="I24">
        <v>0</v>
      </c>
      <c r="J24">
        <v>5</v>
      </c>
      <c r="K24">
        <v>30</v>
      </c>
      <c r="L24">
        <v>0</v>
      </c>
      <c r="M24">
        <v>9</v>
      </c>
      <c r="N24">
        <v>4</v>
      </c>
      <c r="O24">
        <v>2</v>
      </c>
      <c r="P24">
        <v>0</v>
      </c>
      <c r="Q24">
        <v>0</v>
      </c>
      <c r="R24">
        <v>0</v>
      </c>
      <c r="S24">
        <v>7.2</v>
      </c>
      <c r="T24">
        <v>1.6187050359712199E-2</v>
      </c>
      <c r="U24">
        <v>6</v>
      </c>
      <c r="V24">
        <v>0.5</v>
      </c>
    </row>
    <row r="25" spans="1:22" x14ac:dyDescent="0.25">
      <c r="A25" t="s">
        <v>607</v>
      </c>
      <c r="B25" t="s">
        <v>584</v>
      </c>
      <c r="C25" t="s">
        <v>43</v>
      </c>
      <c r="D25">
        <v>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7</v>
      </c>
      <c r="N25">
        <v>2</v>
      </c>
      <c r="O25">
        <v>28</v>
      </c>
      <c r="P25">
        <v>0</v>
      </c>
      <c r="Q25">
        <v>0</v>
      </c>
      <c r="R25">
        <v>0</v>
      </c>
      <c r="S25">
        <v>4.8</v>
      </c>
      <c r="T25">
        <v>1.2589928057554E-2</v>
      </c>
      <c r="V25">
        <v>14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584</v>
      </c>
      <c r="B31">
        <v>5942</v>
      </c>
      <c r="C31">
        <v>4007</v>
      </c>
      <c r="D31">
        <v>444</v>
      </c>
      <c r="E31">
        <v>1935</v>
      </c>
      <c r="F31">
        <v>11</v>
      </c>
      <c r="G31">
        <v>1305.48</v>
      </c>
      <c r="H31">
        <v>571</v>
      </c>
      <c r="I31">
        <v>0.60420315236427302</v>
      </c>
      <c r="J31">
        <v>18</v>
      </c>
      <c r="K31">
        <v>15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DEN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608</v>
      </c>
      <c r="B36" t="s">
        <v>26</v>
      </c>
      <c r="C36">
        <v>26</v>
      </c>
      <c r="D36">
        <v>2</v>
      </c>
      <c r="E36" t="s">
        <v>609</v>
      </c>
      <c r="F36" t="s">
        <v>584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610</v>
      </c>
      <c r="B37" t="s">
        <v>26</v>
      </c>
      <c r="C37">
        <v>27</v>
      </c>
      <c r="D37">
        <v>4</v>
      </c>
      <c r="E37" t="s">
        <v>464</v>
      </c>
      <c r="F37" t="s">
        <v>584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611</v>
      </c>
      <c r="B38" t="s">
        <v>26</v>
      </c>
      <c r="C38">
        <v>34</v>
      </c>
      <c r="D38">
        <v>12</v>
      </c>
      <c r="E38" t="s">
        <v>72</v>
      </c>
      <c r="F38" t="s">
        <v>584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612</v>
      </c>
      <c r="B46" t="s">
        <v>31</v>
      </c>
      <c r="C46">
        <v>23</v>
      </c>
      <c r="D46">
        <v>1</v>
      </c>
      <c r="E46" t="s">
        <v>613</v>
      </c>
      <c r="F46" t="s">
        <v>584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614</v>
      </c>
      <c r="B47" t="s">
        <v>31</v>
      </c>
      <c r="C47">
        <v>25</v>
      </c>
      <c r="D47">
        <v>3</v>
      </c>
      <c r="E47" t="s">
        <v>362</v>
      </c>
      <c r="F47" t="s">
        <v>584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615</v>
      </c>
      <c r="B48" t="s">
        <v>31</v>
      </c>
      <c r="C48">
        <v>22</v>
      </c>
      <c r="D48">
        <v>0</v>
      </c>
      <c r="E48" t="s">
        <v>616</v>
      </c>
      <c r="F48" t="s">
        <v>584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617</v>
      </c>
      <c r="B49" t="s">
        <v>31</v>
      </c>
      <c r="C49">
        <v>27</v>
      </c>
      <c r="D49">
        <v>7</v>
      </c>
      <c r="E49" t="s">
        <v>68</v>
      </c>
      <c r="F49" t="s">
        <v>584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618</v>
      </c>
      <c r="B50" t="s">
        <v>31</v>
      </c>
      <c r="C50">
        <v>29</v>
      </c>
      <c r="D50">
        <v>8</v>
      </c>
      <c r="E50" t="s">
        <v>86</v>
      </c>
      <c r="F50" t="s">
        <v>584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619</v>
      </c>
      <c r="B51" t="s">
        <v>31</v>
      </c>
      <c r="C51">
        <v>23</v>
      </c>
      <c r="D51">
        <v>3</v>
      </c>
      <c r="E51" t="s">
        <v>163</v>
      </c>
      <c r="F51" t="s">
        <v>584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620</v>
      </c>
      <c r="B61" t="s">
        <v>43</v>
      </c>
      <c r="C61">
        <v>25</v>
      </c>
      <c r="D61">
        <v>2</v>
      </c>
      <c r="E61" t="s">
        <v>211</v>
      </c>
      <c r="F61" t="s">
        <v>584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621</v>
      </c>
      <c r="B62" t="s">
        <v>43</v>
      </c>
      <c r="C62">
        <v>25</v>
      </c>
      <c r="D62">
        <v>4</v>
      </c>
      <c r="E62" t="s">
        <v>143</v>
      </c>
      <c r="F62" t="s">
        <v>584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622</v>
      </c>
      <c r="B63" t="s">
        <v>43</v>
      </c>
      <c r="C63">
        <v>23</v>
      </c>
      <c r="D63">
        <v>0</v>
      </c>
      <c r="E63" t="s">
        <v>623</v>
      </c>
      <c r="F63" t="s">
        <v>584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624</v>
      </c>
      <c r="B64" t="s">
        <v>43</v>
      </c>
      <c r="C64">
        <v>26</v>
      </c>
      <c r="D64">
        <v>3</v>
      </c>
      <c r="E64" t="s">
        <v>95</v>
      </c>
      <c r="F64" t="s">
        <v>584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625</v>
      </c>
      <c r="B65" t="s">
        <v>43</v>
      </c>
      <c r="C65">
        <v>25</v>
      </c>
      <c r="D65">
        <v>4</v>
      </c>
      <c r="E65" t="s">
        <v>66</v>
      </c>
      <c r="F65" t="s">
        <v>584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626</v>
      </c>
      <c r="B66" t="s">
        <v>43</v>
      </c>
      <c r="C66">
        <v>24</v>
      </c>
      <c r="D66">
        <v>4</v>
      </c>
      <c r="E66" t="s">
        <v>153</v>
      </c>
      <c r="F66" t="s">
        <v>584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627</v>
      </c>
      <c r="B67" t="s">
        <v>43</v>
      </c>
      <c r="C67">
        <v>25</v>
      </c>
      <c r="D67">
        <v>2</v>
      </c>
      <c r="E67" t="s">
        <v>282</v>
      </c>
      <c r="F67" t="s">
        <v>584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628</v>
      </c>
      <c r="B68" t="s">
        <v>43</v>
      </c>
      <c r="C68">
        <v>26</v>
      </c>
      <c r="D68">
        <v>2</v>
      </c>
      <c r="E68" t="s">
        <v>629</v>
      </c>
      <c r="F68" t="s">
        <v>584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630</v>
      </c>
      <c r="B69" t="s">
        <v>43</v>
      </c>
      <c r="C69">
        <v>21</v>
      </c>
      <c r="D69">
        <v>0</v>
      </c>
      <c r="E69" t="s">
        <v>68</v>
      </c>
      <c r="F69" t="s">
        <v>584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631</v>
      </c>
      <c r="B70" t="s">
        <v>43</v>
      </c>
      <c r="C70">
        <v>29</v>
      </c>
      <c r="D70">
        <v>6</v>
      </c>
      <c r="E70" t="s">
        <v>207</v>
      </c>
      <c r="F70" t="s">
        <v>584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632</v>
      </c>
      <c r="B71" t="s">
        <v>43</v>
      </c>
      <c r="C71">
        <v>27</v>
      </c>
      <c r="D71">
        <v>6</v>
      </c>
      <c r="E71" t="s">
        <v>237</v>
      </c>
      <c r="F71" t="s">
        <v>584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633</v>
      </c>
      <c r="B72" t="s">
        <v>43</v>
      </c>
      <c r="C72">
        <v>25</v>
      </c>
      <c r="D72">
        <v>2</v>
      </c>
      <c r="E72" t="s">
        <v>277</v>
      </c>
      <c r="F72" t="s">
        <v>584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634</v>
      </c>
      <c r="B73" t="s">
        <v>43</v>
      </c>
      <c r="C73">
        <v>24</v>
      </c>
      <c r="D73">
        <v>2</v>
      </c>
      <c r="E73" t="s">
        <v>635</v>
      </c>
      <c r="F73" t="s">
        <v>584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636</v>
      </c>
      <c r="B74" t="s">
        <v>43</v>
      </c>
      <c r="D74">
        <v>0</v>
      </c>
      <c r="E74" t="s">
        <v>637</v>
      </c>
      <c r="F74" t="s">
        <v>584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638</v>
      </c>
      <c r="B76" t="s">
        <v>38</v>
      </c>
      <c r="C76">
        <v>24</v>
      </c>
      <c r="D76">
        <v>0</v>
      </c>
      <c r="E76" t="s">
        <v>341</v>
      </c>
      <c r="F76" t="s">
        <v>584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639</v>
      </c>
      <c r="B77" t="s">
        <v>38</v>
      </c>
      <c r="C77">
        <v>23</v>
      </c>
      <c r="D77">
        <v>2</v>
      </c>
      <c r="E77" t="s">
        <v>418</v>
      </c>
      <c r="F77" t="s">
        <v>584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640</v>
      </c>
      <c r="B78" t="s">
        <v>38</v>
      </c>
      <c r="C78">
        <v>26</v>
      </c>
      <c r="D78">
        <v>2</v>
      </c>
      <c r="E78" t="s">
        <v>155</v>
      </c>
      <c r="F78" t="s">
        <v>584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641</v>
      </c>
      <c r="B79" t="s">
        <v>38</v>
      </c>
      <c r="C79">
        <v>31</v>
      </c>
      <c r="D79">
        <v>8</v>
      </c>
      <c r="E79" t="s">
        <v>642</v>
      </c>
      <c r="F79" t="s">
        <v>584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643</v>
      </c>
      <c r="B80" t="s">
        <v>38</v>
      </c>
      <c r="C80">
        <v>25</v>
      </c>
      <c r="D80">
        <v>4</v>
      </c>
      <c r="E80" t="s">
        <v>613</v>
      </c>
      <c r="F80" t="s">
        <v>584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644</v>
      </c>
      <c r="B81" t="s">
        <v>38</v>
      </c>
      <c r="C81">
        <v>26</v>
      </c>
      <c r="D81">
        <v>4</v>
      </c>
      <c r="E81" t="s">
        <v>645</v>
      </c>
      <c r="F81" t="s">
        <v>584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topLeftCell="G19" workbookViewId="0">
      <selection activeCell="AB46" sqref="AB46:AB53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646</v>
      </c>
      <c r="B2" t="s">
        <v>647</v>
      </c>
      <c r="C2" t="s">
        <v>115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4</v>
      </c>
      <c r="L2">
        <v>0</v>
      </c>
      <c r="M2">
        <v>4</v>
      </c>
      <c r="N2">
        <v>1</v>
      </c>
      <c r="O2">
        <v>5</v>
      </c>
      <c r="P2">
        <v>0</v>
      </c>
      <c r="Q2">
        <v>0</v>
      </c>
      <c r="R2">
        <v>0</v>
      </c>
      <c r="S2">
        <v>1.9</v>
      </c>
      <c r="T2">
        <v>7.0052539404553398E-3</v>
      </c>
      <c r="U2">
        <v>4</v>
      </c>
      <c r="V2">
        <v>5</v>
      </c>
    </row>
    <row r="3" spans="1:24" x14ac:dyDescent="0.25">
      <c r="A3" t="s">
        <v>648</v>
      </c>
      <c r="B3" t="s">
        <v>647</v>
      </c>
      <c r="C3" t="s">
        <v>26</v>
      </c>
      <c r="D3">
        <v>17</v>
      </c>
      <c r="E3">
        <v>587</v>
      </c>
      <c r="F3">
        <v>382</v>
      </c>
      <c r="G3">
        <v>4438</v>
      </c>
      <c r="H3">
        <v>29</v>
      </c>
      <c r="I3">
        <v>7</v>
      </c>
      <c r="J3">
        <v>29</v>
      </c>
      <c r="K3">
        <v>73</v>
      </c>
      <c r="L3">
        <v>0</v>
      </c>
      <c r="M3">
        <v>1</v>
      </c>
      <c r="N3">
        <v>1</v>
      </c>
      <c r="O3">
        <v>5</v>
      </c>
      <c r="P3">
        <v>0</v>
      </c>
      <c r="Q3">
        <v>4</v>
      </c>
      <c r="R3">
        <v>2</v>
      </c>
      <c r="S3">
        <v>284.32</v>
      </c>
      <c r="T3">
        <v>1.7513134851138399E-3</v>
      </c>
      <c r="U3">
        <v>2.5172413793103399</v>
      </c>
      <c r="V3">
        <v>5</v>
      </c>
      <c r="W3">
        <v>0.65076660988074997</v>
      </c>
      <c r="X3">
        <v>4.9403747870528099E-2</v>
      </c>
    </row>
    <row r="4" spans="1:24" x14ac:dyDescent="0.25">
      <c r="A4" t="s">
        <v>649</v>
      </c>
      <c r="B4" t="s">
        <v>647</v>
      </c>
      <c r="C4" t="s">
        <v>26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5</v>
      </c>
      <c r="K4">
        <v>-4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-0.4</v>
      </c>
      <c r="T4">
        <v>0</v>
      </c>
      <c r="U4">
        <v>-0.8</v>
      </c>
    </row>
    <row r="5" spans="1:24" x14ac:dyDescent="0.25">
      <c r="A5" t="s">
        <v>650</v>
      </c>
      <c r="B5" t="s">
        <v>647</v>
      </c>
      <c r="C5" t="s">
        <v>31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23</v>
      </c>
      <c r="K5">
        <v>102</v>
      </c>
      <c r="L5">
        <v>0</v>
      </c>
      <c r="M5">
        <v>10</v>
      </c>
      <c r="N5">
        <v>9</v>
      </c>
      <c r="O5">
        <v>116</v>
      </c>
      <c r="P5">
        <v>0</v>
      </c>
      <c r="Q5">
        <v>0</v>
      </c>
      <c r="R5">
        <v>0</v>
      </c>
      <c r="S5">
        <v>30.8</v>
      </c>
      <c r="T5">
        <v>1.7513134851138399E-2</v>
      </c>
      <c r="U5">
        <v>4.4347826086956497</v>
      </c>
      <c r="V5">
        <v>12.8888888888889</v>
      </c>
    </row>
    <row r="6" spans="1:24" x14ac:dyDescent="0.25">
      <c r="A6" t="s">
        <v>651</v>
      </c>
      <c r="B6" t="s">
        <v>647</v>
      </c>
      <c r="C6" t="s">
        <v>31</v>
      </c>
      <c r="D6">
        <v>14</v>
      </c>
      <c r="E6">
        <v>0</v>
      </c>
      <c r="F6">
        <v>0</v>
      </c>
      <c r="G6">
        <v>0</v>
      </c>
      <c r="H6">
        <v>0</v>
      </c>
      <c r="I6">
        <v>0</v>
      </c>
      <c r="J6">
        <v>99</v>
      </c>
      <c r="K6">
        <v>542</v>
      </c>
      <c r="L6">
        <v>5</v>
      </c>
      <c r="M6">
        <v>70</v>
      </c>
      <c r="N6">
        <v>48</v>
      </c>
      <c r="O6">
        <v>389</v>
      </c>
      <c r="P6">
        <v>3</v>
      </c>
      <c r="Q6">
        <v>0</v>
      </c>
      <c r="R6">
        <v>1</v>
      </c>
      <c r="S6">
        <v>191.1</v>
      </c>
      <c r="T6">
        <v>0.12259194395796801</v>
      </c>
      <c r="U6">
        <v>5.4747474747474696</v>
      </c>
      <c r="V6">
        <v>8.1041666666666696</v>
      </c>
    </row>
    <row r="7" spans="1:24" x14ac:dyDescent="0.25">
      <c r="A7" t="s">
        <v>652</v>
      </c>
      <c r="B7" t="s">
        <v>647</v>
      </c>
      <c r="C7" t="s">
        <v>31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42</v>
      </c>
      <c r="K7">
        <v>170</v>
      </c>
      <c r="L7">
        <v>1</v>
      </c>
      <c r="M7">
        <v>19</v>
      </c>
      <c r="N7">
        <v>12</v>
      </c>
      <c r="O7">
        <v>101</v>
      </c>
      <c r="P7">
        <v>1</v>
      </c>
      <c r="Q7">
        <v>0</v>
      </c>
      <c r="R7">
        <v>0</v>
      </c>
      <c r="S7">
        <v>51.1</v>
      </c>
      <c r="T7">
        <v>3.32749562171629E-2</v>
      </c>
      <c r="U7">
        <v>4.0476190476190501</v>
      </c>
      <c r="V7">
        <v>8.4166666666666696</v>
      </c>
    </row>
    <row r="8" spans="1:24" x14ac:dyDescent="0.25">
      <c r="A8" t="s">
        <v>588</v>
      </c>
      <c r="B8" t="s">
        <v>647</v>
      </c>
      <c r="C8" t="s">
        <v>31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262</v>
      </c>
      <c r="K8">
        <v>1066</v>
      </c>
      <c r="L8">
        <v>17</v>
      </c>
      <c r="M8">
        <v>16</v>
      </c>
      <c r="N8">
        <v>12</v>
      </c>
      <c r="O8">
        <v>73</v>
      </c>
      <c r="P8">
        <v>0</v>
      </c>
      <c r="Q8">
        <v>2</v>
      </c>
      <c r="R8">
        <v>1</v>
      </c>
      <c r="S8">
        <v>225.9</v>
      </c>
      <c r="T8">
        <v>2.8021015761821401E-2</v>
      </c>
      <c r="U8">
        <v>4.0687022900763399</v>
      </c>
      <c r="V8">
        <v>6.0833333333333304</v>
      </c>
    </row>
    <row r="9" spans="1:24" x14ac:dyDescent="0.25">
      <c r="A9" t="s">
        <v>653</v>
      </c>
      <c r="B9" t="s">
        <v>647</v>
      </c>
      <c r="C9" t="s">
        <v>38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24</v>
      </c>
      <c r="N9">
        <v>18</v>
      </c>
      <c r="O9">
        <v>216</v>
      </c>
      <c r="P9">
        <v>4</v>
      </c>
      <c r="Q9">
        <v>0</v>
      </c>
      <c r="R9">
        <v>0</v>
      </c>
      <c r="S9">
        <v>63.6</v>
      </c>
      <c r="T9">
        <v>4.2031523642732001E-2</v>
      </c>
      <c r="V9">
        <v>12</v>
      </c>
    </row>
    <row r="10" spans="1:24" x14ac:dyDescent="0.25">
      <c r="A10" t="s">
        <v>654</v>
      </c>
      <c r="B10" t="s">
        <v>647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11</v>
      </c>
      <c r="N10">
        <v>11</v>
      </c>
      <c r="O10">
        <v>113</v>
      </c>
      <c r="P10">
        <v>1</v>
      </c>
      <c r="Q10">
        <v>0</v>
      </c>
      <c r="R10">
        <v>0</v>
      </c>
      <c r="S10">
        <v>28.3</v>
      </c>
      <c r="T10">
        <v>1.92644483362522E-2</v>
      </c>
      <c r="V10">
        <v>10.2727272727273</v>
      </c>
    </row>
    <row r="11" spans="1:24" x14ac:dyDescent="0.25">
      <c r="A11" t="s">
        <v>655</v>
      </c>
      <c r="B11" t="s">
        <v>647</v>
      </c>
      <c r="C11" t="s">
        <v>38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15</v>
      </c>
      <c r="N11">
        <v>11</v>
      </c>
      <c r="O11">
        <v>60</v>
      </c>
      <c r="P11">
        <v>4</v>
      </c>
      <c r="Q11">
        <v>0</v>
      </c>
      <c r="R11">
        <v>0</v>
      </c>
      <c r="S11">
        <v>41</v>
      </c>
      <c r="T11">
        <v>2.62697022767075E-2</v>
      </c>
      <c r="V11">
        <v>5.4545454545454497</v>
      </c>
    </row>
    <row r="12" spans="1:24" x14ac:dyDescent="0.25">
      <c r="A12" t="s">
        <v>656</v>
      </c>
      <c r="B12" t="s">
        <v>647</v>
      </c>
      <c r="C12" t="s">
        <v>38</v>
      </c>
      <c r="D12">
        <v>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43</v>
      </c>
      <c r="N12">
        <v>26</v>
      </c>
      <c r="O12">
        <v>395</v>
      </c>
      <c r="P12">
        <v>3</v>
      </c>
      <c r="Q12">
        <v>0</v>
      </c>
      <c r="R12">
        <v>0</v>
      </c>
      <c r="S12">
        <v>85.5</v>
      </c>
      <c r="T12">
        <v>7.5306479859894901E-2</v>
      </c>
      <c r="V12">
        <v>15.192307692307701</v>
      </c>
    </row>
    <row r="13" spans="1:24" x14ac:dyDescent="0.25">
      <c r="A13" t="s">
        <v>657</v>
      </c>
      <c r="B13" t="s">
        <v>647</v>
      </c>
      <c r="C13" t="s">
        <v>43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9</v>
      </c>
      <c r="K13">
        <v>95</v>
      </c>
      <c r="L13">
        <v>0</v>
      </c>
      <c r="M13">
        <v>146</v>
      </c>
      <c r="N13">
        <v>106</v>
      </c>
      <c r="O13">
        <v>1161</v>
      </c>
      <c r="P13">
        <v>6</v>
      </c>
      <c r="Q13">
        <v>0</v>
      </c>
      <c r="R13">
        <v>0</v>
      </c>
      <c r="S13">
        <v>267.60000000000002</v>
      </c>
      <c r="T13">
        <v>0.25569176882661998</v>
      </c>
      <c r="U13">
        <v>10.5555555555556</v>
      </c>
      <c r="V13">
        <v>10.952830188679201</v>
      </c>
    </row>
    <row r="14" spans="1:24" x14ac:dyDescent="0.25">
      <c r="A14" t="s">
        <v>658</v>
      </c>
      <c r="B14" t="s">
        <v>647</v>
      </c>
      <c r="C14" t="s">
        <v>43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30</v>
      </c>
      <c r="O14">
        <v>502</v>
      </c>
      <c r="P14">
        <v>3</v>
      </c>
      <c r="Q14">
        <v>0</v>
      </c>
      <c r="R14">
        <v>0</v>
      </c>
      <c r="S14">
        <v>98.2</v>
      </c>
      <c r="T14">
        <v>9.1068301225919399E-2</v>
      </c>
      <c r="V14">
        <v>16.733333333333299</v>
      </c>
    </row>
    <row r="15" spans="1:24" x14ac:dyDescent="0.25">
      <c r="A15" t="s">
        <v>659</v>
      </c>
      <c r="B15" t="s">
        <v>647</v>
      </c>
      <c r="C15" t="s">
        <v>43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59</v>
      </c>
      <c r="N15">
        <v>38</v>
      </c>
      <c r="O15">
        <v>479</v>
      </c>
      <c r="P15">
        <v>3</v>
      </c>
      <c r="Q15">
        <v>0</v>
      </c>
      <c r="R15">
        <v>0</v>
      </c>
      <c r="S15">
        <v>103.9</v>
      </c>
      <c r="T15">
        <v>0.103327495621716</v>
      </c>
      <c r="V15">
        <v>12.605263157894701</v>
      </c>
    </row>
    <row r="16" spans="1:24" x14ac:dyDescent="0.25">
      <c r="A16" t="s">
        <v>588</v>
      </c>
      <c r="B16" t="s">
        <v>647</v>
      </c>
      <c r="C16" t="s">
        <v>43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40</v>
      </c>
      <c r="L16">
        <v>0</v>
      </c>
      <c r="M16">
        <v>9</v>
      </c>
      <c r="N16">
        <v>1</v>
      </c>
      <c r="O16">
        <v>41</v>
      </c>
      <c r="P16">
        <v>1</v>
      </c>
      <c r="Q16">
        <v>0</v>
      </c>
      <c r="R16">
        <v>0</v>
      </c>
      <c r="S16">
        <v>15.1</v>
      </c>
      <c r="T16">
        <v>1.5761821366024501E-2</v>
      </c>
      <c r="U16">
        <v>40</v>
      </c>
      <c r="V16">
        <v>41</v>
      </c>
    </row>
    <row r="17" spans="1:22" x14ac:dyDescent="0.25">
      <c r="A17" t="s">
        <v>660</v>
      </c>
      <c r="B17" t="s">
        <v>647</v>
      </c>
      <c r="C17" t="s">
        <v>43</v>
      </c>
      <c r="D17">
        <v>16</v>
      </c>
      <c r="E17">
        <v>0</v>
      </c>
      <c r="F17">
        <v>0</v>
      </c>
      <c r="G17">
        <v>0</v>
      </c>
      <c r="H17">
        <v>0</v>
      </c>
      <c r="I17">
        <v>0</v>
      </c>
      <c r="J17">
        <v>7</v>
      </c>
      <c r="K17">
        <v>36</v>
      </c>
      <c r="L17">
        <v>0</v>
      </c>
      <c r="M17">
        <v>64</v>
      </c>
      <c r="N17">
        <v>47</v>
      </c>
      <c r="O17">
        <v>616</v>
      </c>
      <c r="P17">
        <v>0</v>
      </c>
      <c r="Q17">
        <v>0</v>
      </c>
      <c r="R17">
        <v>0</v>
      </c>
      <c r="S17">
        <v>116.2</v>
      </c>
      <c r="T17">
        <v>0.11208406304728501</v>
      </c>
      <c r="U17">
        <v>5.1428571428571397</v>
      </c>
      <c r="V17">
        <v>13.106382978723399</v>
      </c>
    </row>
    <row r="18" spans="1:22" x14ac:dyDescent="0.25">
      <c r="A18" t="s">
        <v>661</v>
      </c>
      <c r="B18" t="s">
        <v>647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7</v>
      </c>
      <c r="P18">
        <v>0</v>
      </c>
      <c r="Q18">
        <v>0</v>
      </c>
      <c r="R18">
        <v>0</v>
      </c>
      <c r="S18">
        <v>1.7</v>
      </c>
      <c r="T18">
        <v>1.7513134851138399E-3</v>
      </c>
      <c r="V18">
        <v>7</v>
      </c>
    </row>
    <row r="19" spans="1:22" x14ac:dyDescent="0.25">
      <c r="A19" t="s">
        <v>662</v>
      </c>
      <c r="B19" t="s">
        <v>647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</v>
      </c>
      <c r="N19">
        <v>2</v>
      </c>
      <c r="O19">
        <v>15</v>
      </c>
      <c r="P19">
        <v>0</v>
      </c>
      <c r="Q19">
        <v>0</v>
      </c>
      <c r="R19">
        <v>0</v>
      </c>
      <c r="S19">
        <v>3.5</v>
      </c>
      <c r="T19">
        <v>5.2539404553415096E-3</v>
      </c>
      <c r="V19">
        <v>7.5</v>
      </c>
    </row>
    <row r="20" spans="1:22" x14ac:dyDescent="0.25">
      <c r="A20" t="s">
        <v>663</v>
      </c>
      <c r="B20" t="s">
        <v>647</v>
      </c>
      <c r="C20" t="s">
        <v>43</v>
      </c>
      <c r="D20">
        <v>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15</v>
      </c>
      <c r="N20">
        <v>8</v>
      </c>
      <c r="O20">
        <v>141</v>
      </c>
      <c r="P20">
        <v>0</v>
      </c>
      <c r="Q20">
        <v>0</v>
      </c>
      <c r="R20">
        <v>0</v>
      </c>
      <c r="S20">
        <v>22.1</v>
      </c>
      <c r="T20">
        <v>2.62697022767075E-2</v>
      </c>
      <c r="V20">
        <v>17.625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647</v>
      </c>
      <c r="B31">
        <v>6562</v>
      </c>
      <c r="C31">
        <v>4438</v>
      </c>
      <c r="D31">
        <v>478</v>
      </c>
      <c r="E31">
        <v>2124</v>
      </c>
      <c r="F31">
        <v>23</v>
      </c>
      <c r="G31">
        <v>1631.42</v>
      </c>
      <c r="H31">
        <v>587</v>
      </c>
      <c r="I31">
        <v>0.65076660988074997</v>
      </c>
      <c r="J31">
        <v>29</v>
      </c>
      <c r="K31">
        <v>7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DET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664</v>
      </c>
      <c r="B36" t="s">
        <v>26</v>
      </c>
      <c r="C36">
        <v>30</v>
      </c>
      <c r="D36">
        <v>10</v>
      </c>
      <c r="E36" t="s">
        <v>209</v>
      </c>
      <c r="F36" t="s">
        <v>647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665</v>
      </c>
      <c r="B37" t="s">
        <v>26</v>
      </c>
      <c r="C37">
        <v>28</v>
      </c>
      <c r="D37">
        <v>8</v>
      </c>
      <c r="E37" t="s">
        <v>666</v>
      </c>
      <c r="F37" t="s">
        <v>647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667</v>
      </c>
      <c r="B38" t="s">
        <v>26</v>
      </c>
      <c r="C38">
        <v>25</v>
      </c>
      <c r="D38">
        <v>0</v>
      </c>
      <c r="E38" t="s">
        <v>143</v>
      </c>
      <c r="F38" t="s">
        <v>647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668</v>
      </c>
      <c r="B39" t="s">
        <v>26</v>
      </c>
      <c r="C39">
        <v>23</v>
      </c>
      <c r="D39">
        <v>0</v>
      </c>
      <c r="E39" t="s">
        <v>559</v>
      </c>
      <c r="F39" t="s">
        <v>647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5">
      <c r="A40" t="s">
        <v>669</v>
      </c>
      <c r="B40" t="s">
        <v>26</v>
      </c>
      <c r="C40">
        <v>29</v>
      </c>
      <c r="D40">
        <v>7</v>
      </c>
      <c r="E40" t="s">
        <v>360</v>
      </c>
      <c r="F40" t="s">
        <v>647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670</v>
      </c>
      <c r="B46" t="s">
        <v>31</v>
      </c>
      <c r="C46">
        <v>21</v>
      </c>
      <c r="D46">
        <v>0</v>
      </c>
      <c r="E46" t="s">
        <v>153</v>
      </c>
      <c r="F46" t="s">
        <v>647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671</v>
      </c>
      <c r="B47" t="s">
        <v>31</v>
      </c>
      <c r="C47">
        <v>23</v>
      </c>
      <c r="D47">
        <v>0</v>
      </c>
      <c r="E47" t="s">
        <v>225</v>
      </c>
      <c r="F47" t="s">
        <v>647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672</v>
      </c>
      <c r="B48" t="s">
        <v>31</v>
      </c>
      <c r="C48">
        <v>27</v>
      </c>
      <c r="D48">
        <v>6</v>
      </c>
      <c r="E48" t="s">
        <v>141</v>
      </c>
      <c r="F48" t="s">
        <v>647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673</v>
      </c>
      <c r="B49" t="s">
        <v>31</v>
      </c>
      <c r="C49">
        <v>23</v>
      </c>
      <c r="D49">
        <v>2</v>
      </c>
      <c r="E49" t="s">
        <v>111</v>
      </c>
      <c r="F49" t="s">
        <v>647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674</v>
      </c>
      <c r="B50" t="s">
        <v>31</v>
      </c>
      <c r="C50">
        <v>26</v>
      </c>
      <c r="D50">
        <v>5</v>
      </c>
      <c r="E50" t="s">
        <v>244</v>
      </c>
      <c r="F50" t="s">
        <v>647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675</v>
      </c>
      <c r="B51" t="s">
        <v>31</v>
      </c>
      <c r="C51">
        <v>26</v>
      </c>
      <c r="D51">
        <v>4</v>
      </c>
      <c r="E51" t="s">
        <v>248</v>
      </c>
      <c r="F51" t="s">
        <v>647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676</v>
      </c>
      <c r="B52" t="s">
        <v>31</v>
      </c>
      <c r="C52">
        <v>27</v>
      </c>
      <c r="D52">
        <v>2</v>
      </c>
      <c r="E52" t="s">
        <v>677</v>
      </c>
      <c r="F52" t="s">
        <v>647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53" spans="1:28" x14ac:dyDescent="0.25">
      <c r="A53" t="s">
        <v>678</v>
      </c>
      <c r="B53" t="s">
        <v>31</v>
      </c>
      <c r="C53">
        <v>25</v>
      </c>
      <c r="D53">
        <v>5</v>
      </c>
      <c r="E53" t="s">
        <v>150</v>
      </c>
      <c r="F53" t="s">
        <v>647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f>($J53*Cp_yd)+($K53*Cp_td)+($L53*Cint)+($M53*Ccar)+($N53*Cr_td)+($O53*Cr_yd)+(Q53*Crec)+($R53*Crec_yd)+($S53*Crec_td)+($T53*Cfmb)+($U53*Ctp_c)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679</v>
      </c>
      <c r="B61" t="s">
        <v>43</v>
      </c>
      <c r="C61">
        <v>26</v>
      </c>
      <c r="D61">
        <v>1</v>
      </c>
      <c r="E61" t="s">
        <v>182</v>
      </c>
      <c r="F61" t="s">
        <v>647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680</v>
      </c>
      <c r="B62" t="s">
        <v>43</v>
      </c>
      <c r="C62">
        <v>26</v>
      </c>
      <c r="D62">
        <v>3</v>
      </c>
      <c r="E62" t="s">
        <v>681</v>
      </c>
      <c r="F62" t="s">
        <v>647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682</v>
      </c>
      <c r="B63" t="s">
        <v>43</v>
      </c>
      <c r="C63">
        <v>23</v>
      </c>
      <c r="D63">
        <v>0</v>
      </c>
      <c r="E63" t="s">
        <v>205</v>
      </c>
      <c r="F63" t="s">
        <v>647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683</v>
      </c>
      <c r="B64" t="s">
        <v>43</v>
      </c>
      <c r="D64">
        <v>0</v>
      </c>
      <c r="E64" t="s">
        <v>362</v>
      </c>
      <c r="F64" t="s">
        <v>647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684</v>
      </c>
      <c r="B65" t="s">
        <v>43</v>
      </c>
      <c r="C65">
        <v>23</v>
      </c>
      <c r="D65">
        <v>0</v>
      </c>
      <c r="E65" t="s">
        <v>170</v>
      </c>
      <c r="F65" t="s">
        <v>647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685</v>
      </c>
      <c r="B66" t="s">
        <v>43</v>
      </c>
      <c r="C66">
        <v>23</v>
      </c>
      <c r="D66">
        <v>0</v>
      </c>
      <c r="E66" t="s">
        <v>163</v>
      </c>
      <c r="F66" t="s">
        <v>647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686</v>
      </c>
      <c r="B67" t="s">
        <v>43</v>
      </c>
      <c r="C67">
        <v>33</v>
      </c>
      <c r="D67">
        <v>12</v>
      </c>
      <c r="E67" t="s">
        <v>666</v>
      </c>
      <c r="F67" t="s">
        <v>647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687</v>
      </c>
      <c r="B68" t="s">
        <v>43</v>
      </c>
      <c r="C68">
        <v>27</v>
      </c>
      <c r="D68">
        <v>3</v>
      </c>
      <c r="E68" t="s">
        <v>688</v>
      </c>
      <c r="F68" t="s">
        <v>647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689</v>
      </c>
      <c r="B69" t="s">
        <v>43</v>
      </c>
      <c r="C69">
        <v>25</v>
      </c>
      <c r="D69">
        <v>4</v>
      </c>
      <c r="E69" t="s">
        <v>393</v>
      </c>
      <c r="F69" t="s">
        <v>647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690</v>
      </c>
      <c r="B70" t="s">
        <v>43</v>
      </c>
      <c r="C70">
        <v>29</v>
      </c>
      <c r="D70">
        <v>7</v>
      </c>
      <c r="E70" t="s">
        <v>691</v>
      </c>
      <c r="F70" t="s">
        <v>647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692</v>
      </c>
      <c r="B71" t="s">
        <v>43</v>
      </c>
      <c r="C71">
        <v>28</v>
      </c>
      <c r="D71">
        <v>7</v>
      </c>
      <c r="E71" t="s">
        <v>307</v>
      </c>
      <c r="F71" t="s">
        <v>647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693</v>
      </c>
      <c r="B72" t="s">
        <v>43</v>
      </c>
      <c r="C72">
        <v>23</v>
      </c>
      <c r="D72">
        <v>3</v>
      </c>
      <c r="E72" t="s">
        <v>78</v>
      </c>
      <c r="F72" t="s">
        <v>647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694</v>
      </c>
      <c r="B73" t="s">
        <v>43</v>
      </c>
      <c r="C73">
        <v>22</v>
      </c>
      <c r="D73">
        <v>2</v>
      </c>
      <c r="E73" t="s">
        <v>153</v>
      </c>
      <c r="F73" t="s">
        <v>647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695</v>
      </c>
      <c r="B76" t="s">
        <v>38</v>
      </c>
      <c r="C76">
        <v>28</v>
      </c>
      <c r="D76">
        <v>6</v>
      </c>
      <c r="E76" t="s">
        <v>86</v>
      </c>
      <c r="F76" t="s">
        <v>647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696</v>
      </c>
      <c r="B77" t="s">
        <v>38</v>
      </c>
      <c r="C77">
        <v>28</v>
      </c>
      <c r="D77">
        <v>3</v>
      </c>
      <c r="E77" t="s">
        <v>697</v>
      </c>
      <c r="F77" t="s">
        <v>647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698</v>
      </c>
      <c r="B78" t="s">
        <v>38</v>
      </c>
      <c r="C78">
        <v>22</v>
      </c>
      <c r="D78">
        <v>0</v>
      </c>
      <c r="E78" t="s">
        <v>100</v>
      </c>
      <c r="F78" t="s">
        <v>647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699</v>
      </c>
      <c r="B79" t="s">
        <v>38</v>
      </c>
      <c r="C79">
        <v>24</v>
      </c>
      <c r="D79">
        <v>2</v>
      </c>
      <c r="E79" t="s">
        <v>333</v>
      </c>
      <c r="F79" t="s">
        <v>647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700</v>
      </c>
      <c r="B80" t="s">
        <v>38</v>
      </c>
      <c r="C80">
        <v>24</v>
      </c>
      <c r="D80">
        <v>3</v>
      </c>
      <c r="E80" t="s">
        <v>362</v>
      </c>
      <c r="F80" t="s">
        <v>647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701</v>
      </c>
      <c r="B81" t="s">
        <v>38</v>
      </c>
      <c r="C81">
        <v>26</v>
      </c>
      <c r="D81">
        <v>2</v>
      </c>
      <c r="E81" t="s">
        <v>702</v>
      </c>
      <c r="F81" t="s">
        <v>647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topLeftCell="H19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703</v>
      </c>
      <c r="B2" t="s">
        <v>704</v>
      </c>
      <c r="C2" t="s">
        <v>26</v>
      </c>
      <c r="D2">
        <v>17</v>
      </c>
      <c r="E2">
        <v>542</v>
      </c>
      <c r="F2">
        <v>350</v>
      </c>
      <c r="G2">
        <v>3695</v>
      </c>
      <c r="H2">
        <v>26</v>
      </c>
      <c r="I2">
        <v>12</v>
      </c>
      <c r="J2">
        <v>34</v>
      </c>
      <c r="K2">
        <v>94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2</v>
      </c>
      <c r="S2">
        <v>239.2</v>
      </c>
      <c r="T2">
        <v>0</v>
      </c>
      <c r="U2">
        <v>2.7647058823529398</v>
      </c>
      <c r="W2">
        <v>0.645756457564576</v>
      </c>
      <c r="X2">
        <v>4.7970479704797099E-2</v>
      </c>
    </row>
    <row r="3" spans="1:24" x14ac:dyDescent="0.25">
      <c r="A3" t="s">
        <v>705</v>
      </c>
      <c r="B3" t="s">
        <v>704</v>
      </c>
      <c r="C3" t="s">
        <v>26</v>
      </c>
      <c r="D3">
        <v>4</v>
      </c>
      <c r="E3">
        <v>21</v>
      </c>
      <c r="F3">
        <v>14</v>
      </c>
      <c r="G3">
        <v>195</v>
      </c>
      <c r="H3">
        <v>1</v>
      </c>
      <c r="I3">
        <v>0</v>
      </c>
      <c r="J3">
        <v>1</v>
      </c>
      <c r="K3">
        <v>-1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11.7</v>
      </c>
      <c r="T3">
        <v>0</v>
      </c>
      <c r="U3">
        <v>-1</v>
      </c>
      <c r="W3">
        <v>0.66666666666666696</v>
      </c>
      <c r="X3">
        <v>4.7619047619047603E-2</v>
      </c>
    </row>
    <row r="4" spans="1:24" x14ac:dyDescent="0.25">
      <c r="A4" t="s">
        <v>706</v>
      </c>
      <c r="B4" t="s">
        <v>704</v>
      </c>
      <c r="C4" t="s">
        <v>31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186</v>
      </c>
      <c r="K4">
        <v>770</v>
      </c>
      <c r="L4">
        <v>7</v>
      </c>
      <c r="M4">
        <v>43</v>
      </c>
      <c r="N4">
        <v>28</v>
      </c>
      <c r="O4">
        <v>206</v>
      </c>
      <c r="P4">
        <v>0</v>
      </c>
      <c r="Q4">
        <v>0</v>
      </c>
      <c r="R4">
        <v>0</v>
      </c>
      <c r="S4">
        <v>167.6</v>
      </c>
      <c r="T4">
        <v>7.3253833049403694E-2</v>
      </c>
      <c r="U4">
        <v>4.1397849462365599</v>
      </c>
      <c r="V4">
        <v>7.3571428571428603</v>
      </c>
    </row>
    <row r="5" spans="1:24" x14ac:dyDescent="0.25">
      <c r="A5" t="s">
        <v>707</v>
      </c>
      <c r="B5" t="s">
        <v>704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213</v>
      </c>
      <c r="K5">
        <v>1121</v>
      </c>
      <c r="L5">
        <v>2</v>
      </c>
      <c r="M5">
        <v>72</v>
      </c>
      <c r="N5">
        <v>59</v>
      </c>
      <c r="O5">
        <v>395</v>
      </c>
      <c r="P5">
        <v>5</v>
      </c>
      <c r="Q5">
        <v>1</v>
      </c>
      <c r="R5">
        <v>0</v>
      </c>
      <c r="S5">
        <v>248.6</v>
      </c>
      <c r="T5">
        <v>0.12265758091993199</v>
      </c>
      <c r="U5">
        <v>5.2629107981220704</v>
      </c>
      <c r="V5">
        <v>6.6949152542372898</v>
      </c>
    </row>
    <row r="6" spans="1:24" x14ac:dyDescent="0.25">
      <c r="A6" t="s">
        <v>708</v>
      </c>
      <c r="B6" t="s">
        <v>704</v>
      </c>
      <c r="C6" t="s">
        <v>31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0.7</v>
      </c>
      <c r="T6">
        <v>0</v>
      </c>
      <c r="U6">
        <v>7</v>
      </c>
    </row>
    <row r="7" spans="1:24" x14ac:dyDescent="0.25">
      <c r="A7" t="s">
        <v>709</v>
      </c>
      <c r="B7" t="s">
        <v>704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10</v>
      </c>
      <c r="K7">
        <v>31</v>
      </c>
      <c r="L7">
        <v>0</v>
      </c>
      <c r="M7">
        <v>1</v>
      </c>
      <c r="N7">
        <v>1</v>
      </c>
      <c r="O7">
        <v>17</v>
      </c>
      <c r="P7">
        <v>0</v>
      </c>
      <c r="Q7">
        <v>0</v>
      </c>
      <c r="R7">
        <v>0</v>
      </c>
      <c r="S7">
        <v>5.8</v>
      </c>
      <c r="T7">
        <v>1.7035775127768301E-3</v>
      </c>
      <c r="U7">
        <v>3.1</v>
      </c>
      <c r="V7">
        <v>17</v>
      </c>
    </row>
    <row r="8" spans="1:24" x14ac:dyDescent="0.25">
      <c r="A8" t="s">
        <v>710</v>
      </c>
      <c r="B8" t="s">
        <v>704</v>
      </c>
      <c r="C8" t="s">
        <v>38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15</v>
      </c>
      <c r="N8">
        <v>13</v>
      </c>
      <c r="O8">
        <v>114</v>
      </c>
      <c r="P8">
        <v>0</v>
      </c>
      <c r="Q8">
        <v>0</v>
      </c>
      <c r="R8">
        <v>0</v>
      </c>
      <c r="S8">
        <v>24.4</v>
      </c>
      <c r="T8">
        <v>2.55536626916525E-2</v>
      </c>
      <c r="V8">
        <v>8.7692307692307701</v>
      </c>
    </row>
    <row r="9" spans="1:24" x14ac:dyDescent="0.25">
      <c r="A9" t="s">
        <v>711</v>
      </c>
      <c r="B9" t="s">
        <v>704</v>
      </c>
      <c r="C9" t="s">
        <v>38</v>
      </c>
      <c r="D9">
        <v>6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7</v>
      </c>
      <c r="N9">
        <v>6</v>
      </c>
      <c r="O9">
        <v>66</v>
      </c>
      <c r="P9">
        <v>2</v>
      </c>
      <c r="Q9">
        <v>0</v>
      </c>
      <c r="R9">
        <v>0</v>
      </c>
      <c r="S9">
        <v>26.6</v>
      </c>
      <c r="T9">
        <v>1.1925042589437799E-2</v>
      </c>
      <c r="V9">
        <v>11</v>
      </c>
    </row>
    <row r="10" spans="1:24" x14ac:dyDescent="0.25">
      <c r="A10" t="s">
        <v>712</v>
      </c>
      <c r="B10" t="s">
        <v>704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67</v>
      </c>
      <c r="N10">
        <v>53</v>
      </c>
      <c r="O10">
        <v>470</v>
      </c>
      <c r="P10">
        <v>2</v>
      </c>
      <c r="Q10">
        <v>0</v>
      </c>
      <c r="R10">
        <v>0</v>
      </c>
      <c r="S10">
        <v>112</v>
      </c>
      <c r="T10">
        <v>0.114139693356048</v>
      </c>
      <c r="V10">
        <v>8.8679245283018897</v>
      </c>
    </row>
    <row r="11" spans="1:24" x14ac:dyDescent="0.25">
      <c r="A11" t="s">
        <v>713</v>
      </c>
      <c r="B11" t="s">
        <v>704</v>
      </c>
      <c r="C11" t="s">
        <v>38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26</v>
      </c>
      <c r="P11">
        <v>0</v>
      </c>
      <c r="Q11">
        <v>0</v>
      </c>
      <c r="R11">
        <v>0</v>
      </c>
      <c r="S11">
        <v>6.6</v>
      </c>
      <c r="T11">
        <v>1.1925042589437799E-2</v>
      </c>
      <c r="V11">
        <v>6.5</v>
      </c>
    </row>
    <row r="12" spans="1:24" x14ac:dyDescent="0.25">
      <c r="A12" t="s">
        <v>714</v>
      </c>
      <c r="B12" t="s">
        <v>704</v>
      </c>
      <c r="C12" t="s">
        <v>43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100</v>
      </c>
      <c r="N12">
        <v>60</v>
      </c>
      <c r="O12">
        <v>788</v>
      </c>
      <c r="P12">
        <v>6</v>
      </c>
      <c r="Q12">
        <v>0</v>
      </c>
      <c r="R12">
        <v>0</v>
      </c>
      <c r="S12">
        <v>174.8</v>
      </c>
      <c r="T12">
        <v>0.17035775127768299</v>
      </c>
      <c r="U12">
        <v>0</v>
      </c>
      <c r="V12">
        <v>13.133333333333301</v>
      </c>
    </row>
    <row r="13" spans="1:24" x14ac:dyDescent="0.25">
      <c r="A13" t="s">
        <v>703</v>
      </c>
      <c r="B13" t="s">
        <v>704</v>
      </c>
      <c r="C13" t="s">
        <v>43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50</v>
      </c>
      <c r="P13">
        <v>0</v>
      </c>
      <c r="Q13">
        <v>0</v>
      </c>
      <c r="R13">
        <v>0</v>
      </c>
      <c r="S13">
        <v>9</v>
      </c>
      <c r="T13">
        <v>1.36286201022147E-2</v>
      </c>
      <c r="V13">
        <v>12.5</v>
      </c>
    </row>
    <row r="14" spans="1:24" x14ac:dyDescent="0.25">
      <c r="A14" t="s">
        <v>715</v>
      </c>
      <c r="B14" t="s">
        <v>704</v>
      </c>
      <c r="C14" t="s">
        <v>43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80</v>
      </c>
      <c r="L14">
        <v>2</v>
      </c>
      <c r="M14">
        <v>66</v>
      </c>
      <c r="N14">
        <v>41</v>
      </c>
      <c r="O14">
        <v>611</v>
      </c>
      <c r="P14">
        <v>7</v>
      </c>
      <c r="Q14">
        <v>0</v>
      </c>
      <c r="R14">
        <v>0</v>
      </c>
      <c r="S14">
        <v>164.1</v>
      </c>
      <c r="T14">
        <v>0.112436115843271</v>
      </c>
      <c r="U14">
        <v>11.4285714285714</v>
      </c>
      <c r="V14">
        <v>14.902439024390199</v>
      </c>
    </row>
    <row r="15" spans="1:24" x14ac:dyDescent="0.25">
      <c r="A15" t="s">
        <v>716</v>
      </c>
      <c r="B15" t="s">
        <v>704</v>
      </c>
      <c r="C15" t="s">
        <v>43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1</v>
      </c>
      <c r="O15">
        <v>17</v>
      </c>
      <c r="P15">
        <v>0</v>
      </c>
      <c r="Q15">
        <v>0</v>
      </c>
      <c r="R15">
        <v>0</v>
      </c>
      <c r="S15">
        <v>2.7</v>
      </c>
      <c r="T15">
        <v>6.8143100511073298E-3</v>
      </c>
      <c r="V15">
        <v>17</v>
      </c>
    </row>
    <row r="16" spans="1:24" x14ac:dyDescent="0.25">
      <c r="A16" t="s">
        <v>717</v>
      </c>
      <c r="B16" t="s">
        <v>704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50</v>
      </c>
      <c r="N16">
        <v>34</v>
      </c>
      <c r="O16">
        <v>417</v>
      </c>
      <c r="P16">
        <v>1</v>
      </c>
      <c r="Q16">
        <v>0</v>
      </c>
      <c r="R16">
        <v>0</v>
      </c>
      <c r="S16">
        <v>81.7</v>
      </c>
      <c r="T16">
        <v>8.5178875638841606E-2</v>
      </c>
      <c r="V16">
        <v>12.264705882352899</v>
      </c>
    </row>
    <row r="17" spans="1:22" x14ac:dyDescent="0.25">
      <c r="A17" t="s">
        <v>718</v>
      </c>
      <c r="B17" t="s">
        <v>704</v>
      </c>
      <c r="C17" t="s">
        <v>43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67</v>
      </c>
      <c r="N17">
        <v>42</v>
      </c>
      <c r="O17">
        <v>425</v>
      </c>
      <c r="P17">
        <v>3</v>
      </c>
      <c r="Q17">
        <v>0</v>
      </c>
      <c r="R17">
        <v>0</v>
      </c>
      <c r="S17">
        <v>101.6</v>
      </c>
      <c r="T17">
        <v>0.114139693356048</v>
      </c>
      <c r="U17">
        <v>11</v>
      </c>
      <c r="V17">
        <v>10.119047619047601</v>
      </c>
    </row>
    <row r="18" spans="1:22" x14ac:dyDescent="0.25">
      <c r="A18" t="s">
        <v>719</v>
      </c>
      <c r="B18" t="s">
        <v>704</v>
      </c>
      <c r="C18" t="s">
        <v>43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10</v>
      </c>
      <c r="N18">
        <v>5</v>
      </c>
      <c r="O18">
        <v>82</v>
      </c>
      <c r="P18">
        <v>1</v>
      </c>
      <c r="Q18">
        <v>0</v>
      </c>
      <c r="R18">
        <v>0</v>
      </c>
      <c r="S18">
        <v>19.2</v>
      </c>
      <c r="T18">
        <v>1.7035775127768299E-2</v>
      </c>
      <c r="V18">
        <v>16.399999999999999</v>
      </c>
    </row>
    <row r="19" spans="1:22" x14ac:dyDescent="0.25">
      <c r="A19" t="s">
        <v>202</v>
      </c>
      <c r="B19" t="s">
        <v>704</v>
      </c>
      <c r="C19" t="s">
        <v>43</v>
      </c>
      <c r="D19">
        <v>7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22</v>
      </c>
      <c r="N19">
        <v>13</v>
      </c>
      <c r="O19">
        <v>206</v>
      </c>
      <c r="P19">
        <v>0</v>
      </c>
      <c r="Q19">
        <v>0</v>
      </c>
      <c r="R19">
        <v>0</v>
      </c>
      <c r="S19">
        <v>33.6</v>
      </c>
      <c r="T19">
        <v>3.7478705281090298E-2</v>
      </c>
      <c r="V19">
        <v>15.846153846153801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704</v>
      </c>
      <c r="B31">
        <v>6003</v>
      </c>
      <c r="C31">
        <v>3890</v>
      </c>
      <c r="D31">
        <v>455</v>
      </c>
      <c r="E31">
        <v>2113</v>
      </c>
      <c r="F31">
        <v>12</v>
      </c>
      <c r="G31">
        <v>1429.9</v>
      </c>
      <c r="H31">
        <v>563</v>
      </c>
      <c r="I31">
        <v>0.64653641207815304</v>
      </c>
      <c r="J31">
        <v>27</v>
      </c>
      <c r="K31">
        <v>12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GB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720</v>
      </c>
      <c r="B36" t="s">
        <v>26</v>
      </c>
      <c r="C36">
        <v>25</v>
      </c>
      <c r="D36">
        <v>0</v>
      </c>
      <c r="E36" t="s">
        <v>339</v>
      </c>
      <c r="F36" t="s">
        <v>704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721</v>
      </c>
      <c r="B37" t="s">
        <v>26</v>
      </c>
      <c r="C37">
        <v>24</v>
      </c>
      <c r="D37">
        <v>4</v>
      </c>
      <c r="E37" t="s">
        <v>89</v>
      </c>
      <c r="F37" t="s">
        <v>704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722</v>
      </c>
      <c r="B38" t="s">
        <v>26</v>
      </c>
      <c r="C38">
        <v>27</v>
      </c>
      <c r="D38">
        <v>1</v>
      </c>
      <c r="E38" t="s">
        <v>182</v>
      </c>
      <c r="F38" t="s">
        <v>704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723</v>
      </c>
      <c r="B46" t="s">
        <v>31</v>
      </c>
      <c r="C46">
        <v>25</v>
      </c>
      <c r="D46">
        <v>4</v>
      </c>
      <c r="E46" t="s">
        <v>235</v>
      </c>
      <c r="F46" t="s">
        <v>704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724</v>
      </c>
      <c r="B47" t="s">
        <v>31</v>
      </c>
      <c r="C47">
        <v>22</v>
      </c>
      <c r="D47">
        <v>1</v>
      </c>
      <c r="E47" t="s">
        <v>100</v>
      </c>
      <c r="F47" t="s">
        <v>704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725</v>
      </c>
      <c r="B48" t="s">
        <v>31</v>
      </c>
      <c r="C48">
        <v>28</v>
      </c>
      <c r="D48">
        <v>7</v>
      </c>
      <c r="E48" t="s">
        <v>726</v>
      </c>
      <c r="F48" t="s">
        <v>704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727</v>
      </c>
      <c r="B49" t="s">
        <v>31</v>
      </c>
      <c r="C49">
        <v>24</v>
      </c>
      <c r="D49">
        <v>1</v>
      </c>
      <c r="E49" t="s">
        <v>728</v>
      </c>
      <c r="F49" t="s">
        <v>704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729</v>
      </c>
      <c r="B50" t="s">
        <v>31</v>
      </c>
      <c r="C50">
        <v>22</v>
      </c>
      <c r="D50">
        <v>0</v>
      </c>
      <c r="E50" t="s">
        <v>309</v>
      </c>
      <c r="F50" t="s">
        <v>704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730</v>
      </c>
      <c r="B51" t="s">
        <v>31</v>
      </c>
      <c r="C51">
        <v>25</v>
      </c>
      <c r="D51">
        <v>3</v>
      </c>
      <c r="E51" t="s">
        <v>557</v>
      </c>
      <c r="F51" t="s">
        <v>704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731</v>
      </c>
      <c r="B52" t="s">
        <v>31</v>
      </c>
      <c r="C52">
        <v>24</v>
      </c>
      <c r="D52">
        <v>0</v>
      </c>
      <c r="E52" t="s">
        <v>93</v>
      </c>
      <c r="F52" t="s">
        <v>704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732</v>
      </c>
      <c r="B61" t="s">
        <v>43</v>
      </c>
      <c r="C61">
        <v>23</v>
      </c>
      <c r="D61">
        <v>0</v>
      </c>
      <c r="E61" t="s">
        <v>733</v>
      </c>
      <c r="F61" t="s">
        <v>704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734</v>
      </c>
      <c r="B62" t="s">
        <v>43</v>
      </c>
      <c r="D62">
        <v>0</v>
      </c>
      <c r="E62" t="s">
        <v>91</v>
      </c>
      <c r="F62" t="s">
        <v>704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735</v>
      </c>
      <c r="B63" t="s">
        <v>43</v>
      </c>
      <c r="C63">
        <v>23</v>
      </c>
      <c r="D63">
        <v>2</v>
      </c>
      <c r="E63" t="s">
        <v>736</v>
      </c>
      <c r="F63" t="s">
        <v>704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737</v>
      </c>
      <c r="B64" t="s">
        <v>43</v>
      </c>
      <c r="C64">
        <v>22</v>
      </c>
      <c r="D64">
        <v>0</v>
      </c>
      <c r="E64" t="s">
        <v>738</v>
      </c>
      <c r="F64" t="s">
        <v>704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739</v>
      </c>
      <c r="B65" t="s">
        <v>43</v>
      </c>
      <c r="C65">
        <v>23</v>
      </c>
      <c r="D65">
        <v>0</v>
      </c>
      <c r="E65" t="s">
        <v>240</v>
      </c>
      <c r="F65" t="s">
        <v>704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740</v>
      </c>
      <c r="B66" t="s">
        <v>43</v>
      </c>
      <c r="C66">
        <v>24</v>
      </c>
      <c r="D66">
        <v>1</v>
      </c>
      <c r="E66" t="s">
        <v>215</v>
      </c>
      <c r="F66" t="s">
        <v>704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741</v>
      </c>
      <c r="B67" t="s">
        <v>43</v>
      </c>
      <c r="C67">
        <v>25</v>
      </c>
      <c r="D67">
        <v>1</v>
      </c>
      <c r="E67" t="s">
        <v>742</v>
      </c>
      <c r="F67" t="s">
        <v>704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743</v>
      </c>
      <c r="B68" t="s">
        <v>43</v>
      </c>
      <c r="C68">
        <v>23</v>
      </c>
      <c r="D68">
        <v>0</v>
      </c>
      <c r="E68" t="s">
        <v>744</v>
      </c>
      <c r="F68" t="s">
        <v>704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745</v>
      </c>
      <c r="B69" t="s">
        <v>43</v>
      </c>
      <c r="C69">
        <v>25</v>
      </c>
      <c r="D69">
        <v>2</v>
      </c>
      <c r="E69" t="s">
        <v>248</v>
      </c>
      <c r="F69" t="s">
        <v>704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746</v>
      </c>
      <c r="B70" t="s">
        <v>43</v>
      </c>
      <c r="C70">
        <v>24</v>
      </c>
      <c r="D70">
        <v>2</v>
      </c>
      <c r="E70" t="s">
        <v>555</v>
      </c>
      <c r="F70" t="s">
        <v>704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747</v>
      </c>
      <c r="B71" t="s">
        <v>43</v>
      </c>
      <c r="C71">
        <v>23</v>
      </c>
      <c r="D71">
        <v>0</v>
      </c>
      <c r="E71" t="s">
        <v>405</v>
      </c>
      <c r="F71" t="s">
        <v>704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748</v>
      </c>
      <c r="B72" t="s">
        <v>43</v>
      </c>
      <c r="C72">
        <v>22</v>
      </c>
      <c r="D72">
        <v>0</v>
      </c>
      <c r="E72" t="s">
        <v>409</v>
      </c>
      <c r="F72" t="s">
        <v>704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749</v>
      </c>
      <c r="B76" t="s">
        <v>38</v>
      </c>
      <c r="C76">
        <v>24</v>
      </c>
      <c r="D76">
        <v>1</v>
      </c>
      <c r="E76" t="s">
        <v>248</v>
      </c>
      <c r="F76" t="s">
        <v>704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750</v>
      </c>
      <c r="B77" t="s">
        <v>38</v>
      </c>
      <c r="C77">
        <v>26</v>
      </c>
      <c r="D77">
        <v>4</v>
      </c>
      <c r="E77" t="s">
        <v>455</v>
      </c>
      <c r="F77" t="s">
        <v>704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751</v>
      </c>
      <c r="B78" t="s">
        <v>38</v>
      </c>
      <c r="C78">
        <v>26</v>
      </c>
      <c r="D78">
        <v>4</v>
      </c>
      <c r="E78" t="s">
        <v>136</v>
      </c>
      <c r="F78" t="s">
        <v>704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752</v>
      </c>
      <c r="B79" t="s">
        <v>38</v>
      </c>
      <c r="C79">
        <v>22</v>
      </c>
      <c r="D79">
        <v>0</v>
      </c>
      <c r="E79" t="s">
        <v>753</v>
      </c>
      <c r="F79" t="s">
        <v>704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754</v>
      </c>
      <c r="B80" t="s">
        <v>38</v>
      </c>
      <c r="C80">
        <v>22</v>
      </c>
      <c r="D80">
        <v>0</v>
      </c>
      <c r="E80" t="s">
        <v>111</v>
      </c>
      <c r="F80" t="s">
        <v>704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topLeftCell="G1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755</v>
      </c>
      <c r="B2" t="s">
        <v>756</v>
      </c>
      <c r="C2" t="s">
        <v>115</v>
      </c>
      <c r="D2">
        <v>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8</v>
      </c>
      <c r="N2">
        <v>5</v>
      </c>
      <c r="O2">
        <v>19</v>
      </c>
      <c r="P2">
        <v>0</v>
      </c>
      <c r="Q2">
        <v>0</v>
      </c>
      <c r="R2">
        <v>0</v>
      </c>
      <c r="S2">
        <v>6.9</v>
      </c>
      <c r="T2">
        <v>1.42095914742451E-2</v>
      </c>
      <c r="V2">
        <v>3.8</v>
      </c>
    </row>
    <row r="3" spans="1:24" x14ac:dyDescent="0.25">
      <c r="A3" t="s">
        <v>757</v>
      </c>
      <c r="B3" t="s">
        <v>756</v>
      </c>
      <c r="C3" t="s">
        <v>26</v>
      </c>
      <c r="D3">
        <v>15</v>
      </c>
      <c r="E3">
        <v>479</v>
      </c>
      <c r="F3">
        <v>292</v>
      </c>
      <c r="G3">
        <v>3118</v>
      </c>
      <c r="H3">
        <v>17</v>
      </c>
      <c r="I3">
        <v>15</v>
      </c>
      <c r="J3">
        <v>32</v>
      </c>
      <c r="K3">
        <v>108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1</v>
      </c>
      <c r="S3">
        <v>181.52</v>
      </c>
      <c r="T3">
        <v>0</v>
      </c>
      <c r="U3">
        <v>3.375</v>
      </c>
      <c r="W3">
        <v>0.60960334029227603</v>
      </c>
      <c r="X3">
        <v>3.54906054279749E-2</v>
      </c>
    </row>
    <row r="4" spans="1:24" x14ac:dyDescent="0.25">
      <c r="A4" t="s">
        <v>758</v>
      </c>
      <c r="B4" t="s">
        <v>756</v>
      </c>
      <c r="C4" t="s">
        <v>26</v>
      </c>
      <c r="D4">
        <v>7</v>
      </c>
      <c r="E4">
        <v>20</v>
      </c>
      <c r="F4">
        <v>14</v>
      </c>
      <c r="G4">
        <v>108</v>
      </c>
      <c r="H4">
        <v>1</v>
      </c>
      <c r="I4">
        <v>0</v>
      </c>
      <c r="J4">
        <v>20</v>
      </c>
      <c r="K4">
        <v>75</v>
      </c>
      <c r="L4">
        <v>0</v>
      </c>
      <c r="M4">
        <v>1</v>
      </c>
      <c r="N4">
        <v>1</v>
      </c>
      <c r="O4">
        <v>4</v>
      </c>
      <c r="P4">
        <v>0</v>
      </c>
      <c r="Q4">
        <v>0</v>
      </c>
      <c r="R4">
        <v>0</v>
      </c>
      <c r="S4">
        <v>17.22</v>
      </c>
      <c r="T4">
        <v>1.7761989342806399E-3</v>
      </c>
      <c r="U4">
        <v>3.75</v>
      </c>
      <c r="V4">
        <v>4</v>
      </c>
      <c r="W4">
        <v>0.7</v>
      </c>
      <c r="X4">
        <v>0.05</v>
      </c>
    </row>
    <row r="5" spans="1:24" x14ac:dyDescent="0.25">
      <c r="A5" t="s">
        <v>759</v>
      </c>
      <c r="B5" t="s">
        <v>756</v>
      </c>
      <c r="C5" t="s">
        <v>26</v>
      </c>
      <c r="D5">
        <v>2</v>
      </c>
      <c r="E5">
        <v>78</v>
      </c>
      <c r="F5">
        <v>46</v>
      </c>
      <c r="G5">
        <v>416</v>
      </c>
      <c r="H5">
        <v>2</v>
      </c>
      <c r="I5">
        <v>4</v>
      </c>
      <c r="J5">
        <v>6</v>
      </c>
      <c r="K5">
        <v>13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15.94</v>
      </c>
      <c r="T5">
        <v>0</v>
      </c>
      <c r="U5">
        <v>2.1666666666666701</v>
      </c>
      <c r="W5">
        <v>0.58974358974358998</v>
      </c>
      <c r="X5">
        <v>2.5641025641025599E-2</v>
      </c>
    </row>
    <row r="6" spans="1:24" x14ac:dyDescent="0.25">
      <c r="A6" t="s">
        <v>760</v>
      </c>
      <c r="B6" t="s">
        <v>756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123</v>
      </c>
      <c r="L6">
        <v>1</v>
      </c>
      <c r="M6">
        <v>26</v>
      </c>
      <c r="N6">
        <v>20</v>
      </c>
      <c r="O6">
        <v>104</v>
      </c>
      <c r="P6">
        <v>0</v>
      </c>
      <c r="Q6">
        <v>0</v>
      </c>
      <c r="R6">
        <v>0</v>
      </c>
      <c r="S6">
        <v>48.7</v>
      </c>
      <c r="T6">
        <v>4.6181172291296597E-2</v>
      </c>
      <c r="U6">
        <v>2.9285714285714302</v>
      </c>
      <c r="V6">
        <v>5.2</v>
      </c>
    </row>
    <row r="7" spans="1:24" x14ac:dyDescent="0.25">
      <c r="A7" t="s">
        <v>761</v>
      </c>
      <c r="B7" t="s">
        <v>756</v>
      </c>
      <c r="C7" t="s">
        <v>31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939</v>
      </c>
      <c r="L7">
        <v>4</v>
      </c>
      <c r="M7">
        <v>39</v>
      </c>
      <c r="N7">
        <v>30</v>
      </c>
      <c r="O7">
        <v>165</v>
      </c>
      <c r="P7">
        <v>1</v>
      </c>
      <c r="Q7">
        <v>2</v>
      </c>
      <c r="R7">
        <v>0</v>
      </c>
      <c r="S7">
        <v>166.4</v>
      </c>
      <c r="T7">
        <v>6.92717584369449E-2</v>
      </c>
      <c r="U7">
        <v>4.2681818181818203</v>
      </c>
      <c r="V7">
        <v>5.5</v>
      </c>
    </row>
    <row r="8" spans="1:24" x14ac:dyDescent="0.25">
      <c r="A8" t="s">
        <v>33</v>
      </c>
      <c r="B8" t="s">
        <v>756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3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</v>
      </c>
      <c r="T8">
        <v>0</v>
      </c>
      <c r="U8">
        <v>0.33333333333333298</v>
      </c>
    </row>
    <row r="9" spans="1:24" x14ac:dyDescent="0.25">
      <c r="A9" t="s">
        <v>762</v>
      </c>
      <c r="B9" t="s">
        <v>756</v>
      </c>
      <c r="C9" t="s">
        <v>31</v>
      </c>
      <c r="D9">
        <v>15</v>
      </c>
      <c r="E9">
        <v>1</v>
      </c>
      <c r="F9">
        <v>0</v>
      </c>
      <c r="G9">
        <v>0</v>
      </c>
      <c r="H9">
        <v>0</v>
      </c>
      <c r="I9">
        <v>0</v>
      </c>
      <c r="J9">
        <v>26</v>
      </c>
      <c r="K9">
        <v>80</v>
      </c>
      <c r="L9">
        <v>0</v>
      </c>
      <c r="M9">
        <v>51</v>
      </c>
      <c r="N9">
        <v>37</v>
      </c>
      <c r="O9">
        <v>204</v>
      </c>
      <c r="P9">
        <v>1</v>
      </c>
      <c r="Q9">
        <v>0</v>
      </c>
      <c r="R9">
        <v>0</v>
      </c>
      <c r="S9">
        <v>71.400000000000006</v>
      </c>
      <c r="T9">
        <v>9.0586145648312605E-2</v>
      </c>
      <c r="U9">
        <v>3.0769230769230802</v>
      </c>
      <c r="V9">
        <v>5.5135135135135096</v>
      </c>
      <c r="W9">
        <v>0</v>
      </c>
      <c r="X9">
        <v>0</v>
      </c>
    </row>
    <row r="10" spans="1:24" x14ac:dyDescent="0.25">
      <c r="A10" t="s">
        <v>763</v>
      </c>
      <c r="B10" t="s">
        <v>756</v>
      </c>
      <c r="C10" t="s">
        <v>31</v>
      </c>
      <c r="D10">
        <v>4</v>
      </c>
      <c r="E10">
        <v>0</v>
      </c>
      <c r="F10">
        <v>0</v>
      </c>
      <c r="G10">
        <v>0</v>
      </c>
      <c r="H10">
        <v>0</v>
      </c>
      <c r="I10">
        <v>0</v>
      </c>
      <c r="J10">
        <v>41</v>
      </c>
      <c r="K10">
        <v>117</v>
      </c>
      <c r="L10">
        <v>0</v>
      </c>
      <c r="M10">
        <v>8</v>
      </c>
      <c r="N10">
        <v>6</v>
      </c>
      <c r="O10">
        <v>33</v>
      </c>
      <c r="P10">
        <v>0</v>
      </c>
      <c r="Q10">
        <v>1</v>
      </c>
      <c r="R10">
        <v>0</v>
      </c>
      <c r="S10">
        <v>19</v>
      </c>
      <c r="T10">
        <v>1.42095914742451E-2</v>
      </c>
      <c r="U10">
        <v>2.8536585365853702</v>
      </c>
      <c r="V10">
        <v>5.5</v>
      </c>
    </row>
    <row r="11" spans="1:24" x14ac:dyDescent="0.25">
      <c r="A11" t="s">
        <v>764</v>
      </c>
      <c r="B11" t="s">
        <v>756</v>
      </c>
      <c r="C11" t="s">
        <v>38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28</v>
      </c>
      <c r="N11">
        <v>14</v>
      </c>
      <c r="O11">
        <v>128</v>
      </c>
      <c r="P11">
        <v>0</v>
      </c>
      <c r="Q11">
        <v>0</v>
      </c>
      <c r="R11">
        <v>0</v>
      </c>
      <c r="S11">
        <v>26.8</v>
      </c>
      <c r="T11">
        <v>4.9733570159857902E-2</v>
      </c>
      <c r="V11">
        <v>9.1428571428571406</v>
      </c>
    </row>
    <row r="12" spans="1:24" x14ac:dyDescent="0.25">
      <c r="A12" t="s">
        <v>765</v>
      </c>
      <c r="B12" t="s">
        <v>756</v>
      </c>
      <c r="C12" t="s">
        <v>38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54</v>
      </c>
      <c r="N12">
        <v>37</v>
      </c>
      <c r="O12">
        <v>495</v>
      </c>
      <c r="P12">
        <v>5</v>
      </c>
      <c r="Q12">
        <v>0</v>
      </c>
      <c r="R12">
        <v>0</v>
      </c>
      <c r="S12">
        <v>116.5</v>
      </c>
      <c r="T12">
        <v>9.59147424511545E-2</v>
      </c>
      <c r="V12">
        <v>13.3783783783784</v>
      </c>
    </row>
    <row r="13" spans="1:24" x14ac:dyDescent="0.25">
      <c r="A13" t="s">
        <v>766</v>
      </c>
      <c r="B13" t="s">
        <v>756</v>
      </c>
      <c r="C13" t="s">
        <v>38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6</v>
      </c>
      <c r="P13">
        <v>0</v>
      </c>
      <c r="Q13">
        <v>0</v>
      </c>
      <c r="R13">
        <v>0</v>
      </c>
      <c r="S13">
        <v>2.6</v>
      </c>
      <c r="T13">
        <v>3.5523978685612799E-3</v>
      </c>
      <c r="V13">
        <v>3</v>
      </c>
    </row>
    <row r="14" spans="1:24" x14ac:dyDescent="0.25">
      <c r="A14" t="s">
        <v>767</v>
      </c>
      <c r="B14" t="s">
        <v>756</v>
      </c>
      <c r="C14" t="s">
        <v>38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23</v>
      </c>
      <c r="N14">
        <v>10</v>
      </c>
      <c r="O14">
        <v>145</v>
      </c>
      <c r="P14">
        <v>2</v>
      </c>
      <c r="Q14">
        <v>0</v>
      </c>
      <c r="R14">
        <v>0</v>
      </c>
      <c r="S14">
        <v>36.5</v>
      </c>
      <c r="T14">
        <v>4.0852575488454702E-2</v>
      </c>
      <c r="V14">
        <v>14.5</v>
      </c>
    </row>
    <row r="15" spans="1:24" x14ac:dyDescent="0.25">
      <c r="A15" t="s">
        <v>488</v>
      </c>
      <c r="B15" t="s">
        <v>756</v>
      </c>
      <c r="C15" t="s">
        <v>38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10</v>
      </c>
      <c r="N15">
        <v>7</v>
      </c>
      <c r="O15">
        <v>72</v>
      </c>
      <c r="P15">
        <v>0</v>
      </c>
      <c r="Q15">
        <v>0</v>
      </c>
      <c r="R15">
        <v>0</v>
      </c>
      <c r="S15">
        <v>14.2</v>
      </c>
      <c r="T15">
        <v>1.77619893428064E-2</v>
      </c>
      <c r="V15">
        <v>10.285714285714301</v>
      </c>
    </row>
    <row r="16" spans="1:24" x14ac:dyDescent="0.25">
      <c r="A16" t="s">
        <v>768</v>
      </c>
      <c r="B16" t="s">
        <v>756</v>
      </c>
      <c r="C16" t="s">
        <v>38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14</v>
      </c>
      <c r="N16">
        <v>7</v>
      </c>
      <c r="O16">
        <v>113</v>
      </c>
      <c r="P16">
        <v>2</v>
      </c>
      <c r="Q16">
        <v>0</v>
      </c>
      <c r="R16">
        <v>0</v>
      </c>
      <c r="S16">
        <v>30.3</v>
      </c>
      <c r="T16">
        <v>2.4866785079929E-2</v>
      </c>
      <c r="V16">
        <v>16.1428571428571</v>
      </c>
    </row>
    <row r="17" spans="1:24" x14ac:dyDescent="0.25">
      <c r="A17" t="s">
        <v>703</v>
      </c>
      <c r="B17" t="s">
        <v>756</v>
      </c>
      <c r="C17" t="s">
        <v>43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7</v>
      </c>
      <c r="L17">
        <v>0</v>
      </c>
      <c r="M17">
        <v>17</v>
      </c>
      <c r="N17">
        <v>12</v>
      </c>
      <c r="O17">
        <v>154</v>
      </c>
      <c r="P17">
        <v>1</v>
      </c>
      <c r="Q17">
        <v>0</v>
      </c>
      <c r="R17">
        <v>0</v>
      </c>
      <c r="S17">
        <v>34.1</v>
      </c>
      <c r="T17">
        <v>3.0195381882770898E-2</v>
      </c>
      <c r="U17">
        <v>3.5</v>
      </c>
      <c r="V17">
        <v>12.8333333333333</v>
      </c>
    </row>
    <row r="18" spans="1:24" x14ac:dyDescent="0.25">
      <c r="A18" t="s">
        <v>769</v>
      </c>
      <c r="B18" t="s">
        <v>756</v>
      </c>
      <c r="C18" t="s">
        <v>43</v>
      </c>
      <c r="D18"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7</v>
      </c>
      <c r="L18">
        <v>0</v>
      </c>
      <c r="M18">
        <v>93</v>
      </c>
      <c r="N18">
        <v>57</v>
      </c>
      <c r="O18">
        <v>699</v>
      </c>
      <c r="P18">
        <v>3</v>
      </c>
      <c r="Q18">
        <v>0</v>
      </c>
      <c r="R18">
        <v>0</v>
      </c>
      <c r="S18">
        <v>145.6</v>
      </c>
      <c r="T18">
        <v>0.165186500888099</v>
      </c>
      <c r="U18">
        <v>3.5</v>
      </c>
      <c r="V18">
        <v>12.2631578947368</v>
      </c>
    </row>
    <row r="19" spans="1:24" x14ac:dyDescent="0.25">
      <c r="A19" t="s">
        <v>770</v>
      </c>
      <c r="B19" t="s">
        <v>756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3.5523978685612799E-3</v>
      </c>
    </row>
    <row r="20" spans="1:24" x14ac:dyDescent="0.25">
      <c r="A20" t="s">
        <v>771</v>
      </c>
      <c r="B20" t="s">
        <v>756</v>
      </c>
      <c r="C20" t="s">
        <v>43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3</v>
      </c>
      <c r="K20">
        <v>3</v>
      </c>
      <c r="L20">
        <v>0</v>
      </c>
      <c r="M20">
        <v>74</v>
      </c>
      <c r="N20">
        <v>48</v>
      </c>
      <c r="O20">
        <v>548</v>
      </c>
      <c r="P20">
        <v>2</v>
      </c>
      <c r="Q20">
        <v>0</v>
      </c>
      <c r="R20">
        <v>0</v>
      </c>
      <c r="S20">
        <v>115.1</v>
      </c>
      <c r="T20">
        <v>0.13143872113676699</v>
      </c>
      <c r="U20">
        <v>1</v>
      </c>
      <c r="V20">
        <v>11.4166666666667</v>
      </c>
    </row>
    <row r="21" spans="1:24" x14ac:dyDescent="0.25">
      <c r="A21" t="s">
        <v>772</v>
      </c>
      <c r="B21" t="s">
        <v>756</v>
      </c>
      <c r="C21" t="s">
        <v>43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7</v>
      </c>
      <c r="P21">
        <v>0</v>
      </c>
      <c r="Q21">
        <v>0</v>
      </c>
      <c r="R21">
        <v>0</v>
      </c>
      <c r="S21">
        <v>1.7</v>
      </c>
      <c r="T21">
        <v>1.7761989342806399E-3</v>
      </c>
      <c r="V21">
        <v>7</v>
      </c>
    </row>
    <row r="22" spans="1:24" x14ac:dyDescent="0.25">
      <c r="A22" t="s">
        <v>773</v>
      </c>
      <c r="B22" t="s">
        <v>756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66</v>
      </c>
      <c r="N22">
        <v>37</v>
      </c>
      <c r="O22">
        <v>481</v>
      </c>
      <c r="P22">
        <v>2</v>
      </c>
      <c r="Q22">
        <v>0</v>
      </c>
      <c r="R22">
        <v>0</v>
      </c>
      <c r="S22">
        <v>97.1</v>
      </c>
      <c r="T22">
        <v>0.117229129662522</v>
      </c>
      <c r="V22">
        <v>13</v>
      </c>
    </row>
    <row r="23" spans="1:24" x14ac:dyDescent="0.25">
      <c r="A23" t="s">
        <v>774</v>
      </c>
      <c r="B23" t="s">
        <v>756</v>
      </c>
      <c r="C23" t="s">
        <v>43</v>
      </c>
      <c r="D23">
        <v>14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40</v>
      </c>
      <c r="N23">
        <v>20</v>
      </c>
      <c r="O23">
        <v>257</v>
      </c>
      <c r="P23">
        <v>1</v>
      </c>
      <c r="Q23">
        <v>0</v>
      </c>
      <c r="R23">
        <v>0</v>
      </c>
      <c r="S23">
        <v>51.7</v>
      </c>
      <c r="T23">
        <v>7.1047957371225601E-2</v>
      </c>
      <c r="V23">
        <v>12.85</v>
      </c>
      <c r="W23">
        <v>0</v>
      </c>
      <c r="X23">
        <v>0</v>
      </c>
    </row>
    <row r="24" spans="1:24" x14ac:dyDescent="0.25">
      <c r="A24" t="s">
        <v>775</v>
      </c>
      <c r="B24" t="s">
        <v>756</v>
      </c>
      <c r="C24" t="s">
        <v>43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</v>
      </c>
      <c r="O24">
        <v>8</v>
      </c>
      <c r="P24">
        <v>0</v>
      </c>
      <c r="Q24">
        <v>0</v>
      </c>
      <c r="R24">
        <v>0</v>
      </c>
      <c r="S24">
        <v>1.8</v>
      </c>
      <c r="T24">
        <v>1.7761989342806399E-3</v>
      </c>
      <c r="V24">
        <v>8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756</v>
      </c>
      <c r="B31">
        <v>5115</v>
      </c>
      <c r="C31">
        <v>3642</v>
      </c>
      <c r="D31">
        <v>397</v>
      </c>
      <c r="E31">
        <v>1473</v>
      </c>
      <c r="F31">
        <v>7</v>
      </c>
      <c r="G31">
        <v>1201.18</v>
      </c>
      <c r="H31">
        <v>579</v>
      </c>
      <c r="I31">
        <v>0.60794473229706403</v>
      </c>
      <c r="J31">
        <v>20</v>
      </c>
      <c r="K31">
        <v>19</v>
      </c>
      <c r="L31">
        <v>7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HOU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776</v>
      </c>
      <c r="B36" t="s">
        <v>26</v>
      </c>
      <c r="C36">
        <v>35</v>
      </c>
      <c r="D36">
        <v>11</v>
      </c>
      <c r="E36" t="s">
        <v>70</v>
      </c>
      <c r="F36" t="s">
        <v>756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777</v>
      </c>
      <c r="B37" t="s">
        <v>26</v>
      </c>
      <c r="C37">
        <v>24</v>
      </c>
      <c r="D37">
        <v>3</v>
      </c>
      <c r="E37" t="s">
        <v>102</v>
      </c>
      <c r="F37" t="s">
        <v>756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778</v>
      </c>
      <c r="B38" t="s">
        <v>26</v>
      </c>
      <c r="C38">
        <v>25</v>
      </c>
      <c r="D38">
        <v>1</v>
      </c>
      <c r="E38" t="s">
        <v>779</v>
      </c>
      <c r="F38" t="s">
        <v>756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780</v>
      </c>
      <c r="B39" t="s">
        <v>26</v>
      </c>
      <c r="C39">
        <v>21</v>
      </c>
      <c r="D39">
        <v>0</v>
      </c>
      <c r="E39" t="s">
        <v>213</v>
      </c>
      <c r="F39" t="s">
        <v>756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781</v>
      </c>
      <c r="B46" t="s">
        <v>31</v>
      </c>
      <c r="C46">
        <v>28</v>
      </c>
      <c r="D46">
        <v>6</v>
      </c>
      <c r="E46" t="s">
        <v>136</v>
      </c>
      <c r="F46" t="s">
        <v>756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782</v>
      </c>
      <c r="B47" t="s">
        <v>31</v>
      </c>
      <c r="C47">
        <v>25</v>
      </c>
      <c r="D47">
        <v>1</v>
      </c>
      <c r="E47" t="s">
        <v>136</v>
      </c>
      <c r="F47" t="s">
        <v>756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783</v>
      </c>
      <c r="B48" t="s">
        <v>31</v>
      </c>
      <c r="C48">
        <v>29</v>
      </c>
      <c r="D48">
        <v>5</v>
      </c>
      <c r="E48" t="s">
        <v>72</v>
      </c>
      <c r="F48" t="s">
        <v>756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784</v>
      </c>
      <c r="B49" t="s">
        <v>31</v>
      </c>
      <c r="C49">
        <v>23</v>
      </c>
      <c r="D49">
        <v>2</v>
      </c>
      <c r="E49" t="s">
        <v>178</v>
      </c>
      <c r="F49" t="s">
        <v>756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785</v>
      </c>
      <c r="B50" t="s">
        <v>31</v>
      </c>
      <c r="C50">
        <v>25</v>
      </c>
      <c r="D50">
        <v>5</v>
      </c>
      <c r="E50" t="s">
        <v>523</v>
      </c>
      <c r="F50" t="s">
        <v>756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786</v>
      </c>
      <c r="B61" t="s">
        <v>43</v>
      </c>
      <c r="C61">
        <v>27</v>
      </c>
      <c r="D61">
        <v>1</v>
      </c>
      <c r="E61" t="s">
        <v>95</v>
      </c>
      <c r="F61" t="s">
        <v>756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787</v>
      </c>
      <c r="B62" t="s">
        <v>43</v>
      </c>
      <c r="C62">
        <v>27</v>
      </c>
      <c r="D62">
        <v>7</v>
      </c>
      <c r="E62" t="s">
        <v>213</v>
      </c>
      <c r="F62" t="s">
        <v>756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788</v>
      </c>
      <c r="B63" t="s">
        <v>43</v>
      </c>
      <c r="C63">
        <v>25</v>
      </c>
      <c r="D63">
        <v>1</v>
      </c>
      <c r="E63" t="s">
        <v>455</v>
      </c>
      <c r="F63" t="s">
        <v>756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789</v>
      </c>
      <c r="B64" t="s">
        <v>43</v>
      </c>
      <c r="C64">
        <v>24</v>
      </c>
      <c r="D64">
        <v>3</v>
      </c>
      <c r="E64" t="s">
        <v>105</v>
      </c>
      <c r="F64" t="s">
        <v>756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790</v>
      </c>
      <c r="B65" t="s">
        <v>43</v>
      </c>
      <c r="C65">
        <v>23</v>
      </c>
      <c r="D65">
        <v>0</v>
      </c>
      <c r="E65" t="s">
        <v>70</v>
      </c>
      <c r="F65" t="s">
        <v>756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791</v>
      </c>
      <c r="B66" t="s">
        <v>43</v>
      </c>
      <c r="C66">
        <v>30</v>
      </c>
      <c r="D66">
        <v>8</v>
      </c>
      <c r="E66" t="s">
        <v>458</v>
      </c>
      <c r="F66" t="s">
        <v>756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792</v>
      </c>
      <c r="B67" t="s">
        <v>43</v>
      </c>
      <c r="C67">
        <v>23</v>
      </c>
      <c r="D67">
        <v>0</v>
      </c>
      <c r="E67" t="s">
        <v>244</v>
      </c>
      <c r="F67" t="s">
        <v>756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793</v>
      </c>
      <c r="B68" t="s">
        <v>43</v>
      </c>
      <c r="C68">
        <v>24</v>
      </c>
      <c r="D68">
        <v>1</v>
      </c>
      <c r="E68" t="s">
        <v>205</v>
      </c>
      <c r="F68" t="s">
        <v>756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794</v>
      </c>
      <c r="B69" t="s">
        <v>43</v>
      </c>
      <c r="C69">
        <v>24</v>
      </c>
      <c r="D69">
        <v>0</v>
      </c>
      <c r="E69" t="s">
        <v>795</v>
      </c>
      <c r="F69" t="s">
        <v>756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796</v>
      </c>
      <c r="B70" t="s">
        <v>43</v>
      </c>
      <c r="C70">
        <v>23</v>
      </c>
      <c r="D70">
        <v>1</v>
      </c>
      <c r="E70" t="s">
        <v>153</v>
      </c>
      <c r="F70" t="s">
        <v>756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797</v>
      </c>
      <c r="B71" t="s">
        <v>43</v>
      </c>
      <c r="C71">
        <v>26</v>
      </c>
      <c r="D71">
        <v>4</v>
      </c>
      <c r="E71" t="s">
        <v>467</v>
      </c>
      <c r="F71" t="s">
        <v>756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798</v>
      </c>
      <c r="B72" t="s">
        <v>43</v>
      </c>
      <c r="C72">
        <v>22</v>
      </c>
      <c r="D72">
        <v>0</v>
      </c>
      <c r="E72" t="s">
        <v>74</v>
      </c>
      <c r="F72" t="s">
        <v>756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799</v>
      </c>
      <c r="B73" t="s">
        <v>43</v>
      </c>
      <c r="C73">
        <v>31</v>
      </c>
      <c r="D73">
        <v>11</v>
      </c>
      <c r="E73" t="s">
        <v>78</v>
      </c>
      <c r="F73" t="s">
        <v>756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800</v>
      </c>
      <c r="B76" t="s">
        <v>38</v>
      </c>
      <c r="C76">
        <v>23</v>
      </c>
      <c r="D76">
        <v>3</v>
      </c>
      <c r="E76" t="s">
        <v>397</v>
      </c>
      <c r="F76" t="s">
        <v>756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801</v>
      </c>
      <c r="B77" t="s">
        <v>38</v>
      </c>
      <c r="C77">
        <v>24</v>
      </c>
      <c r="D77">
        <v>2</v>
      </c>
      <c r="E77" t="s">
        <v>333</v>
      </c>
      <c r="F77" t="s">
        <v>756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802</v>
      </c>
      <c r="B78" t="s">
        <v>38</v>
      </c>
      <c r="C78">
        <v>23</v>
      </c>
      <c r="D78">
        <v>0</v>
      </c>
      <c r="E78" t="s">
        <v>803</v>
      </c>
      <c r="F78" t="s">
        <v>756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804</v>
      </c>
      <c r="B79" t="s">
        <v>38</v>
      </c>
      <c r="C79">
        <v>23</v>
      </c>
      <c r="D79">
        <v>2</v>
      </c>
      <c r="E79" t="s">
        <v>111</v>
      </c>
      <c r="F79" t="s">
        <v>756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805</v>
      </c>
      <c r="B80" t="s">
        <v>38</v>
      </c>
      <c r="C80">
        <v>29</v>
      </c>
      <c r="D80">
        <v>4</v>
      </c>
      <c r="E80" t="s">
        <v>806</v>
      </c>
      <c r="F80" t="s">
        <v>756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807</v>
      </c>
      <c r="B81" t="s">
        <v>38</v>
      </c>
      <c r="C81">
        <v>27</v>
      </c>
      <c r="D81">
        <v>6</v>
      </c>
      <c r="E81" t="s">
        <v>102</v>
      </c>
      <c r="F81" t="s">
        <v>756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808</v>
      </c>
      <c r="B82" t="s">
        <v>38</v>
      </c>
      <c r="C82">
        <v>31</v>
      </c>
      <c r="D82">
        <v>8</v>
      </c>
      <c r="E82" t="s">
        <v>726</v>
      </c>
      <c r="F82" t="s">
        <v>756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 x14ac:dyDescent="0.25">
      <c r="A83" t="s">
        <v>809</v>
      </c>
      <c r="B83" t="s">
        <v>38</v>
      </c>
      <c r="C83">
        <v>30</v>
      </c>
      <c r="D83">
        <v>8</v>
      </c>
      <c r="E83" t="s">
        <v>213</v>
      </c>
      <c r="F83" t="s">
        <v>756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topLeftCell="G22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810</v>
      </c>
      <c r="B2" t="s">
        <v>811</v>
      </c>
      <c r="C2" t="s">
        <v>26</v>
      </c>
      <c r="D2">
        <v>12</v>
      </c>
      <c r="E2">
        <v>461</v>
      </c>
      <c r="F2">
        <v>309</v>
      </c>
      <c r="G2">
        <v>3057</v>
      </c>
      <c r="H2">
        <v>14</v>
      </c>
      <c r="I2">
        <v>13</v>
      </c>
      <c r="J2">
        <v>27</v>
      </c>
      <c r="K2">
        <v>70</v>
      </c>
      <c r="L2">
        <v>1</v>
      </c>
      <c r="M2">
        <v>0</v>
      </c>
      <c r="N2">
        <v>0</v>
      </c>
      <c r="O2">
        <v>0</v>
      </c>
      <c r="P2">
        <v>0</v>
      </c>
      <c r="Q2">
        <v>5</v>
      </c>
      <c r="R2">
        <v>0</v>
      </c>
      <c r="S2">
        <v>155.28</v>
      </c>
      <c r="T2">
        <v>0</v>
      </c>
      <c r="U2">
        <v>2.5925925925925899</v>
      </c>
      <c r="W2">
        <v>0.67028199566160496</v>
      </c>
      <c r="X2">
        <v>3.0368763557483702E-2</v>
      </c>
    </row>
    <row r="3" spans="1:24" x14ac:dyDescent="0.25">
      <c r="A3" t="s">
        <v>812</v>
      </c>
      <c r="B3" t="s">
        <v>811</v>
      </c>
      <c r="C3" t="s">
        <v>26</v>
      </c>
      <c r="D3">
        <v>2</v>
      </c>
      <c r="E3">
        <v>42</v>
      </c>
      <c r="F3">
        <v>25</v>
      </c>
      <c r="G3">
        <v>224</v>
      </c>
      <c r="H3">
        <v>0</v>
      </c>
      <c r="I3">
        <v>4</v>
      </c>
      <c r="J3">
        <v>2</v>
      </c>
      <c r="K3">
        <v>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1.76</v>
      </c>
      <c r="T3">
        <v>0</v>
      </c>
      <c r="U3">
        <v>4</v>
      </c>
      <c r="W3">
        <v>0.59523809523809501</v>
      </c>
      <c r="X3">
        <v>0</v>
      </c>
    </row>
    <row r="4" spans="1:24" x14ac:dyDescent="0.25">
      <c r="A4" t="s">
        <v>813</v>
      </c>
      <c r="B4" t="s">
        <v>811</v>
      </c>
      <c r="C4" t="s">
        <v>26</v>
      </c>
      <c r="D4">
        <v>4</v>
      </c>
      <c r="E4">
        <v>101</v>
      </c>
      <c r="F4">
        <v>64</v>
      </c>
      <c r="G4">
        <v>573</v>
      </c>
      <c r="H4">
        <v>3</v>
      </c>
      <c r="I4">
        <v>3</v>
      </c>
      <c r="J4">
        <v>17</v>
      </c>
      <c r="K4">
        <v>87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35.619999999999997</v>
      </c>
      <c r="T4">
        <v>0</v>
      </c>
      <c r="U4">
        <v>5.1176470588235299</v>
      </c>
      <c r="W4">
        <v>0.633663366336634</v>
      </c>
      <c r="X4">
        <v>2.9702970297029702E-2</v>
      </c>
    </row>
    <row r="5" spans="1:24" x14ac:dyDescent="0.25">
      <c r="A5" t="s">
        <v>198</v>
      </c>
      <c r="B5" t="s">
        <v>811</v>
      </c>
      <c r="C5" t="s">
        <v>31</v>
      </c>
      <c r="D5">
        <v>12</v>
      </c>
      <c r="E5">
        <v>0</v>
      </c>
      <c r="F5">
        <v>0</v>
      </c>
      <c r="G5">
        <v>0</v>
      </c>
      <c r="H5">
        <v>0</v>
      </c>
      <c r="I5">
        <v>0</v>
      </c>
      <c r="J5">
        <v>68</v>
      </c>
      <c r="K5">
        <v>236</v>
      </c>
      <c r="L5">
        <v>1</v>
      </c>
      <c r="M5">
        <v>34</v>
      </c>
      <c r="N5">
        <v>30</v>
      </c>
      <c r="O5">
        <v>209</v>
      </c>
      <c r="P5">
        <v>1</v>
      </c>
      <c r="Q5">
        <v>1</v>
      </c>
      <c r="R5">
        <v>0</v>
      </c>
      <c r="S5">
        <v>84.5</v>
      </c>
      <c r="T5">
        <v>5.8721934369602803E-2</v>
      </c>
      <c r="U5">
        <v>3.47058823529412</v>
      </c>
      <c r="V5">
        <v>6.9666666666666703</v>
      </c>
    </row>
    <row r="6" spans="1:24" x14ac:dyDescent="0.25">
      <c r="A6" t="s">
        <v>814</v>
      </c>
      <c r="B6" t="s">
        <v>811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192</v>
      </c>
      <c r="K6">
        <v>861</v>
      </c>
      <c r="L6">
        <v>4</v>
      </c>
      <c r="M6">
        <v>40</v>
      </c>
      <c r="N6">
        <v>28</v>
      </c>
      <c r="O6">
        <v>143</v>
      </c>
      <c r="P6">
        <v>0</v>
      </c>
      <c r="Q6">
        <v>3</v>
      </c>
      <c r="R6">
        <v>0</v>
      </c>
      <c r="S6">
        <v>146.4</v>
      </c>
      <c r="T6">
        <v>6.9084628670120898E-2</v>
      </c>
      <c r="U6">
        <v>4.484375</v>
      </c>
      <c r="V6">
        <v>5.1071428571428603</v>
      </c>
    </row>
    <row r="7" spans="1:24" x14ac:dyDescent="0.25">
      <c r="A7" t="s">
        <v>815</v>
      </c>
      <c r="B7" t="s">
        <v>811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58</v>
      </c>
      <c r="L7">
        <v>0</v>
      </c>
      <c r="M7">
        <v>8</v>
      </c>
      <c r="N7">
        <v>6</v>
      </c>
      <c r="O7">
        <v>29</v>
      </c>
      <c r="P7">
        <v>0</v>
      </c>
      <c r="Q7">
        <v>0</v>
      </c>
      <c r="R7">
        <v>0</v>
      </c>
      <c r="S7">
        <v>14.7</v>
      </c>
      <c r="T7">
        <v>1.38169257340242E-2</v>
      </c>
      <c r="U7">
        <v>4.4615384615384599</v>
      </c>
      <c r="V7">
        <v>4.8333333333333304</v>
      </c>
    </row>
    <row r="8" spans="1:24" x14ac:dyDescent="0.25">
      <c r="A8" t="s">
        <v>256</v>
      </c>
      <c r="B8" t="s">
        <v>811</v>
      </c>
      <c r="C8" t="s">
        <v>31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18</v>
      </c>
      <c r="K8">
        <v>36</v>
      </c>
      <c r="L8">
        <v>1</v>
      </c>
      <c r="M8">
        <v>28</v>
      </c>
      <c r="N8">
        <v>25</v>
      </c>
      <c r="O8">
        <v>188</v>
      </c>
      <c r="P8">
        <v>0</v>
      </c>
      <c r="Q8">
        <v>0</v>
      </c>
      <c r="R8">
        <v>0</v>
      </c>
      <c r="S8">
        <v>53.4</v>
      </c>
      <c r="T8">
        <v>4.8359240069084597E-2</v>
      </c>
      <c r="U8">
        <v>2</v>
      </c>
      <c r="V8">
        <v>7.52</v>
      </c>
    </row>
    <row r="9" spans="1:24" x14ac:dyDescent="0.25">
      <c r="A9" t="s">
        <v>816</v>
      </c>
      <c r="B9" t="s">
        <v>811</v>
      </c>
      <c r="C9" t="s">
        <v>31</v>
      </c>
      <c r="D9">
        <v>3</v>
      </c>
      <c r="E9">
        <v>0</v>
      </c>
      <c r="F9">
        <v>0</v>
      </c>
      <c r="G9">
        <v>0</v>
      </c>
      <c r="H9">
        <v>0</v>
      </c>
      <c r="I9">
        <v>0</v>
      </c>
      <c r="J9">
        <v>15</v>
      </c>
      <c r="K9">
        <v>49</v>
      </c>
      <c r="L9">
        <v>0</v>
      </c>
      <c r="M9">
        <v>8</v>
      </c>
      <c r="N9">
        <v>6</v>
      </c>
      <c r="O9">
        <v>19</v>
      </c>
      <c r="P9">
        <v>0</v>
      </c>
      <c r="Q9">
        <v>0</v>
      </c>
      <c r="R9">
        <v>1</v>
      </c>
      <c r="S9">
        <v>14.8</v>
      </c>
      <c r="T9">
        <v>1.38169257340242E-2</v>
      </c>
      <c r="U9">
        <v>3.2666666666666702</v>
      </c>
      <c r="V9">
        <v>3.1666666666666701</v>
      </c>
    </row>
    <row r="10" spans="1:24" x14ac:dyDescent="0.25">
      <c r="A10" t="s">
        <v>257</v>
      </c>
      <c r="B10" t="s">
        <v>811</v>
      </c>
      <c r="C10" t="s">
        <v>31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76</v>
      </c>
      <c r="K10">
        <v>365</v>
      </c>
      <c r="L10">
        <v>1</v>
      </c>
      <c r="M10">
        <v>5</v>
      </c>
      <c r="N10">
        <v>4</v>
      </c>
      <c r="O10">
        <v>12</v>
      </c>
      <c r="P10">
        <v>0</v>
      </c>
      <c r="Q10">
        <v>0</v>
      </c>
      <c r="R10">
        <v>0</v>
      </c>
      <c r="S10">
        <v>47.7</v>
      </c>
      <c r="T10">
        <v>8.6355785837651106E-3</v>
      </c>
      <c r="U10">
        <v>4.8026315789473699</v>
      </c>
      <c r="V10">
        <v>3</v>
      </c>
    </row>
    <row r="11" spans="1:24" x14ac:dyDescent="0.25">
      <c r="A11" t="s">
        <v>817</v>
      </c>
      <c r="B11" t="s">
        <v>811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40</v>
      </c>
      <c r="N11">
        <v>25</v>
      </c>
      <c r="O11">
        <v>312</v>
      </c>
      <c r="P11">
        <v>3</v>
      </c>
      <c r="Q11">
        <v>0</v>
      </c>
      <c r="R11">
        <v>0</v>
      </c>
      <c r="S11">
        <v>74.2</v>
      </c>
      <c r="T11">
        <v>6.9084628670120898E-2</v>
      </c>
      <c r="V11">
        <v>12.48</v>
      </c>
    </row>
    <row r="12" spans="1:24" x14ac:dyDescent="0.25">
      <c r="A12" t="s">
        <v>818</v>
      </c>
      <c r="B12" t="s">
        <v>811</v>
      </c>
      <c r="C12" t="s">
        <v>38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40</v>
      </c>
      <c r="N12">
        <v>31</v>
      </c>
      <c r="O12">
        <v>302</v>
      </c>
      <c r="P12">
        <v>0</v>
      </c>
      <c r="Q12">
        <v>0</v>
      </c>
      <c r="R12">
        <v>0</v>
      </c>
      <c r="S12">
        <v>61.2</v>
      </c>
      <c r="T12">
        <v>6.9084628670120898E-2</v>
      </c>
      <c r="U12">
        <v>0</v>
      </c>
      <c r="V12">
        <v>9.7419354838709697</v>
      </c>
    </row>
    <row r="13" spans="1:24" x14ac:dyDescent="0.25">
      <c r="A13" t="s">
        <v>819</v>
      </c>
      <c r="B13" t="s">
        <v>811</v>
      </c>
      <c r="C13" t="s">
        <v>38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28</v>
      </c>
      <c r="N13">
        <v>19</v>
      </c>
      <c r="O13">
        <v>189</v>
      </c>
      <c r="P13">
        <v>3</v>
      </c>
      <c r="Q13">
        <v>0</v>
      </c>
      <c r="R13">
        <v>0</v>
      </c>
      <c r="S13">
        <v>53.9</v>
      </c>
      <c r="T13">
        <v>4.8359240069084597E-2</v>
      </c>
      <c r="V13">
        <v>9.9473684210526301</v>
      </c>
    </row>
    <row r="14" spans="1:24" x14ac:dyDescent="0.25">
      <c r="A14" t="s">
        <v>820</v>
      </c>
      <c r="B14" t="s">
        <v>811</v>
      </c>
      <c r="C14" t="s">
        <v>43</v>
      </c>
      <c r="D14">
        <v>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8</v>
      </c>
      <c r="L14">
        <v>0</v>
      </c>
      <c r="M14">
        <v>22</v>
      </c>
      <c r="N14">
        <v>15</v>
      </c>
      <c r="O14">
        <v>207</v>
      </c>
      <c r="P14">
        <v>1</v>
      </c>
      <c r="Q14">
        <v>0</v>
      </c>
      <c r="R14">
        <v>0</v>
      </c>
      <c r="S14">
        <v>42.5</v>
      </c>
      <c r="T14">
        <v>3.7996545768566502E-2</v>
      </c>
      <c r="U14">
        <v>4</v>
      </c>
      <c r="V14">
        <v>13.8</v>
      </c>
    </row>
    <row r="15" spans="1:24" x14ac:dyDescent="0.25">
      <c r="A15" t="s">
        <v>821</v>
      </c>
      <c r="B15" t="s">
        <v>811</v>
      </c>
      <c r="C15" t="s">
        <v>43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78</v>
      </c>
      <c r="N15">
        <v>41</v>
      </c>
      <c r="O15">
        <v>593</v>
      </c>
      <c r="P15">
        <v>2</v>
      </c>
      <c r="Q15">
        <v>0</v>
      </c>
      <c r="R15">
        <v>0</v>
      </c>
      <c r="S15">
        <v>112.3</v>
      </c>
      <c r="T15">
        <v>0.13471502590673601</v>
      </c>
      <c r="V15">
        <v>14.4634146341463</v>
      </c>
    </row>
    <row r="16" spans="1:24" x14ac:dyDescent="0.25">
      <c r="A16" t="s">
        <v>822</v>
      </c>
      <c r="B16" t="s">
        <v>811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1.03626943005181E-2</v>
      </c>
      <c r="V16">
        <v>12</v>
      </c>
    </row>
    <row r="17" spans="1:22" x14ac:dyDescent="0.25">
      <c r="A17" t="s">
        <v>823</v>
      </c>
      <c r="B17" t="s">
        <v>811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20</v>
      </c>
      <c r="P17">
        <v>0</v>
      </c>
      <c r="Q17">
        <v>0</v>
      </c>
      <c r="R17">
        <v>0</v>
      </c>
      <c r="S17">
        <v>1</v>
      </c>
      <c r="T17">
        <v>1.72711571675302E-3</v>
      </c>
      <c r="V17">
        <v>20</v>
      </c>
    </row>
    <row r="18" spans="1:22" x14ac:dyDescent="0.25">
      <c r="A18" t="s">
        <v>824</v>
      </c>
      <c r="B18" t="s">
        <v>811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30</v>
      </c>
      <c r="L18">
        <v>0</v>
      </c>
      <c r="M18">
        <v>141</v>
      </c>
      <c r="N18">
        <v>99</v>
      </c>
      <c r="O18">
        <v>925</v>
      </c>
      <c r="P18">
        <v>4</v>
      </c>
      <c r="Q18">
        <v>0</v>
      </c>
      <c r="R18">
        <v>0</v>
      </c>
      <c r="S18">
        <v>216.5</v>
      </c>
      <c r="T18">
        <v>0.243523316062176</v>
      </c>
      <c r="U18">
        <v>10</v>
      </c>
      <c r="V18">
        <v>9.3434343434343408</v>
      </c>
    </row>
    <row r="19" spans="1:22" x14ac:dyDescent="0.25">
      <c r="A19" t="s">
        <v>825</v>
      </c>
      <c r="B19" t="s">
        <v>811</v>
      </c>
      <c r="C19" t="s">
        <v>43</v>
      </c>
      <c r="D19">
        <v>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</v>
      </c>
      <c r="N19">
        <v>3</v>
      </c>
      <c r="O19">
        <v>59</v>
      </c>
      <c r="P19">
        <v>0</v>
      </c>
      <c r="Q19">
        <v>0</v>
      </c>
      <c r="R19">
        <v>0</v>
      </c>
      <c r="S19">
        <v>8.9</v>
      </c>
      <c r="T19">
        <v>1.55440414507772E-2</v>
      </c>
      <c r="V19">
        <v>19.6666666666667</v>
      </c>
    </row>
    <row r="20" spans="1:22" x14ac:dyDescent="0.25">
      <c r="A20" t="s">
        <v>826</v>
      </c>
      <c r="B20" t="s">
        <v>811</v>
      </c>
      <c r="C20" t="s">
        <v>43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5</v>
      </c>
      <c r="K20">
        <v>58</v>
      </c>
      <c r="L20">
        <v>0</v>
      </c>
      <c r="M20">
        <v>91</v>
      </c>
      <c r="N20">
        <v>63</v>
      </c>
      <c r="O20">
        <v>623</v>
      </c>
      <c r="P20">
        <v>3</v>
      </c>
      <c r="Q20">
        <v>0</v>
      </c>
      <c r="R20">
        <v>0</v>
      </c>
      <c r="S20">
        <v>149.1</v>
      </c>
      <c r="T20">
        <v>0.15716753022452501</v>
      </c>
      <c r="U20">
        <v>11.6</v>
      </c>
      <c r="V20">
        <v>9.8888888888888893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811</v>
      </c>
      <c r="B31">
        <v>5720</v>
      </c>
      <c r="C31">
        <v>3854</v>
      </c>
      <c r="D31">
        <v>439</v>
      </c>
      <c r="E31">
        <v>1866</v>
      </c>
      <c r="F31">
        <v>8</v>
      </c>
      <c r="G31">
        <v>1278.1600000000001</v>
      </c>
      <c r="H31">
        <v>604</v>
      </c>
      <c r="I31">
        <v>0.65894039735099297</v>
      </c>
      <c r="J31">
        <v>17</v>
      </c>
      <c r="K31">
        <v>20</v>
      </c>
      <c r="L31">
        <v>10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IND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827</v>
      </c>
      <c r="B36" t="s">
        <v>26</v>
      </c>
      <c r="C36">
        <v>24</v>
      </c>
      <c r="D36">
        <v>3</v>
      </c>
      <c r="E36" t="s">
        <v>66</v>
      </c>
      <c r="F36" t="s">
        <v>811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828</v>
      </c>
      <c r="B37" t="s">
        <v>26</v>
      </c>
      <c r="C37">
        <v>27</v>
      </c>
      <c r="D37">
        <v>5</v>
      </c>
      <c r="E37" t="s">
        <v>294</v>
      </c>
      <c r="F37" t="s">
        <v>811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829</v>
      </c>
      <c r="B38" t="s">
        <v>26</v>
      </c>
      <c r="C38">
        <v>21</v>
      </c>
      <c r="D38">
        <v>0</v>
      </c>
      <c r="E38" t="s">
        <v>178</v>
      </c>
      <c r="F38" t="s">
        <v>811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830</v>
      </c>
      <c r="B46" t="s">
        <v>31</v>
      </c>
      <c r="C46">
        <v>29</v>
      </c>
      <c r="D46">
        <v>8</v>
      </c>
      <c r="E46" t="s">
        <v>153</v>
      </c>
      <c r="F46" t="s">
        <v>811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831</v>
      </c>
      <c r="B47" t="s">
        <v>31</v>
      </c>
      <c r="C47">
        <v>25</v>
      </c>
      <c r="D47">
        <v>3</v>
      </c>
      <c r="E47" t="s">
        <v>232</v>
      </c>
      <c r="F47" t="s">
        <v>811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832</v>
      </c>
      <c r="B48" t="s">
        <v>31</v>
      </c>
      <c r="C48">
        <v>22</v>
      </c>
      <c r="D48">
        <v>0</v>
      </c>
      <c r="E48" t="s">
        <v>141</v>
      </c>
      <c r="F48" t="s">
        <v>811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833</v>
      </c>
      <c r="B49" t="s">
        <v>31</v>
      </c>
      <c r="C49">
        <v>25</v>
      </c>
      <c r="D49">
        <v>2</v>
      </c>
      <c r="E49" t="s">
        <v>834</v>
      </c>
      <c r="F49" t="s">
        <v>811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835</v>
      </c>
      <c r="B50" t="s">
        <v>31</v>
      </c>
      <c r="C50">
        <v>24</v>
      </c>
      <c r="D50">
        <v>3</v>
      </c>
      <c r="E50" t="s">
        <v>697</v>
      </c>
      <c r="F50" t="s">
        <v>811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836</v>
      </c>
      <c r="B51" t="s">
        <v>31</v>
      </c>
      <c r="C51">
        <v>25</v>
      </c>
      <c r="D51">
        <v>4</v>
      </c>
      <c r="E51" t="s">
        <v>207</v>
      </c>
      <c r="F51" t="s">
        <v>811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837</v>
      </c>
      <c r="B52" t="s">
        <v>31</v>
      </c>
      <c r="C52">
        <v>24</v>
      </c>
      <c r="D52">
        <v>4</v>
      </c>
      <c r="E52" t="s">
        <v>72</v>
      </c>
      <c r="F52" t="s">
        <v>811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838</v>
      </c>
      <c r="B61" t="s">
        <v>43</v>
      </c>
      <c r="D61">
        <v>0</v>
      </c>
      <c r="E61" t="s">
        <v>839</v>
      </c>
      <c r="F61" t="s">
        <v>811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840</v>
      </c>
      <c r="B62" t="s">
        <v>43</v>
      </c>
      <c r="C62">
        <v>24</v>
      </c>
      <c r="D62">
        <v>0</v>
      </c>
      <c r="E62" t="s">
        <v>446</v>
      </c>
      <c r="F62" t="s">
        <v>811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841</v>
      </c>
      <c r="B63" t="s">
        <v>43</v>
      </c>
      <c r="C63">
        <v>22</v>
      </c>
      <c r="D63">
        <v>0</v>
      </c>
      <c r="E63" t="s">
        <v>163</v>
      </c>
      <c r="F63" t="s">
        <v>811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842</v>
      </c>
      <c r="B64" t="s">
        <v>43</v>
      </c>
      <c r="C64">
        <v>26</v>
      </c>
      <c r="D64">
        <v>5</v>
      </c>
      <c r="E64" t="s">
        <v>843</v>
      </c>
      <c r="F64" t="s">
        <v>811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844</v>
      </c>
      <c r="B65" t="s">
        <v>43</v>
      </c>
      <c r="C65">
        <v>28</v>
      </c>
      <c r="D65">
        <v>7</v>
      </c>
      <c r="E65" t="s">
        <v>173</v>
      </c>
      <c r="F65" t="s">
        <v>811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845</v>
      </c>
      <c r="B66" t="s">
        <v>43</v>
      </c>
      <c r="C66">
        <v>29</v>
      </c>
      <c r="D66">
        <v>9</v>
      </c>
      <c r="E66" t="s">
        <v>282</v>
      </c>
      <c r="F66" t="s">
        <v>811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846</v>
      </c>
      <c r="B67" t="s">
        <v>43</v>
      </c>
      <c r="C67">
        <v>23</v>
      </c>
      <c r="D67">
        <v>2</v>
      </c>
      <c r="E67" t="s">
        <v>136</v>
      </c>
      <c r="F67" t="s">
        <v>811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847</v>
      </c>
      <c r="B68" t="s">
        <v>43</v>
      </c>
      <c r="C68">
        <v>25</v>
      </c>
      <c r="D68">
        <v>4</v>
      </c>
      <c r="E68" t="s">
        <v>78</v>
      </c>
      <c r="F68" t="s">
        <v>811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848</v>
      </c>
      <c r="B69" t="s">
        <v>43</v>
      </c>
      <c r="C69">
        <v>23</v>
      </c>
      <c r="D69">
        <v>3</v>
      </c>
      <c r="E69" t="s">
        <v>458</v>
      </c>
      <c r="F69" t="s">
        <v>811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849</v>
      </c>
      <c r="B70" t="s">
        <v>43</v>
      </c>
      <c r="C70">
        <v>27</v>
      </c>
      <c r="D70">
        <v>4</v>
      </c>
      <c r="E70" t="s">
        <v>850</v>
      </c>
      <c r="F70" t="s">
        <v>811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851</v>
      </c>
      <c r="B71" t="s">
        <v>43</v>
      </c>
      <c r="C71">
        <v>26</v>
      </c>
      <c r="D71">
        <v>3</v>
      </c>
      <c r="E71" t="s">
        <v>852</v>
      </c>
      <c r="F71" t="s">
        <v>811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853</v>
      </c>
      <c r="B72" t="s">
        <v>43</v>
      </c>
      <c r="C72">
        <v>27</v>
      </c>
      <c r="D72">
        <v>5</v>
      </c>
      <c r="E72" t="s">
        <v>446</v>
      </c>
      <c r="F72" t="s">
        <v>811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854</v>
      </c>
      <c r="B73" t="s">
        <v>43</v>
      </c>
      <c r="C73">
        <v>26</v>
      </c>
      <c r="D73">
        <v>3</v>
      </c>
      <c r="E73" t="s">
        <v>84</v>
      </c>
      <c r="F73" t="s">
        <v>811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855</v>
      </c>
      <c r="B76" t="s">
        <v>38</v>
      </c>
      <c r="C76">
        <v>29</v>
      </c>
      <c r="D76">
        <v>6</v>
      </c>
      <c r="E76" t="s">
        <v>856</v>
      </c>
      <c r="F76" t="s">
        <v>811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857</v>
      </c>
      <c r="B77" t="s">
        <v>38</v>
      </c>
      <c r="C77">
        <v>29</v>
      </c>
      <c r="D77">
        <v>6</v>
      </c>
      <c r="E77" t="s">
        <v>205</v>
      </c>
      <c r="F77" t="s">
        <v>811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858</v>
      </c>
      <c r="B78" t="s">
        <v>38</v>
      </c>
      <c r="C78">
        <v>26</v>
      </c>
      <c r="D78">
        <v>2</v>
      </c>
      <c r="E78" t="s">
        <v>105</v>
      </c>
      <c r="F78" t="s">
        <v>811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859</v>
      </c>
      <c r="B79" t="s">
        <v>38</v>
      </c>
      <c r="C79">
        <v>25</v>
      </c>
      <c r="D79">
        <v>3</v>
      </c>
      <c r="E79" t="s">
        <v>237</v>
      </c>
      <c r="F79" t="s">
        <v>811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860</v>
      </c>
      <c r="B80" t="s">
        <v>38</v>
      </c>
      <c r="C80">
        <v>26</v>
      </c>
      <c r="D80">
        <v>1</v>
      </c>
      <c r="E80" t="s">
        <v>244</v>
      </c>
      <c r="F80" t="s">
        <v>811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861</v>
      </c>
      <c r="B81" t="s">
        <v>38</v>
      </c>
      <c r="C81">
        <v>24</v>
      </c>
      <c r="D81">
        <v>0</v>
      </c>
      <c r="E81" t="s">
        <v>397</v>
      </c>
      <c r="F81" t="s">
        <v>811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862</v>
      </c>
      <c r="B82" t="s">
        <v>38</v>
      </c>
      <c r="C82">
        <v>25</v>
      </c>
      <c r="D82">
        <v>2</v>
      </c>
      <c r="E82" t="s">
        <v>616</v>
      </c>
      <c r="F82" t="s">
        <v>811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 x14ac:dyDescent="0.25">
      <c r="A83" t="s">
        <v>863</v>
      </c>
      <c r="B83" t="s">
        <v>38</v>
      </c>
      <c r="C83">
        <v>28</v>
      </c>
      <c r="D83">
        <v>6</v>
      </c>
      <c r="E83" t="s">
        <v>307</v>
      </c>
      <c r="F83" t="s">
        <v>811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</row>
    <row r="84" spans="1:28" x14ac:dyDescent="0.25">
      <c r="A84" t="s">
        <v>864</v>
      </c>
      <c r="B84" t="s">
        <v>38</v>
      </c>
      <c r="C84">
        <v>24</v>
      </c>
      <c r="D84">
        <v>2</v>
      </c>
      <c r="E84" t="s">
        <v>409</v>
      </c>
      <c r="F84" t="s">
        <v>811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topLeftCell="H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865</v>
      </c>
      <c r="B2" t="s">
        <v>866</v>
      </c>
      <c r="C2" t="s">
        <v>26</v>
      </c>
      <c r="D2">
        <v>4</v>
      </c>
      <c r="E2">
        <v>11</v>
      </c>
      <c r="F2">
        <v>7</v>
      </c>
      <c r="G2">
        <v>35</v>
      </c>
      <c r="H2">
        <v>0</v>
      </c>
      <c r="I2">
        <v>1</v>
      </c>
      <c r="J2">
        <v>4</v>
      </c>
      <c r="K2">
        <v>-4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-1</v>
      </c>
      <c r="T2">
        <v>0</v>
      </c>
      <c r="U2">
        <v>-1</v>
      </c>
      <c r="W2">
        <v>0.63636363636363602</v>
      </c>
      <c r="X2">
        <v>0</v>
      </c>
    </row>
    <row r="3" spans="1:24" x14ac:dyDescent="0.25">
      <c r="A3" t="s">
        <v>867</v>
      </c>
      <c r="B3" t="s">
        <v>866</v>
      </c>
      <c r="C3" t="s">
        <v>26</v>
      </c>
      <c r="D3">
        <v>17</v>
      </c>
      <c r="E3">
        <v>584</v>
      </c>
      <c r="F3">
        <v>387</v>
      </c>
      <c r="G3">
        <v>4113</v>
      </c>
      <c r="H3">
        <v>25</v>
      </c>
      <c r="I3">
        <v>8</v>
      </c>
      <c r="J3">
        <v>62</v>
      </c>
      <c r="K3">
        <v>291</v>
      </c>
      <c r="L3">
        <v>5</v>
      </c>
      <c r="M3">
        <v>0</v>
      </c>
      <c r="N3">
        <v>0</v>
      </c>
      <c r="O3">
        <v>0</v>
      </c>
      <c r="P3">
        <v>0</v>
      </c>
      <c r="Q3">
        <v>9</v>
      </c>
      <c r="R3">
        <v>3</v>
      </c>
      <c r="S3">
        <v>295.62</v>
      </c>
      <c r="T3">
        <v>0</v>
      </c>
      <c r="U3">
        <v>4.6935483870967696</v>
      </c>
      <c r="W3">
        <v>0.66267123287671204</v>
      </c>
      <c r="X3">
        <v>4.2808219178082203E-2</v>
      </c>
    </row>
    <row r="4" spans="1:24" x14ac:dyDescent="0.25">
      <c r="A4" t="s">
        <v>868</v>
      </c>
      <c r="B4" t="s">
        <v>866</v>
      </c>
      <c r="C4" t="s">
        <v>31</v>
      </c>
      <c r="D4">
        <v>14</v>
      </c>
      <c r="E4">
        <v>0</v>
      </c>
      <c r="F4">
        <v>0</v>
      </c>
      <c r="G4">
        <v>0</v>
      </c>
      <c r="H4">
        <v>0</v>
      </c>
      <c r="I4">
        <v>0</v>
      </c>
      <c r="J4">
        <v>46</v>
      </c>
      <c r="K4">
        <v>194</v>
      </c>
      <c r="L4">
        <v>2</v>
      </c>
      <c r="M4">
        <v>26</v>
      </c>
      <c r="N4">
        <v>20</v>
      </c>
      <c r="O4">
        <v>126</v>
      </c>
      <c r="P4">
        <v>1</v>
      </c>
      <c r="Q4">
        <v>0</v>
      </c>
      <c r="R4">
        <v>0</v>
      </c>
      <c r="S4">
        <v>70</v>
      </c>
      <c r="T4">
        <v>4.3046357615894003E-2</v>
      </c>
      <c r="U4">
        <v>4.2173913043478297</v>
      </c>
      <c r="V4">
        <v>6.3</v>
      </c>
    </row>
    <row r="5" spans="1:24" x14ac:dyDescent="0.25">
      <c r="A5" t="s">
        <v>869</v>
      </c>
      <c r="B5" t="s">
        <v>866</v>
      </c>
      <c r="C5" t="s">
        <v>31</v>
      </c>
      <c r="D5">
        <v>7</v>
      </c>
      <c r="E5">
        <v>0</v>
      </c>
      <c r="F5">
        <v>0</v>
      </c>
      <c r="G5">
        <v>0</v>
      </c>
      <c r="H5">
        <v>0</v>
      </c>
      <c r="I5">
        <v>0</v>
      </c>
      <c r="J5">
        <v>81</v>
      </c>
      <c r="K5">
        <v>340</v>
      </c>
      <c r="L5">
        <v>3</v>
      </c>
      <c r="M5">
        <v>11</v>
      </c>
      <c r="N5">
        <v>9</v>
      </c>
      <c r="O5">
        <v>46</v>
      </c>
      <c r="P5">
        <v>1</v>
      </c>
      <c r="Q5">
        <v>0</v>
      </c>
      <c r="R5">
        <v>0</v>
      </c>
      <c r="S5">
        <v>71.599999999999994</v>
      </c>
      <c r="T5">
        <v>1.82119205298013E-2</v>
      </c>
      <c r="U5">
        <v>4.19753086419753</v>
      </c>
      <c r="V5">
        <v>5.1111111111111098</v>
      </c>
    </row>
    <row r="6" spans="1:24" x14ac:dyDescent="0.25">
      <c r="A6" t="s">
        <v>870</v>
      </c>
      <c r="B6" t="s">
        <v>866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42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10.199999999999999</v>
      </c>
      <c r="T6">
        <v>0</v>
      </c>
      <c r="U6">
        <v>3.5</v>
      </c>
    </row>
    <row r="7" spans="1:24" x14ac:dyDescent="0.25">
      <c r="A7" t="s">
        <v>871</v>
      </c>
      <c r="B7" t="s">
        <v>866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1125</v>
      </c>
      <c r="L7">
        <v>5</v>
      </c>
      <c r="M7">
        <v>45</v>
      </c>
      <c r="N7">
        <v>35</v>
      </c>
      <c r="O7">
        <v>316</v>
      </c>
      <c r="P7">
        <v>0</v>
      </c>
      <c r="Q7">
        <v>3</v>
      </c>
      <c r="R7">
        <v>1</v>
      </c>
      <c r="S7">
        <v>203.1</v>
      </c>
      <c r="T7">
        <v>7.4503311258278193E-2</v>
      </c>
      <c r="U7">
        <v>5.1136363636363598</v>
      </c>
      <c r="V7">
        <v>9.0285714285714302</v>
      </c>
    </row>
    <row r="8" spans="1:24" x14ac:dyDescent="0.25">
      <c r="A8" t="s">
        <v>872</v>
      </c>
      <c r="B8" t="s">
        <v>866</v>
      </c>
      <c r="C8" t="s">
        <v>38</v>
      </c>
      <c r="D8">
        <v>6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6</v>
      </c>
      <c r="O8">
        <v>42</v>
      </c>
      <c r="P8">
        <v>0</v>
      </c>
      <c r="Q8">
        <v>0</v>
      </c>
      <c r="R8">
        <v>0</v>
      </c>
      <c r="S8">
        <v>10.199999999999999</v>
      </c>
      <c r="T8">
        <v>1.3245033112582801E-2</v>
      </c>
      <c r="V8">
        <v>7</v>
      </c>
    </row>
    <row r="9" spans="1:24" x14ac:dyDescent="0.25">
      <c r="A9" t="s">
        <v>873</v>
      </c>
      <c r="B9" t="s">
        <v>866</v>
      </c>
      <c r="C9" t="s">
        <v>38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13</v>
      </c>
      <c r="N9">
        <v>9</v>
      </c>
      <c r="O9">
        <v>135</v>
      </c>
      <c r="P9">
        <v>0</v>
      </c>
      <c r="Q9">
        <v>0</v>
      </c>
      <c r="R9">
        <v>0</v>
      </c>
      <c r="S9">
        <v>22.5</v>
      </c>
      <c r="T9">
        <v>2.1523178807947001E-2</v>
      </c>
      <c r="V9">
        <v>15</v>
      </c>
    </row>
    <row r="10" spans="1:24" x14ac:dyDescent="0.25">
      <c r="A10" t="s">
        <v>874</v>
      </c>
      <c r="B10" t="s">
        <v>866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K10">
        <v>13</v>
      </c>
      <c r="L10">
        <v>0</v>
      </c>
      <c r="M10">
        <v>98</v>
      </c>
      <c r="N10">
        <v>73</v>
      </c>
      <c r="O10">
        <v>766</v>
      </c>
      <c r="P10">
        <v>4</v>
      </c>
      <c r="Q10">
        <v>0</v>
      </c>
      <c r="R10">
        <v>0</v>
      </c>
      <c r="S10">
        <v>176.9</v>
      </c>
      <c r="T10">
        <v>0.16225165562913901</v>
      </c>
      <c r="U10">
        <v>6.5</v>
      </c>
      <c r="V10">
        <v>10.4931506849315</v>
      </c>
    </row>
    <row r="11" spans="1:24" x14ac:dyDescent="0.25">
      <c r="A11" t="s">
        <v>875</v>
      </c>
      <c r="B11" t="s">
        <v>866</v>
      </c>
      <c r="C11" t="s">
        <v>38</v>
      </c>
      <c r="D11">
        <v>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4</v>
      </c>
      <c r="O11">
        <v>40</v>
      </c>
      <c r="P11">
        <v>0</v>
      </c>
      <c r="Q11">
        <v>0</v>
      </c>
      <c r="R11">
        <v>0</v>
      </c>
      <c r="S11">
        <v>8</v>
      </c>
      <c r="T11">
        <v>6.6225165562913899E-3</v>
      </c>
      <c r="V11">
        <v>10</v>
      </c>
    </row>
    <row r="12" spans="1:24" x14ac:dyDescent="0.25">
      <c r="A12" t="s">
        <v>876</v>
      </c>
      <c r="B12" t="s">
        <v>866</v>
      </c>
      <c r="C12" t="s">
        <v>43</v>
      </c>
      <c r="D12">
        <v>17</v>
      </c>
      <c r="E12">
        <v>1</v>
      </c>
      <c r="F12">
        <v>0</v>
      </c>
      <c r="G12">
        <v>0</v>
      </c>
      <c r="H12">
        <v>0</v>
      </c>
      <c r="I12">
        <v>0</v>
      </c>
      <c r="J12">
        <v>5</v>
      </c>
      <c r="K12">
        <v>11</v>
      </c>
      <c r="L12">
        <v>0</v>
      </c>
      <c r="M12">
        <v>133</v>
      </c>
      <c r="N12">
        <v>84</v>
      </c>
      <c r="O12">
        <v>1108</v>
      </c>
      <c r="P12">
        <v>8</v>
      </c>
      <c r="Q12">
        <v>0</v>
      </c>
      <c r="R12">
        <v>0</v>
      </c>
      <c r="S12">
        <v>243.9</v>
      </c>
      <c r="T12">
        <v>0.22019867549668901</v>
      </c>
      <c r="U12">
        <v>2.2000000000000002</v>
      </c>
      <c r="V12">
        <v>13.1904761904762</v>
      </c>
      <c r="W12">
        <v>0</v>
      </c>
      <c r="X12">
        <v>0</v>
      </c>
    </row>
    <row r="13" spans="1:24" x14ac:dyDescent="0.25">
      <c r="A13" t="s">
        <v>877</v>
      </c>
      <c r="B13" t="s">
        <v>866</v>
      </c>
      <c r="C13" t="s">
        <v>43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12</v>
      </c>
      <c r="K13">
        <v>86</v>
      </c>
      <c r="L13">
        <v>0</v>
      </c>
      <c r="M13">
        <v>30</v>
      </c>
      <c r="N13">
        <v>23</v>
      </c>
      <c r="O13">
        <v>187</v>
      </c>
      <c r="P13">
        <v>3</v>
      </c>
      <c r="Q13">
        <v>0</v>
      </c>
      <c r="R13">
        <v>0</v>
      </c>
      <c r="S13">
        <v>70.3</v>
      </c>
      <c r="T13">
        <v>4.96688741721854E-2</v>
      </c>
      <c r="U13">
        <v>7.1666666666666696</v>
      </c>
      <c r="V13">
        <v>8.1304347826087007</v>
      </c>
    </row>
    <row r="14" spans="1:24" x14ac:dyDescent="0.25">
      <c r="A14" t="s">
        <v>878</v>
      </c>
      <c r="B14" t="s">
        <v>866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81</v>
      </c>
      <c r="N14">
        <v>46</v>
      </c>
      <c r="O14">
        <v>529</v>
      </c>
      <c r="P14">
        <v>3</v>
      </c>
      <c r="Q14">
        <v>0</v>
      </c>
      <c r="R14">
        <v>0</v>
      </c>
      <c r="S14">
        <v>116.9</v>
      </c>
      <c r="T14">
        <v>0.13410596026490099</v>
      </c>
      <c r="V14">
        <v>11.5</v>
      </c>
    </row>
    <row r="15" spans="1:24" x14ac:dyDescent="0.25">
      <c r="A15" t="s">
        <v>879</v>
      </c>
      <c r="B15" t="s">
        <v>866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3</v>
      </c>
      <c r="O15">
        <v>30</v>
      </c>
      <c r="P15">
        <v>0</v>
      </c>
      <c r="Q15">
        <v>0</v>
      </c>
      <c r="R15">
        <v>0</v>
      </c>
      <c r="S15">
        <v>6</v>
      </c>
      <c r="T15">
        <v>6.6225165562913899E-3</v>
      </c>
      <c r="V15">
        <v>10</v>
      </c>
    </row>
    <row r="16" spans="1:24" x14ac:dyDescent="0.25">
      <c r="A16" t="s">
        <v>880</v>
      </c>
      <c r="B16" t="s">
        <v>866</v>
      </c>
      <c r="C16" t="s">
        <v>43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18</v>
      </c>
      <c r="L16">
        <v>0</v>
      </c>
      <c r="M16">
        <v>121</v>
      </c>
      <c r="N16">
        <v>82</v>
      </c>
      <c r="O16">
        <v>823</v>
      </c>
      <c r="P16">
        <v>5</v>
      </c>
      <c r="Q16">
        <v>0</v>
      </c>
      <c r="R16">
        <v>0</v>
      </c>
      <c r="S16">
        <v>198.1</v>
      </c>
      <c r="T16">
        <v>0.20033112582781501</v>
      </c>
      <c r="U16">
        <v>4.5</v>
      </c>
      <c r="V16">
        <v>10.0365853658537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866</v>
      </c>
      <c r="B31">
        <v>6264</v>
      </c>
      <c r="C31">
        <v>4148</v>
      </c>
      <c r="D31">
        <v>448</v>
      </c>
      <c r="E31">
        <v>2116</v>
      </c>
      <c r="F31">
        <v>16</v>
      </c>
      <c r="G31">
        <v>1502.32</v>
      </c>
      <c r="H31">
        <v>596</v>
      </c>
      <c r="I31">
        <v>0.66107382550335603</v>
      </c>
      <c r="J31">
        <v>25</v>
      </c>
      <c r="K31">
        <v>9</v>
      </c>
      <c r="L31">
        <v>12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JAX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881</v>
      </c>
      <c r="B36" t="s">
        <v>26</v>
      </c>
      <c r="C36">
        <v>29</v>
      </c>
      <c r="D36">
        <v>7</v>
      </c>
      <c r="E36" t="s">
        <v>100</v>
      </c>
      <c r="F36" t="s">
        <v>866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882</v>
      </c>
      <c r="B37" t="s">
        <v>26</v>
      </c>
      <c r="C37">
        <v>23</v>
      </c>
      <c r="D37">
        <v>3</v>
      </c>
      <c r="E37" t="s">
        <v>458</v>
      </c>
      <c r="F37" t="s">
        <v>866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883</v>
      </c>
      <c r="B38" t="s">
        <v>26</v>
      </c>
      <c r="C38">
        <v>25</v>
      </c>
      <c r="D38">
        <v>0</v>
      </c>
      <c r="E38" t="s">
        <v>884</v>
      </c>
      <c r="F38" t="s">
        <v>866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885</v>
      </c>
      <c r="B46" t="s">
        <v>31</v>
      </c>
      <c r="C46">
        <v>21</v>
      </c>
      <c r="D46">
        <v>0</v>
      </c>
      <c r="E46" t="s">
        <v>464</v>
      </c>
      <c r="F46" t="s">
        <v>866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886</v>
      </c>
      <c r="B47" t="s">
        <v>31</v>
      </c>
      <c r="C47">
        <v>23</v>
      </c>
      <c r="D47">
        <v>2</v>
      </c>
      <c r="E47" t="s">
        <v>240</v>
      </c>
      <c r="F47" t="s">
        <v>866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887</v>
      </c>
      <c r="B48" t="s">
        <v>31</v>
      </c>
      <c r="C48">
        <v>24</v>
      </c>
      <c r="D48">
        <v>3</v>
      </c>
      <c r="E48" t="s">
        <v>458</v>
      </c>
      <c r="F48" t="s">
        <v>866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888</v>
      </c>
      <c r="B49" t="s">
        <v>31</v>
      </c>
      <c r="C49">
        <v>26</v>
      </c>
      <c r="D49">
        <v>4</v>
      </c>
      <c r="E49" t="s">
        <v>393</v>
      </c>
      <c r="F49" t="s">
        <v>866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889</v>
      </c>
      <c r="B50" t="s">
        <v>31</v>
      </c>
      <c r="C50">
        <v>27</v>
      </c>
      <c r="D50">
        <v>5</v>
      </c>
      <c r="E50" t="s">
        <v>80</v>
      </c>
      <c r="F50" t="s">
        <v>866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890</v>
      </c>
      <c r="B51" t="s">
        <v>31</v>
      </c>
      <c r="C51">
        <v>26</v>
      </c>
      <c r="D51">
        <v>4</v>
      </c>
      <c r="E51" t="s">
        <v>74</v>
      </c>
      <c r="F51" t="s">
        <v>866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891</v>
      </c>
      <c r="B61" t="s">
        <v>43</v>
      </c>
      <c r="C61">
        <v>28</v>
      </c>
      <c r="D61">
        <v>7</v>
      </c>
      <c r="E61" t="s">
        <v>211</v>
      </c>
      <c r="F61" t="s">
        <v>866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892</v>
      </c>
      <c r="B62" t="s">
        <v>43</v>
      </c>
      <c r="C62">
        <v>23</v>
      </c>
      <c r="D62">
        <v>1</v>
      </c>
      <c r="E62" t="s">
        <v>362</v>
      </c>
      <c r="F62" t="s">
        <v>866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893</v>
      </c>
      <c r="B63" t="s">
        <v>43</v>
      </c>
      <c r="C63">
        <v>24</v>
      </c>
      <c r="D63">
        <v>0</v>
      </c>
      <c r="E63" t="s">
        <v>894</v>
      </c>
      <c r="F63" t="s">
        <v>866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895</v>
      </c>
      <c r="B64" t="s">
        <v>43</v>
      </c>
      <c r="C64">
        <v>26</v>
      </c>
      <c r="D64">
        <v>3</v>
      </c>
      <c r="E64" t="s">
        <v>282</v>
      </c>
      <c r="F64" t="s">
        <v>866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896</v>
      </c>
      <c r="B65" t="s">
        <v>43</v>
      </c>
      <c r="C65">
        <v>23</v>
      </c>
      <c r="D65">
        <v>0</v>
      </c>
      <c r="E65" t="s">
        <v>227</v>
      </c>
      <c r="F65" t="s">
        <v>866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897</v>
      </c>
      <c r="B66" t="s">
        <v>43</v>
      </c>
      <c r="C66">
        <v>25</v>
      </c>
      <c r="D66">
        <v>2</v>
      </c>
      <c r="E66" t="s">
        <v>898</v>
      </c>
      <c r="F66" t="s">
        <v>866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899</v>
      </c>
      <c r="B67" t="s">
        <v>43</v>
      </c>
      <c r="C67">
        <v>28</v>
      </c>
      <c r="D67">
        <v>7</v>
      </c>
      <c r="E67" t="s">
        <v>220</v>
      </c>
      <c r="F67" t="s">
        <v>866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900</v>
      </c>
      <c r="B68" t="s">
        <v>43</v>
      </c>
      <c r="C68">
        <v>26</v>
      </c>
      <c r="D68">
        <v>6</v>
      </c>
      <c r="E68" t="s">
        <v>307</v>
      </c>
      <c r="F68" t="s">
        <v>866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901</v>
      </c>
      <c r="B69" t="s">
        <v>43</v>
      </c>
      <c r="C69">
        <v>24</v>
      </c>
      <c r="D69">
        <v>0</v>
      </c>
      <c r="E69" t="s">
        <v>248</v>
      </c>
      <c r="F69" t="s">
        <v>866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902</v>
      </c>
      <c r="B70" t="s">
        <v>43</v>
      </c>
      <c r="C70">
        <v>25</v>
      </c>
      <c r="D70">
        <v>2</v>
      </c>
      <c r="E70" t="s">
        <v>72</v>
      </c>
      <c r="F70" t="s">
        <v>866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903</v>
      </c>
      <c r="B71" t="s">
        <v>43</v>
      </c>
      <c r="C71">
        <v>28</v>
      </c>
      <c r="D71">
        <v>5</v>
      </c>
      <c r="E71" t="s">
        <v>153</v>
      </c>
      <c r="F71" t="s">
        <v>866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904</v>
      </c>
      <c r="B72" t="s">
        <v>43</v>
      </c>
      <c r="C72">
        <v>21</v>
      </c>
      <c r="D72">
        <v>0</v>
      </c>
      <c r="E72" t="s">
        <v>339</v>
      </c>
      <c r="F72" t="s">
        <v>866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905</v>
      </c>
      <c r="B73" t="s">
        <v>43</v>
      </c>
      <c r="C73">
        <v>23</v>
      </c>
      <c r="D73">
        <v>1</v>
      </c>
      <c r="E73" t="s">
        <v>464</v>
      </c>
      <c r="F73" t="s">
        <v>866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906</v>
      </c>
      <c r="B76" t="s">
        <v>38</v>
      </c>
      <c r="C76">
        <v>28</v>
      </c>
      <c r="D76">
        <v>7</v>
      </c>
      <c r="E76" t="s">
        <v>240</v>
      </c>
      <c r="F76" t="s">
        <v>866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907</v>
      </c>
      <c r="B77" t="s">
        <v>38</v>
      </c>
      <c r="C77">
        <v>25</v>
      </c>
      <c r="D77">
        <v>3</v>
      </c>
      <c r="E77" t="s">
        <v>213</v>
      </c>
      <c r="F77" t="s">
        <v>866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908</v>
      </c>
      <c r="B78" t="s">
        <v>38</v>
      </c>
      <c r="C78">
        <v>25</v>
      </c>
      <c r="D78">
        <v>1</v>
      </c>
      <c r="E78" t="s">
        <v>909</v>
      </c>
      <c r="F78" t="s">
        <v>866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910</v>
      </c>
      <c r="B79" t="s">
        <v>38</v>
      </c>
      <c r="C79">
        <v>25</v>
      </c>
      <c r="D79">
        <v>1</v>
      </c>
      <c r="E79" t="s">
        <v>335</v>
      </c>
      <c r="F79" t="s">
        <v>866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911</v>
      </c>
      <c r="B80" t="s">
        <v>38</v>
      </c>
      <c r="C80">
        <v>27</v>
      </c>
      <c r="D80">
        <v>2</v>
      </c>
      <c r="E80" t="s">
        <v>912</v>
      </c>
      <c r="F80" t="s">
        <v>866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913</v>
      </c>
      <c r="B81" t="s">
        <v>38</v>
      </c>
      <c r="C81">
        <v>22</v>
      </c>
      <c r="D81">
        <v>0</v>
      </c>
      <c r="E81" t="s">
        <v>339</v>
      </c>
      <c r="F81" t="s">
        <v>866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914</v>
      </c>
      <c r="B82" t="s">
        <v>38</v>
      </c>
      <c r="C82">
        <v>23</v>
      </c>
      <c r="D82">
        <v>0</v>
      </c>
      <c r="E82" t="s">
        <v>136</v>
      </c>
      <c r="F82" t="s">
        <v>866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topLeftCell="M19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915</v>
      </c>
      <c r="B2" t="s">
        <v>916</v>
      </c>
      <c r="C2" t="s">
        <v>115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5</v>
      </c>
      <c r="K2">
        <v>7</v>
      </c>
      <c r="L2">
        <v>0</v>
      </c>
      <c r="M2">
        <v>3</v>
      </c>
      <c r="N2">
        <v>2</v>
      </c>
      <c r="O2">
        <v>11</v>
      </c>
      <c r="P2">
        <v>0</v>
      </c>
      <c r="Q2">
        <v>0</v>
      </c>
      <c r="R2">
        <v>0</v>
      </c>
      <c r="S2">
        <v>3.8</v>
      </c>
      <c r="T2">
        <v>5.0335570469798698E-3</v>
      </c>
      <c r="U2">
        <v>1.4</v>
      </c>
      <c r="V2">
        <v>5.5</v>
      </c>
    </row>
    <row r="3" spans="1:24" x14ac:dyDescent="0.25">
      <c r="A3" t="s">
        <v>917</v>
      </c>
      <c r="B3" t="s">
        <v>916</v>
      </c>
      <c r="C3" t="s">
        <v>26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>
        <v>5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-0.5</v>
      </c>
      <c r="T3">
        <v>0</v>
      </c>
      <c r="U3">
        <v>-1</v>
      </c>
      <c r="W3">
        <v>0</v>
      </c>
      <c r="X3">
        <v>0</v>
      </c>
    </row>
    <row r="4" spans="1:24" x14ac:dyDescent="0.25">
      <c r="A4" t="s">
        <v>918</v>
      </c>
      <c r="B4" t="s">
        <v>916</v>
      </c>
      <c r="C4" t="s">
        <v>26</v>
      </c>
      <c r="D4">
        <v>17</v>
      </c>
      <c r="E4">
        <v>648</v>
      </c>
      <c r="F4">
        <v>435</v>
      </c>
      <c r="G4">
        <v>5250</v>
      </c>
      <c r="H4">
        <v>41</v>
      </c>
      <c r="I4">
        <v>12</v>
      </c>
      <c r="J4">
        <v>61</v>
      </c>
      <c r="K4">
        <v>358</v>
      </c>
      <c r="L4">
        <v>4</v>
      </c>
      <c r="M4">
        <v>1</v>
      </c>
      <c r="N4">
        <v>1</v>
      </c>
      <c r="O4">
        <v>6</v>
      </c>
      <c r="P4">
        <v>0</v>
      </c>
      <c r="Q4">
        <v>0</v>
      </c>
      <c r="R4">
        <v>3</v>
      </c>
      <c r="S4">
        <v>417.4</v>
      </c>
      <c r="T4">
        <v>1.6778523489932901E-3</v>
      </c>
      <c r="U4">
        <v>5.8688524590163897</v>
      </c>
      <c r="V4">
        <v>6</v>
      </c>
      <c r="W4">
        <v>0.67129629629629595</v>
      </c>
      <c r="X4">
        <v>6.3271604938271594E-2</v>
      </c>
    </row>
    <row r="5" spans="1:24" x14ac:dyDescent="0.25">
      <c r="A5" t="s">
        <v>919</v>
      </c>
      <c r="B5" t="s">
        <v>916</v>
      </c>
      <c r="C5" t="s">
        <v>31</v>
      </c>
      <c r="D5">
        <v>10</v>
      </c>
      <c r="E5">
        <v>0</v>
      </c>
      <c r="F5">
        <v>0</v>
      </c>
      <c r="G5">
        <v>0</v>
      </c>
      <c r="H5">
        <v>0</v>
      </c>
      <c r="I5">
        <v>0</v>
      </c>
      <c r="J5">
        <v>71</v>
      </c>
      <c r="K5">
        <v>302</v>
      </c>
      <c r="L5">
        <v>3</v>
      </c>
      <c r="M5">
        <v>23</v>
      </c>
      <c r="N5">
        <v>17</v>
      </c>
      <c r="O5">
        <v>151</v>
      </c>
      <c r="P5">
        <v>3</v>
      </c>
      <c r="Q5">
        <v>0</v>
      </c>
      <c r="R5">
        <v>0</v>
      </c>
      <c r="S5">
        <v>98.3</v>
      </c>
      <c r="T5">
        <v>3.8590604026845603E-2</v>
      </c>
      <c r="U5">
        <v>4.2535211267605604</v>
      </c>
      <c r="V5">
        <v>8.8823529411764692</v>
      </c>
    </row>
    <row r="6" spans="1:24" x14ac:dyDescent="0.25">
      <c r="A6" t="s">
        <v>920</v>
      </c>
      <c r="B6" t="s">
        <v>916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170</v>
      </c>
      <c r="K6">
        <v>830</v>
      </c>
      <c r="L6">
        <v>5</v>
      </c>
      <c r="M6">
        <v>14</v>
      </c>
      <c r="N6">
        <v>13</v>
      </c>
      <c r="O6">
        <v>130</v>
      </c>
      <c r="P6">
        <v>0</v>
      </c>
      <c r="Q6">
        <v>2</v>
      </c>
      <c r="R6">
        <v>0</v>
      </c>
      <c r="S6">
        <v>135</v>
      </c>
      <c r="T6">
        <v>2.3489932885905999E-2</v>
      </c>
      <c r="U6">
        <v>4.8823529411764701</v>
      </c>
      <c r="V6">
        <v>10</v>
      </c>
    </row>
    <row r="7" spans="1:24" x14ac:dyDescent="0.25">
      <c r="A7" t="s">
        <v>921</v>
      </c>
      <c r="B7" t="s">
        <v>916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72</v>
      </c>
      <c r="K7">
        <v>291</v>
      </c>
      <c r="L7">
        <v>1</v>
      </c>
      <c r="M7">
        <v>71</v>
      </c>
      <c r="N7">
        <v>56</v>
      </c>
      <c r="O7">
        <v>512</v>
      </c>
      <c r="P7">
        <v>9</v>
      </c>
      <c r="Q7">
        <v>0</v>
      </c>
      <c r="R7">
        <v>0</v>
      </c>
      <c r="S7">
        <v>196.3</v>
      </c>
      <c r="T7">
        <v>0.119127516778523</v>
      </c>
      <c r="U7">
        <v>4.0416666666666696</v>
      </c>
      <c r="V7">
        <v>9.1428571428571406</v>
      </c>
    </row>
    <row r="8" spans="1:24" x14ac:dyDescent="0.25">
      <c r="A8" t="s">
        <v>922</v>
      </c>
      <c r="B8" t="s">
        <v>916</v>
      </c>
      <c r="C8" t="s">
        <v>31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1</v>
      </c>
      <c r="M8">
        <v>1</v>
      </c>
      <c r="N8">
        <v>1</v>
      </c>
      <c r="O8">
        <v>22</v>
      </c>
      <c r="P8">
        <v>0</v>
      </c>
      <c r="Q8">
        <v>0</v>
      </c>
      <c r="R8">
        <v>0</v>
      </c>
      <c r="S8">
        <v>16.2</v>
      </c>
      <c r="T8">
        <v>1.6778523489932901E-3</v>
      </c>
      <c r="U8">
        <v>4.1176470588235299</v>
      </c>
      <c r="V8">
        <v>22</v>
      </c>
    </row>
    <row r="9" spans="1:24" x14ac:dyDescent="0.25">
      <c r="A9" t="s">
        <v>923</v>
      </c>
      <c r="B9" t="s">
        <v>916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20</v>
      </c>
      <c r="P9">
        <v>1</v>
      </c>
      <c r="Q9">
        <v>0</v>
      </c>
      <c r="R9">
        <v>0</v>
      </c>
      <c r="S9">
        <v>10</v>
      </c>
      <c r="T9">
        <v>3.3557046979865801E-3</v>
      </c>
      <c r="V9">
        <v>10</v>
      </c>
    </row>
    <row r="10" spans="1:24" x14ac:dyDescent="0.25">
      <c r="A10" t="s">
        <v>924</v>
      </c>
      <c r="B10" t="s">
        <v>916</v>
      </c>
      <c r="C10" t="s">
        <v>38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108</v>
      </c>
      <c r="P10">
        <v>2</v>
      </c>
      <c r="Q10">
        <v>0</v>
      </c>
      <c r="R10">
        <v>0</v>
      </c>
      <c r="S10">
        <v>31.8</v>
      </c>
      <c r="T10">
        <v>2.18120805369128E-2</v>
      </c>
      <c r="V10">
        <v>12</v>
      </c>
    </row>
    <row r="11" spans="1:24" x14ac:dyDescent="0.25">
      <c r="A11" t="s">
        <v>925</v>
      </c>
      <c r="B11" t="s">
        <v>916</v>
      </c>
      <c r="C11" t="s">
        <v>38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34</v>
      </c>
      <c r="N11">
        <v>28</v>
      </c>
      <c r="O11">
        <v>299</v>
      </c>
      <c r="P11">
        <v>1</v>
      </c>
      <c r="Q11">
        <v>0</v>
      </c>
      <c r="R11">
        <v>0</v>
      </c>
      <c r="S11">
        <v>70</v>
      </c>
      <c r="T11">
        <v>5.7046979865771799E-2</v>
      </c>
      <c r="U11">
        <v>1</v>
      </c>
      <c r="V11">
        <v>10.6785714285714</v>
      </c>
    </row>
    <row r="12" spans="1:24" x14ac:dyDescent="0.25">
      <c r="A12" t="s">
        <v>926</v>
      </c>
      <c r="B12" t="s">
        <v>916</v>
      </c>
      <c r="C12" t="s">
        <v>38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5</v>
      </c>
      <c r="L12">
        <v>0</v>
      </c>
      <c r="M12">
        <v>152</v>
      </c>
      <c r="N12">
        <v>110</v>
      </c>
      <c r="O12">
        <v>1338</v>
      </c>
      <c r="P12">
        <v>12</v>
      </c>
      <c r="Q12">
        <v>0</v>
      </c>
      <c r="R12">
        <v>0</v>
      </c>
      <c r="S12">
        <v>316.3</v>
      </c>
      <c r="T12">
        <v>0.25503355704698</v>
      </c>
      <c r="U12">
        <v>2.5</v>
      </c>
      <c r="V12">
        <v>12.1636363636364</v>
      </c>
    </row>
    <row r="13" spans="1:24" x14ac:dyDescent="0.25">
      <c r="A13" t="s">
        <v>927</v>
      </c>
      <c r="B13" t="s">
        <v>916</v>
      </c>
      <c r="C13" t="s">
        <v>43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101</v>
      </c>
      <c r="N13">
        <v>78</v>
      </c>
      <c r="O13">
        <v>933</v>
      </c>
      <c r="P13">
        <v>3</v>
      </c>
      <c r="Q13">
        <v>0</v>
      </c>
      <c r="R13">
        <v>0</v>
      </c>
      <c r="S13">
        <v>185.3</v>
      </c>
      <c r="T13">
        <v>0.16946308724832199</v>
      </c>
      <c r="V13">
        <v>11.961538461538501</v>
      </c>
    </row>
    <row r="14" spans="1:24" x14ac:dyDescent="0.25">
      <c r="A14" t="s">
        <v>928</v>
      </c>
      <c r="B14" t="s">
        <v>916</v>
      </c>
      <c r="C14" t="s">
        <v>43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34</v>
      </c>
      <c r="N14">
        <v>15</v>
      </c>
      <c r="O14">
        <v>315</v>
      </c>
      <c r="P14">
        <v>2</v>
      </c>
      <c r="Q14">
        <v>0</v>
      </c>
      <c r="R14">
        <v>0</v>
      </c>
      <c r="S14">
        <v>58.5</v>
      </c>
      <c r="T14">
        <v>5.7046979865771799E-2</v>
      </c>
      <c r="V14">
        <v>21</v>
      </c>
    </row>
    <row r="15" spans="1:24" x14ac:dyDescent="0.25">
      <c r="A15" t="s">
        <v>929</v>
      </c>
      <c r="B15" t="s">
        <v>916</v>
      </c>
      <c r="C15" t="s">
        <v>43</v>
      </c>
      <c r="D15">
        <v>7</v>
      </c>
      <c r="E15">
        <v>0</v>
      </c>
      <c r="F15">
        <v>0</v>
      </c>
      <c r="G15">
        <v>0</v>
      </c>
      <c r="H15">
        <v>0</v>
      </c>
      <c r="I15">
        <v>0</v>
      </c>
      <c r="J15">
        <v>5</v>
      </c>
      <c r="K15">
        <v>59</v>
      </c>
      <c r="L15">
        <v>1</v>
      </c>
      <c r="M15">
        <v>17</v>
      </c>
      <c r="N15">
        <v>14</v>
      </c>
      <c r="O15">
        <v>171</v>
      </c>
      <c r="P15">
        <v>2</v>
      </c>
      <c r="Q15">
        <v>0</v>
      </c>
      <c r="R15">
        <v>0</v>
      </c>
      <c r="S15">
        <v>55</v>
      </c>
      <c r="T15">
        <v>2.85234899328859E-2</v>
      </c>
      <c r="U15">
        <v>11.8</v>
      </c>
      <c r="V15">
        <v>12.214285714285699</v>
      </c>
    </row>
    <row r="16" spans="1:24" x14ac:dyDescent="0.25">
      <c r="A16" t="s">
        <v>930</v>
      </c>
      <c r="B16" t="s">
        <v>916</v>
      </c>
      <c r="C16" t="s">
        <v>43</v>
      </c>
      <c r="D16">
        <v>8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31</v>
      </c>
      <c r="L16">
        <v>2</v>
      </c>
      <c r="M16">
        <v>34</v>
      </c>
      <c r="N16">
        <v>25</v>
      </c>
      <c r="O16">
        <v>297</v>
      </c>
      <c r="P16">
        <v>4</v>
      </c>
      <c r="Q16">
        <v>0</v>
      </c>
      <c r="R16">
        <v>0</v>
      </c>
      <c r="S16">
        <v>93.8</v>
      </c>
      <c r="T16">
        <v>5.7046979865771799E-2</v>
      </c>
      <c r="U16">
        <v>7.75</v>
      </c>
      <c r="V16">
        <v>11.88</v>
      </c>
    </row>
    <row r="17" spans="1:22" x14ac:dyDescent="0.25">
      <c r="A17" t="s">
        <v>931</v>
      </c>
      <c r="B17" t="s">
        <v>916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-3</v>
      </c>
      <c r="L17">
        <v>0</v>
      </c>
      <c r="M17">
        <v>81</v>
      </c>
      <c r="N17">
        <v>42</v>
      </c>
      <c r="O17">
        <v>687</v>
      </c>
      <c r="P17">
        <v>2</v>
      </c>
      <c r="Q17">
        <v>0</v>
      </c>
      <c r="R17">
        <v>0</v>
      </c>
      <c r="S17">
        <v>122.4</v>
      </c>
      <c r="T17">
        <v>0.13590604026845601</v>
      </c>
      <c r="U17">
        <v>-3</v>
      </c>
      <c r="V17">
        <v>16.3571428571429</v>
      </c>
    </row>
    <row r="18" spans="1:22" x14ac:dyDescent="0.25">
      <c r="A18" t="s">
        <v>932</v>
      </c>
      <c r="B18" t="s">
        <v>916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24</v>
      </c>
      <c r="L18">
        <v>0</v>
      </c>
      <c r="M18">
        <v>33</v>
      </c>
      <c r="N18">
        <v>22</v>
      </c>
      <c r="O18">
        <v>250</v>
      </c>
      <c r="P18">
        <v>0</v>
      </c>
      <c r="Q18">
        <v>0</v>
      </c>
      <c r="R18">
        <v>0</v>
      </c>
      <c r="S18">
        <v>49.4</v>
      </c>
      <c r="T18">
        <v>5.5369127516778499E-2</v>
      </c>
      <c r="U18">
        <v>8</v>
      </c>
      <c r="V18">
        <v>11.363636363636401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916</v>
      </c>
      <c r="B31">
        <v>7220</v>
      </c>
      <c r="C31">
        <v>5250</v>
      </c>
      <c r="D31">
        <v>417</v>
      </c>
      <c r="E31">
        <v>1970</v>
      </c>
      <c r="F31">
        <v>18</v>
      </c>
      <c r="G31">
        <v>1859</v>
      </c>
      <c r="H31">
        <v>650</v>
      </c>
      <c r="I31">
        <v>0.66923076923076896</v>
      </c>
      <c r="J31">
        <v>41</v>
      </c>
      <c r="K31">
        <v>12</v>
      </c>
      <c r="L31">
        <v>2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KC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933</v>
      </c>
      <c r="B36" t="s">
        <v>26</v>
      </c>
      <c r="C36">
        <v>25</v>
      </c>
      <c r="D36">
        <v>3</v>
      </c>
      <c r="E36" t="s">
        <v>237</v>
      </c>
      <c r="F36" t="s">
        <v>916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934</v>
      </c>
      <c r="B37" t="s">
        <v>26</v>
      </c>
      <c r="C37">
        <v>33</v>
      </c>
      <c r="D37">
        <v>13</v>
      </c>
      <c r="E37" t="s">
        <v>613</v>
      </c>
      <c r="F37" t="s">
        <v>916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935</v>
      </c>
      <c r="B38" t="s">
        <v>26</v>
      </c>
      <c r="C38">
        <v>27</v>
      </c>
      <c r="D38">
        <v>7</v>
      </c>
      <c r="E38" t="s">
        <v>511</v>
      </c>
      <c r="F38" t="s">
        <v>916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936</v>
      </c>
      <c r="B39" t="s">
        <v>26</v>
      </c>
      <c r="C39">
        <v>25</v>
      </c>
      <c r="D39">
        <v>1</v>
      </c>
      <c r="E39" t="s">
        <v>753</v>
      </c>
      <c r="F39" t="s">
        <v>916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937</v>
      </c>
      <c r="B46" t="s">
        <v>31</v>
      </c>
      <c r="C46">
        <v>24</v>
      </c>
      <c r="D46">
        <v>4</v>
      </c>
      <c r="E46" t="s">
        <v>227</v>
      </c>
      <c r="F46" t="s">
        <v>916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938</v>
      </c>
      <c r="B47" t="s">
        <v>31</v>
      </c>
      <c r="C47">
        <v>31</v>
      </c>
      <c r="D47">
        <v>10</v>
      </c>
      <c r="E47" t="s">
        <v>939</v>
      </c>
      <c r="F47" t="s">
        <v>916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940</v>
      </c>
      <c r="B48" t="s">
        <v>31</v>
      </c>
      <c r="C48">
        <v>24</v>
      </c>
      <c r="D48">
        <v>2</v>
      </c>
      <c r="E48" t="s">
        <v>215</v>
      </c>
      <c r="F48" t="s">
        <v>916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941</v>
      </c>
      <c r="B49" t="s">
        <v>31</v>
      </c>
      <c r="C49">
        <v>25</v>
      </c>
      <c r="D49">
        <v>3</v>
      </c>
      <c r="E49" t="s">
        <v>178</v>
      </c>
      <c r="F49" t="s">
        <v>916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942</v>
      </c>
      <c r="B50" t="s">
        <v>31</v>
      </c>
      <c r="C50">
        <v>23</v>
      </c>
      <c r="D50">
        <v>0</v>
      </c>
      <c r="E50" t="s">
        <v>943</v>
      </c>
      <c r="F50" t="s">
        <v>916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944</v>
      </c>
      <c r="B61" t="s">
        <v>43</v>
      </c>
      <c r="C61">
        <v>25</v>
      </c>
      <c r="D61">
        <v>0</v>
      </c>
      <c r="E61" t="s">
        <v>666</v>
      </c>
      <c r="F61" t="s">
        <v>916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945</v>
      </c>
      <c r="B62" t="s">
        <v>43</v>
      </c>
      <c r="C62">
        <v>22</v>
      </c>
      <c r="D62">
        <v>1</v>
      </c>
      <c r="E62" t="s">
        <v>240</v>
      </c>
      <c r="F62" t="s">
        <v>916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946</v>
      </c>
      <c r="B63" t="s">
        <v>43</v>
      </c>
      <c r="C63">
        <v>24</v>
      </c>
      <c r="D63">
        <v>1</v>
      </c>
      <c r="E63" t="s">
        <v>360</v>
      </c>
      <c r="F63" t="s">
        <v>916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947</v>
      </c>
      <c r="B64" t="s">
        <v>43</v>
      </c>
      <c r="C64">
        <v>27</v>
      </c>
      <c r="D64">
        <v>6</v>
      </c>
      <c r="E64" t="s">
        <v>298</v>
      </c>
      <c r="F64" t="s">
        <v>916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948</v>
      </c>
      <c r="B65" t="s">
        <v>43</v>
      </c>
      <c r="C65">
        <v>22</v>
      </c>
      <c r="D65">
        <v>2</v>
      </c>
      <c r="E65" t="s">
        <v>357</v>
      </c>
      <c r="F65" t="s">
        <v>916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949</v>
      </c>
      <c r="B66" t="s">
        <v>43</v>
      </c>
      <c r="C66">
        <v>25</v>
      </c>
      <c r="D66">
        <v>1</v>
      </c>
      <c r="E66" t="s">
        <v>458</v>
      </c>
      <c r="F66" t="s">
        <v>916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950</v>
      </c>
      <c r="B67" t="s">
        <v>43</v>
      </c>
      <c r="C67">
        <v>23</v>
      </c>
      <c r="D67">
        <v>0</v>
      </c>
      <c r="E67" t="s">
        <v>280</v>
      </c>
      <c r="F67" t="s">
        <v>916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951</v>
      </c>
      <c r="B68" t="s">
        <v>43</v>
      </c>
      <c r="C68">
        <v>23</v>
      </c>
      <c r="D68">
        <v>0</v>
      </c>
      <c r="E68" t="s">
        <v>237</v>
      </c>
      <c r="F68" t="s">
        <v>916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952</v>
      </c>
      <c r="B69" t="s">
        <v>43</v>
      </c>
      <c r="C69">
        <v>23</v>
      </c>
      <c r="D69">
        <v>2</v>
      </c>
      <c r="E69" t="s">
        <v>458</v>
      </c>
      <c r="F69" t="s">
        <v>916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953</v>
      </c>
      <c r="B70" t="s">
        <v>43</v>
      </c>
      <c r="C70">
        <v>24</v>
      </c>
      <c r="D70">
        <v>0</v>
      </c>
      <c r="E70" t="s">
        <v>954</v>
      </c>
      <c r="F70" t="s">
        <v>916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955</v>
      </c>
      <c r="B71" t="s">
        <v>43</v>
      </c>
      <c r="C71">
        <v>23</v>
      </c>
      <c r="D71">
        <v>3</v>
      </c>
      <c r="E71" t="s">
        <v>100</v>
      </c>
      <c r="F71" t="s">
        <v>916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956</v>
      </c>
      <c r="B72" t="s">
        <v>43</v>
      </c>
      <c r="C72">
        <v>24</v>
      </c>
      <c r="D72">
        <v>3</v>
      </c>
      <c r="E72" t="s">
        <v>178</v>
      </c>
      <c r="F72" t="s">
        <v>916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957</v>
      </c>
      <c r="B73" t="s">
        <v>43</v>
      </c>
      <c r="C73">
        <v>28</v>
      </c>
      <c r="D73">
        <v>6</v>
      </c>
      <c r="E73" t="s">
        <v>80</v>
      </c>
      <c r="F73" t="s">
        <v>916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958</v>
      </c>
      <c r="B74" t="s">
        <v>43</v>
      </c>
      <c r="C74">
        <v>27</v>
      </c>
      <c r="D74">
        <v>6</v>
      </c>
      <c r="E74" t="s">
        <v>959</v>
      </c>
      <c r="F74" t="s">
        <v>916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960</v>
      </c>
      <c r="B76" t="s">
        <v>38</v>
      </c>
      <c r="C76">
        <v>32</v>
      </c>
      <c r="D76">
        <v>9</v>
      </c>
      <c r="E76" t="s">
        <v>68</v>
      </c>
      <c r="F76" t="s">
        <v>916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961</v>
      </c>
      <c r="B77" t="s">
        <v>38</v>
      </c>
      <c r="C77">
        <v>27</v>
      </c>
      <c r="D77">
        <v>3</v>
      </c>
      <c r="E77" t="s">
        <v>613</v>
      </c>
      <c r="F77" t="s">
        <v>916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962</v>
      </c>
      <c r="B78" t="s">
        <v>38</v>
      </c>
      <c r="C78">
        <v>27</v>
      </c>
      <c r="D78">
        <v>1</v>
      </c>
      <c r="E78" t="s">
        <v>82</v>
      </c>
      <c r="F78" t="s">
        <v>916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963</v>
      </c>
      <c r="B79" t="s">
        <v>38</v>
      </c>
      <c r="C79">
        <v>27</v>
      </c>
      <c r="D79">
        <v>3</v>
      </c>
      <c r="E79" t="s">
        <v>964</v>
      </c>
      <c r="F79" t="s">
        <v>916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965</v>
      </c>
      <c r="B80" t="s">
        <v>38</v>
      </c>
      <c r="C80">
        <v>22</v>
      </c>
      <c r="D80">
        <v>0</v>
      </c>
      <c r="E80" t="s">
        <v>298</v>
      </c>
      <c r="F80" t="s">
        <v>916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966</v>
      </c>
      <c r="B81" t="s">
        <v>38</v>
      </c>
      <c r="C81">
        <v>24</v>
      </c>
      <c r="D81">
        <v>3</v>
      </c>
      <c r="E81" t="s">
        <v>697</v>
      </c>
      <c r="F81" t="s">
        <v>916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967</v>
      </c>
      <c r="B82" t="s">
        <v>38</v>
      </c>
      <c r="C82">
        <v>33</v>
      </c>
      <c r="D82">
        <v>11</v>
      </c>
      <c r="E82" t="s">
        <v>136</v>
      </c>
      <c r="F82" t="s">
        <v>916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topLeftCell="G28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968</v>
      </c>
      <c r="B2" t="s">
        <v>969</v>
      </c>
      <c r="C2" t="s">
        <v>26</v>
      </c>
      <c r="D2">
        <v>3</v>
      </c>
      <c r="E2">
        <v>12</v>
      </c>
      <c r="F2">
        <v>8</v>
      </c>
      <c r="G2">
        <v>52</v>
      </c>
      <c r="H2">
        <v>1</v>
      </c>
      <c r="I2">
        <v>0</v>
      </c>
      <c r="J2">
        <v>1</v>
      </c>
      <c r="K2">
        <v>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8.48</v>
      </c>
      <c r="T2">
        <v>0</v>
      </c>
      <c r="U2">
        <v>4</v>
      </c>
      <c r="W2">
        <v>0.66666666666666696</v>
      </c>
      <c r="X2">
        <v>8.3333333333333301E-2</v>
      </c>
    </row>
    <row r="3" spans="1:24" x14ac:dyDescent="0.25">
      <c r="A3" t="s">
        <v>970</v>
      </c>
      <c r="B3" t="s">
        <v>969</v>
      </c>
      <c r="C3" t="s">
        <v>26</v>
      </c>
      <c r="D3">
        <v>17</v>
      </c>
      <c r="E3">
        <v>699</v>
      </c>
      <c r="F3">
        <v>477</v>
      </c>
      <c r="G3">
        <v>4739</v>
      </c>
      <c r="H3">
        <v>25</v>
      </c>
      <c r="I3">
        <v>10</v>
      </c>
      <c r="J3">
        <v>54</v>
      </c>
      <c r="K3">
        <v>147</v>
      </c>
      <c r="L3">
        <v>0</v>
      </c>
      <c r="M3">
        <v>2</v>
      </c>
      <c r="N3">
        <v>2</v>
      </c>
      <c r="O3">
        <v>-10</v>
      </c>
      <c r="P3">
        <v>0</v>
      </c>
      <c r="Q3">
        <v>3</v>
      </c>
      <c r="R3">
        <v>1</v>
      </c>
      <c r="S3">
        <v>281.26</v>
      </c>
      <c r="T3">
        <v>3.07692307692308E-3</v>
      </c>
      <c r="U3">
        <v>2.7222222222222201</v>
      </c>
      <c r="V3">
        <v>-5</v>
      </c>
      <c r="W3">
        <v>0.68240343347639498</v>
      </c>
      <c r="X3">
        <v>3.5765379113018601E-2</v>
      </c>
    </row>
    <row r="4" spans="1:24" x14ac:dyDescent="0.25">
      <c r="A4" t="s">
        <v>971</v>
      </c>
      <c r="B4" t="s">
        <v>969</v>
      </c>
      <c r="C4" t="s">
        <v>31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204</v>
      </c>
      <c r="K4">
        <v>915</v>
      </c>
      <c r="L4">
        <v>13</v>
      </c>
      <c r="M4">
        <v>127</v>
      </c>
      <c r="N4">
        <v>107</v>
      </c>
      <c r="O4">
        <v>722</v>
      </c>
      <c r="P4">
        <v>5</v>
      </c>
      <c r="Q4">
        <v>2</v>
      </c>
      <c r="R4">
        <v>0</v>
      </c>
      <c r="S4">
        <v>372.7</v>
      </c>
      <c r="T4">
        <v>0.19538461538461499</v>
      </c>
      <c r="U4">
        <v>4.4852941176470598</v>
      </c>
      <c r="V4">
        <v>6.7476635514018701</v>
      </c>
    </row>
    <row r="5" spans="1:24" x14ac:dyDescent="0.25">
      <c r="A5" t="s">
        <v>972</v>
      </c>
      <c r="B5" t="s">
        <v>969</v>
      </c>
      <c r="C5" t="s">
        <v>31</v>
      </c>
      <c r="D5">
        <v>5</v>
      </c>
      <c r="E5">
        <v>0</v>
      </c>
      <c r="F5">
        <v>0</v>
      </c>
      <c r="G5">
        <v>0</v>
      </c>
      <c r="H5">
        <v>0</v>
      </c>
      <c r="I5">
        <v>0</v>
      </c>
      <c r="J5">
        <v>18</v>
      </c>
      <c r="K5">
        <v>41</v>
      </c>
      <c r="L5">
        <v>0</v>
      </c>
      <c r="M5">
        <v>3</v>
      </c>
      <c r="N5">
        <v>3</v>
      </c>
      <c r="O5">
        <v>13</v>
      </c>
      <c r="P5">
        <v>0</v>
      </c>
      <c r="Q5">
        <v>0</v>
      </c>
      <c r="R5">
        <v>0</v>
      </c>
      <c r="S5">
        <v>8.4</v>
      </c>
      <c r="T5">
        <v>4.6153846153846202E-3</v>
      </c>
      <c r="U5">
        <v>2.2777777777777799</v>
      </c>
      <c r="V5">
        <v>4.3333333333333304</v>
      </c>
    </row>
    <row r="6" spans="1:24" x14ac:dyDescent="0.25">
      <c r="A6" t="s">
        <v>973</v>
      </c>
      <c r="B6" t="s">
        <v>969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69</v>
      </c>
      <c r="K6">
        <v>287</v>
      </c>
      <c r="L6">
        <v>2</v>
      </c>
      <c r="M6">
        <v>25</v>
      </c>
      <c r="N6">
        <v>14</v>
      </c>
      <c r="O6">
        <v>101</v>
      </c>
      <c r="P6">
        <v>0</v>
      </c>
      <c r="Q6">
        <v>0</v>
      </c>
      <c r="R6">
        <v>0</v>
      </c>
      <c r="S6">
        <v>64.8</v>
      </c>
      <c r="T6">
        <v>3.8461538461538498E-2</v>
      </c>
      <c r="U6">
        <v>4.1594202898550696</v>
      </c>
      <c r="V6">
        <v>7.21428571428571</v>
      </c>
    </row>
    <row r="7" spans="1:24" x14ac:dyDescent="0.25">
      <c r="A7" t="s">
        <v>974</v>
      </c>
      <c r="B7" t="s">
        <v>969</v>
      </c>
      <c r="C7" t="s">
        <v>31</v>
      </c>
      <c r="D7"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19</v>
      </c>
      <c r="L7">
        <v>0</v>
      </c>
      <c r="M7">
        <v>2</v>
      </c>
      <c r="N7">
        <v>2</v>
      </c>
      <c r="O7">
        <v>14</v>
      </c>
      <c r="P7">
        <v>0</v>
      </c>
      <c r="Q7">
        <v>0</v>
      </c>
      <c r="R7">
        <v>0</v>
      </c>
      <c r="S7">
        <v>5.3</v>
      </c>
      <c r="T7">
        <v>3.07692307692308E-3</v>
      </c>
      <c r="U7">
        <v>1.4615384615384599</v>
      </c>
      <c r="V7">
        <v>7</v>
      </c>
    </row>
    <row r="8" spans="1:24" x14ac:dyDescent="0.25">
      <c r="A8" t="s">
        <v>975</v>
      </c>
      <c r="B8" t="s">
        <v>969</v>
      </c>
      <c r="C8" t="s">
        <v>31</v>
      </c>
      <c r="D8">
        <v>10</v>
      </c>
      <c r="E8">
        <v>0</v>
      </c>
      <c r="F8">
        <v>0</v>
      </c>
      <c r="G8">
        <v>0</v>
      </c>
      <c r="H8">
        <v>0</v>
      </c>
      <c r="I8">
        <v>0</v>
      </c>
      <c r="J8">
        <v>36</v>
      </c>
      <c r="K8">
        <v>106</v>
      </c>
      <c r="L8">
        <v>0</v>
      </c>
      <c r="M8">
        <v>13</v>
      </c>
      <c r="N8">
        <v>9</v>
      </c>
      <c r="O8">
        <v>53</v>
      </c>
      <c r="P8">
        <v>0</v>
      </c>
      <c r="Q8">
        <v>0</v>
      </c>
      <c r="R8">
        <v>0</v>
      </c>
      <c r="S8">
        <v>24.9</v>
      </c>
      <c r="T8">
        <v>0.02</v>
      </c>
      <c r="U8">
        <v>2.9444444444444402</v>
      </c>
      <c r="V8">
        <v>5.8888888888888902</v>
      </c>
    </row>
    <row r="9" spans="1:24" x14ac:dyDescent="0.25">
      <c r="A9" t="s">
        <v>976</v>
      </c>
      <c r="B9" t="s">
        <v>969</v>
      </c>
      <c r="C9" t="s">
        <v>31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</v>
      </c>
      <c r="K9">
        <v>8</v>
      </c>
      <c r="L9">
        <v>0</v>
      </c>
      <c r="M9">
        <v>8</v>
      </c>
      <c r="N9">
        <v>5</v>
      </c>
      <c r="O9">
        <v>8</v>
      </c>
      <c r="P9">
        <v>2</v>
      </c>
      <c r="Q9">
        <v>0</v>
      </c>
      <c r="R9">
        <v>0</v>
      </c>
      <c r="S9">
        <v>18.600000000000001</v>
      </c>
      <c r="T9">
        <v>1.2307692307692301E-2</v>
      </c>
      <c r="U9">
        <v>2</v>
      </c>
      <c r="V9">
        <v>1.6</v>
      </c>
    </row>
    <row r="10" spans="1:24" x14ac:dyDescent="0.25">
      <c r="A10" t="s">
        <v>977</v>
      </c>
      <c r="B10" t="s">
        <v>969</v>
      </c>
      <c r="C10" t="s">
        <v>38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12</v>
      </c>
      <c r="N10">
        <v>10</v>
      </c>
      <c r="O10">
        <v>130</v>
      </c>
      <c r="P10">
        <v>1</v>
      </c>
      <c r="Q10">
        <v>0</v>
      </c>
      <c r="R10">
        <v>0</v>
      </c>
      <c r="S10">
        <v>29</v>
      </c>
      <c r="T10">
        <v>1.8461538461538501E-2</v>
      </c>
      <c r="V10">
        <v>13</v>
      </c>
    </row>
    <row r="11" spans="1:24" x14ac:dyDescent="0.25">
      <c r="A11" t="s">
        <v>978</v>
      </c>
      <c r="B11" t="s">
        <v>969</v>
      </c>
      <c r="C11" t="s">
        <v>38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87</v>
      </c>
      <c r="N11">
        <v>58</v>
      </c>
      <c r="O11">
        <v>555</v>
      </c>
      <c r="P11">
        <v>4</v>
      </c>
      <c r="Q11">
        <v>0</v>
      </c>
      <c r="R11">
        <v>0</v>
      </c>
      <c r="S11">
        <v>139.5</v>
      </c>
      <c r="T11">
        <v>0.133846153846154</v>
      </c>
      <c r="U11">
        <v>0</v>
      </c>
      <c r="V11">
        <v>9.5689655172413808</v>
      </c>
    </row>
    <row r="12" spans="1:24" x14ac:dyDescent="0.25">
      <c r="A12" t="s">
        <v>979</v>
      </c>
      <c r="B12" t="s">
        <v>969</v>
      </c>
      <c r="C12" t="s">
        <v>38</v>
      </c>
      <c r="D12">
        <v>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</v>
      </c>
      <c r="N12">
        <v>1</v>
      </c>
      <c r="O12">
        <v>4</v>
      </c>
      <c r="P12">
        <v>0</v>
      </c>
      <c r="Q12">
        <v>0</v>
      </c>
      <c r="R12">
        <v>0</v>
      </c>
      <c r="S12">
        <v>1.4</v>
      </c>
      <c r="T12">
        <v>6.1538461538461504E-3</v>
      </c>
      <c r="V12">
        <v>4</v>
      </c>
    </row>
    <row r="13" spans="1:24" x14ac:dyDescent="0.25">
      <c r="A13" t="s">
        <v>980</v>
      </c>
      <c r="B13" t="s">
        <v>969</v>
      </c>
      <c r="C13" t="s">
        <v>38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5</v>
      </c>
      <c r="N13">
        <v>4</v>
      </c>
      <c r="O13">
        <v>17</v>
      </c>
      <c r="P13">
        <v>0</v>
      </c>
      <c r="Q13">
        <v>0</v>
      </c>
      <c r="R13">
        <v>0</v>
      </c>
      <c r="S13">
        <v>5.7</v>
      </c>
      <c r="T13">
        <v>7.6923076923076901E-3</v>
      </c>
      <c r="V13">
        <v>4.25</v>
      </c>
    </row>
    <row r="14" spans="1:24" x14ac:dyDescent="0.25">
      <c r="A14" t="s">
        <v>981</v>
      </c>
      <c r="B14" t="s">
        <v>969</v>
      </c>
      <c r="C14" t="s">
        <v>38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18</v>
      </c>
      <c r="N14">
        <v>10</v>
      </c>
      <c r="O14">
        <v>72</v>
      </c>
      <c r="P14">
        <v>0</v>
      </c>
      <c r="Q14">
        <v>0</v>
      </c>
      <c r="R14">
        <v>0</v>
      </c>
      <c r="S14">
        <v>17.2</v>
      </c>
      <c r="T14">
        <v>2.76923076923077E-2</v>
      </c>
      <c r="V14">
        <v>7.2</v>
      </c>
    </row>
    <row r="15" spans="1:24" x14ac:dyDescent="0.25">
      <c r="A15" t="s">
        <v>982</v>
      </c>
      <c r="B15" t="s">
        <v>969</v>
      </c>
      <c r="C15" t="s">
        <v>43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2</v>
      </c>
      <c r="K15">
        <v>-15</v>
      </c>
      <c r="L15">
        <v>0</v>
      </c>
      <c r="M15">
        <v>65</v>
      </c>
      <c r="N15">
        <v>46</v>
      </c>
      <c r="O15">
        <v>538</v>
      </c>
      <c r="P15">
        <v>3</v>
      </c>
      <c r="Q15">
        <v>0</v>
      </c>
      <c r="R15">
        <v>0</v>
      </c>
      <c r="S15">
        <v>114.3</v>
      </c>
      <c r="T15">
        <v>0.1</v>
      </c>
      <c r="U15">
        <v>-7.5</v>
      </c>
      <c r="V15">
        <v>11.695652173913</v>
      </c>
    </row>
    <row r="16" spans="1:24" x14ac:dyDescent="0.25">
      <c r="A16" t="s">
        <v>983</v>
      </c>
      <c r="B16" t="s">
        <v>969</v>
      </c>
      <c r="C16" t="s">
        <v>43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</v>
      </c>
      <c r="N16">
        <v>2</v>
      </c>
      <c r="O16">
        <v>64</v>
      </c>
      <c r="P16">
        <v>0</v>
      </c>
      <c r="Q16">
        <v>0</v>
      </c>
      <c r="R16">
        <v>0</v>
      </c>
      <c r="S16">
        <v>8.4</v>
      </c>
      <c r="T16">
        <v>6.1538461538461504E-3</v>
      </c>
      <c r="V16">
        <v>32</v>
      </c>
    </row>
    <row r="17" spans="1:22" x14ac:dyDescent="0.25">
      <c r="A17" t="s">
        <v>984</v>
      </c>
      <c r="B17" t="s">
        <v>969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5</v>
      </c>
      <c r="P17">
        <v>0</v>
      </c>
      <c r="Q17">
        <v>0</v>
      </c>
      <c r="R17">
        <v>0</v>
      </c>
      <c r="S17">
        <v>1.5</v>
      </c>
      <c r="T17">
        <v>3.07692307692308E-3</v>
      </c>
      <c r="V17">
        <v>5</v>
      </c>
    </row>
    <row r="18" spans="1:22" x14ac:dyDescent="0.25">
      <c r="A18" t="s">
        <v>985</v>
      </c>
      <c r="B18" t="s">
        <v>969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4</v>
      </c>
      <c r="L18">
        <v>0</v>
      </c>
      <c r="M18">
        <v>107</v>
      </c>
      <c r="N18">
        <v>72</v>
      </c>
      <c r="O18">
        <v>769</v>
      </c>
      <c r="P18">
        <v>3</v>
      </c>
      <c r="Q18">
        <v>0</v>
      </c>
      <c r="R18">
        <v>0</v>
      </c>
      <c r="S18">
        <v>169.3</v>
      </c>
      <c r="T18">
        <v>0.164615384615385</v>
      </c>
      <c r="U18">
        <v>4</v>
      </c>
      <c r="V18">
        <v>10.6805555555556</v>
      </c>
    </row>
    <row r="19" spans="1:22" x14ac:dyDescent="0.25">
      <c r="A19" t="s">
        <v>759</v>
      </c>
      <c r="B19" t="s">
        <v>969</v>
      </c>
      <c r="C19" t="s">
        <v>43</v>
      </c>
      <c r="D19">
        <v>10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8</v>
      </c>
      <c r="L19">
        <v>0</v>
      </c>
      <c r="M19">
        <v>89</v>
      </c>
      <c r="N19">
        <v>66</v>
      </c>
      <c r="O19">
        <v>752</v>
      </c>
      <c r="P19">
        <v>4</v>
      </c>
      <c r="Q19">
        <v>0</v>
      </c>
      <c r="R19">
        <v>0</v>
      </c>
      <c r="S19">
        <v>164</v>
      </c>
      <c r="T19">
        <v>0.13692307692307701</v>
      </c>
      <c r="U19">
        <v>8</v>
      </c>
      <c r="V19">
        <v>11.3939393939394</v>
      </c>
    </row>
    <row r="20" spans="1:22" x14ac:dyDescent="0.25">
      <c r="A20" t="s">
        <v>986</v>
      </c>
      <c r="B20" t="s">
        <v>969</v>
      </c>
      <c r="C20" t="s">
        <v>43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21</v>
      </c>
      <c r="N20">
        <v>10</v>
      </c>
      <c r="O20">
        <v>89</v>
      </c>
      <c r="P20">
        <v>0</v>
      </c>
      <c r="Q20">
        <v>0</v>
      </c>
      <c r="R20">
        <v>0</v>
      </c>
      <c r="S20">
        <v>18.899999999999999</v>
      </c>
      <c r="T20">
        <v>3.2307692307692301E-2</v>
      </c>
      <c r="V20">
        <v>8.9</v>
      </c>
    </row>
    <row r="21" spans="1:22" x14ac:dyDescent="0.25">
      <c r="A21" t="s">
        <v>37</v>
      </c>
      <c r="B21" t="s">
        <v>969</v>
      </c>
      <c r="C21" t="s">
        <v>43</v>
      </c>
      <c r="D21">
        <v>13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93</v>
      </c>
      <c r="N21">
        <v>63</v>
      </c>
      <c r="O21">
        <v>895</v>
      </c>
      <c r="P21">
        <v>4</v>
      </c>
      <c r="Q21">
        <v>0</v>
      </c>
      <c r="R21">
        <v>0</v>
      </c>
      <c r="S21">
        <v>176.5</v>
      </c>
      <c r="T21">
        <v>0.14307692307692299</v>
      </c>
      <c r="V21">
        <v>14.2063492063492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969</v>
      </c>
      <c r="B31">
        <v>6315</v>
      </c>
      <c r="C31">
        <v>4791</v>
      </c>
      <c r="D31">
        <v>404</v>
      </c>
      <c r="E31">
        <v>1524</v>
      </c>
      <c r="F31">
        <v>15</v>
      </c>
      <c r="G31">
        <v>1630.14</v>
      </c>
      <c r="H31">
        <v>711</v>
      </c>
      <c r="I31">
        <v>0.68213783403656802</v>
      </c>
      <c r="J31">
        <v>26</v>
      </c>
      <c r="K31">
        <v>10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LAC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987</v>
      </c>
      <c r="B36" t="s">
        <v>26</v>
      </c>
      <c r="C36">
        <v>22</v>
      </c>
      <c r="D36">
        <v>0</v>
      </c>
      <c r="E36" t="s">
        <v>76</v>
      </c>
      <c r="F36" t="s">
        <v>969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988</v>
      </c>
      <c r="B37" t="s">
        <v>26</v>
      </c>
      <c r="C37">
        <v>25</v>
      </c>
      <c r="D37">
        <v>4</v>
      </c>
      <c r="E37" t="s">
        <v>205</v>
      </c>
      <c r="F37" t="s">
        <v>969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989</v>
      </c>
      <c r="B38" t="s">
        <v>26</v>
      </c>
      <c r="C38">
        <v>27</v>
      </c>
      <c r="D38">
        <v>5</v>
      </c>
      <c r="E38" t="s">
        <v>555</v>
      </c>
      <c r="F38" t="s">
        <v>969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990</v>
      </c>
      <c r="B46" t="s">
        <v>31</v>
      </c>
      <c r="C46">
        <v>24</v>
      </c>
      <c r="D46">
        <v>0</v>
      </c>
      <c r="E46" t="s">
        <v>991</v>
      </c>
      <c r="F46" t="s">
        <v>969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992</v>
      </c>
      <c r="B47" t="s">
        <v>31</v>
      </c>
      <c r="C47">
        <v>28</v>
      </c>
      <c r="D47">
        <v>7</v>
      </c>
      <c r="E47" t="s">
        <v>993</v>
      </c>
      <c r="F47" t="s">
        <v>969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994</v>
      </c>
      <c r="B48" t="s">
        <v>31</v>
      </c>
      <c r="C48">
        <v>24</v>
      </c>
      <c r="D48">
        <v>0</v>
      </c>
      <c r="E48" t="s">
        <v>995</v>
      </c>
      <c r="F48" t="s">
        <v>969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996</v>
      </c>
      <c r="B49" t="s">
        <v>31</v>
      </c>
      <c r="C49">
        <v>25</v>
      </c>
      <c r="D49">
        <v>4</v>
      </c>
      <c r="E49" t="s">
        <v>418</v>
      </c>
      <c r="F49" t="s">
        <v>969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997</v>
      </c>
      <c r="B50" t="s">
        <v>31</v>
      </c>
      <c r="C50">
        <v>23</v>
      </c>
      <c r="D50">
        <v>0</v>
      </c>
      <c r="E50" t="s">
        <v>998</v>
      </c>
      <c r="F50" t="s">
        <v>969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999</v>
      </c>
      <c r="B51" t="s">
        <v>31</v>
      </c>
      <c r="C51">
        <v>22</v>
      </c>
      <c r="D51">
        <v>2</v>
      </c>
      <c r="E51" t="s">
        <v>307</v>
      </c>
      <c r="F51" t="s">
        <v>969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1000</v>
      </c>
      <c r="B61" t="s">
        <v>43</v>
      </c>
      <c r="C61">
        <v>31</v>
      </c>
      <c r="D61">
        <v>11</v>
      </c>
      <c r="E61" t="s">
        <v>666</v>
      </c>
      <c r="F61" t="s">
        <v>969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1001</v>
      </c>
      <c r="B62" t="s">
        <v>43</v>
      </c>
      <c r="C62">
        <v>25</v>
      </c>
      <c r="D62">
        <v>0</v>
      </c>
      <c r="E62" t="s">
        <v>78</v>
      </c>
      <c r="F62" t="s">
        <v>969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1002</v>
      </c>
      <c r="B63" t="s">
        <v>43</v>
      </c>
      <c r="C63">
        <v>22</v>
      </c>
      <c r="D63">
        <v>0</v>
      </c>
      <c r="E63" t="s">
        <v>76</v>
      </c>
      <c r="F63" t="s">
        <v>969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1003</v>
      </c>
      <c r="B64" t="s">
        <v>43</v>
      </c>
      <c r="C64">
        <v>27</v>
      </c>
      <c r="D64">
        <v>2</v>
      </c>
      <c r="E64" t="s">
        <v>1004</v>
      </c>
      <c r="F64" t="s">
        <v>969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1005</v>
      </c>
      <c r="B65" t="s">
        <v>43</v>
      </c>
      <c r="C65">
        <v>26</v>
      </c>
      <c r="D65">
        <v>4</v>
      </c>
      <c r="E65" t="s">
        <v>508</v>
      </c>
      <c r="F65" t="s">
        <v>969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1006</v>
      </c>
      <c r="B66" t="s">
        <v>43</v>
      </c>
      <c r="C66">
        <v>27</v>
      </c>
      <c r="D66">
        <v>2</v>
      </c>
      <c r="E66" t="s">
        <v>296</v>
      </c>
      <c r="F66" t="s">
        <v>969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1007</v>
      </c>
      <c r="B67" t="s">
        <v>43</v>
      </c>
      <c r="C67">
        <v>21</v>
      </c>
      <c r="D67">
        <v>0</v>
      </c>
      <c r="E67" t="s">
        <v>76</v>
      </c>
      <c r="F67" t="s">
        <v>969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1008</v>
      </c>
      <c r="B68" t="s">
        <v>43</v>
      </c>
      <c r="C68">
        <v>23</v>
      </c>
      <c r="D68">
        <v>3</v>
      </c>
      <c r="E68" t="s">
        <v>143</v>
      </c>
      <c r="F68" t="s">
        <v>969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1009</v>
      </c>
      <c r="B69" t="s">
        <v>43</v>
      </c>
      <c r="C69">
        <v>27</v>
      </c>
      <c r="D69">
        <v>3</v>
      </c>
      <c r="E69" t="s">
        <v>555</v>
      </c>
      <c r="F69" t="s">
        <v>969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1010</v>
      </c>
      <c r="B70" t="s">
        <v>43</v>
      </c>
      <c r="C70">
        <v>28</v>
      </c>
      <c r="D70">
        <v>7</v>
      </c>
      <c r="E70" t="s">
        <v>458</v>
      </c>
      <c r="F70" t="s">
        <v>969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1011</v>
      </c>
      <c r="B71" t="s">
        <v>43</v>
      </c>
      <c r="C71">
        <v>24</v>
      </c>
      <c r="D71">
        <v>0</v>
      </c>
      <c r="E71" t="s">
        <v>1012</v>
      </c>
      <c r="F71" t="s">
        <v>969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1013</v>
      </c>
      <c r="B72" t="s">
        <v>43</v>
      </c>
      <c r="D72">
        <v>0</v>
      </c>
      <c r="E72" t="s">
        <v>62</v>
      </c>
      <c r="F72" t="s">
        <v>969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1014</v>
      </c>
      <c r="B76" t="s">
        <v>38</v>
      </c>
      <c r="C76">
        <v>29</v>
      </c>
      <c r="D76">
        <v>7</v>
      </c>
      <c r="E76" t="s">
        <v>519</v>
      </c>
      <c r="F76" t="s">
        <v>969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1015</v>
      </c>
      <c r="B77" t="s">
        <v>38</v>
      </c>
      <c r="C77">
        <v>22</v>
      </c>
      <c r="D77">
        <v>0</v>
      </c>
      <c r="E77" t="s">
        <v>418</v>
      </c>
      <c r="F77" t="s">
        <v>969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1016</v>
      </c>
      <c r="B78" t="s">
        <v>38</v>
      </c>
      <c r="C78">
        <v>25</v>
      </c>
      <c r="D78">
        <v>1</v>
      </c>
      <c r="E78" t="s">
        <v>205</v>
      </c>
      <c r="F78" t="s">
        <v>969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1017</v>
      </c>
      <c r="B79" t="s">
        <v>38</v>
      </c>
      <c r="C79">
        <v>24</v>
      </c>
      <c r="D79">
        <v>3</v>
      </c>
      <c r="E79" t="s">
        <v>173</v>
      </c>
      <c r="F79" t="s">
        <v>969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1018</v>
      </c>
      <c r="B80" t="s">
        <v>38</v>
      </c>
      <c r="C80">
        <v>26</v>
      </c>
      <c r="D80">
        <v>4</v>
      </c>
      <c r="E80" t="s">
        <v>1019</v>
      </c>
      <c r="F80" t="s">
        <v>969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1020</v>
      </c>
      <c r="B81" t="s">
        <v>38</v>
      </c>
      <c r="C81">
        <v>24</v>
      </c>
      <c r="D81">
        <v>2</v>
      </c>
      <c r="E81" t="s">
        <v>98</v>
      </c>
      <c r="F81" t="s">
        <v>969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topLeftCell="F22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310</v>
      </c>
      <c r="B2" t="s">
        <v>1021</v>
      </c>
      <c r="C2" t="s">
        <v>26</v>
      </c>
      <c r="D2">
        <v>5</v>
      </c>
      <c r="E2">
        <v>129</v>
      </c>
      <c r="F2">
        <v>82</v>
      </c>
      <c r="G2">
        <v>850</v>
      </c>
      <c r="H2">
        <v>4</v>
      </c>
      <c r="I2">
        <v>2</v>
      </c>
      <c r="J2">
        <v>15</v>
      </c>
      <c r="K2">
        <v>37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47.7</v>
      </c>
      <c r="T2">
        <v>0</v>
      </c>
      <c r="U2">
        <v>2.4666666666666699</v>
      </c>
      <c r="W2">
        <v>0.63565891472868197</v>
      </c>
      <c r="X2">
        <v>3.1007751937984499E-2</v>
      </c>
    </row>
    <row r="3" spans="1:24" x14ac:dyDescent="0.25">
      <c r="A3" t="s">
        <v>1022</v>
      </c>
      <c r="B3" t="s">
        <v>1021</v>
      </c>
      <c r="C3" t="s">
        <v>26</v>
      </c>
      <c r="D3">
        <v>5</v>
      </c>
      <c r="E3">
        <v>34</v>
      </c>
      <c r="F3">
        <v>19</v>
      </c>
      <c r="G3">
        <v>161</v>
      </c>
      <c r="H3">
        <v>1</v>
      </c>
      <c r="I3">
        <v>2</v>
      </c>
      <c r="J3">
        <v>19</v>
      </c>
      <c r="K3">
        <v>90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15.44</v>
      </c>
      <c r="T3">
        <v>0</v>
      </c>
      <c r="U3">
        <v>4.7368421052631602</v>
      </c>
      <c r="W3">
        <v>0.55882352941176505</v>
      </c>
      <c r="X3">
        <v>2.9411764705882401E-2</v>
      </c>
    </row>
    <row r="4" spans="1:24" x14ac:dyDescent="0.25">
      <c r="A4" t="s">
        <v>1023</v>
      </c>
      <c r="B4" t="s">
        <v>1021</v>
      </c>
      <c r="C4" t="s">
        <v>26</v>
      </c>
      <c r="D4">
        <v>2</v>
      </c>
      <c r="E4">
        <v>62</v>
      </c>
      <c r="F4">
        <v>38</v>
      </c>
      <c r="G4">
        <v>390</v>
      </c>
      <c r="H4">
        <v>1</v>
      </c>
      <c r="I4">
        <v>3</v>
      </c>
      <c r="J4">
        <v>8</v>
      </c>
      <c r="K4">
        <v>32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14.8</v>
      </c>
      <c r="T4">
        <v>0</v>
      </c>
      <c r="U4">
        <v>4</v>
      </c>
      <c r="W4">
        <v>0.61290322580645196</v>
      </c>
      <c r="X4">
        <v>1.6129032258064498E-2</v>
      </c>
    </row>
    <row r="5" spans="1:24" x14ac:dyDescent="0.25">
      <c r="A5" t="s">
        <v>1024</v>
      </c>
      <c r="B5" t="s">
        <v>1021</v>
      </c>
      <c r="C5" t="s">
        <v>26</v>
      </c>
      <c r="D5">
        <v>9</v>
      </c>
      <c r="E5">
        <v>303</v>
      </c>
      <c r="F5">
        <v>206</v>
      </c>
      <c r="G5">
        <v>2087</v>
      </c>
      <c r="H5">
        <v>10</v>
      </c>
      <c r="I5">
        <v>8</v>
      </c>
      <c r="J5">
        <v>13</v>
      </c>
      <c r="K5">
        <v>9</v>
      </c>
      <c r="L5">
        <v>1</v>
      </c>
      <c r="M5">
        <v>0</v>
      </c>
      <c r="N5">
        <v>0</v>
      </c>
      <c r="O5">
        <v>0</v>
      </c>
      <c r="P5">
        <v>0</v>
      </c>
      <c r="Q5">
        <v>3</v>
      </c>
      <c r="R5">
        <v>0</v>
      </c>
      <c r="S5">
        <v>108.38</v>
      </c>
      <c r="T5">
        <v>0</v>
      </c>
      <c r="U5">
        <v>0.69230769230769196</v>
      </c>
      <c r="W5">
        <v>0.67986798679867999</v>
      </c>
      <c r="X5">
        <v>3.3003300330033E-2</v>
      </c>
    </row>
    <row r="6" spans="1:24" x14ac:dyDescent="0.25">
      <c r="A6" t="s">
        <v>1025</v>
      </c>
      <c r="B6" t="s">
        <v>1021</v>
      </c>
      <c r="C6" t="s">
        <v>31</v>
      </c>
      <c r="D6">
        <v>15</v>
      </c>
      <c r="E6">
        <v>0</v>
      </c>
      <c r="F6">
        <v>0</v>
      </c>
      <c r="G6">
        <v>0</v>
      </c>
      <c r="H6">
        <v>0</v>
      </c>
      <c r="I6">
        <v>0</v>
      </c>
      <c r="J6">
        <v>188</v>
      </c>
      <c r="K6">
        <v>786</v>
      </c>
      <c r="L6">
        <v>7</v>
      </c>
      <c r="M6">
        <v>18</v>
      </c>
      <c r="N6">
        <v>13</v>
      </c>
      <c r="O6">
        <v>117</v>
      </c>
      <c r="P6">
        <v>0</v>
      </c>
      <c r="Q6">
        <v>2</v>
      </c>
      <c r="R6">
        <v>0</v>
      </c>
      <c r="S6">
        <v>141.30000000000001</v>
      </c>
      <c r="T6">
        <v>2.53164556962025E-2</v>
      </c>
      <c r="U6">
        <v>4.18085106382979</v>
      </c>
      <c r="V6">
        <v>9</v>
      </c>
    </row>
    <row r="7" spans="1:24" x14ac:dyDescent="0.25">
      <c r="A7" t="s">
        <v>1026</v>
      </c>
      <c r="B7" t="s">
        <v>1021</v>
      </c>
      <c r="C7" t="s">
        <v>31</v>
      </c>
      <c r="D7">
        <v>10</v>
      </c>
      <c r="E7">
        <v>0</v>
      </c>
      <c r="F7">
        <v>0</v>
      </c>
      <c r="G7">
        <v>0</v>
      </c>
      <c r="H7">
        <v>0</v>
      </c>
      <c r="I7">
        <v>0</v>
      </c>
      <c r="J7">
        <v>70</v>
      </c>
      <c r="K7">
        <v>283</v>
      </c>
      <c r="L7">
        <v>3</v>
      </c>
      <c r="M7">
        <v>22</v>
      </c>
      <c r="N7">
        <v>17</v>
      </c>
      <c r="O7">
        <v>102</v>
      </c>
      <c r="P7">
        <v>0</v>
      </c>
      <c r="Q7">
        <v>0</v>
      </c>
      <c r="R7">
        <v>0</v>
      </c>
      <c r="S7">
        <v>73.5</v>
      </c>
      <c r="T7">
        <v>3.0942334739803099E-2</v>
      </c>
      <c r="U7">
        <v>4.04285714285714</v>
      </c>
      <c r="V7">
        <v>6</v>
      </c>
    </row>
    <row r="8" spans="1:24" x14ac:dyDescent="0.25">
      <c r="A8" t="s">
        <v>1027</v>
      </c>
      <c r="B8" t="s">
        <v>1021</v>
      </c>
      <c r="C8" t="s">
        <v>31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35</v>
      </c>
      <c r="K8">
        <v>139</v>
      </c>
      <c r="L8">
        <v>0</v>
      </c>
      <c r="M8">
        <v>12</v>
      </c>
      <c r="N8">
        <v>9</v>
      </c>
      <c r="O8">
        <v>76</v>
      </c>
      <c r="P8">
        <v>0</v>
      </c>
      <c r="Q8">
        <v>0</v>
      </c>
      <c r="R8">
        <v>0</v>
      </c>
      <c r="S8">
        <v>30.5</v>
      </c>
      <c r="T8">
        <v>1.68776371308017E-2</v>
      </c>
      <c r="U8">
        <v>3.9714285714285702</v>
      </c>
      <c r="V8">
        <v>8.4444444444444393</v>
      </c>
    </row>
    <row r="9" spans="1:24" x14ac:dyDescent="0.25">
      <c r="A9" t="s">
        <v>48</v>
      </c>
      <c r="B9" t="s">
        <v>1021</v>
      </c>
      <c r="C9" t="s">
        <v>31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18</v>
      </c>
      <c r="K9">
        <v>81</v>
      </c>
      <c r="L9">
        <v>1</v>
      </c>
      <c r="M9">
        <v>6</v>
      </c>
      <c r="N9">
        <v>5</v>
      </c>
      <c r="O9">
        <v>37</v>
      </c>
      <c r="P9">
        <v>0</v>
      </c>
      <c r="Q9">
        <v>0</v>
      </c>
      <c r="R9">
        <v>0</v>
      </c>
      <c r="S9">
        <v>22.8</v>
      </c>
      <c r="T9">
        <v>8.4388185654008397E-3</v>
      </c>
      <c r="U9">
        <v>4.5</v>
      </c>
      <c r="V9">
        <v>7.4</v>
      </c>
    </row>
    <row r="10" spans="1:24" x14ac:dyDescent="0.25">
      <c r="A10" t="s">
        <v>1028</v>
      </c>
      <c r="B10" t="s">
        <v>1021</v>
      </c>
      <c r="C10" t="s">
        <v>31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21</v>
      </c>
      <c r="L10">
        <v>0</v>
      </c>
      <c r="M10">
        <v>5</v>
      </c>
      <c r="N10">
        <v>5</v>
      </c>
      <c r="O10">
        <v>29</v>
      </c>
      <c r="P10">
        <v>0</v>
      </c>
      <c r="Q10">
        <v>0</v>
      </c>
      <c r="R10">
        <v>0</v>
      </c>
      <c r="S10">
        <v>10</v>
      </c>
      <c r="T10">
        <v>7.0323488045007003E-3</v>
      </c>
      <c r="U10">
        <v>2.3333333333333299</v>
      </c>
      <c r="V10">
        <v>5.8</v>
      </c>
    </row>
    <row r="11" spans="1:24" x14ac:dyDescent="0.25">
      <c r="A11" t="s">
        <v>1029</v>
      </c>
      <c r="B11" t="s">
        <v>1021</v>
      </c>
      <c r="C11" t="s">
        <v>38</v>
      </c>
      <c r="D11">
        <v>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7</v>
      </c>
      <c r="O11">
        <v>109</v>
      </c>
      <c r="P11">
        <v>0</v>
      </c>
      <c r="Q11">
        <v>0</v>
      </c>
      <c r="R11">
        <v>0</v>
      </c>
      <c r="S11">
        <v>17.899999999999999</v>
      </c>
      <c r="T11">
        <v>1.5471167369901499E-2</v>
      </c>
      <c r="V11">
        <v>15.5714285714286</v>
      </c>
    </row>
    <row r="12" spans="1:24" x14ac:dyDescent="0.25">
      <c r="A12" t="s">
        <v>1030</v>
      </c>
      <c r="B12" t="s">
        <v>1021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2</v>
      </c>
      <c r="O12">
        <v>35</v>
      </c>
      <c r="P12">
        <v>0</v>
      </c>
      <c r="Q12">
        <v>0</v>
      </c>
      <c r="R12">
        <v>0</v>
      </c>
      <c r="S12">
        <v>5.5</v>
      </c>
      <c r="T12">
        <v>2.81293952180028E-3</v>
      </c>
      <c r="V12">
        <v>17.5</v>
      </c>
    </row>
    <row r="13" spans="1:24" x14ac:dyDescent="0.25">
      <c r="A13" t="s">
        <v>1031</v>
      </c>
      <c r="B13" t="s">
        <v>1021</v>
      </c>
      <c r="C13" t="s">
        <v>38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108</v>
      </c>
      <c r="N13">
        <v>72</v>
      </c>
      <c r="O13">
        <v>620</v>
      </c>
      <c r="P13">
        <v>3</v>
      </c>
      <c r="Q13">
        <v>0</v>
      </c>
      <c r="R13">
        <v>0</v>
      </c>
      <c r="S13">
        <v>152</v>
      </c>
      <c r="T13">
        <v>0.151898734177215</v>
      </c>
      <c r="V13">
        <v>8.6111111111111107</v>
      </c>
    </row>
    <row r="14" spans="1:24" x14ac:dyDescent="0.25">
      <c r="A14" t="s">
        <v>1032</v>
      </c>
      <c r="B14" t="s">
        <v>1021</v>
      </c>
      <c r="C14" t="s">
        <v>43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33</v>
      </c>
      <c r="O14">
        <v>339</v>
      </c>
      <c r="P14">
        <v>3</v>
      </c>
      <c r="Q14">
        <v>0</v>
      </c>
      <c r="R14">
        <v>0</v>
      </c>
      <c r="S14">
        <v>84.9</v>
      </c>
      <c r="T14">
        <v>7.3136427566807299E-2</v>
      </c>
      <c r="V14">
        <v>10.2727272727273</v>
      </c>
    </row>
    <row r="15" spans="1:24" x14ac:dyDescent="0.25">
      <c r="A15" t="s">
        <v>1033</v>
      </c>
      <c r="B15" t="s">
        <v>1021</v>
      </c>
      <c r="C15" t="s">
        <v>43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5.6258790436005601E-3</v>
      </c>
      <c r="V15">
        <v>6.5</v>
      </c>
    </row>
    <row r="16" spans="1:24" x14ac:dyDescent="0.25">
      <c r="A16" t="s">
        <v>1034</v>
      </c>
      <c r="B16" t="s">
        <v>1021</v>
      </c>
      <c r="C16" t="s">
        <v>43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17</v>
      </c>
      <c r="K16">
        <v>80</v>
      </c>
      <c r="L16">
        <v>0</v>
      </c>
      <c r="M16">
        <v>32</v>
      </c>
      <c r="N16">
        <v>24</v>
      </c>
      <c r="O16">
        <v>156</v>
      </c>
      <c r="P16">
        <v>0</v>
      </c>
      <c r="Q16">
        <v>0</v>
      </c>
      <c r="R16">
        <v>0</v>
      </c>
      <c r="S16">
        <v>47.6</v>
      </c>
      <c r="T16">
        <v>4.5007032348804502E-2</v>
      </c>
      <c r="U16">
        <v>4.7058823529411802</v>
      </c>
      <c r="V16">
        <v>6.5</v>
      </c>
    </row>
    <row r="17" spans="1:24" x14ac:dyDescent="0.25">
      <c r="A17" t="s">
        <v>1035</v>
      </c>
      <c r="B17" t="s">
        <v>1021</v>
      </c>
      <c r="C17" t="s">
        <v>43</v>
      </c>
      <c r="D17">
        <v>14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17</v>
      </c>
      <c r="L17">
        <v>1</v>
      </c>
      <c r="M17">
        <v>61</v>
      </c>
      <c r="N17">
        <v>39</v>
      </c>
      <c r="O17">
        <v>376</v>
      </c>
      <c r="P17">
        <v>0</v>
      </c>
      <c r="Q17">
        <v>0</v>
      </c>
      <c r="R17">
        <v>0</v>
      </c>
      <c r="S17">
        <v>84.3</v>
      </c>
      <c r="T17">
        <v>8.5794655414908605E-2</v>
      </c>
      <c r="U17">
        <v>17</v>
      </c>
      <c r="V17">
        <v>9.6410256410256405</v>
      </c>
    </row>
    <row r="18" spans="1:24" x14ac:dyDescent="0.25">
      <c r="A18" t="s">
        <v>1036</v>
      </c>
      <c r="B18" t="s">
        <v>1021</v>
      </c>
      <c r="C18" t="s">
        <v>43</v>
      </c>
      <c r="D18">
        <v>9</v>
      </c>
      <c r="E18">
        <v>1</v>
      </c>
      <c r="F18">
        <v>0</v>
      </c>
      <c r="G18">
        <v>0</v>
      </c>
      <c r="H18">
        <v>0</v>
      </c>
      <c r="I18">
        <v>0</v>
      </c>
      <c r="J18">
        <v>9</v>
      </c>
      <c r="K18">
        <v>52</v>
      </c>
      <c r="L18">
        <v>1</v>
      </c>
      <c r="M18">
        <v>98</v>
      </c>
      <c r="N18">
        <v>75</v>
      </c>
      <c r="O18">
        <v>812</v>
      </c>
      <c r="P18">
        <v>6</v>
      </c>
      <c r="Q18">
        <v>0</v>
      </c>
      <c r="R18">
        <v>0</v>
      </c>
      <c r="S18">
        <v>201.4</v>
      </c>
      <c r="T18">
        <v>0.137834036568214</v>
      </c>
      <c r="U18">
        <v>5.7777777777777803</v>
      </c>
      <c r="V18">
        <v>10.8266666666667</v>
      </c>
      <c r="W18">
        <v>0</v>
      </c>
      <c r="X18">
        <v>0</v>
      </c>
    </row>
    <row r="19" spans="1:24" x14ac:dyDescent="0.25">
      <c r="A19" t="s">
        <v>1037</v>
      </c>
      <c r="B19" t="s">
        <v>1021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6</v>
      </c>
      <c r="P19">
        <v>0</v>
      </c>
      <c r="Q19">
        <v>0</v>
      </c>
      <c r="R19">
        <v>0</v>
      </c>
      <c r="S19">
        <v>1.6</v>
      </c>
      <c r="T19">
        <v>1.40646976090014E-3</v>
      </c>
      <c r="V19">
        <v>6</v>
      </c>
    </row>
    <row r="20" spans="1:24" x14ac:dyDescent="0.25">
      <c r="A20" t="s">
        <v>1038</v>
      </c>
      <c r="B20" t="s">
        <v>1021</v>
      </c>
      <c r="C20" t="s">
        <v>43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7.0323488045007003E-3</v>
      </c>
    </row>
    <row r="21" spans="1:24" x14ac:dyDescent="0.25">
      <c r="A21" t="s">
        <v>1039</v>
      </c>
      <c r="B21" t="s">
        <v>1021</v>
      </c>
      <c r="C21" t="s">
        <v>43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9</v>
      </c>
      <c r="K21">
        <v>34</v>
      </c>
      <c r="L21">
        <v>1</v>
      </c>
      <c r="M21">
        <v>35</v>
      </c>
      <c r="N21">
        <v>18</v>
      </c>
      <c r="O21">
        <v>298</v>
      </c>
      <c r="P21">
        <v>1</v>
      </c>
      <c r="Q21">
        <v>0</v>
      </c>
      <c r="R21">
        <v>0</v>
      </c>
      <c r="S21">
        <v>63.2</v>
      </c>
      <c r="T21">
        <v>4.92264416315049E-2</v>
      </c>
      <c r="U21">
        <v>3.7777777777777799</v>
      </c>
      <c r="V21">
        <v>16.5555555555556</v>
      </c>
    </row>
    <row r="22" spans="1:24" x14ac:dyDescent="0.25">
      <c r="A22" t="s">
        <v>1040</v>
      </c>
      <c r="B22" t="s">
        <v>1021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44</v>
      </c>
      <c r="N22">
        <v>24</v>
      </c>
      <c r="O22">
        <v>369</v>
      </c>
      <c r="P22">
        <v>3</v>
      </c>
      <c r="Q22">
        <v>0</v>
      </c>
      <c r="R22">
        <v>0</v>
      </c>
      <c r="S22">
        <v>78.900000000000006</v>
      </c>
      <c r="T22">
        <v>6.1884669479606198E-2</v>
      </c>
      <c r="V22">
        <v>15.375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1021</v>
      </c>
      <c r="B31">
        <v>5194</v>
      </c>
      <c r="C31">
        <v>3488</v>
      </c>
      <c r="D31">
        <v>411</v>
      </c>
      <c r="E31">
        <v>1661</v>
      </c>
      <c r="F31">
        <v>15</v>
      </c>
      <c r="G31">
        <v>1205.02</v>
      </c>
      <c r="H31">
        <v>529</v>
      </c>
      <c r="I31">
        <v>0.65217389999999997</v>
      </c>
      <c r="J31">
        <v>16</v>
      </c>
      <c r="K31">
        <v>15</v>
      </c>
      <c r="L31">
        <v>7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LAR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1041</v>
      </c>
      <c r="B36" t="s">
        <v>26</v>
      </c>
      <c r="C36">
        <v>25</v>
      </c>
      <c r="D36">
        <v>0</v>
      </c>
      <c r="E36" t="s">
        <v>173</v>
      </c>
      <c r="F36" t="s">
        <v>1021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1042</v>
      </c>
      <c r="B37" t="s">
        <v>26</v>
      </c>
      <c r="C37">
        <v>27</v>
      </c>
      <c r="D37">
        <v>4</v>
      </c>
      <c r="E37" t="s">
        <v>296</v>
      </c>
      <c r="F37" t="s">
        <v>1021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1043</v>
      </c>
      <c r="B38" t="s">
        <v>26</v>
      </c>
      <c r="C38">
        <v>35</v>
      </c>
      <c r="D38">
        <v>15</v>
      </c>
      <c r="E38" t="s">
        <v>173</v>
      </c>
      <c r="F38" t="s">
        <v>1021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1044</v>
      </c>
      <c r="B39" t="s">
        <v>26</v>
      </c>
      <c r="C39">
        <v>24</v>
      </c>
      <c r="D39">
        <v>0</v>
      </c>
      <c r="E39" t="s">
        <v>1045</v>
      </c>
      <c r="F39" t="s">
        <v>1021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1046</v>
      </c>
      <c r="B46" t="s">
        <v>31</v>
      </c>
      <c r="C46">
        <v>24</v>
      </c>
      <c r="D46">
        <v>3</v>
      </c>
      <c r="E46" t="s">
        <v>1012</v>
      </c>
      <c r="F46" t="s">
        <v>1021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1047</v>
      </c>
      <c r="B47" t="s">
        <v>31</v>
      </c>
      <c r="C47">
        <v>22</v>
      </c>
      <c r="D47">
        <v>0</v>
      </c>
      <c r="E47" t="s">
        <v>240</v>
      </c>
      <c r="F47" t="s">
        <v>1021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1048</v>
      </c>
      <c r="B48" t="s">
        <v>31</v>
      </c>
      <c r="C48">
        <v>27</v>
      </c>
      <c r="D48">
        <v>5</v>
      </c>
      <c r="E48" t="s">
        <v>205</v>
      </c>
      <c r="F48" t="s">
        <v>1021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1049</v>
      </c>
      <c r="B49" t="s">
        <v>31</v>
      </c>
      <c r="C49">
        <v>24</v>
      </c>
      <c r="D49">
        <v>2</v>
      </c>
      <c r="E49" t="s">
        <v>280</v>
      </c>
      <c r="F49" t="s">
        <v>1021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1050</v>
      </c>
      <c r="B50" t="s">
        <v>31</v>
      </c>
      <c r="C50">
        <v>22</v>
      </c>
      <c r="D50">
        <v>2</v>
      </c>
      <c r="E50" t="s">
        <v>362</v>
      </c>
      <c r="F50" t="s">
        <v>1021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1051</v>
      </c>
      <c r="B61" t="s">
        <v>43</v>
      </c>
      <c r="C61">
        <v>23</v>
      </c>
      <c r="D61">
        <v>3</v>
      </c>
      <c r="E61" t="s">
        <v>209</v>
      </c>
      <c r="F61" t="s">
        <v>1021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1052</v>
      </c>
      <c r="B62" t="s">
        <v>43</v>
      </c>
      <c r="C62">
        <v>24</v>
      </c>
      <c r="D62">
        <v>0</v>
      </c>
      <c r="E62" t="s">
        <v>795</v>
      </c>
      <c r="F62" t="s">
        <v>1021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1053</v>
      </c>
      <c r="B63" t="s">
        <v>43</v>
      </c>
      <c r="C63">
        <v>22</v>
      </c>
      <c r="D63">
        <v>0</v>
      </c>
      <c r="E63" t="s">
        <v>209</v>
      </c>
      <c r="F63" t="s">
        <v>1021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1054</v>
      </c>
      <c r="B64" t="s">
        <v>43</v>
      </c>
      <c r="C64">
        <v>27</v>
      </c>
      <c r="D64">
        <v>4</v>
      </c>
      <c r="E64" t="s">
        <v>178</v>
      </c>
      <c r="F64" t="s">
        <v>1021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1055</v>
      </c>
      <c r="B65" t="s">
        <v>43</v>
      </c>
      <c r="C65">
        <v>24</v>
      </c>
      <c r="D65">
        <v>4</v>
      </c>
      <c r="E65" t="s">
        <v>225</v>
      </c>
      <c r="F65" t="s">
        <v>1021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1056</v>
      </c>
      <c r="B66" t="s">
        <v>43</v>
      </c>
      <c r="C66">
        <v>30</v>
      </c>
      <c r="D66">
        <v>7</v>
      </c>
      <c r="E66" t="s">
        <v>413</v>
      </c>
      <c r="F66" t="s">
        <v>1021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1057</v>
      </c>
      <c r="B67" t="s">
        <v>43</v>
      </c>
      <c r="C67">
        <v>24</v>
      </c>
      <c r="D67">
        <v>2</v>
      </c>
      <c r="E67" t="s">
        <v>1058</v>
      </c>
      <c r="F67" t="s">
        <v>1021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1059</v>
      </c>
      <c r="B68" t="s">
        <v>43</v>
      </c>
      <c r="C68">
        <v>23</v>
      </c>
      <c r="D68">
        <v>0</v>
      </c>
      <c r="E68" t="s">
        <v>82</v>
      </c>
      <c r="F68" t="s">
        <v>1021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1060</v>
      </c>
      <c r="B69" t="s">
        <v>43</v>
      </c>
      <c r="C69">
        <v>28</v>
      </c>
      <c r="D69">
        <v>8</v>
      </c>
      <c r="E69" t="s">
        <v>178</v>
      </c>
      <c r="F69" t="s">
        <v>1021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1061</v>
      </c>
      <c r="B70" t="s">
        <v>43</v>
      </c>
      <c r="C70">
        <v>26</v>
      </c>
      <c r="D70">
        <v>3</v>
      </c>
      <c r="E70" t="s">
        <v>362</v>
      </c>
      <c r="F70" t="s">
        <v>1021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1062</v>
      </c>
      <c r="B71" t="s">
        <v>43</v>
      </c>
      <c r="C71">
        <v>25</v>
      </c>
      <c r="D71">
        <v>0</v>
      </c>
      <c r="E71" t="s">
        <v>1063</v>
      </c>
      <c r="F71" t="s">
        <v>1021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1064</v>
      </c>
      <c r="B72" t="s">
        <v>43</v>
      </c>
      <c r="C72">
        <v>25</v>
      </c>
      <c r="D72">
        <v>2</v>
      </c>
      <c r="E72" t="s">
        <v>1065</v>
      </c>
      <c r="F72" t="s">
        <v>1021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1066</v>
      </c>
      <c r="B76" t="s">
        <v>38</v>
      </c>
      <c r="C76">
        <v>22</v>
      </c>
      <c r="D76">
        <v>0</v>
      </c>
      <c r="E76" t="s">
        <v>458</v>
      </c>
      <c r="F76" t="s">
        <v>1021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1067</v>
      </c>
      <c r="B77" t="s">
        <v>38</v>
      </c>
      <c r="C77">
        <v>30</v>
      </c>
      <c r="D77">
        <v>8</v>
      </c>
      <c r="E77" t="s">
        <v>1068</v>
      </c>
      <c r="F77" t="s">
        <v>1021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1069</v>
      </c>
      <c r="B78" t="s">
        <v>38</v>
      </c>
      <c r="C78">
        <v>26</v>
      </c>
      <c r="D78">
        <v>4</v>
      </c>
      <c r="E78" t="s">
        <v>62</v>
      </c>
      <c r="F78" t="s">
        <v>1021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1070</v>
      </c>
      <c r="B79" t="s">
        <v>38</v>
      </c>
      <c r="C79">
        <v>26</v>
      </c>
      <c r="D79">
        <v>2</v>
      </c>
      <c r="E79" t="s">
        <v>93</v>
      </c>
      <c r="F79" t="s">
        <v>1021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1071</v>
      </c>
      <c r="B80" t="s">
        <v>38</v>
      </c>
      <c r="C80">
        <v>24</v>
      </c>
      <c r="D80">
        <v>3</v>
      </c>
      <c r="E80" t="s">
        <v>235</v>
      </c>
      <c r="F80" t="s">
        <v>1021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1072</v>
      </c>
      <c r="B81" t="s">
        <v>38</v>
      </c>
      <c r="C81">
        <v>24</v>
      </c>
      <c r="D81">
        <v>1</v>
      </c>
      <c r="E81" t="s">
        <v>1012</v>
      </c>
      <c r="F81" t="s">
        <v>1021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1073</v>
      </c>
      <c r="B82" t="s">
        <v>38</v>
      </c>
      <c r="C82">
        <v>22</v>
      </c>
      <c r="D82">
        <v>0</v>
      </c>
      <c r="E82" t="s">
        <v>168</v>
      </c>
      <c r="F82" t="s">
        <v>1021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topLeftCell="G25" workbookViewId="0">
      <selection activeCell="AB46" sqref="AB46:AB54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1074</v>
      </c>
      <c r="B2" t="s">
        <v>1075</v>
      </c>
      <c r="C2" t="s">
        <v>115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6</v>
      </c>
      <c r="N2">
        <v>5</v>
      </c>
      <c r="O2">
        <v>10</v>
      </c>
      <c r="P2">
        <v>0</v>
      </c>
      <c r="Q2">
        <v>0</v>
      </c>
      <c r="R2">
        <v>0</v>
      </c>
      <c r="S2">
        <v>6</v>
      </c>
      <c r="T2">
        <v>1.13421550094518E-2</v>
      </c>
      <c r="V2">
        <v>2</v>
      </c>
    </row>
    <row r="3" spans="1:24" x14ac:dyDescent="0.25">
      <c r="A3" t="s">
        <v>1076</v>
      </c>
      <c r="B3" t="s">
        <v>1075</v>
      </c>
      <c r="C3" t="s">
        <v>26</v>
      </c>
      <c r="D3">
        <v>15</v>
      </c>
      <c r="E3">
        <v>502</v>
      </c>
      <c r="F3">
        <v>305</v>
      </c>
      <c r="G3">
        <v>3522</v>
      </c>
      <c r="H3">
        <v>24</v>
      </c>
      <c r="I3">
        <v>14</v>
      </c>
      <c r="J3">
        <v>24</v>
      </c>
      <c r="K3">
        <v>102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219.08</v>
      </c>
      <c r="T3">
        <v>0</v>
      </c>
      <c r="U3">
        <v>4.25</v>
      </c>
      <c r="W3">
        <v>0.60756972111553798</v>
      </c>
      <c r="X3">
        <v>4.7808764940239001E-2</v>
      </c>
    </row>
    <row r="4" spans="1:24" x14ac:dyDescent="0.25">
      <c r="A4" t="s">
        <v>1077</v>
      </c>
      <c r="B4" t="s">
        <v>1075</v>
      </c>
      <c r="C4" t="s">
        <v>26</v>
      </c>
      <c r="D4">
        <v>3</v>
      </c>
      <c r="E4">
        <v>83</v>
      </c>
      <c r="F4">
        <v>53</v>
      </c>
      <c r="G4">
        <v>656</v>
      </c>
      <c r="H4">
        <v>4</v>
      </c>
      <c r="I4">
        <v>3</v>
      </c>
      <c r="J4">
        <v>14</v>
      </c>
      <c r="K4">
        <v>84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42.64</v>
      </c>
      <c r="T4">
        <v>0</v>
      </c>
      <c r="U4">
        <v>6</v>
      </c>
      <c r="W4">
        <v>0.63855421686747005</v>
      </c>
      <c r="X4">
        <v>4.81927710843374E-2</v>
      </c>
    </row>
    <row r="5" spans="1:24" x14ac:dyDescent="0.25">
      <c r="A5" t="s">
        <v>1078</v>
      </c>
      <c r="B5" t="s">
        <v>1075</v>
      </c>
      <c r="C5" t="s">
        <v>31</v>
      </c>
      <c r="D5">
        <v>13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20</v>
      </c>
      <c r="L5">
        <v>0</v>
      </c>
      <c r="M5">
        <v>32</v>
      </c>
      <c r="N5">
        <v>25</v>
      </c>
      <c r="O5">
        <v>211</v>
      </c>
      <c r="P5">
        <v>1</v>
      </c>
      <c r="Q5">
        <v>0</v>
      </c>
      <c r="R5">
        <v>0</v>
      </c>
      <c r="S5">
        <v>54.1</v>
      </c>
      <c r="T5">
        <v>6.0491493383742899E-2</v>
      </c>
      <c r="U5">
        <v>5</v>
      </c>
      <c r="V5">
        <v>8.44</v>
      </c>
    </row>
    <row r="6" spans="1:24" x14ac:dyDescent="0.25">
      <c r="A6" t="s">
        <v>1079</v>
      </c>
      <c r="B6" t="s">
        <v>1075</v>
      </c>
      <c r="C6" t="s">
        <v>31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66</v>
      </c>
      <c r="L6">
        <v>0</v>
      </c>
      <c r="M6">
        <v>9</v>
      </c>
      <c r="N6">
        <v>9</v>
      </c>
      <c r="O6">
        <v>57</v>
      </c>
      <c r="P6">
        <v>1</v>
      </c>
      <c r="Q6">
        <v>0</v>
      </c>
      <c r="R6">
        <v>0</v>
      </c>
      <c r="S6">
        <v>27.3</v>
      </c>
      <c r="T6">
        <v>1.70132325141777E-2</v>
      </c>
      <c r="U6">
        <v>3.8823529411764701</v>
      </c>
      <c r="V6">
        <v>6.3333333333333304</v>
      </c>
    </row>
    <row r="7" spans="1:24" x14ac:dyDescent="0.25">
      <c r="A7" t="s">
        <v>1080</v>
      </c>
      <c r="B7" t="s">
        <v>1075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340</v>
      </c>
      <c r="K7">
        <v>1653</v>
      </c>
      <c r="L7">
        <v>12</v>
      </c>
      <c r="M7">
        <v>64</v>
      </c>
      <c r="N7">
        <v>53</v>
      </c>
      <c r="O7">
        <v>400</v>
      </c>
      <c r="P7">
        <v>0</v>
      </c>
      <c r="Q7">
        <v>0</v>
      </c>
      <c r="R7">
        <v>0</v>
      </c>
      <c r="S7">
        <v>328.3</v>
      </c>
      <c r="T7">
        <v>0.12098298676748601</v>
      </c>
      <c r="U7">
        <v>4.8617647058823499</v>
      </c>
      <c r="V7">
        <v>7.5471698113207504</v>
      </c>
    </row>
    <row r="8" spans="1:24" x14ac:dyDescent="0.25">
      <c r="A8" t="s">
        <v>1081</v>
      </c>
      <c r="B8" t="s">
        <v>1075</v>
      </c>
      <c r="C8" t="s">
        <v>31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</v>
      </c>
      <c r="T8">
        <v>0</v>
      </c>
      <c r="U8">
        <v>4.1176470588235299</v>
      </c>
    </row>
    <row r="9" spans="1:24" x14ac:dyDescent="0.25">
      <c r="A9" t="s">
        <v>1082</v>
      </c>
      <c r="B9" t="s">
        <v>1075</v>
      </c>
      <c r="C9" t="s">
        <v>38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43</v>
      </c>
      <c r="N9">
        <v>28</v>
      </c>
      <c r="O9">
        <v>388</v>
      </c>
      <c r="P9">
        <v>3</v>
      </c>
      <c r="Q9">
        <v>0</v>
      </c>
      <c r="R9">
        <v>0</v>
      </c>
      <c r="S9">
        <v>84.8</v>
      </c>
      <c r="T9">
        <v>8.1285444234404494E-2</v>
      </c>
      <c r="V9">
        <v>13.8571428571429</v>
      </c>
    </row>
    <row r="10" spans="1:24" x14ac:dyDescent="0.25">
      <c r="A10" t="s">
        <v>1083</v>
      </c>
      <c r="B10" t="s">
        <v>1075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54</v>
      </c>
      <c r="N10">
        <v>33</v>
      </c>
      <c r="O10">
        <v>420</v>
      </c>
      <c r="P10">
        <v>2</v>
      </c>
      <c r="Q10">
        <v>0</v>
      </c>
      <c r="R10">
        <v>0</v>
      </c>
      <c r="S10">
        <v>87</v>
      </c>
      <c r="T10">
        <v>0.102079395085066</v>
      </c>
      <c r="V10">
        <v>12.7272727272727</v>
      </c>
    </row>
    <row r="11" spans="1:24" x14ac:dyDescent="0.25">
      <c r="A11" t="s">
        <v>1084</v>
      </c>
      <c r="B11" t="s">
        <v>1075</v>
      </c>
      <c r="C11" t="s">
        <v>38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3</v>
      </c>
      <c r="O11">
        <v>19</v>
      </c>
      <c r="P11">
        <v>0</v>
      </c>
      <c r="Q11">
        <v>0</v>
      </c>
      <c r="R11">
        <v>0</v>
      </c>
      <c r="S11">
        <v>4.9000000000000004</v>
      </c>
      <c r="T11">
        <v>7.5614366729678598E-3</v>
      </c>
      <c r="V11">
        <v>6.3333333333333304</v>
      </c>
    </row>
    <row r="12" spans="1:24" x14ac:dyDescent="0.25">
      <c r="A12" t="s">
        <v>1085</v>
      </c>
      <c r="B12" t="s">
        <v>1075</v>
      </c>
      <c r="C12" t="s">
        <v>43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3</v>
      </c>
      <c r="K12">
        <v>-1</v>
      </c>
      <c r="L12">
        <v>0</v>
      </c>
      <c r="M12">
        <v>180</v>
      </c>
      <c r="N12">
        <v>100</v>
      </c>
      <c r="O12">
        <v>1516</v>
      </c>
      <c r="P12">
        <v>14</v>
      </c>
      <c r="Q12">
        <v>0</v>
      </c>
      <c r="R12">
        <v>0</v>
      </c>
      <c r="S12">
        <v>335.5</v>
      </c>
      <c r="T12">
        <v>0.34026465028355402</v>
      </c>
      <c r="U12">
        <v>-0.33333333333333298</v>
      </c>
      <c r="V12">
        <v>15.16</v>
      </c>
    </row>
    <row r="13" spans="1:24" x14ac:dyDescent="0.25">
      <c r="A13" t="s">
        <v>1086</v>
      </c>
      <c r="B13" t="s">
        <v>1075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4</v>
      </c>
      <c r="K13">
        <v>26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2.6</v>
      </c>
      <c r="T13">
        <v>1.8903591682419699E-3</v>
      </c>
      <c r="U13">
        <v>6.5</v>
      </c>
    </row>
    <row r="14" spans="1:24" x14ac:dyDescent="0.25">
      <c r="A14" t="s">
        <v>1087</v>
      </c>
      <c r="B14" t="s">
        <v>1075</v>
      </c>
      <c r="C14" t="s">
        <v>43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50</v>
      </c>
      <c r="N14">
        <v>36</v>
      </c>
      <c r="O14">
        <v>330</v>
      </c>
      <c r="P14">
        <v>2</v>
      </c>
      <c r="Q14">
        <v>0</v>
      </c>
      <c r="R14">
        <v>0</v>
      </c>
      <c r="S14">
        <v>79</v>
      </c>
      <c r="T14">
        <v>9.4517958412098299E-2</v>
      </c>
      <c r="V14">
        <v>9.1666666666666696</v>
      </c>
    </row>
    <row r="15" spans="1:24" x14ac:dyDescent="0.25">
      <c r="A15" t="s">
        <v>1088</v>
      </c>
      <c r="B15" t="s">
        <v>1075</v>
      </c>
      <c r="C15" t="s">
        <v>43</v>
      </c>
      <c r="D15">
        <v>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21</v>
      </c>
      <c r="N15">
        <v>10</v>
      </c>
      <c r="O15">
        <v>141</v>
      </c>
      <c r="P15">
        <v>1</v>
      </c>
      <c r="Q15">
        <v>0</v>
      </c>
      <c r="R15">
        <v>0</v>
      </c>
      <c r="S15">
        <v>30.1</v>
      </c>
      <c r="T15">
        <v>3.9697542533081297E-2</v>
      </c>
      <c r="V15">
        <v>14.1</v>
      </c>
    </row>
    <row r="16" spans="1:24" x14ac:dyDescent="0.25">
      <c r="A16" t="s">
        <v>1089</v>
      </c>
      <c r="B16" t="s">
        <v>1075</v>
      </c>
      <c r="C16" t="s">
        <v>43</v>
      </c>
      <c r="D16">
        <v>17</v>
      </c>
      <c r="E16">
        <v>1</v>
      </c>
      <c r="F16">
        <v>1</v>
      </c>
      <c r="G16">
        <v>4</v>
      </c>
      <c r="H16">
        <v>0</v>
      </c>
      <c r="I16">
        <v>0</v>
      </c>
      <c r="J16">
        <v>4</v>
      </c>
      <c r="K16">
        <v>40</v>
      </c>
      <c r="L16">
        <v>0</v>
      </c>
      <c r="M16">
        <v>94</v>
      </c>
      <c r="N16">
        <v>57</v>
      </c>
      <c r="O16">
        <v>690</v>
      </c>
      <c r="P16">
        <v>4</v>
      </c>
      <c r="Q16">
        <v>0</v>
      </c>
      <c r="R16">
        <v>0</v>
      </c>
      <c r="S16">
        <v>154.16</v>
      </c>
      <c r="T16">
        <v>0.177693761814745</v>
      </c>
      <c r="U16">
        <v>10</v>
      </c>
      <c r="V16">
        <v>12.105263157894701</v>
      </c>
      <c r="W16">
        <v>1</v>
      </c>
      <c r="X16">
        <v>0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1075</v>
      </c>
      <c r="B31">
        <v>6242</v>
      </c>
      <c r="C31">
        <v>4182</v>
      </c>
      <c r="D31">
        <v>427</v>
      </c>
      <c r="E31">
        <v>2060</v>
      </c>
      <c r="F31">
        <v>12</v>
      </c>
      <c r="G31">
        <v>1462.48</v>
      </c>
      <c r="H31">
        <v>586</v>
      </c>
      <c r="I31">
        <v>0.61262798634812299</v>
      </c>
      <c r="J31">
        <v>28</v>
      </c>
      <c r="K31">
        <v>17</v>
      </c>
      <c r="L31">
        <v>1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LV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1090</v>
      </c>
      <c r="B36" t="s">
        <v>26</v>
      </c>
      <c r="C36">
        <v>24</v>
      </c>
      <c r="D36">
        <v>1</v>
      </c>
      <c r="E36" t="s">
        <v>666</v>
      </c>
      <c r="F36" t="s">
        <v>1075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1091</v>
      </c>
      <c r="B37" t="s">
        <v>26</v>
      </c>
      <c r="C37">
        <v>31</v>
      </c>
      <c r="D37">
        <v>10</v>
      </c>
      <c r="E37" t="s">
        <v>1092</v>
      </c>
      <c r="F37" t="s">
        <v>1075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1093</v>
      </c>
      <c r="B38" t="s">
        <v>26</v>
      </c>
      <c r="C38">
        <v>37</v>
      </c>
      <c r="D38">
        <v>15</v>
      </c>
      <c r="E38" t="s">
        <v>744</v>
      </c>
      <c r="F38" t="s">
        <v>1075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1094</v>
      </c>
      <c r="B39" t="s">
        <v>26</v>
      </c>
      <c r="C39">
        <v>24</v>
      </c>
      <c r="D39">
        <v>0</v>
      </c>
      <c r="E39" t="s">
        <v>62</v>
      </c>
      <c r="F39" t="s">
        <v>1075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1095</v>
      </c>
      <c r="B46" t="s">
        <v>31</v>
      </c>
      <c r="C46">
        <v>30</v>
      </c>
      <c r="D46">
        <v>9</v>
      </c>
      <c r="E46" t="s">
        <v>248</v>
      </c>
      <c r="F46" t="s">
        <v>1075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1096</v>
      </c>
      <c r="B47" t="s">
        <v>31</v>
      </c>
      <c r="C47">
        <v>33</v>
      </c>
      <c r="D47">
        <v>11</v>
      </c>
      <c r="E47" t="s">
        <v>240</v>
      </c>
      <c r="F47" t="s">
        <v>1075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1097</v>
      </c>
      <c r="B48" t="s">
        <v>31</v>
      </c>
      <c r="C48">
        <v>25</v>
      </c>
      <c r="D48">
        <v>2</v>
      </c>
      <c r="E48" t="s">
        <v>418</v>
      </c>
      <c r="F48" t="s">
        <v>1075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1098</v>
      </c>
      <c r="B49" t="s">
        <v>31</v>
      </c>
      <c r="C49">
        <v>25</v>
      </c>
      <c r="D49">
        <v>5</v>
      </c>
      <c r="E49" t="s">
        <v>153</v>
      </c>
      <c r="F49" t="s">
        <v>1075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1099</v>
      </c>
      <c r="B50" t="s">
        <v>31</v>
      </c>
      <c r="C50">
        <v>22</v>
      </c>
      <c r="D50">
        <v>2</v>
      </c>
      <c r="E50" t="s">
        <v>1100</v>
      </c>
      <c r="F50" t="s">
        <v>1075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1101</v>
      </c>
      <c r="B51" t="s">
        <v>31</v>
      </c>
      <c r="C51">
        <v>26</v>
      </c>
      <c r="D51">
        <v>3</v>
      </c>
      <c r="E51" t="s">
        <v>89</v>
      </c>
      <c r="F51" t="s">
        <v>1075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1102</v>
      </c>
      <c r="B52" t="s">
        <v>31</v>
      </c>
      <c r="C52">
        <v>26</v>
      </c>
      <c r="D52">
        <v>3</v>
      </c>
      <c r="E52" t="s">
        <v>1065</v>
      </c>
      <c r="F52" t="s">
        <v>1075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53" spans="1:28" x14ac:dyDescent="0.25">
      <c r="A53" t="s">
        <v>1103</v>
      </c>
      <c r="B53" t="s">
        <v>31</v>
      </c>
      <c r="C53">
        <v>23</v>
      </c>
      <c r="D53">
        <v>2</v>
      </c>
      <c r="E53" t="s">
        <v>173</v>
      </c>
      <c r="F53" t="s">
        <v>1075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f>($J53*Cp_yd)+($K53*Cp_td)+($L53*Cint)+($M53*Ccar)+($N53*Cr_td)+($O53*Cr_yd)+(Q53*Crec)+($R53*Crec_yd)+($S53*Crec_td)+($T53*Cfmb)+($U53*Ctp_c)</f>
        <v>0</v>
      </c>
    </row>
    <row r="54" spans="1:28" x14ac:dyDescent="0.25">
      <c r="A54" t="s">
        <v>1104</v>
      </c>
      <c r="B54" t="s">
        <v>31</v>
      </c>
      <c r="C54">
        <v>31</v>
      </c>
      <c r="D54">
        <v>9</v>
      </c>
      <c r="E54" t="s">
        <v>68</v>
      </c>
      <c r="F54" t="s">
        <v>1075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f>($J54*Cp_yd)+($K54*Cp_td)+($L54*Cint)+($M54*Ccar)+($N54*Cr_td)+($O54*Cr_yd)+(Q54*Crec)+($R54*Crec_yd)+($S54*Crec_td)+($T54*Cfmb)+($U54*Ctp_c)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1105</v>
      </c>
      <c r="B61" t="s">
        <v>43</v>
      </c>
      <c r="C61">
        <v>30</v>
      </c>
      <c r="D61">
        <v>10</v>
      </c>
      <c r="E61" t="s">
        <v>280</v>
      </c>
      <c r="F61" t="s">
        <v>1075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1106</v>
      </c>
      <c r="B62" t="s">
        <v>43</v>
      </c>
      <c r="C62">
        <v>30</v>
      </c>
      <c r="D62">
        <v>6</v>
      </c>
      <c r="E62" t="s">
        <v>1107</v>
      </c>
      <c r="F62" t="s">
        <v>1075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1108</v>
      </c>
      <c r="B63" t="s">
        <v>43</v>
      </c>
      <c r="C63">
        <v>30</v>
      </c>
      <c r="D63">
        <v>7</v>
      </c>
      <c r="E63" t="s">
        <v>1109</v>
      </c>
      <c r="F63" t="s">
        <v>1075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1110</v>
      </c>
      <c r="B64" t="s">
        <v>43</v>
      </c>
      <c r="C64">
        <v>30</v>
      </c>
      <c r="D64">
        <v>9</v>
      </c>
      <c r="E64" t="s">
        <v>397</v>
      </c>
      <c r="F64" t="s">
        <v>1075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1111</v>
      </c>
      <c r="B65" t="s">
        <v>43</v>
      </c>
      <c r="C65">
        <v>27</v>
      </c>
      <c r="D65">
        <v>1</v>
      </c>
      <c r="E65" t="s">
        <v>218</v>
      </c>
      <c r="F65" t="s">
        <v>1075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1112</v>
      </c>
      <c r="B66" t="s">
        <v>43</v>
      </c>
      <c r="C66">
        <v>26</v>
      </c>
      <c r="D66">
        <v>5</v>
      </c>
      <c r="E66" t="s">
        <v>1113</v>
      </c>
      <c r="F66" t="s">
        <v>1075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1114</v>
      </c>
      <c r="B67" t="s">
        <v>43</v>
      </c>
      <c r="C67">
        <v>27</v>
      </c>
      <c r="D67">
        <v>5</v>
      </c>
      <c r="E67" t="s">
        <v>458</v>
      </c>
      <c r="F67" t="s">
        <v>1075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1115</v>
      </c>
      <c r="B68" t="s">
        <v>43</v>
      </c>
      <c r="C68">
        <v>27</v>
      </c>
      <c r="D68">
        <v>6</v>
      </c>
      <c r="E68" t="s">
        <v>153</v>
      </c>
      <c r="F68" t="s">
        <v>1075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1116</v>
      </c>
      <c r="B69" t="s">
        <v>43</v>
      </c>
      <c r="C69">
        <v>22</v>
      </c>
      <c r="D69">
        <v>0</v>
      </c>
      <c r="E69" t="s">
        <v>136</v>
      </c>
      <c r="F69" t="s">
        <v>1075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1117</v>
      </c>
      <c r="B70" t="s">
        <v>43</v>
      </c>
      <c r="C70">
        <v>26</v>
      </c>
      <c r="D70">
        <v>1</v>
      </c>
      <c r="E70" t="s">
        <v>1118</v>
      </c>
      <c r="F70" t="s">
        <v>1075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1119</v>
      </c>
      <c r="B71" t="s">
        <v>43</v>
      </c>
      <c r="C71">
        <v>26</v>
      </c>
      <c r="D71">
        <v>4</v>
      </c>
      <c r="E71" t="s">
        <v>549</v>
      </c>
      <c r="F71" t="s">
        <v>1075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1120</v>
      </c>
      <c r="B76" t="s">
        <v>38</v>
      </c>
      <c r="C76">
        <v>25</v>
      </c>
      <c r="D76">
        <v>1</v>
      </c>
      <c r="E76" t="s">
        <v>207</v>
      </c>
      <c r="F76" t="s">
        <v>1075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1121</v>
      </c>
      <c r="B77" t="s">
        <v>38</v>
      </c>
      <c r="C77">
        <v>29</v>
      </c>
      <c r="D77">
        <v>7</v>
      </c>
      <c r="E77" t="s">
        <v>272</v>
      </c>
      <c r="F77" t="s">
        <v>1075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1122</v>
      </c>
      <c r="B78" t="s">
        <v>38</v>
      </c>
      <c r="C78">
        <v>28</v>
      </c>
      <c r="D78">
        <v>8</v>
      </c>
      <c r="E78" t="s">
        <v>102</v>
      </c>
      <c r="F78" t="s">
        <v>1075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1123</v>
      </c>
      <c r="B79" t="s">
        <v>38</v>
      </c>
      <c r="C79">
        <v>26</v>
      </c>
      <c r="D79">
        <v>4</v>
      </c>
      <c r="E79" t="s">
        <v>415</v>
      </c>
      <c r="F79" t="s">
        <v>1075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1124</v>
      </c>
      <c r="B80" t="s">
        <v>38</v>
      </c>
      <c r="C80">
        <v>22</v>
      </c>
      <c r="D80">
        <v>0</v>
      </c>
      <c r="E80" t="s">
        <v>362</v>
      </c>
      <c r="F80" t="s">
        <v>1075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1125</v>
      </c>
      <c r="B81" t="s">
        <v>38</v>
      </c>
      <c r="C81">
        <v>24</v>
      </c>
      <c r="D81">
        <v>0</v>
      </c>
      <c r="E81" t="s">
        <v>464</v>
      </c>
      <c r="F81" t="s">
        <v>1075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1126</v>
      </c>
      <c r="B2" t="s">
        <v>1127</v>
      </c>
      <c r="C2" t="s">
        <v>115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6</v>
      </c>
      <c r="K2">
        <v>8</v>
      </c>
      <c r="L2">
        <v>1</v>
      </c>
      <c r="M2">
        <v>23</v>
      </c>
      <c r="N2">
        <v>15</v>
      </c>
      <c r="O2">
        <v>105</v>
      </c>
      <c r="P2">
        <v>1</v>
      </c>
      <c r="Q2">
        <v>0</v>
      </c>
      <c r="R2">
        <v>0</v>
      </c>
      <c r="S2">
        <v>38.299999999999997</v>
      </c>
      <c r="T2">
        <v>3.9249146757679203E-2</v>
      </c>
      <c r="U2">
        <v>1.3333333333333299</v>
      </c>
      <c r="V2">
        <v>7</v>
      </c>
    </row>
    <row r="3" spans="1:24" x14ac:dyDescent="0.25">
      <c r="A3" t="s">
        <v>1128</v>
      </c>
      <c r="B3" t="s">
        <v>1127</v>
      </c>
      <c r="C3" t="s">
        <v>26</v>
      </c>
      <c r="D3">
        <v>7</v>
      </c>
      <c r="E3">
        <v>105</v>
      </c>
      <c r="F3">
        <v>60</v>
      </c>
      <c r="G3">
        <v>534</v>
      </c>
      <c r="H3">
        <v>1</v>
      </c>
      <c r="I3">
        <v>3</v>
      </c>
      <c r="J3">
        <v>14</v>
      </c>
      <c r="K3">
        <v>21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17.46</v>
      </c>
      <c r="T3">
        <v>0</v>
      </c>
      <c r="U3">
        <v>1.5</v>
      </c>
      <c r="W3">
        <v>0.57142857142857095</v>
      </c>
      <c r="X3">
        <v>9.5238095238095195E-3</v>
      </c>
    </row>
    <row r="4" spans="1:24" x14ac:dyDescent="0.25">
      <c r="A4" t="s">
        <v>1129</v>
      </c>
      <c r="B4" t="s">
        <v>1127</v>
      </c>
      <c r="C4" t="s">
        <v>26</v>
      </c>
      <c r="D4">
        <v>5</v>
      </c>
      <c r="E4">
        <v>79</v>
      </c>
      <c r="F4">
        <v>49</v>
      </c>
      <c r="G4">
        <v>683</v>
      </c>
      <c r="H4">
        <v>4</v>
      </c>
      <c r="I4">
        <v>4</v>
      </c>
      <c r="J4">
        <v>3</v>
      </c>
      <c r="K4">
        <v>27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38.020000000000003</v>
      </c>
      <c r="T4">
        <v>0</v>
      </c>
      <c r="U4">
        <v>9</v>
      </c>
      <c r="W4">
        <v>0.620253164556962</v>
      </c>
      <c r="X4">
        <v>5.0632911392405097E-2</v>
      </c>
    </row>
    <row r="5" spans="1:24" x14ac:dyDescent="0.25">
      <c r="A5" t="s">
        <v>1130</v>
      </c>
      <c r="B5" t="s">
        <v>1127</v>
      </c>
      <c r="C5" t="s">
        <v>26</v>
      </c>
      <c r="D5">
        <v>13</v>
      </c>
      <c r="E5">
        <v>400</v>
      </c>
      <c r="F5">
        <v>259</v>
      </c>
      <c r="G5">
        <v>3548</v>
      </c>
      <c r="H5">
        <v>25</v>
      </c>
      <c r="I5">
        <v>8</v>
      </c>
      <c r="J5">
        <v>24</v>
      </c>
      <c r="K5">
        <v>70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230.92</v>
      </c>
      <c r="T5">
        <v>0</v>
      </c>
      <c r="U5">
        <v>2.9166666666666701</v>
      </c>
      <c r="W5">
        <v>0.64749999999999996</v>
      </c>
      <c r="X5">
        <v>6.25E-2</v>
      </c>
    </row>
    <row r="6" spans="1:24" x14ac:dyDescent="0.25">
      <c r="A6" t="s">
        <v>586</v>
      </c>
      <c r="B6" t="s">
        <v>1127</v>
      </c>
      <c r="C6" t="s">
        <v>31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120</v>
      </c>
      <c r="L6">
        <v>2</v>
      </c>
      <c r="M6">
        <v>17</v>
      </c>
      <c r="N6">
        <v>10</v>
      </c>
      <c r="O6">
        <v>96</v>
      </c>
      <c r="P6">
        <v>1</v>
      </c>
      <c r="Q6">
        <v>0</v>
      </c>
      <c r="R6">
        <v>0</v>
      </c>
      <c r="S6">
        <v>49.6</v>
      </c>
      <c r="T6">
        <v>2.90102389078498E-2</v>
      </c>
      <c r="U6">
        <v>2.8571428571428599</v>
      </c>
      <c r="V6">
        <v>9.6</v>
      </c>
    </row>
    <row r="7" spans="1:24" x14ac:dyDescent="0.25">
      <c r="A7" t="s">
        <v>1131</v>
      </c>
      <c r="B7" t="s">
        <v>1127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84</v>
      </c>
      <c r="K7">
        <v>392</v>
      </c>
      <c r="L7">
        <v>3</v>
      </c>
      <c r="M7">
        <v>24</v>
      </c>
      <c r="N7">
        <v>12</v>
      </c>
      <c r="O7">
        <v>94</v>
      </c>
      <c r="P7">
        <v>1</v>
      </c>
      <c r="Q7">
        <v>0</v>
      </c>
      <c r="R7">
        <v>0</v>
      </c>
      <c r="S7">
        <v>84.6</v>
      </c>
      <c r="T7">
        <v>4.0955631399317398E-2</v>
      </c>
      <c r="U7">
        <v>4.6666666666666696</v>
      </c>
      <c r="V7">
        <v>7.8333333333333304</v>
      </c>
    </row>
    <row r="8" spans="1:24" x14ac:dyDescent="0.25">
      <c r="A8" t="s">
        <v>1132</v>
      </c>
      <c r="B8" t="s">
        <v>1127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26</v>
      </c>
      <c r="L8">
        <v>0</v>
      </c>
      <c r="M8">
        <v>6</v>
      </c>
      <c r="N8">
        <v>4</v>
      </c>
      <c r="O8">
        <v>28</v>
      </c>
      <c r="P8">
        <v>0</v>
      </c>
      <c r="Q8">
        <v>0</v>
      </c>
      <c r="R8">
        <v>0</v>
      </c>
      <c r="S8">
        <v>9.4</v>
      </c>
      <c r="T8">
        <v>1.02389078498294E-2</v>
      </c>
      <c r="U8">
        <v>2.6</v>
      </c>
      <c r="V8">
        <v>7</v>
      </c>
    </row>
    <row r="9" spans="1:24" x14ac:dyDescent="0.25">
      <c r="A9" t="s">
        <v>1133</v>
      </c>
      <c r="B9" t="s">
        <v>1127</v>
      </c>
      <c r="C9" t="s">
        <v>31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181</v>
      </c>
      <c r="K9">
        <v>891</v>
      </c>
      <c r="L9">
        <v>3</v>
      </c>
      <c r="M9">
        <v>42</v>
      </c>
      <c r="N9">
        <v>31</v>
      </c>
      <c r="O9">
        <v>202</v>
      </c>
      <c r="P9">
        <v>2</v>
      </c>
      <c r="Q9">
        <v>1</v>
      </c>
      <c r="R9">
        <v>0</v>
      </c>
      <c r="S9">
        <v>168.3</v>
      </c>
      <c r="T9">
        <v>7.16723549488055E-2</v>
      </c>
      <c r="U9">
        <v>4.9226519337016601</v>
      </c>
      <c r="V9">
        <v>6.5161290322580596</v>
      </c>
    </row>
    <row r="10" spans="1:24" x14ac:dyDescent="0.25">
      <c r="A10" t="s">
        <v>1134</v>
      </c>
      <c r="B10" t="s">
        <v>1127</v>
      </c>
      <c r="C10" t="s">
        <v>31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12</v>
      </c>
      <c r="K10">
        <v>64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14.2</v>
      </c>
      <c r="T10">
        <v>1.70648464163823E-3</v>
      </c>
      <c r="U10">
        <v>5.3333333333333304</v>
      </c>
      <c r="V10">
        <v>8</v>
      </c>
    </row>
    <row r="11" spans="1:24" x14ac:dyDescent="0.25">
      <c r="A11" t="s">
        <v>1135</v>
      </c>
      <c r="B11" t="s">
        <v>1127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1</v>
      </c>
      <c r="L11">
        <v>1</v>
      </c>
      <c r="M11">
        <v>20</v>
      </c>
      <c r="N11">
        <v>15</v>
      </c>
      <c r="O11">
        <v>129</v>
      </c>
      <c r="P11">
        <v>1</v>
      </c>
      <c r="Q11">
        <v>0</v>
      </c>
      <c r="R11">
        <v>0</v>
      </c>
      <c r="S11">
        <v>40</v>
      </c>
      <c r="T11">
        <v>3.4129692832764499E-2</v>
      </c>
      <c r="U11">
        <v>0.5</v>
      </c>
      <c r="V11">
        <v>8.6</v>
      </c>
    </row>
    <row r="12" spans="1:24" x14ac:dyDescent="0.25">
      <c r="A12" t="s">
        <v>1136</v>
      </c>
      <c r="B12" t="s">
        <v>1127</v>
      </c>
      <c r="C12" t="s">
        <v>38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52</v>
      </c>
      <c r="N12">
        <v>32</v>
      </c>
      <c r="O12">
        <v>362</v>
      </c>
      <c r="P12">
        <v>5</v>
      </c>
      <c r="Q12">
        <v>0</v>
      </c>
      <c r="R12">
        <v>0</v>
      </c>
      <c r="S12">
        <v>98.2</v>
      </c>
      <c r="T12">
        <v>8.8737201365187701E-2</v>
      </c>
      <c r="V12">
        <v>11.3125</v>
      </c>
    </row>
    <row r="13" spans="1:24" x14ac:dyDescent="0.25">
      <c r="A13" t="s">
        <v>1137</v>
      </c>
      <c r="B13" t="s">
        <v>1127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17</v>
      </c>
      <c r="P13">
        <v>0</v>
      </c>
      <c r="Q13">
        <v>0</v>
      </c>
      <c r="R13">
        <v>0</v>
      </c>
      <c r="S13">
        <v>1.7</v>
      </c>
      <c r="T13">
        <v>5.1194539249146799E-3</v>
      </c>
      <c r="V13">
        <v>8.5</v>
      </c>
    </row>
    <row r="14" spans="1:24" x14ac:dyDescent="0.25">
      <c r="A14" t="s">
        <v>1138</v>
      </c>
      <c r="B14" t="s">
        <v>1127</v>
      </c>
      <c r="C14" t="s">
        <v>43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8</v>
      </c>
      <c r="L14">
        <v>0</v>
      </c>
      <c r="M14">
        <v>18</v>
      </c>
      <c r="N14">
        <v>12</v>
      </c>
      <c r="O14">
        <v>136</v>
      </c>
      <c r="P14">
        <v>0</v>
      </c>
      <c r="Q14">
        <v>0</v>
      </c>
      <c r="R14">
        <v>0</v>
      </c>
      <c r="S14">
        <v>26.4</v>
      </c>
      <c r="T14">
        <v>3.0716723549488099E-2</v>
      </c>
      <c r="U14">
        <v>8</v>
      </c>
      <c r="V14">
        <v>11.3333333333333</v>
      </c>
    </row>
    <row r="15" spans="1:24" x14ac:dyDescent="0.25">
      <c r="A15" t="s">
        <v>1139</v>
      </c>
      <c r="B15" t="s">
        <v>1127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3</v>
      </c>
      <c r="P15">
        <v>0</v>
      </c>
      <c r="Q15">
        <v>0</v>
      </c>
      <c r="R15">
        <v>0</v>
      </c>
      <c r="S15">
        <v>1.3</v>
      </c>
      <c r="T15">
        <v>1.70648464163823E-3</v>
      </c>
      <c r="V15">
        <v>3</v>
      </c>
    </row>
    <row r="16" spans="1:24" x14ac:dyDescent="0.25">
      <c r="A16" t="s">
        <v>1140</v>
      </c>
      <c r="B16" t="s">
        <v>1127</v>
      </c>
      <c r="C16" t="s">
        <v>43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26</v>
      </c>
      <c r="L16">
        <v>0</v>
      </c>
      <c r="M16">
        <v>117</v>
      </c>
      <c r="N16">
        <v>75</v>
      </c>
      <c r="O16">
        <v>1356</v>
      </c>
      <c r="P16">
        <v>8</v>
      </c>
      <c r="Q16">
        <v>0</v>
      </c>
      <c r="R16">
        <v>0</v>
      </c>
      <c r="S16">
        <v>259.2</v>
      </c>
      <c r="T16">
        <v>0.19965870307167199</v>
      </c>
      <c r="U16">
        <v>8.6666666666666696</v>
      </c>
      <c r="V16">
        <v>18.079999999999998</v>
      </c>
    </row>
    <row r="17" spans="1:22" x14ac:dyDescent="0.25">
      <c r="A17" t="s">
        <v>1141</v>
      </c>
      <c r="B17" t="s">
        <v>1127</v>
      </c>
      <c r="C17" t="s">
        <v>43</v>
      </c>
      <c r="D17">
        <v>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9</v>
      </c>
      <c r="O17">
        <v>102</v>
      </c>
      <c r="P17">
        <v>2</v>
      </c>
      <c r="Q17">
        <v>0</v>
      </c>
      <c r="R17">
        <v>0</v>
      </c>
      <c r="S17">
        <v>31.2</v>
      </c>
      <c r="T17">
        <v>2.38907849829352E-2</v>
      </c>
      <c r="V17">
        <v>11.3333333333333</v>
      </c>
    </row>
    <row r="18" spans="1:22" x14ac:dyDescent="0.25">
      <c r="A18" t="s">
        <v>1142</v>
      </c>
      <c r="B18" t="s">
        <v>1127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5.1194539249146799E-3</v>
      </c>
    </row>
    <row r="19" spans="1:22" x14ac:dyDescent="0.25">
      <c r="A19" t="s">
        <v>1143</v>
      </c>
      <c r="B19" t="s">
        <v>1127</v>
      </c>
      <c r="C19" t="s">
        <v>43</v>
      </c>
      <c r="D19">
        <v>17</v>
      </c>
      <c r="E19">
        <v>0</v>
      </c>
      <c r="F19">
        <v>0</v>
      </c>
      <c r="G19">
        <v>0</v>
      </c>
      <c r="H19">
        <v>0</v>
      </c>
      <c r="I19">
        <v>0</v>
      </c>
      <c r="J19">
        <v>7</v>
      </c>
      <c r="K19">
        <v>32</v>
      </c>
      <c r="L19">
        <v>1</v>
      </c>
      <c r="M19">
        <v>170</v>
      </c>
      <c r="N19">
        <v>119</v>
      </c>
      <c r="O19">
        <v>1710</v>
      </c>
      <c r="P19">
        <v>7</v>
      </c>
      <c r="Q19">
        <v>0</v>
      </c>
      <c r="R19">
        <v>0</v>
      </c>
      <c r="S19">
        <v>341.2</v>
      </c>
      <c r="T19">
        <v>0.290102389078498</v>
      </c>
      <c r="U19">
        <v>4.5714285714285703</v>
      </c>
      <c r="V19">
        <v>14.3697478991597</v>
      </c>
    </row>
    <row r="20" spans="1:22" x14ac:dyDescent="0.25">
      <c r="A20" t="s">
        <v>1144</v>
      </c>
      <c r="B20" t="s">
        <v>1127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51</v>
      </c>
      <c r="N20">
        <v>30</v>
      </c>
      <c r="O20">
        <v>417</v>
      </c>
      <c r="P20">
        <v>2</v>
      </c>
      <c r="Q20">
        <v>0</v>
      </c>
      <c r="R20">
        <v>0</v>
      </c>
      <c r="S20">
        <v>83.7</v>
      </c>
      <c r="T20">
        <v>8.7030716723549506E-2</v>
      </c>
      <c r="V20">
        <v>13.9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1127</v>
      </c>
      <c r="B31">
        <v>6451</v>
      </c>
      <c r="C31">
        <v>4765</v>
      </c>
      <c r="D31">
        <v>389</v>
      </c>
      <c r="E31">
        <v>1686</v>
      </c>
      <c r="F31">
        <v>12</v>
      </c>
      <c r="G31">
        <v>1533.7</v>
      </c>
      <c r="H31">
        <v>584</v>
      </c>
      <c r="I31">
        <v>0.63013698630137005</v>
      </c>
      <c r="J31">
        <v>30</v>
      </c>
      <c r="K31">
        <v>15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MIA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1145</v>
      </c>
      <c r="B36" t="s">
        <v>26</v>
      </c>
      <c r="C36">
        <v>25</v>
      </c>
      <c r="D36">
        <v>4</v>
      </c>
      <c r="E36" t="s">
        <v>153</v>
      </c>
      <c r="F36" t="s">
        <v>1127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1146</v>
      </c>
      <c r="B37" t="s">
        <v>26</v>
      </c>
      <c r="C37">
        <v>26</v>
      </c>
      <c r="D37">
        <v>2</v>
      </c>
      <c r="E37" t="s">
        <v>559</v>
      </c>
      <c r="F37" t="s">
        <v>1127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1147</v>
      </c>
      <c r="B38" t="s">
        <v>26</v>
      </c>
      <c r="C38">
        <v>28</v>
      </c>
      <c r="D38">
        <v>5</v>
      </c>
      <c r="E38" t="s">
        <v>1068</v>
      </c>
      <c r="F38" t="s">
        <v>1127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1148</v>
      </c>
      <c r="B46" t="s">
        <v>31</v>
      </c>
      <c r="C46">
        <v>21</v>
      </c>
      <c r="D46">
        <v>0</v>
      </c>
      <c r="E46" t="s">
        <v>307</v>
      </c>
      <c r="F46" t="s">
        <v>1127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1149</v>
      </c>
      <c r="B47" t="s">
        <v>31</v>
      </c>
      <c r="C47">
        <v>24</v>
      </c>
      <c r="D47">
        <v>4</v>
      </c>
      <c r="E47" t="s">
        <v>86</v>
      </c>
      <c r="F47" t="s">
        <v>1127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1150</v>
      </c>
      <c r="B48" t="s">
        <v>31</v>
      </c>
      <c r="C48">
        <v>23</v>
      </c>
      <c r="D48">
        <v>0</v>
      </c>
      <c r="E48" t="s">
        <v>82</v>
      </c>
      <c r="F48" t="s">
        <v>1127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1151</v>
      </c>
      <c r="B49" t="s">
        <v>31</v>
      </c>
      <c r="C49">
        <v>26</v>
      </c>
      <c r="D49">
        <v>5</v>
      </c>
      <c r="E49" t="s">
        <v>86</v>
      </c>
      <c r="F49" t="s">
        <v>1127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1152</v>
      </c>
      <c r="B50" t="s">
        <v>31</v>
      </c>
      <c r="C50">
        <v>31</v>
      </c>
      <c r="D50">
        <v>9</v>
      </c>
      <c r="E50" t="s">
        <v>62</v>
      </c>
      <c r="F50" t="s">
        <v>1127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1153</v>
      </c>
      <c r="B51" t="s">
        <v>31</v>
      </c>
      <c r="C51">
        <v>26</v>
      </c>
      <c r="D51">
        <v>6</v>
      </c>
      <c r="E51" t="s">
        <v>508</v>
      </c>
      <c r="F51" t="s">
        <v>1127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1154</v>
      </c>
      <c r="B61" t="s">
        <v>43</v>
      </c>
      <c r="C61">
        <v>27</v>
      </c>
      <c r="D61">
        <v>6</v>
      </c>
      <c r="E61" t="s">
        <v>397</v>
      </c>
      <c r="F61" t="s">
        <v>1127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1155</v>
      </c>
      <c r="B62" t="s">
        <v>43</v>
      </c>
      <c r="C62">
        <v>30</v>
      </c>
      <c r="D62">
        <v>8</v>
      </c>
      <c r="E62" t="s">
        <v>391</v>
      </c>
      <c r="F62" t="s">
        <v>1127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1156</v>
      </c>
      <c r="B63" t="s">
        <v>43</v>
      </c>
      <c r="C63">
        <v>24</v>
      </c>
      <c r="D63">
        <v>0</v>
      </c>
      <c r="E63" t="s">
        <v>629</v>
      </c>
      <c r="F63" t="s">
        <v>1127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1157</v>
      </c>
      <c r="B64" t="s">
        <v>43</v>
      </c>
      <c r="C64">
        <v>26</v>
      </c>
      <c r="D64">
        <v>5</v>
      </c>
      <c r="E64" t="s">
        <v>511</v>
      </c>
      <c r="F64" t="s">
        <v>1127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1158</v>
      </c>
      <c r="B65" t="s">
        <v>43</v>
      </c>
      <c r="C65">
        <v>28</v>
      </c>
      <c r="D65">
        <v>5</v>
      </c>
      <c r="E65" t="s">
        <v>294</v>
      </c>
      <c r="F65" t="s">
        <v>1127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1159</v>
      </c>
      <c r="B66" t="s">
        <v>43</v>
      </c>
      <c r="C66">
        <v>24</v>
      </c>
      <c r="D66">
        <v>0</v>
      </c>
      <c r="E66" t="s">
        <v>1068</v>
      </c>
      <c r="F66" t="s">
        <v>1127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1160</v>
      </c>
      <c r="B67" t="s">
        <v>43</v>
      </c>
      <c r="C67">
        <v>23</v>
      </c>
      <c r="D67">
        <v>2</v>
      </c>
      <c r="E67" t="s">
        <v>511</v>
      </c>
      <c r="F67" t="s">
        <v>1127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1161</v>
      </c>
      <c r="B68" t="s">
        <v>43</v>
      </c>
      <c r="C68">
        <v>29</v>
      </c>
      <c r="D68">
        <v>8</v>
      </c>
      <c r="E68" t="s">
        <v>1162</v>
      </c>
      <c r="F68" t="s">
        <v>1127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1163</v>
      </c>
      <c r="B69" t="s">
        <v>43</v>
      </c>
      <c r="C69">
        <v>24</v>
      </c>
      <c r="D69">
        <v>1</v>
      </c>
      <c r="E69" t="s">
        <v>240</v>
      </c>
      <c r="F69" t="s">
        <v>1127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1164</v>
      </c>
      <c r="B70" t="s">
        <v>43</v>
      </c>
      <c r="C70">
        <v>24</v>
      </c>
      <c r="D70">
        <v>3</v>
      </c>
      <c r="E70" t="s">
        <v>153</v>
      </c>
      <c r="F70" t="s">
        <v>1127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1165</v>
      </c>
      <c r="B71" t="s">
        <v>43</v>
      </c>
      <c r="C71">
        <v>28</v>
      </c>
      <c r="D71">
        <v>6</v>
      </c>
      <c r="E71" t="s">
        <v>296</v>
      </c>
      <c r="F71" t="s">
        <v>1127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1166</v>
      </c>
      <c r="B76" t="s">
        <v>38</v>
      </c>
      <c r="C76">
        <v>25</v>
      </c>
      <c r="D76">
        <v>2</v>
      </c>
      <c r="E76" t="s">
        <v>1167</v>
      </c>
      <c r="F76" t="s">
        <v>1127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1168</v>
      </c>
      <c r="B77" t="s">
        <v>38</v>
      </c>
      <c r="C77">
        <v>22</v>
      </c>
      <c r="D77">
        <v>0</v>
      </c>
      <c r="E77" t="s">
        <v>102</v>
      </c>
      <c r="F77" t="s">
        <v>1127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1169</v>
      </c>
      <c r="B78" t="s">
        <v>38</v>
      </c>
      <c r="C78">
        <v>23</v>
      </c>
      <c r="D78">
        <v>0</v>
      </c>
      <c r="E78" t="s">
        <v>1170</v>
      </c>
      <c r="F78" t="s">
        <v>1127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1171</v>
      </c>
      <c r="B79" t="s">
        <v>38</v>
      </c>
      <c r="C79">
        <v>30</v>
      </c>
      <c r="D79">
        <v>9</v>
      </c>
      <c r="E79" t="s">
        <v>215</v>
      </c>
      <c r="F79" t="s">
        <v>1127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1172</v>
      </c>
      <c r="B80" t="s">
        <v>38</v>
      </c>
      <c r="C80">
        <v>29</v>
      </c>
      <c r="D80">
        <v>6</v>
      </c>
      <c r="E80" t="s">
        <v>1173</v>
      </c>
      <c r="F80" t="s">
        <v>1127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1174</v>
      </c>
      <c r="B81" t="s">
        <v>38</v>
      </c>
      <c r="C81">
        <v>28</v>
      </c>
      <c r="D81">
        <v>6</v>
      </c>
      <c r="E81" t="s">
        <v>362</v>
      </c>
      <c r="F81" t="s">
        <v>1127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topLeftCell="H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1175</v>
      </c>
      <c r="B2" t="s">
        <v>1176</v>
      </c>
      <c r="C2" t="s">
        <v>115</v>
      </c>
      <c r="D2">
        <v>9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7</v>
      </c>
      <c r="L2">
        <v>2</v>
      </c>
      <c r="M2">
        <v>12</v>
      </c>
      <c r="N2">
        <v>10</v>
      </c>
      <c r="O2">
        <v>86</v>
      </c>
      <c r="P2">
        <v>0</v>
      </c>
      <c r="Q2">
        <v>0</v>
      </c>
      <c r="R2">
        <v>0</v>
      </c>
      <c r="S2">
        <v>31.3</v>
      </c>
      <c r="T2">
        <v>2.0547945205479499E-2</v>
      </c>
      <c r="U2">
        <v>1.75</v>
      </c>
      <c r="V2">
        <v>8.6</v>
      </c>
    </row>
    <row r="3" spans="1:24" x14ac:dyDescent="0.25">
      <c r="A3" t="s">
        <v>1177</v>
      </c>
      <c r="B3" t="s">
        <v>1176</v>
      </c>
      <c r="C3" t="s">
        <v>26</v>
      </c>
      <c r="D3">
        <v>17</v>
      </c>
      <c r="E3">
        <v>643</v>
      </c>
      <c r="F3">
        <v>424</v>
      </c>
      <c r="G3">
        <v>4547</v>
      </c>
      <c r="H3">
        <v>29</v>
      </c>
      <c r="I3">
        <v>14</v>
      </c>
      <c r="J3">
        <v>31</v>
      </c>
      <c r="K3">
        <v>97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291.58</v>
      </c>
      <c r="T3">
        <v>0</v>
      </c>
      <c r="U3">
        <v>3.12903225806452</v>
      </c>
      <c r="W3">
        <v>0.65940902021772896</v>
      </c>
      <c r="X3">
        <v>4.5101088646967297E-2</v>
      </c>
    </row>
    <row r="4" spans="1:24" x14ac:dyDescent="0.25">
      <c r="A4" t="s">
        <v>1178</v>
      </c>
      <c r="B4" t="s">
        <v>1176</v>
      </c>
      <c r="C4" t="s">
        <v>26</v>
      </c>
      <c r="D4">
        <v>4</v>
      </c>
      <c r="E4">
        <v>25</v>
      </c>
      <c r="F4">
        <v>21</v>
      </c>
      <c r="G4">
        <v>224</v>
      </c>
      <c r="H4">
        <v>1</v>
      </c>
      <c r="I4">
        <v>1</v>
      </c>
      <c r="J4">
        <v>4</v>
      </c>
      <c r="K4">
        <v>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11.76</v>
      </c>
      <c r="T4">
        <v>0</v>
      </c>
      <c r="U4">
        <v>2</v>
      </c>
      <c r="W4">
        <v>0.84</v>
      </c>
      <c r="X4">
        <v>0.04</v>
      </c>
    </row>
    <row r="5" spans="1:24" x14ac:dyDescent="0.25">
      <c r="A5" t="s">
        <v>1179</v>
      </c>
      <c r="B5" t="s">
        <v>1176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74</v>
      </c>
      <c r="K5">
        <v>283</v>
      </c>
      <c r="L5">
        <v>5</v>
      </c>
      <c r="M5">
        <v>18</v>
      </c>
      <c r="N5">
        <v>15</v>
      </c>
      <c r="O5">
        <v>91</v>
      </c>
      <c r="P5">
        <v>1</v>
      </c>
      <c r="Q5">
        <v>0</v>
      </c>
      <c r="R5">
        <v>0</v>
      </c>
      <c r="S5">
        <v>88.4</v>
      </c>
      <c r="T5">
        <v>3.0821917808219201E-2</v>
      </c>
      <c r="U5">
        <v>3.8243243243243201</v>
      </c>
      <c r="V5">
        <v>6.06666666666667</v>
      </c>
    </row>
    <row r="6" spans="1:24" x14ac:dyDescent="0.25">
      <c r="A6" t="s">
        <v>1180</v>
      </c>
      <c r="B6" t="s">
        <v>1176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264</v>
      </c>
      <c r="K6">
        <v>1173</v>
      </c>
      <c r="L6">
        <v>8</v>
      </c>
      <c r="M6">
        <v>56</v>
      </c>
      <c r="N6">
        <v>39</v>
      </c>
      <c r="O6">
        <v>295</v>
      </c>
      <c r="P6">
        <v>2</v>
      </c>
      <c r="Q6">
        <v>4</v>
      </c>
      <c r="R6">
        <v>0</v>
      </c>
      <c r="S6">
        <v>237.8</v>
      </c>
      <c r="T6">
        <v>9.5890410958904104E-2</v>
      </c>
      <c r="U6">
        <v>4.4431818181818201</v>
      </c>
      <c r="V6">
        <v>7.5641025641025603</v>
      </c>
    </row>
    <row r="7" spans="1:24" x14ac:dyDescent="0.25">
      <c r="A7" t="s">
        <v>1181</v>
      </c>
      <c r="B7" t="s">
        <v>1176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9</v>
      </c>
      <c r="K7">
        <v>14</v>
      </c>
      <c r="L7">
        <v>0</v>
      </c>
      <c r="M7">
        <v>2</v>
      </c>
      <c r="N7">
        <v>2</v>
      </c>
      <c r="O7">
        <v>21</v>
      </c>
      <c r="P7">
        <v>0</v>
      </c>
      <c r="Q7">
        <v>0</v>
      </c>
      <c r="R7">
        <v>0</v>
      </c>
      <c r="S7">
        <v>11.5</v>
      </c>
      <c r="T7">
        <v>3.4246575342465799E-3</v>
      </c>
      <c r="U7">
        <v>1.55555555555556</v>
      </c>
      <c r="V7">
        <v>10.5</v>
      </c>
    </row>
    <row r="8" spans="1:24" x14ac:dyDescent="0.25">
      <c r="A8" t="s">
        <v>1182</v>
      </c>
      <c r="B8" t="s">
        <v>1176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20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3.3333333333333299</v>
      </c>
    </row>
    <row r="9" spans="1:24" x14ac:dyDescent="0.25">
      <c r="A9" t="s">
        <v>1183</v>
      </c>
      <c r="B9" t="s">
        <v>1176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</v>
      </c>
      <c r="N9">
        <v>3</v>
      </c>
      <c r="O9">
        <v>26</v>
      </c>
      <c r="P9">
        <v>0</v>
      </c>
      <c r="Q9">
        <v>0</v>
      </c>
      <c r="R9">
        <v>0</v>
      </c>
      <c r="S9">
        <v>5.6</v>
      </c>
      <c r="T9">
        <v>5.1369863013698601E-3</v>
      </c>
      <c r="V9">
        <v>8.6666666666666696</v>
      </c>
    </row>
    <row r="10" spans="1:24" x14ac:dyDescent="0.25">
      <c r="A10" t="s">
        <v>1184</v>
      </c>
      <c r="B10" t="s">
        <v>1176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36</v>
      </c>
      <c r="N10">
        <v>25</v>
      </c>
      <c r="O10">
        <v>182</v>
      </c>
      <c r="P10">
        <v>2</v>
      </c>
      <c r="Q10">
        <v>0</v>
      </c>
      <c r="R10">
        <v>0</v>
      </c>
      <c r="S10">
        <v>55.2</v>
      </c>
      <c r="T10">
        <v>6.1643835616438401E-2</v>
      </c>
      <c r="V10">
        <v>7.28</v>
      </c>
    </row>
    <row r="11" spans="1:24" x14ac:dyDescent="0.25">
      <c r="A11" t="s">
        <v>1185</v>
      </c>
      <c r="B11" t="s">
        <v>1176</v>
      </c>
      <c r="C11" t="s">
        <v>38</v>
      </c>
      <c r="D11">
        <v>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21</v>
      </c>
      <c r="N11">
        <v>19</v>
      </c>
      <c r="O11">
        <v>140</v>
      </c>
      <c r="P11">
        <v>1</v>
      </c>
      <c r="Q11">
        <v>0</v>
      </c>
      <c r="R11">
        <v>0</v>
      </c>
      <c r="S11">
        <v>39</v>
      </c>
      <c r="T11">
        <v>3.5958904109588997E-2</v>
      </c>
      <c r="V11">
        <v>7.3684210526315796</v>
      </c>
    </row>
    <row r="12" spans="1:24" x14ac:dyDescent="0.25">
      <c r="A12" t="s">
        <v>656</v>
      </c>
      <c r="B12" t="s">
        <v>1176</v>
      </c>
      <c r="C12" t="s">
        <v>38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86</v>
      </c>
      <c r="N12">
        <v>60</v>
      </c>
      <c r="O12">
        <v>519</v>
      </c>
      <c r="P12">
        <v>3</v>
      </c>
      <c r="Q12">
        <v>0</v>
      </c>
      <c r="R12">
        <v>0</v>
      </c>
      <c r="S12">
        <v>129.9</v>
      </c>
      <c r="T12">
        <v>0.147260273972603</v>
      </c>
      <c r="V12">
        <v>8.65</v>
      </c>
    </row>
    <row r="13" spans="1:24" x14ac:dyDescent="0.25">
      <c r="A13" t="s">
        <v>1186</v>
      </c>
      <c r="B13" t="s">
        <v>1176</v>
      </c>
      <c r="C13" t="s">
        <v>43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0</v>
      </c>
      <c r="M13">
        <v>107</v>
      </c>
      <c r="N13">
        <v>70</v>
      </c>
      <c r="O13">
        <v>716</v>
      </c>
      <c r="P13">
        <v>6</v>
      </c>
      <c r="Q13">
        <v>0</v>
      </c>
      <c r="R13">
        <v>0</v>
      </c>
      <c r="S13">
        <v>180</v>
      </c>
      <c r="T13">
        <v>0.18321917808219201</v>
      </c>
      <c r="U13">
        <v>4</v>
      </c>
      <c r="V13">
        <v>10.228571428571399</v>
      </c>
    </row>
    <row r="14" spans="1:24" x14ac:dyDescent="0.25">
      <c r="A14" t="s">
        <v>1187</v>
      </c>
      <c r="B14" t="s">
        <v>1176</v>
      </c>
      <c r="C14" t="s">
        <v>43</v>
      </c>
      <c r="D14">
        <v>17</v>
      </c>
      <c r="E14">
        <v>2</v>
      </c>
      <c r="F14">
        <v>2</v>
      </c>
      <c r="G14">
        <v>34</v>
      </c>
      <c r="H14">
        <v>0</v>
      </c>
      <c r="I14">
        <v>0</v>
      </c>
      <c r="J14">
        <v>4</v>
      </c>
      <c r="K14">
        <v>24</v>
      </c>
      <c r="L14">
        <v>1</v>
      </c>
      <c r="M14">
        <v>184</v>
      </c>
      <c r="N14">
        <v>128</v>
      </c>
      <c r="O14">
        <v>1809</v>
      </c>
      <c r="P14">
        <v>8</v>
      </c>
      <c r="Q14">
        <v>0</v>
      </c>
      <c r="R14">
        <v>0</v>
      </c>
      <c r="S14">
        <v>368.66</v>
      </c>
      <c r="T14">
        <v>0.31506849315068503</v>
      </c>
      <c r="U14">
        <v>6</v>
      </c>
      <c r="V14">
        <v>14.1328125</v>
      </c>
      <c r="W14">
        <v>1</v>
      </c>
      <c r="X14">
        <v>0</v>
      </c>
    </row>
    <row r="15" spans="1:24" x14ac:dyDescent="0.25">
      <c r="A15" t="s">
        <v>1188</v>
      </c>
      <c r="B15" t="s">
        <v>1176</v>
      </c>
      <c r="C15" t="s">
        <v>43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179</v>
      </c>
      <c r="P15">
        <v>1</v>
      </c>
      <c r="Q15">
        <v>0</v>
      </c>
      <c r="R15">
        <v>0</v>
      </c>
      <c r="S15">
        <v>32.9</v>
      </c>
      <c r="T15">
        <v>2.22602739726027E-2</v>
      </c>
      <c r="V15">
        <v>19.8888888888889</v>
      </c>
    </row>
    <row r="16" spans="1:24" x14ac:dyDescent="0.25">
      <c r="A16" t="s">
        <v>1189</v>
      </c>
      <c r="B16" t="s">
        <v>1176</v>
      </c>
      <c r="C16" t="s">
        <v>43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25</v>
      </c>
      <c r="L16">
        <v>0</v>
      </c>
      <c r="M16">
        <v>13</v>
      </c>
      <c r="N16">
        <v>8</v>
      </c>
      <c r="O16">
        <v>104</v>
      </c>
      <c r="P16">
        <v>1</v>
      </c>
      <c r="Q16">
        <v>0</v>
      </c>
      <c r="R16">
        <v>0</v>
      </c>
      <c r="S16">
        <v>26.9</v>
      </c>
      <c r="T16">
        <v>2.22602739726027E-2</v>
      </c>
      <c r="U16">
        <v>6.25</v>
      </c>
      <c r="V16">
        <v>13</v>
      </c>
    </row>
    <row r="17" spans="1:22" x14ac:dyDescent="0.25">
      <c r="A17" t="s">
        <v>1190</v>
      </c>
      <c r="B17" t="s">
        <v>1176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3</v>
      </c>
      <c r="K17">
        <v>6</v>
      </c>
      <c r="L17">
        <v>0</v>
      </c>
      <c r="M17">
        <v>90</v>
      </c>
      <c r="N17">
        <v>60</v>
      </c>
      <c r="O17">
        <v>650</v>
      </c>
      <c r="P17">
        <v>5</v>
      </c>
      <c r="Q17">
        <v>0</v>
      </c>
      <c r="R17">
        <v>0</v>
      </c>
      <c r="S17">
        <v>155.6</v>
      </c>
      <c r="T17">
        <v>0.15410958904109601</v>
      </c>
      <c r="U17">
        <v>2</v>
      </c>
      <c r="V17">
        <v>10.8333333333333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1176</v>
      </c>
      <c r="B31">
        <v>6466</v>
      </c>
      <c r="C31">
        <v>4805</v>
      </c>
      <c r="D31">
        <v>404</v>
      </c>
      <c r="E31">
        <v>1661</v>
      </c>
      <c r="F31">
        <v>18</v>
      </c>
      <c r="G31">
        <v>1668.1</v>
      </c>
      <c r="H31">
        <v>670</v>
      </c>
      <c r="I31">
        <v>0.66716417910447801</v>
      </c>
      <c r="J31">
        <v>30</v>
      </c>
      <c r="K31">
        <v>15</v>
      </c>
      <c r="L31">
        <v>7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MIN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1191</v>
      </c>
      <c r="B36" t="s">
        <v>26</v>
      </c>
      <c r="C36">
        <v>34</v>
      </c>
      <c r="D36">
        <v>12</v>
      </c>
      <c r="E36" t="s">
        <v>744</v>
      </c>
      <c r="F36" t="s">
        <v>1176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1192</v>
      </c>
      <c r="B37" t="s">
        <v>26</v>
      </c>
      <c r="C37">
        <v>25</v>
      </c>
      <c r="D37">
        <v>0</v>
      </c>
      <c r="E37" t="s">
        <v>82</v>
      </c>
      <c r="F37" t="s">
        <v>1176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1193</v>
      </c>
      <c r="B38" t="s">
        <v>26</v>
      </c>
      <c r="C38">
        <v>28</v>
      </c>
      <c r="D38">
        <v>5</v>
      </c>
      <c r="E38" t="s">
        <v>898</v>
      </c>
      <c r="F38" t="s">
        <v>1176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1194</v>
      </c>
      <c r="B46" t="s">
        <v>31</v>
      </c>
      <c r="C46">
        <v>25</v>
      </c>
      <c r="D46">
        <v>2</v>
      </c>
      <c r="E46" t="s">
        <v>163</v>
      </c>
      <c r="F46" t="s">
        <v>1176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1195</v>
      </c>
      <c r="B47" t="s">
        <v>31</v>
      </c>
      <c r="D47">
        <v>0</v>
      </c>
      <c r="E47" t="s">
        <v>1196</v>
      </c>
      <c r="F47" t="s">
        <v>1176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1197</v>
      </c>
      <c r="B48" t="s">
        <v>31</v>
      </c>
      <c r="C48">
        <v>25</v>
      </c>
      <c r="D48">
        <v>5</v>
      </c>
      <c r="E48" t="s">
        <v>296</v>
      </c>
      <c r="F48" t="s">
        <v>1176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1198</v>
      </c>
      <c r="B49" t="s">
        <v>31</v>
      </c>
      <c r="C49">
        <v>22</v>
      </c>
      <c r="D49">
        <v>0</v>
      </c>
      <c r="E49" t="s">
        <v>335</v>
      </c>
      <c r="F49" t="s">
        <v>1176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1199</v>
      </c>
      <c r="B50" t="s">
        <v>31</v>
      </c>
      <c r="C50">
        <v>25</v>
      </c>
      <c r="D50">
        <v>3</v>
      </c>
      <c r="E50" t="s">
        <v>244</v>
      </c>
      <c r="F50" t="s">
        <v>1176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1200</v>
      </c>
      <c r="B51" t="s">
        <v>31</v>
      </c>
      <c r="C51">
        <v>24</v>
      </c>
      <c r="D51">
        <v>2</v>
      </c>
      <c r="E51" t="s">
        <v>393</v>
      </c>
      <c r="F51" t="s">
        <v>1176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1201</v>
      </c>
      <c r="B61" t="s">
        <v>43</v>
      </c>
      <c r="C61">
        <v>21</v>
      </c>
      <c r="D61">
        <v>0</v>
      </c>
      <c r="E61" t="s">
        <v>78</v>
      </c>
      <c r="F61" t="s">
        <v>1176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1202</v>
      </c>
      <c r="B62" t="s">
        <v>43</v>
      </c>
      <c r="C62">
        <v>24</v>
      </c>
      <c r="D62">
        <v>1</v>
      </c>
      <c r="E62" t="s">
        <v>232</v>
      </c>
      <c r="F62" t="s">
        <v>1176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1203</v>
      </c>
      <c r="B63" t="s">
        <v>43</v>
      </c>
      <c r="C63">
        <v>25</v>
      </c>
      <c r="D63">
        <v>5</v>
      </c>
      <c r="E63" t="s">
        <v>155</v>
      </c>
      <c r="F63" t="s">
        <v>1176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1204</v>
      </c>
      <c r="B64" t="s">
        <v>43</v>
      </c>
      <c r="C64">
        <v>26</v>
      </c>
      <c r="D64">
        <v>0</v>
      </c>
      <c r="E64" t="s">
        <v>1068</v>
      </c>
      <c r="F64" t="s">
        <v>1176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1205</v>
      </c>
      <c r="B65" t="s">
        <v>43</v>
      </c>
      <c r="C65">
        <v>25</v>
      </c>
      <c r="D65">
        <v>2</v>
      </c>
      <c r="E65" t="s">
        <v>1206</v>
      </c>
      <c r="F65" t="s">
        <v>1176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1207</v>
      </c>
      <c r="B66" t="s">
        <v>43</v>
      </c>
      <c r="C66">
        <v>24</v>
      </c>
      <c r="D66">
        <v>4</v>
      </c>
      <c r="E66" t="s">
        <v>227</v>
      </c>
      <c r="F66" t="s">
        <v>1176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1208</v>
      </c>
      <c r="B67" t="s">
        <v>43</v>
      </c>
      <c r="C67">
        <v>23</v>
      </c>
      <c r="D67">
        <v>0</v>
      </c>
      <c r="E67" t="s">
        <v>995</v>
      </c>
      <c r="F67" t="s">
        <v>1176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1209</v>
      </c>
      <c r="B68" t="s">
        <v>43</v>
      </c>
      <c r="C68">
        <v>24</v>
      </c>
      <c r="D68">
        <v>2</v>
      </c>
      <c r="E68" t="s">
        <v>744</v>
      </c>
      <c r="F68" t="s">
        <v>1176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1210</v>
      </c>
      <c r="B69" t="s">
        <v>43</v>
      </c>
      <c r="C69">
        <v>26</v>
      </c>
      <c r="D69">
        <v>4</v>
      </c>
      <c r="E69" t="s">
        <v>397</v>
      </c>
      <c r="F69" t="s">
        <v>1176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1211</v>
      </c>
      <c r="B70" t="s">
        <v>43</v>
      </c>
      <c r="C70">
        <v>27</v>
      </c>
      <c r="D70">
        <v>6</v>
      </c>
      <c r="E70" t="s">
        <v>178</v>
      </c>
      <c r="F70" t="s">
        <v>1176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1212</v>
      </c>
      <c r="B71" t="s">
        <v>43</v>
      </c>
      <c r="C71">
        <v>24</v>
      </c>
      <c r="D71">
        <v>3</v>
      </c>
      <c r="E71" t="s">
        <v>220</v>
      </c>
      <c r="F71" t="s">
        <v>1176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1213</v>
      </c>
      <c r="B72" t="s">
        <v>43</v>
      </c>
      <c r="C72">
        <v>24</v>
      </c>
      <c r="D72">
        <v>4</v>
      </c>
      <c r="E72" t="s">
        <v>76</v>
      </c>
      <c r="F72" t="s">
        <v>1176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1214</v>
      </c>
      <c r="B73" t="s">
        <v>43</v>
      </c>
      <c r="C73">
        <v>25</v>
      </c>
      <c r="D73">
        <v>0</v>
      </c>
      <c r="E73" t="s">
        <v>333</v>
      </c>
      <c r="F73" t="s">
        <v>1176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1215</v>
      </c>
      <c r="B76" t="s">
        <v>38</v>
      </c>
      <c r="C76">
        <v>26</v>
      </c>
      <c r="D76">
        <v>5</v>
      </c>
      <c r="E76" t="s">
        <v>100</v>
      </c>
      <c r="F76" t="s">
        <v>1176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1216</v>
      </c>
      <c r="B77" t="s">
        <v>38</v>
      </c>
      <c r="C77">
        <v>28</v>
      </c>
      <c r="D77">
        <v>6</v>
      </c>
      <c r="E77" t="s">
        <v>205</v>
      </c>
      <c r="F77" t="s">
        <v>1176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1217</v>
      </c>
      <c r="B78" t="s">
        <v>38</v>
      </c>
      <c r="C78">
        <v>24</v>
      </c>
      <c r="D78">
        <v>2</v>
      </c>
      <c r="E78" t="s">
        <v>341</v>
      </c>
      <c r="F78" t="s">
        <v>1176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1218</v>
      </c>
      <c r="B79" t="s">
        <v>38</v>
      </c>
      <c r="C79">
        <v>26</v>
      </c>
      <c r="D79">
        <v>5</v>
      </c>
      <c r="E79" t="s">
        <v>894</v>
      </c>
      <c r="F79" t="s">
        <v>1176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1219</v>
      </c>
      <c r="B80" t="s">
        <v>38</v>
      </c>
      <c r="C80">
        <v>23</v>
      </c>
      <c r="D80">
        <v>0</v>
      </c>
      <c r="E80" t="s">
        <v>393</v>
      </c>
      <c r="F80" t="s">
        <v>1176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1220</v>
      </c>
      <c r="B81" t="s">
        <v>38</v>
      </c>
      <c r="C81">
        <v>29</v>
      </c>
      <c r="D81">
        <v>3</v>
      </c>
      <c r="E81" t="s">
        <v>391</v>
      </c>
      <c r="F81" t="s">
        <v>1176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1221</v>
      </c>
      <c r="B2" t="s">
        <v>1222</v>
      </c>
      <c r="C2" t="s">
        <v>26</v>
      </c>
      <c r="D2">
        <v>1</v>
      </c>
      <c r="E2">
        <v>6</v>
      </c>
      <c r="F2">
        <v>5</v>
      </c>
      <c r="G2">
        <v>37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1.48</v>
      </c>
      <c r="T2">
        <v>0</v>
      </c>
      <c r="W2">
        <v>0.83333333333333304</v>
      </c>
      <c r="X2">
        <v>0</v>
      </c>
    </row>
    <row r="3" spans="1:24" x14ac:dyDescent="0.25">
      <c r="A3" t="s">
        <v>1223</v>
      </c>
      <c r="B3" t="s">
        <v>1222</v>
      </c>
      <c r="C3" t="s">
        <v>26</v>
      </c>
      <c r="D3">
        <v>4</v>
      </c>
      <c r="E3">
        <v>92</v>
      </c>
      <c r="F3">
        <v>65</v>
      </c>
      <c r="G3">
        <v>781</v>
      </c>
      <c r="H3">
        <v>5</v>
      </c>
      <c r="I3">
        <v>3</v>
      </c>
      <c r="J3">
        <v>10</v>
      </c>
      <c r="K3">
        <v>0</v>
      </c>
      <c r="L3">
        <v>0</v>
      </c>
      <c r="M3">
        <v>1</v>
      </c>
      <c r="N3">
        <v>1</v>
      </c>
      <c r="O3">
        <v>-6</v>
      </c>
      <c r="P3">
        <v>0</v>
      </c>
      <c r="Q3">
        <v>3</v>
      </c>
      <c r="R3">
        <v>0</v>
      </c>
      <c r="S3">
        <v>39.64</v>
      </c>
      <c r="T3">
        <v>1.49253731343284E-3</v>
      </c>
      <c r="U3">
        <v>0</v>
      </c>
      <c r="V3">
        <v>-6</v>
      </c>
      <c r="W3">
        <v>0.70652173913043503</v>
      </c>
      <c r="X3">
        <v>5.4347826086956499E-2</v>
      </c>
    </row>
    <row r="4" spans="1:24" x14ac:dyDescent="0.25">
      <c r="A4" t="s">
        <v>878</v>
      </c>
      <c r="B4" t="s">
        <v>1222</v>
      </c>
      <c r="C4" t="s">
        <v>26</v>
      </c>
      <c r="D4">
        <v>14</v>
      </c>
      <c r="E4">
        <v>442</v>
      </c>
      <c r="F4">
        <v>288</v>
      </c>
      <c r="G4">
        <v>2997</v>
      </c>
      <c r="H4">
        <v>14</v>
      </c>
      <c r="I4">
        <v>11</v>
      </c>
      <c r="J4">
        <v>47</v>
      </c>
      <c r="K4">
        <v>102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170.08</v>
      </c>
      <c r="T4">
        <v>0</v>
      </c>
      <c r="U4">
        <v>2.1702127659574502</v>
      </c>
      <c r="W4">
        <v>0.65158371040723995</v>
      </c>
      <c r="X4">
        <v>3.1674208144796399E-2</v>
      </c>
    </row>
    <row r="5" spans="1:24" x14ac:dyDescent="0.25">
      <c r="A5" t="s">
        <v>1224</v>
      </c>
      <c r="B5" t="s">
        <v>1222</v>
      </c>
      <c r="C5" t="s">
        <v>31</v>
      </c>
      <c r="D5">
        <v>11</v>
      </c>
      <c r="E5">
        <v>0</v>
      </c>
      <c r="F5">
        <v>0</v>
      </c>
      <c r="G5">
        <v>0</v>
      </c>
      <c r="H5">
        <v>0</v>
      </c>
      <c r="I5">
        <v>0</v>
      </c>
      <c r="J5">
        <v>106</v>
      </c>
      <c r="K5">
        <v>462</v>
      </c>
      <c r="L5">
        <v>3</v>
      </c>
      <c r="M5">
        <v>23</v>
      </c>
      <c r="N5">
        <v>17</v>
      </c>
      <c r="O5">
        <v>97</v>
      </c>
      <c r="P5">
        <v>0</v>
      </c>
      <c r="Q5">
        <v>0</v>
      </c>
      <c r="R5">
        <v>0</v>
      </c>
      <c r="S5">
        <v>90.9</v>
      </c>
      <c r="T5">
        <v>3.4328358208955197E-2</v>
      </c>
      <c r="U5">
        <v>4.35849056603774</v>
      </c>
      <c r="V5">
        <v>5.7058823529411802</v>
      </c>
    </row>
    <row r="6" spans="1:24" x14ac:dyDescent="0.25">
      <c r="A6" t="s">
        <v>814</v>
      </c>
      <c r="B6" t="s">
        <v>1222</v>
      </c>
      <c r="C6" t="s">
        <v>31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10</v>
      </c>
      <c r="K6">
        <v>9</v>
      </c>
      <c r="L6">
        <v>0</v>
      </c>
      <c r="M6">
        <v>1</v>
      </c>
      <c r="N6">
        <v>1</v>
      </c>
      <c r="O6">
        <v>8</v>
      </c>
      <c r="P6">
        <v>0</v>
      </c>
      <c r="Q6">
        <v>0</v>
      </c>
      <c r="R6">
        <v>0</v>
      </c>
      <c r="S6">
        <v>2.7</v>
      </c>
      <c r="T6">
        <v>1.49253731343284E-3</v>
      </c>
      <c r="U6">
        <v>0.9</v>
      </c>
      <c r="V6">
        <v>8</v>
      </c>
    </row>
    <row r="7" spans="1:24" x14ac:dyDescent="0.25">
      <c r="A7" t="s">
        <v>1225</v>
      </c>
      <c r="B7" t="s">
        <v>1222</v>
      </c>
      <c r="C7" t="s">
        <v>31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18</v>
      </c>
      <c r="K7">
        <v>52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11.2</v>
      </c>
      <c r="T7">
        <v>0</v>
      </c>
      <c r="U7">
        <v>2.8888888888888902</v>
      </c>
    </row>
    <row r="8" spans="1:24" x14ac:dyDescent="0.25">
      <c r="A8" t="s">
        <v>1226</v>
      </c>
      <c r="B8" t="s">
        <v>1222</v>
      </c>
      <c r="C8" t="s">
        <v>31</v>
      </c>
      <c r="D8">
        <v>4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100</v>
      </c>
      <c r="L8">
        <v>1</v>
      </c>
      <c r="M8">
        <v>7</v>
      </c>
      <c r="N8">
        <v>7</v>
      </c>
      <c r="O8">
        <v>42</v>
      </c>
      <c r="P8">
        <v>0</v>
      </c>
      <c r="Q8">
        <v>0</v>
      </c>
      <c r="R8">
        <v>0</v>
      </c>
      <c r="S8">
        <v>27.2</v>
      </c>
      <c r="T8">
        <v>1.04477611940299E-2</v>
      </c>
      <c r="U8">
        <v>10</v>
      </c>
      <c r="V8">
        <v>6</v>
      </c>
    </row>
    <row r="9" spans="1:24" x14ac:dyDescent="0.25">
      <c r="A9" t="s">
        <v>1227</v>
      </c>
      <c r="B9" t="s">
        <v>1222</v>
      </c>
      <c r="C9" t="s">
        <v>31</v>
      </c>
      <c r="D9">
        <v>17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1040</v>
      </c>
      <c r="L9">
        <v>5</v>
      </c>
      <c r="M9">
        <v>88</v>
      </c>
      <c r="N9">
        <v>69</v>
      </c>
      <c r="O9">
        <v>421</v>
      </c>
      <c r="P9">
        <v>1</v>
      </c>
      <c r="Q9">
        <v>1</v>
      </c>
      <c r="R9">
        <v>0</v>
      </c>
      <c r="S9">
        <v>249.1</v>
      </c>
      <c r="T9">
        <v>0.13134328358208999</v>
      </c>
      <c r="U9">
        <v>4.9523809523809499</v>
      </c>
      <c r="V9">
        <v>6.1014492753623202</v>
      </c>
    </row>
    <row r="10" spans="1:24" x14ac:dyDescent="0.25">
      <c r="A10" t="s">
        <v>1228</v>
      </c>
      <c r="B10" t="s">
        <v>1222</v>
      </c>
      <c r="C10" t="s">
        <v>38</v>
      </c>
      <c r="D10">
        <v>16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59</v>
      </c>
      <c r="N10">
        <v>41</v>
      </c>
      <c r="O10">
        <v>509</v>
      </c>
      <c r="P10">
        <v>2</v>
      </c>
      <c r="Q10">
        <v>0</v>
      </c>
      <c r="R10">
        <v>0</v>
      </c>
      <c r="S10">
        <v>103.9</v>
      </c>
      <c r="T10">
        <v>8.8059701492537307E-2</v>
      </c>
      <c r="V10">
        <v>12.4146341463415</v>
      </c>
    </row>
    <row r="11" spans="1:24" x14ac:dyDescent="0.25">
      <c r="A11" t="s">
        <v>1229</v>
      </c>
      <c r="B11" t="s">
        <v>1222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5</v>
      </c>
      <c r="L11">
        <v>0</v>
      </c>
      <c r="M11">
        <v>38</v>
      </c>
      <c r="N11">
        <v>27</v>
      </c>
      <c r="O11">
        <v>245</v>
      </c>
      <c r="P11">
        <v>0</v>
      </c>
      <c r="Q11">
        <v>0</v>
      </c>
      <c r="R11">
        <v>0</v>
      </c>
      <c r="S11">
        <v>52</v>
      </c>
      <c r="T11">
        <v>5.6716417910447799E-2</v>
      </c>
      <c r="U11">
        <v>5</v>
      </c>
      <c r="V11">
        <v>9.0740740740740709</v>
      </c>
    </row>
    <row r="12" spans="1:24" x14ac:dyDescent="0.25">
      <c r="A12" t="s">
        <v>1230</v>
      </c>
      <c r="B12" t="s">
        <v>1222</v>
      </c>
      <c r="C12" t="s">
        <v>43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47</v>
      </c>
      <c r="N12">
        <v>31</v>
      </c>
      <c r="O12">
        <v>539</v>
      </c>
      <c r="P12">
        <v>3</v>
      </c>
      <c r="Q12">
        <v>0</v>
      </c>
      <c r="R12">
        <v>0</v>
      </c>
      <c r="S12">
        <v>102.9</v>
      </c>
      <c r="T12">
        <v>7.01492537313433E-2</v>
      </c>
      <c r="V12">
        <v>17.387096774193498</v>
      </c>
    </row>
    <row r="13" spans="1:24" x14ac:dyDescent="0.25">
      <c r="A13" t="s">
        <v>1231</v>
      </c>
      <c r="B13" t="s">
        <v>1222</v>
      </c>
      <c r="C13" t="s">
        <v>43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9</v>
      </c>
      <c r="L13">
        <v>0</v>
      </c>
      <c r="M13">
        <v>96</v>
      </c>
      <c r="N13">
        <v>67</v>
      </c>
      <c r="O13">
        <v>804</v>
      </c>
      <c r="P13">
        <v>6</v>
      </c>
      <c r="Q13">
        <v>0</v>
      </c>
      <c r="R13">
        <v>0</v>
      </c>
      <c r="S13">
        <v>184.3</v>
      </c>
      <c r="T13">
        <v>0.143283582089552</v>
      </c>
      <c r="U13">
        <v>4.5</v>
      </c>
      <c r="V13">
        <v>12</v>
      </c>
    </row>
    <row r="14" spans="1:24" x14ac:dyDescent="0.25">
      <c r="A14" t="s">
        <v>1232</v>
      </c>
      <c r="B14" t="s">
        <v>1222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39</v>
      </c>
      <c r="L14">
        <v>0</v>
      </c>
      <c r="M14">
        <v>48</v>
      </c>
      <c r="N14">
        <v>35</v>
      </c>
      <c r="O14">
        <v>434</v>
      </c>
      <c r="P14">
        <v>1</v>
      </c>
      <c r="Q14">
        <v>0</v>
      </c>
      <c r="R14">
        <v>0</v>
      </c>
      <c r="S14">
        <v>88.3</v>
      </c>
      <c r="T14">
        <v>7.1641791044776096E-2</v>
      </c>
      <c r="U14">
        <v>6.5</v>
      </c>
      <c r="V14">
        <v>12.4</v>
      </c>
    </row>
    <row r="15" spans="1:24" x14ac:dyDescent="0.25">
      <c r="A15" t="s">
        <v>1233</v>
      </c>
      <c r="B15" t="s">
        <v>1222</v>
      </c>
      <c r="C15" t="s">
        <v>43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20</v>
      </c>
      <c r="P15">
        <v>0</v>
      </c>
      <c r="Q15">
        <v>0</v>
      </c>
      <c r="R15">
        <v>0</v>
      </c>
      <c r="S15">
        <v>4</v>
      </c>
      <c r="T15">
        <v>5.9701492537313399E-3</v>
      </c>
      <c r="V15">
        <v>10</v>
      </c>
    </row>
    <row r="16" spans="1:24" x14ac:dyDescent="0.25">
      <c r="A16" t="s">
        <v>1234</v>
      </c>
      <c r="B16" t="s">
        <v>1222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53</v>
      </c>
      <c r="N16">
        <v>31</v>
      </c>
      <c r="O16">
        <v>362</v>
      </c>
      <c r="P16">
        <v>2</v>
      </c>
      <c r="Q16">
        <v>0</v>
      </c>
      <c r="R16">
        <v>0</v>
      </c>
      <c r="S16">
        <v>75.2</v>
      </c>
      <c r="T16">
        <v>7.9104477611940296E-2</v>
      </c>
      <c r="V16">
        <v>11.677419354838699</v>
      </c>
    </row>
    <row r="17" spans="1:22" x14ac:dyDescent="0.25">
      <c r="A17" t="s">
        <v>1235</v>
      </c>
      <c r="B17" t="s">
        <v>1222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-2</v>
      </c>
      <c r="L17">
        <v>0</v>
      </c>
      <c r="M17">
        <v>4</v>
      </c>
      <c r="N17">
        <v>3</v>
      </c>
      <c r="O17">
        <v>15</v>
      </c>
      <c r="P17">
        <v>1</v>
      </c>
      <c r="Q17">
        <v>0</v>
      </c>
      <c r="R17">
        <v>0</v>
      </c>
      <c r="S17">
        <v>10.3</v>
      </c>
      <c r="T17">
        <v>5.9701492537313399E-3</v>
      </c>
      <c r="U17">
        <v>-1</v>
      </c>
      <c r="V17">
        <v>5</v>
      </c>
    </row>
    <row r="18" spans="1:22" x14ac:dyDescent="0.25">
      <c r="A18" t="s">
        <v>1236</v>
      </c>
      <c r="B18" t="s">
        <v>1222</v>
      </c>
      <c r="C18" t="s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16</v>
      </c>
      <c r="L18">
        <v>1</v>
      </c>
      <c r="M18">
        <v>45</v>
      </c>
      <c r="N18">
        <v>22</v>
      </c>
      <c r="O18">
        <v>247</v>
      </c>
      <c r="P18">
        <v>2</v>
      </c>
      <c r="Q18">
        <v>0</v>
      </c>
      <c r="R18">
        <v>0</v>
      </c>
      <c r="S18">
        <v>66.3</v>
      </c>
      <c r="T18">
        <v>6.7164179104477598E-2</v>
      </c>
      <c r="U18">
        <v>5.3333333333333304</v>
      </c>
      <c r="V18">
        <v>11.2272727272727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1222</v>
      </c>
      <c r="B31">
        <v>5647</v>
      </c>
      <c r="C31">
        <v>3815</v>
      </c>
      <c r="D31">
        <v>425</v>
      </c>
      <c r="E31">
        <v>1832</v>
      </c>
      <c r="F31">
        <v>12</v>
      </c>
      <c r="G31">
        <v>1279.5</v>
      </c>
      <c r="H31">
        <v>540</v>
      </c>
      <c r="I31">
        <v>0.66296296296296298</v>
      </c>
      <c r="J31">
        <v>19</v>
      </c>
      <c r="K31">
        <v>14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NE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1237</v>
      </c>
      <c r="B36" t="s">
        <v>26</v>
      </c>
      <c r="C36">
        <v>24</v>
      </c>
      <c r="D36">
        <v>0</v>
      </c>
      <c r="E36" t="s">
        <v>209</v>
      </c>
      <c r="F36" t="s">
        <v>1222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1238</v>
      </c>
      <c r="B37" t="s">
        <v>26</v>
      </c>
      <c r="C37">
        <v>24</v>
      </c>
      <c r="D37">
        <v>3</v>
      </c>
      <c r="E37" t="s">
        <v>153</v>
      </c>
      <c r="F37" t="s">
        <v>1222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1239</v>
      </c>
      <c r="B38" t="s">
        <v>26</v>
      </c>
      <c r="C38">
        <v>27</v>
      </c>
      <c r="D38">
        <v>5</v>
      </c>
      <c r="E38" t="s">
        <v>339</v>
      </c>
      <c r="F38" t="s">
        <v>1222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1240</v>
      </c>
      <c r="B39" t="s">
        <v>26</v>
      </c>
      <c r="C39">
        <v>24</v>
      </c>
      <c r="D39">
        <v>2</v>
      </c>
      <c r="E39" t="s">
        <v>1068</v>
      </c>
      <c r="F39" t="s">
        <v>1222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1241</v>
      </c>
      <c r="B46" t="s">
        <v>31</v>
      </c>
      <c r="C46">
        <v>28</v>
      </c>
      <c r="D46">
        <v>8</v>
      </c>
      <c r="E46" t="s">
        <v>213</v>
      </c>
      <c r="F46" t="s">
        <v>1222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1242</v>
      </c>
      <c r="B47" t="s">
        <v>31</v>
      </c>
      <c r="C47">
        <v>22</v>
      </c>
      <c r="D47">
        <v>2</v>
      </c>
      <c r="E47" t="s">
        <v>341</v>
      </c>
      <c r="F47" t="s">
        <v>1222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1243</v>
      </c>
      <c r="B48" t="s">
        <v>31</v>
      </c>
      <c r="C48">
        <v>26</v>
      </c>
      <c r="D48">
        <v>1</v>
      </c>
      <c r="E48" t="s">
        <v>246</v>
      </c>
      <c r="F48" t="s">
        <v>1222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1244</v>
      </c>
      <c r="B49" t="s">
        <v>31</v>
      </c>
      <c r="C49">
        <v>25</v>
      </c>
      <c r="D49">
        <v>3</v>
      </c>
      <c r="E49" t="s">
        <v>68</v>
      </c>
      <c r="F49" t="s">
        <v>1222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1245</v>
      </c>
      <c r="B50" t="s">
        <v>31</v>
      </c>
      <c r="C50">
        <v>24</v>
      </c>
      <c r="D50">
        <v>2</v>
      </c>
      <c r="E50" t="s">
        <v>753</v>
      </c>
      <c r="F50" t="s">
        <v>1222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1246</v>
      </c>
      <c r="B51" t="s">
        <v>31</v>
      </c>
      <c r="C51">
        <v>25</v>
      </c>
      <c r="D51">
        <v>3</v>
      </c>
      <c r="E51" t="s">
        <v>1247</v>
      </c>
      <c r="F51" t="s">
        <v>1222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1248</v>
      </c>
      <c r="B61" t="s">
        <v>43</v>
      </c>
      <c r="C61">
        <v>28</v>
      </c>
      <c r="D61">
        <v>7</v>
      </c>
      <c r="E61" t="s">
        <v>413</v>
      </c>
      <c r="F61" t="s">
        <v>1222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1249</v>
      </c>
      <c r="B62" t="s">
        <v>43</v>
      </c>
      <c r="C62">
        <v>21</v>
      </c>
      <c r="D62">
        <v>0</v>
      </c>
      <c r="E62" t="s">
        <v>227</v>
      </c>
      <c r="F62" t="s">
        <v>1222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1250</v>
      </c>
      <c r="B63" t="s">
        <v>43</v>
      </c>
      <c r="C63">
        <v>22</v>
      </c>
      <c r="D63">
        <v>0</v>
      </c>
      <c r="E63" t="s">
        <v>1251</v>
      </c>
      <c r="F63" t="s">
        <v>1222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1252</v>
      </c>
      <c r="B64" t="s">
        <v>43</v>
      </c>
      <c r="C64">
        <v>27</v>
      </c>
      <c r="D64">
        <v>4</v>
      </c>
      <c r="E64" t="s">
        <v>393</v>
      </c>
      <c r="F64" t="s">
        <v>1222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1253</v>
      </c>
      <c r="B65" t="s">
        <v>43</v>
      </c>
      <c r="C65">
        <v>30</v>
      </c>
      <c r="D65">
        <v>9</v>
      </c>
      <c r="E65" t="s">
        <v>102</v>
      </c>
      <c r="F65" t="s">
        <v>1222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1254</v>
      </c>
      <c r="B66" t="s">
        <v>43</v>
      </c>
      <c r="C66">
        <v>25</v>
      </c>
      <c r="D66">
        <v>1</v>
      </c>
      <c r="E66" t="s">
        <v>282</v>
      </c>
      <c r="F66" t="s">
        <v>1222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1255</v>
      </c>
      <c r="B67" t="s">
        <v>43</v>
      </c>
      <c r="C67">
        <v>30</v>
      </c>
      <c r="D67">
        <v>9</v>
      </c>
      <c r="E67" t="s">
        <v>209</v>
      </c>
      <c r="F67" t="s">
        <v>1222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1256</v>
      </c>
      <c r="B68" t="s">
        <v>43</v>
      </c>
      <c r="C68">
        <v>22</v>
      </c>
      <c r="D68">
        <v>0</v>
      </c>
      <c r="E68" t="s">
        <v>1257</v>
      </c>
      <c r="F68" t="s">
        <v>1222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1258</v>
      </c>
      <c r="B69" t="s">
        <v>43</v>
      </c>
      <c r="C69">
        <v>37</v>
      </c>
      <c r="D69">
        <v>16</v>
      </c>
      <c r="E69" t="s">
        <v>418</v>
      </c>
      <c r="F69" t="s">
        <v>1222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1259</v>
      </c>
      <c r="B70" t="s">
        <v>43</v>
      </c>
      <c r="C70">
        <v>26</v>
      </c>
      <c r="D70">
        <v>7</v>
      </c>
      <c r="E70" t="s">
        <v>78</v>
      </c>
      <c r="F70" t="s">
        <v>1222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1260</v>
      </c>
      <c r="B71" t="s">
        <v>43</v>
      </c>
      <c r="C71">
        <v>23</v>
      </c>
      <c r="D71">
        <v>2</v>
      </c>
      <c r="E71" t="s">
        <v>393</v>
      </c>
      <c r="F71" t="s">
        <v>1222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1261</v>
      </c>
      <c r="B72" t="s">
        <v>43</v>
      </c>
      <c r="C72">
        <v>25</v>
      </c>
      <c r="D72">
        <v>2</v>
      </c>
      <c r="E72" t="s">
        <v>1262</v>
      </c>
      <c r="F72" t="s">
        <v>1222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1263</v>
      </c>
      <c r="B76" t="s">
        <v>38</v>
      </c>
      <c r="C76">
        <v>28</v>
      </c>
      <c r="D76">
        <v>6</v>
      </c>
      <c r="E76" t="s">
        <v>998</v>
      </c>
      <c r="F76" t="s">
        <v>1222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1264</v>
      </c>
      <c r="B77" t="s">
        <v>38</v>
      </c>
      <c r="C77">
        <v>27</v>
      </c>
      <c r="D77">
        <v>6</v>
      </c>
      <c r="E77" t="s">
        <v>339</v>
      </c>
      <c r="F77" t="s">
        <v>1222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1265</v>
      </c>
      <c r="B78" t="s">
        <v>38</v>
      </c>
      <c r="C78">
        <v>28</v>
      </c>
      <c r="D78">
        <v>8</v>
      </c>
      <c r="E78" t="s">
        <v>175</v>
      </c>
      <c r="F78" t="s">
        <v>1222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1266</v>
      </c>
      <c r="B79" t="s">
        <v>38</v>
      </c>
      <c r="C79">
        <v>25</v>
      </c>
      <c r="D79">
        <v>0</v>
      </c>
      <c r="E79" t="s">
        <v>574</v>
      </c>
      <c r="F79" t="s">
        <v>1222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1267</v>
      </c>
      <c r="B80" t="s">
        <v>38</v>
      </c>
      <c r="C80">
        <v>27</v>
      </c>
      <c r="D80">
        <v>1</v>
      </c>
      <c r="E80" t="s">
        <v>744</v>
      </c>
      <c r="F80" t="s">
        <v>1222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1268</v>
      </c>
      <c r="B81" t="s">
        <v>38</v>
      </c>
      <c r="C81">
        <v>26</v>
      </c>
      <c r="D81">
        <v>1</v>
      </c>
      <c r="E81" t="s">
        <v>95</v>
      </c>
      <c r="F81" t="s">
        <v>1222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topLeftCell="H25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1269</v>
      </c>
      <c r="B2" t="s">
        <v>1270</v>
      </c>
      <c r="C2" t="s">
        <v>115</v>
      </c>
      <c r="D2">
        <v>5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9</v>
      </c>
      <c r="L2">
        <v>0</v>
      </c>
      <c r="M2">
        <v>3</v>
      </c>
      <c r="N2">
        <v>3</v>
      </c>
      <c r="O2">
        <v>9</v>
      </c>
      <c r="P2">
        <v>0</v>
      </c>
      <c r="Q2">
        <v>0</v>
      </c>
      <c r="R2">
        <v>0</v>
      </c>
      <c r="S2">
        <v>4.8</v>
      </c>
      <c r="T2">
        <v>5.5555555555555601E-3</v>
      </c>
      <c r="U2">
        <v>2.25</v>
      </c>
      <c r="V2">
        <v>3</v>
      </c>
    </row>
    <row r="3" spans="1:24" x14ac:dyDescent="0.25">
      <c r="A3" t="s">
        <v>1271</v>
      </c>
      <c r="B3" t="s">
        <v>1270</v>
      </c>
      <c r="C3" t="s">
        <v>26</v>
      </c>
      <c r="D3">
        <v>14</v>
      </c>
      <c r="E3">
        <v>378</v>
      </c>
      <c r="F3">
        <v>252</v>
      </c>
      <c r="G3">
        <v>2871</v>
      </c>
      <c r="H3">
        <v>18</v>
      </c>
      <c r="I3">
        <v>9</v>
      </c>
      <c r="J3">
        <v>30</v>
      </c>
      <c r="K3">
        <v>54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174.24</v>
      </c>
      <c r="T3">
        <v>0</v>
      </c>
      <c r="U3">
        <v>1.8</v>
      </c>
      <c r="W3">
        <v>0.66666666666666696</v>
      </c>
      <c r="X3">
        <v>4.7619047619047603E-2</v>
      </c>
    </row>
    <row r="4" spans="1:24" x14ac:dyDescent="0.25">
      <c r="A4" t="s">
        <v>1272</v>
      </c>
      <c r="B4" t="s">
        <v>1270</v>
      </c>
      <c r="C4" t="s">
        <v>26</v>
      </c>
      <c r="D4">
        <v>3</v>
      </c>
      <c r="E4">
        <v>115</v>
      </c>
      <c r="F4">
        <v>73</v>
      </c>
      <c r="G4">
        <v>858</v>
      </c>
      <c r="H4">
        <v>4</v>
      </c>
      <c r="I4">
        <v>5</v>
      </c>
      <c r="J4">
        <v>5</v>
      </c>
      <c r="K4">
        <v>16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43.92</v>
      </c>
      <c r="T4">
        <v>0</v>
      </c>
      <c r="U4">
        <v>3.2</v>
      </c>
      <c r="W4">
        <v>0.63478260869565195</v>
      </c>
      <c r="X4">
        <v>3.4782608695652202E-2</v>
      </c>
    </row>
    <row r="5" spans="1:24" x14ac:dyDescent="0.25">
      <c r="A5" t="s">
        <v>1273</v>
      </c>
      <c r="B5" t="s">
        <v>1270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223</v>
      </c>
      <c r="K5">
        <v>897</v>
      </c>
      <c r="L5">
        <v>2</v>
      </c>
      <c r="M5">
        <v>77</v>
      </c>
      <c r="N5">
        <v>57</v>
      </c>
      <c r="O5">
        <v>490</v>
      </c>
      <c r="P5">
        <v>2</v>
      </c>
      <c r="Q5">
        <v>2</v>
      </c>
      <c r="R5">
        <v>0</v>
      </c>
      <c r="S5">
        <v>211.7</v>
      </c>
      <c r="T5">
        <v>0.14259259259259299</v>
      </c>
      <c r="U5">
        <v>4.0224215246636801</v>
      </c>
      <c r="V5">
        <v>8.5964912280701693</v>
      </c>
    </row>
    <row r="6" spans="1:24" x14ac:dyDescent="0.25">
      <c r="A6" t="s">
        <v>253</v>
      </c>
      <c r="B6" t="s">
        <v>1270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24</v>
      </c>
      <c r="L6">
        <v>0</v>
      </c>
      <c r="M6">
        <v>4</v>
      </c>
      <c r="N6">
        <v>4</v>
      </c>
      <c r="O6">
        <v>47</v>
      </c>
      <c r="P6">
        <v>0</v>
      </c>
      <c r="Q6">
        <v>1</v>
      </c>
      <c r="R6">
        <v>0</v>
      </c>
      <c r="S6">
        <v>9.1</v>
      </c>
      <c r="T6">
        <v>7.4074074074074103E-3</v>
      </c>
      <c r="U6">
        <v>2</v>
      </c>
      <c r="V6">
        <v>11.75</v>
      </c>
    </row>
    <row r="7" spans="1:24" x14ac:dyDescent="0.25">
      <c r="A7" t="s">
        <v>1274</v>
      </c>
      <c r="B7" t="s">
        <v>1270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11</v>
      </c>
      <c r="K7">
        <v>38</v>
      </c>
      <c r="L7">
        <v>0</v>
      </c>
      <c r="M7">
        <v>1</v>
      </c>
      <c r="N7">
        <v>1</v>
      </c>
      <c r="O7">
        <v>7</v>
      </c>
      <c r="P7">
        <v>0</v>
      </c>
      <c r="Q7">
        <v>0</v>
      </c>
      <c r="R7">
        <v>0</v>
      </c>
      <c r="S7">
        <v>5.5</v>
      </c>
      <c r="T7">
        <v>1.85185185185185E-3</v>
      </c>
      <c r="U7">
        <v>3.4545454545454501</v>
      </c>
      <c r="V7">
        <v>7</v>
      </c>
    </row>
    <row r="8" spans="1:24" x14ac:dyDescent="0.25">
      <c r="A8" t="s">
        <v>33</v>
      </c>
      <c r="B8" t="s">
        <v>1270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4</v>
      </c>
      <c r="K8">
        <v>13</v>
      </c>
      <c r="L8">
        <v>0</v>
      </c>
      <c r="M8">
        <v>1</v>
      </c>
      <c r="N8">
        <v>1</v>
      </c>
      <c r="O8">
        <v>9</v>
      </c>
      <c r="P8">
        <v>0</v>
      </c>
      <c r="Q8">
        <v>0</v>
      </c>
      <c r="R8">
        <v>0</v>
      </c>
      <c r="S8">
        <v>3.2</v>
      </c>
      <c r="T8">
        <v>1.85185185185185E-3</v>
      </c>
      <c r="U8">
        <v>3.25</v>
      </c>
      <c r="V8">
        <v>9</v>
      </c>
    </row>
    <row r="9" spans="1:24" x14ac:dyDescent="0.25">
      <c r="A9" t="s">
        <v>1275</v>
      </c>
      <c r="B9" t="s">
        <v>1270</v>
      </c>
      <c r="C9" t="s">
        <v>31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</v>
      </c>
      <c r="T9">
        <v>0</v>
      </c>
      <c r="U9">
        <v>1</v>
      </c>
    </row>
    <row r="10" spans="1:24" x14ac:dyDescent="0.25">
      <c r="A10" t="s">
        <v>589</v>
      </c>
      <c r="B10" t="s">
        <v>1270</v>
      </c>
      <c r="C10" t="s">
        <v>31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11</v>
      </c>
      <c r="K10">
        <v>57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13.5</v>
      </c>
      <c r="T10">
        <v>1.85185185185185E-3</v>
      </c>
      <c r="U10">
        <v>5.1818181818181799</v>
      </c>
      <c r="V10">
        <v>8</v>
      </c>
    </row>
    <row r="11" spans="1:24" x14ac:dyDescent="0.25">
      <c r="A11" t="s">
        <v>1276</v>
      </c>
      <c r="B11" t="s">
        <v>1270</v>
      </c>
      <c r="C11" t="s">
        <v>31</v>
      </c>
      <c r="D11">
        <v>10</v>
      </c>
      <c r="E11">
        <v>0</v>
      </c>
      <c r="F11">
        <v>0</v>
      </c>
      <c r="G11">
        <v>0</v>
      </c>
      <c r="H11">
        <v>0</v>
      </c>
      <c r="I11">
        <v>0</v>
      </c>
      <c r="J11">
        <v>62</v>
      </c>
      <c r="K11">
        <v>233</v>
      </c>
      <c r="L11">
        <v>1</v>
      </c>
      <c r="M11">
        <v>18</v>
      </c>
      <c r="N11">
        <v>16</v>
      </c>
      <c r="O11">
        <v>68</v>
      </c>
      <c r="P11">
        <v>0</v>
      </c>
      <c r="Q11">
        <v>1</v>
      </c>
      <c r="R11">
        <v>1</v>
      </c>
      <c r="S11">
        <v>50.1</v>
      </c>
      <c r="T11">
        <v>3.3333333333333298E-2</v>
      </c>
      <c r="U11">
        <v>3.7580645161290298</v>
      </c>
      <c r="V11">
        <v>4.25</v>
      </c>
    </row>
    <row r="12" spans="1:24" x14ac:dyDescent="0.25">
      <c r="A12" t="s">
        <v>879</v>
      </c>
      <c r="B12" t="s">
        <v>1270</v>
      </c>
      <c r="C12" t="s">
        <v>31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8</v>
      </c>
      <c r="L12">
        <v>0</v>
      </c>
      <c r="M12">
        <v>2</v>
      </c>
      <c r="N12">
        <v>2</v>
      </c>
      <c r="O12">
        <v>12</v>
      </c>
      <c r="P12">
        <v>0</v>
      </c>
      <c r="Q12">
        <v>0</v>
      </c>
      <c r="R12">
        <v>0</v>
      </c>
      <c r="S12">
        <v>4</v>
      </c>
      <c r="T12">
        <v>3.7037037037036999E-3</v>
      </c>
      <c r="U12">
        <v>4</v>
      </c>
      <c r="V12">
        <v>6</v>
      </c>
    </row>
    <row r="13" spans="1:24" x14ac:dyDescent="0.25">
      <c r="A13" t="s">
        <v>1277</v>
      </c>
      <c r="B13" t="s">
        <v>1270</v>
      </c>
      <c r="C13" t="s">
        <v>38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18</v>
      </c>
      <c r="O13">
        <v>207</v>
      </c>
      <c r="P13">
        <v>1</v>
      </c>
      <c r="Q13">
        <v>0</v>
      </c>
      <c r="R13">
        <v>0</v>
      </c>
      <c r="S13">
        <v>44.7</v>
      </c>
      <c r="T13">
        <v>4.0740740740740702E-2</v>
      </c>
      <c r="V13">
        <v>11.5</v>
      </c>
    </row>
    <row r="14" spans="1:24" x14ac:dyDescent="0.25">
      <c r="A14" t="s">
        <v>1074</v>
      </c>
      <c r="B14" t="s">
        <v>1270</v>
      </c>
      <c r="C14" t="s">
        <v>38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65</v>
      </c>
      <c r="N14">
        <v>42</v>
      </c>
      <c r="O14">
        <v>508</v>
      </c>
      <c r="P14">
        <v>7</v>
      </c>
      <c r="Q14">
        <v>0</v>
      </c>
      <c r="R14">
        <v>0</v>
      </c>
      <c r="S14">
        <v>134.80000000000001</v>
      </c>
      <c r="T14">
        <v>0.12037037037037</v>
      </c>
      <c r="V14">
        <v>12.0952380952381</v>
      </c>
    </row>
    <row r="15" spans="1:24" x14ac:dyDescent="0.25">
      <c r="A15" t="s">
        <v>1278</v>
      </c>
      <c r="B15" t="s">
        <v>1270</v>
      </c>
      <c r="C15" t="s">
        <v>38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3.7037037037036999E-3</v>
      </c>
      <c r="V15">
        <v>6.5</v>
      </c>
    </row>
    <row r="16" spans="1:24" x14ac:dyDescent="0.25">
      <c r="A16" t="s">
        <v>1143</v>
      </c>
      <c r="B16" t="s">
        <v>1270</v>
      </c>
      <c r="C16" t="s">
        <v>38</v>
      </c>
      <c r="D16">
        <v>16</v>
      </c>
      <c r="E16">
        <v>19</v>
      </c>
      <c r="F16">
        <v>13</v>
      </c>
      <c r="G16">
        <v>240</v>
      </c>
      <c r="H16">
        <v>2</v>
      </c>
      <c r="I16">
        <v>0</v>
      </c>
      <c r="J16">
        <v>96</v>
      </c>
      <c r="K16">
        <v>575</v>
      </c>
      <c r="L16">
        <v>7</v>
      </c>
      <c r="M16">
        <v>13</v>
      </c>
      <c r="N16">
        <v>9</v>
      </c>
      <c r="O16">
        <v>77</v>
      </c>
      <c r="P16">
        <v>2</v>
      </c>
      <c r="Q16">
        <v>0</v>
      </c>
      <c r="R16">
        <v>0</v>
      </c>
      <c r="S16">
        <v>145.80000000000001</v>
      </c>
      <c r="T16">
        <v>2.4074074074074098E-2</v>
      </c>
      <c r="U16">
        <v>5.9895833333333304</v>
      </c>
      <c r="V16">
        <v>8.5555555555555607</v>
      </c>
      <c r="W16">
        <v>0.68421052631578905</v>
      </c>
      <c r="X16">
        <v>0.105263157894737</v>
      </c>
    </row>
    <row r="17" spans="1:22" x14ac:dyDescent="0.25">
      <c r="A17" t="s">
        <v>1279</v>
      </c>
      <c r="B17" t="s">
        <v>1270</v>
      </c>
      <c r="C17" t="s">
        <v>43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119</v>
      </c>
      <c r="N17">
        <v>72</v>
      </c>
      <c r="O17">
        <v>1042</v>
      </c>
      <c r="P17">
        <v>4</v>
      </c>
      <c r="Q17">
        <v>0</v>
      </c>
      <c r="R17">
        <v>0</v>
      </c>
      <c r="S17">
        <v>198.2</v>
      </c>
      <c r="T17">
        <v>0.22037037037036999</v>
      </c>
      <c r="V17">
        <v>14.4722222222222</v>
      </c>
    </row>
    <row r="18" spans="1:22" x14ac:dyDescent="0.25">
      <c r="A18" t="s">
        <v>1280</v>
      </c>
      <c r="B18" t="s">
        <v>1270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</v>
      </c>
      <c r="N18">
        <v>2</v>
      </c>
      <c r="O18">
        <v>13</v>
      </c>
      <c r="P18">
        <v>0</v>
      </c>
      <c r="Q18">
        <v>0</v>
      </c>
      <c r="R18">
        <v>0</v>
      </c>
      <c r="S18">
        <v>3.3</v>
      </c>
      <c r="T18">
        <v>3.7037037037036999E-3</v>
      </c>
      <c r="V18">
        <v>6.5</v>
      </c>
    </row>
    <row r="19" spans="1:22" x14ac:dyDescent="0.25">
      <c r="A19" t="s">
        <v>1281</v>
      </c>
      <c r="B19" t="s">
        <v>1270</v>
      </c>
      <c r="C19" t="s">
        <v>43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39</v>
      </c>
      <c r="N19">
        <v>25</v>
      </c>
      <c r="O19">
        <v>272</v>
      </c>
      <c r="P19">
        <v>1</v>
      </c>
      <c r="Q19">
        <v>0</v>
      </c>
      <c r="R19">
        <v>0</v>
      </c>
      <c r="S19">
        <v>60.2</v>
      </c>
      <c r="T19">
        <v>7.2222222222222202E-2</v>
      </c>
      <c r="V19">
        <v>10.88</v>
      </c>
    </row>
    <row r="20" spans="1:22" x14ac:dyDescent="0.25">
      <c r="A20" t="s">
        <v>1282</v>
      </c>
      <c r="B20" t="s">
        <v>1270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</v>
      </c>
      <c r="N20">
        <v>2</v>
      </c>
      <c r="O20">
        <v>18</v>
      </c>
      <c r="P20">
        <v>0</v>
      </c>
      <c r="Q20">
        <v>0</v>
      </c>
      <c r="R20">
        <v>0</v>
      </c>
      <c r="S20">
        <v>3.8</v>
      </c>
      <c r="T20">
        <v>7.4074074074074103E-3</v>
      </c>
      <c r="V20">
        <v>9</v>
      </c>
    </row>
    <row r="21" spans="1:22" x14ac:dyDescent="0.25">
      <c r="A21" t="s">
        <v>1283</v>
      </c>
      <c r="B21" t="s">
        <v>1270</v>
      </c>
      <c r="C21" t="s">
        <v>43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74</v>
      </c>
      <c r="P21">
        <v>0</v>
      </c>
      <c r="Q21">
        <v>0</v>
      </c>
      <c r="R21">
        <v>0</v>
      </c>
      <c r="S21">
        <v>9.4</v>
      </c>
      <c r="T21">
        <v>9.2592592592592605E-3</v>
      </c>
      <c r="V21">
        <v>37</v>
      </c>
    </row>
    <row r="22" spans="1:22" x14ac:dyDescent="0.25">
      <c r="A22" t="s">
        <v>1284</v>
      </c>
      <c r="B22" t="s">
        <v>1270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32</v>
      </c>
      <c r="N22">
        <v>16</v>
      </c>
      <c r="O22">
        <v>158</v>
      </c>
      <c r="P22">
        <v>1</v>
      </c>
      <c r="Q22">
        <v>0</v>
      </c>
      <c r="R22">
        <v>0</v>
      </c>
      <c r="S22">
        <v>37.799999999999997</v>
      </c>
      <c r="T22">
        <v>5.9259259259259303E-2</v>
      </c>
      <c r="V22">
        <v>9.875</v>
      </c>
    </row>
    <row r="23" spans="1:22" x14ac:dyDescent="0.25">
      <c r="A23" t="s">
        <v>435</v>
      </c>
      <c r="B23" t="s">
        <v>1270</v>
      </c>
      <c r="C23" t="s">
        <v>43</v>
      </c>
      <c r="D23">
        <v>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22</v>
      </c>
      <c r="N23">
        <v>16</v>
      </c>
      <c r="O23">
        <v>171</v>
      </c>
      <c r="P23">
        <v>3</v>
      </c>
      <c r="Q23">
        <v>0</v>
      </c>
      <c r="R23">
        <v>0</v>
      </c>
      <c r="S23">
        <v>51.1</v>
      </c>
      <c r="T23">
        <v>4.0740740740740702E-2</v>
      </c>
      <c r="V23">
        <v>10.6875</v>
      </c>
    </row>
    <row r="24" spans="1:22" x14ac:dyDescent="0.25">
      <c r="A24" t="s">
        <v>1285</v>
      </c>
      <c r="B24" t="s">
        <v>1270</v>
      </c>
      <c r="C24" t="s">
        <v>43</v>
      </c>
      <c r="D24">
        <v>11</v>
      </c>
      <c r="E24">
        <v>0</v>
      </c>
      <c r="F24">
        <v>0</v>
      </c>
      <c r="G24">
        <v>0</v>
      </c>
      <c r="H24">
        <v>0</v>
      </c>
      <c r="I24">
        <v>0</v>
      </c>
      <c r="J24">
        <v>4</v>
      </c>
      <c r="K24">
        <v>57</v>
      </c>
      <c r="L24">
        <v>1</v>
      </c>
      <c r="M24">
        <v>34</v>
      </c>
      <c r="N24">
        <v>28</v>
      </c>
      <c r="O24">
        <v>488</v>
      </c>
      <c r="P24">
        <v>2</v>
      </c>
      <c r="Q24">
        <v>0</v>
      </c>
      <c r="R24">
        <v>0</v>
      </c>
      <c r="S24">
        <v>100.5</v>
      </c>
      <c r="T24">
        <v>6.2962962962962998E-2</v>
      </c>
      <c r="U24">
        <v>14.25</v>
      </c>
      <c r="V24">
        <v>17.428571428571399</v>
      </c>
    </row>
    <row r="25" spans="1:22" x14ac:dyDescent="0.25">
      <c r="A25" t="s">
        <v>1286</v>
      </c>
      <c r="B25" t="s">
        <v>1270</v>
      </c>
      <c r="C25" t="s">
        <v>43</v>
      </c>
      <c r="D25">
        <v>9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27</v>
      </c>
      <c r="N25">
        <v>19</v>
      </c>
      <c r="O25">
        <v>278</v>
      </c>
      <c r="P25">
        <v>1</v>
      </c>
      <c r="Q25">
        <v>0</v>
      </c>
      <c r="R25">
        <v>0</v>
      </c>
      <c r="S25">
        <v>52.8</v>
      </c>
      <c r="T25">
        <v>0.05</v>
      </c>
      <c r="V25">
        <v>14.6315789473684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1270</v>
      </c>
      <c r="B31">
        <v>5951</v>
      </c>
      <c r="C31">
        <v>3969</v>
      </c>
      <c r="D31">
        <v>465</v>
      </c>
      <c r="E31">
        <v>1982</v>
      </c>
      <c r="F31">
        <v>12</v>
      </c>
      <c r="G31">
        <v>1365.86</v>
      </c>
      <c r="H31">
        <v>512</v>
      </c>
      <c r="I31">
        <v>0.66015625</v>
      </c>
      <c r="J31">
        <v>24</v>
      </c>
      <c r="K31">
        <v>14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NO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1287</v>
      </c>
      <c r="B36" t="s">
        <v>26</v>
      </c>
      <c r="C36">
        <v>32</v>
      </c>
      <c r="D36">
        <v>10</v>
      </c>
      <c r="E36" t="s">
        <v>280</v>
      </c>
      <c r="F36" t="s">
        <v>1270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1288</v>
      </c>
      <c r="B37" t="s">
        <v>26</v>
      </c>
      <c r="C37">
        <v>24</v>
      </c>
      <c r="D37">
        <v>0</v>
      </c>
      <c r="E37" t="s">
        <v>280</v>
      </c>
      <c r="F37" t="s">
        <v>1270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1289</v>
      </c>
      <c r="B38" t="s">
        <v>26</v>
      </c>
      <c r="C38">
        <v>29</v>
      </c>
      <c r="D38">
        <v>9</v>
      </c>
      <c r="E38" t="s">
        <v>1012</v>
      </c>
      <c r="F38" t="s">
        <v>1270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1290</v>
      </c>
      <c r="B46" t="s">
        <v>31</v>
      </c>
      <c r="C46">
        <v>26</v>
      </c>
      <c r="D46">
        <v>1</v>
      </c>
      <c r="E46" t="s">
        <v>163</v>
      </c>
      <c r="F46" t="s">
        <v>1270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1291</v>
      </c>
      <c r="B47" t="s">
        <v>31</v>
      </c>
      <c r="C47">
        <v>24</v>
      </c>
      <c r="D47">
        <v>4</v>
      </c>
      <c r="E47" t="s">
        <v>155</v>
      </c>
      <c r="F47" t="s">
        <v>1270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1292</v>
      </c>
      <c r="B48" t="s">
        <v>31</v>
      </c>
      <c r="C48">
        <v>28</v>
      </c>
      <c r="D48">
        <v>7</v>
      </c>
      <c r="E48" t="s">
        <v>143</v>
      </c>
      <c r="F48" t="s">
        <v>1270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1293</v>
      </c>
      <c r="B49" t="s">
        <v>31</v>
      </c>
      <c r="C49">
        <v>24</v>
      </c>
      <c r="D49">
        <v>0</v>
      </c>
      <c r="E49" t="s">
        <v>291</v>
      </c>
      <c r="F49" t="s">
        <v>1270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1294</v>
      </c>
      <c r="B50" t="s">
        <v>31</v>
      </c>
      <c r="C50">
        <v>21</v>
      </c>
      <c r="D50">
        <v>0</v>
      </c>
      <c r="E50" t="s">
        <v>76</v>
      </c>
      <c r="F50" t="s">
        <v>1270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1295</v>
      </c>
      <c r="B51" t="s">
        <v>31</v>
      </c>
      <c r="C51">
        <v>28</v>
      </c>
      <c r="D51">
        <v>6</v>
      </c>
      <c r="E51" t="s">
        <v>227</v>
      </c>
      <c r="F51" t="s">
        <v>1270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1296</v>
      </c>
      <c r="B52" t="s">
        <v>31</v>
      </c>
      <c r="C52">
        <v>28</v>
      </c>
      <c r="D52">
        <v>7</v>
      </c>
      <c r="E52" t="s">
        <v>82</v>
      </c>
      <c r="F52" t="s">
        <v>1270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1297</v>
      </c>
      <c r="B61" t="s">
        <v>43</v>
      </c>
      <c r="C61">
        <v>24</v>
      </c>
      <c r="D61">
        <v>1</v>
      </c>
      <c r="E61" t="s">
        <v>519</v>
      </c>
      <c r="F61" t="s">
        <v>1270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1298</v>
      </c>
      <c r="B62" t="s">
        <v>43</v>
      </c>
      <c r="C62">
        <v>25</v>
      </c>
      <c r="D62">
        <v>3</v>
      </c>
      <c r="E62" t="s">
        <v>150</v>
      </c>
      <c r="F62" t="s">
        <v>1270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1299</v>
      </c>
      <c r="B63" t="s">
        <v>43</v>
      </c>
      <c r="C63">
        <v>23</v>
      </c>
      <c r="D63">
        <v>0</v>
      </c>
      <c r="E63" t="s">
        <v>1300</v>
      </c>
      <c r="F63" t="s">
        <v>1270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1301</v>
      </c>
      <c r="B64" t="s">
        <v>43</v>
      </c>
      <c r="C64">
        <v>24</v>
      </c>
      <c r="D64">
        <v>4</v>
      </c>
      <c r="E64" t="s">
        <v>341</v>
      </c>
      <c r="F64" t="s">
        <v>1270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1302</v>
      </c>
      <c r="B65" t="s">
        <v>43</v>
      </c>
      <c r="C65">
        <v>24</v>
      </c>
      <c r="D65">
        <v>1</v>
      </c>
      <c r="E65" t="s">
        <v>227</v>
      </c>
      <c r="F65" t="s">
        <v>1270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1303</v>
      </c>
      <c r="B66" t="s">
        <v>43</v>
      </c>
      <c r="C66">
        <v>29</v>
      </c>
      <c r="D66">
        <v>4</v>
      </c>
      <c r="E66" t="s">
        <v>391</v>
      </c>
      <c r="F66" t="s">
        <v>1270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1304</v>
      </c>
      <c r="B67" t="s">
        <v>43</v>
      </c>
      <c r="C67">
        <v>26</v>
      </c>
      <c r="D67">
        <v>1</v>
      </c>
      <c r="E67" t="s">
        <v>1305</v>
      </c>
      <c r="F67" t="s">
        <v>1270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1306</v>
      </c>
      <c r="B68" t="s">
        <v>43</v>
      </c>
      <c r="C68">
        <v>23</v>
      </c>
      <c r="D68">
        <v>2</v>
      </c>
      <c r="E68" t="s">
        <v>213</v>
      </c>
      <c r="F68" t="s">
        <v>1270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1307</v>
      </c>
      <c r="B69" t="s">
        <v>43</v>
      </c>
      <c r="C69">
        <v>23</v>
      </c>
      <c r="D69">
        <v>0</v>
      </c>
      <c r="E69" t="s">
        <v>95</v>
      </c>
      <c r="F69" t="s">
        <v>1270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1308</v>
      </c>
      <c r="B70" t="s">
        <v>43</v>
      </c>
      <c r="C70">
        <v>24</v>
      </c>
      <c r="D70">
        <v>2</v>
      </c>
      <c r="E70" t="s">
        <v>1309</v>
      </c>
      <c r="F70" t="s">
        <v>1270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1310</v>
      </c>
      <c r="B71" t="s">
        <v>43</v>
      </c>
      <c r="C71">
        <v>27</v>
      </c>
      <c r="D71">
        <v>6</v>
      </c>
      <c r="E71" t="s">
        <v>282</v>
      </c>
      <c r="F71" t="s">
        <v>1270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1311</v>
      </c>
      <c r="B72" t="s">
        <v>43</v>
      </c>
      <c r="C72">
        <v>30</v>
      </c>
      <c r="D72">
        <v>8</v>
      </c>
      <c r="E72" t="s">
        <v>213</v>
      </c>
      <c r="F72" t="s">
        <v>1270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1312</v>
      </c>
      <c r="B76" t="s">
        <v>38</v>
      </c>
      <c r="C76">
        <v>36</v>
      </c>
      <c r="D76">
        <v>13</v>
      </c>
      <c r="E76" t="s">
        <v>397</v>
      </c>
      <c r="F76" t="s">
        <v>1270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1313</v>
      </c>
      <c r="B77" t="s">
        <v>38</v>
      </c>
      <c r="C77">
        <v>32</v>
      </c>
      <c r="D77">
        <v>7</v>
      </c>
      <c r="E77" t="s">
        <v>82</v>
      </c>
      <c r="F77" t="s">
        <v>1270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1314</v>
      </c>
      <c r="B78" t="s">
        <v>38</v>
      </c>
      <c r="C78">
        <v>29</v>
      </c>
      <c r="D78">
        <v>7</v>
      </c>
      <c r="E78" t="s">
        <v>74</v>
      </c>
      <c r="F78" t="s">
        <v>1270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1315</v>
      </c>
      <c r="B79" t="s">
        <v>38</v>
      </c>
      <c r="C79">
        <v>29</v>
      </c>
      <c r="D79">
        <v>9</v>
      </c>
      <c r="E79" t="s">
        <v>339</v>
      </c>
      <c r="F79" t="s">
        <v>1270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1316</v>
      </c>
      <c r="B80" t="s">
        <v>38</v>
      </c>
      <c r="C80">
        <v>26</v>
      </c>
      <c r="D80">
        <v>4</v>
      </c>
      <c r="E80" t="s">
        <v>205</v>
      </c>
      <c r="F80" t="s">
        <v>1270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1317</v>
      </c>
      <c r="B81" t="s">
        <v>38</v>
      </c>
      <c r="C81">
        <v>25</v>
      </c>
      <c r="D81">
        <v>1</v>
      </c>
      <c r="E81" t="s">
        <v>74</v>
      </c>
      <c r="F81" t="s">
        <v>1270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1318</v>
      </c>
      <c r="B82" t="s">
        <v>38</v>
      </c>
      <c r="C82">
        <v>26</v>
      </c>
      <c r="D82">
        <v>5</v>
      </c>
      <c r="E82" t="s">
        <v>227</v>
      </c>
      <c r="F82" t="s">
        <v>1270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1319</v>
      </c>
      <c r="B2" t="s">
        <v>1320</v>
      </c>
      <c r="C2" t="s">
        <v>26</v>
      </c>
      <c r="D2">
        <v>16</v>
      </c>
      <c r="E2">
        <v>472</v>
      </c>
      <c r="F2">
        <v>317</v>
      </c>
      <c r="G2">
        <v>3205</v>
      </c>
      <c r="H2">
        <v>15</v>
      </c>
      <c r="I2">
        <v>5</v>
      </c>
      <c r="J2">
        <v>120</v>
      </c>
      <c r="K2">
        <v>708</v>
      </c>
      <c r="L2">
        <v>7</v>
      </c>
      <c r="M2">
        <v>0</v>
      </c>
      <c r="N2">
        <v>0</v>
      </c>
      <c r="O2">
        <v>0</v>
      </c>
      <c r="P2">
        <v>0</v>
      </c>
      <c r="Q2">
        <v>3</v>
      </c>
      <c r="R2">
        <v>2</v>
      </c>
      <c r="S2">
        <v>289</v>
      </c>
      <c r="T2">
        <v>0</v>
      </c>
      <c r="U2">
        <v>5.9</v>
      </c>
      <c r="W2">
        <v>0.67161016949152497</v>
      </c>
      <c r="X2">
        <v>3.17796610169492E-2</v>
      </c>
    </row>
    <row r="3" spans="1:24" x14ac:dyDescent="0.25">
      <c r="A3" t="s">
        <v>1321</v>
      </c>
      <c r="B3" t="s">
        <v>1320</v>
      </c>
      <c r="C3" t="s">
        <v>26</v>
      </c>
      <c r="D3">
        <v>1</v>
      </c>
      <c r="E3">
        <v>40</v>
      </c>
      <c r="F3">
        <v>23</v>
      </c>
      <c r="G3">
        <v>168</v>
      </c>
      <c r="H3">
        <v>1</v>
      </c>
      <c r="I3">
        <v>0</v>
      </c>
      <c r="J3">
        <v>6</v>
      </c>
      <c r="K3">
        <v>41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20.82</v>
      </c>
      <c r="T3">
        <v>0</v>
      </c>
      <c r="U3">
        <v>6.8333333333333304</v>
      </c>
      <c r="W3">
        <v>0.57499999999999996</v>
      </c>
      <c r="X3">
        <v>2.5000000000000001E-2</v>
      </c>
    </row>
    <row r="4" spans="1:24" x14ac:dyDescent="0.25">
      <c r="A4" t="s">
        <v>440</v>
      </c>
      <c r="B4" t="s">
        <v>1320</v>
      </c>
      <c r="C4" t="s">
        <v>26</v>
      </c>
      <c r="D4">
        <v>2</v>
      </c>
      <c r="E4">
        <v>8</v>
      </c>
      <c r="F4">
        <v>6</v>
      </c>
      <c r="G4">
        <v>58</v>
      </c>
      <c r="H4">
        <v>1</v>
      </c>
      <c r="I4">
        <v>1</v>
      </c>
      <c r="J4">
        <v>5</v>
      </c>
      <c r="K4">
        <v>70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11.32</v>
      </c>
      <c r="T4">
        <v>0</v>
      </c>
      <c r="U4">
        <v>14</v>
      </c>
      <c r="W4">
        <v>0.75</v>
      </c>
      <c r="X4">
        <v>0.125</v>
      </c>
    </row>
    <row r="5" spans="1:24" x14ac:dyDescent="0.25">
      <c r="A5" t="s">
        <v>1322</v>
      </c>
      <c r="B5" t="s">
        <v>1320</v>
      </c>
      <c r="C5" t="s">
        <v>31</v>
      </c>
      <c r="D5">
        <v>8</v>
      </c>
      <c r="E5">
        <v>0</v>
      </c>
      <c r="F5">
        <v>0</v>
      </c>
      <c r="G5">
        <v>0</v>
      </c>
      <c r="H5">
        <v>0</v>
      </c>
      <c r="I5">
        <v>0</v>
      </c>
      <c r="J5">
        <v>31</v>
      </c>
      <c r="K5">
        <v>141</v>
      </c>
      <c r="L5">
        <v>1</v>
      </c>
      <c r="M5">
        <v>8</v>
      </c>
      <c r="N5">
        <v>5</v>
      </c>
      <c r="O5">
        <v>39</v>
      </c>
      <c r="P5">
        <v>0</v>
      </c>
      <c r="Q5">
        <v>0</v>
      </c>
      <c r="R5">
        <v>0</v>
      </c>
      <c r="S5">
        <v>29</v>
      </c>
      <c r="T5">
        <v>1.5625E-2</v>
      </c>
      <c r="U5">
        <v>4.5483870967741904</v>
      </c>
      <c r="V5">
        <v>7.8</v>
      </c>
    </row>
    <row r="6" spans="1:24" x14ac:dyDescent="0.25">
      <c r="A6" t="s">
        <v>1323</v>
      </c>
      <c r="B6" t="s">
        <v>1320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54</v>
      </c>
      <c r="K6">
        <v>220</v>
      </c>
      <c r="L6">
        <v>1</v>
      </c>
      <c r="M6">
        <v>25</v>
      </c>
      <c r="N6">
        <v>20</v>
      </c>
      <c r="O6">
        <v>118</v>
      </c>
      <c r="P6">
        <v>0</v>
      </c>
      <c r="Q6">
        <v>0</v>
      </c>
      <c r="R6">
        <v>0</v>
      </c>
      <c r="S6">
        <v>59.8</v>
      </c>
      <c r="T6">
        <v>4.8828125E-2</v>
      </c>
      <c r="U6">
        <v>4.07407407407407</v>
      </c>
      <c r="V6">
        <v>5.9</v>
      </c>
    </row>
    <row r="7" spans="1:24" x14ac:dyDescent="0.25">
      <c r="A7" t="s">
        <v>1324</v>
      </c>
      <c r="B7" t="s">
        <v>1320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295</v>
      </c>
      <c r="K7">
        <v>1312</v>
      </c>
      <c r="L7">
        <v>10</v>
      </c>
      <c r="M7">
        <v>76</v>
      </c>
      <c r="N7">
        <v>57</v>
      </c>
      <c r="O7">
        <v>338</v>
      </c>
      <c r="P7">
        <v>0</v>
      </c>
      <c r="Q7">
        <v>0</v>
      </c>
      <c r="R7">
        <v>0</v>
      </c>
      <c r="S7">
        <v>284</v>
      </c>
      <c r="T7">
        <v>0.1484375</v>
      </c>
      <c r="U7">
        <v>4.4474576271186397</v>
      </c>
      <c r="V7">
        <v>5.9298245614035103</v>
      </c>
    </row>
    <row r="8" spans="1:24" x14ac:dyDescent="0.25">
      <c r="A8" t="s">
        <v>1325</v>
      </c>
      <c r="B8" t="s">
        <v>1320</v>
      </c>
      <c r="C8" t="s">
        <v>38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7</v>
      </c>
      <c r="O8">
        <v>65</v>
      </c>
      <c r="P8">
        <v>1</v>
      </c>
      <c r="Q8">
        <v>0</v>
      </c>
      <c r="R8">
        <v>0</v>
      </c>
      <c r="S8">
        <v>19.5</v>
      </c>
      <c r="T8">
        <v>1.5625E-2</v>
      </c>
      <c r="V8">
        <v>9.28571428571429</v>
      </c>
    </row>
    <row r="9" spans="1:24" x14ac:dyDescent="0.25">
      <c r="A9" t="s">
        <v>1326</v>
      </c>
      <c r="B9" t="s">
        <v>1320</v>
      </c>
      <c r="C9" t="s">
        <v>38</v>
      </c>
      <c r="D9">
        <v>11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35</v>
      </c>
      <c r="N9">
        <v>30</v>
      </c>
      <c r="O9">
        <v>268</v>
      </c>
      <c r="P9">
        <v>2</v>
      </c>
      <c r="Q9">
        <v>0</v>
      </c>
      <c r="R9">
        <v>0</v>
      </c>
      <c r="S9">
        <v>75</v>
      </c>
      <c r="T9">
        <v>6.8359375E-2</v>
      </c>
      <c r="U9">
        <v>2</v>
      </c>
      <c r="V9">
        <v>8.93333333333333</v>
      </c>
    </row>
    <row r="10" spans="1:24" x14ac:dyDescent="0.25">
      <c r="A10" t="s">
        <v>1327</v>
      </c>
      <c r="B10" t="s">
        <v>1320</v>
      </c>
      <c r="C10" t="s">
        <v>38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18</v>
      </c>
      <c r="N10">
        <v>13</v>
      </c>
      <c r="O10">
        <v>118</v>
      </c>
      <c r="P10">
        <v>1</v>
      </c>
      <c r="Q10">
        <v>0</v>
      </c>
      <c r="R10">
        <v>0</v>
      </c>
      <c r="S10">
        <v>30.8</v>
      </c>
      <c r="T10">
        <v>3.515625E-2</v>
      </c>
      <c r="V10">
        <v>9.0769230769230802</v>
      </c>
    </row>
    <row r="11" spans="1:24" x14ac:dyDescent="0.25">
      <c r="A11" t="s">
        <v>1278</v>
      </c>
      <c r="B11" t="s">
        <v>1320</v>
      </c>
      <c r="C11" t="s">
        <v>38</v>
      </c>
      <c r="D11">
        <v>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42</v>
      </c>
      <c r="P11">
        <v>0</v>
      </c>
      <c r="Q11">
        <v>0</v>
      </c>
      <c r="R11">
        <v>0</v>
      </c>
      <c r="S11">
        <v>8.1999999999999993</v>
      </c>
      <c r="T11">
        <v>1.3671875E-2</v>
      </c>
      <c r="V11">
        <v>10.5</v>
      </c>
    </row>
    <row r="12" spans="1:24" x14ac:dyDescent="0.25">
      <c r="A12" t="s">
        <v>1328</v>
      </c>
      <c r="B12" t="s">
        <v>1320</v>
      </c>
      <c r="C12" t="s">
        <v>38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15</v>
      </c>
      <c r="N12">
        <v>10</v>
      </c>
      <c r="O12">
        <v>132</v>
      </c>
      <c r="P12">
        <v>0</v>
      </c>
      <c r="Q12">
        <v>0</v>
      </c>
      <c r="R12">
        <v>0</v>
      </c>
      <c r="S12">
        <v>23.2</v>
      </c>
      <c r="T12">
        <v>2.9296875E-2</v>
      </c>
      <c r="V12">
        <v>13.2</v>
      </c>
    </row>
    <row r="13" spans="1:24" x14ac:dyDescent="0.25">
      <c r="A13" t="s">
        <v>1329</v>
      </c>
      <c r="B13" t="s">
        <v>1320</v>
      </c>
      <c r="C13" t="s">
        <v>43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17</v>
      </c>
      <c r="N13">
        <v>11</v>
      </c>
      <c r="O13">
        <v>106</v>
      </c>
      <c r="P13">
        <v>0</v>
      </c>
      <c r="Q13">
        <v>0</v>
      </c>
      <c r="R13">
        <v>0</v>
      </c>
      <c r="S13">
        <v>21.6</v>
      </c>
      <c r="T13">
        <v>3.3203125E-2</v>
      </c>
      <c r="V13">
        <v>9.6363636363636402</v>
      </c>
    </row>
    <row r="14" spans="1:24" x14ac:dyDescent="0.25">
      <c r="A14" t="s">
        <v>1330</v>
      </c>
      <c r="B14" t="s">
        <v>1320</v>
      </c>
      <c r="C14" t="s">
        <v>43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71</v>
      </c>
      <c r="N14">
        <v>46</v>
      </c>
      <c r="O14">
        <v>724</v>
      </c>
      <c r="P14">
        <v>2</v>
      </c>
      <c r="Q14">
        <v>0</v>
      </c>
      <c r="R14">
        <v>0</v>
      </c>
      <c r="S14">
        <v>128.4</v>
      </c>
      <c r="T14">
        <v>0.138671875</v>
      </c>
      <c r="V14">
        <v>15.7391304347826</v>
      </c>
    </row>
    <row r="15" spans="1:24" x14ac:dyDescent="0.25">
      <c r="A15" t="s">
        <v>263</v>
      </c>
      <c r="B15" t="s">
        <v>1320</v>
      </c>
      <c r="C15" t="s">
        <v>43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42</v>
      </c>
      <c r="N15">
        <v>33</v>
      </c>
      <c r="O15">
        <v>351</v>
      </c>
      <c r="P15">
        <v>4</v>
      </c>
      <c r="Q15">
        <v>0</v>
      </c>
      <c r="R15">
        <v>0</v>
      </c>
      <c r="S15">
        <v>92.1</v>
      </c>
      <c r="T15">
        <v>8.203125E-2</v>
      </c>
      <c r="V15">
        <v>10.636363636363599</v>
      </c>
    </row>
    <row r="16" spans="1:24" x14ac:dyDescent="0.25">
      <c r="A16" t="s">
        <v>1331</v>
      </c>
      <c r="B16" t="s">
        <v>1320</v>
      </c>
      <c r="C16" t="s">
        <v>43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17</v>
      </c>
      <c r="N16">
        <v>6</v>
      </c>
      <c r="O16">
        <v>81</v>
      </c>
      <c r="P16">
        <v>1</v>
      </c>
      <c r="Q16">
        <v>0</v>
      </c>
      <c r="R16">
        <v>0</v>
      </c>
      <c r="S16">
        <v>20.100000000000001</v>
      </c>
      <c r="T16">
        <v>3.3203125E-2</v>
      </c>
      <c r="V16">
        <v>13.5</v>
      </c>
    </row>
    <row r="17" spans="1:22" x14ac:dyDescent="0.25">
      <c r="A17" t="s">
        <v>929</v>
      </c>
      <c r="B17" t="s">
        <v>1320</v>
      </c>
      <c r="C17" t="s">
        <v>43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3</v>
      </c>
      <c r="N17">
        <v>2</v>
      </c>
      <c r="O17">
        <v>0</v>
      </c>
      <c r="P17">
        <v>0</v>
      </c>
      <c r="Q17">
        <v>0</v>
      </c>
      <c r="R17">
        <v>0</v>
      </c>
      <c r="S17">
        <v>4.3</v>
      </c>
      <c r="T17">
        <v>5.859375E-3</v>
      </c>
      <c r="U17">
        <v>11.5</v>
      </c>
      <c r="V17">
        <v>0</v>
      </c>
    </row>
    <row r="18" spans="1:22" x14ac:dyDescent="0.25">
      <c r="A18" t="s">
        <v>1332</v>
      </c>
      <c r="B18" t="s">
        <v>1320</v>
      </c>
      <c r="C18" t="s">
        <v>43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22</v>
      </c>
      <c r="N18">
        <v>9</v>
      </c>
      <c r="O18">
        <v>99</v>
      </c>
      <c r="P18">
        <v>0</v>
      </c>
      <c r="Q18">
        <v>0</v>
      </c>
      <c r="R18">
        <v>0</v>
      </c>
      <c r="S18">
        <v>18.899999999999999</v>
      </c>
      <c r="T18">
        <v>4.296875E-2</v>
      </c>
      <c r="V18">
        <v>11</v>
      </c>
    </row>
    <row r="19" spans="1:22" x14ac:dyDescent="0.25">
      <c r="A19" t="s">
        <v>1333</v>
      </c>
      <c r="B19" t="s">
        <v>1320</v>
      </c>
      <c r="C19" t="s">
        <v>43</v>
      </c>
      <c r="D19"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6</v>
      </c>
      <c r="L19">
        <v>0</v>
      </c>
      <c r="M19">
        <v>70</v>
      </c>
      <c r="N19">
        <v>57</v>
      </c>
      <c r="O19">
        <v>569</v>
      </c>
      <c r="P19">
        <v>4</v>
      </c>
      <c r="Q19">
        <v>0</v>
      </c>
      <c r="R19">
        <v>0</v>
      </c>
      <c r="S19">
        <v>138.5</v>
      </c>
      <c r="T19">
        <v>0.13671875</v>
      </c>
      <c r="U19">
        <v>3</v>
      </c>
      <c r="V19">
        <v>9.9824561403508802</v>
      </c>
    </row>
    <row r="20" spans="1:22" x14ac:dyDescent="0.25">
      <c r="A20" t="s">
        <v>1334</v>
      </c>
      <c r="B20" t="s">
        <v>1320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24</v>
      </c>
      <c r="N20">
        <v>13</v>
      </c>
      <c r="O20">
        <v>154</v>
      </c>
      <c r="P20">
        <v>1</v>
      </c>
      <c r="Q20">
        <v>0</v>
      </c>
      <c r="R20">
        <v>0</v>
      </c>
      <c r="S20">
        <v>34.4</v>
      </c>
      <c r="T20">
        <v>4.6875E-2</v>
      </c>
      <c r="V20">
        <v>11.846153846153801</v>
      </c>
    </row>
    <row r="21" spans="1:22" x14ac:dyDescent="0.25">
      <c r="A21" t="s">
        <v>1335</v>
      </c>
      <c r="B21" t="s">
        <v>1320</v>
      </c>
      <c r="C21" t="s">
        <v>43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-1</v>
      </c>
      <c r="L21">
        <v>0</v>
      </c>
      <c r="M21">
        <v>31</v>
      </c>
      <c r="N21">
        <v>23</v>
      </c>
      <c r="O21">
        <v>227</v>
      </c>
      <c r="P21">
        <v>1</v>
      </c>
      <c r="Q21">
        <v>0</v>
      </c>
      <c r="R21">
        <v>0</v>
      </c>
      <c r="S21">
        <v>51.6</v>
      </c>
      <c r="T21">
        <v>6.0546875E-2</v>
      </c>
      <c r="U21">
        <v>-0.5</v>
      </c>
      <c r="V21">
        <v>9.8695652173912993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1320</v>
      </c>
      <c r="B31">
        <v>5953</v>
      </c>
      <c r="C31">
        <v>3431</v>
      </c>
      <c r="D31">
        <v>518</v>
      </c>
      <c r="E31">
        <v>2522</v>
      </c>
      <c r="F31">
        <v>21</v>
      </c>
      <c r="G31">
        <v>1360.54</v>
      </c>
      <c r="H31">
        <v>520</v>
      </c>
      <c r="I31">
        <v>0.66538461538461502</v>
      </c>
      <c r="J31">
        <v>17</v>
      </c>
      <c r="K31">
        <v>6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NYG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1336</v>
      </c>
      <c r="B36" t="s">
        <v>26</v>
      </c>
      <c r="C36">
        <v>25</v>
      </c>
      <c r="D36">
        <v>0</v>
      </c>
      <c r="E36" t="s">
        <v>446</v>
      </c>
      <c r="F36" t="s">
        <v>1320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1337</v>
      </c>
      <c r="B37" t="s">
        <v>26</v>
      </c>
      <c r="C37">
        <v>26</v>
      </c>
      <c r="D37">
        <v>5</v>
      </c>
      <c r="E37" t="s">
        <v>697</v>
      </c>
      <c r="F37" t="s">
        <v>1320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1338</v>
      </c>
      <c r="B38" t="s">
        <v>26</v>
      </c>
      <c r="C38">
        <v>34</v>
      </c>
      <c r="D38">
        <v>13</v>
      </c>
      <c r="E38" t="s">
        <v>333</v>
      </c>
      <c r="F38" t="s">
        <v>1320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1339</v>
      </c>
      <c r="B46" t="s">
        <v>31</v>
      </c>
      <c r="C46">
        <v>26</v>
      </c>
      <c r="D46">
        <v>6</v>
      </c>
      <c r="E46" t="s">
        <v>339</v>
      </c>
      <c r="F46" t="s">
        <v>1320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1340</v>
      </c>
      <c r="B47" t="s">
        <v>31</v>
      </c>
      <c r="C47">
        <v>28</v>
      </c>
      <c r="D47">
        <v>7</v>
      </c>
      <c r="E47" t="s">
        <v>939</v>
      </c>
      <c r="F47" t="s">
        <v>1320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1341</v>
      </c>
      <c r="B48" t="s">
        <v>31</v>
      </c>
      <c r="C48">
        <v>25</v>
      </c>
      <c r="D48">
        <v>3</v>
      </c>
      <c r="E48" t="s">
        <v>1247</v>
      </c>
      <c r="F48" t="s">
        <v>1320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1342</v>
      </c>
      <c r="B49" t="s">
        <v>31</v>
      </c>
      <c r="C49">
        <v>22</v>
      </c>
      <c r="D49">
        <v>1</v>
      </c>
      <c r="E49" t="s">
        <v>1012</v>
      </c>
      <c r="F49" t="s">
        <v>1320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1343</v>
      </c>
      <c r="B50" t="s">
        <v>31</v>
      </c>
      <c r="C50">
        <v>23</v>
      </c>
      <c r="D50">
        <v>0</v>
      </c>
      <c r="E50" t="s">
        <v>68</v>
      </c>
      <c r="F50" t="s">
        <v>1320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1344</v>
      </c>
      <c r="B51" t="s">
        <v>31</v>
      </c>
      <c r="C51">
        <v>25</v>
      </c>
      <c r="D51">
        <v>4</v>
      </c>
      <c r="E51" t="s">
        <v>1345</v>
      </c>
      <c r="F51" t="s">
        <v>1320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1346</v>
      </c>
      <c r="B61" t="s">
        <v>43</v>
      </c>
      <c r="C61">
        <v>34</v>
      </c>
      <c r="D61">
        <v>12</v>
      </c>
      <c r="E61" t="s">
        <v>237</v>
      </c>
      <c r="F61" t="s">
        <v>1320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1347</v>
      </c>
      <c r="B62" t="s">
        <v>43</v>
      </c>
      <c r="C62">
        <v>26</v>
      </c>
      <c r="D62">
        <v>5</v>
      </c>
      <c r="E62" t="s">
        <v>213</v>
      </c>
      <c r="F62" t="s">
        <v>1320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1348</v>
      </c>
      <c r="B63" t="s">
        <v>43</v>
      </c>
      <c r="C63">
        <v>30</v>
      </c>
      <c r="D63">
        <v>9</v>
      </c>
      <c r="E63" t="s">
        <v>697</v>
      </c>
      <c r="F63" t="s">
        <v>1320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1349</v>
      </c>
      <c r="B64" t="s">
        <v>43</v>
      </c>
      <c r="C64">
        <v>23</v>
      </c>
      <c r="D64">
        <v>0</v>
      </c>
      <c r="E64" t="s">
        <v>344</v>
      </c>
      <c r="F64" t="s">
        <v>1320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1350</v>
      </c>
      <c r="B65" t="s">
        <v>43</v>
      </c>
      <c r="C65">
        <v>24</v>
      </c>
      <c r="D65">
        <v>3</v>
      </c>
      <c r="E65" t="s">
        <v>111</v>
      </c>
      <c r="F65" t="s">
        <v>1320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1351</v>
      </c>
      <c r="B66" t="s">
        <v>43</v>
      </c>
      <c r="C66">
        <v>21</v>
      </c>
      <c r="D66">
        <v>0</v>
      </c>
      <c r="E66" t="s">
        <v>143</v>
      </c>
      <c r="F66" t="s">
        <v>1320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1352</v>
      </c>
      <c r="B67" t="s">
        <v>43</v>
      </c>
      <c r="C67">
        <v>25</v>
      </c>
      <c r="D67">
        <v>4</v>
      </c>
      <c r="E67" t="s">
        <v>66</v>
      </c>
      <c r="F67" t="s">
        <v>1320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1353</v>
      </c>
      <c r="B68" t="s">
        <v>43</v>
      </c>
      <c r="C68">
        <v>29</v>
      </c>
      <c r="D68">
        <v>5</v>
      </c>
      <c r="E68" t="s">
        <v>86</v>
      </c>
      <c r="F68" t="s">
        <v>1320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1354</v>
      </c>
      <c r="B69" t="s">
        <v>43</v>
      </c>
      <c r="C69">
        <v>24</v>
      </c>
      <c r="D69">
        <v>1</v>
      </c>
      <c r="E69" t="s">
        <v>309</v>
      </c>
      <c r="F69" t="s">
        <v>1320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1355</v>
      </c>
      <c r="B70" t="s">
        <v>43</v>
      </c>
      <c r="C70">
        <v>22</v>
      </c>
      <c r="D70">
        <v>2</v>
      </c>
      <c r="E70" t="s">
        <v>150</v>
      </c>
      <c r="F70" t="s">
        <v>1320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1356</v>
      </c>
      <c r="B71" t="s">
        <v>43</v>
      </c>
      <c r="C71">
        <v>30</v>
      </c>
      <c r="D71">
        <v>8</v>
      </c>
      <c r="E71" t="s">
        <v>68</v>
      </c>
      <c r="F71" t="s">
        <v>1320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1357</v>
      </c>
      <c r="B72" t="s">
        <v>43</v>
      </c>
      <c r="C72">
        <v>27</v>
      </c>
      <c r="D72">
        <v>3</v>
      </c>
      <c r="E72" t="s">
        <v>344</v>
      </c>
      <c r="F72" t="s">
        <v>1320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1358</v>
      </c>
      <c r="B73" t="s">
        <v>43</v>
      </c>
      <c r="C73">
        <v>26</v>
      </c>
      <c r="D73">
        <v>5</v>
      </c>
      <c r="E73" t="s">
        <v>464</v>
      </c>
      <c r="F73" t="s">
        <v>1320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1359</v>
      </c>
      <c r="B76" t="s">
        <v>38</v>
      </c>
      <c r="C76">
        <v>22</v>
      </c>
      <c r="D76">
        <v>2</v>
      </c>
      <c r="E76" t="s">
        <v>795</v>
      </c>
      <c r="F76" t="s">
        <v>1320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1360</v>
      </c>
      <c r="B77" t="s">
        <v>38</v>
      </c>
      <c r="C77">
        <v>25</v>
      </c>
      <c r="D77">
        <v>3</v>
      </c>
      <c r="E77" t="s">
        <v>173</v>
      </c>
      <c r="F77" t="s">
        <v>1320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1361</v>
      </c>
      <c r="B78" t="s">
        <v>38</v>
      </c>
      <c r="C78">
        <v>23</v>
      </c>
      <c r="D78">
        <v>0</v>
      </c>
      <c r="E78" t="s">
        <v>220</v>
      </c>
      <c r="F78" t="s">
        <v>1320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1362</v>
      </c>
      <c r="B79" t="s">
        <v>38</v>
      </c>
      <c r="C79">
        <v>28</v>
      </c>
      <c r="D79">
        <v>5</v>
      </c>
      <c r="E79" t="s">
        <v>235</v>
      </c>
      <c r="F79" t="s">
        <v>1320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1363</v>
      </c>
      <c r="B80" t="s">
        <v>38</v>
      </c>
      <c r="C80">
        <v>30</v>
      </c>
      <c r="D80">
        <v>7</v>
      </c>
      <c r="E80" t="s">
        <v>455</v>
      </c>
      <c r="F80" t="s">
        <v>1320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topLeftCell="F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1364</v>
      </c>
      <c r="B2" t="s">
        <v>1365</v>
      </c>
      <c r="C2" t="s">
        <v>26</v>
      </c>
      <c r="D2">
        <v>1</v>
      </c>
      <c r="E2">
        <v>15</v>
      </c>
      <c r="F2">
        <v>10</v>
      </c>
      <c r="G2">
        <v>90</v>
      </c>
      <c r="H2">
        <v>0</v>
      </c>
      <c r="I2">
        <v>0</v>
      </c>
      <c r="J2">
        <v>9</v>
      </c>
      <c r="K2">
        <v>54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9</v>
      </c>
      <c r="T2">
        <v>0</v>
      </c>
      <c r="U2">
        <v>6</v>
      </c>
      <c r="W2">
        <v>0.66666666666666696</v>
      </c>
      <c r="X2">
        <v>0</v>
      </c>
    </row>
    <row r="3" spans="1:24" x14ac:dyDescent="0.25">
      <c r="A3" t="s">
        <v>1366</v>
      </c>
      <c r="B3" t="s">
        <v>1365</v>
      </c>
      <c r="C3" t="s">
        <v>26</v>
      </c>
      <c r="D3">
        <v>5</v>
      </c>
      <c r="E3">
        <v>191</v>
      </c>
      <c r="F3">
        <v>110</v>
      </c>
      <c r="G3">
        <v>1051</v>
      </c>
      <c r="H3">
        <v>5</v>
      </c>
      <c r="I3">
        <v>3</v>
      </c>
      <c r="J3">
        <v>3</v>
      </c>
      <c r="K3">
        <v>6</v>
      </c>
      <c r="L3">
        <v>0</v>
      </c>
      <c r="M3">
        <v>1</v>
      </c>
      <c r="N3">
        <v>1</v>
      </c>
      <c r="O3">
        <v>-16</v>
      </c>
      <c r="P3">
        <v>0</v>
      </c>
      <c r="Q3">
        <v>4</v>
      </c>
      <c r="R3">
        <v>0</v>
      </c>
      <c r="S3">
        <v>48.04</v>
      </c>
      <c r="T3">
        <v>1.9230769230769199E-3</v>
      </c>
      <c r="U3">
        <v>2</v>
      </c>
      <c r="V3">
        <v>-16</v>
      </c>
      <c r="W3">
        <v>0.57591623036649198</v>
      </c>
      <c r="X3">
        <v>2.6178010471204199E-2</v>
      </c>
    </row>
    <row r="4" spans="1:24" x14ac:dyDescent="0.25">
      <c r="A4" t="s">
        <v>1367</v>
      </c>
      <c r="B4" t="s">
        <v>1365</v>
      </c>
      <c r="C4" t="s">
        <v>26</v>
      </c>
      <c r="D4">
        <v>4</v>
      </c>
      <c r="E4">
        <v>175</v>
      </c>
      <c r="F4">
        <v>103</v>
      </c>
      <c r="G4">
        <v>1192</v>
      </c>
      <c r="H4">
        <v>3</v>
      </c>
      <c r="I4">
        <v>4</v>
      </c>
      <c r="J4">
        <v>6</v>
      </c>
      <c r="K4">
        <v>9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56.58</v>
      </c>
      <c r="T4">
        <v>0</v>
      </c>
      <c r="U4">
        <v>1.5</v>
      </c>
      <c r="W4">
        <v>0.58857142857142897</v>
      </c>
      <c r="X4">
        <v>1.7142857142857099E-2</v>
      </c>
    </row>
    <row r="5" spans="1:24" x14ac:dyDescent="0.25">
      <c r="A5" t="s">
        <v>1368</v>
      </c>
      <c r="B5" t="s">
        <v>1365</v>
      </c>
      <c r="C5" t="s">
        <v>26</v>
      </c>
      <c r="D5">
        <v>9</v>
      </c>
      <c r="E5">
        <v>242</v>
      </c>
      <c r="F5">
        <v>132</v>
      </c>
      <c r="G5">
        <v>1688</v>
      </c>
      <c r="H5">
        <v>6</v>
      </c>
      <c r="I5">
        <v>7</v>
      </c>
      <c r="J5">
        <v>28</v>
      </c>
      <c r="K5">
        <v>102</v>
      </c>
      <c r="L5">
        <v>1</v>
      </c>
      <c r="M5">
        <v>1</v>
      </c>
      <c r="N5">
        <v>1</v>
      </c>
      <c r="O5">
        <v>2</v>
      </c>
      <c r="P5">
        <v>1</v>
      </c>
      <c r="Q5">
        <v>1</v>
      </c>
      <c r="R5">
        <v>0</v>
      </c>
      <c r="S5">
        <v>98.92</v>
      </c>
      <c r="T5">
        <v>1.9230769230769199E-3</v>
      </c>
      <c r="U5">
        <v>3.6428571428571401</v>
      </c>
      <c r="V5">
        <v>2</v>
      </c>
      <c r="W5">
        <v>0.54545454545454497</v>
      </c>
      <c r="X5">
        <v>2.4793388429752101E-2</v>
      </c>
    </row>
    <row r="6" spans="1:24" x14ac:dyDescent="0.25">
      <c r="A6" t="s">
        <v>1369</v>
      </c>
      <c r="B6" t="s">
        <v>1365</v>
      </c>
      <c r="C6" t="s">
        <v>31</v>
      </c>
      <c r="D6">
        <v>7</v>
      </c>
      <c r="E6">
        <v>0</v>
      </c>
      <c r="F6">
        <v>0</v>
      </c>
      <c r="G6">
        <v>0</v>
      </c>
      <c r="H6">
        <v>0</v>
      </c>
      <c r="I6">
        <v>0</v>
      </c>
      <c r="J6">
        <v>80</v>
      </c>
      <c r="K6">
        <v>463</v>
      </c>
      <c r="L6">
        <v>4</v>
      </c>
      <c r="M6">
        <v>31</v>
      </c>
      <c r="N6">
        <v>19</v>
      </c>
      <c r="O6">
        <v>218</v>
      </c>
      <c r="P6">
        <v>1</v>
      </c>
      <c r="Q6">
        <v>0</v>
      </c>
      <c r="R6">
        <v>0</v>
      </c>
      <c r="S6">
        <v>115.1</v>
      </c>
      <c r="T6">
        <v>5.9615384615384598E-2</v>
      </c>
      <c r="U6">
        <v>5.7874999999999996</v>
      </c>
      <c r="V6">
        <v>11.473684210526301</v>
      </c>
    </row>
    <row r="7" spans="1:24" x14ac:dyDescent="0.25">
      <c r="A7" t="s">
        <v>869</v>
      </c>
      <c r="B7" t="s">
        <v>1365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29</v>
      </c>
      <c r="K7">
        <v>85</v>
      </c>
      <c r="L7">
        <v>0</v>
      </c>
      <c r="M7">
        <v>3</v>
      </c>
      <c r="N7">
        <v>2</v>
      </c>
      <c r="O7">
        <v>5</v>
      </c>
      <c r="P7">
        <v>1</v>
      </c>
      <c r="Q7">
        <v>0</v>
      </c>
      <c r="R7">
        <v>0</v>
      </c>
      <c r="S7">
        <v>17</v>
      </c>
      <c r="T7">
        <v>5.7692307692307704E-3</v>
      </c>
      <c r="U7">
        <v>2.9310344827586201</v>
      </c>
      <c r="V7">
        <v>2.5</v>
      </c>
    </row>
    <row r="8" spans="1:24" x14ac:dyDescent="0.25">
      <c r="A8" t="s">
        <v>1370</v>
      </c>
      <c r="B8" t="s">
        <v>1365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114</v>
      </c>
      <c r="K8">
        <v>402</v>
      </c>
      <c r="L8">
        <v>3</v>
      </c>
      <c r="M8">
        <v>54</v>
      </c>
      <c r="N8">
        <v>41</v>
      </c>
      <c r="O8">
        <v>288</v>
      </c>
      <c r="P8">
        <v>0</v>
      </c>
      <c r="Q8">
        <v>1</v>
      </c>
      <c r="R8">
        <v>0</v>
      </c>
      <c r="S8">
        <v>126</v>
      </c>
      <c r="T8">
        <v>0.103846153846154</v>
      </c>
      <c r="U8">
        <v>3.5263157894736801</v>
      </c>
      <c r="V8">
        <v>7.0243902439024399</v>
      </c>
    </row>
    <row r="9" spans="1:24" x14ac:dyDescent="0.25">
      <c r="A9" t="s">
        <v>775</v>
      </c>
      <c r="B9" t="s">
        <v>1365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30</v>
      </c>
      <c r="K9">
        <v>160</v>
      </c>
      <c r="L9">
        <v>1</v>
      </c>
      <c r="M9">
        <v>24</v>
      </c>
      <c r="N9">
        <v>12</v>
      </c>
      <c r="O9">
        <v>88</v>
      </c>
      <c r="P9">
        <v>0</v>
      </c>
      <c r="Q9">
        <v>0</v>
      </c>
      <c r="R9">
        <v>0</v>
      </c>
      <c r="S9">
        <v>42.8</v>
      </c>
      <c r="T9">
        <v>4.6153846153846198E-2</v>
      </c>
      <c r="U9">
        <v>5.3333333333333304</v>
      </c>
      <c r="V9">
        <v>7.3333333333333304</v>
      </c>
    </row>
    <row r="10" spans="1:24" x14ac:dyDescent="0.25">
      <c r="A10" t="s">
        <v>1371</v>
      </c>
      <c r="B10" t="s">
        <v>1365</v>
      </c>
      <c r="C10" t="s">
        <v>31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85</v>
      </c>
      <c r="K10">
        <v>300</v>
      </c>
      <c r="L10">
        <v>1</v>
      </c>
      <c r="M10">
        <v>14</v>
      </c>
      <c r="N10">
        <v>13</v>
      </c>
      <c r="O10">
        <v>100</v>
      </c>
      <c r="P10">
        <v>0</v>
      </c>
      <c r="Q10">
        <v>0</v>
      </c>
      <c r="R10">
        <v>0</v>
      </c>
      <c r="S10">
        <v>59</v>
      </c>
      <c r="T10">
        <v>2.69230769230769E-2</v>
      </c>
      <c r="U10">
        <v>3.52941176470588</v>
      </c>
      <c r="V10">
        <v>7.6923076923076898</v>
      </c>
    </row>
    <row r="11" spans="1:24" x14ac:dyDescent="0.25">
      <c r="A11" t="s">
        <v>1372</v>
      </c>
      <c r="B11" t="s">
        <v>1365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27</v>
      </c>
      <c r="N11">
        <v>21</v>
      </c>
      <c r="O11">
        <v>232</v>
      </c>
      <c r="P11">
        <v>2</v>
      </c>
      <c r="Q11">
        <v>0</v>
      </c>
      <c r="R11">
        <v>0</v>
      </c>
      <c r="S11">
        <v>56.2</v>
      </c>
      <c r="T11">
        <v>5.1923076923076898E-2</v>
      </c>
      <c r="V11">
        <v>11.047619047618999</v>
      </c>
    </row>
    <row r="12" spans="1:24" x14ac:dyDescent="0.25">
      <c r="A12" t="s">
        <v>1373</v>
      </c>
      <c r="B12" t="s">
        <v>1365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1</v>
      </c>
      <c r="O12">
        <v>8</v>
      </c>
      <c r="P12">
        <v>0</v>
      </c>
      <c r="Q12">
        <v>0</v>
      </c>
      <c r="R12">
        <v>0</v>
      </c>
      <c r="S12">
        <v>1.8</v>
      </c>
      <c r="T12">
        <v>3.8461538461538498E-3</v>
      </c>
      <c r="V12">
        <v>8</v>
      </c>
    </row>
    <row r="13" spans="1:24" x14ac:dyDescent="0.25">
      <c r="A13" t="s">
        <v>1327</v>
      </c>
      <c r="B13" t="s">
        <v>1365</v>
      </c>
      <c r="C13" t="s">
        <v>38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1.9230769230769199E-3</v>
      </c>
    </row>
    <row r="14" spans="1:24" x14ac:dyDescent="0.25">
      <c r="A14" t="s">
        <v>1374</v>
      </c>
      <c r="B14" t="s">
        <v>1365</v>
      </c>
      <c r="C14" t="s">
        <v>38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3</v>
      </c>
      <c r="L14">
        <v>0</v>
      </c>
      <c r="M14">
        <v>87</v>
      </c>
      <c r="N14">
        <v>58</v>
      </c>
      <c r="O14">
        <v>552</v>
      </c>
      <c r="P14">
        <v>3</v>
      </c>
      <c r="Q14">
        <v>0</v>
      </c>
      <c r="R14">
        <v>0</v>
      </c>
      <c r="S14">
        <v>131.5</v>
      </c>
      <c r="T14">
        <v>0.16730769230769199</v>
      </c>
      <c r="U14">
        <v>1.5</v>
      </c>
      <c r="V14">
        <v>9.5172413793103505</v>
      </c>
    </row>
    <row r="15" spans="1:24" x14ac:dyDescent="0.25">
      <c r="A15" t="s">
        <v>1375</v>
      </c>
      <c r="B15" t="s">
        <v>1365</v>
      </c>
      <c r="C15" t="s">
        <v>43</v>
      </c>
      <c r="D15">
        <v>15</v>
      </c>
      <c r="E15">
        <v>1</v>
      </c>
      <c r="F15">
        <v>1</v>
      </c>
      <c r="G15">
        <v>2</v>
      </c>
      <c r="H15">
        <v>1</v>
      </c>
      <c r="I15">
        <v>0</v>
      </c>
      <c r="J15">
        <v>9</v>
      </c>
      <c r="K15">
        <v>91</v>
      </c>
      <c r="L15">
        <v>2</v>
      </c>
      <c r="M15">
        <v>32</v>
      </c>
      <c r="N15">
        <v>18</v>
      </c>
      <c r="O15">
        <v>145</v>
      </c>
      <c r="P15">
        <v>0</v>
      </c>
      <c r="Q15">
        <v>0</v>
      </c>
      <c r="R15">
        <v>0</v>
      </c>
      <c r="S15">
        <v>57.68</v>
      </c>
      <c r="T15">
        <v>6.15384615384615E-2</v>
      </c>
      <c r="U15">
        <v>10.1111111111111</v>
      </c>
      <c r="V15">
        <v>8.0555555555555607</v>
      </c>
      <c r="W15">
        <v>1</v>
      </c>
      <c r="X15">
        <v>1</v>
      </c>
    </row>
    <row r="16" spans="1:24" x14ac:dyDescent="0.25">
      <c r="A16" t="s">
        <v>1376</v>
      </c>
      <c r="B16" t="s">
        <v>1365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64</v>
      </c>
      <c r="N16">
        <v>32</v>
      </c>
      <c r="O16">
        <v>536</v>
      </c>
      <c r="P16">
        <v>2</v>
      </c>
      <c r="Q16">
        <v>0</v>
      </c>
      <c r="R16">
        <v>0</v>
      </c>
      <c r="S16">
        <v>97.6</v>
      </c>
      <c r="T16">
        <v>0.123076923076923</v>
      </c>
      <c r="V16">
        <v>16.75</v>
      </c>
    </row>
    <row r="17" spans="1:24" x14ac:dyDescent="0.25">
      <c r="A17" t="s">
        <v>1377</v>
      </c>
      <c r="B17" t="s">
        <v>1365</v>
      </c>
      <c r="C17" t="s">
        <v>43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25</v>
      </c>
      <c r="N17">
        <v>11</v>
      </c>
      <c r="O17">
        <v>186</v>
      </c>
      <c r="P17">
        <v>0</v>
      </c>
      <c r="Q17">
        <v>0</v>
      </c>
      <c r="R17">
        <v>0</v>
      </c>
      <c r="S17">
        <v>29.6</v>
      </c>
      <c r="T17">
        <v>4.80769230769231E-2</v>
      </c>
      <c r="V17">
        <v>16.909090909090899</v>
      </c>
    </row>
    <row r="18" spans="1:24" x14ac:dyDescent="0.25">
      <c r="A18" t="s">
        <v>1378</v>
      </c>
      <c r="B18" t="s">
        <v>1365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5</v>
      </c>
      <c r="L18">
        <v>0</v>
      </c>
      <c r="M18">
        <v>65</v>
      </c>
      <c r="N18">
        <v>37</v>
      </c>
      <c r="O18">
        <v>446</v>
      </c>
      <c r="P18">
        <v>1</v>
      </c>
      <c r="Q18">
        <v>0</v>
      </c>
      <c r="R18">
        <v>0</v>
      </c>
      <c r="S18">
        <v>88.1</v>
      </c>
      <c r="T18">
        <v>0.125</v>
      </c>
      <c r="U18">
        <v>1</v>
      </c>
      <c r="V18">
        <v>12.054054054054101</v>
      </c>
    </row>
    <row r="19" spans="1:24" x14ac:dyDescent="0.25">
      <c r="A19" t="s">
        <v>1379</v>
      </c>
      <c r="B19" t="s">
        <v>1365</v>
      </c>
      <c r="C19" t="s">
        <v>43</v>
      </c>
      <c r="D19">
        <v>17</v>
      </c>
      <c r="E19">
        <v>1</v>
      </c>
      <c r="F19">
        <v>0</v>
      </c>
      <c r="G19">
        <v>0</v>
      </c>
      <c r="H19">
        <v>0</v>
      </c>
      <c r="I19">
        <v>0</v>
      </c>
      <c r="J19">
        <v>4</v>
      </c>
      <c r="K19">
        <v>4</v>
      </c>
      <c r="L19">
        <v>0</v>
      </c>
      <c r="M19">
        <v>146</v>
      </c>
      <c r="N19">
        <v>82</v>
      </c>
      <c r="O19">
        <v>1116</v>
      </c>
      <c r="P19">
        <v>4</v>
      </c>
      <c r="Q19">
        <v>0</v>
      </c>
      <c r="R19">
        <v>0</v>
      </c>
      <c r="S19">
        <v>216</v>
      </c>
      <c r="T19">
        <v>0.28076923076923099</v>
      </c>
      <c r="U19">
        <v>1</v>
      </c>
      <c r="V19">
        <v>13.609756097561</v>
      </c>
      <c r="W19">
        <v>0</v>
      </c>
      <c r="X19">
        <v>0</v>
      </c>
    </row>
    <row r="20" spans="1:24" x14ac:dyDescent="0.25">
      <c r="A20" t="s">
        <v>1229</v>
      </c>
      <c r="B20" t="s">
        <v>1365</v>
      </c>
      <c r="C20" t="s">
        <v>43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</v>
      </c>
      <c r="N20">
        <v>8</v>
      </c>
      <c r="O20">
        <v>134</v>
      </c>
      <c r="P20">
        <v>0</v>
      </c>
      <c r="Q20">
        <v>0</v>
      </c>
      <c r="R20">
        <v>0</v>
      </c>
      <c r="S20">
        <v>21.4</v>
      </c>
      <c r="T20">
        <v>2.11538461538462E-2</v>
      </c>
      <c r="V20">
        <v>16.75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1365</v>
      </c>
      <c r="B31">
        <v>5707</v>
      </c>
      <c r="C31">
        <v>4023</v>
      </c>
      <c r="D31">
        <v>404</v>
      </c>
      <c r="E31">
        <v>1684</v>
      </c>
      <c r="F31">
        <v>13</v>
      </c>
      <c r="G31">
        <v>1272.32</v>
      </c>
      <c r="H31">
        <v>625</v>
      </c>
      <c r="I31">
        <v>0.5696</v>
      </c>
      <c r="J31">
        <v>15</v>
      </c>
      <c r="K31">
        <v>14</v>
      </c>
      <c r="L31">
        <v>7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NYJ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1380</v>
      </c>
      <c r="B36" t="s">
        <v>26</v>
      </c>
      <c r="C36">
        <v>28</v>
      </c>
      <c r="D36">
        <v>5</v>
      </c>
      <c r="E36" t="s">
        <v>1381</v>
      </c>
      <c r="F36" t="s">
        <v>1365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1382</v>
      </c>
      <c r="B37" t="s">
        <v>26</v>
      </c>
      <c r="C37">
        <v>39</v>
      </c>
      <c r="D37">
        <v>19</v>
      </c>
      <c r="E37" t="s">
        <v>666</v>
      </c>
      <c r="F37" t="s">
        <v>1365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1383</v>
      </c>
      <c r="B38" t="s">
        <v>26</v>
      </c>
      <c r="C38">
        <v>24</v>
      </c>
      <c r="D38">
        <v>3</v>
      </c>
      <c r="E38" t="s">
        <v>82</v>
      </c>
      <c r="F38" t="s">
        <v>1365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1384</v>
      </c>
      <c r="B46" t="s">
        <v>31</v>
      </c>
      <c r="C46">
        <v>20</v>
      </c>
      <c r="D46">
        <v>0</v>
      </c>
      <c r="E46" t="s">
        <v>74</v>
      </c>
      <c r="F46" t="s">
        <v>1365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1385</v>
      </c>
      <c r="B47" t="s">
        <v>31</v>
      </c>
      <c r="C47">
        <v>24</v>
      </c>
      <c r="D47">
        <v>3</v>
      </c>
      <c r="E47" t="s">
        <v>163</v>
      </c>
      <c r="F47" t="s">
        <v>1365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1386</v>
      </c>
      <c r="B48" t="s">
        <v>31</v>
      </c>
      <c r="C48">
        <v>28</v>
      </c>
      <c r="D48">
        <v>7</v>
      </c>
      <c r="E48" t="s">
        <v>1012</v>
      </c>
      <c r="F48" t="s">
        <v>1365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1387</v>
      </c>
      <c r="B49" t="s">
        <v>31</v>
      </c>
      <c r="C49">
        <v>23</v>
      </c>
      <c r="D49">
        <v>0</v>
      </c>
      <c r="E49" t="s">
        <v>78</v>
      </c>
      <c r="F49" t="s">
        <v>1365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1388</v>
      </c>
      <c r="B50" t="s">
        <v>31</v>
      </c>
      <c r="C50">
        <v>22</v>
      </c>
      <c r="D50">
        <v>2</v>
      </c>
      <c r="E50" t="s">
        <v>244</v>
      </c>
      <c r="F50" t="s">
        <v>1365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1389</v>
      </c>
      <c r="B51" t="s">
        <v>31</v>
      </c>
      <c r="C51">
        <v>22</v>
      </c>
      <c r="D51">
        <v>2</v>
      </c>
      <c r="E51" t="s">
        <v>1113</v>
      </c>
      <c r="F51" t="s">
        <v>1365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1390</v>
      </c>
      <c r="B61" t="s">
        <v>43</v>
      </c>
      <c r="C61">
        <v>24</v>
      </c>
      <c r="D61">
        <v>0</v>
      </c>
      <c r="E61" t="s">
        <v>898</v>
      </c>
      <c r="F61" t="s">
        <v>1365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1391</v>
      </c>
      <c r="B62" t="s">
        <v>43</v>
      </c>
      <c r="C62">
        <v>26</v>
      </c>
      <c r="D62">
        <v>1</v>
      </c>
      <c r="E62" t="s">
        <v>1392</v>
      </c>
      <c r="F62" t="s">
        <v>1365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1393</v>
      </c>
      <c r="B63" t="s">
        <v>43</v>
      </c>
      <c r="C63">
        <v>32</v>
      </c>
      <c r="D63">
        <v>13</v>
      </c>
      <c r="E63" t="s">
        <v>150</v>
      </c>
      <c r="F63" t="s">
        <v>1365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1394</v>
      </c>
      <c r="B64" t="s">
        <v>43</v>
      </c>
      <c r="C64">
        <v>28</v>
      </c>
      <c r="D64">
        <v>7</v>
      </c>
      <c r="E64" t="s">
        <v>357</v>
      </c>
      <c r="F64" t="s">
        <v>1365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1395</v>
      </c>
      <c r="B65" t="s">
        <v>43</v>
      </c>
      <c r="C65">
        <v>30</v>
      </c>
      <c r="D65">
        <v>7</v>
      </c>
      <c r="E65" t="s">
        <v>72</v>
      </c>
      <c r="F65" t="s">
        <v>1365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1396</v>
      </c>
      <c r="B66" t="s">
        <v>43</v>
      </c>
      <c r="C66">
        <v>22</v>
      </c>
      <c r="D66">
        <v>0</v>
      </c>
      <c r="E66" t="s">
        <v>1397</v>
      </c>
      <c r="F66" t="s">
        <v>1365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1398</v>
      </c>
      <c r="B67" t="s">
        <v>43</v>
      </c>
      <c r="C67">
        <v>25</v>
      </c>
      <c r="D67">
        <v>5</v>
      </c>
      <c r="E67" t="s">
        <v>173</v>
      </c>
      <c r="F67" t="s">
        <v>1365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1399</v>
      </c>
      <c r="B68" t="s">
        <v>43</v>
      </c>
      <c r="C68">
        <v>24</v>
      </c>
      <c r="D68">
        <v>0</v>
      </c>
      <c r="E68" t="s">
        <v>677</v>
      </c>
      <c r="F68" t="s">
        <v>1365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1400</v>
      </c>
      <c r="B69" t="s">
        <v>43</v>
      </c>
      <c r="C69">
        <v>27</v>
      </c>
      <c r="D69">
        <v>5</v>
      </c>
      <c r="E69" t="s">
        <v>244</v>
      </c>
      <c r="F69" t="s">
        <v>1365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1401</v>
      </c>
      <c r="B70" t="s">
        <v>43</v>
      </c>
      <c r="C70">
        <v>23</v>
      </c>
      <c r="D70">
        <v>0</v>
      </c>
      <c r="E70" t="s">
        <v>1402</v>
      </c>
      <c r="F70" t="s">
        <v>1365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1403</v>
      </c>
      <c r="B71" t="s">
        <v>43</v>
      </c>
      <c r="C71">
        <v>27</v>
      </c>
      <c r="D71">
        <v>3</v>
      </c>
      <c r="E71" t="s">
        <v>1404</v>
      </c>
      <c r="F71" t="s">
        <v>1365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1405</v>
      </c>
      <c r="B72" t="s">
        <v>43</v>
      </c>
      <c r="C72">
        <v>23</v>
      </c>
      <c r="D72">
        <v>2</v>
      </c>
      <c r="E72" t="s">
        <v>213</v>
      </c>
      <c r="F72" t="s">
        <v>1365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1406</v>
      </c>
      <c r="B76" t="s">
        <v>38</v>
      </c>
      <c r="C76">
        <v>28</v>
      </c>
      <c r="D76">
        <v>6</v>
      </c>
      <c r="E76" t="s">
        <v>309</v>
      </c>
      <c r="F76" t="s">
        <v>1365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1407</v>
      </c>
      <c r="B77" t="s">
        <v>38</v>
      </c>
      <c r="C77">
        <v>24</v>
      </c>
      <c r="D77">
        <v>0</v>
      </c>
      <c r="E77" t="s">
        <v>455</v>
      </c>
      <c r="F77" t="s">
        <v>1365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1408</v>
      </c>
      <c r="B78" t="s">
        <v>38</v>
      </c>
      <c r="C78">
        <v>24</v>
      </c>
      <c r="D78">
        <v>0</v>
      </c>
      <c r="E78" t="s">
        <v>98</v>
      </c>
      <c r="F78" t="s">
        <v>1365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1409</v>
      </c>
      <c r="B79" t="s">
        <v>38</v>
      </c>
      <c r="C79">
        <v>23</v>
      </c>
      <c r="D79">
        <v>2</v>
      </c>
      <c r="E79" t="s">
        <v>213</v>
      </c>
      <c r="F79" t="s">
        <v>1365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1410</v>
      </c>
      <c r="B80" t="s">
        <v>38</v>
      </c>
      <c r="C80">
        <v>30</v>
      </c>
      <c r="D80">
        <v>9</v>
      </c>
      <c r="E80" t="s">
        <v>464</v>
      </c>
      <c r="F80" t="s">
        <v>1365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1411</v>
      </c>
      <c r="B81" t="s">
        <v>38</v>
      </c>
      <c r="C81">
        <v>24</v>
      </c>
      <c r="D81">
        <v>3</v>
      </c>
      <c r="E81" t="s">
        <v>240</v>
      </c>
      <c r="F81" t="s">
        <v>1365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topLeftCell="G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1412</v>
      </c>
      <c r="B2" t="s">
        <v>1413</v>
      </c>
      <c r="C2" t="s">
        <v>26</v>
      </c>
      <c r="D2">
        <v>5</v>
      </c>
      <c r="E2">
        <v>76</v>
      </c>
      <c r="F2">
        <v>44</v>
      </c>
      <c r="G2">
        <v>663</v>
      </c>
      <c r="H2">
        <v>3</v>
      </c>
      <c r="I2">
        <v>3</v>
      </c>
      <c r="J2">
        <v>7</v>
      </c>
      <c r="K2">
        <v>3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36.82</v>
      </c>
      <c r="T2">
        <v>0</v>
      </c>
      <c r="U2">
        <v>0.42857142857142899</v>
      </c>
      <c r="W2">
        <v>0.57894736842105299</v>
      </c>
      <c r="X2">
        <v>3.94736842105263E-2</v>
      </c>
    </row>
    <row r="3" spans="1:24" x14ac:dyDescent="0.25">
      <c r="A3" t="s">
        <v>1414</v>
      </c>
      <c r="B3" t="s">
        <v>1413</v>
      </c>
      <c r="C3" t="s">
        <v>26</v>
      </c>
      <c r="D3">
        <v>15</v>
      </c>
      <c r="E3">
        <v>460</v>
      </c>
      <c r="F3">
        <v>306</v>
      </c>
      <c r="G3">
        <v>3701</v>
      </c>
      <c r="H3">
        <v>22</v>
      </c>
      <c r="I3">
        <v>6</v>
      </c>
      <c r="J3">
        <v>165</v>
      </c>
      <c r="K3">
        <v>760</v>
      </c>
      <c r="L3">
        <v>13</v>
      </c>
      <c r="M3">
        <v>0</v>
      </c>
      <c r="N3">
        <v>0</v>
      </c>
      <c r="O3">
        <v>0</v>
      </c>
      <c r="P3">
        <v>0</v>
      </c>
      <c r="Q3">
        <v>2</v>
      </c>
      <c r="R3">
        <v>2</v>
      </c>
      <c r="S3">
        <v>378.04</v>
      </c>
      <c r="T3">
        <v>0</v>
      </c>
      <c r="U3">
        <v>4.60606060606061</v>
      </c>
      <c r="W3">
        <v>0.66521739130434798</v>
      </c>
      <c r="X3">
        <v>4.7826086956521699E-2</v>
      </c>
    </row>
    <row r="4" spans="1:24" x14ac:dyDescent="0.25">
      <c r="A4" t="s">
        <v>1415</v>
      </c>
      <c r="B4" t="s">
        <v>1413</v>
      </c>
      <c r="C4" t="s">
        <v>31</v>
      </c>
      <c r="D4">
        <v>13</v>
      </c>
      <c r="E4">
        <v>0</v>
      </c>
      <c r="F4">
        <v>0</v>
      </c>
      <c r="G4">
        <v>0</v>
      </c>
      <c r="H4">
        <v>0</v>
      </c>
      <c r="I4">
        <v>0</v>
      </c>
      <c r="J4">
        <v>54</v>
      </c>
      <c r="K4">
        <v>217</v>
      </c>
      <c r="L4">
        <v>3</v>
      </c>
      <c r="M4">
        <v>6</v>
      </c>
      <c r="N4">
        <v>5</v>
      </c>
      <c r="O4">
        <v>15</v>
      </c>
      <c r="P4">
        <v>0</v>
      </c>
      <c r="Q4">
        <v>0</v>
      </c>
      <c r="R4">
        <v>0</v>
      </c>
      <c r="S4">
        <v>46.2</v>
      </c>
      <c r="T4">
        <v>9.5999999999999992E-3</v>
      </c>
      <c r="U4">
        <v>4.0185185185185199</v>
      </c>
      <c r="V4">
        <v>3</v>
      </c>
    </row>
    <row r="5" spans="1:24" x14ac:dyDescent="0.25">
      <c r="A5" t="s">
        <v>1416</v>
      </c>
      <c r="B5" t="s">
        <v>1413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53</v>
      </c>
      <c r="K5">
        <v>240</v>
      </c>
      <c r="L5">
        <v>4</v>
      </c>
      <c r="M5">
        <v>29</v>
      </c>
      <c r="N5">
        <v>23</v>
      </c>
      <c r="O5">
        <v>169</v>
      </c>
      <c r="P5">
        <v>0</v>
      </c>
      <c r="Q5">
        <v>0</v>
      </c>
      <c r="R5">
        <v>0</v>
      </c>
      <c r="S5">
        <v>87.9</v>
      </c>
      <c r="T5">
        <v>4.6399999999999997E-2</v>
      </c>
      <c r="U5">
        <v>4.52830188679245</v>
      </c>
      <c r="V5">
        <v>7.3478260869565197</v>
      </c>
    </row>
    <row r="6" spans="1:24" x14ac:dyDescent="0.25">
      <c r="A6" t="s">
        <v>1417</v>
      </c>
      <c r="B6" t="s">
        <v>1413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259</v>
      </c>
      <c r="K6">
        <v>1269</v>
      </c>
      <c r="L6">
        <v>11</v>
      </c>
      <c r="M6">
        <v>26</v>
      </c>
      <c r="N6">
        <v>20</v>
      </c>
      <c r="O6">
        <v>78</v>
      </c>
      <c r="P6">
        <v>0</v>
      </c>
      <c r="Q6">
        <v>1</v>
      </c>
      <c r="R6">
        <v>0</v>
      </c>
      <c r="S6">
        <v>216.7</v>
      </c>
      <c r="T6">
        <v>4.1599999999999998E-2</v>
      </c>
      <c r="U6">
        <v>4.8996138996139003</v>
      </c>
      <c r="V6">
        <v>3.9</v>
      </c>
    </row>
    <row r="7" spans="1:24" x14ac:dyDescent="0.25">
      <c r="A7" t="s">
        <v>1418</v>
      </c>
      <c r="B7" t="s">
        <v>1413</v>
      </c>
      <c r="C7" t="s">
        <v>31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2</v>
      </c>
      <c r="K7">
        <v>19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1.9</v>
      </c>
      <c r="T7">
        <v>0</v>
      </c>
      <c r="U7">
        <v>9.5</v>
      </c>
    </row>
    <row r="8" spans="1:24" x14ac:dyDescent="0.25">
      <c r="A8" t="s">
        <v>1419</v>
      </c>
      <c r="B8" t="s">
        <v>1413</v>
      </c>
      <c r="C8" t="s">
        <v>38</v>
      </c>
      <c r="D8">
        <v>12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69</v>
      </c>
      <c r="N8">
        <v>55</v>
      </c>
      <c r="O8">
        <v>702</v>
      </c>
      <c r="P8">
        <v>3</v>
      </c>
      <c r="Q8">
        <v>0</v>
      </c>
      <c r="R8">
        <v>0</v>
      </c>
      <c r="S8">
        <v>141.19999999999999</v>
      </c>
      <c r="T8">
        <v>0.1104</v>
      </c>
      <c r="V8">
        <v>12.763636363636399</v>
      </c>
    </row>
    <row r="9" spans="1:24" x14ac:dyDescent="0.25">
      <c r="A9" t="s">
        <v>1420</v>
      </c>
      <c r="B9" t="s">
        <v>1413</v>
      </c>
      <c r="C9" t="s">
        <v>38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9</v>
      </c>
      <c r="N9">
        <v>5</v>
      </c>
      <c r="O9">
        <v>81</v>
      </c>
      <c r="P9">
        <v>0</v>
      </c>
      <c r="Q9">
        <v>0</v>
      </c>
      <c r="R9">
        <v>0</v>
      </c>
      <c r="S9">
        <v>13.1</v>
      </c>
      <c r="T9">
        <v>1.44E-2</v>
      </c>
      <c r="V9">
        <v>16.2</v>
      </c>
    </row>
    <row r="10" spans="1:24" x14ac:dyDescent="0.25">
      <c r="A10" t="s">
        <v>1421</v>
      </c>
      <c r="B10" t="s">
        <v>1413</v>
      </c>
      <c r="C10" t="s">
        <v>38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14</v>
      </c>
      <c r="N10">
        <v>11</v>
      </c>
      <c r="O10">
        <v>123</v>
      </c>
      <c r="P10">
        <v>0</v>
      </c>
      <c r="Q10">
        <v>0</v>
      </c>
      <c r="R10">
        <v>0</v>
      </c>
      <c r="S10">
        <v>23.3</v>
      </c>
      <c r="T10">
        <v>2.24E-2</v>
      </c>
      <c r="V10">
        <v>11.181818181818199</v>
      </c>
    </row>
    <row r="11" spans="1:24" x14ac:dyDescent="0.25">
      <c r="A11" t="s">
        <v>1422</v>
      </c>
      <c r="B11" t="s">
        <v>1413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1.6000000000000001E-3</v>
      </c>
    </row>
    <row r="12" spans="1:24" x14ac:dyDescent="0.25">
      <c r="A12" t="s">
        <v>185</v>
      </c>
      <c r="B12" t="s">
        <v>1413</v>
      </c>
      <c r="C12" t="s">
        <v>43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145</v>
      </c>
      <c r="N12">
        <v>88</v>
      </c>
      <c r="O12">
        <v>1496</v>
      </c>
      <c r="P12">
        <v>11</v>
      </c>
      <c r="Q12">
        <v>0</v>
      </c>
      <c r="R12">
        <v>0</v>
      </c>
      <c r="S12">
        <v>299.60000000000002</v>
      </c>
      <c r="T12">
        <v>0.23200000000000001</v>
      </c>
      <c r="V12">
        <v>17</v>
      </c>
    </row>
    <row r="13" spans="1:24" x14ac:dyDescent="0.25">
      <c r="A13" t="s">
        <v>1423</v>
      </c>
      <c r="B13" t="s">
        <v>1413</v>
      </c>
      <c r="C13" t="s">
        <v>43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136</v>
      </c>
      <c r="N13">
        <v>95</v>
      </c>
      <c r="O13">
        <v>1196</v>
      </c>
      <c r="P13">
        <v>7</v>
      </c>
      <c r="Q13">
        <v>0</v>
      </c>
      <c r="R13">
        <v>0</v>
      </c>
      <c r="S13">
        <v>254.6</v>
      </c>
      <c r="T13">
        <v>0.21759999999999999</v>
      </c>
      <c r="V13">
        <v>12.5894736842105</v>
      </c>
    </row>
    <row r="14" spans="1:24" x14ac:dyDescent="0.25">
      <c r="A14" t="s">
        <v>1424</v>
      </c>
      <c r="B14" t="s">
        <v>1413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1</v>
      </c>
      <c r="L14">
        <v>0</v>
      </c>
      <c r="M14">
        <v>51</v>
      </c>
      <c r="N14">
        <v>33</v>
      </c>
      <c r="O14">
        <v>354</v>
      </c>
      <c r="P14">
        <v>3</v>
      </c>
      <c r="Q14">
        <v>0</v>
      </c>
      <c r="R14">
        <v>0</v>
      </c>
      <c r="S14">
        <v>84.5</v>
      </c>
      <c r="T14">
        <v>8.1600000000000006E-2</v>
      </c>
      <c r="U14">
        <v>0.33333333333333298</v>
      </c>
      <c r="V14">
        <v>10.7272727272727</v>
      </c>
    </row>
    <row r="15" spans="1:24" x14ac:dyDescent="0.25">
      <c r="A15" t="s">
        <v>1425</v>
      </c>
      <c r="B15" t="s">
        <v>1413</v>
      </c>
      <c r="C15" t="s">
        <v>43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19</v>
      </c>
      <c r="N15">
        <v>15</v>
      </c>
      <c r="O15">
        <v>150</v>
      </c>
      <c r="P15">
        <v>1</v>
      </c>
      <c r="Q15">
        <v>0</v>
      </c>
      <c r="R15">
        <v>0</v>
      </c>
      <c r="S15">
        <v>36</v>
      </c>
      <c r="T15">
        <v>3.04E-2</v>
      </c>
      <c r="U15">
        <v>0</v>
      </c>
      <c r="V15">
        <v>10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1413</v>
      </c>
      <c r="B31">
        <v>6873</v>
      </c>
      <c r="C31">
        <v>4364</v>
      </c>
      <c r="D31">
        <v>544</v>
      </c>
      <c r="E31">
        <v>2509</v>
      </c>
      <c r="F31">
        <v>32</v>
      </c>
      <c r="G31">
        <v>1619.86</v>
      </c>
      <c r="H31">
        <v>536</v>
      </c>
      <c r="I31">
        <v>0.65298507462686595</v>
      </c>
      <c r="J31">
        <v>25</v>
      </c>
      <c r="K31">
        <v>9</v>
      </c>
      <c r="L31">
        <v>4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PHI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1426</v>
      </c>
      <c r="B36" t="s">
        <v>26</v>
      </c>
      <c r="C36">
        <v>25</v>
      </c>
      <c r="D36">
        <v>3</v>
      </c>
      <c r="E36" t="s">
        <v>362</v>
      </c>
      <c r="F36" t="s">
        <v>1413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1427</v>
      </c>
      <c r="B37" t="s">
        <v>26</v>
      </c>
      <c r="C37">
        <v>25</v>
      </c>
      <c r="D37">
        <v>4</v>
      </c>
      <c r="E37" t="s">
        <v>68</v>
      </c>
      <c r="F37" t="s">
        <v>1413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1428</v>
      </c>
      <c r="B38" t="s">
        <v>26</v>
      </c>
      <c r="C38">
        <v>29</v>
      </c>
      <c r="D38">
        <v>9</v>
      </c>
      <c r="E38" t="s">
        <v>205</v>
      </c>
      <c r="F38" t="s">
        <v>1413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1429</v>
      </c>
      <c r="B39" t="s">
        <v>26</v>
      </c>
      <c r="C39">
        <v>23</v>
      </c>
      <c r="D39">
        <v>0</v>
      </c>
      <c r="E39" t="s">
        <v>102</v>
      </c>
      <c r="F39" t="s">
        <v>1413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1430</v>
      </c>
      <c r="B46" t="s">
        <v>31</v>
      </c>
      <c r="C46">
        <v>24</v>
      </c>
      <c r="D46">
        <v>1</v>
      </c>
      <c r="E46" t="s">
        <v>68</v>
      </c>
      <c r="F46" t="s">
        <v>1413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1431</v>
      </c>
      <c r="B47" t="s">
        <v>31</v>
      </c>
      <c r="C47">
        <v>24</v>
      </c>
      <c r="D47">
        <v>3</v>
      </c>
      <c r="E47" t="s">
        <v>557</v>
      </c>
      <c r="F47" t="s">
        <v>1413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1432</v>
      </c>
      <c r="B48" t="s">
        <v>31</v>
      </c>
      <c r="C48">
        <v>27</v>
      </c>
      <c r="D48">
        <v>6</v>
      </c>
      <c r="E48" t="s">
        <v>795</v>
      </c>
      <c r="F48" t="s">
        <v>1413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1433</v>
      </c>
      <c r="B49" t="s">
        <v>31</v>
      </c>
      <c r="C49">
        <v>28</v>
      </c>
      <c r="D49">
        <v>5</v>
      </c>
      <c r="E49" t="s">
        <v>64</v>
      </c>
      <c r="F49" t="s">
        <v>1413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1434</v>
      </c>
      <c r="B50" t="s">
        <v>31</v>
      </c>
      <c r="C50">
        <v>24</v>
      </c>
      <c r="D50">
        <v>3</v>
      </c>
      <c r="E50" t="s">
        <v>213</v>
      </c>
      <c r="F50" t="s">
        <v>1413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1435</v>
      </c>
      <c r="B51" t="s">
        <v>31</v>
      </c>
      <c r="C51">
        <v>24</v>
      </c>
      <c r="D51">
        <v>4</v>
      </c>
      <c r="E51" t="s">
        <v>173</v>
      </c>
      <c r="F51" t="s">
        <v>1413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1436</v>
      </c>
      <c r="B61" t="s">
        <v>43</v>
      </c>
      <c r="C61">
        <v>28</v>
      </c>
      <c r="D61">
        <v>1</v>
      </c>
      <c r="E61" t="s">
        <v>205</v>
      </c>
      <c r="F61" t="s">
        <v>1413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1437</v>
      </c>
      <c r="B62" t="s">
        <v>43</v>
      </c>
      <c r="C62">
        <v>26</v>
      </c>
      <c r="D62">
        <v>5</v>
      </c>
      <c r="E62" t="s">
        <v>240</v>
      </c>
      <c r="F62" t="s">
        <v>1413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1438</v>
      </c>
      <c r="B63" t="s">
        <v>43</v>
      </c>
      <c r="C63">
        <v>27</v>
      </c>
      <c r="D63">
        <v>3</v>
      </c>
      <c r="E63" t="s">
        <v>458</v>
      </c>
      <c r="F63" t="s">
        <v>1413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1439</v>
      </c>
      <c r="B64" t="s">
        <v>43</v>
      </c>
      <c r="C64">
        <v>25</v>
      </c>
      <c r="D64">
        <v>4</v>
      </c>
      <c r="E64" t="s">
        <v>178</v>
      </c>
      <c r="F64" t="s">
        <v>1413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1440</v>
      </c>
      <c r="B65" t="s">
        <v>43</v>
      </c>
      <c r="C65">
        <v>26</v>
      </c>
      <c r="D65">
        <v>2</v>
      </c>
      <c r="E65" t="s">
        <v>207</v>
      </c>
      <c r="F65" t="s">
        <v>1413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1441</v>
      </c>
      <c r="B66" t="s">
        <v>43</v>
      </c>
      <c r="C66">
        <v>22</v>
      </c>
      <c r="D66">
        <v>0</v>
      </c>
      <c r="E66" t="s">
        <v>175</v>
      </c>
      <c r="F66" t="s">
        <v>1413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1442</v>
      </c>
      <c r="B67" t="s">
        <v>43</v>
      </c>
      <c r="C67">
        <v>23</v>
      </c>
      <c r="D67">
        <v>0</v>
      </c>
      <c r="E67" t="s">
        <v>1118</v>
      </c>
      <c r="F67" t="s">
        <v>1413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1443</v>
      </c>
      <c r="B68" t="s">
        <v>43</v>
      </c>
      <c r="C68">
        <v>22</v>
      </c>
      <c r="D68">
        <v>0</v>
      </c>
      <c r="E68" t="s">
        <v>458</v>
      </c>
      <c r="F68" t="s">
        <v>1413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1444</v>
      </c>
      <c r="B69" t="s">
        <v>43</v>
      </c>
      <c r="C69">
        <v>24</v>
      </c>
      <c r="D69">
        <v>1</v>
      </c>
      <c r="E69" t="s">
        <v>397</v>
      </c>
      <c r="F69" t="s">
        <v>1413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1445</v>
      </c>
      <c r="B70" t="s">
        <v>43</v>
      </c>
      <c r="C70">
        <v>24</v>
      </c>
      <c r="D70">
        <v>3</v>
      </c>
      <c r="E70" t="s">
        <v>153</v>
      </c>
      <c r="F70" t="s">
        <v>1413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1446</v>
      </c>
      <c r="B71" t="s">
        <v>43</v>
      </c>
      <c r="C71">
        <v>28</v>
      </c>
      <c r="D71">
        <v>4</v>
      </c>
      <c r="E71" t="s">
        <v>70</v>
      </c>
      <c r="F71" t="s">
        <v>1413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1447</v>
      </c>
      <c r="B72" t="s">
        <v>43</v>
      </c>
      <c r="C72">
        <v>25</v>
      </c>
      <c r="D72">
        <v>4</v>
      </c>
      <c r="E72" t="s">
        <v>898</v>
      </c>
      <c r="F72" t="s">
        <v>1413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1448</v>
      </c>
      <c r="B73" t="s">
        <v>43</v>
      </c>
      <c r="C73">
        <v>26</v>
      </c>
      <c r="D73">
        <v>5</v>
      </c>
      <c r="E73" t="s">
        <v>409</v>
      </c>
      <c r="F73" t="s">
        <v>1413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1449</v>
      </c>
      <c r="B76" t="s">
        <v>38</v>
      </c>
      <c r="C76">
        <v>28</v>
      </c>
      <c r="D76">
        <v>7</v>
      </c>
      <c r="E76" t="s">
        <v>1450</v>
      </c>
      <c r="F76" t="s">
        <v>1413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1451</v>
      </c>
      <c r="B77" t="s">
        <v>38</v>
      </c>
      <c r="C77">
        <v>24</v>
      </c>
      <c r="D77">
        <v>2</v>
      </c>
      <c r="E77" t="s">
        <v>237</v>
      </c>
      <c r="F77" t="s">
        <v>1413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1452</v>
      </c>
      <c r="B78" t="s">
        <v>38</v>
      </c>
      <c r="C78">
        <v>28</v>
      </c>
      <c r="D78">
        <v>6</v>
      </c>
      <c r="E78" t="s">
        <v>753</v>
      </c>
      <c r="F78" t="s">
        <v>1413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1453</v>
      </c>
      <c r="B79" t="s">
        <v>38</v>
      </c>
      <c r="C79">
        <v>25</v>
      </c>
      <c r="D79">
        <v>3</v>
      </c>
      <c r="E79" t="s">
        <v>806</v>
      </c>
      <c r="F79" t="s">
        <v>1413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1454</v>
      </c>
      <c r="B80" t="s">
        <v>38</v>
      </c>
      <c r="C80">
        <v>24</v>
      </c>
      <c r="D80">
        <v>0</v>
      </c>
      <c r="E80" t="s">
        <v>84</v>
      </c>
      <c r="F80" t="s">
        <v>1413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1455</v>
      </c>
      <c r="B81" t="s">
        <v>38</v>
      </c>
      <c r="C81">
        <v>25</v>
      </c>
      <c r="D81">
        <v>3</v>
      </c>
      <c r="E81" t="s">
        <v>248</v>
      </c>
      <c r="F81" t="s">
        <v>1413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topLeftCell="F16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1456</v>
      </c>
      <c r="B2" t="s">
        <v>1457</v>
      </c>
      <c r="C2" t="s">
        <v>115</v>
      </c>
      <c r="D2">
        <v>10</v>
      </c>
      <c r="E2">
        <v>0</v>
      </c>
      <c r="F2">
        <v>0</v>
      </c>
      <c r="G2">
        <v>0</v>
      </c>
      <c r="H2">
        <v>0</v>
      </c>
      <c r="I2">
        <v>0</v>
      </c>
      <c r="J2">
        <v>9</v>
      </c>
      <c r="K2">
        <v>21</v>
      </c>
      <c r="L2">
        <v>1</v>
      </c>
      <c r="M2">
        <v>5</v>
      </c>
      <c r="N2">
        <v>5</v>
      </c>
      <c r="O2">
        <v>11</v>
      </c>
      <c r="P2">
        <v>1</v>
      </c>
      <c r="Q2">
        <v>0</v>
      </c>
      <c r="R2">
        <v>0</v>
      </c>
      <c r="S2">
        <v>20.2</v>
      </c>
      <c r="T2">
        <v>9.3283582089552196E-3</v>
      </c>
      <c r="U2">
        <v>2.3333333333333299</v>
      </c>
      <c r="V2">
        <v>2.2000000000000002</v>
      </c>
    </row>
    <row r="3" spans="1:24" x14ac:dyDescent="0.25">
      <c r="A3" t="s">
        <v>1458</v>
      </c>
      <c r="B3" t="s">
        <v>1457</v>
      </c>
      <c r="C3" t="s">
        <v>26</v>
      </c>
      <c r="D3">
        <v>13</v>
      </c>
      <c r="E3">
        <v>389</v>
      </c>
      <c r="F3">
        <v>245</v>
      </c>
      <c r="G3">
        <v>2404</v>
      </c>
      <c r="H3">
        <v>7</v>
      </c>
      <c r="I3">
        <v>9</v>
      </c>
      <c r="J3">
        <v>55</v>
      </c>
      <c r="K3">
        <v>237</v>
      </c>
      <c r="L3">
        <v>3</v>
      </c>
      <c r="M3">
        <v>0</v>
      </c>
      <c r="N3">
        <v>0</v>
      </c>
      <c r="O3">
        <v>0</v>
      </c>
      <c r="P3">
        <v>0</v>
      </c>
      <c r="Q3">
        <v>1</v>
      </c>
      <c r="R3">
        <v>2</v>
      </c>
      <c r="S3">
        <v>149.86000000000001</v>
      </c>
      <c r="T3">
        <v>0</v>
      </c>
      <c r="U3">
        <v>4.3090909090909104</v>
      </c>
      <c r="W3">
        <v>0.62982005141388198</v>
      </c>
      <c r="X3">
        <v>1.7994858611825201E-2</v>
      </c>
    </row>
    <row r="4" spans="1:24" x14ac:dyDescent="0.25">
      <c r="A4" t="s">
        <v>1459</v>
      </c>
      <c r="B4" t="s">
        <v>1457</v>
      </c>
      <c r="C4" t="s">
        <v>26</v>
      </c>
      <c r="D4">
        <v>7</v>
      </c>
      <c r="E4">
        <v>180</v>
      </c>
      <c r="F4">
        <v>117</v>
      </c>
      <c r="G4">
        <v>1252</v>
      </c>
      <c r="H4">
        <v>4</v>
      </c>
      <c r="I4">
        <v>5</v>
      </c>
      <c r="J4">
        <v>19</v>
      </c>
      <c r="K4">
        <v>38</v>
      </c>
      <c r="L4">
        <v>2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73.88</v>
      </c>
      <c r="T4">
        <v>0</v>
      </c>
      <c r="U4">
        <v>2</v>
      </c>
      <c r="W4">
        <v>0.65</v>
      </c>
      <c r="X4">
        <v>2.2222222222222199E-2</v>
      </c>
    </row>
    <row r="5" spans="1:24" x14ac:dyDescent="0.25">
      <c r="A5" t="s">
        <v>1460</v>
      </c>
      <c r="B5" t="s">
        <v>1457</v>
      </c>
      <c r="C5" t="s">
        <v>31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6</v>
      </c>
      <c r="K5">
        <v>30</v>
      </c>
      <c r="L5">
        <v>0</v>
      </c>
      <c r="M5">
        <v>2</v>
      </c>
      <c r="N5">
        <v>2</v>
      </c>
      <c r="O5">
        <v>11</v>
      </c>
      <c r="P5">
        <v>0</v>
      </c>
      <c r="Q5">
        <v>0</v>
      </c>
      <c r="R5">
        <v>0</v>
      </c>
      <c r="S5">
        <v>6.1</v>
      </c>
      <c r="T5">
        <v>3.7313432835820899E-3</v>
      </c>
      <c r="U5">
        <v>5</v>
      </c>
      <c r="V5">
        <v>5.5</v>
      </c>
    </row>
    <row r="6" spans="1:24" x14ac:dyDescent="0.25">
      <c r="A6" t="s">
        <v>1461</v>
      </c>
      <c r="B6" t="s">
        <v>1457</v>
      </c>
      <c r="C6" t="s">
        <v>31</v>
      </c>
      <c r="D6">
        <v>3</v>
      </c>
      <c r="E6">
        <v>0</v>
      </c>
      <c r="F6">
        <v>0</v>
      </c>
      <c r="G6">
        <v>0</v>
      </c>
      <c r="H6">
        <v>0</v>
      </c>
      <c r="I6">
        <v>0</v>
      </c>
      <c r="J6">
        <v>20</v>
      </c>
      <c r="K6">
        <v>90</v>
      </c>
      <c r="L6">
        <v>1</v>
      </c>
      <c r="M6">
        <v>2</v>
      </c>
      <c r="N6">
        <v>2</v>
      </c>
      <c r="O6">
        <v>17</v>
      </c>
      <c r="P6">
        <v>0</v>
      </c>
      <c r="Q6">
        <v>0</v>
      </c>
      <c r="R6">
        <v>0</v>
      </c>
      <c r="S6">
        <v>18.7</v>
      </c>
      <c r="T6">
        <v>3.7313432835820899E-3</v>
      </c>
      <c r="U6">
        <v>4.5</v>
      </c>
      <c r="V6">
        <v>8.5</v>
      </c>
    </row>
    <row r="7" spans="1:24" x14ac:dyDescent="0.25">
      <c r="A7" t="s">
        <v>1462</v>
      </c>
      <c r="B7" t="s">
        <v>1457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77</v>
      </c>
      <c r="K7">
        <v>379</v>
      </c>
      <c r="L7">
        <v>1</v>
      </c>
      <c r="M7">
        <v>33</v>
      </c>
      <c r="N7">
        <v>28</v>
      </c>
      <c r="O7">
        <v>214</v>
      </c>
      <c r="P7">
        <v>0</v>
      </c>
      <c r="Q7">
        <v>0</v>
      </c>
      <c r="R7">
        <v>0</v>
      </c>
      <c r="S7">
        <v>93.3</v>
      </c>
      <c r="T7">
        <v>6.1567164179104503E-2</v>
      </c>
      <c r="U7">
        <v>4.9220779220779196</v>
      </c>
      <c r="V7">
        <v>7.6428571428571397</v>
      </c>
    </row>
    <row r="8" spans="1:24" x14ac:dyDescent="0.25">
      <c r="A8" t="s">
        <v>1463</v>
      </c>
      <c r="B8" t="s">
        <v>1457</v>
      </c>
      <c r="C8" t="s">
        <v>31</v>
      </c>
      <c r="D8">
        <v>17</v>
      </c>
      <c r="E8">
        <v>1</v>
      </c>
      <c r="F8">
        <v>1</v>
      </c>
      <c r="G8">
        <v>4</v>
      </c>
      <c r="H8">
        <v>0</v>
      </c>
      <c r="I8">
        <v>0</v>
      </c>
      <c r="J8">
        <v>272</v>
      </c>
      <c r="K8">
        <v>1034</v>
      </c>
      <c r="L8">
        <v>7</v>
      </c>
      <c r="M8">
        <v>53</v>
      </c>
      <c r="N8">
        <v>41</v>
      </c>
      <c r="O8">
        <v>229</v>
      </c>
      <c r="P8">
        <v>3</v>
      </c>
      <c r="Q8">
        <v>1</v>
      </c>
      <c r="R8">
        <v>0</v>
      </c>
      <c r="S8">
        <v>223.46</v>
      </c>
      <c r="T8">
        <v>9.8880597014925395E-2</v>
      </c>
      <c r="U8">
        <v>3.8014705882352899</v>
      </c>
      <c r="V8">
        <v>5.5853658536585398</v>
      </c>
      <c r="W8">
        <v>1</v>
      </c>
      <c r="X8">
        <v>0</v>
      </c>
    </row>
    <row r="9" spans="1:24" x14ac:dyDescent="0.25">
      <c r="A9" t="s">
        <v>1464</v>
      </c>
      <c r="B9" t="s">
        <v>1457</v>
      </c>
      <c r="C9" t="s">
        <v>38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27</v>
      </c>
      <c r="L9">
        <v>0</v>
      </c>
      <c r="M9">
        <v>17</v>
      </c>
      <c r="N9">
        <v>12</v>
      </c>
      <c r="O9">
        <v>151</v>
      </c>
      <c r="P9">
        <v>1</v>
      </c>
      <c r="Q9">
        <v>0</v>
      </c>
      <c r="R9">
        <v>0</v>
      </c>
      <c r="S9">
        <v>35.799999999999997</v>
      </c>
      <c r="T9">
        <v>3.1716417910447797E-2</v>
      </c>
      <c r="U9">
        <v>13.5</v>
      </c>
      <c r="V9">
        <v>12.5833333333333</v>
      </c>
    </row>
    <row r="10" spans="1:24" x14ac:dyDescent="0.25">
      <c r="A10" t="s">
        <v>1465</v>
      </c>
      <c r="B10" t="s">
        <v>1457</v>
      </c>
      <c r="C10" t="s">
        <v>38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98</v>
      </c>
      <c r="N10">
        <v>63</v>
      </c>
      <c r="O10">
        <v>732</v>
      </c>
      <c r="P10">
        <v>2</v>
      </c>
      <c r="Q10">
        <v>0</v>
      </c>
      <c r="R10">
        <v>0</v>
      </c>
      <c r="S10">
        <v>148.19999999999999</v>
      </c>
      <c r="T10">
        <v>0.182835820895522</v>
      </c>
      <c r="V10">
        <v>11.619047619047601</v>
      </c>
    </row>
    <row r="11" spans="1:24" x14ac:dyDescent="0.25">
      <c r="A11" t="s">
        <v>1466</v>
      </c>
      <c r="B11" t="s">
        <v>1457</v>
      </c>
      <c r="C11" t="s">
        <v>38</v>
      </c>
      <c r="D11">
        <v>14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23</v>
      </c>
      <c r="N11">
        <v>19</v>
      </c>
      <c r="O11">
        <v>132</v>
      </c>
      <c r="P11">
        <v>0</v>
      </c>
      <c r="Q11">
        <v>0</v>
      </c>
      <c r="R11">
        <v>0</v>
      </c>
      <c r="S11">
        <v>32.200000000000003</v>
      </c>
      <c r="T11">
        <v>4.2910447761194001E-2</v>
      </c>
      <c r="V11">
        <v>6.9473684210526301</v>
      </c>
    </row>
    <row r="12" spans="1:24" x14ac:dyDescent="0.25">
      <c r="A12" t="s">
        <v>378</v>
      </c>
      <c r="B12" t="s">
        <v>1457</v>
      </c>
      <c r="C12" t="s">
        <v>43</v>
      </c>
      <c r="D12">
        <v>8</v>
      </c>
      <c r="E12">
        <v>1</v>
      </c>
      <c r="F12">
        <v>1</v>
      </c>
      <c r="G12">
        <v>1</v>
      </c>
      <c r="H12">
        <v>1</v>
      </c>
      <c r="I12">
        <v>0</v>
      </c>
      <c r="J12">
        <v>8</v>
      </c>
      <c r="K12">
        <v>55</v>
      </c>
      <c r="L12">
        <v>0</v>
      </c>
      <c r="M12">
        <v>50</v>
      </c>
      <c r="N12">
        <v>32</v>
      </c>
      <c r="O12">
        <v>311</v>
      </c>
      <c r="P12">
        <v>1</v>
      </c>
      <c r="Q12">
        <v>0</v>
      </c>
      <c r="R12">
        <v>0</v>
      </c>
      <c r="S12">
        <v>78.64</v>
      </c>
      <c r="T12">
        <v>9.3283582089552203E-2</v>
      </c>
      <c r="U12">
        <v>6.875</v>
      </c>
      <c r="V12">
        <v>9.71875</v>
      </c>
      <c r="W12">
        <v>1</v>
      </c>
      <c r="X12">
        <v>1</v>
      </c>
    </row>
    <row r="13" spans="1:24" x14ac:dyDescent="0.25">
      <c r="A13" t="s">
        <v>1467</v>
      </c>
      <c r="B13" t="s">
        <v>1457</v>
      </c>
      <c r="C13" t="s">
        <v>43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2</v>
      </c>
      <c r="P13">
        <v>0</v>
      </c>
      <c r="Q13">
        <v>0</v>
      </c>
      <c r="R13">
        <v>0</v>
      </c>
      <c r="S13">
        <v>1.2</v>
      </c>
      <c r="T13">
        <v>1.86567164179104E-3</v>
      </c>
      <c r="V13">
        <v>2</v>
      </c>
    </row>
    <row r="14" spans="1:24" x14ac:dyDescent="0.25">
      <c r="A14" t="s">
        <v>253</v>
      </c>
      <c r="B14" t="s">
        <v>1457</v>
      </c>
      <c r="C14" t="s">
        <v>43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25</v>
      </c>
      <c r="L14">
        <v>0</v>
      </c>
      <c r="M14">
        <v>147</v>
      </c>
      <c r="N14">
        <v>86</v>
      </c>
      <c r="O14">
        <v>882</v>
      </c>
      <c r="P14">
        <v>0</v>
      </c>
      <c r="Q14">
        <v>0</v>
      </c>
      <c r="R14">
        <v>0</v>
      </c>
      <c r="S14">
        <v>180.7</v>
      </c>
      <c r="T14">
        <v>0.27425373134328401</v>
      </c>
      <c r="U14">
        <v>3.5714285714285698</v>
      </c>
      <c r="V14">
        <v>10.255813953488399</v>
      </c>
    </row>
    <row r="15" spans="1:24" x14ac:dyDescent="0.25">
      <c r="A15" t="s">
        <v>1468</v>
      </c>
      <c r="B15" t="s">
        <v>1457</v>
      </c>
      <c r="C15" t="s">
        <v>43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8</v>
      </c>
      <c r="K15">
        <v>39</v>
      </c>
      <c r="L15">
        <v>0</v>
      </c>
      <c r="M15">
        <v>7</v>
      </c>
      <c r="N15">
        <v>5</v>
      </c>
      <c r="O15">
        <v>53</v>
      </c>
      <c r="P15">
        <v>0</v>
      </c>
      <c r="Q15">
        <v>0</v>
      </c>
      <c r="R15">
        <v>0</v>
      </c>
      <c r="S15">
        <v>14.2</v>
      </c>
      <c r="T15">
        <v>1.3059701492537301E-2</v>
      </c>
      <c r="U15">
        <v>4.875</v>
      </c>
      <c r="V15">
        <v>10.6</v>
      </c>
    </row>
    <row r="16" spans="1:24" x14ac:dyDescent="0.25">
      <c r="A16" t="s">
        <v>1469</v>
      </c>
      <c r="B16" t="s">
        <v>1457</v>
      </c>
      <c r="C16" t="s">
        <v>43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24</v>
      </c>
      <c r="L16">
        <v>1</v>
      </c>
      <c r="M16">
        <v>84</v>
      </c>
      <c r="N16">
        <v>52</v>
      </c>
      <c r="O16">
        <v>801</v>
      </c>
      <c r="P16">
        <v>4</v>
      </c>
      <c r="Q16">
        <v>0</v>
      </c>
      <c r="R16">
        <v>0</v>
      </c>
      <c r="S16">
        <v>166.5</v>
      </c>
      <c r="T16">
        <v>0.15671641791044799</v>
      </c>
      <c r="U16">
        <v>8</v>
      </c>
      <c r="V16">
        <v>15.403846153846199</v>
      </c>
    </row>
    <row r="17" spans="1:22" x14ac:dyDescent="0.25">
      <c r="A17" t="s">
        <v>1470</v>
      </c>
      <c r="B17" t="s">
        <v>1457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3</v>
      </c>
      <c r="N17">
        <v>2</v>
      </c>
      <c r="O17">
        <v>11</v>
      </c>
      <c r="P17">
        <v>0</v>
      </c>
      <c r="Q17">
        <v>0</v>
      </c>
      <c r="R17">
        <v>0</v>
      </c>
      <c r="S17">
        <v>3.1</v>
      </c>
      <c r="T17">
        <v>5.5970149253731297E-3</v>
      </c>
      <c r="V17">
        <v>5.5</v>
      </c>
    </row>
    <row r="18" spans="1:22" x14ac:dyDescent="0.25">
      <c r="A18" t="s">
        <v>1471</v>
      </c>
      <c r="B18" t="s">
        <v>1457</v>
      </c>
      <c r="C18" t="s">
        <v>43</v>
      </c>
      <c r="D18">
        <v>11</v>
      </c>
      <c r="E18">
        <v>0</v>
      </c>
      <c r="F18">
        <v>0</v>
      </c>
      <c r="G18">
        <v>0</v>
      </c>
      <c r="H18">
        <v>0</v>
      </c>
      <c r="I18">
        <v>0</v>
      </c>
      <c r="J18">
        <v>13</v>
      </c>
      <c r="K18">
        <v>70</v>
      </c>
      <c r="L18">
        <v>0</v>
      </c>
      <c r="M18">
        <v>23</v>
      </c>
      <c r="N18">
        <v>14</v>
      </c>
      <c r="O18">
        <v>104</v>
      </c>
      <c r="P18">
        <v>0</v>
      </c>
      <c r="Q18">
        <v>0</v>
      </c>
      <c r="R18">
        <v>0</v>
      </c>
      <c r="S18">
        <v>31.4</v>
      </c>
      <c r="T18">
        <v>4.2910447761194001E-2</v>
      </c>
      <c r="U18">
        <v>5.3846153846153904</v>
      </c>
      <c r="V18">
        <v>7.4285714285714297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1457</v>
      </c>
      <c r="B31">
        <v>5730</v>
      </c>
      <c r="C31">
        <v>3661</v>
      </c>
      <c r="D31">
        <v>499</v>
      </c>
      <c r="E31">
        <v>2069</v>
      </c>
      <c r="F31">
        <v>16</v>
      </c>
      <c r="G31">
        <v>1277.44</v>
      </c>
      <c r="H31">
        <v>571</v>
      </c>
      <c r="I31">
        <v>0.63747810858143605</v>
      </c>
      <c r="J31">
        <v>12</v>
      </c>
      <c r="K31">
        <v>14</v>
      </c>
      <c r="L31">
        <v>2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PIT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1472</v>
      </c>
      <c r="B36" t="s">
        <v>26</v>
      </c>
      <c r="C36">
        <v>24</v>
      </c>
      <c r="D36">
        <v>0</v>
      </c>
      <c r="E36" t="s">
        <v>225</v>
      </c>
      <c r="F36" t="s">
        <v>1457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1473</v>
      </c>
      <c r="B37" t="s">
        <v>26</v>
      </c>
      <c r="C37">
        <v>25</v>
      </c>
      <c r="D37">
        <v>2</v>
      </c>
      <c r="E37" t="s">
        <v>74</v>
      </c>
      <c r="F37" t="s">
        <v>1457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1474</v>
      </c>
      <c r="B38" t="s">
        <v>26</v>
      </c>
      <c r="C38">
        <v>28</v>
      </c>
      <c r="D38">
        <v>6</v>
      </c>
      <c r="E38" t="s">
        <v>218</v>
      </c>
      <c r="F38" t="s">
        <v>1457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1475</v>
      </c>
      <c r="B39" t="s">
        <v>26</v>
      </c>
      <c r="C39">
        <v>28</v>
      </c>
      <c r="D39">
        <v>7</v>
      </c>
      <c r="E39" t="s">
        <v>163</v>
      </c>
      <c r="F39" t="s">
        <v>1457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1476</v>
      </c>
      <c r="B46" t="s">
        <v>31</v>
      </c>
      <c r="C46">
        <v>25</v>
      </c>
      <c r="D46">
        <v>2</v>
      </c>
      <c r="E46" t="s">
        <v>795</v>
      </c>
      <c r="F46" t="s">
        <v>1457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1477</v>
      </c>
      <c r="B47" t="s">
        <v>31</v>
      </c>
      <c r="C47">
        <v>23</v>
      </c>
      <c r="D47">
        <v>0</v>
      </c>
      <c r="E47" t="s">
        <v>1478</v>
      </c>
      <c r="F47" t="s">
        <v>1457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1479</v>
      </c>
      <c r="B48" t="s">
        <v>31</v>
      </c>
      <c r="C48">
        <v>24</v>
      </c>
      <c r="D48">
        <v>0</v>
      </c>
      <c r="E48" t="s">
        <v>1480</v>
      </c>
      <c r="F48" t="s">
        <v>1457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1481</v>
      </c>
      <c r="B49" t="s">
        <v>31</v>
      </c>
      <c r="C49">
        <v>25</v>
      </c>
      <c r="D49">
        <v>3</v>
      </c>
      <c r="E49" t="s">
        <v>153</v>
      </c>
      <c r="F49" t="s">
        <v>1457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1482</v>
      </c>
      <c r="B50" t="s">
        <v>31</v>
      </c>
      <c r="C50">
        <v>24</v>
      </c>
      <c r="D50">
        <v>3</v>
      </c>
      <c r="E50" t="s">
        <v>232</v>
      </c>
      <c r="F50" t="s">
        <v>1457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1483</v>
      </c>
      <c r="B51" t="s">
        <v>31</v>
      </c>
      <c r="C51">
        <v>25</v>
      </c>
      <c r="D51">
        <v>0</v>
      </c>
      <c r="E51" t="s">
        <v>155</v>
      </c>
      <c r="F51" t="s">
        <v>1457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1484</v>
      </c>
      <c r="B52" t="s">
        <v>31</v>
      </c>
      <c r="C52">
        <v>24</v>
      </c>
      <c r="D52">
        <v>2</v>
      </c>
      <c r="E52" t="s">
        <v>218</v>
      </c>
      <c r="F52" t="s">
        <v>1457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1485</v>
      </c>
      <c r="B61" t="s">
        <v>43</v>
      </c>
      <c r="C61">
        <v>24</v>
      </c>
      <c r="D61">
        <v>2</v>
      </c>
      <c r="E61" t="s">
        <v>557</v>
      </c>
      <c r="F61" t="s">
        <v>1457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1486</v>
      </c>
      <c r="B62" t="s">
        <v>43</v>
      </c>
      <c r="C62">
        <v>26</v>
      </c>
      <c r="D62">
        <v>5</v>
      </c>
      <c r="E62" t="s">
        <v>362</v>
      </c>
      <c r="F62" t="s">
        <v>1457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1487</v>
      </c>
      <c r="B63" t="s">
        <v>43</v>
      </c>
      <c r="C63">
        <v>27</v>
      </c>
      <c r="D63">
        <v>2</v>
      </c>
      <c r="E63" t="s">
        <v>244</v>
      </c>
      <c r="F63" t="s">
        <v>1457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1488</v>
      </c>
      <c r="B64" t="s">
        <v>43</v>
      </c>
      <c r="C64">
        <v>23</v>
      </c>
      <c r="D64">
        <v>0</v>
      </c>
      <c r="E64" t="s">
        <v>795</v>
      </c>
      <c r="F64" t="s">
        <v>1457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1489</v>
      </c>
      <c r="B65" t="s">
        <v>43</v>
      </c>
      <c r="C65">
        <v>26</v>
      </c>
      <c r="D65">
        <v>3</v>
      </c>
      <c r="E65" t="s">
        <v>339</v>
      </c>
      <c r="F65" t="s">
        <v>1457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1490</v>
      </c>
      <c r="B66" t="s">
        <v>43</v>
      </c>
      <c r="C66">
        <v>25</v>
      </c>
      <c r="D66">
        <v>2</v>
      </c>
      <c r="E66" t="s">
        <v>209</v>
      </c>
      <c r="F66" t="s">
        <v>1457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1491</v>
      </c>
      <c r="B67" t="s">
        <v>43</v>
      </c>
      <c r="C67">
        <v>27</v>
      </c>
      <c r="D67">
        <v>5</v>
      </c>
      <c r="E67" t="s">
        <v>138</v>
      </c>
      <c r="F67" t="s">
        <v>1457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1492</v>
      </c>
      <c r="B68" t="s">
        <v>43</v>
      </c>
      <c r="C68">
        <v>26</v>
      </c>
      <c r="D68">
        <v>5</v>
      </c>
      <c r="E68" t="s">
        <v>1493</v>
      </c>
      <c r="F68" t="s">
        <v>1457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1494</v>
      </c>
      <c r="B69" t="s">
        <v>43</v>
      </c>
      <c r="C69">
        <v>22</v>
      </c>
      <c r="D69">
        <v>2</v>
      </c>
      <c r="E69" t="s">
        <v>173</v>
      </c>
      <c r="F69" t="s">
        <v>1457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1495</v>
      </c>
      <c r="B70" t="s">
        <v>43</v>
      </c>
      <c r="C70">
        <v>29</v>
      </c>
      <c r="D70">
        <v>10</v>
      </c>
      <c r="E70" t="s">
        <v>339</v>
      </c>
      <c r="F70" t="s">
        <v>1457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1496</v>
      </c>
      <c r="B71" t="s">
        <v>43</v>
      </c>
      <c r="C71">
        <v>24</v>
      </c>
      <c r="D71">
        <v>2</v>
      </c>
      <c r="E71" t="s">
        <v>744</v>
      </c>
      <c r="F71" t="s">
        <v>1457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1497</v>
      </c>
      <c r="B76" t="s">
        <v>38</v>
      </c>
      <c r="C76">
        <v>24</v>
      </c>
      <c r="D76">
        <v>3</v>
      </c>
      <c r="E76" t="s">
        <v>339</v>
      </c>
      <c r="F76" t="s">
        <v>1457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1498</v>
      </c>
      <c r="B77" t="s">
        <v>38</v>
      </c>
      <c r="C77">
        <v>26</v>
      </c>
      <c r="D77">
        <v>5</v>
      </c>
      <c r="E77" t="s">
        <v>105</v>
      </c>
      <c r="F77" t="s">
        <v>1457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1499</v>
      </c>
      <c r="B78" t="s">
        <v>38</v>
      </c>
      <c r="C78">
        <v>24</v>
      </c>
      <c r="D78">
        <v>2</v>
      </c>
      <c r="E78" t="s">
        <v>744</v>
      </c>
      <c r="F78" t="s">
        <v>1457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1500</v>
      </c>
      <c r="B79" t="s">
        <v>38</v>
      </c>
      <c r="C79">
        <v>21</v>
      </c>
      <c r="D79">
        <v>0</v>
      </c>
      <c r="E79" t="s">
        <v>173</v>
      </c>
      <c r="F79" t="s">
        <v>1457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1501</v>
      </c>
      <c r="B80" t="s">
        <v>38</v>
      </c>
      <c r="C80">
        <v>25</v>
      </c>
      <c r="D80">
        <v>1</v>
      </c>
      <c r="E80" t="s">
        <v>1045</v>
      </c>
      <c r="F80" t="s">
        <v>1457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topLeftCell="G19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1502</v>
      </c>
      <c r="B2" t="s">
        <v>1503</v>
      </c>
      <c r="C2" t="s">
        <v>26</v>
      </c>
      <c r="D2">
        <v>17</v>
      </c>
      <c r="E2">
        <v>572</v>
      </c>
      <c r="F2">
        <v>399</v>
      </c>
      <c r="G2">
        <v>4282</v>
      </c>
      <c r="H2">
        <v>30</v>
      </c>
      <c r="I2">
        <v>11</v>
      </c>
      <c r="J2">
        <v>68</v>
      </c>
      <c r="K2">
        <v>366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0</v>
      </c>
      <c r="S2">
        <v>303.88</v>
      </c>
      <c r="T2">
        <v>0</v>
      </c>
      <c r="U2">
        <v>5.3823529411764701</v>
      </c>
      <c r="W2">
        <v>0.69755244755244805</v>
      </c>
      <c r="X2">
        <v>5.2447552447552399E-2</v>
      </c>
    </row>
    <row r="3" spans="1:24" x14ac:dyDescent="0.25">
      <c r="A3" t="s">
        <v>1504</v>
      </c>
      <c r="B3" t="s">
        <v>1503</v>
      </c>
      <c r="C3" t="s">
        <v>31</v>
      </c>
      <c r="D3">
        <v>11</v>
      </c>
      <c r="E3">
        <v>1</v>
      </c>
      <c r="F3">
        <v>0</v>
      </c>
      <c r="G3">
        <v>0</v>
      </c>
      <c r="H3">
        <v>0</v>
      </c>
      <c r="I3">
        <v>1</v>
      </c>
      <c r="J3">
        <v>35</v>
      </c>
      <c r="K3">
        <v>186</v>
      </c>
      <c r="L3">
        <v>0</v>
      </c>
      <c r="M3">
        <v>19</v>
      </c>
      <c r="N3">
        <v>17</v>
      </c>
      <c r="O3">
        <v>126</v>
      </c>
      <c r="P3">
        <v>0</v>
      </c>
      <c r="Q3">
        <v>0</v>
      </c>
      <c r="R3">
        <v>0</v>
      </c>
      <c r="S3">
        <v>46.2</v>
      </c>
      <c r="T3">
        <v>3.32749562171629E-2</v>
      </c>
      <c r="U3">
        <v>5.3142857142857096</v>
      </c>
      <c r="V3">
        <v>7.4117647058823497</v>
      </c>
      <c r="W3">
        <v>0</v>
      </c>
      <c r="X3">
        <v>0</v>
      </c>
    </row>
    <row r="4" spans="1:24" x14ac:dyDescent="0.25">
      <c r="A4" t="s">
        <v>1505</v>
      </c>
      <c r="B4" t="s">
        <v>1503</v>
      </c>
      <c r="C4" t="s">
        <v>31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4</v>
      </c>
      <c r="L4">
        <v>0</v>
      </c>
      <c r="M4">
        <v>1</v>
      </c>
      <c r="N4">
        <v>1</v>
      </c>
      <c r="O4">
        <v>3</v>
      </c>
      <c r="P4">
        <v>0</v>
      </c>
      <c r="Q4">
        <v>0</v>
      </c>
      <c r="R4">
        <v>0</v>
      </c>
      <c r="S4">
        <v>1.7</v>
      </c>
      <c r="T4">
        <v>1.7513134851138399E-3</v>
      </c>
      <c r="U4">
        <v>1.3333333333333299</v>
      </c>
      <c r="V4">
        <v>3</v>
      </c>
    </row>
    <row r="5" spans="1:24" x14ac:dyDescent="0.25">
      <c r="A5" t="s">
        <v>1506</v>
      </c>
      <c r="B5" t="s">
        <v>1503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228</v>
      </c>
      <c r="K5">
        <v>1050</v>
      </c>
      <c r="L5">
        <v>9</v>
      </c>
      <c r="M5">
        <v>35</v>
      </c>
      <c r="N5">
        <v>27</v>
      </c>
      <c r="O5">
        <v>165</v>
      </c>
      <c r="P5">
        <v>0</v>
      </c>
      <c r="Q5">
        <v>0</v>
      </c>
      <c r="R5">
        <v>0</v>
      </c>
      <c r="S5">
        <v>202.5</v>
      </c>
      <c r="T5">
        <v>6.1295971978984197E-2</v>
      </c>
      <c r="U5">
        <v>4.6052631578947398</v>
      </c>
      <c r="V5">
        <v>6.1111111111111098</v>
      </c>
    </row>
    <row r="6" spans="1:24" x14ac:dyDescent="0.25">
      <c r="A6" t="s">
        <v>1507</v>
      </c>
      <c r="B6" t="s">
        <v>1503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57</v>
      </c>
      <c r="K6">
        <v>346</v>
      </c>
      <c r="L6">
        <v>2</v>
      </c>
      <c r="M6">
        <v>5</v>
      </c>
      <c r="N6">
        <v>4</v>
      </c>
      <c r="O6">
        <v>16</v>
      </c>
      <c r="P6">
        <v>0</v>
      </c>
      <c r="Q6">
        <v>0</v>
      </c>
      <c r="R6">
        <v>0</v>
      </c>
      <c r="S6">
        <v>52.2</v>
      </c>
      <c r="T6">
        <v>8.7565674255691804E-3</v>
      </c>
      <c r="U6">
        <v>6.0701754385964897</v>
      </c>
      <c r="V6">
        <v>4</v>
      </c>
    </row>
    <row r="7" spans="1:24" x14ac:dyDescent="0.25">
      <c r="A7" t="s">
        <v>1508</v>
      </c>
      <c r="B7" t="s">
        <v>1503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19</v>
      </c>
      <c r="K7">
        <v>74</v>
      </c>
      <c r="L7">
        <v>0</v>
      </c>
      <c r="M7">
        <v>18</v>
      </c>
      <c r="N7">
        <v>16</v>
      </c>
      <c r="O7">
        <v>157</v>
      </c>
      <c r="P7">
        <v>1</v>
      </c>
      <c r="Q7">
        <v>0</v>
      </c>
      <c r="R7">
        <v>0</v>
      </c>
      <c r="S7">
        <v>43.1</v>
      </c>
      <c r="T7">
        <v>3.1523642732049002E-2</v>
      </c>
      <c r="U7">
        <v>3.8947368421052602</v>
      </c>
      <c r="V7">
        <v>9.8125</v>
      </c>
    </row>
    <row r="8" spans="1:24" x14ac:dyDescent="0.25">
      <c r="A8" t="s">
        <v>879</v>
      </c>
      <c r="B8" t="s">
        <v>1503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8</v>
      </c>
      <c r="K8">
        <v>16</v>
      </c>
      <c r="L8">
        <v>0</v>
      </c>
      <c r="M8">
        <v>6</v>
      </c>
      <c r="N8">
        <v>3</v>
      </c>
      <c r="O8">
        <v>18</v>
      </c>
      <c r="P8">
        <v>0</v>
      </c>
      <c r="Q8">
        <v>0</v>
      </c>
      <c r="R8">
        <v>0</v>
      </c>
      <c r="S8">
        <v>6.4</v>
      </c>
      <c r="T8">
        <v>1.0507880910683E-2</v>
      </c>
      <c r="U8">
        <v>2</v>
      </c>
      <c r="V8">
        <v>6</v>
      </c>
    </row>
    <row r="9" spans="1:24" x14ac:dyDescent="0.25">
      <c r="A9" t="s">
        <v>1509</v>
      </c>
      <c r="B9" t="s">
        <v>1503</v>
      </c>
      <c r="C9" t="s">
        <v>38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34</v>
      </c>
      <c r="N9">
        <v>25</v>
      </c>
      <c r="O9">
        <v>322</v>
      </c>
      <c r="P9">
        <v>2</v>
      </c>
      <c r="Q9">
        <v>0</v>
      </c>
      <c r="R9">
        <v>0</v>
      </c>
      <c r="S9">
        <v>69.2</v>
      </c>
      <c r="T9">
        <v>5.9544658493870403E-2</v>
      </c>
      <c r="V9">
        <v>12.88</v>
      </c>
    </row>
    <row r="10" spans="1:24" x14ac:dyDescent="0.25">
      <c r="A10" t="s">
        <v>1510</v>
      </c>
      <c r="B10" t="s">
        <v>1503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63</v>
      </c>
      <c r="N10">
        <v>50</v>
      </c>
      <c r="O10">
        <v>486</v>
      </c>
      <c r="P10">
        <v>4</v>
      </c>
      <c r="Q10">
        <v>0</v>
      </c>
      <c r="R10">
        <v>0</v>
      </c>
      <c r="S10">
        <v>122.6</v>
      </c>
      <c r="T10">
        <v>0.110332749562172</v>
      </c>
      <c r="V10">
        <v>9.7200000000000006</v>
      </c>
    </row>
    <row r="11" spans="1:24" x14ac:dyDescent="0.25">
      <c r="A11" t="s">
        <v>1511</v>
      </c>
      <c r="B11" t="s">
        <v>1503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7</v>
      </c>
      <c r="P11">
        <v>1</v>
      </c>
      <c r="Q11">
        <v>0</v>
      </c>
      <c r="R11">
        <v>0</v>
      </c>
      <c r="S11">
        <v>7.7</v>
      </c>
      <c r="T11">
        <v>1.7513134851138399E-3</v>
      </c>
      <c r="V11">
        <v>7</v>
      </c>
    </row>
    <row r="12" spans="1:24" x14ac:dyDescent="0.25">
      <c r="A12" t="s">
        <v>1512</v>
      </c>
      <c r="B12" t="s">
        <v>1503</v>
      </c>
      <c r="C12" t="s">
        <v>38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38</v>
      </c>
      <c r="N12">
        <v>34</v>
      </c>
      <c r="O12">
        <v>349</v>
      </c>
      <c r="P12">
        <v>3</v>
      </c>
      <c r="Q12">
        <v>0</v>
      </c>
      <c r="R12">
        <v>0</v>
      </c>
      <c r="S12">
        <v>86.9</v>
      </c>
      <c r="T12">
        <v>6.6549912434325703E-2</v>
      </c>
      <c r="V12">
        <v>10.264705882352899</v>
      </c>
    </row>
    <row r="13" spans="1:24" x14ac:dyDescent="0.25">
      <c r="A13" t="s">
        <v>1513</v>
      </c>
      <c r="B13" t="s">
        <v>1503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2</v>
      </c>
      <c r="O13">
        <v>21</v>
      </c>
      <c r="P13">
        <v>0</v>
      </c>
      <c r="Q13">
        <v>0</v>
      </c>
      <c r="R13">
        <v>0</v>
      </c>
      <c r="S13">
        <v>4.0999999999999996</v>
      </c>
      <c r="T13">
        <v>7.0052539404553398E-3</v>
      </c>
      <c r="V13">
        <v>10.5</v>
      </c>
    </row>
    <row r="14" spans="1:24" x14ac:dyDescent="0.25">
      <c r="A14" t="s">
        <v>1514</v>
      </c>
      <c r="B14" t="s">
        <v>1503</v>
      </c>
      <c r="C14" t="s">
        <v>43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10</v>
      </c>
      <c r="L14">
        <v>0</v>
      </c>
      <c r="M14">
        <v>13</v>
      </c>
      <c r="N14">
        <v>7</v>
      </c>
      <c r="O14">
        <v>58</v>
      </c>
      <c r="P14">
        <v>0</v>
      </c>
      <c r="Q14">
        <v>0</v>
      </c>
      <c r="R14">
        <v>0</v>
      </c>
      <c r="S14">
        <v>13.8</v>
      </c>
      <c r="T14">
        <v>2.2767075306479902E-2</v>
      </c>
      <c r="U14">
        <v>5</v>
      </c>
      <c r="V14">
        <v>8.28571428571429</v>
      </c>
    </row>
    <row r="15" spans="1:24" x14ac:dyDescent="0.25">
      <c r="A15" t="s">
        <v>1515</v>
      </c>
      <c r="B15" t="s">
        <v>1503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141</v>
      </c>
      <c r="N15">
        <v>90</v>
      </c>
      <c r="O15">
        <v>1048</v>
      </c>
      <c r="P15">
        <v>6</v>
      </c>
      <c r="Q15">
        <v>0</v>
      </c>
      <c r="R15">
        <v>0</v>
      </c>
      <c r="S15">
        <v>226.8</v>
      </c>
      <c r="T15">
        <v>0.24693520140105099</v>
      </c>
      <c r="V15">
        <v>11.6444444444444</v>
      </c>
    </row>
    <row r="16" spans="1:24" x14ac:dyDescent="0.25">
      <c r="A16" t="s">
        <v>1516</v>
      </c>
      <c r="B16" t="s">
        <v>1503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3.5026269702276699E-3</v>
      </c>
      <c r="V16">
        <v>12</v>
      </c>
    </row>
    <row r="17" spans="1:22" x14ac:dyDescent="0.25">
      <c r="A17" t="s">
        <v>1517</v>
      </c>
      <c r="B17" t="s">
        <v>1503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10</v>
      </c>
      <c r="N17">
        <v>6</v>
      </c>
      <c r="O17">
        <v>42</v>
      </c>
      <c r="P17">
        <v>0</v>
      </c>
      <c r="Q17">
        <v>0</v>
      </c>
      <c r="R17">
        <v>0</v>
      </c>
      <c r="S17">
        <v>10.199999999999999</v>
      </c>
      <c r="T17">
        <v>1.7513134851138399E-2</v>
      </c>
      <c r="V17">
        <v>7</v>
      </c>
    </row>
    <row r="18" spans="1:22" x14ac:dyDescent="0.25">
      <c r="A18" t="s">
        <v>1518</v>
      </c>
      <c r="B18" t="s">
        <v>1503</v>
      </c>
      <c r="C18" t="s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42</v>
      </c>
      <c r="N18">
        <v>27</v>
      </c>
      <c r="O18">
        <v>387</v>
      </c>
      <c r="P18">
        <v>4</v>
      </c>
      <c r="Q18">
        <v>0</v>
      </c>
      <c r="R18">
        <v>0</v>
      </c>
      <c r="S18">
        <v>90.2</v>
      </c>
      <c r="T18">
        <v>7.35551663747811E-2</v>
      </c>
      <c r="U18">
        <v>2.5</v>
      </c>
      <c r="V18">
        <v>14.3333333333333</v>
      </c>
    </row>
    <row r="19" spans="1:22" x14ac:dyDescent="0.25">
      <c r="A19" t="s">
        <v>1519</v>
      </c>
      <c r="B19" t="s">
        <v>1503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</v>
      </c>
      <c r="N19">
        <v>3</v>
      </c>
      <c r="O19">
        <v>20</v>
      </c>
      <c r="P19">
        <v>0</v>
      </c>
      <c r="Q19">
        <v>0</v>
      </c>
      <c r="R19">
        <v>0</v>
      </c>
      <c r="S19">
        <v>5</v>
      </c>
      <c r="T19">
        <v>7.0052539404553398E-3</v>
      </c>
      <c r="V19">
        <v>6.6666666666666696</v>
      </c>
    </row>
    <row r="20" spans="1:22" x14ac:dyDescent="0.25">
      <c r="A20" t="s">
        <v>1520</v>
      </c>
      <c r="B20" t="s">
        <v>1503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117</v>
      </c>
      <c r="N20">
        <v>84</v>
      </c>
      <c r="O20">
        <v>1033</v>
      </c>
      <c r="P20">
        <v>9</v>
      </c>
      <c r="Q20">
        <v>0</v>
      </c>
      <c r="R20">
        <v>0</v>
      </c>
      <c r="S20">
        <v>239.3</v>
      </c>
      <c r="T20">
        <v>0.204903677758319</v>
      </c>
      <c r="V20">
        <v>12.297619047618999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1503</v>
      </c>
      <c r="B31">
        <v>6339</v>
      </c>
      <c r="C31">
        <v>4282</v>
      </c>
      <c r="D31">
        <v>422</v>
      </c>
      <c r="E31">
        <v>2057</v>
      </c>
      <c r="F31">
        <v>12</v>
      </c>
      <c r="G31">
        <v>1536.18</v>
      </c>
      <c r="H31">
        <v>573</v>
      </c>
      <c r="I31">
        <v>0.69633507853403098</v>
      </c>
      <c r="J31">
        <v>30</v>
      </c>
      <c r="K31">
        <v>12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SEA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1521</v>
      </c>
      <c r="B36" t="s">
        <v>26</v>
      </c>
      <c r="C36">
        <v>23</v>
      </c>
      <c r="D36">
        <v>0</v>
      </c>
      <c r="E36" t="s">
        <v>220</v>
      </c>
      <c r="F36" t="s">
        <v>1503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1522</v>
      </c>
      <c r="B37" t="s">
        <v>26</v>
      </c>
      <c r="C37">
        <v>26</v>
      </c>
      <c r="D37">
        <v>5</v>
      </c>
      <c r="E37" t="s">
        <v>613</v>
      </c>
      <c r="F37" t="s">
        <v>1503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1523</v>
      </c>
      <c r="B38" t="s">
        <v>26</v>
      </c>
      <c r="C38">
        <v>32</v>
      </c>
      <c r="D38">
        <v>11</v>
      </c>
      <c r="E38" t="s">
        <v>344</v>
      </c>
      <c r="F38" t="s">
        <v>1503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1524</v>
      </c>
      <c r="B46" t="s">
        <v>31</v>
      </c>
      <c r="C46">
        <v>22</v>
      </c>
      <c r="D46">
        <v>0</v>
      </c>
      <c r="E46" t="s">
        <v>418</v>
      </c>
      <c r="F46" t="s">
        <v>1503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1525</v>
      </c>
      <c r="B47" t="s">
        <v>31</v>
      </c>
      <c r="C47">
        <v>24</v>
      </c>
      <c r="D47">
        <v>4</v>
      </c>
      <c r="E47" t="s">
        <v>397</v>
      </c>
      <c r="F47" t="s">
        <v>1503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1526</v>
      </c>
      <c r="B48" t="s">
        <v>31</v>
      </c>
      <c r="C48">
        <v>25</v>
      </c>
      <c r="D48">
        <v>1</v>
      </c>
      <c r="E48" t="s">
        <v>138</v>
      </c>
      <c r="F48" t="s">
        <v>1503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1527</v>
      </c>
      <c r="B49" t="s">
        <v>31</v>
      </c>
      <c r="C49">
        <v>23</v>
      </c>
      <c r="D49">
        <v>0</v>
      </c>
      <c r="E49" t="s">
        <v>173</v>
      </c>
      <c r="F49" t="s">
        <v>1503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1528</v>
      </c>
      <c r="B50" t="s">
        <v>31</v>
      </c>
      <c r="C50">
        <v>25</v>
      </c>
      <c r="D50">
        <v>0</v>
      </c>
      <c r="E50" t="s">
        <v>86</v>
      </c>
      <c r="F50" t="s">
        <v>1503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1529</v>
      </c>
      <c r="B51" t="s">
        <v>31</v>
      </c>
      <c r="C51">
        <v>23</v>
      </c>
      <c r="D51">
        <v>1</v>
      </c>
      <c r="E51" t="s">
        <v>511</v>
      </c>
      <c r="F51" t="s">
        <v>1503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1530</v>
      </c>
      <c r="B52" t="s">
        <v>31</v>
      </c>
      <c r="C52">
        <v>22</v>
      </c>
      <c r="D52">
        <v>2</v>
      </c>
      <c r="E52" t="s">
        <v>744</v>
      </c>
      <c r="F52" t="s">
        <v>1503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1531</v>
      </c>
      <c r="B61" t="s">
        <v>43</v>
      </c>
      <c r="C61">
        <v>25</v>
      </c>
      <c r="D61">
        <v>0</v>
      </c>
      <c r="E61" t="s">
        <v>418</v>
      </c>
      <c r="F61" t="s">
        <v>1503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1532</v>
      </c>
      <c r="B62" t="s">
        <v>43</v>
      </c>
      <c r="C62">
        <v>26</v>
      </c>
      <c r="D62">
        <v>3</v>
      </c>
      <c r="E62" t="s">
        <v>357</v>
      </c>
      <c r="F62" t="s">
        <v>1503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1533</v>
      </c>
      <c r="B63" t="s">
        <v>43</v>
      </c>
      <c r="C63">
        <v>25</v>
      </c>
      <c r="D63">
        <v>0</v>
      </c>
      <c r="E63" t="s">
        <v>1534</v>
      </c>
      <c r="F63" t="s">
        <v>1503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1535</v>
      </c>
      <c r="B64" t="s">
        <v>43</v>
      </c>
      <c r="C64">
        <v>25</v>
      </c>
      <c r="D64">
        <v>1</v>
      </c>
      <c r="E64" t="s">
        <v>753</v>
      </c>
      <c r="F64" t="s">
        <v>1503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1536</v>
      </c>
      <c r="B65" t="s">
        <v>43</v>
      </c>
      <c r="C65">
        <v>24</v>
      </c>
      <c r="D65">
        <v>0</v>
      </c>
      <c r="E65" t="s">
        <v>467</v>
      </c>
      <c r="F65" t="s">
        <v>1503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1537</v>
      </c>
      <c r="B66" t="s">
        <v>43</v>
      </c>
      <c r="C66">
        <v>24</v>
      </c>
      <c r="D66">
        <v>0</v>
      </c>
      <c r="E66" t="s">
        <v>111</v>
      </c>
      <c r="F66" t="s">
        <v>1503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1538</v>
      </c>
      <c r="B67" t="s">
        <v>43</v>
      </c>
      <c r="C67">
        <v>30</v>
      </c>
      <c r="D67">
        <v>9</v>
      </c>
      <c r="E67" t="s">
        <v>559</v>
      </c>
      <c r="F67" t="s">
        <v>1503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1539</v>
      </c>
      <c r="B68" t="s">
        <v>43</v>
      </c>
      <c r="D68">
        <v>0</v>
      </c>
      <c r="E68" t="s">
        <v>806</v>
      </c>
      <c r="F68" t="s">
        <v>1503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1540</v>
      </c>
      <c r="B69" t="s">
        <v>43</v>
      </c>
      <c r="C69">
        <v>25</v>
      </c>
      <c r="D69">
        <v>5</v>
      </c>
      <c r="E69" t="s">
        <v>240</v>
      </c>
      <c r="F69" t="s">
        <v>1503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1541</v>
      </c>
      <c r="B70" t="s">
        <v>43</v>
      </c>
      <c r="C70">
        <v>21</v>
      </c>
      <c r="D70">
        <v>0</v>
      </c>
      <c r="E70" t="s">
        <v>213</v>
      </c>
      <c r="F70" t="s">
        <v>1503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1542</v>
      </c>
      <c r="B71" t="s">
        <v>43</v>
      </c>
      <c r="C71">
        <v>27</v>
      </c>
      <c r="D71">
        <v>2</v>
      </c>
      <c r="E71" t="s">
        <v>138</v>
      </c>
      <c r="F71" t="s">
        <v>1503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1543</v>
      </c>
      <c r="B72" t="s">
        <v>43</v>
      </c>
      <c r="C72">
        <v>26</v>
      </c>
      <c r="D72">
        <v>1</v>
      </c>
      <c r="E72" t="s">
        <v>294</v>
      </c>
      <c r="F72" t="s">
        <v>1503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1544</v>
      </c>
      <c r="B73" t="s">
        <v>43</v>
      </c>
      <c r="C73">
        <v>24</v>
      </c>
      <c r="D73">
        <v>2</v>
      </c>
      <c r="E73" t="s">
        <v>1545</v>
      </c>
      <c r="F73" t="s">
        <v>1503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1546</v>
      </c>
      <c r="B76" t="s">
        <v>38</v>
      </c>
      <c r="C76">
        <v>27</v>
      </c>
      <c r="D76">
        <v>6</v>
      </c>
      <c r="E76" t="s">
        <v>86</v>
      </c>
      <c r="F76" t="s">
        <v>1503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1547</v>
      </c>
      <c r="B77" t="s">
        <v>38</v>
      </c>
      <c r="C77">
        <v>25</v>
      </c>
      <c r="D77">
        <v>5</v>
      </c>
      <c r="E77" t="s">
        <v>100</v>
      </c>
      <c r="F77" t="s">
        <v>1503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1548</v>
      </c>
      <c r="B78" t="s">
        <v>38</v>
      </c>
      <c r="C78">
        <v>24</v>
      </c>
      <c r="D78">
        <v>0</v>
      </c>
      <c r="E78" t="s">
        <v>64</v>
      </c>
      <c r="F78" t="s">
        <v>1503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1549</v>
      </c>
      <c r="B79" t="s">
        <v>38</v>
      </c>
      <c r="C79">
        <v>26</v>
      </c>
      <c r="D79">
        <v>2</v>
      </c>
      <c r="E79" t="s">
        <v>232</v>
      </c>
      <c r="F79" t="s">
        <v>1503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1550</v>
      </c>
      <c r="B80" t="s">
        <v>38</v>
      </c>
      <c r="C80">
        <v>24</v>
      </c>
      <c r="D80">
        <v>4</v>
      </c>
      <c r="E80" t="s">
        <v>102</v>
      </c>
      <c r="F80" t="s">
        <v>1503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topLeftCell="G25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1551</v>
      </c>
      <c r="B2" t="s">
        <v>1552</v>
      </c>
      <c r="C2" t="s">
        <v>115</v>
      </c>
      <c r="D2">
        <v>13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26</v>
      </c>
      <c r="L2">
        <v>1</v>
      </c>
      <c r="M2">
        <v>23</v>
      </c>
      <c r="N2">
        <v>19</v>
      </c>
      <c r="O2">
        <v>200</v>
      </c>
      <c r="P2">
        <v>1</v>
      </c>
      <c r="Q2">
        <v>0</v>
      </c>
      <c r="R2">
        <v>0</v>
      </c>
      <c r="S2">
        <v>53.6</v>
      </c>
      <c r="T2">
        <v>4.01396160558464E-2</v>
      </c>
      <c r="U2">
        <v>3.71428571428571</v>
      </c>
      <c r="V2">
        <v>10.526315789473699</v>
      </c>
    </row>
    <row r="3" spans="1:24" x14ac:dyDescent="0.25">
      <c r="A3" t="s">
        <v>1553</v>
      </c>
      <c r="B3" t="s">
        <v>1552</v>
      </c>
      <c r="C3" t="s">
        <v>26</v>
      </c>
      <c r="D3">
        <v>9</v>
      </c>
      <c r="E3">
        <v>170</v>
      </c>
      <c r="F3">
        <v>114</v>
      </c>
      <c r="G3">
        <v>1374</v>
      </c>
      <c r="H3">
        <v>13</v>
      </c>
      <c r="I3">
        <v>4</v>
      </c>
      <c r="J3">
        <v>22</v>
      </c>
      <c r="K3">
        <v>13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106.26</v>
      </c>
      <c r="T3">
        <v>0</v>
      </c>
      <c r="U3">
        <v>0.59090909090909105</v>
      </c>
      <c r="W3">
        <v>0.67058823529411804</v>
      </c>
      <c r="X3">
        <v>7.6470588235294096E-2</v>
      </c>
    </row>
    <row r="4" spans="1:24" x14ac:dyDescent="0.25">
      <c r="A4" t="s">
        <v>1554</v>
      </c>
      <c r="B4" t="s">
        <v>1552</v>
      </c>
      <c r="C4" t="s">
        <v>26</v>
      </c>
      <c r="D4">
        <v>11</v>
      </c>
      <c r="E4">
        <v>308</v>
      </c>
      <c r="F4">
        <v>207</v>
      </c>
      <c r="G4">
        <v>2437</v>
      </c>
      <c r="H4">
        <v>16</v>
      </c>
      <c r="I4">
        <v>4</v>
      </c>
      <c r="J4">
        <v>23</v>
      </c>
      <c r="K4">
        <v>33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0</v>
      </c>
      <c r="S4">
        <v>164.78</v>
      </c>
      <c r="T4">
        <v>0</v>
      </c>
      <c r="U4">
        <v>1.4347826086956501</v>
      </c>
      <c r="W4">
        <v>0.67207792207792205</v>
      </c>
      <c r="X4">
        <v>5.1948051948052E-2</v>
      </c>
    </row>
    <row r="5" spans="1:24" x14ac:dyDescent="0.25">
      <c r="A5" t="s">
        <v>1074</v>
      </c>
      <c r="B5" t="s">
        <v>1552</v>
      </c>
      <c r="C5" t="s">
        <v>26</v>
      </c>
      <c r="D5">
        <v>1</v>
      </c>
      <c r="E5">
        <v>2</v>
      </c>
      <c r="F5">
        <v>1</v>
      </c>
      <c r="G5">
        <v>10</v>
      </c>
      <c r="H5">
        <v>0</v>
      </c>
      <c r="I5">
        <v>0</v>
      </c>
      <c r="J5">
        <v>2</v>
      </c>
      <c r="K5">
        <v>3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0.7</v>
      </c>
      <c r="T5">
        <v>0</v>
      </c>
      <c r="U5">
        <v>1.5</v>
      </c>
      <c r="W5">
        <v>0.5</v>
      </c>
      <c r="X5">
        <v>0</v>
      </c>
    </row>
    <row r="6" spans="1:24" x14ac:dyDescent="0.25">
      <c r="A6" t="s">
        <v>1555</v>
      </c>
      <c r="B6" t="s">
        <v>1552</v>
      </c>
      <c r="C6" t="s">
        <v>26</v>
      </c>
      <c r="D6">
        <v>2</v>
      </c>
      <c r="E6">
        <v>31</v>
      </c>
      <c r="F6">
        <v>15</v>
      </c>
      <c r="G6">
        <v>194</v>
      </c>
      <c r="H6">
        <v>0</v>
      </c>
      <c r="I6">
        <v>1</v>
      </c>
      <c r="J6">
        <v>16</v>
      </c>
      <c r="K6">
        <v>67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12.46</v>
      </c>
      <c r="T6">
        <v>0</v>
      </c>
      <c r="U6">
        <v>4.1875</v>
      </c>
      <c r="W6">
        <v>0.483870967741935</v>
      </c>
      <c r="X6">
        <v>0</v>
      </c>
    </row>
    <row r="7" spans="1:24" x14ac:dyDescent="0.25">
      <c r="A7" t="s">
        <v>316</v>
      </c>
      <c r="B7" t="s">
        <v>1552</v>
      </c>
      <c r="C7" t="s">
        <v>31</v>
      </c>
      <c r="D7">
        <v>11</v>
      </c>
      <c r="E7">
        <v>1</v>
      </c>
      <c r="F7">
        <v>1</v>
      </c>
      <c r="G7">
        <v>34</v>
      </c>
      <c r="H7">
        <v>1</v>
      </c>
      <c r="I7">
        <v>0</v>
      </c>
      <c r="J7">
        <v>159</v>
      </c>
      <c r="K7">
        <v>746</v>
      </c>
      <c r="L7">
        <v>6</v>
      </c>
      <c r="M7">
        <v>65</v>
      </c>
      <c r="N7">
        <v>52</v>
      </c>
      <c r="O7">
        <v>464</v>
      </c>
      <c r="P7">
        <v>4</v>
      </c>
      <c r="Q7">
        <v>0</v>
      </c>
      <c r="R7">
        <v>0</v>
      </c>
      <c r="S7">
        <v>238.36</v>
      </c>
      <c r="T7">
        <v>0.113438045375218</v>
      </c>
      <c r="U7">
        <v>4.6918238993710704</v>
      </c>
      <c r="V7">
        <v>8.9230769230769198</v>
      </c>
      <c r="W7">
        <v>1</v>
      </c>
      <c r="X7">
        <v>1</v>
      </c>
    </row>
    <row r="8" spans="1:24" x14ac:dyDescent="0.25">
      <c r="A8" t="s">
        <v>1556</v>
      </c>
      <c r="B8" t="s">
        <v>1552</v>
      </c>
      <c r="C8" t="s">
        <v>31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45</v>
      </c>
      <c r="K8">
        <v>279</v>
      </c>
      <c r="L8">
        <v>2</v>
      </c>
      <c r="M8">
        <v>4</v>
      </c>
      <c r="N8">
        <v>3</v>
      </c>
      <c r="O8">
        <v>7</v>
      </c>
      <c r="P8">
        <v>0</v>
      </c>
      <c r="Q8">
        <v>0</v>
      </c>
      <c r="R8">
        <v>0</v>
      </c>
      <c r="S8">
        <v>43.6</v>
      </c>
      <c r="T8">
        <v>6.9808027923211197E-3</v>
      </c>
      <c r="U8">
        <v>6.2</v>
      </c>
      <c r="V8">
        <v>2.3333333333333299</v>
      </c>
    </row>
    <row r="9" spans="1:24" x14ac:dyDescent="0.25">
      <c r="A9" t="s">
        <v>1557</v>
      </c>
      <c r="B9" t="s">
        <v>1552</v>
      </c>
      <c r="C9" t="s">
        <v>31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43</v>
      </c>
      <c r="K9">
        <v>258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31.8</v>
      </c>
      <c r="T9">
        <v>0</v>
      </c>
      <c r="U9">
        <v>6</v>
      </c>
    </row>
    <row r="10" spans="1:24" x14ac:dyDescent="0.25">
      <c r="A10" t="s">
        <v>1131</v>
      </c>
      <c r="B10" t="s">
        <v>1552</v>
      </c>
      <c r="C10" t="s">
        <v>31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92</v>
      </c>
      <c r="K10">
        <v>468</v>
      </c>
      <c r="L10">
        <v>2</v>
      </c>
      <c r="M10">
        <v>13</v>
      </c>
      <c r="N10">
        <v>10</v>
      </c>
      <c r="O10">
        <v>91</v>
      </c>
      <c r="P10">
        <v>0</v>
      </c>
      <c r="Q10">
        <v>1</v>
      </c>
      <c r="R10">
        <v>0</v>
      </c>
      <c r="S10">
        <v>73.900000000000006</v>
      </c>
      <c r="T10">
        <v>2.2687609075043601E-2</v>
      </c>
      <c r="U10">
        <v>5.0869565217391299</v>
      </c>
      <c r="V10">
        <v>9.1</v>
      </c>
    </row>
    <row r="11" spans="1:24" x14ac:dyDescent="0.25">
      <c r="A11" t="s">
        <v>1558</v>
      </c>
      <c r="B11" t="s">
        <v>1552</v>
      </c>
      <c r="C11" t="s">
        <v>31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12</v>
      </c>
      <c r="K11">
        <v>26</v>
      </c>
      <c r="L11">
        <v>1</v>
      </c>
      <c r="M11">
        <v>3</v>
      </c>
      <c r="N11">
        <v>3</v>
      </c>
      <c r="O11">
        <v>44</v>
      </c>
      <c r="P11">
        <v>1</v>
      </c>
      <c r="Q11">
        <v>0</v>
      </c>
      <c r="R11">
        <v>0</v>
      </c>
      <c r="S11">
        <v>22</v>
      </c>
      <c r="T11">
        <v>5.2356020942408397E-3</v>
      </c>
      <c r="U11">
        <v>2.1666666666666701</v>
      </c>
      <c r="V11">
        <v>14.6666666666667</v>
      </c>
    </row>
    <row r="12" spans="1:24" x14ac:dyDescent="0.25">
      <c r="A12" t="s">
        <v>1559</v>
      </c>
      <c r="B12" t="s">
        <v>1552</v>
      </c>
      <c r="C12" t="s">
        <v>31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34</v>
      </c>
      <c r="K12">
        <v>99</v>
      </c>
      <c r="L12">
        <v>0</v>
      </c>
      <c r="M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9.9</v>
      </c>
      <c r="T12">
        <v>3.4904013961605598E-3</v>
      </c>
      <c r="U12">
        <v>2.9117647058823501</v>
      </c>
    </row>
    <row r="13" spans="1:24" x14ac:dyDescent="0.25">
      <c r="A13" t="s">
        <v>1560</v>
      </c>
      <c r="B13" t="s">
        <v>1552</v>
      </c>
      <c r="C13" t="s">
        <v>38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3.4904013961605598E-3</v>
      </c>
    </row>
    <row r="14" spans="1:24" x14ac:dyDescent="0.25">
      <c r="A14" t="s">
        <v>1561</v>
      </c>
      <c r="B14" t="s">
        <v>1552</v>
      </c>
      <c r="C14" t="s">
        <v>38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86</v>
      </c>
      <c r="N14">
        <v>60</v>
      </c>
      <c r="O14">
        <v>765</v>
      </c>
      <c r="P14">
        <v>11</v>
      </c>
      <c r="Q14">
        <v>0</v>
      </c>
      <c r="R14">
        <v>0</v>
      </c>
      <c r="S14">
        <v>200.5</v>
      </c>
      <c r="T14">
        <v>0.150087260034904</v>
      </c>
      <c r="V14">
        <v>12.75</v>
      </c>
    </row>
    <row r="15" spans="1:24" x14ac:dyDescent="0.25">
      <c r="A15" t="s">
        <v>1562</v>
      </c>
      <c r="B15" t="s">
        <v>1552</v>
      </c>
      <c r="C15" t="s">
        <v>38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105</v>
      </c>
      <c r="P15">
        <v>1</v>
      </c>
      <c r="Q15">
        <v>0</v>
      </c>
      <c r="R15">
        <v>0</v>
      </c>
      <c r="S15">
        <v>19.5</v>
      </c>
      <c r="T15">
        <v>8.7260034904013996E-3</v>
      </c>
      <c r="V15">
        <v>35</v>
      </c>
    </row>
    <row r="16" spans="1:24" x14ac:dyDescent="0.25">
      <c r="A16" t="s">
        <v>1563</v>
      </c>
      <c r="B16" t="s">
        <v>1552</v>
      </c>
      <c r="C16" t="s">
        <v>38</v>
      </c>
      <c r="D16">
        <v>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</v>
      </c>
      <c r="N16">
        <v>4</v>
      </c>
      <c r="O16">
        <v>57</v>
      </c>
      <c r="P16">
        <v>0</v>
      </c>
      <c r="Q16">
        <v>0</v>
      </c>
      <c r="R16">
        <v>0</v>
      </c>
      <c r="S16">
        <v>9.6999999999999993</v>
      </c>
      <c r="T16">
        <v>8.7260034904013996E-3</v>
      </c>
      <c r="V16">
        <v>14.25</v>
      </c>
    </row>
    <row r="17" spans="1:22" x14ac:dyDescent="0.25">
      <c r="A17" t="s">
        <v>1564</v>
      </c>
      <c r="B17" t="s">
        <v>1552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114</v>
      </c>
      <c r="N17">
        <v>78</v>
      </c>
      <c r="O17">
        <v>1015</v>
      </c>
      <c r="P17">
        <v>8</v>
      </c>
      <c r="Q17">
        <v>0</v>
      </c>
      <c r="R17">
        <v>0</v>
      </c>
      <c r="S17">
        <v>227.8</v>
      </c>
      <c r="T17">
        <v>0.19895287958115199</v>
      </c>
      <c r="U17">
        <v>11.5</v>
      </c>
      <c r="V17">
        <v>13.0128205128205</v>
      </c>
    </row>
    <row r="18" spans="1:22" x14ac:dyDescent="0.25">
      <c r="A18" t="s">
        <v>1565</v>
      </c>
      <c r="B18" t="s">
        <v>1552</v>
      </c>
      <c r="C18" t="s">
        <v>43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9</v>
      </c>
      <c r="L18">
        <v>0</v>
      </c>
      <c r="M18">
        <v>7</v>
      </c>
      <c r="N18">
        <v>1</v>
      </c>
      <c r="O18">
        <v>10</v>
      </c>
      <c r="P18">
        <v>0</v>
      </c>
      <c r="Q18">
        <v>0</v>
      </c>
      <c r="R18">
        <v>0</v>
      </c>
      <c r="S18">
        <v>2.9</v>
      </c>
      <c r="T18">
        <v>1.2216404886561999E-2</v>
      </c>
      <c r="U18">
        <v>9</v>
      </c>
      <c r="V18">
        <v>10</v>
      </c>
    </row>
    <row r="19" spans="1:22" x14ac:dyDescent="0.25">
      <c r="A19" t="s">
        <v>1566</v>
      </c>
      <c r="B19" t="s">
        <v>1552</v>
      </c>
      <c r="C19" t="s">
        <v>43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42</v>
      </c>
      <c r="K19">
        <v>232</v>
      </c>
      <c r="L19">
        <v>3</v>
      </c>
      <c r="M19">
        <v>94</v>
      </c>
      <c r="N19">
        <v>56</v>
      </c>
      <c r="O19">
        <v>632</v>
      </c>
      <c r="P19">
        <v>2</v>
      </c>
      <c r="Q19">
        <v>2</v>
      </c>
      <c r="R19">
        <v>0</v>
      </c>
      <c r="S19">
        <v>168.4</v>
      </c>
      <c r="T19">
        <v>0.16404886561954601</v>
      </c>
      <c r="U19">
        <v>5.5238095238095202</v>
      </c>
      <c r="V19">
        <v>11.285714285714301</v>
      </c>
    </row>
    <row r="20" spans="1:22" x14ac:dyDescent="0.25">
      <c r="A20" t="s">
        <v>1567</v>
      </c>
      <c r="B20" t="s">
        <v>1552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56</v>
      </c>
      <c r="N20">
        <v>35</v>
      </c>
      <c r="O20">
        <v>416</v>
      </c>
      <c r="P20">
        <v>1</v>
      </c>
      <c r="Q20">
        <v>0</v>
      </c>
      <c r="R20">
        <v>0</v>
      </c>
      <c r="S20">
        <v>82.6</v>
      </c>
      <c r="T20">
        <v>9.7731239092495606E-2</v>
      </c>
      <c r="V20">
        <v>11.8857142857143</v>
      </c>
    </row>
    <row r="21" spans="1:22" x14ac:dyDescent="0.25">
      <c r="A21" t="s">
        <v>1568</v>
      </c>
      <c r="B21" t="s">
        <v>1552</v>
      </c>
      <c r="C21" t="s">
        <v>43</v>
      </c>
      <c r="D21">
        <v>14</v>
      </c>
      <c r="E21">
        <v>0</v>
      </c>
      <c r="F21">
        <v>0</v>
      </c>
      <c r="G21">
        <v>0</v>
      </c>
      <c r="H21">
        <v>0</v>
      </c>
      <c r="I21">
        <v>0</v>
      </c>
      <c r="J21">
        <v>4</v>
      </c>
      <c r="K21">
        <v>78</v>
      </c>
      <c r="L21">
        <v>1</v>
      </c>
      <c r="M21">
        <v>25</v>
      </c>
      <c r="N21">
        <v>14</v>
      </c>
      <c r="O21">
        <v>243</v>
      </c>
      <c r="P21">
        <v>1</v>
      </c>
      <c r="Q21">
        <v>0</v>
      </c>
      <c r="R21">
        <v>0</v>
      </c>
      <c r="S21">
        <v>58.1</v>
      </c>
      <c r="T21">
        <v>4.3630017452007001E-2</v>
      </c>
      <c r="U21">
        <v>19.5</v>
      </c>
      <c r="V21">
        <v>17.3571428571429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1552</v>
      </c>
      <c r="B31">
        <v>6409</v>
      </c>
      <c r="C31">
        <v>4049</v>
      </c>
      <c r="D31">
        <v>504</v>
      </c>
      <c r="E31">
        <v>2360</v>
      </c>
      <c r="F31">
        <v>20</v>
      </c>
      <c r="G31">
        <v>1526.86</v>
      </c>
      <c r="H31">
        <v>512</v>
      </c>
      <c r="I31">
        <v>0.66015625</v>
      </c>
      <c r="J31">
        <v>30</v>
      </c>
      <c r="K31">
        <v>9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SF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1569</v>
      </c>
      <c r="B36" t="s">
        <v>26</v>
      </c>
      <c r="C36">
        <v>30</v>
      </c>
      <c r="D36">
        <v>7</v>
      </c>
      <c r="E36" t="s">
        <v>175</v>
      </c>
      <c r="F36" t="s">
        <v>1552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1570</v>
      </c>
      <c r="B37" t="s">
        <v>26</v>
      </c>
      <c r="C37">
        <v>26</v>
      </c>
      <c r="D37">
        <v>6</v>
      </c>
      <c r="E37" t="s">
        <v>78</v>
      </c>
      <c r="F37" t="s">
        <v>1552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1571</v>
      </c>
      <c r="B38" t="s">
        <v>26</v>
      </c>
      <c r="C38">
        <v>23</v>
      </c>
      <c r="D38">
        <v>3</v>
      </c>
      <c r="E38" t="s">
        <v>555</v>
      </c>
      <c r="F38" t="s">
        <v>1552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1572</v>
      </c>
      <c r="B39" t="s">
        <v>26</v>
      </c>
      <c r="C39">
        <v>23</v>
      </c>
      <c r="D39">
        <v>2</v>
      </c>
      <c r="E39" t="s">
        <v>244</v>
      </c>
      <c r="F39" t="s">
        <v>1552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1573</v>
      </c>
      <c r="B46" t="s">
        <v>31</v>
      </c>
      <c r="C46">
        <v>22</v>
      </c>
      <c r="D46">
        <v>2</v>
      </c>
      <c r="E46" t="s">
        <v>227</v>
      </c>
      <c r="F46" t="s">
        <v>1552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1574</v>
      </c>
      <c r="B47" t="s">
        <v>31</v>
      </c>
      <c r="C47">
        <v>24</v>
      </c>
      <c r="D47">
        <v>0</v>
      </c>
      <c r="E47" t="s">
        <v>1575</v>
      </c>
      <c r="F47" t="s">
        <v>1552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1576</v>
      </c>
      <c r="B48" t="s">
        <v>31</v>
      </c>
      <c r="C48">
        <v>24</v>
      </c>
      <c r="D48">
        <v>2</v>
      </c>
      <c r="E48" t="s">
        <v>455</v>
      </c>
      <c r="F48" t="s">
        <v>1552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1577</v>
      </c>
      <c r="B49" t="s">
        <v>31</v>
      </c>
      <c r="C49">
        <v>27</v>
      </c>
      <c r="D49">
        <v>7</v>
      </c>
      <c r="E49" t="s">
        <v>102</v>
      </c>
      <c r="F49" t="s">
        <v>1552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1578</v>
      </c>
      <c r="B50" t="s">
        <v>31</v>
      </c>
      <c r="C50">
        <v>27</v>
      </c>
      <c r="D50">
        <v>4</v>
      </c>
      <c r="E50" t="s">
        <v>296</v>
      </c>
      <c r="F50" t="s">
        <v>1552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1579</v>
      </c>
      <c r="B51" t="s">
        <v>31</v>
      </c>
      <c r="C51">
        <v>25</v>
      </c>
      <c r="D51">
        <v>3</v>
      </c>
      <c r="E51" t="s">
        <v>574</v>
      </c>
      <c r="F51" t="s">
        <v>1552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1580</v>
      </c>
      <c r="B61" t="s">
        <v>43</v>
      </c>
      <c r="C61">
        <v>25</v>
      </c>
      <c r="D61">
        <v>4</v>
      </c>
      <c r="E61" t="s">
        <v>155</v>
      </c>
      <c r="F61" t="s">
        <v>1552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1581</v>
      </c>
      <c r="B62" t="s">
        <v>43</v>
      </c>
      <c r="C62">
        <v>23</v>
      </c>
      <c r="D62">
        <v>0</v>
      </c>
      <c r="E62" t="s">
        <v>105</v>
      </c>
      <c r="F62" t="s">
        <v>1552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1582</v>
      </c>
      <c r="B63" t="s">
        <v>43</v>
      </c>
      <c r="C63">
        <v>30</v>
      </c>
      <c r="D63">
        <v>9</v>
      </c>
      <c r="E63" t="s">
        <v>173</v>
      </c>
      <c r="F63" t="s">
        <v>1552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1583</v>
      </c>
      <c r="B64" t="s">
        <v>43</v>
      </c>
      <c r="C64">
        <v>24</v>
      </c>
      <c r="D64">
        <v>2</v>
      </c>
      <c r="E64" t="s">
        <v>237</v>
      </c>
      <c r="F64" t="s">
        <v>1552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1584</v>
      </c>
      <c r="B65" t="s">
        <v>43</v>
      </c>
      <c r="C65">
        <v>26</v>
      </c>
      <c r="D65">
        <v>3</v>
      </c>
      <c r="E65" t="s">
        <v>143</v>
      </c>
      <c r="F65" t="s">
        <v>1552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1585</v>
      </c>
      <c r="B66" t="s">
        <v>43</v>
      </c>
      <c r="C66">
        <v>25</v>
      </c>
      <c r="D66">
        <v>1</v>
      </c>
      <c r="E66" t="s">
        <v>218</v>
      </c>
      <c r="F66" t="s">
        <v>1552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1586</v>
      </c>
      <c r="B67" t="s">
        <v>43</v>
      </c>
      <c r="C67">
        <v>26</v>
      </c>
      <c r="D67">
        <v>6</v>
      </c>
      <c r="E67" t="s">
        <v>458</v>
      </c>
      <c r="F67" t="s">
        <v>1552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1587</v>
      </c>
      <c r="B68" t="s">
        <v>43</v>
      </c>
      <c r="C68">
        <v>24</v>
      </c>
      <c r="D68">
        <v>1</v>
      </c>
      <c r="E68" t="s">
        <v>163</v>
      </c>
      <c r="F68" t="s">
        <v>1552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1588</v>
      </c>
      <c r="B69" t="s">
        <v>43</v>
      </c>
      <c r="C69">
        <v>27</v>
      </c>
      <c r="D69">
        <v>5</v>
      </c>
      <c r="E69" t="s">
        <v>341</v>
      </c>
      <c r="F69" t="s">
        <v>1552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1589</v>
      </c>
      <c r="B70" t="s">
        <v>43</v>
      </c>
      <c r="C70">
        <v>30</v>
      </c>
      <c r="D70">
        <v>8</v>
      </c>
      <c r="E70" t="s">
        <v>1590</v>
      </c>
      <c r="F70" t="s">
        <v>1552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1591</v>
      </c>
      <c r="B71" t="s">
        <v>43</v>
      </c>
      <c r="C71">
        <v>24</v>
      </c>
      <c r="D71">
        <v>0</v>
      </c>
      <c r="E71" t="s">
        <v>220</v>
      </c>
      <c r="F71" t="s">
        <v>1552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1592</v>
      </c>
      <c r="B76" t="s">
        <v>38</v>
      </c>
      <c r="C76">
        <v>28</v>
      </c>
      <c r="D76">
        <v>6</v>
      </c>
      <c r="E76" t="s">
        <v>211</v>
      </c>
      <c r="F76" t="s">
        <v>1552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1593</v>
      </c>
      <c r="B77" t="s">
        <v>38</v>
      </c>
      <c r="C77">
        <v>28</v>
      </c>
      <c r="D77">
        <v>5</v>
      </c>
      <c r="E77" t="s">
        <v>72</v>
      </c>
      <c r="F77" t="s">
        <v>1552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1594</v>
      </c>
      <c r="B78" t="s">
        <v>38</v>
      </c>
      <c r="C78">
        <v>29</v>
      </c>
      <c r="D78">
        <v>7</v>
      </c>
      <c r="E78" t="s">
        <v>100</v>
      </c>
      <c r="F78" t="s">
        <v>1552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1595</v>
      </c>
      <c r="B79" t="s">
        <v>38</v>
      </c>
      <c r="C79">
        <v>23</v>
      </c>
      <c r="D79">
        <v>0</v>
      </c>
      <c r="E79" t="s">
        <v>153</v>
      </c>
      <c r="F79" t="s">
        <v>1552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1596</v>
      </c>
      <c r="B80" t="s">
        <v>38</v>
      </c>
      <c r="C80">
        <v>23</v>
      </c>
      <c r="D80">
        <v>0</v>
      </c>
      <c r="E80" t="s">
        <v>68</v>
      </c>
      <c r="F80" t="s">
        <v>1552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1597</v>
      </c>
      <c r="B81" t="s">
        <v>38</v>
      </c>
      <c r="C81">
        <v>25</v>
      </c>
      <c r="D81">
        <v>4</v>
      </c>
      <c r="E81" t="s">
        <v>173</v>
      </c>
      <c r="F81" t="s">
        <v>1552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topLeftCell="G25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1598</v>
      </c>
      <c r="B2" t="s">
        <v>1599</v>
      </c>
      <c r="C2" t="s">
        <v>26</v>
      </c>
      <c r="D2">
        <v>1</v>
      </c>
      <c r="E2">
        <v>8</v>
      </c>
      <c r="F2">
        <v>6</v>
      </c>
      <c r="G2">
        <v>29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5.16</v>
      </c>
      <c r="T2">
        <v>0</v>
      </c>
      <c r="W2">
        <v>0.75</v>
      </c>
      <c r="X2">
        <v>0.125</v>
      </c>
    </row>
    <row r="3" spans="1:24" x14ac:dyDescent="0.25">
      <c r="A3" t="s">
        <v>1600</v>
      </c>
      <c r="B3" t="s">
        <v>1599</v>
      </c>
      <c r="C3" t="s">
        <v>26</v>
      </c>
      <c r="D3">
        <v>1</v>
      </c>
      <c r="E3">
        <v>9</v>
      </c>
      <c r="F3">
        <v>3</v>
      </c>
      <c r="G3">
        <v>23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0.92</v>
      </c>
      <c r="T3">
        <v>0</v>
      </c>
      <c r="W3">
        <v>0.33333333333333298</v>
      </c>
      <c r="X3">
        <v>0</v>
      </c>
    </row>
    <row r="4" spans="1:24" x14ac:dyDescent="0.25">
      <c r="A4" t="s">
        <v>1601</v>
      </c>
      <c r="B4" t="s">
        <v>1599</v>
      </c>
      <c r="C4" t="s">
        <v>26</v>
      </c>
      <c r="D4">
        <v>17</v>
      </c>
      <c r="E4">
        <v>733</v>
      </c>
      <c r="F4">
        <v>490</v>
      </c>
      <c r="G4">
        <v>4694</v>
      </c>
      <c r="H4">
        <v>25</v>
      </c>
      <c r="I4">
        <v>9</v>
      </c>
      <c r="J4">
        <v>29</v>
      </c>
      <c r="K4">
        <v>-1</v>
      </c>
      <c r="L4">
        <v>1</v>
      </c>
      <c r="M4">
        <v>1</v>
      </c>
      <c r="N4">
        <v>0</v>
      </c>
      <c r="O4">
        <v>0</v>
      </c>
      <c r="P4">
        <v>0</v>
      </c>
      <c r="Q4">
        <v>4</v>
      </c>
      <c r="R4">
        <v>2</v>
      </c>
      <c r="S4">
        <v>271.66000000000003</v>
      </c>
      <c r="T4">
        <v>1.953125E-3</v>
      </c>
      <c r="U4">
        <v>-3.4482758620689703E-2</v>
      </c>
      <c r="W4">
        <v>0.66848567530695802</v>
      </c>
      <c r="X4">
        <v>3.4106412005456999E-2</v>
      </c>
    </row>
    <row r="5" spans="1:24" x14ac:dyDescent="0.25">
      <c r="A5" t="s">
        <v>1602</v>
      </c>
      <c r="B5" t="s">
        <v>1599</v>
      </c>
      <c r="C5" t="s">
        <v>31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8</v>
      </c>
      <c r="K5">
        <v>28</v>
      </c>
      <c r="L5">
        <v>0</v>
      </c>
      <c r="M5">
        <v>2</v>
      </c>
      <c r="N5">
        <v>2</v>
      </c>
      <c r="O5">
        <v>-1</v>
      </c>
      <c r="P5">
        <v>0</v>
      </c>
      <c r="Q5">
        <v>0</v>
      </c>
      <c r="R5">
        <v>0</v>
      </c>
      <c r="S5">
        <v>4.7</v>
      </c>
      <c r="T5">
        <v>3.90625E-3</v>
      </c>
      <c r="U5">
        <v>3.5</v>
      </c>
      <c r="V5">
        <v>-0.5</v>
      </c>
    </row>
    <row r="6" spans="1:24" x14ac:dyDescent="0.25">
      <c r="A6" t="s">
        <v>1603</v>
      </c>
      <c r="B6" t="s">
        <v>1599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53</v>
      </c>
      <c r="L6">
        <v>0</v>
      </c>
      <c r="M6">
        <v>4</v>
      </c>
      <c r="N6">
        <v>3</v>
      </c>
      <c r="O6">
        <v>19</v>
      </c>
      <c r="P6">
        <v>0</v>
      </c>
      <c r="Q6">
        <v>0</v>
      </c>
      <c r="R6">
        <v>0</v>
      </c>
      <c r="S6">
        <v>10.199999999999999</v>
      </c>
      <c r="T6">
        <v>7.8125E-3</v>
      </c>
      <c r="U6">
        <v>3.1176470588235299</v>
      </c>
      <c r="V6">
        <v>6.3333333333333304</v>
      </c>
    </row>
    <row r="7" spans="1:24" x14ac:dyDescent="0.25">
      <c r="A7" t="s">
        <v>1604</v>
      </c>
      <c r="B7" t="s">
        <v>1599</v>
      </c>
      <c r="C7" t="s">
        <v>31</v>
      </c>
      <c r="D7">
        <v>16</v>
      </c>
      <c r="E7">
        <v>1</v>
      </c>
      <c r="F7">
        <v>0</v>
      </c>
      <c r="G7">
        <v>0</v>
      </c>
      <c r="H7">
        <v>0</v>
      </c>
      <c r="I7">
        <v>1</v>
      </c>
      <c r="J7">
        <v>189</v>
      </c>
      <c r="K7">
        <v>668</v>
      </c>
      <c r="L7">
        <v>3</v>
      </c>
      <c r="M7">
        <v>83</v>
      </c>
      <c r="N7">
        <v>73</v>
      </c>
      <c r="O7">
        <v>523</v>
      </c>
      <c r="P7">
        <v>3</v>
      </c>
      <c r="Q7">
        <v>0</v>
      </c>
      <c r="R7">
        <v>0</v>
      </c>
      <c r="S7">
        <v>226.1</v>
      </c>
      <c r="T7">
        <v>0.162109375</v>
      </c>
      <c r="U7">
        <v>3.53439153439153</v>
      </c>
      <c r="V7">
        <v>7.1643835616438398</v>
      </c>
      <c r="W7">
        <v>0</v>
      </c>
      <c r="X7">
        <v>0</v>
      </c>
    </row>
    <row r="8" spans="1:24" x14ac:dyDescent="0.25">
      <c r="A8" t="s">
        <v>1605</v>
      </c>
      <c r="B8" t="s">
        <v>1599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129</v>
      </c>
      <c r="K8">
        <v>481</v>
      </c>
      <c r="L8">
        <v>1</v>
      </c>
      <c r="M8">
        <v>58</v>
      </c>
      <c r="N8">
        <v>50</v>
      </c>
      <c r="O8">
        <v>290</v>
      </c>
      <c r="P8">
        <v>2</v>
      </c>
      <c r="Q8">
        <v>1</v>
      </c>
      <c r="R8">
        <v>0</v>
      </c>
      <c r="S8">
        <v>141.1</v>
      </c>
      <c r="T8">
        <v>0.11328125</v>
      </c>
      <c r="U8">
        <v>3.7286821705426401</v>
      </c>
      <c r="V8">
        <v>5.8</v>
      </c>
    </row>
    <row r="9" spans="1:24" x14ac:dyDescent="0.25">
      <c r="A9" t="s">
        <v>1606</v>
      </c>
      <c r="B9" t="s">
        <v>1599</v>
      </c>
      <c r="C9" t="s">
        <v>38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38</v>
      </c>
      <c r="N9">
        <v>20</v>
      </c>
      <c r="O9">
        <v>174</v>
      </c>
      <c r="P9">
        <v>0</v>
      </c>
      <c r="Q9">
        <v>0</v>
      </c>
      <c r="R9">
        <v>0</v>
      </c>
      <c r="S9">
        <v>37.4</v>
      </c>
      <c r="T9">
        <v>7.421875E-2</v>
      </c>
      <c r="V9">
        <v>8.6999999999999993</v>
      </c>
    </row>
    <row r="10" spans="1:24" x14ac:dyDescent="0.25">
      <c r="A10" t="s">
        <v>1607</v>
      </c>
      <c r="B10" t="s">
        <v>1599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42</v>
      </c>
      <c r="O10">
        <v>391</v>
      </c>
      <c r="P10">
        <v>2</v>
      </c>
      <c r="Q10">
        <v>0</v>
      </c>
      <c r="R10">
        <v>0</v>
      </c>
      <c r="S10">
        <v>93.1</v>
      </c>
      <c r="T10">
        <v>0.126953125</v>
      </c>
      <c r="V10">
        <v>9.3095238095238102</v>
      </c>
    </row>
    <row r="11" spans="1:24" x14ac:dyDescent="0.25">
      <c r="A11" t="s">
        <v>1608</v>
      </c>
      <c r="B11" t="s">
        <v>1599</v>
      </c>
      <c r="C11" t="s">
        <v>38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10</v>
      </c>
      <c r="N11">
        <v>7</v>
      </c>
      <c r="O11">
        <v>80</v>
      </c>
      <c r="P11">
        <v>1</v>
      </c>
      <c r="Q11">
        <v>0</v>
      </c>
      <c r="R11">
        <v>0</v>
      </c>
      <c r="S11">
        <v>21</v>
      </c>
      <c r="T11">
        <v>1.953125E-2</v>
      </c>
      <c r="V11">
        <v>11.4285714285714</v>
      </c>
    </row>
    <row r="12" spans="1:24" x14ac:dyDescent="0.25">
      <c r="A12" t="s">
        <v>1609</v>
      </c>
      <c r="B12" t="s">
        <v>1599</v>
      </c>
      <c r="C12" t="s">
        <v>38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</v>
      </c>
      <c r="N12">
        <v>3</v>
      </c>
      <c r="O12">
        <v>28</v>
      </c>
      <c r="P12">
        <v>1</v>
      </c>
      <c r="Q12">
        <v>0</v>
      </c>
      <c r="R12">
        <v>0</v>
      </c>
      <c r="S12">
        <v>11.8</v>
      </c>
      <c r="T12">
        <v>9.765625E-3</v>
      </c>
      <c r="V12">
        <v>9.3333333333333304</v>
      </c>
    </row>
    <row r="13" spans="1:24" x14ac:dyDescent="0.25">
      <c r="A13" t="s">
        <v>1610</v>
      </c>
      <c r="B13" t="s">
        <v>1599</v>
      </c>
      <c r="C13" t="s">
        <v>43</v>
      </c>
      <c r="D13">
        <v>8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-7</v>
      </c>
      <c r="L13">
        <v>0</v>
      </c>
      <c r="M13">
        <v>19</v>
      </c>
      <c r="N13">
        <v>9</v>
      </c>
      <c r="O13">
        <v>110</v>
      </c>
      <c r="P13">
        <v>1</v>
      </c>
      <c r="Q13">
        <v>0</v>
      </c>
      <c r="R13">
        <v>0</v>
      </c>
      <c r="S13">
        <v>23.3</v>
      </c>
      <c r="T13">
        <v>3.7109375E-2</v>
      </c>
      <c r="U13">
        <v>-3.5</v>
      </c>
      <c r="V13">
        <v>12.2222222222222</v>
      </c>
    </row>
    <row r="14" spans="1:24" x14ac:dyDescent="0.25">
      <c r="A14" t="s">
        <v>261</v>
      </c>
      <c r="B14" t="s">
        <v>1599</v>
      </c>
      <c r="C14" t="s">
        <v>43</v>
      </c>
      <c r="D14">
        <v>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17</v>
      </c>
      <c r="P14">
        <v>0</v>
      </c>
      <c r="Q14">
        <v>0</v>
      </c>
      <c r="R14">
        <v>0</v>
      </c>
      <c r="S14">
        <v>5.7</v>
      </c>
      <c r="T14">
        <v>9.765625E-3</v>
      </c>
      <c r="V14">
        <v>4.25</v>
      </c>
    </row>
    <row r="15" spans="1:24" x14ac:dyDescent="0.25">
      <c r="A15" t="s">
        <v>1611</v>
      </c>
      <c r="B15" t="s">
        <v>1599</v>
      </c>
      <c r="C15" t="s">
        <v>43</v>
      </c>
      <c r="D15">
        <v>15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5</v>
      </c>
      <c r="L15">
        <v>0</v>
      </c>
      <c r="M15">
        <v>142</v>
      </c>
      <c r="N15">
        <v>104</v>
      </c>
      <c r="O15">
        <v>1023</v>
      </c>
      <c r="P15">
        <v>3</v>
      </c>
      <c r="Q15">
        <v>0</v>
      </c>
      <c r="R15">
        <v>0</v>
      </c>
      <c r="S15">
        <v>222.8</v>
      </c>
      <c r="T15">
        <v>0.27734375</v>
      </c>
      <c r="U15">
        <v>1.6666666666666701</v>
      </c>
      <c r="V15">
        <v>9.8365384615384599</v>
      </c>
    </row>
    <row r="16" spans="1:24" x14ac:dyDescent="0.25">
      <c r="A16" t="s">
        <v>1612</v>
      </c>
      <c r="B16" t="s">
        <v>1599</v>
      </c>
      <c r="C16" t="s">
        <v>43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2</v>
      </c>
      <c r="K16">
        <v>26</v>
      </c>
      <c r="L16">
        <v>0</v>
      </c>
      <c r="M16">
        <v>10</v>
      </c>
      <c r="N16">
        <v>5</v>
      </c>
      <c r="O16">
        <v>32</v>
      </c>
      <c r="P16">
        <v>0</v>
      </c>
      <c r="Q16">
        <v>0</v>
      </c>
      <c r="R16">
        <v>0</v>
      </c>
      <c r="S16">
        <v>10.8</v>
      </c>
      <c r="T16">
        <v>1.953125E-2</v>
      </c>
      <c r="U16">
        <v>13</v>
      </c>
      <c r="V16">
        <v>6.4</v>
      </c>
    </row>
    <row r="17" spans="1:22" x14ac:dyDescent="0.25">
      <c r="A17" t="s">
        <v>1613</v>
      </c>
      <c r="B17" t="s">
        <v>1599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2</v>
      </c>
      <c r="N17">
        <v>2</v>
      </c>
      <c r="O17">
        <v>26</v>
      </c>
      <c r="P17">
        <v>0</v>
      </c>
      <c r="Q17">
        <v>0</v>
      </c>
      <c r="R17">
        <v>0</v>
      </c>
      <c r="S17">
        <v>4.8</v>
      </c>
      <c r="T17">
        <v>3.90625E-3</v>
      </c>
      <c r="U17">
        <v>2</v>
      </c>
      <c r="V17">
        <v>13</v>
      </c>
    </row>
    <row r="18" spans="1:22" x14ac:dyDescent="0.25">
      <c r="A18" t="s">
        <v>1614</v>
      </c>
      <c r="B18" t="s">
        <v>1599</v>
      </c>
      <c r="C18" t="s">
        <v>43</v>
      </c>
      <c r="D18">
        <v>10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45</v>
      </c>
      <c r="L18">
        <v>0</v>
      </c>
      <c r="M18">
        <v>43</v>
      </c>
      <c r="N18">
        <v>24</v>
      </c>
      <c r="O18">
        <v>299</v>
      </c>
      <c r="P18">
        <v>2</v>
      </c>
      <c r="Q18">
        <v>0</v>
      </c>
      <c r="R18">
        <v>0</v>
      </c>
      <c r="S18">
        <v>70.400000000000006</v>
      </c>
      <c r="T18">
        <v>8.3984375E-2</v>
      </c>
      <c r="U18">
        <v>9</v>
      </c>
      <c r="V18">
        <v>12.4583333333333</v>
      </c>
    </row>
    <row r="19" spans="1:22" x14ac:dyDescent="0.25">
      <c r="A19" t="s">
        <v>1615</v>
      </c>
      <c r="B19" t="s">
        <v>1599</v>
      </c>
      <c r="C19" t="s">
        <v>43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127</v>
      </c>
      <c r="N19">
        <v>77</v>
      </c>
      <c r="O19">
        <v>1124</v>
      </c>
      <c r="P19">
        <v>6</v>
      </c>
      <c r="Q19">
        <v>0</v>
      </c>
      <c r="R19">
        <v>0</v>
      </c>
      <c r="S19">
        <v>225.4</v>
      </c>
      <c r="T19">
        <v>0.248046875</v>
      </c>
      <c r="V19">
        <v>14.597402597402599</v>
      </c>
    </row>
    <row r="20" spans="1:22" x14ac:dyDescent="0.25">
      <c r="A20" t="s">
        <v>1616</v>
      </c>
      <c r="B20" t="s">
        <v>1599</v>
      </c>
      <c r="C20" t="s">
        <v>43</v>
      </c>
      <c r="D20">
        <v>13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70</v>
      </c>
      <c r="N20">
        <v>51</v>
      </c>
      <c r="O20">
        <v>426</v>
      </c>
      <c r="P20">
        <v>5</v>
      </c>
      <c r="Q20">
        <v>0</v>
      </c>
      <c r="R20">
        <v>0</v>
      </c>
      <c r="S20">
        <v>123.6</v>
      </c>
      <c r="T20">
        <v>0.13671875</v>
      </c>
      <c r="V20">
        <v>8.3529411764705905</v>
      </c>
    </row>
    <row r="21" spans="1:22" x14ac:dyDescent="0.25">
      <c r="A21" t="s">
        <v>1617</v>
      </c>
      <c r="B21" t="s">
        <v>1599</v>
      </c>
      <c r="C21" t="s">
        <v>43</v>
      </c>
      <c r="D21">
        <v>11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8</v>
      </c>
      <c r="L21">
        <v>0</v>
      </c>
      <c r="M21">
        <v>40</v>
      </c>
      <c r="N21">
        <v>23</v>
      </c>
      <c r="O21">
        <v>185</v>
      </c>
      <c r="P21">
        <v>0</v>
      </c>
      <c r="Q21">
        <v>0</v>
      </c>
      <c r="R21">
        <v>0</v>
      </c>
      <c r="S21">
        <v>42.3</v>
      </c>
      <c r="T21">
        <v>7.8125E-2</v>
      </c>
      <c r="U21">
        <v>8</v>
      </c>
      <c r="V21">
        <v>8.0434782608695592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1599</v>
      </c>
      <c r="B31">
        <v>6054</v>
      </c>
      <c r="C31">
        <v>4746</v>
      </c>
      <c r="D31">
        <v>386</v>
      </c>
      <c r="E31">
        <v>1308</v>
      </c>
      <c r="F31">
        <v>5</v>
      </c>
      <c r="G31">
        <v>1552.24</v>
      </c>
      <c r="H31">
        <v>751</v>
      </c>
      <c r="I31">
        <v>0.664447403462051</v>
      </c>
      <c r="J31">
        <v>26</v>
      </c>
      <c r="K31">
        <v>10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TB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1618</v>
      </c>
      <c r="B36" t="s">
        <v>26</v>
      </c>
      <c r="C36">
        <v>28</v>
      </c>
      <c r="D36">
        <v>6</v>
      </c>
      <c r="E36" t="s">
        <v>68</v>
      </c>
      <c r="F36" t="s">
        <v>1599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1619</v>
      </c>
      <c r="B37" t="s">
        <v>26</v>
      </c>
      <c r="C37">
        <v>25</v>
      </c>
      <c r="D37">
        <v>3</v>
      </c>
      <c r="E37" t="s">
        <v>178</v>
      </c>
      <c r="F37" t="s">
        <v>1599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1620</v>
      </c>
      <c r="B38" t="s">
        <v>26</v>
      </c>
      <c r="C38">
        <v>27</v>
      </c>
      <c r="D38">
        <v>4</v>
      </c>
      <c r="E38" t="s">
        <v>95</v>
      </c>
      <c r="F38" t="s">
        <v>1599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1621</v>
      </c>
      <c r="B46" t="s">
        <v>31</v>
      </c>
      <c r="C46">
        <v>23</v>
      </c>
      <c r="D46">
        <v>0</v>
      </c>
      <c r="E46" t="s">
        <v>93</v>
      </c>
      <c r="F46" t="s">
        <v>1599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1622</v>
      </c>
      <c r="B47" t="s">
        <v>31</v>
      </c>
      <c r="C47">
        <v>27</v>
      </c>
      <c r="D47">
        <v>6</v>
      </c>
      <c r="E47" t="s">
        <v>1623</v>
      </c>
      <c r="F47" t="s">
        <v>1599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1624</v>
      </c>
      <c r="B48" t="s">
        <v>31</v>
      </c>
      <c r="C48">
        <v>28</v>
      </c>
      <c r="D48">
        <v>4</v>
      </c>
      <c r="E48" t="s">
        <v>666</v>
      </c>
      <c r="F48" t="s">
        <v>1599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1625</v>
      </c>
      <c r="B49" t="s">
        <v>31</v>
      </c>
      <c r="C49">
        <v>21</v>
      </c>
      <c r="D49">
        <v>0</v>
      </c>
      <c r="E49" t="s">
        <v>1206</v>
      </c>
      <c r="F49" t="s">
        <v>1599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1626</v>
      </c>
      <c r="B50" t="s">
        <v>31</v>
      </c>
      <c r="C50">
        <v>26</v>
      </c>
      <c r="D50">
        <v>4</v>
      </c>
      <c r="E50" t="s">
        <v>300</v>
      </c>
      <c r="F50" t="s">
        <v>1599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1627</v>
      </c>
      <c r="B51" t="s">
        <v>31</v>
      </c>
      <c r="C51">
        <v>24</v>
      </c>
      <c r="D51">
        <v>2</v>
      </c>
      <c r="E51" t="s">
        <v>155</v>
      </c>
      <c r="F51" t="s">
        <v>1599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1628</v>
      </c>
      <c r="B61" t="s">
        <v>43</v>
      </c>
      <c r="C61">
        <v>23</v>
      </c>
      <c r="D61">
        <v>0</v>
      </c>
      <c r="E61" t="s">
        <v>76</v>
      </c>
      <c r="F61" t="s">
        <v>1599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1629</v>
      </c>
      <c r="B62" t="s">
        <v>43</v>
      </c>
      <c r="C62">
        <v>29</v>
      </c>
      <c r="D62">
        <v>10</v>
      </c>
      <c r="E62" t="s">
        <v>307</v>
      </c>
      <c r="F62" t="s">
        <v>1599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1630</v>
      </c>
      <c r="B63" t="s">
        <v>43</v>
      </c>
      <c r="C63">
        <v>27</v>
      </c>
      <c r="D63">
        <v>6</v>
      </c>
      <c r="E63" t="s">
        <v>227</v>
      </c>
      <c r="F63" t="s">
        <v>1599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1631</v>
      </c>
      <c r="B64" t="s">
        <v>43</v>
      </c>
      <c r="C64">
        <v>25</v>
      </c>
      <c r="D64">
        <v>1</v>
      </c>
      <c r="E64" t="s">
        <v>511</v>
      </c>
      <c r="F64" t="s">
        <v>1599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1632</v>
      </c>
      <c r="B65" t="s">
        <v>43</v>
      </c>
      <c r="C65">
        <v>27</v>
      </c>
      <c r="D65">
        <v>7</v>
      </c>
      <c r="E65" t="s">
        <v>339</v>
      </c>
      <c r="F65" t="s">
        <v>1599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1633</v>
      </c>
      <c r="B66" t="s">
        <v>43</v>
      </c>
      <c r="C66">
        <v>22</v>
      </c>
      <c r="D66">
        <v>0</v>
      </c>
      <c r="E66" t="s">
        <v>232</v>
      </c>
      <c r="F66" t="s">
        <v>1599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1634</v>
      </c>
      <c r="B67" t="s">
        <v>43</v>
      </c>
      <c r="C67">
        <v>23</v>
      </c>
      <c r="D67">
        <v>0</v>
      </c>
      <c r="E67" t="s">
        <v>148</v>
      </c>
      <c r="F67" t="s">
        <v>1599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1635</v>
      </c>
      <c r="B68" t="s">
        <v>43</v>
      </c>
      <c r="C68">
        <v>23</v>
      </c>
      <c r="D68">
        <v>0</v>
      </c>
      <c r="E68" t="s">
        <v>1636</v>
      </c>
      <c r="F68" t="s">
        <v>1599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1637</v>
      </c>
      <c r="B69" t="s">
        <v>43</v>
      </c>
      <c r="C69">
        <v>28</v>
      </c>
      <c r="D69">
        <v>5</v>
      </c>
      <c r="E69" t="s">
        <v>681</v>
      </c>
      <c r="F69" t="s">
        <v>1599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1638</v>
      </c>
      <c r="B70" t="s">
        <v>43</v>
      </c>
      <c r="C70">
        <v>22</v>
      </c>
      <c r="D70">
        <v>0</v>
      </c>
      <c r="E70" t="s">
        <v>248</v>
      </c>
      <c r="F70" t="s">
        <v>1599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1639</v>
      </c>
      <c r="B71" t="s">
        <v>43</v>
      </c>
      <c r="C71">
        <v>23</v>
      </c>
      <c r="D71">
        <v>2</v>
      </c>
      <c r="E71" t="s">
        <v>89</v>
      </c>
      <c r="F71" t="s">
        <v>1599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1640</v>
      </c>
      <c r="B72" t="s">
        <v>43</v>
      </c>
      <c r="C72">
        <v>24</v>
      </c>
      <c r="D72">
        <v>0</v>
      </c>
      <c r="E72" t="s">
        <v>559</v>
      </c>
      <c r="F72" t="s">
        <v>1599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1641</v>
      </c>
      <c r="B76" t="s">
        <v>38</v>
      </c>
      <c r="C76">
        <v>26</v>
      </c>
      <c r="D76">
        <v>2</v>
      </c>
      <c r="E76" t="s">
        <v>423</v>
      </c>
      <c r="F76" t="s">
        <v>1599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1642</v>
      </c>
      <c r="B77" t="s">
        <v>38</v>
      </c>
      <c r="C77">
        <v>23</v>
      </c>
      <c r="D77">
        <v>0</v>
      </c>
      <c r="E77" t="s">
        <v>62</v>
      </c>
      <c r="F77" t="s">
        <v>1599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1643</v>
      </c>
      <c r="B78" t="s">
        <v>38</v>
      </c>
      <c r="C78">
        <v>25</v>
      </c>
      <c r="D78">
        <v>2</v>
      </c>
      <c r="E78" t="s">
        <v>225</v>
      </c>
      <c r="F78" t="s">
        <v>1599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1644</v>
      </c>
      <c r="B79" t="s">
        <v>38</v>
      </c>
      <c r="C79">
        <v>24</v>
      </c>
      <c r="D79">
        <v>2</v>
      </c>
      <c r="E79" t="s">
        <v>86</v>
      </c>
      <c r="F79" t="s">
        <v>1599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1645</v>
      </c>
      <c r="B80" t="s">
        <v>38</v>
      </c>
      <c r="C80">
        <v>24</v>
      </c>
      <c r="D80">
        <v>0</v>
      </c>
      <c r="E80" t="s">
        <v>1345</v>
      </c>
      <c r="F80" t="s">
        <v>1599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1646</v>
      </c>
      <c r="B81" t="s">
        <v>38</v>
      </c>
      <c r="C81">
        <v>28</v>
      </c>
      <c r="D81">
        <v>3</v>
      </c>
      <c r="E81" t="s">
        <v>795</v>
      </c>
      <c r="F81" t="s">
        <v>1599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topLeftCell="G28" workbookViewId="0">
      <selection activeCell="AB46" sqref="AB46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1647</v>
      </c>
      <c r="B2" t="s">
        <v>1648</v>
      </c>
      <c r="C2" t="s">
        <v>26</v>
      </c>
      <c r="D2">
        <v>2</v>
      </c>
      <c r="E2">
        <v>68</v>
      </c>
      <c r="F2">
        <v>40</v>
      </c>
      <c r="G2">
        <v>411</v>
      </c>
      <c r="H2">
        <v>2</v>
      </c>
      <c r="I2">
        <v>2</v>
      </c>
      <c r="J2">
        <v>8</v>
      </c>
      <c r="K2">
        <v>44</v>
      </c>
      <c r="L2">
        <v>0</v>
      </c>
      <c r="M2">
        <v>0</v>
      </c>
      <c r="N2">
        <v>0</v>
      </c>
      <c r="O2">
        <v>0</v>
      </c>
      <c r="P2">
        <v>0</v>
      </c>
      <c r="Q2">
        <v>2</v>
      </c>
      <c r="R2">
        <v>0</v>
      </c>
      <c r="S2">
        <v>20.84</v>
      </c>
      <c r="T2">
        <v>0</v>
      </c>
      <c r="U2">
        <v>5.5</v>
      </c>
      <c r="W2">
        <v>0.58823529411764697</v>
      </c>
      <c r="X2">
        <v>2.9411764705882401E-2</v>
      </c>
    </row>
    <row r="3" spans="1:24" x14ac:dyDescent="0.25">
      <c r="A3" t="s">
        <v>1649</v>
      </c>
      <c r="B3" t="s">
        <v>1648</v>
      </c>
      <c r="C3" t="s">
        <v>26</v>
      </c>
      <c r="D3">
        <v>7</v>
      </c>
      <c r="E3">
        <v>61</v>
      </c>
      <c r="F3">
        <v>31</v>
      </c>
      <c r="G3">
        <v>276</v>
      </c>
      <c r="H3">
        <v>0</v>
      </c>
      <c r="I3">
        <v>3</v>
      </c>
      <c r="J3">
        <v>27</v>
      </c>
      <c r="K3">
        <v>123</v>
      </c>
      <c r="L3">
        <v>1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19.34</v>
      </c>
      <c r="T3">
        <v>0</v>
      </c>
      <c r="U3">
        <v>4.5555555555555598</v>
      </c>
      <c r="W3">
        <v>0.50819672131147497</v>
      </c>
      <c r="X3">
        <v>0</v>
      </c>
    </row>
    <row r="4" spans="1:24" x14ac:dyDescent="0.25">
      <c r="A4" t="s">
        <v>1650</v>
      </c>
      <c r="B4" t="s">
        <v>1648</v>
      </c>
      <c r="C4" t="s">
        <v>26</v>
      </c>
      <c r="D4">
        <v>12</v>
      </c>
      <c r="E4">
        <v>325</v>
      </c>
      <c r="F4">
        <v>212</v>
      </c>
      <c r="G4">
        <v>2536</v>
      </c>
      <c r="H4">
        <v>14</v>
      </c>
      <c r="I4">
        <v>6</v>
      </c>
      <c r="J4">
        <v>34</v>
      </c>
      <c r="K4">
        <v>98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165.24</v>
      </c>
      <c r="T4">
        <v>0</v>
      </c>
      <c r="U4">
        <v>2.8823529411764701</v>
      </c>
      <c r="W4">
        <v>0.65230769230769203</v>
      </c>
      <c r="X4">
        <v>4.3076923076923103E-2</v>
      </c>
    </row>
    <row r="5" spans="1:24" x14ac:dyDescent="0.25">
      <c r="A5" t="s">
        <v>1651</v>
      </c>
      <c r="B5" t="s">
        <v>1648</v>
      </c>
      <c r="C5" t="s">
        <v>31</v>
      </c>
      <c r="D5">
        <v>16</v>
      </c>
      <c r="E5">
        <v>2</v>
      </c>
      <c r="F5">
        <v>2</v>
      </c>
      <c r="G5">
        <v>4</v>
      </c>
      <c r="H5">
        <v>1</v>
      </c>
      <c r="I5">
        <v>0</v>
      </c>
      <c r="J5">
        <v>349</v>
      </c>
      <c r="K5">
        <v>1538</v>
      </c>
      <c r="L5">
        <v>13</v>
      </c>
      <c r="M5">
        <v>41</v>
      </c>
      <c r="N5">
        <v>33</v>
      </c>
      <c r="O5">
        <v>398</v>
      </c>
      <c r="P5">
        <v>0</v>
      </c>
      <c r="Q5">
        <v>2</v>
      </c>
      <c r="R5">
        <v>0</v>
      </c>
      <c r="S5">
        <v>302.76</v>
      </c>
      <c r="T5">
        <v>5.4593874833555302E-2</v>
      </c>
      <c r="U5">
        <v>4.4068767908309496</v>
      </c>
      <c r="V5">
        <v>12.0606060606061</v>
      </c>
      <c r="W5">
        <v>1</v>
      </c>
      <c r="X5">
        <v>0.5</v>
      </c>
    </row>
    <row r="6" spans="1:24" x14ac:dyDescent="0.25">
      <c r="A6" t="s">
        <v>1652</v>
      </c>
      <c r="B6" t="s">
        <v>1648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22</v>
      </c>
      <c r="K6">
        <v>145</v>
      </c>
      <c r="L6">
        <v>0</v>
      </c>
      <c r="M6">
        <v>26</v>
      </c>
      <c r="N6">
        <v>21</v>
      </c>
      <c r="O6">
        <v>177</v>
      </c>
      <c r="P6">
        <v>4</v>
      </c>
      <c r="Q6">
        <v>0</v>
      </c>
      <c r="R6">
        <v>0</v>
      </c>
      <c r="S6">
        <v>77.2</v>
      </c>
      <c r="T6">
        <v>3.4620505992010699E-2</v>
      </c>
      <c r="U6">
        <v>6.5909090909090899</v>
      </c>
      <c r="V6">
        <v>8.4285714285714306</v>
      </c>
    </row>
    <row r="7" spans="1:24" x14ac:dyDescent="0.25">
      <c r="A7" t="s">
        <v>1653</v>
      </c>
      <c r="B7" t="s">
        <v>1648</v>
      </c>
      <c r="C7" t="s">
        <v>31</v>
      </c>
      <c r="D7">
        <v>7</v>
      </c>
      <c r="E7">
        <v>0</v>
      </c>
      <c r="F7">
        <v>0</v>
      </c>
      <c r="G7">
        <v>0</v>
      </c>
      <c r="H7">
        <v>0</v>
      </c>
      <c r="I7">
        <v>0</v>
      </c>
      <c r="J7">
        <v>25</v>
      </c>
      <c r="K7">
        <v>93</v>
      </c>
      <c r="L7">
        <v>0</v>
      </c>
      <c r="M7">
        <v>12</v>
      </c>
      <c r="N7">
        <v>11</v>
      </c>
      <c r="O7">
        <v>57</v>
      </c>
      <c r="P7">
        <v>0</v>
      </c>
      <c r="Q7">
        <v>0</v>
      </c>
      <c r="R7">
        <v>0</v>
      </c>
      <c r="S7">
        <v>26</v>
      </c>
      <c r="T7">
        <v>1.59786950732357E-2</v>
      </c>
      <c r="U7">
        <v>3.72</v>
      </c>
      <c r="V7">
        <v>5.1818181818181799</v>
      </c>
    </row>
    <row r="8" spans="1:24" x14ac:dyDescent="0.25">
      <c r="A8" t="s">
        <v>1654</v>
      </c>
      <c r="B8" t="s">
        <v>1648</v>
      </c>
      <c r="C8" t="s">
        <v>31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9</v>
      </c>
      <c r="K8">
        <v>12</v>
      </c>
      <c r="L8">
        <v>0</v>
      </c>
      <c r="M8">
        <v>3</v>
      </c>
      <c r="N8">
        <v>3</v>
      </c>
      <c r="O8">
        <v>41</v>
      </c>
      <c r="P8">
        <v>0</v>
      </c>
      <c r="Q8">
        <v>0</v>
      </c>
      <c r="R8">
        <v>0</v>
      </c>
      <c r="S8">
        <v>8.3000000000000007</v>
      </c>
      <c r="T8">
        <v>3.9946737683089198E-3</v>
      </c>
      <c r="U8">
        <v>1.3333333333333299</v>
      </c>
      <c r="V8">
        <v>13.6666666666667</v>
      </c>
    </row>
    <row r="9" spans="1:24" x14ac:dyDescent="0.25">
      <c r="A9" t="s">
        <v>1655</v>
      </c>
      <c r="B9" t="s">
        <v>1648</v>
      </c>
      <c r="C9" t="s">
        <v>31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25</v>
      </c>
      <c r="L9">
        <v>0</v>
      </c>
      <c r="M9">
        <v>3</v>
      </c>
      <c r="N9">
        <v>2</v>
      </c>
      <c r="O9">
        <v>7</v>
      </c>
      <c r="P9">
        <v>0</v>
      </c>
      <c r="Q9">
        <v>0</v>
      </c>
      <c r="R9">
        <v>0</v>
      </c>
      <c r="S9">
        <v>5.2</v>
      </c>
      <c r="T9">
        <v>3.9946737683089198E-3</v>
      </c>
      <c r="U9">
        <v>5</v>
      </c>
      <c r="V9">
        <v>3.5</v>
      </c>
    </row>
    <row r="10" spans="1:24" x14ac:dyDescent="0.25">
      <c r="A10" t="s">
        <v>1656</v>
      </c>
      <c r="B10" t="s">
        <v>1648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60</v>
      </c>
      <c r="N10">
        <v>41</v>
      </c>
      <c r="O10">
        <v>444</v>
      </c>
      <c r="P10">
        <v>2</v>
      </c>
      <c r="Q10">
        <v>0</v>
      </c>
      <c r="R10">
        <v>0</v>
      </c>
      <c r="S10">
        <v>97.4</v>
      </c>
      <c r="T10">
        <v>7.9893475366178399E-2</v>
      </c>
      <c r="V10">
        <v>10.829268292682899</v>
      </c>
    </row>
    <row r="11" spans="1:24" x14ac:dyDescent="0.25">
      <c r="A11" t="s">
        <v>1657</v>
      </c>
      <c r="B11" t="s">
        <v>1648</v>
      </c>
      <c r="C11" t="s">
        <v>38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3</v>
      </c>
      <c r="K11">
        <v>2</v>
      </c>
      <c r="L11">
        <v>0</v>
      </c>
      <c r="M11">
        <v>46</v>
      </c>
      <c r="N11">
        <v>32</v>
      </c>
      <c r="O11">
        <v>450</v>
      </c>
      <c r="P11">
        <v>3</v>
      </c>
      <c r="Q11">
        <v>0</v>
      </c>
      <c r="R11">
        <v>0</v>
      </c>
      <c r="S11">
        <v>97.2</v>
      </c>
      <c r="T11">
        <v>6.12516644474035E-2</v>
      </c>
      <c r="U11">
        <v>0.66666666666666696</v>
      </c>
      <c r="V11">
        <v>14.0625</v>
      </c>
    </row>
    <row r="12" spans="1:24" x14ac:dyDescent="0.25">
      <c r="A12" t="s">
        <v>1658</v>
      </c>
      <c r="B12" t="s">
        <v>1648</v>
      </c>
      <c r="C12" t="s">
        <v>38</v>
      </c>
      <c r="D12">
        <v>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16</v>
      </c>
      <c r="N12">
        <v>12</v>
      </c>
      <c r="O12">
        <v>58</v>
      </c>
      <c r="P12">
        <v>1</v>
      </c>
      <c r="Q12">
        <v>0</v>
      </c>
      <c r="R12">
        <v>0</v>
      </c>
      <c r="S12">
        <v>23.8</v>
      </c>
      <c r="T12">
        <v>2.1304926764314201E-2</v>
      </c>
      <c r="V12">
        <v>4.8333333333333304</v>
      </c>
    </row>
    <row r="13" spans="1:24" x14ac:dyDescent="0.25">
      <c r="A13" t="s">
        <v>1659</v>
      </c>
      <c r="B13" t="s">
        <v>1648</v>
      </c>
      <c r="C13" t="s">
        <v>43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6</v>
      </c>
      <c r="P13">
        <v>0</v>
      </c>
      <c r="Q13">
        <v>0</v>
      </c>
      <c r="R13">
        <v>0</v>
      </c>
      <c r="S13">
        <v>1.6</v>
      </c>
      <c r="T13">
        <v>1.3315579227696399E-3</v>
      </c>
      <c r="V13">
        <v>6</v>
      </c>
    </row>
    <row r="14" spans="1:24" x14ac:dyDescent="0.25">
      <c r="A14" t="s">
        <v>770</v>
      </c>
      <c r="B14" t="s">
        <v>1648</v>
      </c>
      <c r="C14" t="s">
        <v>43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46</v>
      </c>
      <c r="P14">
        <v>0</v>
      </c>
      <c r="Q14">
        <v>0</v>
      </c>
      <c r="R14">
        <v>0</v>
      </c>
      <c r="S14">
        <v>8.6</v>
      </c>
      <c r="T14">
        <v>6.6577896138481996E-3</v>
      </c>
      <c r="V14">
        <v>11.5</v>
      </c>
    </row>
    <row r="15" spans="1:24" x14ac:dyDescent="0.25">
      <c r="A15" t="s">
        <v>1660</v>
      </c>
      <c r="B15" t="s">
        <v>1648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54</v>
      </c>
      <c r="P15">
        <v>0</v>
      </c>
      <c r="Q15">
        <v>0</v>
      </c>
      <c r="R15">
        <v>0</v>
      </c>
      <c r="S15">
        <v>8.4</v>
      </c>
      <c r="T15">
        <v>6.6577896138481996E-3</v>
      </c>
      <c r="V15">
        <v>18</v>
      </c>
    </row>
    <row r="16" spans="1:24" x14ac:dyDescent="0.25">
      <c r="A16" t="s">
        <v>1661</v>
      </c>
      <c r="B16" t="s">
        <v>1648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1.3315579227696399E-3</v>
      </c>
    </row>
    <row r="17" spans="1:22" x14ac:dyDescent="0.25">
      <c r="A17" t="s">
        <v>1662</v>
      </c>
      <c r="B17" t="s">
        <v>1648</v>
      </c>
      <c r="C17" t="s">
        <v>43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13</v>
      </c>
      <c r="N17">
        <v>8</v>
      </c>
      <c r="O17">
        <v>78</v>
      </c>
      <c r="P17">
        <v>0</v>
      </c>
      <c r="Q17">
        <v>0</v>
      </c>
      <c r="R17">
        <v>0</v>
      </c>
      <c r="S17">
        <v>15.8</v>
      </c>
      <c r="T17">
        <v>1.7310252996005301E-2</v>
      </c>
      <c r="V17">
        <v>9.75</v>
      </c>
    </row>
    <row r="18" spans="1:22" x14ac:dyDescent="0.25">
      <c r="A18" t="s">
        <v>1663</v>
      </c>
      <c r="B18" t="s">
        <v>1648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3</v>
      </c>
      <c r="P18">
        <v>0</v>
      </c>
      <c r="Q18">
        <v>0</v>
      </c>
      <c r="R18">
        <v>0</v>
      </c>
      <c r="S18">
        <v>1.3</v>
      </c>
      <c r="T18">
        <v>1.3315579227696399E-3</v>
      </c>
      <c r="V18">
        <v>3</v>
      </c>
    </row>
    <row r="19" spans="1:22" x14ac:dyDescent="0.25">
      <c r="A19" t="s">
        <v>1664</v>
      </c>
      <c r="B19" t="s">
        <v>1648</v>
      </c>
      <c r="C19" t="s">
        <v>43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50</v>
      </c>
      <c r="N19">
        <v>25</v>
      </c>
      <c r="O19">
        <v>397</v>
      </c>
      <c r="P19">
        <v>3</v>
      </c>
      <c r="Q19">
        <v>0</v>
      </c>
      <c r="R19">
        <v>0</v>
      </c>
      <c r="S19">
        <v>82.7</v>
      </c>
      <c r="T19">
        <v>6.6577896138482001E-2</v>
      </c>
      <c r="V19">
        <v>15.88</v>
      </c>
    </row>
    <row r="20" spans="1:22" x14ac:dyDescent="0.25">
      <c r="A20" t="s">
        <v>1665</v>
      </c>
      <c r="B20" t="s">
        <v>1648</v>
      </c>
      <c r="C20" t="s">
        <v>43</v>
      </c>
      <c r="D20">
        <v>4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4</v>
      </c>
      <c r="L20">
        <v>0</v>
      </c>
      <c r="M20">
        <v>8</v>
      </c>
      <c r="N20">
        <v>2</v>
      </c>
      <c r="O20">
        <v>40</v>
      </c>
      <c r="P20">
        <v>0</v>
      </c>
      <c r="Q20">
        <v>0</v>
      </c>
      <c r="R20">
        <v>0</v>
      </c>
      <c r="S20">
        <v>6.4</v>
      </c>
      <c r="T20">
        <v>1.06524633821571E-2</v>
      </c>
      <c r="U20">
        <v>4</v>
      </c>
      <c r="V20">
        <v>20</v>
      </c>
    </row>
    <row r="21" spans="1:22" x14ac:dyDescent="0.25">
      <c r="A21" t="s">
        <v>1666</v>
      </c>
      <c r="B21" t="s">
        <v>1648</v>
      </c>
      <c r="C21" t="s">
        <v>43</v>
      </c>
      <c r="D21">
        <v>17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91</v>
      </c>
      <c r="N21">
        <v>53</v>
      </c>
      <c r="O21">
        <v>527</v>
      </c>
      <c r="P21">
        <v>2</v>
      </c>
      <c r="Q21">
        <v>0</v>
      </c>
      <c r="R21">
        <v>0</v>
      </c>
      <c r="S21">
        <v>117.7</v>
      </c>
      <c r="T21">
        <v>0.121171770972037</v>
      </c>
      <c r="V21">
        <v>9.9433962264150892</v>
      </c>
    </row>
    <row r="22" spans="1:22" x14ac:dyDescent="0.25">
      <c r="A22" t="s">
        <v>1667</v>
      </c>
      <c r="B22" t="s">
        <v>1648</v>
      </c>
      <c r="C22" t="s">
        <v>43</v>
      </c>
      <c r="D22">
        <v>11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47</v>
      </c>
      <c r="L22">
        <v>0</v>
      </c>
      <c r="M22">
        <v>54</v>
      </c>
      <c r="N22">
        <v>33</v>
      </c>
      <c r="O22">
        <v>444</v>
      </c>
      <c r="P22">
        <v>1</v>
      </c>
      <c r="Q22">
        <v>0</v>
      </c>
      <c r="R22">
        <v>0</v>
      </c>
      <c r="S22">
        <v>88.1</v>
      </c>
      <c r="T22">
        <v>7.1904127829560599E-2</v>
      </c>
      <c r="U22">
        <v>11.75</v>
      </c>
      <c r="V22">
        <v>13.454545454545499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1648</v>
      </c>
      <c r="B31">
        <v>5358</v>
      </c>
      <c r="C31">
        <v>3227</v>
      </c>
      <c r="D31">
        <v>487</v>
      </c>
      <c r="E31">
        <v>2131</v>
      </c>
      <c r="F31">
        <v>16</v>
      </c>
      <c r="G31">
        <v>1173.8800000000001</v>
      </c>
      <c r="H31">
        <v>456</v>
      </c>
      <c r="I31">
        <v>0.625</v>
      </c>
      <c r="J31">
        <v>17</v>
      </c>
      <c r="K31">
        <v>11</v>
      </c>
      <c r="L31">
        <v>8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TEN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1668</v>
      </c>
      <c r="B36" t="s">
        <v>26</v>
      </c>
      <c r="C36">
        <v>24</v>
      </c>
      <c r="D36">
        <v>0</v>
      </c>
      <c r="E36" t="s">
        <v>150</v>
      </c>
      <c r="F36" t="s">
        <v>1648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1669</v>
      </c>
      <c r="B37" t="s">
        <v>26</v>
      </c>
      <c r="C37">
        <v>35</v>
      </c>
      <c r="D37">
        <v>12</v>
      </c>
      <c r="E37" t="s">
        <v>307</v>
      </c>
      <c r="F37" t="s">
        <v>1648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1670</v>
      </c>
      <c r="B38" t="s">
        <v>26</v>
      </c>
      <c r="C38">
        <v>24</v>
      </c>
      <c r="D38">
        <v>2</v>
      </c>
      <c r="E38" t="s">
        <v>1251</v>
      </c>
      <c r="F38" t="s">
        <v>1648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1671</v>
      </c>
      <c r="B46" t="s">
        <v>31</v>
      </c>
      <c r="C46">
        <v>22</v>
      </c>
      <c r="D46">
        <v>0</v>
      </c>
      <c r="E46" t="s">
        <v>1672</v>
      </c>
      <c r="F46" t="s">
        <v>1648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1673</v>
      </c>
      <c r="B47" t="s">
        <v>31</v>
      </c>
      <c r="C47">
        <v>23</v>
      </c>
      <c r="D47">
        <v>2</v>
      </c>
      <c r="E47" t="s">
        <v>105</v>
      </c>
      <c r="F47" t="s">
        <v>1648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1674</v>
      </c>
      <c r="B48" t="s">
        <v>31</v>
      </c>
      <c r="C48">
        <v>29</v>
      </c>
      <c r="D48">
        <v>8</v>
      </c>
      <c r="E48" t="s">
        <v>153</v>
      </c>
      <c r="F48" t="s">
        <v>1648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1675</v>
      </c>
      <c r="B49" t="s">
        <v>31</v>
      </c>
      <c r="C49">
        <v>26</v>
      </c>
      <c r="D49">
        <v>1</v>
      </c>
      <c r="E49" t="s">
        <v>1012</v>
      </c>
      <c r="F49" t="s">
        <v>1648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1676</v>
      </c>
      <c r="B50" t="s">
        <v>31</v>
      </c>
      <c r="C50">
        <v>22</v>
      </c>
      <c r="D50">
        <v>0</v>
      </c>
      <c r="E50" t="s">
        <v>405</v>
      </c>
      <c r="F50" t="s">
        <v>1648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1677</v>
      </c>
      <c r="B51" t="s">
        <v>31</v>
      </c>
      <c r="C51">
        <v>25</v>
      </c>
      <c r="D51">
        <v>4</v>
      </c>
      <c r="E51" t="s">
        <v>309</v>
      </c>
      <c r="F51" t="s">
        <v>1648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1678</v>
      </c>
      <c r="B61" t="s">
        <v>43</v>
      </c>
      <c r="C61">
        <v>23</v>
      </c>
      <c r="D61">
        <v>2</v>
      </c>
      <c r="E61" t="s">
        <v>175</v>
      </c>
      <c r="F61" t="s">
        <v>1648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1679</v>
      </c>
      <c r="B62" t="s">
        <v>43</v>
      </c>
      <c r="C62">
        <v>24</v>
      </c>
      <c r="D62">
        <v>0</v>
      </c>
      <c r="E62" t="s">
        <v>1045</v>
      </c>
      <c r="F62" t="s">
        <v>1648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1680</v>
      </c>
      <c r="B63" t="s">
        <v>43</v>
      </c>
      <c r="C63">
        <v>23</v>
      </c>
      <c r="D63">
        <v>0</v>
      </c>
      <c r="E63" t="s">
        <v>111</v>
      </c>
      <c r="F63" t="s">
        <v>1648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1681</v>
      </c>
      <c r="B64" t="s">
        <v>43</v>
      </c>
      <c r="C64">
        <v>24</v>
      </c>
      <c r="D64">
        <v>0</v>
      </c>
      <c r="E64" t="s">
        <v>393</v>
      </c>
      <c r="F64" t="s">
        <v>1648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1682</v>
      </c>
      <c r="B65" t="s">
        <v>43</v>
      </c>
      <c r="C65">
        <v>31</v>
      </c>
      <c r="D65">
        <v>10</v>
      </c>
      <c r="E65" t="s">
        <v>458</v>
      </c>
      <c r="F65" t="s">
        <v>1648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1683</v>
      </c>
      <c r="B66" t="s">
        <v>43</v>
      </c>
      <c r="C66">
        <v>23</v>
      </c>
      <c r="D66">
        <v>0</v>
      </c>
      <c r="E66" t="s">
        <v>173</v>
      </c>
      <c r="F66" t="s">
        <v>1648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1684</v>
      </c>
      <c r="B67" t="s">
        <v>43</v>
      </c>
      <c r="C67">
        <v>24</v>
      </c>
      <c r="D67">
        <v>1</v>
      </c>
      <c r="E67" t="s">
        <v>1685</v>
      </c>
      <c r="F67" t="s">
        <v>1648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1686</v>
      </c>
      <c r="B68" t="s">
        <v>43</v>
      </c>
      <c r="C68">
        <v>24</v>
      </c>
      <c r="D68">
        <v>3</v>
      </c>
      <c r="E68" t="s">
        <v>227</v>
      </c>
      <c r="F68" t="s">
        <v>1648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1687</v>
      </c>
      <c r="B69" t="s">
        <v>43</v>
      </c>
      <c r="C69">
        <v>30</v>
      </c>
      <c r="D69">
        <v>8</v>
      </c>
      <c r="E69" t="s">
        <v>136</v>
      </c>
      <c r="F69" t="s">
        <v>1648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1688</v>
      </c>
      <c r="B70" t="s">
        <v>43</v>
      </c>
      <c r="C70">
        <v>24</v>
      </c>
      <c r="D70">
        <v>2</v>
      </c>
      <c r="E70" t="s">
        <v>418</v>
      </c>
      <c r="F70" t="s">
        <v>1648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1689</v>
      </c>
      <c r="B71" t="s">
        <v>43</v>
      </c>
      <c r="C71">
        <v>24</v>
      </c>
      <c r="D71">
        <v>1</v>
      </c>
      <c r="E71" t="s">
        <v>237</v>
      </c>
      <c r="F71" t="s">
        <v>1648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1690</v>
      </c>
      <c r="B72" t="s">
        <v>43</v>
      </c>
      <c r="C72">
        <v>26</v>
      </c>
      <c r="D72">
        <v>4</v>
      </c>
      <c r="E72" t="s">
        <v>360</v>
      </c>
      <c r="F72" t="s">
        <v>1648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1691</v>
      </c>
      <c r="B76" t="s">
        <v>38</v>
      </c>
      <c r="C76">
        <v>26</v>
      </c>
      <c r="D76">
        <v>1</v>
      </c>
      <c r="E76" t="s">
        <v>362</v>
      </c>
      <c r="F76" t="s">
        <v>1648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1692</v>
      </c>
      <c r="B77" t="s">
        <v>38</v>
      </c>
      <c r="C77">
        <v>26</v>
      </c>
      <c r="D77">
        <v>1</v>
      </c>
      <c r="E77" t="s">
        <v>170</v>
      </c>
      <c r="F77" t="s">
        <v>1648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1693</v>
      </c>
      <c r="B78" t="s">
        <v>38</v>
      </c>
      <c r="C78">
        <v>23</v>
      </c>
      <c r="D78">
        <v>2</v>
      </c>
      <c r="E78" t="s">
        <v>232</v>
      </c>
      <c r="F78" t="s">
        <v>1648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1694</v>
      </c>
      <c r="B79" t="s">
        <v>38</v>
      </c>
      <c r="C79">
        <v>28</v>
      </c>
      <c r="D79">
        <v>3</v>
      </c>
      <c r="E79" t="s">
        <v>616</v>
      </c>
      <c r="F79" t="s">
        <v>1648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1695</v>
      </c>
      <c r="B80" t="s">
        <v>38</v>
      </c>
      <c r="C80">
        <v>25</v>
      </c>
      <c r="D80">
        <v>1</v>
      </c>
      <c r="E80" t="s">
        <v>150</v>
      </c>
      <c r="F80" t="s">
        <v>1648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1696</v>
      </c>
      <c r="B81" t="s">
        <v>38</v>
      </c>
      <c r="C81">
        <v>27</v>
      </c>
      <c r="D81">
        <v>5</v>
      </c>
      <c r="E81" t="s">
        <v>344</v>
      </c>
      <c r="F81" t="s">
        <v>1648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1697</v>
      </c>
      <c r="B82" t="s">
        <v>38</v>
      </c>
      <c r="C82">
        <v>23</v>
      </c>
      <c r="D82">
        <v>0</v>
      </c>
      <c r="E82" t="s">
        <v>136</v>
      </c>
      <c r="F82" t="s">
        <v>1648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topLeftCell="I19" workbookViewId="0">
      <selection activeCell="AC49" sqref="AC49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1698</v>
      </c>
      <c r="B2" t="s">
        <v>1699</v>
      </c>
      <c r="C2" t="s">
        <v>26</v>
      </c>
      <c r="D2">
        <v>8</v>
      </c>
      <c r="E2">
        <v>276</v>
      </c>
      <c r="F2">
        <v>172</v>
      </c>
      <c r="G2">
        <v>1755</v>
      </c>
      <c r="H2">
        <v>11</v>
      </c>
      <c r="I2">
        <v>9</v>
      </c>
      <c r="J2">
        <v>22</v>
      </c>
      <c r="K2">
        <v>86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2</v>
      </c>
      <c r="S2">
        <v>112.8</v>
      </c>
      <c r="T2">
        <v>0</v>
      </c>
      <c r="U2">
        <v>3.9090909090909101</v>
      </c>
      <c r="W2">
        <v>0.623188405797101</v>
      </c>
      <c r="X2">
        <v>3.9855072463768099E-2</v>
      </c>
    </row>
    <row r="3" spans="1:24" x14ac:dyDescent="0.25">
      <c r="A3" t="s">
        <v>1700</v>
      </c>
      <c r="B3" t="s">
        <v>1699</v>
      </c>
      <c r="C3" t="s">
        <v>26</v>
      </c>
      <c r="D3">
        <v>1</v>
      </c>
      <c r="E3">
        <v>19</v>
      </c>
      <c r="F3">
        <v>11</v>
      </c>
      <c r="G3">
        <v>169</v>
      </c>
      <c r="H3">
        <v>1</v>
      </c>
      <c r="I3">
        <v>1</v>
      </c>
      <c r="J3">
        <v>5</v>
      </c>
      <c r="K3">
        <v>35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18.260000000000002</v>
      </c>
      <c r="T3">
        <v>0</v>
      </c>
      <c r="U3">
        <v>7</v>
      </c>
      <c r="W3">
        <v>0.57894736842105299</v>
      </c>
      <c r="X3">
        <v>5.2631578947368397E-2</v>
      </c>
    </row>
    <row r="4" spans="1:24" x14ac:dyDescent="0.25">
      <c r="A4" t="s">
        <v>1701</v>
      </c>
      <c r="B4" t="s">
        <v>1699</v>
      </c>
      <c r="C4" t="s">
        <v>26</v>
      </c>
      <c r="D4">
        <v>9</v>
      </c>
      <c r="E4">
        <v>259</v>
      </c>
      <c r="F4">
        <v>161</v>
      </c>
      <c r="G4">
        <v>1859</v>
      </c>
      <c r="H4">
        <v>12</v>
      </c>
      <c r="I4">
        <v>6</v>
      </c>
      <c r="J4">
        <v>28</v>
      </c>
      <c r="K4">
        <v>96</v>
      </c>
      <c r="L4">
        <v>1</v>
      </c>
      <c r="M4">
        <v>0</v>
      </c>
      <c r="N4">
        <v>0</v>
      </c>
      <c r="O4">
        <v>0</v>
      </c>
      <c r="P4">
        <v>0</v>
      </c>
      <c r="Q4">
        <v>5</v>
      </c>
      <c r="R4">
        <v>0</v>
      </c>
      <c r="S4">
        <v>115.96</v>
      </c>
      <c r="T4">
        <v>0</v>
      </c>
      <c r="U4">
        <v>3.4285714285714302</v>
      </c>
      <c r="W4">
        <v>0.62162162162162204</v>
      </c>
      <c r="X4">
        <v>4.6332046332046302E-2</v>
      </c>
    </row>
    <row r="5" spans="1:24" x14ac:dyDescent="0.25">
      <c r="A5" t="s">
        <v>1702</v>
      </c>
      <c r="B5" t="s">
        <v>1699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149</v>
      </c>
      <c r="K5">
        <v>546</v>
      </c>
      <c r="L5">
        <v>3</v>
      </c>
      <c r="M5">
        <v>58</v>
      </c>
      <c r="N5">
        <v>46</v>
      </c>
      <c r="O5">
        <v>353</v>
      </c>
      <c r="P5">
        <v>2</v>
      </c>
      <c r="Q5">
        <v>0</v>
      </c>
      <c r="R5">
        <v>0</v>
      </c>
      <c r="S5">
        <v>165.9</v>
      </c>
      <c r="T5">
        <v>0.12719298245614</v>
      </c>
      <c r="U5">
        <v>3.6644295302013399</v>
      </c>
      <c r="V5">
        <v>7.6739130434782599</v>
      </c>
    </row>
    <row r="6" spans="1:24" x14ac:dyDescent="0.25">
      <c r="A6" t="s">
        <v>1703</v>
      </c>
      <c r="B6" t="s">
        <v>1699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205</v>
      </c>
      <c r="K6">
        <v>797</v>
      </c>
      <c r="L6">
        <v>2</v>
      </c>
      <c r="M6">
        <v>12</v>
      </c>
      <c r="N6">
        <v>9</v>
      </c>
      <c r="O6">
        <v>60</v>
      </c>
      <c r="P6">
        <v>1</v>
      </c>
      <c r="Q6">
        <v>0</v>
      </c>
      <c r="R6">
        <v>0</v>
      </c>
      <c r="S6">
        <v>112.7</v>
      </c>
      <c r="T6">
        <v>2.6315789473684199E-2</v>
      </c>
      <c r="U6">
        <v>3.8878048780487799</v>
      </c>
      <c r="V6">
        <v>6.6666666666666696</v>
      </c>
    </row>
    <row r="7" spans="1:24" x14ac:dyDescent="0.25">
      <c r="A7" t="s">
        <v>1704</v>
      </c>
      <c r="B7" t="s">
        <v>1699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22</v>
      </c>
      <c r="K7">
        <v>95</v>
      </c>
      <c r="L7">
        <v>0</v>
      </c>
      <c r="M7">
        <v>40</v>
      </c>
      <c r="N7">
        <v>27</v>
      </c>
      <c r="O7">
        <v>173</v>
      </c>
      <c r="P7">
        <v>0</v>
      </c>
      <c r="Q7">
        <v>0</v>
      </c>
      <c r="R7">
        <v>0</v>
      </c>
      <c r="S7">
        <v>55.8</v>
      </c>
      <c r="T7">
        <v>8.7719298245614002E-2</v>
      </c>
      <c r="U7">
        <v>4.3181818181818201</v>
      </c>
      <c r="V7">
        <v>6.4074074074074101</v>
      </c>
    </row>
    <row r="8" spans="1:24" x14ac:dyDescent="0.25">
      <c r="A8" t="s">
        <v>1705</v>
      </c>
      <c r="B8" t="s">
        <v>1699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78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7.8</v>
      </c>
      <c r="T8">
        <v>2.1929824561403499E-3</v>
      </c>
      <c r="U8">
        <v>4.5882352941176503</v>
      </c>
    </row>
    <row r="9" spans="1:24" x14ac:dyDescent="0.25">
      <c r="A9" t="s">
        <v>588</v>
      </c>
      <c r="B9" t="s">
        <v>1699</v>
      </c>
      <c r="C9" t="s">
        <v>31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37</v>
      </c>
      <c r="K9">
        <v>152</v>
      </c>
      <c r="L9">
        <v>0</v>
      </c>
      <c r="M9">
        <v>10</v>
      </c>
      <c r="N9">
        <v>7</v>
      </c>
      <c r="O9">
        <v>40</v>
      </c>
      <c r="P9">
        <v>0</v>
      </c>
      <c r="Q9">
        <v>0</v>
      </c>
      <c r="R9">
        <v>0</v>
      </c>
      <c r="S9">
        <v>26.2</v>
      </c>
      <c r="T9">
        <v>2.1929824561403501E-2</v>
      </c>
      <c r="U9">
        <v>4.1081081081081097</v>
      </c>
      <c r="V9">
        <v>5.71428571428571</v>
      </c>
    </row>
    <row r="10" spans="1:24" x14ac:dyDescent="0.25">
      <c r="A10" t="s">
        <v>1706</v>
      </c>
      <c r="B10" t="s">
        <v>1699</v>
      </c>
      <c r="C10" t="s">
        <v>31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3</v>
      </c>
      <c r="K10">
        <v>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0.8</v>
      </c>
      <c r="T10">
        <v>0</v>
      </c>
      <c r="U10">
        <v>2.6666666666666701</v>
      </c>
    </row>
    <row r="11" spans="1:24" x14ac:dyDescent="0.25">
      <c r="A11" t="s">
        <v>1707</v>
      </c>
      <c r="B11" t="s">
        <v>1699</v>
      </c>
      <c r="C11" t="s">
        <v>38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26</v>
      </c>
      <c r="L11">
        <v>0</v>
      </c>
      <c r="M11">
        <v>6</v>
      </c>
      <c r="N11">
        <v>5</v>
      </c>
      <c r="O11">
        <v>64</v>
      </c>
      <c r="P11">
        <v>0</v>
      </c>
      <c r="Q11">
        <v>0</v>
      </c>
      <c r="R11">
        <v>0</v>
      </c>
      <c r="S11">
        <v>14</v>
      </c>
      <c r="T11">
        <v>1.3157894736842099E-2</v>
      </c>
      <c r="U11">
        <v>13</v>
      </c>
      <c r="V11">
        <v>12.8</v>
      </c>
    </row>
    <row r="12" spans="1:24" x14ac:dyDescent="0.25">
      <c r="A12" t="s">
        <v>1708</v>
      </c>
      <c r="B12" t="s">
        <v>1699</v>
      </c>
      <c r="C12" t="s">
        <v>38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9</v>
      </c>
      <c r="N12">
        <v>2</v>
      </c>
      <c r="O12">
        <v>23</v>
      </c>
      <c r="P12">
        <v>0</v>
      </c>
      <c r="Q12">
        <v>0</v>
      </c>
      <c r="R12">
        <v>0</v>
      </c>
      <c r="S12">
        <v>4.3</v>
      </c>
      <c r="T12">
        <v>1.9736842105263198E-2</v>
      </c>
      <c r="V12">
        <v>11.5</v>
      </c>
    </row>
    <row r="13" spans="1:24" x14ac:dyDescent="0.25">
      <c r="A13" t="s">
        <v>1709</v>
      </c>
      <c r="B13" t="s">
        <v>1699</v>
      </c>
      <c r="C13" t="s">
        <v>38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14</v>
      </c>
      <c r="O13">
        <v>108</v>
      </c>
      <c r="P13">
        <v>1</v>
      </c>
      <c r="Q13">
        <v>0</v>
      </c>
      <c r="R13">
        <v>0</v>
      </c>
      <c r="S13">
        <v>30.8</v>
      </c>
      <c r="T13">
        <v>4.8245614035087703E-2</v>
      </c>
      <c r="V13">
        <v>7.71428571428571</v>
      </c>
    </row>
    <row r="14" spans="1:24" x14ac:dyDescent="0.25">
      <c r="A14" t="s">
        <v>1710</v>
      </c>
      <c r="B14" t="s">
        <v>1699</v>
      </c>
      <c r="C14" t="s">
        <v>38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61</v>
      </c>
      <c r="N14">
        <v>39</v>
      </c>
      <c r="O14">
        <v>323</v>
      </c>
      <c r="P14">
        <v>1</v>
      </c>
      <c r="Q14">
        <v>0</v>
      </c>
      <c r="R14">
        <v>0</v>
      </c>
      <c r="S14">
        <v>77.3</v>
      </c>
      <c r="T14">
        <v>0.13377192982456099</v>
      </c>
      <c r="V14">
        <v>8.2820512820512793</v>
      </c>
    </row>
    <row r="15" spans="1:24" x14ac:dyDescent="0.25">
      <c r="A15" t="s">
        <v>1711</v>
      </c>
      <c r="B15" t="s">
        <v>1699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38</v>
      </c>
      <c r="K15">
        <v>187</v>
      </c>
      <c r="L15">
        <v>1</v>
      </c>
      <c r="M15">
        <v>92</v>
      </c>
      <c r="N15">
        <v>64</v>
      </c>
      <c r="O15">
        <v>656</v>
      </c>
      <c r="P15">
        <v>4</v>
      </c>
      <c r="Q15">
        <v>1</v>
      </c>
      <c r="R15">
        <v>0</v>
      </c>
      <c r="S15">
        <v>176.3</v>
      </c>
      <c r="T15">
        <v>0.20175438596491199</v>
      </c>
      <c r="U15">
        <v>4.9210526315789496</v>
      </c>
      <c r="V15">
        <v>10.25</v>
      </c>
    </row>
    <row r="16" spans="1:24" x14ac:dyDescent="0.25">
      <c r="A16" t="s">
        <v>1712</v>
      </c>
      <c r="B16" t="s">
        <v>1699</v>
      </c>
      <c r="C16" t="s">
        <v>43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18</v>
      </c>
      <c r="N16">
        <v>8</v>
      </c>
      <c r="O16">
        <v>89</v>
      </c>
      <c r="P16">
        <v>0</v>
      </c>
      <c r="Q16">
        <v>0</v>
      </c>
      <c r="R16">
        <v>0</v>
      </c>
      <c r="S16">
        <v>16.899999999999999</v>
      </c>
      <c r="T16">
        <v>3.94736842105263E-2</v>
      </c>
      <c r="V16">
        <v>11.125</v>
      </c>
    </row>
    <row r="17" spans="1:22" x14ac:dyDescent="0.25">
      <c r="A17" t="s">
        <v>1713</v>
      </c>
      <c r="B17" t="s">
        <v>1699</v>
      </c>
      <c r="C17" t="s">
        <v>43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15</v>
      </c>
      <c r="L17">
        <v>0</v>
      </c>
      <c r="M17">
        <v>14</v>
      </c>
      <c r="N17">
        <v>5</v>
      </c>
      <c r="O17">
        <v>143</v>
      </c>
      <c r="P17">
        <v>2</v>
      </c>
      <c r="Q17">
        <v>0</v>
      </c>
      <c r="R17">
        <v>0</v>
      </c>
      <c r="S17">
        <v>32.799999999999997</v>
      </c>
      <c r="T17">
        <v>3.07017543859649E-2</v>
      </c>
      <c r="U17">
        <v>15</v>
      </c>
      <c r="V17">
        <v>28.6</v>
      </c>
    </row>
    <row r="18" spans="1:22" x14ac:dyDescent="0.25">
      <c r="A18" t="s">
        <v>1714</v>
      </c>
      <c r="B18" t="s">
        <v>1699</v>
      </c>
      <c r="C18" t="s">
        <v>43</v>
      </c>
      <c r="D18">
        <v>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</v>
      </c>
      <c r="N18">
        <v>6</v>
      </c>
      <c r="O18">
        <v>37</v>
      </c>
      <c r="P18">
        <v>1</v>
      </c>
      <c r="Q18">
        <v>0</v>
      </c>
      <c r="R18">
        <v>0</v>
      </c>
      <c r="S18">
        <v>15.7</v>
      </c>
      <c r="T18">
        <v>1.53508771929825E-2</v>
      </c>
      <c r="V18">
        <v>6.1666666666666696</v>
      </c>
    </row>
    <row r="19" spans="1:22" x14ac:dyDescent="0.25">
      <c r="A19" t="s">
        <v>1715</v>
      </c>
      <c r="B19" t="s">
        <v>1699</v>
      </c>
      <c r="C19" t="s">
        <v>43</v>
      </c>
      <c r="D19">
        <v>12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-7</v>
      </c>
      <c r="L19">
        <v>0</v>
      </c>
      <c r="M19">
        <v>61</v>
      </c>
      <c r="N19">
        <v>35</v>
      </c>
      <c r="O19">
        <v>523</v>
      </c>
      <c r="P19">
        <v>7</v>
      </c>
      <c r="Q19">
        <v>0</v>
      </c>
      <c r="R19">
        <v>0</v>
      </c>
      <c r="S19">
        <v>130.6</v>
      </c>
      <c r="T19">
        <v>0.13377192982456099</v>
      </c>
      <c r="U19">
        <v>-3.5</v>
      </c>
      <c r="V19">
        <v>14.9428571428571</v>
      </c>
    </row>
    <row r="20" spans="1:22" x14ac:dyDescent="0.25">
      <c r="A20" t="s">
        <v>1716</v>
      </c>
      <c r="B20" t="s">
        <v>1699</v>
      </c>
      <c r="C20" t="s">
        <v>43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29</v>
      </c>
      <c r="L20">
        <v>0</v>
      </c>
      <c r="M20">
        <v>120</v>
      </c>
      <c r="N20">
        <v>77</v>
      </c>
      <c r="O20">
        <v>1191</v>
      </c>
      <c r="P20">
        <v>5</v>
      </c>
      <c r="Q20">
        <v>0</v>
      </c>
      <c r="R20">
        <v>0</v>
      </c>
      <c r="S20">
        <v>229</v>
      </c>
      <c r="T20">
        <v>0.26315789473684198</v>
      </c>
      <c r="U20">
        <v>4.1428571428571397</v>
      </c>
      <c r="V20">
        <v>15.4675324675325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1699</v>
      </c>
      <c r="B31">
        <v>5926</v>
      </c>
      <c r="C31">
        <v>3783</v>
      </c>
      <c r="D31">
        <v>538</v>
      </c>
      <c r="E31">
        <v>2143</v>
      </c>
      <c r="F31">
        <v>9</v>
      </c>
      <c r="G31">
        <v>1343.92</v>
      </c>
      <c r="H31">
        <v>554</v>
      </c>
      <c r="I31">
        <v>0.62093862815884504</v>
      </c>
      <c r="J31">
        <v>24</v>
      </c>
      <c r="K31">
        <v>16</v>
      </c>
      <c r="L31">
        <v>7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WAS</v>
      </c>
      <c r="B33">
        <f ca="1">C33 + E33</f>
        <v>0</v>
      </c>
      <c r="C33">
        <f ca="1">SUM(INDIRECT(A33 &amp; "_Table4[[#All],[p_yd]]"))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  <c r="G33">
        <f ca="1">SUM(INDIRECT(A33 &amp; "_Table4[[#All],[f_ppr]]")) + SUM(INDIRECT(A33 &amp; "_Table5[[#All],[f_ppr]]")) + SUM(INDIRECT(A33 &amp; "_Table6[[#All],[f_ppr]]"))+SUM(INDIRECT(A33 &amp; "_Table7[[#All],[f_ppr]]"))</f>
        <v>0</v>
      </c>
      <c r="H33">
        <f ca="1">SUM(INDIRECT(A33 &amp; "_Table4[[#All],[p_att]]")) + SUM(INDIRECT(A33 &amp; "_Table5[[#All],[p_att]]")) + SUM(INDIRECT(A33 &amp; "_Table6[[#All],[p_att]]"))+SUM(INDIRECT(A33 &amp; "_Table7[[#All],[p_att]]"))</f>
        <v>0</v>
      </c>
      <c r="I33" t="e">
        <f ca="1">SUM(INDIRECT(A33 &amp; "_Table4[[#All],[cmp]]"))/H33</f>
        <v>#DIV/0!</v>
      </c>
      <c r="J33">
        <f ca="1">SUM(INDIRECT(A33 &amp; "_Table4[[#All],[p_td]]")) + SUM(INDIRECT(A33 &amp; "_Table5[[#All],[p_td]]")) + SUM(INDIRECT(A33 &amp; "_Table6[[#All],[p_td]]"))+SUM(INDIRECT(A33 &amp; "_Table7[[#All],[p_td]]"))</f>
        <v>0</v>
      </c>
      <c r="K33">
        <f ca="1">SUM(INDIRECT(A33 &amp; "_Table4[[#All],[int]]")) + SUM(INDIRECT(A33 &amp; "_Table5[[#All],[int]]")) + SUM(INDIRECT(A33 &amp; "_Table6[[#All],[int]]"))+SUM(INDIRECT(A33 &amp; "_Table7[[#All],[int]]"))</f>
        <v>0</v>
      </c>
      <c r="L3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t="s">
        <v>55</v>
      </c>
      <c r="B35" t="s">
        <v>56</v>
      </c>
      <c r="C35" t="s">
        <v>57</v>
      </c>
      <c r="D35" t="s">
        <v>58</v>
      </c>
      <c r="E35" t="s">
        <v>59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60</v>
      </c>
    </row>
    <row r="36" spans="1:28" x14ac:dyDescent="0.25">
      <c r="A36" t="s">
        <v>1717</v>
      </c>
      <c r="B36" t="s">
        <v>26</v>
      </c>
      <c r="C36">
        <v>30</v>
      </c>
      <c r="D36">
        <v>8</v>
      </c>
      <c r="E36" t="s">
        <v>1113</v>
      </c>
      <c r="F36" t="s">
        <v>1699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1718</v>
      </c>
      <c r="B37" t="s">
        <v>26</v>
      </c>
      <c r="C37">
        <v>25</v>
      </c>
      <c r="D37">
        <v>3</v>
      </c>
      <c r="E37" t="s">
        <v>173</v>
      </c>
      <c r="F37" t="s">
        <v>1699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1719</v>
      </c>
      <c r="B38" t="s">
        <v>26</v>
      </c>
      <c r="C38">
        <v>22</v>
      </c>
      <c r="D38">
        <v>2</v>
      </c>
      <c r="E38" t="s">
        <v>163</v>
      </c>
      <c r="F38" t="s">
        <v>1699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55</v>
      </c>
      <c r="B45" t="s">
        <v>56</v>
      </c>
      <c r="C45" t="s">
        <v>57</v>
      </c>
      <c r="D45" t="s">
        <v>58</v>
      </c>
      <c r="E45" t="s">
        <v>59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60</v>
      </c>
    </row>
    <row r="46" spans="1:28" x14ac:dyDescent="0.25">
      <c r="A46" t="s">
        <v>1720</v>
      </c>
      <c r="B46" t="s">
        <v>31</v>
      </c>
      <c r="C46">
        <v>29</v>
      </c>
      <c r="D46">
        <v>5</v>
      </c>
      <c r="E46" t="s">
        <v>1721</v>
      </c>
      <c r="F46" t="s">
        <v>1699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($J46*Cp_yd)+($K46*Cp_td)+($L46*Cint)+($M46*Ccar)+($N46*Cr_td)+($O46*Cr_yd)+(Q46*Crec)+($R46*Crec_yd)+($S46*Crec_td)+($T46*Cfmb)+($U46*Ctp_c)</f>
        <v>0</v>
      </c>
    </row>
    <row r="47" spans="1:28" x14ac:dyDescent="0.25">
      <c r="A47" t="s">
        <v>1722</v>
      </c>
      <c r="B47" t="s">
        <v>31</v>
      </c>
      <c r="C47">
        <v>25</v>
      </c>
      <c r="D47">
        <v>4</v>
      </c>
      <c r="E47" t="s">
        <v>557</v>
      </c>
      <c r="F47" t="s">
        <v>1699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($J47*Cp_yd)+($K47*Cp_td)+($L47*Cint)+($M47*Ccar)+($N47*Cr_td)+($O47*Cr_yd)+(Q47*Crec)+($R47*Crec_yd)+($S47*Crec_td)+($T47*Cfmb)+($U47*Ctp_c)</f>
        <v>0</v>
      </c>
    </row>
    <row r="48" spans="1:28" x14ac:dyDescent="0.25">
      <c r="A48" t="s">
        <v>1723</v>
      </c>
      <c r="B48" t="s">
        <v>31</v>
      </c>
      <c r="C48">
        <v>28</v>
      </c>
      <c r="D48">
        <v>5</v>
      </c>
      <c r="E48" t="s">
        <v>909</v>
      </c>
      <c r="F48" t="s">
        <v>1699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f>($J48*Cp_yd)+($K48*Cp_td)+($L48*Cint)+($M48*Ccar)+($N48*Cr_td)+($O48*Cr_yd)+(Q48*Crec)+($R48*Crec_yd)+($S48*Crec_td)+($T48*Cfmb)+($U48*Ctp_c)</f>
        <v>0</v>
      </c>
    </row>
    <row r="49" spans="1:28" x14ac:dyDescent="0.25">
      <c r="A49" t="s">
        <v>1724</v>
      </c>
      <c r="B49" t="s">
        <v>31</v>
      </c>
      <c r="C49">
        <v>23</v>
      </c>
      <c r="D49">
        <v>2</v>
      </c>
      <c r="E49" t="s">
        <v>806</v>
      </c>
      <c r="F49" t="s">
        <v>1699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($J49*Cp_yd)+($K49*Cp_td)+($L49*Cint)+($M49*Ccar)+($N49*Cr_td)+($O49*Cr_yd)+(Q49*Crec)+($R49*Crec_yd)+($S49*Crec_td)+($T49*Cfmb)+($U49*Ctp_c)</f>
        <v>0</v>
      </c>
    </row>
    <row r="50" spans="1:28" x14ac:dyDescent="0.25">
      <c r="A50" t="s">
        <v>1725</v>
      </c>
      <c r="B50" t="s">
        <v>31</v>
      </c>
      <c r="C50">
        <v>24</v>
      </c>
      <c r="D50">
        <v>2</v>
      </c>
      <c r="E50" t="s">
        <v>153</v>
      </c>
      <c r="F50" t="s">
        <v>1699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f>($J50*Cp_yd)+($K50*Cp_td)+($L50*Cint)+($M50*Ccar)+($N50*Cr_td)+($O50*Cr_yd)+(Q50*Crec)+($R50*Crec_yd)+($S50*Crec_td)+($T50*Cfmb)+($U50*Ctp_c)</f>
        <v>0</v>
      </c>
    </row>
    <row r="51" spans="1:28" x14ac:dyDescent="0.25">
      <c r="A51" t="s">
        <v>1726</v>
      </c>
      <c r="B51" t="s">
        <v>31</v>
      </c>
      <c r="C51">
        <v>23</v>
      </c>
      <c r="D51">
        <v>0</v>
      </c>
      <c r="E51" t="s">
        <v>150</v>
      </c>
      <c r="F51" t="s">
        <v>1699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($J51*Cp_yd)+($K51*Cp_td)+($L51*Cint)+($M51*Ccar)+($N51*Cr_td)+($O51*Cr_yd)+(Q51*Crec)+($R51*Crec_yd)+($S51*Crec_td)+($T51*Cfmb)+($U51*Ctp_c)</f>
        <v>0</v>
      </c>
    </row>
    <row r="52" spans="1:28" x14ac:dyDescent="0.25">
      <c r="A52" t="s">
        <v>1727</v>
      </c>
      <c r="B52" t="s">
        <v>31</v>
      </c>
      <c r="C52">
        <v>29</v>
      </c>
      <c r="D52">
        <v>7</v>
      </c>
      <c r="E52" t="s">
        <v>175</v>
      </c>
      <c r="F52" t="s">
        <v>1699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f>($J52*Cp_yd)+($K52*Cp_td)+($L52*Cint)+($M52*Ccar)+($N52*Cr_td)+($O52*Cr_yd)+(Q52*Crec)+($R52*Crec_yd)+($S52*Crec_td)+($T52*Cfmb)+($U52*Ctp_c)</f>
        <v>0</v>
      </c>
    </row>
    <row r="60" spans="1:28" x14ac:dyDescent="0.25">
      <c r="A60" t="s">
        <v>55</v>
      </c>
      <c r="B60" t="s">
        <v>56</v>
      </c>
      <c r="C60" t="s">
        <v>57</v>
      </c>
      <c r="D60" t="s">
        <v>58</v>
      </c>
      <c r="E60" t="s">
        <v>59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60</v>
      </c>
    </row>
    <row r="61" spans="1:28" x14ac:dyDescent="0.25">
      <c r="A61" t="s">
        <v>1728</v>
      </c>
      <c r="B61" t="s">
        <v>43</v>
      </c>
      <c r="C61">
        <v>23</v>
      </c>
      <c r="D61">
        <v>0</v>
      </c>
      <c r="E61" t="s">
        <v>418</v>
      </c>
      <c r="F61" t="s">
        <v>1699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1729</v>
      </c>
      <c r="B62" t="s">
        <v>43</v>
      </c>
      <c r="C62">
        <v>24</v>
      </c>
      <c r="D62">
        <v>0</v>
      </c>
      <c r="E62" t="s">
        <v>803</v>
      </c>
      <c r="F62" t="s">
        <v>1699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1730</v>
      </c>
      <c r="B63" t="s">
        <v>43</v>
      </c>
      <c r="C63">
        <v>23</v>
      </c>
      <c r="D63">
        <v>3</v>
      </c>
      <c r="E63" t="s">
        <v>163</v>
      </c>
      <c r="F63" t="s">
        <v>1699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1731</v>
      </c>
      <c r="B64" t="s">
        <v>43</v>
      </c>
      <c r="C64">
        <v>23</v>
      </c>
      <c r="D64">
        <v>2</v>
      </c>
      <c r="E64" t="s">
        <v>339</v>
      </c>
      <c r="F64" t="s">
        <v>1699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1732</v>
      </c>
      <c r="B65" t="s">
        <v>43</v>
      </c>
      <c r="C65">
        <v>28</v>
      </c>
      <c r="D65">
        <v>5</v>
      </c>
      <c r="E65" t="s">
        <v>803</v>
      </c>
      <c r="F65" t="s">
        <v>1699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1733</v>
      </c>
      <c r="B66" t="s">
        <v>43</v>
      </c>
      <c r="C66">
        <v>23</v>
      </c>
      <c r="D66">
        <v>1</v>
      </c>
      <c r="E66" t="s">
        <v>455</v>
      </c>
      <c r="F66" t="s">
        <v>1699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1734</v>
      </c>
      <c r="B67" t="s">
        <v>43</v>
      </c>
      <c r="C67">
        <v>27</v>
      </c>
      <c r="D67">
        <v>5</v>
      </c>
      <c r="E67" t="s">
        <v>213</v>
      </c>
      <c r="F67" t="s">
        <v>1699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1735</v>
      </c>
      <c r="B68" t="s">
        <v>43</v>
      </c>
      <c r="C68">
        <v>24</v>
      </c>
      <c r="D68">
        <v>3</v>
      </c>
      <c r="E68" t="s">
        <v>82</v>
      </c>
      <c r="F68" t="s">
        <v>1699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1736</v>
      </c>
      <c r="B69" t="s">
        <v>43</v>
      </c>
      <c r="C69">
        <v>29</v>
      </c>
      <c r="D69">
        <v>6</v>
      </c>
      <c r="E69" t="s">
        <v>559</v>
      </c>
      <c r="F69" t="s">
        <v>1699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1737</v>
      </c>
      <c r="B70" t="s">
        <v>43</v>
      </c>
      <c r="C70">
        <v>24</v>
      </c>
      <c r="D70">
        <v>0</v>
      </c>
      <c r="E70" t="s">
        <v>702</v>
      </c>
      <c r="F70" t="s">
        <v>1699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1738</v>
      </c>
      <c r="B71" t="s">
        <v>43</v>
      </c>
      <c r="C71">
        <v>27</v>
      </c>
      <c r="D71">
        <v>7</v>
      </c>
      <c r="E71" t="s">
        <v>213</v>
      </c>
      <c r="F71" t="s">
        <v>1699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1739</v>
      </c>
      <c r="B72" t="s">
        <v>43</v>
      </c>
      <c r="C72">
        <v>23</v>
      </c>
      <c r="D72">
        <v>0</v>
      </c>
      <c r="E72" t="s">
        <v>339</v>
      </c>
      <c r="F72" t="s">
        <v>1699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1740</v>
      </c>
      <c r="B73" t="s">
        <v>43</v>
      </c>
      <c r="C73">
        <v>23</v>
      </c>
      <c r="D73">
        <v>0</v>
      </c>
      <c r="E73" t="s">
        <v>102</v>
      </c>
      <c r="F73" t="s">
        <v>1699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55</v>
      </c>
      <c r="B75" t="s">
        <v>56</v>
      </c>
      <c r="C75" t="s">
        <v>57</v>
      </c>
      <c r="D75" t="s">
        <v>58</v>
      </c>
      <c r="E75" t="s">
        <v>59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60</v>
      </c>
    </row>
    <row r="76" spans="1:28" x14ac:dyDescent="0.25">
      <c r="A76" t="s">
        <v>1741</v>
      </c>
      <c r="B76" t="s">
        <v>38</v>
      </c>
      <c r="C76">
        <v>25</v>
      </c>
      <c r="D76">
        <v>3</v>
      </c>
      <c r="E76" t="s">
        <v>296</v>
      </c>
      <c r="F76" t="s">
        <v>1699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1742</v>
      </c>
      <c r="B77" t="s">
        <v>38</v>
      </c>
      <c r="C77">
        <v>26</v>
      </c>
      <c r="D77">
        <v>1</v>
      </c>
      <c r="E77" t="s">
        <v>1743</v>
      </c>
      <c r="F77" t="s">
        <v>1699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1744</v>
      </c>
      <c r="B78" t="s">
        <v>38</v>
      </c>
      <c r="C78">
        <v>24</v>
      </c>
      <c r="D78">
        <v>2</v>
      </c>
      <c r="E78" t="s">
        <v>155</v>
      </c>
      <c r="F78" t="s">
        <v>1699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1745</v>
      </c>
      <c r="B79" t="s">
        <v>38</v>
      </c>
      <c r="C79">
        <v>26</v>
      </c>
      <c r="D79">
        <v>4</v>
      </c>
      <c r="E79" t="s">
        <v>102</v>
      </c>
      <c r="F79" t="s">
        <v>1699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1746</v>
      </c>
      <c r="B80" t="s">
        <v>38</v>
      </c>
      <c r="C80">
        <v>32</v>
      </c>
      <c r="D80">
        <v>9</v>
      </c>
      <c r="E80" t="s">
        <v>333</v>
      </c>
      <c r="F80" t="s">
        <v>1699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1747</v>
      </c>
      <c r="B81" t="s">
        <v>38</v>
      </c>
      <c r="C81">
        <v>23</v>
      </c>
      <c r="D81">
        <v>2</v>
      </c>
      <c r="E81" t="s">
        <v>736</v>
      </c>
      <c r="F81" t="s">
        <v>1699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11</vt:i4>
      </vt:variant>
    </vt:vector>
  </HeadingPairs>
  <TitlesOfParts>
    <vt:vector size="44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2023-08-22T08:31:05Z</dcterms:modified>
</cp:coreProperties>
</file>