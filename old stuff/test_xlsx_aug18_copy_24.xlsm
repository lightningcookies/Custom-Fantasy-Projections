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tables/table99.xml" ContentType="application/vnd.openxmlformats-officedocument.spreadsheetml.table+xml"/>
  <Override PartName="/xl/tables/table100.xml" ContentType="application/vnd.openxmlformats-officedocument.spreadsheetml.table+xml"/>
  <Override PartName="/xl/tables/table101.xml" ContentType="application/vnd.openxmlformats-officedocument.spreadsheetml.table+xml"/>
  <Override PartName="/xl/tables/table102.xml" ContentType="application/vnd.openxmlformats-officedocument.spreadsheetml.table+xml"/>
  <Override PartName="/xl/tables/table103.xml" ContentType="application/vnd.openxmlformats-officedocument.spreadsheetml.table+xml"/>
  <Override PartName="/xl/tables/table104.xml" ContentType="application/vnd.openxmlformats-officedocument.spreadsheetml.table+xml"/>
  <Override PartName="/xl/tables/table105.xml" ContentType="application/vnd.openxmlformats-officedocument.spreadsheetml.table+xml"/>
  <Override PartName="/xl/tables/table106.xml" ContentType="application/vnd.openxmlformats-officedocument.spreadsheetml.table+xml"/>
  <Override PartName="/xl/tables/table107.xml" ContentType="application/vnd.openxmlformats-officedocument.spreadsheetml.table+xml"/>
  <Override PartName="/xl/tables/table108.xml" ContentType="application/vnd.openxmlformats-officedocument.spreadsheetml.table+xml"/>
  <Override PartName="/xl/tables/table109.xml" ContentType="application/vnd.openxmlformats-officedocument.spreadsheetml.table+xml"/>
  <Override PartName="/xl/tables/table110.xml" ContentType="application/vnd.openxmlformats-officedocument.spreadsheetml.table+xml"/>
  <Override PartName="/xl/tables/table111.xml" ContentType="application/vnd.openxmlformats-officedocument.spreadsheetml.table+xml"/>
  <Override PartName="/xl/tables/table112.xml" ContentType="application/vnd.openxmlformats-officedocument.spreadsheetml.table+xml"/>
  <Override PartName="/xl/tables/table113.xml" ContentType="application/vnd.openxmlformats-officedocument.spreadsheetml.table+xml"/>
  <Override PartName="/xl/tables/table114.xml" ContentType="application/vnd.openxmlformats-officedocument.spreadsheetml.table+xml"/>
  <Override PartName="/xl/tables/table115.xml" ContentType="application/vnd.openxmlformats-officedocument.spreadsheetml.table+xml"/>
  <Override PartName="/xl/tables/table116.xml" ContentType="application/vnd.openxmlformats-officedocument.spreadsheetml.table+xml"/>
  <Override PartName="/xl/tables/table117.xml" ContentType="application/vnd.openxmlformats-officedocument.spreadsheetml.table+xml"/>
  <Override PartName="/xl/tables/table118.xml" ContentType="application/vnd.openxmlformats-officedocument.spreadsheetml.table+xml"/>
  <Override PartName="/xl/tables/table119.xml" ContentType="application/vnd.openxmlformats-officedocument.spreadsheetml.table+xml"/>
  <Override PartName="/xl/tables/table120.xml" ContentType="application/vnd.openxmlformats-officedocument.spreadsheetml.table+xml"/>
  <Override PartName="/xl/tables/table121.xml" ContentType="application/vnd.openxmlformats-officedocument.spreadsheetml.table+xml"/>
  <Override PartName="/xl/tables/table122.xml" ContentType="application/vnd.openxmlformats-officedocument.spreadsheetml.table+xml"/>
  <Override PartName="/xl/tables/table123.xml" ContentType="application/vnd.openxmlformats-officedocument.spreadsheetml.table+xml"/>
  <Override PartName="/xl/tables/table124.xml" ContentType="application/vnd.openxmlformats-officedocument.spreadsheetml.table+xml"/>
  <Override PartName="/xl/tables/table125.xml" ContentType="application/vnd.openxmlformats-officedocument.spreadsheetml.table+xml"/>
  <Override PartName="/xl/tables/table126.xml" ContentType="application/vnd.openxmlformats-officedocument.spreadsheetml.table+xml"/>
  <Override PartName="/xl/tables/table127.xml" ContentType="application/vnd.openxmlformats-officedocument.spreadsheetml.table+xml"/>
  <Override PartName="/xl/tables/table128.xml" ContentType="application/vnd.openxmlformats-officedocument.spreadsheetml.table+xml"/>
  <Override PartName="/xl/tables/table129.xml" ContentType="application/vnd.openxmlformats-officedocument.spreadsheetml.table+xml"/>
  <Override PartName="/xl/tables/table130.xml" ContentType="application/vnd.openxmlformats-officedocument.spreadsheetml.table+xml"/>
  <Override PartName="/xl/tables/table131.xml" ContentType="application/vnd.openxmlformats-officedocument.spreadsheetml.table+xml"/>
  <Override PartName="/xl/tables/table132.xml" ContentType="application/vnd.openxmlformats-officedocument.spreadsheetml.table+xml"/>
  <Override PartName="/xl/tables/table133.xml" ContentType="application/vnd.openxmlformats-officedocument.spreadsheetml.table+xml"/>
  <Override PartName="/xl/tables/table134.xml" ContentType="application/vnd.openxmlformats-officedocument.spreadsheetml.table+xml"/>
  <Override PartName="/xl/tables/table135.xml" ContentType="application/vnd.openxmlformats-officedocument.spreadsheetml.table+xml"/>
  <Override PartName="/xl/tables/table136.xml" ContentType="application/vnd.openxmlformats-officedocument.spreadsheetml.table+xml"/>
  <Override PartName="/xl/tables/table137.xml" ContentType="application/vnd.openxmlformats-officedocument.spreadsheetml.table+xml"/>
  <Override PartName="/xl/tables/table138.xml" ContentType="application/vnd.openxmlformats-officedocument.spreadsheetml.table+xml"/>
  <Override PartName="/xl/tables/table139.xml" ContentType="application/vnd.openxmlformats-officedocument.spreadsheetml.table+xml"/>
  <Override PartName="/xl/tables/table140.xml" ContentType="application/vnd.openxmlformats-officedocument.spreadsheetml.table+xml"/>
  <Override PartName="/xl/tables/table141.xml" ContentType="application/vnd.openxmlformats-officedocument.spreadsheetml.table+xml"/>
  <Override PartName="/xl/tables/table142.xml" ContentType="application/vnd.openxmlformats-officedocument.spreadsheetml.table+xml"/>
  <Override PartName="/xl/tables/table143.xml" ContentType="application/vnd.openxmlformats-officedocument.spreadsheetml.table+xml"/>
  <Override PartName="/xl/tables/table144.xml" ContentType="application/vnd.openxmlformats-officedocument.spreadsheetml.table+xml"/>
  <Override PartName="/xl/tables/table145.xml" ContentType="application/vnd.openxmlformats-officedocument.spreadsheetml.table+xml"/>
  <Override PartName="/xl/tables/table146.xml" ContentType="application/vnd.openxmlformats-officedocument.spreadsheetml.table+xml"/>
  <Override PartName="/xl/tables/table147.xml" ContentType="application/vnd.openxmlformats-officedocument.spreadsheetml.table+xml"/>
  <Override PartName="/xl/tables/table148.xml" ContentType="application/vnd.openxmlformats-officedocument.spreadsheetml.table+xml"/>
  <Override PartName="/xl/tables/table149.xml" ContentType="application/vnd.openxmlformats-officedocument.spreadsheetml.table+xml"/>
  <Override PartName="/xl/tables/table150.xml" ContentType="application/vnd.openxmlformats-officedocument.spreadsheetml.table+xml"/>
  <Override PartName="/xl/tables/table151.xml" ContentType="application/vnd.openxmlformats-officedocument.spreadsheetml.table+xml"/>
  <Override PartName="/xl/tables/table152.xml" ContentType="application/vnd.openxmlformats-officedocument.spreadsheetml.table+xml"/>
  <Override PartName="/xl/tables/table153.xml" ContentType="application/vnd.openxmlformats-officedocument.spreadsheetml.table+xml"/>
  <Override PartName="/xl/tables/table154.xml" ContentType="application/vnd.openxmlformats-officedocument.spreadsheetml.table+xml"/>
  <Override PartName="/xl/tables/table155.xml" ContentType="application/vnd.openxmlformats-officedocument.spreadsheetml.table+xml"/>
  <Override PartName="/xl/tables/table156.xml" ContentType="application/vnd.openxmlformats-officedocument.spreadsheetml.table+xml"/>
  <Override PartName="/xl/tables/table157.xml" ContentType="application/vnd.openxmlformats-officedocument.spreadsheetml.table+xml"/>
  <Override PartName="/xl/tables/table158.xml" ContentType="application/vnd.openxmlformats-officedocument.spreadsheetml.table+xml"/>
  <Override PartName="/xl/tables/table159.xml" ContentType="application/vnd.openxmlformats-officedocument.spreadsheetml.table+xml"/>
  <Override PartName="/xl/tables/table160.xml" ContentType="application/vnd.openxmlformats-officedocument.spreadsheetml.table+xml"/>
  <Override PartName="/xl/tables/table161.xml" ContentType="application/vnd.openxmlformats-officedocument.spreadsheetml.table+xml"/>
  <Override PartName="/xl/tables/table162.xml" ContentType="application/vnd.openxmlformats-officedocument.spreadsheetml.table+xml"/>
  <Override PartName="/xl/tables/table163.xml" ContentType="application/vnd.openxmlformats-officedocument.spreadsheetml.table+xml"/>
  <Override PartName="/xl/tables/table164.xml" ContentType="application/vnd.openxmlformats-officedocument.spreadsheetml.table+xml"/>
  <Override PartName="/xl/tables/table165.xml" ContentType="application/vnd.openxmlformats-officedocument.spreadsheetml.table+xml"/>
  <Override PartName="/xl/tables/table166.xml" ContentType="application/vnd.openxmlformats-officedocument.spreadsheetml.table+xml"/>
  <Override PartName="/xl/tables/table167.xml" ContentType="application/vnd.openxmlformats-officedocument.spreadsheetml.table+xml"/>
  <Override PartName="/xl/tables/table168.xml" ContentType="application/vnd.openxmlformats-officedocument.spreadsheetml.table+xml"/>
  <Override PartName="/xl/tables/table169.xml" ContentType="application/vnd.openxmlformats-officedocument.spreadsheetml.table+xml"/>
  <Override PartName="/xl/tables/table170.xml" ContentType="application/vnd.openxmlformats-officedocument.spreadsheetml.table+xml"/>
  <Override PartName="/xl/tables/table171.xml" ContentType="application/vnd.openxmlformats-officedocument.spreadsheetml.table+xml"/>
  <Override PartName="/xl/tables/table172.xml" ContentType="application/vnd.openxmlformats-officedocument.spreadsheetml.table+xml"/>
  <Override PartName="/xl/tables/table173.xml" ContentType="application/vnd.openxmlformats-officedocument.spreadsheetml.table+xml"/>
  <Override PartName="/xl/tables/table174.xml" ContentType="application/vnd.openxmlformats-officedocument.spreadsheetml.table+xml"/>
  <Override PartName="/xl/tables/table175.xml" ContentType="application/vnd.openxmlformats-officedocument.spreadsheetml.table+xml"/>
  <Override PartName="/xl/tables/table176.xml" ContentType="application/vnd.openxmlformats-officedocument.spreadsheetml.table+xml"/>
  <Override PartName="/xl/tables/table177.xml" ContentType="application/vnd.openxmlformats-officedocument.spreadsheetml.table+xml"/>
  <Override PartName="/xl/tables/table178.xml" ContentType="application/vnd.openxmlformats-officedocument.spreadsheetml.table+xml"/>
  <Override PartName="/xl/tables/table179.xml" ContentType="application/vnd.openxmlformats-officedocument.spreadsheetml.table+xml"/>
  <Override PartName="/xl/tables/table180.xml" ContentType="application/vnd.openxmlformats-officedocument.spreadsheetml.table+xml"/>
  <Override PartName="/xl/tables/table181.xml" ContentType="application/vnd.openxmlformats-officedocument.spreadsheetml.table+xml"/>
  <Override PartName="/xl/tables/table182.xml" ContentType="application/vnd.openxmlformats-officedocument.spreadsheetml.table+xml"/>
  <Override PartName="/xl/tables/table183.xml" ContentType="application/vnd.openxmlformats-officedocument.spreadsheetml.table+xml"/>
  <Override PartName="/xl/tables/table184.xml" ContentType="application/vnd.openxmlformats-officedocument.spreadsheetml.table+xml"/>
  <Override PartName="/xl/tables/table185.xml" ContentType="application/vnd.openxmlformats-officedocument.spreadsheetml.table+xml"/>
  <Override PartName="/xl/tables/table186.xml" ContentType="application/vnd.openxmlformats-officedocument.spreadsheetml.table+xml"/>
  <Override PartName="/xl/tables/table187.xml" ContentType="application/vnd.openxmlformats-officedocument.spreadsheetml.table+xml"/>
  <Override PartName="/xl/tables/table188.xml" ContentType="application/vnd.openxmlformats-officedocument.spreadsheetml.table+xml"/>
  <Override PartName="/xl/tables/table189.xml" ContentType="application/vnd.openxmlformats-officedocument.spreadsheetml.table+xml"/>
  <Override PartName="/xl/tables/table190.xml" ContentType="application/vnd.openxmlformats-officedocument.spreadsheetml.table+xml"/>
  <Override PartName="/xl/tables/table191.xml" ContentType="application/vnd.openxmlformats-officedocument.spreadsheetml.table+xml"/>
  <Override PartName="/xl/tables/table192.xml" ContentType="application/vnd.openxmlformats-officedocument.spreadsheetml.table+xml"/>
  <Override PartName="/xl/tables/table193.xml" ContentType="application/vnd.openxmlformats-officedocument.spreadsheetml.table+xml"/>
  <Override PartName="/xl/tables/table194.xml" ContentType="application/vnd.openxmlformats-officedocument.spreadsheetml.table+xml"/>
  <Override PartName="/xl/tables/table195.xml" ContentType="application/vnd.openxmlformats-officedocument.spreadsheetml.table+xml"/>
  <Override PartName="/xl/tables/table196.xml" ContentType="application/vnd.openxmlformats-officedocument.spreadsheetml.table+xml"/>
  <Override PartName="/xl/tables/table197.xml" ContentType="application/vnd.openxmlformats-officedocument.spreadsheetml.table+xml"/>
  <Override PartName="/xl/tables/table198.xml" ContentType="application/vnd.openxmlformats-officedocument.spreadsheetml.table+xml"/>
  <Override PartName="/xl/tables/table199.xml" ContentType="application/vnd.openxmlformats-officedocument.spreadsheetml.table+xml"/>
  <Override PartName="/xl/tables/table200.xml" ContentType="application/vnd.openxmlformats-officedocument.spreadsheetml.table+xml"/>
  <Override PartName="/xl/tables/table201.xml" ContentType="application/vnd.openxmlformats-officedocument.spreadsheetml.table+xml"/>
  <Override PartName="/xl/tables/table202.xml" ContentType="application/vnd.openxmlformats-officedocument.spreadsheetml.table+xml"/>
  <Override PartName="/xl/tables/table203.xml" ContentType="application/vnd.openxmlformats-officedocument.spreadsheetml.table+xml"/>
  <Override PartName="/xl/tables/table204.xml" ContentType="application/vnd.openxmlformats-officedocument.spreadsheetml.table+xml"/>
  <Override PartName="/xl/tables/table205.xml" ContentType="application/vnd.openxmlformats-officedocument.spreadsheetml.table+xml"/>
  <Override PartName="/xl/tables/table206.xml" ContentType="application/vnd.openxmlformats-officedocument.spreadsheetml.table+xml"/>
  <Override PartName="/xl/tables/table207.xml" ContentType="application/vnd.openxmlformats-officedocument.spreadsheetml.table+xml"/>
  <Override PartName="/xl/tables/table208.xml" ContentType="application/vnd.openxmlformats-officedocument.spreadsheetml.table+xml"/>
  <Override PartName="/xl/tables/table209.xml" ContentType="application/vnd.openxmlformats-officedocument.spreadsheetml.table+xml"/>
  <Override PartName="/xl/tables/table210.xml" ContentType="application/vnd.openxmlformats-officedocument.spreadsheetml.table+xml"/>
  <Override PartName="/xl/tables/table211.xml" ContentType="application/vnd.openxmlformats-officedocument.spreadsheetml.table+xml"/>
  <Override PartName="/xl/tables/table212.xml" ContentType="application/vnd.openxmlformats-officedocument.spreadsheetml.table+xml"/>
  <Override PartName="/xl/tables/table213.xml" ContentType="application/vnd.openxmlformats-officedocument.spreadsheetml.table+xml"/>
  <Override PartName="/xl/tables/table214.xml" ContentType="application/vnd.openxmlformats-officedocument.spreadsheetml.table+xml"/>
  <Override PartName="/xl/tables/table215.xml" ContentType="application/vnd.openxmlformats-officedocument.spreadsheetml.table+xml"/>
  <Override PartName="/xl/tables/table216.xml" ContentType="application/vnd.openxmlformats-officedocument.spreadsheetml.table+xml"/>
  <Override PartName="/xl/tables/table217.xml" ContentType="application/vnd.openxmlformats-officedocument.spreadsheetml.table+xml"/>
  <Override PartName="/xl/tables/table218.xml" ContentType="application/vnd.openxmlformats-officedocument.spreadsheetml.table+xml"/>
  <Override PartName="/xl/tables/table219.xml" ContentType="application/vnd.openxmlformats-officedocument.spreadsheetml.table+xml"/>
  <Override PartName="/xl/tables/table220.xml" ContentType="application/vnd.openxmlformats-officedocument.spreadsheetml.table+xml"/>
  <Override PartName="/xl/tables/table221.xml" ContentType="application/vnd.openxmlformats-officedocument.spreadsheetml.table+xml"/>
  <Override PartName="/xl/tables/table222.xml" ContentType="application/vnd.openxmlformats-officedocument.spreadsheetml.table+xml"/>
  <Override PartName="/xl/tables/table223.xml" ContentType="application/vnd.openxmlformats-officedocument.spreadsheetml.table+xml"/>
  <Override PartName="/xl/tables/table224.xml" ContentType="application/vnd.openxmlformats-officedocument.spreadsheetml.table+xml"/>
  <Override PartName="/xl/tables/table225.xml" ContentType="application/vnd.openxmlformats-officedocument.spreadsheetml.table+xml"/>
  <Override PartName="/xl/tables/table226.xml" ContentType="application/vnd.openxmlformats-officedocument.spreadsheetml.table+xml"/>
  <Override PartName="/xl/tables/table227.xml" ContentType="application/vnd.openxmlformats-officedocument.spreadsheetml.table+xml"/>
  <Override PartName="/xl/tables/table228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yta\Documents\custom projections\"/>
    </mc:Choice>
  </mc:AlternateContent>
  <xr:revisionPtr revIDLastSave="0" documentId="13_ncr:1_{CCEFB0E6-B3C8-4DB9-985F-4A00C14283C5}" xr6:coauthVersionLast="47" xr6:coauthVersionMax="47" xr10:uidLastSave="{00000000-0000-0000-0000-000000000000}"/>
  <bookViews>
    <workbookView xWindow="45" yWindow="0" windowWidth="28755" windowHeight="15600" tabRatio="891" firstSheet="10" activeTab="36" xr2:uid="{00000000-000D-0000-FFFF-FFFF00000000}"/>
  </bookViews>
  <sheets>
    <sheet name="Admin" sheetId="33" r:id="rId1"/>
    <sheet name="ARI" sheetId="1" r:id="rId2"/>
    <sheet name="ATL" sheetId="2" r:id="rId3"/>
    <sheet name="BAL" sheetId="3" r:id="rId4"/>
    <sheet name="BUF" sheetId="4" r:id="rId5"/>
    <sheet name="CAR" sheetId="5" r:id="rId6"/>
    <sheet name="CHI" sheetId="6" r:id="rId7"/>
    <sheet name="CIN" sheetId="7" r:id="rId8"/>
    <sheet name="CLE" sheetId="8" r:id="rId9"/>
    <sheet name="DAL" sheetId="9" r:id="rId10"/>
    <sheet name="DEN" sheetId="10" r:id="rId11"/>
    <sheet name="DET" sheetId="11" r:id="rId12"/>
    <sheet name="GB" sheetId="12" r:id="rId13"/>
    <sheet name="HOU" sheetId="13" r:id="rId14"/>
    <sheet name="IND" sheetId="14" r:id="rId15"/>
    <sheet name="JAX" sheetId="15" r:id="rId16"/>
    <sheet name="KC" sheetId="16" r:id="rId17"/>
    <sheet name="LAC" sheetId="17" r:id="rId18"/>
    <sheet name="LAR" sheetId="18" r:id="rId19"/>
    <sheet name="LV" sheetId="19" r:id="rId20"/>
    <sheet name="MIA" sheetId="20" r:id="rId21"/>
    <sheet name="MIN" sheetId="21" r:id="rId22"/>
    <sheet name="NE" sheetId="22" r:id="rId23"/>
    <sheet name="NO" sheetId="23" r:id="rId24"/>
    <sheet name="NYG" sheetId="24" r:id="rId25"/>
    <sheet name="NYJ" sheetId="25" r:id="rId26"/>
    <sheet name="PHI" sheetId="26" r:id="rId27"/>
    <sheet name="PIT" sheetId="27" r:id="rId28"/>
    <sheet name="SEA" sheetId="28" r:id="rId29"/>
    <sheet name="SF" sheetId="29" r:id="rId30"/>
    <sheet name="TB" sheetId="30" r:id="rId31"/>
    <sheet name="TEN" sheetId="31" r:id="rId32"/>
    <sheet name="WAS" sheetId="32" r:id="rId33"/>
    <sheet name="Combined_QB" sheetId="34" r:id="rId34"/>
    <sheet name="Combined_RB" sheetId="35" r:id="rId35"/>
    <sheet name="Combined_WR" sheetId="36" r:id="rId36"/>
    <sheet name="Combined_TE" sheetId="37" r:id="rId37"/>
  </sheets>
  <definedNames>
    <definedName name="Ccar">Admin!$C$8</definedName>
    <definedName name="Cfmb">Admin!$C$6</definedName>
    <definedName name="Cint">Admin!$C$5</definedName>
    <definedName name="Cp_td">Admin!$C$3</definedName>
    <definedName name="Cp_yd">Admin!$C$4</definedName>
    <definedName name="Cr_td">Admin!$C$10</definedName>
    <definedName name="Cr_yd">Admin!$C$9</definedName>
    <definedName name="Crec">Admin!$C$7</definedName>
    <definedName name="Crec_td">Admin!$C$12</definedName>
    <definedName name="Crec_yd">Admin!$C$11</definedName>
    <definedName name="Ctp_c">Admin!$C$13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7" i="37" l="1"/>
  <c r="AA7" i="37"/>
  <c r="Z7" i="37"/>
  <c r="Y7" i="37"/>
  <c r="X7" i="37"/>
  <c r="W7" i="37"/>
  <c r="V7" i="37"/>
  <c r="AB6" i="37"/>
  <c r="AA6" i="37"/>
  <c r="Z6" i="37"/>
  <c r="Y6" i="37"/>
  <c r="X6" i="37"/>
  <c r="W6" i="37"/>
  <c r="V6" i="37"/>
  <c r="AB5" i="37"/>
  <c r="AA5" i="37"/>
  <c r="Z5" i="37"/>
  <c r="Y5" i="37"/>
  <c r="X5" i="37"/>
  <c r="W5" i="37"/>
  <c r="V5" i="37"/>
  <c r="AB4" i="37"/>
  <c r="AA4" i="37"/>
  <c r="Z4" i="37"/>
  <c r="Y4" i="37"/>
  <c r="X4" i="37"/>
  <c r="W4" i="37"/>
  <c r="V4" i="37"/>
  <c r="AB3" i="37"/>
  <c r="AA3" i="37"/>
  <c r="Z3" i="37"/>
  <c r="Y3" i="37"/>
  <c r="X3" i="37"/>
  <c r="W3" i="37"/>
  <c r="V3" i="37"/>
  <c r="AB2" i="37"/>
  <c r="AA2" i="37"/>
  <c r="Z2" i="37"/>
  <c r="Y2" i="37"/>
  <c r="X2" i="37"/>
  <c r="W2" i="37"/>
  <c r="V2" i="37"/>
  <c r="AB11" i="36"/>
  <c r="AA11" i="36"/>
  <c r="Z11" i="36"/>
  <c r="Y11" i="36"/>
  <c r="X11" i="36"/>
  <c r="W11" i="36"/>
  <c r="V11" i="36"/>
  <c r="AB10" i="36"/>
  <c r="AA10" i="36"/>
  <c r="Z10" i="36"/>
  <c r="Y10" i="36"/>
  <c r="X10" i="36"/>
  <c r="W10" i="36"/>
  <c r="V10" i="36"/>
  <c r="AB9" i="36"/>
  <c r="AA9" i="36"/>
  <c r="Z9" i="36"/>
  <c r="Y9" i="36"/>
  <c r="X9" i="36"/>
  <c r="W9" i="36"/>
  <c r="V9" i="36"/>
  <c r="AB8" i="36"/>
  <c r="AA8" i="36"/>
  <c r="Z8" i="36"/>
  <c r="Y8" i="36"/>
  <c r="X8" i="36"/>
  <c r="W8" i="36"/>
  <c r="V8" i="36"/>
  <c r="AB7" i="36"/>
  <c r="AA7" i="36"/>
  <c r="Z7" i="36"/>
  <c r="Y7" i="36"/>
  <c r="X7" i="36"/>
  <c r="W7" i="36"/>
  <c r="V7" i="36"/>
  <c r="AB6" i="36"/>
  <c r="AA6" i="36"/>
  <c r="Z6" i="36"/>
  <c r="Y6" i="36"/>
  <c r="X6" i="36"/>
  <c r="W6" i="36"/>
  <c r="V6" i="36"/>
  <c r="AB5" i="36"/>
  <c r="AA5" i="36"/>
  <c r="Z5" i="36"/>
  <c r="Y5" i="36"/>
  <c r="X5" i="36"/>
  <c r="W5" i="36"/>
  <c r="V5" i="36"/>
  <c r="AB4" i="36"/>
  <c r="AA4" i="36"/>
  <c r="Z4" i="36"/>
  <c r="Y4" i="36"/>
  <c r="X4" i="36"/>
  <c r="W4" i="36"/>
  <c r="V4" i="36"/>
  <c r="AB3" i="36"/>
  <c r="AA3" i="36"/>
  <c r="Z3" i="36"/>
  <c r="Y3" i="36"/>
  <c r="X3" i="36"/>
  <c r="W3" i="36"/>
  <c r="V3" i="36"/>
  <c r="AB2" i="36"/>
  <c r="AA2" i="36"/>
  <c r="Z2" i="36"/>
  <c r="Y2" i="36"/>
  <c r="X2" i="36"/>
  <c r="W2" i="36"/>
  <c r="V2" i="36"/>
  <c r="AB167" i="35"/>
  <c r="AB166" i="35"/>
  <c r="AB165" i="35"/>
  <c r="AB164" i="35"/>
  <c r="AB163" i="35"/>
  <c r="AB162" i="35"/>
  <c r="AB161" i="35"/>
  <c r="AB160" i="35"/>
  <c r="AB159" i="35"/>
  <c r="AB158" i="35"/>
  <c r="AB157" i="35"/>
  <c r="AB156" i="35"/>
  <c r="AB155" i="35"/>
  <c r="AB154" i="35"/>
  <c r="AB153" i="35"/>
  <c r="AB152" i="35"/>
  <c r="AB151" i="35"/>
  <c r="AB150" i="35"/>
  <c r="AB149" i="35"/>
  <c r="AB148" i="35"/>
  <c r="AB147" i="35"/>
  <c r="AB146" i="35"/>
  <c r="AB145" i="35"/>
  <c r="AB144" i="35"/>
  <c r="AB143" i="35"/>
  <c r="AB142" i="35"/>
  <c r="AB141" i="35"/>
  <c r="AB140" i="35"/>
  <c r="AB139" i="35"/>
  <c r="AB138" i="35"/>
  <c r="AB137" i="35"/>
  <c r="AB136" i="35"/>
  <c r="AB135" i="35"/>
  <c r="AB134" i="35"/>
  <c r="AB133" i="35"/>
  <c r="AB132" i="35"/>
  <c r="AB131" i="35"/>
  <c r="AB130" i="35"/>
  <c r="AB129" i="35"/>
  <c r="AB128" i="35"/>
  <c r="AB127" i="35"/>
  <c r="AB126" i="35"/>
  <c r="AB125" i="35"/>
  <c r="AB124" i="35"/>
  <c r="AB123" i="35"/>
  <c r="AB122" i="35"/>
  <c r="AB121" i="35"/>
  <c r="AB120" i="35"/>
  <c r="AB119" i="35"/>
  <c r="AB118" i="35"/>
  <c r="AB117" i="35"/>
  <c r="AB116" i="35"/>
  <c r="AB115" i="35"/>
  <c r="AB114" i="35"/>
  <c r="AB113" i="35"/>
  <c r="AB112" i="35"/>
  <c r="AB111" i="35"/>
  <c r="AB110" i="35"/>
  <c r="AB109" i="35"/>
  <c r="AB108" i="35"/>
  <c r="AB107" i="35"/>
  <c r="AB106" i="35"/>
  <c r="AB105" i="35"/>
  <c r="AB104" i="35"/>
  <c r="AB103" i="35"/>
  <c r="AB102" i="35"/>
  <c r="AB101" i="35"/>
  <c r="AB100" i="35"/>
  <c r="AB99" i="35"/>
  <c r="AB98" i="35"/>
  <c r="AB97" i="35"/>
  <c r="AB96" i="35"/>
  <c r="AB95" i="35"/>
  <c r="AB94" i="35"/>
  <c r="AB93" i="35"/>
  <c r="AB92" i="35"/>
  <c r="AB91" i="35"/>
  <c r="AB90" i="35"/>
  <c r="AB89" i="35"/>
  <c r="AB88" i="35"/>
  <c r="AB87" i="35"/>
  <c r="AB86" i="35"/>
  <c r="AB85" i="35"/>
  <c r="AB84" i="35"/>
  <c r="AB83" i="35"/>
  <c r="AB82" i="35"/>
  <c r="AB81" i="35"/>
  <c r="AB80" i="35"/>
  <c r="AB79" i="35"/>
  <c r="AB78" i="35"/>
  <c r="AB77" i="35"/>
  <c r="AB76" i="35"/>
  <c r="AB75" i="35"/>
  <c r="AB74" i="35"/>
  <c r="AB73" i="35"/>
  <c r="AB72" i="35"/>
  <c r="AB71" i="35"/>
  <c r="AB70" i="35"/>
  <c r="AB69" i="35"/>
  <c r="AB68" i="35"/>
  <c r="AB67" i="35"/>
  <c r="AB66" i="35"/>
  <c r="AB65" i="35"/>
  <c r="AB64" i="35"/>
  <c r="AB63" i="35"/>
  <c r="AB62" i="35"/>
  <c r="AB61" i="35"/>
  <c r="AB60" i="35"/>
  <c r="AB59" i="35"/>
  <c r="AB58" i="35"/>
  <c r="AB57" i="35"/>
  <c r="AB56" i="35"/>
  <c r="AB55" i="35"/>
  <c r="AB54" i="35"/>
  <c r="AB53" i="35"/>
  <c r="AB52" i="35"/>
  <c r="AB51" i="35"/>
  <c r="AB50" i="35"/>
  <c r="AB49" i="35"/>
  <c r="AB48" i="35"/>
  <c r="AB47" i="35"/>
  <c r="AB46" i="35"/>
  <c r="AB45" i="35"/>
  <c r="AB44" i="35"/>
  <c r="AB43" i="35"/>
  <c r="AB42" i="35"/>
  <c r="AB41" i="35"/>
  <c r="AB40" i="35"/>
  <c r="AB39" i="35"/>
  <c r="AB38" i="35"/>
  <c r="AB37" i="35"/>
  <c r="AB36" i="35"/>
  <c r="AB35" i="35"/>
  <c r="AB34" i="35"/>
  <c r="AB33" i="35"/>
  <c r="AB32" i="35"/>
  <c r="AB31" i="35"/>
  <c r="AB30" i="35"/>
  <c r="AB29" i="35"/>
  <c r="AB28" i="35"/>
  <c r="AB27" i="35"/>
  <c r="AB26" i="35"/>
  <c r="AB25" i="35"/>
  <c r="AB24" i="35"/>
  <c r="AB23" i="35"/>
  <c r="AB22" i="35"/>
  <c r="AB21" i="35"/>
  <c r="AB20" i="35"/>
  <c r="AB19" i="35"/>
  <c r="AB18" i="35"/>
  <c r="AB17" i="35"/>
  <c r="AB16" i="35"/>
  <c r="AB15" i="35"/>
  <c r="AB14" i="35"/>
  <c r="AB13" i="35"/>
  <c r="AB12" i="35"/>
  <c r="AB11" i="35"/>
  <c r="AB10" i="35"/>
  <c r="AB9" i="35"/>
  <c r="AB8" i="35"/>
  <c r="AB7" i="35"/>
  <c r="AB6" i="35"/>
  <c r="AA6" i="35"/>
  <c r="Z6" i="35"/>
  <c r="Y6" i="35"/>
  <c r="X6" i="35"/>
  <c r="W6" i="35"/>
  <c r="V6" i="35"/>
  <c r="AB5" i="35"/>
  <c r="AA5" i="35"/>
  <c r="Z5" i="35"/>
  <c r="Y5" i="35"/>
  <c r="X5" i="35"/>
  <c r="W5" i="35"/>
  <c r="V5" i="35"/>
  <c r="AB4" i="35"/>
  <c r="AA4" i="35"/>
  <c r="Z4" i="35"/>
  <c r="Y4" i="35"/>
  <c r="X4" i="35"/>
  <c r="W4" i="35"/>
  <c r="V4" i="35"/>
  <c r="AB3" i="35"/>
  <c r="AA3" i="35"/>
  <c r="Z3" i="35"/>
  <c r="Y3" i="35"/>
  <c r="X3" i="35"/>
  <c r="W3" i="35"/>
  <c r="V3" i="35"/>
  <c r="AB2" i="35"/>
  <c r="AA2" i="35"/>
  <c r="Z2" i="35"/>
  <c r="Y2" i="35"/>
  <c r="X2" i="35"/>
  <c r="W2" i="35"/>
  <c r="V2" i="35"/>
  <c r="AB5" i="34"/>
  <c r="AA5" i="34"/>
  <c r="Z5" i="34"/>
  <c r="Y5" i="34"/>
  <c r="X5" i="34"/>
  <c r="W5" i="34"/>
  <c r="V5" i="34"/>
  <c r="AB4" i="34"/>
  <c r="AA4" i="34"/>
  <c r="Z4" i="34"/>
  <c r="Y4" i="34"/>
  <c r="X4" i="34"/>
  <c r="W4" i="34"/>
  <c r="V4" i="34"/>
  <c r="AB3" i="34"/>
  <c r="AA3" i="34"/>
  <c r="Z3" i="34"/>
  <c r="Y3" i="34"/>
  <c r="X3" i="34"/>
  <c r="W3" i="34"/>
  <c r="V3" i="34"/>
  <c r="AB2" i="34"/>
  <c r="AA2" i="34"/>
  <c r="Z2" i="34"/>
  <c r="Y2" i="34"/>
  <c r="X2" i="34"/>
  <c r="W2" i="34"/>
  <c r="V2" i="34"/>
  <c r="V82" i="1"/>
  <c r="V81" i="1"/>
  <c r="V80" i="1"/>
  <c r="V79" i="1"/>
  <c r="V78" i="1"/>
  <c r="V77" i="1"/>
  <c r="V76" i="1"/>
  <c r="V71" i="1"/>
  <c r="V70" i="1"/>
  <c r="V69" i="1"/>
  <c r="V68" i="1"/>
  <c r="V67" i="1"/>
  <c r="V66" i="1"/>
  <c r="V65" i="1"/>
  <c r="V64" i="1"/>
  <c r="V63" i="1"/>
  <c r="V62" i="1"/>
  <c r="V61" i="1"/>
  <c r="V51" i="1"/>
  <c r="V50" i="1"/>
  <c r="V49" i="1"/>
  <c r="V48" i="1"/>
  <c r="V47" i="1"/>
  <c r="V46" i="1"/>
  <c r="V40" i="1"/>
  <c r="V39" i="1"/>
  <c r="V38" i="1"/>
  <c r="V37" i="1"/>
  <c r="V36" i="1"/>
  <c r="AB82" i="1"/>
  <c r="AB81" i="1"/>
  <c r="AB80" i="1"/>
  <c r="AB79" i="1"/>
  <c r="AB78" i="1"/>
  <c r="AB77" i="1"/>
  <c r="AB76" i="1"/>
  <c r="AB61" i="1"/>
  <c r="AB62" i="1"/>
  <c r="AB63" i="1"/>
  <c r="AB64" i="1"/>
  <c r="AB65" i="1"/>
  <c r="AB66" i="1"/>
  <c r="AB67" i="1"/>
  <c r="AB68" i="1"/>
  <c r="AB69" i="1"/>
  <c r="AB70" i="1"/>
  <c r="AB71" i="1"/>
  <c r="AB46" i="1"/>
  <c r="Y6" i="2"/>
  <c r="Y3" i="1"/>
  <c r="Y2" i="1"/>
  <c r="AB51" i="1"/>
  <c r="AB50" i="1"/>
  <c r="AB49" i="1"/>
  <c r="AB48" i="1"/>
  <c r="AB47" i="1"/>
  <c r="AB51" i="2"/>
  <c r="AB50" i="2"/>
  <c r="AB49" i="2"/>
  <c r="AB48" i="2"/>
  <c r="AB47" i="2"/>
  <c r="AB51" i="3"/>
  <c r="AB50" i="3"/>
  <c r="AB49" i="3"/>
  <c r="AB48" i="3"/>
  <c r="AB47" i="3"/>
  <c r="AB50" i="4"/>
  <c r="AB49" i="4"/>
  <c r="AB48" i="4"/>
  <c r="AB47" i="4"/>
  <c r="AB50" i="5"/>
  <c r="AB49" i="5"/>
  <c r="AB48" i="5"/>
  <c r="AB47" i="5"/>
  <c r="AB50" i="6"/>
  <c r="AB49" i="6"/>
  <c r="AB48" i="6"/>
  <c r="AB47" i="6"/>
  <c r="AB51" i="7"/>
  <c r="AB50" i="7"/>
  <c r="AB49" i="7"/>
  <c r="AB48" i="7"/>
  <c r="AB47" i="7"/>
  <c r="AB51" i="8"/>
  <c r="AB50" i="8"/>
  <c r="AB49" i="8"/>
  <c r="AB48" i="8"/>
  <c r="AB47" i="8"/>
  <c r="AB51" i="9"/>
  <c r="AB50" i="9"/>
  <c r="AB49" i="9"/>
  <c r="AB48" i="9"/>
  <c r="AB47" i="9"/>
  <c r="AB51" i="10"/>
  <c r="AB50" i="10"/>
  <c r="AB49" i="10"/>
  <c r="AB48" i="10"/>
  <c r="AB47" i="10"/>
  <c r="AB53" i="11"/>
  <c r="AB52" i="11"/>
  <c r="AB51" i="11"/>
  <c r="AB50" i="11"/>
  <c r="AB49" i="11"/>
  <c r="AB48" i="11"/>
  <c r="AB47" i="11"/>
  <c r="AB52" i="12"/>
  <c r="AB51" i="12"/>
  <c r="AB50" i="12"/>
  <c r="AB49" i="12"/>
  <c r="AB48" i="12"/>
  <c r="AB47" i="12"/>
  <c r="AB50" i="13"/>
  <c r="AB49" i="13"/>
  <c r="AB48" i="13"/>
  <c r="AB47" i="13"/>
  <c r="AB52" i="14"/>
  <c r="AB51" i="14"/>
  <c r="AB50" i="14"/>
  <c r="AB49" i="14"/>
  <c r="AB48" i="14"/>
  <c r="AB47" i="14"/>
  <c r="AB51" i="15"/>
  <c r="AB50" i="15"/>
  <c r="AB49" i="15"/>
  <c r="AB48" i="15"/>
  <c r="AB47" i="15"/>
  <c r="AB46" i="15"/>
  <c r="AB50" i="16"/>
  <c r="AB49" i="16"/>
  <c r="AB48" i="16"/>
  <c r="AB47" i="16"/>
  <c r="AB51" i="17"/>
  <c r="AB50" i="17"/>
  <c r="AB49" i="17"/>
  <c r="AB48" i="17"/>
  <c r="AB47" i="17"/>
  <c r="AB50" i="18"/>
  <c r="AB49" i="18"/>
  <c r="AB48" i="18"/>
  <c r="AB47" i="18"/>
  <c r="AB54" i="19"/>
  <c r="AB53" i="19"/>
  <c r="AB52" i="19"/>
  <c r="AB51" i="19"/>
  <c r="AB50" i="19"/>
  <c r="AB49" i="19"/>
  <c r="AB48" i="19"/>
  <c r="AB47" i="19"/>
  <c r="AB51" i="20"/>
  <c r="AB50" i="20"/>
  <c r="AB49" i="20"/>
  <c r="AB48" i="20"/>
  <c r="AB47" i="20"/>
  <c r="AB51" i="21"/>
  <c r="AB50" i="21"/>
  <c r="AB49" i="21"/>
  <c r="AB48" i="21"/>
  <c r="AB47" i="21"/>
  <c r="AB51" i="22"/>
  <c r="AB50" i="22"/>
  <c r="AB49" i="22"/>
  <c r="AB48" i="22"/>
  <c r="AB47" i="22"/>
  <c r="AB52" i="23"/>
  <c r="AB51" i="23"/>
  <c r="AB50" i="23"/>
  <c r="AB49" i="23"/>
  <c r="AB48" i="23"/>
  <c r="AB47" i="23"/>
  <c r="AB51" i="24"/>
  <c r="AB50" i="24"/>
  <c r="AB49" i="24"/>
  <c r="AB48" i="24"/>
  <c r="AB47" i="24"/>
  <c r="AB51" i="25"/>
  <c r="AB50" i="25"/>
  <c r="AB49" i="25"/>
  <c r="AB48" i="25"/>
  <c r="AB47" i="25"/>
  <c r="AB51" i="26"/>
  <c r="AB50" i="26"/>
  <c r="AB49" i="26"/>
  <c r="AB48" i="26"/>
  <c r="AB47" i="26"/>
  <c r="AB52" i="27"/>
  <c r="AB51" i="27"/>
  <c r="AB50" i="27"/>
  <c r="AB49" i="27"/>
  <c r="AB48" i="27"/>
  <c r="AB47" i="27"/>
  <c r="AB52" i="28"/>
  <c r="AB51" i="28"/>
  <c r="AB50" i="28"/>
  <c r="AB49" i="28"/>
  <c r="AB48" i="28"/>
  <c r="AB47" i="28"/>
  <c r="AB51" i="29"/>
  <c r="AB50" i="29"/>
  <c r="AB49" i="29"/>
  <c r="AB48" i="29"/>
  <c r="AB47" i="29"/>
  <c r="AB51" i="30"/>
  <c r="AB50" i="30"/>
  <c r="AB49" i="30"/>
  <c r="AB48" i="30"/>
  <c r="AB47" i="30"/>
  <c r="AB51" i="31"/>
  <c r="AB50" i="31"/>
  <c r="AB49" i="31"/>
  <c r="AB48" i="31"/>
  <c r="AB47" i="31"/>
  <c r="AB52" i="32"/>
  <c r="AB51" i="32"/>
  <c r="AB50" i="32"/>
  <c r="AB49" i="32"/>
  <c r="AB48" i="32"/>
  <c r="AB47" i="32"/>
  <c r="AB46" i="32"/>
  <c r="AB46" i="31"/>
  <c r="AB46" i="30"/>
  <c r="AB46" i="29"/>
  <c r="AB46" i="28"/>
  <c r="AB46" i="27"/>
  <c r="AB46" i="26"/>
  <c r="AB46" i="25"/>
  <c r="AB46" i="24"/>
  <c r="AB46" i="23"/>
  <c r="AB46" i="22"/>
  <c r="AB46" i="21"/>
  <c r="AB46" i="20"/>
  <c r="AB46" i="19"/>
  <c r="AB46" i="18"/>
  <c r="AB46" i="17"/>
  <c r="AB46" i="16"/>
  <c r="AB46" i="14"/>
  <c r="AB46" i="13"/>
  <c r="AB46" i="12"/>
  <c r="AB46" i="11"/>
  <c r="AB46" i="10"/>
  <c r="AB46" i="9"/>
  <c r="AB46" i="8"/>
  <c r="AB46" i="7"/>
  <c r="AB46" i="6"/>
  <c r="AB46" i="5"/>
  <c r="AB46" i="4"/>
  <c r="AB46" i="3"/>
  <c r="AB46" i="2"/>
  <c r="AB36" i="1"/>
  <c r="AB40" i="1"/>
  <c r="AB39" i="1"/>
  <c r="AB38" i="1"/>
  <c r="AB37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" i="6"/>
  <c r="Y3" i="6"/>
  <c r="Y4" i="6"/>
  <c r="Y5" i="6"/>
  <c r="Y6" i="6"/>
  <c r="Y7" i="6"/>
  <c r="Y8" i="6"/>
  <c r="Y9" i="6"/>
  <c r="Y10" i="6"/>
  <c r="Y11" i="6"/>
  <c r="Y12" i="6"/>
  <c r="Y13" i="6"/>
  <c r="Y14" i="6"/>
  <c r="Y15" i="6"/>
  <c r="Y16" i="6"/>
  <c r="Y17" i="6"/>
  <c r="Y18" i="6"/>
  <c r="Y19" i="6"/>
  <c r="Y20" i="6"/>
  <c r="Y21" i="6"/>
  <c r="Y22" i="6"/>
  <c r="Y23" i="6"/>
  <c r="Y2" i="5"/>
  <c r="Y3" i="5"/>
  <c r="Y4" i="5"/>
  <c r="Y5" i="5"/>
  <c r="Y6" i="5"/>
  <c r="Y7" i="5"/>
  <c r="Y8" i="5"/>
  <c r="Y9" i="5"/>
  <c r="Y10" i="5"/>
  <c r="Y11" i="5"/>
  <c r="Y12" i="5"/>
  <c r="Y13" i="5"/>
  <c r="Y14" i="5"/>
  <c r="Y15" i="5"/>
  <c r="Y16" i="5"/>
  <c r="Y17" i="5"/>
  <c r="Y18" i="5"/>
  <c r="Y19" i="5"/>
  <c r="Y2" i="4"/>
  <c r="Y3" i="4"/>
  <c r="Y4" i="4"/>
  <c r="Y5" i="4"/>
  <c r="Y6" i="4"/>
  <c r="Y7" i="4"/>
  <c r="Y8" i="4"/>
  <c r="Y9" i="4"/>
  <c r="Y10" i="4"/>
  <c r="Y11" i="4"/>
  <c r="Y12" i="4"/>
  <c r="Y13" i="4"/>
  <c r="Y14" i="4"/>
  <c r="Y15" i="4"/>
  <c r="Y16" i="4"/>
  <c r="Y17" i="4"/>
  <c r="Y18" i="4"/>
  <c r="Y19" i="4"/>
  <c r="Y20" i="4"/>
  <c r="Y21" i="4"/>
  <c r="Y22" i="4"/>
  <c r="Y2" i="3"/>
  <c r="Y3" i="3"/>
  <c r="Y4" i="3"/>
  <c r="Y5" i="3"/>
  <c r="Y6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" i="2"/>
  <c r="Y3" i="2"/>
  <c r="Y4" i="2"/>
  <c r="Y5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AA82" i="1"/>
  <c r="Z82" i="1"/>
  <c r="Y82" i="1"/>
  <c r="X82" i="1"/>
  <c r="AA81" i="1"/>
  <c r="Z81" i="1"/>
  <c r="Y81" i="1"/>
  <c r="X81" i="1"/>
  <c r="AA80" i="1"/>
  <c r="Z80" i="1"/>
  <c r="Y80" i="1"/>
  <c r="X80" i="1"/>
  <c r="AA79" i="1"/>
  <c r="Z79" i="1"/>
  <c r="Y79" i="1"/>
  <c r="X79" i="1"/>
  <c r="AA78" i="1"/>
  <c r="Z78" i="1"/>
  <c r="Y78" i="1"/>
  <c r="X78" i="1"/>
  <c r="AA77" i="1"/>
  <c r="Z77" i="1"/>
  <c r="Y77" i="1"/>
  <c r="X77" i="1"/>
  <c r="AA76" i="1"/>
  <c r="Z76" i="1"/>
  <c r="Y76" i="1"/>
  <c r="X76" i="1"/>
  <c r="AA71" i="1"/>
  <c r="Z71" i="1"/>
  <c r="Y71" i="1"/>
  <c r="X71" i="1"/>
  <c r="AA70" i="1"/>
  <c r="Z70" i="1"/>
  <c r="Y70" i="1"/>
  <c r="X70" i="1"/>
  <c r="AA69" i="1"/>
  <c r="Z69" i="1"/>
  <c r="Y69" i="1"/>
  <c r="X69" i="1"/>
  <c r="AA68" i="1"/>
  <c r="Z68" i="1"/>
  <c r="Y68" i="1"/>
  <c r="X68" i="1"/>
  <c r="AA67" i="1"/>
  <c r="Z67" i="1"/>
  <c r="Y67" i="1"/>
  <c r="X67" i="1"/>
  <c r="AA66" i="1"/>
  <c r="Z66" i="1"/>
  <c r="Y66" i="1"/>
  <c r="X66" i="1"/>
  <c r="AA65" i="1"/>
  <c r="Z65" i="1"/>
  <c r="Y65" i="1"/>
  <c r="X65" i="1"/>
  <c r="AA64" i="1"/>
  <c r="Z64" i="1"/>
  <c r="Y64" i="1"/>
  <c r="X64" i="1"/>
  <c r="AA63" i="1"/>
  <c r="Z63" i="1"/>
  <c r="Y63" i="1"/>
  <c r="X63" i="1"/>
  <c r="AA62" i="1"/>
  <c r="Z62" i="1"/>
  <c r="Y62" i="1"/>
  <c r="X62" i="1"/>
  <c r="AA61" i="1"/>
  <c r="Z61" i="1"/>
  <c r="Y61" i="1"/>
  <c r="X61" i="1"/>
  <c r="AA51" i="1"/>
  <c r="AA50" i="1"/>
  <c r="AA49" i="1"/>
  <c r="AA48" i="1"/>
  <c r="AA47" i="1"/>
  <c r="Z51" i="1"/>
  <c r="Z50" i="1"/>
  <c r="Z49" i="1"/>
  <c r="Z48" i="1"/>
  <c r="Z47" i="1"/>
  <c r="Z46" i="1"/>
  <c r="Y51" i="1"/>
  <c r="Y50" i="1"/>
  <c r="Y49" i="1"/>
  <c r="Y48" i="1"/>
  <c r="Y47" i="1"/>
  <c r="X51" i="1"/>
  <c r="X50" i="1"/>
  <c r="X49" i="1"/>
  <c r="X48" i="1"/>
  <c r="X47" i="1"/>
  <c r="AA46" i="1"/>
  <c r="Y46" i="1"/>
  <c r="X46" i="1"/>
  <c r="Y40" i="1"/>
  <c r="Y39" i="1"/>
  <c r="Y38" i="1"/>
  <c r="Y37" i="1"/>
  <c r="Y36" i="1"/>
  <c r="X40" i="1"/>
  <c r="X39" i="1"/>
  <c r="X38" i="1"/>
  <c r="X37" i="1"/>
  <c r="X36" i="1"/>
  <c r="AA40" i="1"/>
  <c r="AA39" i="1"/>
  <c r="AA38" i="1"/>
  <c r="AA37" i="1"/>
  <c r="AA36" i="1"/>
  <c r="Z40" i="1"/>
  <c r="Z39" i="1"/>
  <c r="Z38" i="1"/>
  <c r="Z37" i="1"/>
  <c r="Z36" i="1"/>
  <c r="A33" i="32"/>
  <c r="A33" i="31"/>
  <c r="A33" i="30"/>
  <c r="A33" i="29"/>
  <c r="A33" i="28"/>
  <c r="A33" i="27"/>
  <c r="A33" i="26"/>
  <c r="A33" i="25"/>
  <c r="A33" i="24"/>
  <c r="A33" i="23"/>
  <c r="A33" i="22"/>
  <c r="A33" i="21"/>
  <c r="A33" i="20"/>
  <c r="A33" i="19"/>
  <c r="A33" i="18"/>
  <c r="A33" i="17"/>
  <c r="A33" i="16"/>
  <c r="A33" i="15"/>
  <c r="A33" i="14"/>
  <c r="A33" i="13"/>
  <c r="A33" i="12"/>
  <c r="A33" i="11"/>
  <c r="A33" i="10"/>
  <c r="A33" i="9"/>
  <c r="A33" i="8"/>
  <c r="A33" i="7"/>
  <c r="A33" i="6"/>
  <c r="A33" i="5"/>
  <c r="A33" i="4"/>
  <c r="A33" i="3"/>
  <c r="A33" i="2"/>
  <c r="A33" i="1"/>
  <c r="L33" i="25"/>
  <c r="D33" i="10"/>
  <c r="C33" i="8"/>
  <c r="F33" i="12"/>
  <c r="G33" i="12"/>
  <c r="G33" i="26"/>
  <c r="C33" i="7"/>
  <c r="D33" i="14"/>
  <c r="L33" i="17"/>
  <c r="J33" i="24"/>
  <c r="L33" i="18"/>
  <c r="D33" i="9"/>
  <c r="F33" i="9"/>
  <c r="H33" i="27"/>
  <c r="L33" i="19"/>
  <c r="C33" i="11"/>
  <c r="E33" i="17"/>
  <c r="H33" i="7"/>
  <c r="J33" i="6"/>
  <c r="E33" i="11"/>
  <c r="J33" i="21"/>
  <c r="L33" i="5"/>
  <c r="D33" i="16"/>
  <c r="L33" i="3"/>
  <c r="H33" i="11"/>
  <c r="J33" i="2"/>
  <c r="E33" i="12"/>
  <c r="H33" i="5"/>
  <c r="C33" i="18"/>
  <c r="F33" i="2"/>
  <c r="E33" i="4"/>
  <c r="K33" i="20"/>
  <c r="D33" i="25"/>
  <c r="H33" i="3"/>
  <c r="C33" i="24"/>
  <c r="F33" i="14"/>
  <c r="G33" i="11"/>
  <c r="L33" i="7"/>
  <c r="L33" i="32"/>
  <c r="J33" i="14"/>
  <c r="G33" i="29"/>
  <c r="C33" i="15"/>
  <c r="D33" i="13"/>
  <c r="L33" i="23"/>
  <c r="C33" i="4"/>
  <c r="F33" i="4"/>
  <c r="D33" i="19"/>
  <c r="J33" i="18"/>
  <c r="D33" i="21"/>
  <c r="L33" i="9"/>
  <c r="K33" i="1"/>
  <c r="K33" i="24"/>
  <c r="H33" i="21"/>
  <c r="K33" i="14"/>
  <c r="L33" i="30"/>
  <c r="L33" i="6"/>
  <c r="E33" i="9"/>
  <c r="D33" i="27"/>
  <c r="D33" i="4"/>
  <c r="C33" i="5"/>
  <c r="E33" i="27"/>
  <c r="C33" i="27"/>
  <c r="H33" i="15"/>
  <c r="K33" i="19"/>
  <c r="K33" i="12"/>
  <c r="K33" i="25"/>
  <c r="L33" i="28"/>
  <c r="L33" i="8"/>
  <c r="H33" i="28"/>
  <c r="J33" i="31"/>
  <c r="G33" i="14"/>
  <c r="C33" i="26"/>
  <c r="K33" i="13"/>
  <c r="E33" i="7"/>
  <c r="J33" i="13"/>
  <c r="C33" i="13"/>
  <c r="J33" i="4"/>
  <c r="D33" i="11"/>
  <c r="G33" i="23"/>
  <c r="C33" i="19"/>
  <c r="E33" i="14"/>
  <c r="J33" i="12"/>
  <c r="G33" i="27"/>
  <c r="C33" i="29"/>
  <c r="J33" i="22"/>
  <c r="K33" i="23"/>
  <c r="G33" i="3"/>
  <c r="J33" i="15"/>
  <c r="K33" i="8"/>
  <c r="E33" i="31"/>
  <c r="J33" i="16"/>
  <c r="K33" i="10"/>
  <c r="E33" i="23"/>
  <c r="G33" i="2"/>
  <c r="G33" i="30"/>
  <c r="H33" i="10"/>
  <c r="F33" i="10"/>
  <c r="D33" i="30"/>
  <c r="L33" i="26"/>
  <c r="K33" i="6"/>
  <c r="K33" i="21"/>
  <c r="H33" i="4"/>
  <c r="J33" i="1"/>
  <c r="J33" i="23"/>
  <c r="D33" i="23"/>
  <c r="C33" i="16"/>
  <c r="G33" i="13"/>
  <c r="G33" i="5"/>
  <c r="C33" i="2"/>
  <c r="K33" i="11"/>
  <c r="F33" i="8"/>
  <c r="G33" i="21"/>
  <c r="F33" i="17"/>
  <c r="H33" i="25"/>
  <c r="F33" i="20"/>
  <c r="F33" i="15"/>
  <c r="G33" i="15"/>
  <c r="J33" i="19"/>
  <c r="E33" i="3"/>
  <c r="J33" i="29"/>
  <c r="K33" i="27"/>
  <c r="F33" i="31"/>
  <c r="F33" i="28"/>
  <c r="H33" i="6"/>
  <c r="H33" i="8"/>
  <c r="K33" i="30"/>
  <c r="E33" i="30"/>
  <c r="H33" i="17"/>
  <c r="D33" i="2"/>
  <c r="E33" i="26"/>
  <c r="J33" i="9"/>
  <c r="E33" i="25"/>
  <c r="E33" i="6"/>
  <c r="E33" i="28"/>
  <c r="K33" i="7"/>
  <c r="H33" i="12"/>
  <c r="K33" i="16"/>
  <c r="L33" i="15"/>
  <c r="E33" i="21"/>
  <c r="G33" i="20"/>
  <c r="H33" i="31"/>
  <c r="F33" i="30"/>
  <c r="H33" i="26"/>
  <c r="K33" i="15"/>
  <c r="G33" i="4"/>
  <c r="J33" i="8"/>
  <c r="D33" i="24"/>
  <c r="F33" i="26"/>
  <c r="E33" i="16"/>
  <c r="F33" i="21"/>
  <c r="E33" i="2"/>
  <c r="C33" i="30"/>
  <c r="J33" i="26"/>
  <c r="G33" i="31"/>
  <c r="G33" i="6"/>
  <c r="L33" i="21"/>
  <c r="F33" i="5"/>
  <c r="E33" i="19"/>
  <c r="L33" i="31"/>
  <c r="H33" i="2"/>
  <c r="D33" i="31"/>
  <c r="K33" i="4"/>
  <c r="G33" i="18"/>
  <c r="G33" i="1"/>
  <c r="C33" i="20"/>
  <c r="F33" i="29"/>
  <c r="H33" i="14"/>
  <c r="C33" i="31"/>
  <c r="F33" i="24"/>
  <c r="E33" i="8"/>
  <c r="L33" i="22"/>
  <c r="J33" i="11"/>
  <c r="J33" i="17"/>
  <c r="F33" i="11"/>
  <c r="E33" i="20"/>
  <c r="D33" i="8"/>
  <c r="J33" i="27"/>
  <c r="L33" i="24"/>
  <c r="L33" i="27"/>
  <c r="D33" i="12"/>
  <c r="D33" i="1"/>
  <c r="M31" i="1"/>
  <c r="L33" i="4"/>
  <c r="F33" i="6"/>
  <c r="H33" i="9"/>
  <c r="C33" i="9"/>
  <c r="L33" i="11"/>
  <c r="F33" i="22"/>
  <c r="C33" i="21"/>
  <c r="D33" i="22"/>
  <c r="H33" i="20"/>
  <c r="H33" i="18"/>
  <c r="J33" i="28"/>
  <c r="H33" i="1"/>
  <c r="L33" i="13"/>
  <c r="K33" i="5"/>
  <c r="C33" i="22"/>
  <c r="C33" i="14"/>
  <c r="L33" i="12"/>
  <c r="E33" i="1"/>
  <c r="G33" i="9"/>
  <c r="E33" i="24"/>
  <c r="H33" i="24"/>
  <c r="D33" i="3"/>
  <c r="D33" i="17"/>
  <c r="F33" i="27"/>
  <c r="D33" i="20"/>
  <c r="G33" i="22"/>
  <c r="L33" i="1"/>
  <c r="D33" i="18"/>
  <c r="K33" i="31"/>
  <c r="F33" i="16"/>
  <c r="E33" i="18"/>
  <c r="C33" i="10"/>
  <c r="C33" i="3"/>
  <c r="H33" i="23"/>
  <c r="E33" i="5"/>
  <c r="J33" i="20"/>
  <c r="J33" i="7"/>
  <c r="C33" i="12"/>
  <c r="G33" i="28"/>
  <c r="L33" i="10"/>
  <c r="E33" i="10"/>
  <c r="G33" i="10"/>
  <c r="F33" i="1"/>
  <c r="G33" i="25"/>
  <c r="E33" i="22"/>
  <c r="J33" i="3"/>
  <c r="K33" i="2"/>
  <c r="H33" i="29"/>
  <c r="F33" i="7"/>
  <c r="F33" i="3"/>
  <c r="E33" i="13"/>
  <c r="K33" i="26"/>
  <c r="G33" i="16"/>
  <c r="D33" i="5"/>
  <c r="K33" i="28"/>
  <c r="G33" i="19"/>
  <c r="K33" i="18"/>
  <c r="K33" i="9"/>
  <c r="C33" i="28"/>
  <c r="H33" i="13"/>
  <c r="C33" i="6"/>
  <c r="L33" i="20"/>
  <c r="E33" i="29"/>
  <c r="H33" i="22"/>
  <c r="F33" i="19"/>
  <c r="C33" i="23"/>
  <c r="L33" i="16"/>
  <c r="L33" i="29"/>
  <c r="F33" i="23"/>
  <c r="H33" i="16"/>
  <c r="C33" i="1"/>
  <c r="K33" i="29"/>
  <c r="H33" i="30"/>
  <c r="D33" i="7"/>
  <c r="L33" i="14"/>
  <c r="D33" i="6"/>
  <c r="D33" i="26"/>
  <c r="G33" i="24"/>
  <c r="G33" i="17"/>
  <c r="L33" i="2"/>
  <c r="J33" i="10"/>
  <c r="J33" i="5"/>
  <c r="G33" i="8"/>
  <c r="C33" i="25"/>
  <c r="E33" i="15"/>
  <c r="C33" i="17"/>
  <c r="J33" i="25"/>
  <c r="F33" i="25"/>
  <c r="F33" i="13"/>
  <c r="D33" i="29"/>
  <c r="K33" i="22"/>
  <c r="G33" i="7"/>
  <c r="F33" i="18"/>
  <c r="H33" i="19"/>
  <c r="J33" i="30"/>
  <c r="K33" i="17"/>
  <c r="D33" i="15"/>
  <c r="K33" i="3"/>
  <c r="D33" i="28"/>
  <c r="W78" i="1" l="1"/>
  <c r="W80" i="1"/>
  <c r="W77" i="1"/>
  <c r="W82" i="1"/>
  <c r="W79" i="1"/>
  <c r="W81" i="1"/>
  <c r="W76" i="1"/>
  <c r="W67" i="1"/>
  <c r="W69" i="1"/>
  <c r="W61" i="1"/>
  <c r="W68" i="1"/>
  <c r="W62" i="1"/>
  <c r="W64" i="1"/>
  <c r="W71" i="1"/>
  <c r="W63" i="1"/>
  <c r="W66" i="1"/>
  <c r="W70" i="1"/>
  <c r="W65" i="1"/>
  <c r="W46" i="1"/>
  <c r="W51" i="1"/>
  <c r="W48" i="1"/>
  <c r="W50" i="1"/>
  <c r="W49" i="1"/>
  <c r="W47" i="1"/>
  <c r="W40" i="1"/>
  <c r="W39" i="1"/>
  <c r="W38" i="1"/>
  <c r="W37" i="1"/>
  <c r="W36" i="1"/>
  <c r="B33" i="31"/>
  <c r="B33" i="30"/>
  <c r="B33" i="29"/>
  <c r="B33" i="28"/>
  <c r="B33" i="27"/>
  <c r="B33" i="26"/>
  <c r="B33" i="25"/>
  <c r="B33" i="24"/>
  <c r="B33" i="23"/>
  <c r="B33" i="22"/>
  <c r="B33" i="21"/>
  <c r="B33" i="20"/>
  <c r="B33" i="19"/>
  <c r="B33" i="18"/>
  <c r="B33" i="17"/>
  <c r="B33" i="16"/>
  <c r="B33" i="15"/>
  <c r="B33" i="14"/>
  <c r="B33" i="13"/>
  <c r="B33" i="12"/>
  <c r="B33" i="11"/>
  <c r="B33" i="10"/>
  <c r="B33" i="9"/>
  <c r="B33" i="8"/>
  <c r="B33" i="7"/>
  <c r="B33" i="6"/>
  <c r="B33" i="5"/>
  <c r="B33" i="4"/>
  <c r="B33" i="3"/>
  <c r="B33" i="2"/>
  <c r="B33" i="1"/>
  <c r="I33" i="1"/>
  <c r="H33" i="32"/>
  <c r="I33" i="13"/>
  <c r="I33" i="17"/>
  <c r="I33" i="26"/>
  <c r="I33" i="18"/>
  <c r="K33" i="32"/>
  <c r="C33" i="32"/>
  <c r="I33" i="4"/>
  <c r="I33" i="5"/>
  <c r="J33" i="32"/>
  <c r="I33" i="2"/>
  <c r="I33" i="6"/>
  <c r="F33" i="32"/>
  <c r="I33" i="31"/>
  <c r="I33" i="19"/>
  <c r="I33" i="29"/>
  <c r="I33" i="21"/>
  <c r="D33" i="32"/>
  <c r="I33" i="30"/>
  <c r="I33" i="20"/>
  <c r="I33" i="27"/>
  <c r="I33" i="3"/>
  <c r="I33" i="22"/>
  <c r="I33" i="9"/>
  <c r="I33" i="8"/>
  <c r="I33" i="14"/>
  <c r="E33" i="32"/>
  <c r="I33" i="12"/>
  <c r="I33" i="15"/>
  <c r="I33" i="23"/>
  <c r="G33" i="32"/>
  <c r="I33" i="10"/>
  <c r="I33" i="25"/>
  <c r="I33" i="28"/>
  <c r="I33" i="7"/>
  <c r="I33" i="16"/>
  <c r="I33" i="24"/>
  <c r="I33" i="11"/>
  <c r="B33" i="32" l="1"/>
  <c r="I33" i="32"/>
  <c r="M33" i="1"/>
</calcChain>
</file>

<file path=xl/sharedStrings.xml><?xml version="1.0" encoding="utf-8"?>
<sst xmlns="http://schemas.openxmlformats.org/spreadsheetml/2006/main" count="13855" uniqueCount="1762">
  <si>
    <t>player_name</t>
  </si>
  <si>
    <t>recent_team</t>
  </si>
  <si>
    <t>pos</t>
  </si>
  <si>
    <t>g</t>
  </si>
  <si>
    <t>p_att</t>
  </si>
  <si>
    <t>cmp</t>
  </si>
  <si>
    <t>p_yd</t>
  </si>
  <si>
    <t>p_td</t>
  </si>
  <si>
    <t>int</t>
  </si>
  <si>
    <t>car</t>
  </si>
  <si>
    <t>r_yd</t>
  </si>
  <si>
    <t>r_td</t>
  </si>
  <si>
    <t>tgt</t>
  </si>
  <si>
    <t>rec</t>
  </si>
  <si>
    <t>rec_yd</t>
  </si>
  <si>
    <t>rec_td</t>
  </si>
  <si>
    <t>fmb</t>
  </si>
  <si>
    <t>tp_c</t>
  </si>
  <si>
    <t>f_ppr</t>
  </si>
  <si>
    <t>tgt_share</t>
  </si>
  <si>
    <t>ypc</t>
  </si>
  <si>
    <t>ypr</t>
  </si>
  <si>
    <t>cmp_pct</t>
  </si>
  <si>
    <t>td_rate</t>
  </si>
  <si>
    <t>C.McCoy</t>
  </si>
  <si>
    <t>ARI</t>
  </si>
  <si>
    <t>QB</t>
  </si>
  <si>
    <t>D.Blough</t>
  </si>
  <si>
    <t>K.Murray</t>
  </si>
  <si>
    <t>T.McSorley</t>
  </si>
  <si>
    <t>C.Clement</t>
  </si>
  <si>
    <t>RB</t>
  </si>
  <si>
    <t>D.Williams</t>
  </si>
  <si>
    <t>E.Benjamin</t>
  </si>
  <si>
    <t>J.Conner</t>
  </si>
  <si>
    <t>K.Ingram</t>
  </si>
  <si>
    <t>T.Williams</t>
  </si>
  <si>
    <t>M.Williams</t>
  </si>
  <si>
    <t>TE</t>
  </si>
  <si>
    <t>S.Anderson</t>
  </si>
  <si>
    <t>T.McBride</t>
  </si>
  <si>
    <t>Z.Ertz</t>
  </si>
  <si>
    <t>A.Baccellia</t>
  </si>
  <si>
    <t>WR</t>
  </si>
  <si>
    <t>A.Green</t>
  </si>
  <si>
    <t>A.Isabella</t>
  </si>
  <si>
    <t>D.Hopkins</t>
  </si>
  <si>
    <t>G.Dortch</t>
  </si>
  <si>
    <t>M.Brown</t>
  </si>
  <si>
    <t>P.Cooper</t>
  </si>
  <si>
    <t>R.Anderson</t>
  </si>
  <si>
    <t>R.Moore</t>
  </si>
  <si>
    <t>team</t>
  </si>
  <si>
    <t>off_yd</t>
  </si>
  <si>
    <t>p_ff</t>
  </si>
  <si>
    <t>Name</t>
  </si>
  <si>
    <t>POS</t>
  </si>
  <si>
    <t>Age</t>
  </si>
  <si>
    <t>Exp</t>
  </si>
  <si>
    <t>College</t>
  </si>
  <si>
    <t>f_custom</t>
  </si>
  <si>
    <t>David Blough</t>
  </si>
  <si>
    <t>Purdue</t>
  </si>
  <si>
    <t>Jeff Driskel</t>
  </si>
  <si>
    <t>Louisiana Tech</t>
  </si>
  <si>
    <t>Colt McCoy</t>
  </si>
  <si>
    <t>Texas</t>
  </si>
  <si>
    <t>Kyler Murray</t>
  </si>
  <si>
    <t>Oklahoma</t>
  </si>
  <si>
    <t>Clayton Tune</t>
  </si>
  <si>
    <t>Houston</t>
  </si>
  <si>
    <t>Corey Clement</t>
  </si>
  <si>
    <t>Wisconsin</t>
  </si>
  <si>
    <t>James Conner</t>
  </si>
  <si>
    <t>Pittsburgh</t>
  </si>
  <si>
    <t>Emari Demercado</t>
  </si>
  <si>
    <t>TCU</t>
  </si>
  <si>
    <t>Keaontay Ingram</t>
  </si>
  <si>
    <t>USC</t>
  </si>
  <si>
    <t>Marlon Mack</t>
  </si>
  <si>
    <t>South Florida</t>
  </si>
  <si>
    <t>Ty'Son Williams</t>
  </si>
  <si>
    <t>BYU</t>
  </si>
  <si>
    <t>Daniel Arias</t>
  </si>
  <si>
    <t>Colorado</t>
  </si>
  <si>
    <t>Andre Baccellia</t>
  </si>
  <si>
    <t>Washington</t>
  </si>
  <si>
    <t>Marquise Brown</t>
  </si>
  <si>
    <t>Brian Cobbs</t>
  </si>
  <si>
    <t>Utah State</t>
  </si>
  <si>
    <t>Davion Davis</t>
  </si>
  <si>
    <t>Sam Houston State</t>
  </si>
  <si>
    <t>Kaden Davis</t>
  </si>
  <si>
    <t>--</t>
  </si>
  <si>
    <t>Greg Dortch</t>
  </si>
  <si>
    <t>Wake Forest</t>
  </si>
  <si>
    <t>Rondale Moore</t>
  </si>
  <si>
    <t>Zach Pascal</t>
  </si>
  <si>
    <t>Old Dominion</t>
  </si>
  <si>
    <t>Brandon Smith</t>
  </si>
  <si>
    <t>Iowa</t>
  </si>
  <si>
    <t>Michael Wilson</t>
  </si>
  <si>
    <t>Stanford</t>
  </si>
  <si>
    <t>Zach Ertz</t>
  </si>
  <si>
    <t>Joel Honigford</t>
  </si>
  <si>
    <t>Michigan</t>
  </si>
  <si>
    <t>Trey McBride</t>
  </si>
  <si>
    <t>Colorado State</t>
  </si>
  <si>
    <t>Bernhard Seikovits</t>
  </si>
  <si>
    <t>Geoff Swaim</t>
  </si>
  <si>
    <t>Noah Togiai</t>
  </si>
  <si>
    <t>Oregon State</t>
  </si>
  <si>
    <t>Blake Whiteheart</t>
  </si>
  <si>
    <t>K.Smith</t>
  </si>
  <si>
    <t>ATL</t>
  </si>
  <si>
    <t>FB</t>
  </si>
  <si>
    <t>D.Ridder</t>
  </si>
  <si>
    <t>M.Mariota</t>
  </si>
  <si>
    <t>A.Williams</t>
  </si>
  <si>
    <t>C.Huntley</t>
  </si>
  <si>
    <t>C.Patterson</t>
  </si>
  <si>
    <t>T.Allgeier</t>
  </si>
  <si>
    <t>A.Firkser</t>
  </si>
  <si>
    <t>F.Franks</t>
  </si>
  <si>
    <t>K.Pitts</t>
  </si>
  <si>
    <t>M.Pruitt</t>
  </si>
  <si>
    <t>P.Hesse</t>
  </si>
  <si>
    <t>B.Edwards</t>
  </si>
  <si>
    <t>D.Byrd</t>
  </si>
  <si>
    <t>D.London</t>
  </si>
  <si>
    <t>F.Darby</t>
  </si>
  <si>
    <t>J.Ali</t>
  </si>
  <si>
    <t>K.Hodge</t>
  </si>
  <si>
    <t>O.Zaccheaus</t>
  </si>
  <si>
    <t>Taylor Heinicke</t>
  </si>
  <si>
    <t>Desmond Ridder</t>
  </si>
  <si>
    <t>Cincinnati</t>
  </si>
  <si>
    <t>Logan Woodside</t>
  </si>
  <si>
    <t>Toledo</t>
  </si>
  <si>
    <t>Tyler Allgeier</t>
  </si>
  <si>
    <t>Godwin Igwebuike</t>
  </si>
  <si>
    <t>Northwestern</t>
  </si>
  <si>
    <t>Cordarrelle Patterson</t>
  </si>
  <si>
    <t>Tennessee</t>
  </si>
  <si>
    <t>Clint Ratkovich</t>
  </si>
  <si>
    <t>Northern Illinois</t>
  </si>
  <si>
    <t>Bijan Robinson</t>
  </si>
  <si>
    <t>Carlos Washington Jr.</t>
  </si>
  <si>
    <t>SE Louisiana</t>
  </si>
  <si>
    <t>Josh Ali</t>
  </si>
  <si>
    <t>Kentucky</t>
  </si>
  <si>
    <t>J.J. Arcega-Whiteside</t>
  </si>
  <si>
    <t>Slade Bolden</t>
  </si>
  <si>
    <t>Alabama</t>
  </si>
  <si>
    <t>Frank Darby</t>
  </si>
  <si>
    <t>Arizona State</t>
  </si>
  <si>
    <t>Keilahn Harris</t>
  </si>
  <si>
    <t>Oklahoma Baptist</t>
  </si>
  <si>
    <t>Penny Hart</t>
  </si>
  <si>
    <t>Georgia State</t>
  </si>
  <si>
    <t>KhaDarel Hodge</t>
  </si>
  <si>
    <t>Prairie View A&amp;M</t>
  </si>
  <si>
    <t>Mack Hollins</t>
  </si>
  <si>
    <t>North Carolina</t>
  </si>
  <si>
    <t>Drake London</t>
  </si>
  <si>
    <t>Xavier Malone</t>
  </si>
  <si>
    <t>Henderson State</t>
  </si>
  <si>
    <t>Scott Miller</t>
  </si>
  <si>
    <t>Bowling Green</t>
  </si>
  <si>
    <t>Mathew Sexton</t>
  </si>
  <si>
    <t>Eastern Michigan</t>
  </si>
  <si>
    <t>Tucker Fisk</t>
  </si>
  <si>
    <t>John FitzPatrick</t>
  </si>
  <si>
    <t>Georgia</t>
  </si>
  <si>
    <t>Feleipe Franks</t>
  </si>
  <si>
    <t>Arkansas</t>
  </si>
  <si>
    <t>Parker Hesse</t>
  </si>
  <si>
    <t>Kyle Pitts</t>
  </si>
  <si>
    <t>Florida</t>
  </si>
  <si>
    <t>MyCole Pruitt</t>
  </si>
  <si>
    <t>Southern Illinois</t>
  </si>
  <si>
    <t>Jonnu Smith</t>
  </si>
  <si>
    <t>Florida International</t>
  </si>
  <si>
    <t>P.Ricard</t>
  </si>
  <si>
    <t>BAL</t>
  </si>
  <si>
    <t>A.Brown</t>
  </si>
  <si>
    <t>L.Jackson</t>
  </si>
  <si>
    <t>T.Huntley</t>
  </si>
  <si>
    <t>G.Edwards</t>
  </si>
  <si>
    <t>J.Dobbins</t>
  </si>
  <si>
    <t>J.Hill</t>
  </si>
  <si>
    <t>K.Drake</t>
  </si>
  <si>
    <t>M.Davis</t>
  </si>
  <si>
    <t>C.Kolar</t>
  </si>
  <si>
    <t>I.Likely</t>
  </si>
  <si>
    <t>J.Oliver</t>
  </si>
  <si>
    <t>M.Andrews</t>
  </si>
  <si>
    <t>D.Duvernay</t>
  </si>
  <si>
    <t>D.Jackson</t>
  </si>
  <si>
    <t>D.Robinson</t>
  </si>
  <si>
    <t>J.Proche</t>
  </si>
  <si>
    <t>R.Bateman</t>
  </si>
  <si>
    <t>S.Watkins</t>
  </si>
  <si>
    <t>T.Wallace</t>
  </si>
  <si>
    <t>Anthony Brown</t>
  </si>
  <si>
    <t>Oregon</t>
  </si>
  <si>
    <t>Tyler Huntley</t>
  </si>
  <si>
    <t>Utah</t>
  </si>
  <si>
    <t>Lamar Jackson</t>
  </si>
  <si>
    <t>Louisville</t>
  </si>
  <si>
    <t>Josh Johnson</t>
  </si>
  <si>
    <t>San Diego</t>
  </si>
  <si>
    <t>J.K. Dobbins</t>
  </si>
  <si>
    <t>Ohio State</t>
  </si>
  <si>
    <t>Gus Edwards</t>
  </si>
  <si>
    <t>Rutgers</t>
  </si>
  <si>
    <t>Melvin Gordon III</t>
  </si>
  <si>
    <t>Justice Hill</t>
  </si>
  <si>
    <t>Oklahoma State</t>
  </si>
  <si>
    <t>Keaton Mitchell</t>
  </si>
  <si>
    <t>East Carolina</t>
  </si>
  <si>
    <t>Owen Wright</t>
  </si>
  <si>
    <t>Monmouth</t>
  </si>
  <si>
    <t>Nelson Agholor</t>
  </si>
  <si>
    <t>Rashod Bateman</t>
  </si>
  <si>
    <t>Minnesota</t>
  </si>
  <si>
    <t>Odell Beckham Jr.</t>
  </si>
  <si>
    <t>LSU</t>
  </si>
  <si>
    <t>Tarik Black</t>
  </si>
  <si>
    <t>Shemar Bridges</t>
  </si>
  <si>
    <t>Fort Valley State</t>
  </si>
  <si>
    <t>Dontay Demus Jr.</t>
  </si>
  <si>
    <t>Maryland</t>
  </si>
  <si>
    <t>Devin Duvernay</t>
  </si>
  <si>
    <t>Zay Flowers</t>
  </si>
  <si>
    <t>Boston College</t>
  </si>
  <si>
    <t>James Proche II</t>
  </si>
  <si>
    <t>SMU</t>
  </si>
  <si>
    <t>Sean Ryan</t>
  </si>
  <si>
    <t>Laquon Treadwell</t>
  </si>
  <si>
    <t>Ole Miss</t>
  </si>
  <si>
    <t>Tylan Wallace</t>
  </si>
  <si>
    <t>Mark Andrews</t>
  </si>
  <si>
    <t>Charlie Kolar</t>
  </si>
  <si>
    <t>Iowa State</t>
  </si>
  <si>
    <t>Isaiah Likely</t>
  </si>
  <si>
    <t>Coastal Carolina</t>
  </si>
  <si>
    <t>Travis Vokolek</t>
  </si>
  <si>
    <t>Nebraska</t>
  </si>
  <si>
    <t>R.Gilliam</t>
  </si>
  <si>
    <t>BUF</t>
  </si>
  <si>
    <t>C.Keenum</t>
  </si>
  <si>
    <t>J.Allen</t>
  </si>
  <si>
    <t>D.Johnson</t>
  </si>
  <si>
    <t>D.Singletary</t>
  </si>
  <si>
    <t>J.Cook</t>
  </si>
  <si>
    <t>N.Hines</t>
  </si>
  <si>
    <t>Z.Moss</t>
  </si>
  <si>
    <t>D.Knox</t>
  </si>
  <si>
    <t>Q.Morris</t>
  </si>
  <si>
    <t>T.Sweeney</t>
  </si>
  <si>
    <t>C.Beasley</t>
  </si>
  <si>
    <t>G.Davis</t>
  </si>
  <si>
    <t>I.Hodgins</t>
  </si>
  <si>
    <t>I.McKenzie</t>
  </si>
  <si>
    <t>J.Brown</t>
  </si>
  <si>
    <t>J.Crowder</t>
  </si>
  <si>
    <t>J.Kumerow</t>
  </si>
  <si>
    <t>K.Shakir</t>
  </si>
  <si>
    <t>S.Diggs</t>
  </si>
  <si>
    <t>T.Gentry</t>
  </si>
  <si>
    <t>Josh Allen</t>
  </si>
  <si>
    <t>Wyoming</t>
  </si>
  <si>
    <t>Kyle Allen</t>
  </si>
  <si>
    <t>Matt Barkley</t>
  </si>
  <si>
    <t>James Cook</t>
  </si>
  <si>
    <t>Darrynton Evans</t>
  </si>
  <si>
    <t>Appalachian State</t>
  </si>
  <si>
    <t>Damien Harris</t>
  </si>
  <si>
    <t>Jordan Mims</t>
  </si>
  <si>
    <t>Fresno State</t>
  </si>
  <si>
    <t>Latavius Murray</t>
  </si>
  <si>
    <t>UCF</t>
  </si>
  <si>
    <t>Marcell Ateman</t>
  </si>
  <si>
    <t>Isaiah Coulter</t>
  </si>
  <si>
    <t>Rhode Island</t>
  </si>
  <si>
    <t>Gabe Davis</t>
  </si>
  <si>
    <t>Stefon Diggs</t>
  </si>
  <si>
    <t>Deonte Harty</t>
  </si>
  <si>
    <t>Assumption</t>
  </si>
  <si>
    <t>Andy Isabella</t>
  </si>
  <si>
    <t>Massachusetts</t>
  </si>
  <si>
    <t>KeeSean Johnson</t>
  </si>
  <si>
    <t>Dezmon Patmon</t>
  </si>
  <si>
    <t>Washington State</t>
  </si>
  <si>
    <t>Khalil Shakir</t>
  </si>
  <si>
    <t>Boise State</t>
  </si>
  <si>
    <t>Tyrell Shavers</t>
  </si>
  <si>
    <t>Middle Tennessee</t>
  </si>
  <si>
    <t>Trent Sherfield</t>
  </si>
  <si>
    <t>Vanderbilt</t>
  </si>
  <si>
    <t>Justin Shorter</t>
  </si>
  <si>
    <t>Bryan Thompson</t>
  </si>
  <si>
    <t>Dalton Kincaid</t>
  </si>
  <si>
    <t>Dawson Knox</t>
  </si>
  <si>
    <t>Quintin Morris</t>
  </si>
  <si>
    <t>Jace Sternberger</t>
  </si>
  <si>
    <t>Texas A&amp;M</t>
  </si>
  <si>
    <t>Joel Wilson</t>
  </si>
  <si>
    <t>Central Michigan</t>
  </si>
  <si>
    <t>B.Mayfield</t>
  </si>
  <si>
    <t>CAR</t>
  </si>
  <si>
    <t>J.Eason</t>
  </si>
  <si>
    <t>P.Walker</t>
  </si>
  <si>
    <t>S.Darnold</t>
  </si>
  <si>
    <t>C.Hubbard</t>
  </si>
  <si>
    <t>C.McCaffrey</t>
  </si>
  <si>
    <t>D.Foreman</t>
  </si>
  <si>
    <t>R.Blackshear</t>
  </si>
  <si>
    <t>S.Brown</t>
  </si>
  <si>
    <t>G.Ricci</t>
  </si>
  <si>
    <t>I.Thomas</t>
  </si>
  <si>
    <t>S.Sullivan</t>
  </si>
  <si>
    <t>T.Tremble</t>
  </si>
  <si>
    <t>D.Moore</t>
  </si>
  <si>
    <t>L.Shenault</t>
  </si>
  <si>
    <t>S.Smith</t>
  </si>
  <si>
    <t>T.Marshall</t>
  </si>
  <si>
    <t>Matt Corral</t>
  </si>
  <si>
    <t>Andy Dalton</t>
  </si>
  <si>
    <t>Jake Luton</t>
  </si>
  <si>
    <t>Bryce Young</t>
  </si>
  <si>
    <t>Raheem Blackshear</t>
  </si>
  <si>
    <t>Virginia Tech</t>
  </si>
  <si>
    <t>Spencer Brown</t>
  </si>
  <si>
    <t>UAB</t>
  </si>
  <si>
    <t>Chuba Hubbard</t>
  </si>
  <si>
    <t>Camerun Peoples</t>
  </si>
  <si>
    <t>Miles Sanders</t>
  </si>
  <si>
    <t>Penn State</t>
  </si>
  <si>
    <t>Damiere Byrd</t>
  </si>
  <si>
    <t>South Carolina</t>
  </si>
  <si>
    <t>DJ Chark Jr.</t>
  </si>
  <si>
    <t>Gary Jennings</t>
  </si>
  <si>
    <t>West Virginia</t>
  </si>
  <si>
    <t>Terrace Marshall Jr.</t>
  </si>
  <si>
    <t>Jonathan Mingo</t>
  </si>
  <si>
    <t>C.J. Saunders</t>
  </si>
  <si>
    <t>Laviska Shenault Jr.</t>
  </si>
  <si>
    <t>Shi Smith</t>
  </si>
  <si>
    <t>Adam Thielen</t>
  </si>
  <si>
    <t>Minnesota State Moorhead</t>
  </si>
  <si>
    <t>Josh Vann</t>
  </si>
  <si>
    <t>Javon Wims</t>
  </si>
  <si>
    <t>Derek Wright</t>
  </si>
  <si>
    <t>Hayden Hurst</t>
  </si>
  <si>
    <t>Giovanni Ricci</t>
  </si>
  <si>
    <t>Western Michigan</t>
  </si>
  <si>
    <t>Stephen Sullivan</t>
  </si>
  <si>
    <t>Ian Thomas</t>
  </si>
  <si>
    <t>Indiana</t>
  </si>
  <si>
    <t>Tommy Tremble</t>
  </si>
  <si>
    <t>Notre Dame</t>
  </si>
  <si>
    <t>K.Blasingame</t>
  </si>
  <si>
    <t>CHI</t>
  </si>
  <si>
    <t>J.Fields</t>
  </si>
  <si>
    <t>N.Peterman</t>
  </si>
  <si>
    <t>T.Boyle</t>
  </si>
  <si>
    <t>T.Siemian</t>
  </si>
  <si>
    <t>D.Evans</t>
  </si>
  <si>
    <t>D.Montgomery</t>
  </si>
  <si>
    <t>K.Herbert</t>
  </si>
  <si>
    <t>T.Ebner</t>
  </si>
  <si>
    <t>C.Kmet</t>
  </si>
  <si>
    <t>J.Tonges</t>
  </si>
  <si>
    <t>R.Griffin</t>
  </si>
  <si>
    <t>T.Wesco</t>
  </si>
  <si>
    <t>B.Pringle</t>
  </si>
  <si>
    <t>C.Claypool</t>
  </si>
  <si>
    <t>D.Mooney</t>
  </si>
  <si>
    <t>D.Pettis</t>
  </si>
  <si>
    <t>E.St. Brown</t>
  </si>
  <si>
    <t>I.Smith-Marsette</t>
  </si>
  <si>
    <t>N.Harry</t>
  </si>
  <si>
    <t>N.Webster</t>
  </si>
  <si>
    <t>V.Jones</t>
  </si>
  <si>
    <t>Tyson Bagent</t>
  </si>
  <si>
    <t>Shepherd</t>
  </si>
  <si>
    <t>Justin Fields</t>
  </si>
  <si>
    <t>Nathan Peterman</t>
  </si>
  <si>
    <t>PJ Walker</t>
  </si>
  <si>
    <t>Temple</t>
  </si>
  <si>
    <t>Trestan Ebner</t>
  </si>
  <si>
    <t>Baylor</t>
  </si>
  <si>
    <t>D'Onta Foreman</t>
  </si>
  <si>
    <t>Khalil Herbert</t>
  </si>
  <si>
    <t>Travis Homer</t>
  </si>
  <si>
    <t>Miami</t>
  </si>
  <si>
    <t>Roschon Johnson</t>
  </si>
  <si>
    <t>Chase Claypool</t>
  </si>
  <si>
    <t>Isaiah Ford</t>
  </si>
  <si>
    <t>Daurice Fountain</t>
  </si>
  <si>
    <t>Northern Iowa</t>
  </si>
  <si>
    <t>Velus Jones Jr.</t>
  </si>
  <si>
    <t>Darnell Mooney</t>
  </si>
  <si>
    <t>Tulane</t>
  </si>
  <si>
    <t>DJ Moore</t>
  </si>
  <si>
    <t>Dante Pettis</t>
  </si>
  <si>
    <t>Joe Reed</t>
  </si>
  <si>
    <t>Virginia</t>
  </si>
  <si>
    <t>Tyler Scott</t>
  </si>
  <si>
    <t>Equanimeous St. Brown</t>
  </si>
  <si>
    <t>Nsimba Webster</t>
  </si>
  <si>
    <t>Eastern Washington</t>
  </si>
  <si>
    <t>Stephen Carlson</t>
  </si>
  <si>
    <t>Princeton</t>
  </si>
  <si>
    <t>Cole Kmet</t>
  </si>
  <si>
    <t>Marcedes Lewis</t>
  </si>
  <si>
    <t>UCLA</t>
  </si>
  <si>
    <t>Jared Pinkney</t>
  </si>
  <si>
    <t>Lachlan Pitts</t>
  </si>
  <si>
    <t>William &amp; Mary</t>
  </si>
  <si>
    <t>Robert Tonyan</t>
  </si>
  <si>
    <t>Indiana State</t>
  </si>
  <si>
    <t>B.Allen</t>
  </si>
  <si>
    <t>CIN</t>
  </si>
  <si>
    <t>J.Burrow</t>
  </si>
  <si>
    <t>C.Evans</t>
  </si>
  <si>
    <t>J.Mixon</t>
  </si>
  <si>
    <t>S.Perine</t>
  </si>
  <si>
    <t>D.Asiasi</t>
  </si>
  <si>
    <t>D.Sample</t>
  </si>
  <si>
    <t>H.Hurst</t>
  </si>
  <si>
    <t>M.Wilcox</t>
  </si>
  <si>
    <t>J.Chase</t>
  </si>
  <si>
    <t>M.Thomas</t>
  </si>
  <si>
    <t>S.Morgan</t>
  </si>
  <si>
    <t>T.Boyd</t>
  </si>
  <si>
    <t>T.Higgins</t>
  </si>
  <si>
    <t>T.Irwin</t>
  </si>
  <si>
    <t>T.Taylor</t>
  </si>
  <si>
    <t>Jake Browning</t>
  </si>
  <si>
    <t>Joe Burrow</t>
  </si>
  <si>
    <t>Trevor Siemian</t>
  </si>
  <si>
    <t>Reid Sinnett</t>
  </si>
  <si>
    <t>Chase Brown</t>
  </si>
  <si>
    <t>Illinois</t>
  </si>
  <si>
    <t>Chris Evans</t>
  </si>
  <si>
    <t>Joe Mixon</t>
  </si>
  <si>
    <t>Jacob Saylors</t>
  </si>
  <si>
    <t>East Tennessee State</t>
  </si>
  <si>
    <t>Calvin Tyler Jr.</t>
  </si>
  <si>
    <t>Trayveon Williams</t>
  </si>
  <si>
    <t>Tyler Boyd</t>
  </si>
  <si>
    <t>Malachi Carter</t>
  </si>
  <si>
    <t>Georgia Tech</t>
  </si>
  <si>
    <t>Ja'Marr Chase</t>
  </si>
  <si>
    <t>Tee Higgins</t>
  </si>
  <si>
    <t>Clemson</t>
  </si>
  <si>
    <t>Mac Hippenhammer</t>
  </si>
  <si>
    <t>Miami (OH)</t>
  </si>
  <si>
    <t>Andrei Iosivas</t>
  </si>
  <si>
    <t>Trenton Irwin</t>
  </si>
  <si>
    <t>Shedrick Jackson</t>
  </si>
  <si>
    <t>Auburn</t>
  </si>
  <si>
    <t>Charlie Jones</t>
  </si>
  <si>
    <t>Kwamie Lassiter II</t>
  </si>
  <si>
    <t>Kansas</t>
  </si>
  <si>
    <t>Stanley Morgan</t>
  </si>
  <si>
    <t>Trent Taylor</t>
  </si>
  <si>
    <t>Devin Asiasi</t>
  </si>
  <si>
    <t>Nick Bowers</t>
  </si>
  <si>
    <t>Tanner Hudson</t>
  </si>
  <si>
    <t>Southern Arkansas</t>
  </si>
  <si>
    <t>Drew Sample</t>
  </si>
  <si>
    <t>Irv Smith Jr.</t>
  </si>
  <si>
    <t>Christian Trahan</t>
  </si>
  <si>
    <t>Mitchell Wilcox</t>
  </si>
  <si>
    <t>D.Watson</t>
  </si>
  <si>
    <t>CLE</t>
  </si>
  <si>
    <t>J.Brissett</t>
  </si>
  <si>
    <t>D.Felton</t>
  </si>
  <si>
    <t>J.Ford</t>
  </si>
  <si>
    <t>K.Hunt</t>
  </si>
  <si>
    <t>N.Chubb</t>
  </si>
  <si>
    <t>D.Njoku</t>
  </si>
  <si>
    <t>H.Bryant</t>
  </si>
  <si>
    <t>M.Forristall</t>
  </si>
  <si>
    <t>P.Brown</t>
  </si>
  <si>
    <t>A.Cooper</t>
  </si>
  <si>
    <t>A.Schwartz</t>
  </si>
  <si>
    <t>D.Baldwin</t>
  </si>
  <si>
    <t>D.Bell</t>
  </si>
  <si>
    <t>D.Peoples-Jones</t>
  </si>
  <si>
    <t>M.Woods</t>
  </si>
  <si>
    <t>Joshua Dobbs</t>
  </si>
  <si>
    <t>Kellen Mond</t>
  </si>
  <si>
    <t>Dorian Thompson-Robinson</t>
  </si>
  <si>
    <t>Deshaun Watson</t>
  </si>
  <si>
    <t>Nick Chubb</t>
  </si>
  <si>
    <t>Demetric Felton Jr.</t>
  </si>
  <si>
    <t>Jerome Ford</t>
  </si>
  <si>
    <t>Hassan Hall</t>
  </si>
  <si>
    <t>John Kelly Jr.</t>
  </si>
  <si>
    <t>Jordan Wilkins</t>
  </si>
  <si>
    <t>David Bell</t>
  </si>
  <si>
    <t>Amari Cooper</t>
  </si>
  <si>
    <t>Jaelon Darden</t>
  </si>
  <si>
    <t>North Texas</t>
  </si>
  <si>
    <t>Marquise Goodwin</t>
  </si>
  <si>
    <t>Jakeem Grant Sr.</t>
  </si>
  <si>
    <t>Texas Tech</t>
  </si>
  <si>
    <t>Mike Harley Jr.</t>
  </si>
  <si>
    <t>Elijah Moore</t>
  </si>
  <si>
    <t>Donovan Peoples-Jones</t>
  </si>
  <si>
    <t>Anthony Schwartz</t>
  </si>
  <si>
    <t>Cedric Tillman</t>
  </si>
  <si>
    <t>Austin Watkins Jr.</t>
  </si>
  <si>
    <t>Jalen Wayne</t>
  </si>
  <si>
    <t>South Alabama</t>
  </si>
  <si>
    <t>Michael Woods II</t>
  </si>
  <si>
    <t>Jordan Akins</t>
  </si>
  <si>
    <t>Harrison Bryant</t>
  </si>
  <si>
    <t>Florida Atlantic</t>
  </si>
  <si>
    <t>Miller Forristall</t>
  </si>
  <si>
    <t>Thomas Greaney</t>
  </si>
  <si>
    <t>UAlbany</t>
  </si>
  <si>
    <t>Zaire Mitchell-Paden</t>
  </si>
  <si>
    <t>David Njoku</t>
  </si>
  <si>
    <t>C.Rush</t>
  </si>
  <si>
    <t>DAL</t>
  </si>
  <si>
    <t>D.Prescott</t>
  </si>
  <si>
    <t>E.Elliott</t>
  </si>
  <si>
    <t>T.Pollard</t>
  </si>
  <si>
    <t>D.Schultz</t>
  </si>
  <si>
    <t>J.Ferguson</t>
  </si>
  <si>
    <t>P.Hendershot</t>
  </si>
  <si>
    <t>S.McKeon</t>
  </si>
  <si>
    <t>C.Lamb</t>
  </si>
  <si>
    <t>D.Houston</t>
  </si>
  <si>
    <t>J.Tolbert</t>
  </si>
  <si>
    <t>J.Washington</t>
  </si>
  <si>
    <t>K.Turpin</t>
  </si>
  <si>
    <t>M.Gallup</t>
  </si>
  <si>
    <t>N.Brown</t>
  </si>
  <si>
    <t>S.Fehoko</t>
  </si>
  <si>
    <t>T.Hilton</t>
  </si>
  <si>
    <t>Will Grier</t>
  </si>
  <si>
    <t>Dak Prescott</t>
  </si>
  <si>
    <t>Mississippi State</t>
  </si>
  <si>
    <t>Cooper Rush</t>
  </si>
  <si>
    <t>Malik Davis</t>
  </si>
  <si>
    <t>Rico Dowdle</t>
  </si>
  <si>
    <t>Ronald Jones</t>
  </si>
  <si>
    <t>Hunter Luepke</t>
  </si>
  <si>
    <t>North Dakota State</t>
  </si>
  <si>
    <t>Tony Pollard</t>
  </si>
  <si>
    <t>Memphis</t>
  </si>
  <si>
    <t>Deuce Vaughn</t>
  </si>
  <si>
    <t>Kansas State</t>
  </si>
  <si>
    <t>Jose Barbon</t>
  </si>
  <si>
    <t>Jalen Brooks</t>
  </si>
  <si>
    <t>Brandin Cooks</t>
  </si>
  <si>
    <t>Dontario Drummond</t>
  </si>
  <si>
    <t>David Durden</t>
  </si>
  <si>
    <t>West Florida</t>
  </si>
  <si>
    <t>Simi Fehoko</t>
  </si>
  <si>
    <t>Michael Gallup</t>
  </si>
  <si>
    <t>Dennis Houston</t>
  </si>
  <si>
    <t>Western Illinois</t>
  </si>
  <si>
    <t>Tyron Johnson</t>
  </si>
  <si>
    <t>CeeDee Lamb</t>
  </si>
  <si>
    <t>Jalen Moreno-Cropper</t>
  </si>
  <si>
    <t>John Stephens Jr.</t>
  </si>
  <si>
    <t>Louisiana-Lafayette</t>
  </si>
  <si>
    <t>Jalen Tolbert</t>
  </si>
  <si>
    <t>KaVontae Turpin</t>
  </si>
  <si>
    <t>Princeton Fant</t>
  </si>
  <si>
    <t>Jake Ferguson</t>
  </si>
  <si>
    <t>Seth Green</t>
  </si>
  <si>
    <t>Peyton Hendershot</t>
  </si>
  <si>
    <t>Sean McKeon</t>
  </si>
  <si>
    <t>Luke Schoonmaker</t>
  </si>
  <si>
    <t>B.Rypien</t>
  </si>
  <si>
    <t>DEN</t>
  </si>
  <si>
    <t>R.Wilson</t>
  </si>
  <si>
    <t>C.Edmonds</t>
  </si>
  <si>
    <t>D.Ozigbo</t>
  </si>
  <si>
    <t>J.Williams</t>
  </si>
  <si>
    <t>L.Murray</t>
  </si>
  <si>
    <t>M.Boone</t>
  </si>
  <si>
    <t>M.Gordon</t>
  </si>
  <si>
    <t>M.Mack</t>
  </si>
  <si>
    <t>T.Badie</t>
  </si>
  <si>
    <t>A.Beck</t>
  </si>
  <si>
    <t>A.Okwuegbunam</t>
  </si>
  <si>
    <t>E.Saubert</t>
  </si>
  <si>
    <t>E.Tomlinson</t>
  </si>
  <si>
    <t>G.Dulcich</t>
  </si>
  <si>
    <t>B.Johnson</t>
  </si>
  <si>
    <t>C.Sutton</t>
  </si>
  <si>
    <t>F.Swain</t>
  </si>
  <si>
    <t>J.Jeudy</t>
  </si>
  <si>
    <t>J.Virgil</t>
  </si>
  <si>
    <t>K.Hamler</t>
  </si>
  <si>
    <t>K.Hinton</t>
  </si>
  <si>
    <t>M.Washington</t>
  </si>
  <si>
    <t>T.Cleveland</t>
  </si>
  <si>
    <t>Ben DiNucci</t>
  </si>
  <si>
    <t>James Madison</t>
  </si>
  <si>
    <t>Jarrett Stidham</t>
  </si>
  <si>
    <t>Russell Wilson</t>
  </si>
  <si>
    <t>Tyler Badie</t>
  </si>
  <si>
    <t>Missouri</t>
  </si>
  <si>
    <t>Tony Jones Jr.</t>
  </si>
  <si>
    <t>Jaleel McLaughlin</t>
  </si>
  <si>
    <t>Youngstown State</t>
  </si>
  <si>
    <t>Samaje Perine</t>
  </si>
  <si>
    <t>Dwayne Washington</t>
  </si>
  <si>
    <t>Javonte Williams</t>
  </si>
  <si>
    <t>Michael Bandy</t>
  </si>
  <si>
    <t>Marquez Callaway</t>
  </si>
  <si>
    <t>Taylor Grimes</t>
  </si>
  <si>
    <t>Incarnate Word</t>
  </si>
  <si>
    <t>Kendall Hinton</t>
  </si>
  <si>
    <t>Lil'Jordan Humphrey</t>
  </si>
  <si>
    <t>Jerry Jeudy</t>
  </si>
  <si>
    <t>Brandon Johnson</t>
  </si>
  <si>
    <t>J.J. Koski</t>
  </si>
  <si>
    <t>Cal Poly</t>
  </si>
  <si>
    <t>Marvin Mims Jr.</t>
  </si>
  <si>
    <t>Tim Patrick</t>
  </si>
  <si>
    <t>Courtland Sutton</t>
  </si>
  <si>
    <t>Jalen Virgil</t>
  </si>
  <si>
    <t>Montrell Washington</t>
  </si>
  <si>
    <t>Samford</t>
  </si>
  <si>
    <t>Nick Williams</t>
  </si>
  <si>
    <t>UNLV</t>
  </si>
  <si>
    <t>Nate Adkins</t>
  </si>
  <si>
    <t>Greg Dulcich</t>
  </si>
  <si>
    <t>Tommy Hudson</t>
  </si>
  <si>
    <t>Chris Manhertz</t>
  </si>
  <si>
    <t>Canisius</t>
  </si>
  <si>
    <t>Albert Okwuegbunam</t>
  </si>
  <si>
    <t>Adam Trautman</t>
  </si>
  <si>
    <t>Dayton</t>
  </si>
  <si>
    <t>J.Cabinda</t>
  </si>
  <si>
    <t>DET</t>
  </si>
  <si>
    <t>J.Goff</t>
  </si>
  <si>
    <t>N.Sudfeld</t>
  </si>
  <si>
    <t>C.Reynolds</t>
  </si>
  <si>
    <t>D.Swift</t>
  </si>
  <si>
    <t>J.Jackson</t>
  </si>
  <si>
    <t>B.Wright</t>
  </si>
  <si>
    <t>J.Mitchell</t>
  </si>
  <si>
    <t>S.Zylstra</t>
  </si>
  <si>
    <t>T.Hockenson</t>
  </si>
  <si>
    <t>A.St. Brown</t>
  </si>
  <si>
    <t>D.Chark</t>
  </si>
  <si>
    <t>J.Reynolds</t>
  </si>
  <si>
    <t>K.Raymond</t>
  </si>
  <si>
    <t>M.Alexander</t>
  </si>
  <si>
    <t>Q.Cephus</t>
  </si>
  <si>
    <t>T.Kennedy</t>
  </si>
  <si>
    <t>Teddy Bridgewater</t>
  </si>
  <si>
    <t>Jared Goff</t>
  </si>
  <si>
    <t>California</t>
  </si>
  <si>
    <t>Hendon Hooker</t>
  </si>
  <si>
    <t>Adrian Martinez</t>
  </si>
  <si>
    <t>Nate Sudfeld</t>
  </si>
  <si>
    <t>Jahmyr Gibbs</t>
  </si>
  <si>
    <t>Mohamed Ibrahim</t>
  </si>
  <si>
    <t>Justin Jackson</t>
  </si>
  <si>
    <t>Jermar Jefferson</t>
  </si>
  <si>
    <t>David Montgomery</t>
  </si>
  <si>
    <t>Devine Ozigbo</t>
  </si>
  <si>
    <t>Craig Reynolds</t>
  </si>
  <si>
    <t>Kutztown</t>
  </si>
  <si>
    <t>Benny Snell</t>
  </si>
  <si>
    <t>Maurice Alexander</t>
  </si>
  <si>
    <t>Trinity Benson</t>
  </si>
  <si>
    <t>East Central (OK)</t>
  </si>
  <si>
    <t>Chase Cota</t>
  </si>
  <si>
    <t>Avery Davis</t>
  </si>
  <si>
    <t>Dylan Drummond</t>
  </si>
  <si>
    <t>Antoine Green</t>
  </si>
  <si>
    <t>Marvin Jones Jr.</t>
  </si>
  <si>
    <t>Tom Kennedy</t>
  </si>
  <si>
    <t>Bryant University</t>
  </si>
  <si>
    <t>Denzel Mims</t>
  </si>
  <si>
    <t>Kalif Raymond</t>
  </si>
  <si>
    <t>Holy Cross</t>
  </si>
  <si>
    <t>Josh Reynolds</t>
  </si>
  <si>
    <t>Amon-Ra St. Brown</t>
  </si>
  <si>
    <t>Jameson Williams</t>
  </si>
  <si>
    <t>Darrell Daniels</t>
  </si>
  <si>
    <t>Daniel Helm</t>
  </si>
  <si>
    <t>Duke</t>
  </si>
  <si>
    <t>Sam LaPorta</t>
  </si>
  <si>
    <t>James Mitchell</t>
  </si>
  <si>
    <t>Brock Wright</t>
  </si>
  <si>
    <t>Shane Zylstra</t>
  </si>
  <si>
    <t>Minnesota State Mankato</t>
  </si>
  <si>
    <t>A.Rodgers</t>
  </si>
  <si>
    <t>GB</t>
  </si>
  <si>
    <t>J.Love</t>
  </si>
  <si>
    <t>A.Dillon</t>
  </si>
  <si>
    <t>A.Jones</t>
  </si>
  <si>
    <t>K.Hill</t>
  </si>
  <si>
    <t>P.Taylor</t>
  </si>
  <si>
    <t>J.Deguara</t>
  </si>
  <si>
    <t>M.Lewis</t>
  </si>
  <si>
    <t>R.Tonyan</t>
  </si>
  <si>
    <t>T.Davis</t>
  </si>
  <si>
    <t>A.Lazard</t>
  </si>
  <si>
    <t>C.Watson</t>
  </si>
  <si>
    <t>J.Winfree</t>
  </si>
  <si>
    <t>R.Cobb</t>
  </si>
  <si>
    <t>R.Doubs</t>
  </si>
  <si>
    <t>S.Toure</t>
  </si>
  <si>
    <t>Sean Clifford</t>
  </si>
  <si>
    <t>Jordan Love</t>
  </si>
  <si>
    <t>Alex McGough</t>
  </si>
  <si>
    <t>AJ Dillon</t>
  </si>
  <si>
    <t>Tyler Goodson</t>
  </si>
  <si>
    <t>Aaron Jones</t>
  </si>
  <si>
    <t>UTEP</t>
  </si>
  <si>
    <t>Nate McCrary</t>
  </si>
  <si>
    <t>Saginaw Valley</t>
  </si>
  <si>
    <t>Lew Nichols</t>
  </si>
  <si>
    <t>Patrick Taylor</t>
  </si>
  <si>
    <t>Emanuel Wilson</t>
  </si>
  <si>
    <t>Jadakis Bonds</t>
  </si>
  <si>
    <t>Hampton</t>
  </si>
  <si>
    <t>Cody Chrest</t>
  </si>
  <si>
    <t>Romeo Doubs</t>
  </si>
  <si>
    <t>Nevada</t>
  </si>
  <si>
    <t>Grant DuBose</t>
  </si>
  <si>
    <t>Charlotte</t>
  </si>
  <si>
    <t>Malik Heath</t>
  </si>
  <si>
    <t>Bo Melton</t>
  </si>
  <si>
    <t>Dre Miller</t>
  </si>
  <si>
    <t>Maine</t>
  </si>
  <si>
    <t>Jayden Reed</t>
  </si>
  <si>
    <t>Michigan State</t>
  </si>
  <si>
    <t>Samori Toure</t>
  </si>
  <si>
    <t>Christian Watson</t>
  </si>
  <si>
    <t>Duece Watts</t>
  </si>
  <si>
    <t>Dontayvion Wicks</t>
  </si>
  <si>
    <t>Austin Allen</t>
  </si>
  <si>
    <t>Tyler Davis</t>
  </si>
  <si>
    <t>Josiah Deguara</t>
  </si>
  <si>
    <t>Tucker Kraft</t>
  </si>
  <si>
    <t>South Dakota State</t>
  </si>
  <si>
    <t>Luke Musgrave</t>
  </si>
  <si>
    <t>T.Hairston</t>
  </si>
  <si>
    <t>HOU</t>
  </si>
  <si>
    <t>D.Mills</t>
  </si>
  <si>
    <t>J.Driskel</t>
  </si>
  <si>
    <t>K.Allen</t>
  </si>
  <si>
    <t>D.Ogunbowale</t>
  </si>
  <si>
    <t>D.Pierce</t>
  </si>
  <si>
    <t>R.Burkhead</t>
  </si>
  <si>
    <t>R.Freeman</t>
  </si>
  <si>
    <t>B.Jordan</t>
  </si>
  <si>
    <t>J.Akins</t>
  </si>
  <si>
    <t>M.Schreck</t>
  </si>
  <si>
    <t>O.Howard</t>
  </si>
  <si>
    <t>T.Quitoriano</t>
  </si>
  <si>
    <t>B.Cooks</t>
  </si>
  <si>
    <t>C.Conley</t>
  </si>
  <si>
    <t>C.Moore</t>
  </si>
  <si>
    <t>J.Camp</t>
  </si>
  <si>
    <t>N.Collins</t>
  </si>
  <si>
    <t>P.Dorsett</t>
  </si>
  <si>
    <t>T.Johnson</t>
  </si>
  <si>
    <t>Case Keenum</t>
  </si>
  <si>
    <t>Davis Mills</t>
  </si>
  <si>
    <t>E.J. Perry</t>
  </si>
  <si>
    <t>Brown</t>
  </si>
  <si>
    <t>C.J. Stroud</t>
  </si>
  <si>
    <t>Mike Boone</t>
  </si>
  <si>
    <t>Gerrid Doaks</t>
  </si>
  <si>
    <t>Dare Ogunbowale</t>
  </si>
  <si>
    <t>Dameon Pierce</t>
  </si>
  <si>
    <t>Devin Singletary</t>
  </si>
  <si>
    <t>Alex Bachman</t>
  </si>
  <si>
    <t>Noah Brown</t>
  </si>
  <si>
    <t>Jalen Camp</t>
  </si>
  <si>
    <t>Nico Collins</t>
  </si>
  <si>
    <t>Tank Dell</t>
  </si>
  <si>
    <t>Adam Humphries</t>
  </si>
  <si>
    <t>Xavier Hutchinson</t>
  </si>
  <si>
    <t>Johnny Johnson III</t>
  </si>
  <si>
    <t>Jesse Matthews</t>
  </si>
  <si>
    <t>San Diego State</t>
  </si>
  <si>
    <t>John Metchie III</t>
  </si>
  <si>
    <t>Steven Sims</t>
  </si>
  <si>
    <t>Jared Wayne</t>
  </si>
  <si>
    <t>Robert Woods</t>
  </si>
  <si>
    <t>Brevin Jordan</t>
  </si>
  <si>
    <t>Dalton Keene</t>
  </si>
  <si>
    <t>Jordan Murray</t>
  </si>
  <si>
    <t>Hawai'i'</t>
  </si>
  <si>
    <t>Teagan Quitoriano</t>
  </si>
  <si>
    <t>Mason Schreck</t>
  </si>
  <si>
    <t>Buffalo</t>
  </si>
  <si>
    <t>Dalton Schultz</t>
  </si>
  <si>
    <t>Eric Tomlinson</t>
  </si>
  <si>
    <t>Nick Vannett</t>
  </si>
  <si>
    <t>M.Ryan</t>
  </si>
  <si>
    <t>IND</t>
  </si>
  <si>
    <t>N.Foles</t>
  </si>
  <si>
    <t>S.Ehlinger</t>
  </si>
  <si>
    <t>J.Taylor</t>
  </si>
  <si>
    <t>J.Wilkins</t>
  </si>
  <si>
    <t>P.Lindsay</t>
  </si>
  <si>
    <t>J.Woods</t>
  </si>
  <si>
    <t>K.Granson</t>
  </si>
  <si>
    <t>M.Alie-Cox</t>
  </si>
  <si>
    <t>A.Dulin</t>
  </si>
  <si>
    <t>A.Pierce</t>
  </si>
  <si>
    <t>D.Patmon</t>
  </si>
  <si>
    <t>K.Coutee</t>
  </si>
  <si>
    <t>M.Pittman</t>
  </si>
  <si>
    <t>M.Strachan</t>
  </si>
  <si>
    <t>P.Campbell</t>
  </si>
  <si>
    <t>Sam Ehlinger</t>
  </si>
  <si>
    <t>Gardner Minshew</t>
  </si>
  <si>
    <t>Anthony Richardson</t>
  </si>
  <si>
    <t>Kenyan Drake</t>
  </si>
  <si>
    <t>Jake Funk</t>
  </si>
  <si>
    <t>Evan Hull</t>
  </si>
  <si>
    <t>Jason Huntley</t>
  </si>
  <si>
    <t>New Mexico State</t>
  </si>
  <si>
    <t>Deon Jackson</t>
  </si>
  <si>
    <t>Zack Moss</t>
  </si>
  <si>
    <t>Jonathan Taylor</t>
  </si>
  <si>
    <t>Tyler Adams</t>
  </si>
  <si>
    <t>Butler</t>
  </si>
  <si>
    <t>Kody Case</t>
  </si>
  <si>
    <t>Josh Downs</t>
  </si>
  <si>
    <t>Ashton Dulin</t>
  </si>
  <si>
    <t>Malone</t>
  </si>
  <si>
    <t>Isaiah McKenzie</t>
  </si>
  <si>
    <t>Breshad Perriman</t>
  </si>
  <si>
    <t>Alec Pierce</t>
  </si>
  <si>
    <t>Michael Pittman Jr.</t>
  </si>
  <si>
    <t>Amari Rodgers</t>
  </si>
  <si>
    <t>Vyncint Smith</t>
  </si>
  <si>
    <t>Limestone</t>
  </si>
  <si>
    <t>Mike Strachan</t>
  </si>
  <si>
    <t>University of Charleston (WV)</t>
  </si>
  <si>
    <t>Malik Turner</t>
  </si>
  <si>
    <t>Juwann Winfree</t>
  </si>
  <si>
    <t>Mo Alie-Cox</t>
  </si>
  <si>
    <t>VCU</t>
  </si>
  <si>
    <t>Pharaoh Brown</t>
  </si>
  <si>
    <t>Nick Eubanks</t>
  </si>
  <si>
    <t>Kylen Granson</t>
  </si>
  <si>
    <t>Michael Jacobson</t>
  </si>
  <si>
    <t>Will Mallory</t>
  </si>
  <si>
    <t>Andrew Ogletree</t>
  </si>
  <si>
    <t>Ricky Seals-Jones</t>
  </si>
  <si>
    <t>Jelani Woods</t>
  </si>
  <si>
    <t>C.Beathard</t>
  </si>
  <si>
    <t>JAX</t>
  </si>
  <si>
    <t>T.Lawrence</t>
  </si>
  <si>
    <t>J.Hasty</t>
  </si>
  <si>
    <t>J.Robinson</t>
  </si>
  <si>
    <t>S.Conner</t>
  </si>
  <si>
    <t>T.Etienne</t>
  </si>
  <si>
    <t>C.Manhertz</t>
  </si>
  <si>
    <t>D.Arnold</t>
  </si>
  <si>
    <t>E.Engram</t>
  </si>
  <si>
    <t>L.Farrell</t>
  </si>
  <si>
    <t>C.Kirk</t>
  </si>
  <si>
    <t>J.Agnew</t>
  </si>
  <si>
    <t>M.Jones</t>
  </si>
  <si>
    <t>T.Jones</t>
  </si>
  <si>
    <t>Z.Jones</t>
  </si>
  <si>
    <t>C.J. Beathard</t>
  </si>
  <si>
    <t>Trevor Lawrence</t>
  </si>
  <si>
    <t>Nathan Rourke</t>
  </si>
  <si>
    <t>Ohio</t>
  </si>
  <si>
    <t>Tank Bigsby</t>
  </si>
  <si>
    <t>Snoop Conner</t>
  </si>
  <si>
    <t>Travis Etienne Jr.</t>
  </si>
  <si>
    <t>JaMycal Hasty</t>
  </si>
  <si>
    <t>D'Ernest Johnson</t>
  </si>
  <si>
    <t>Qadree Ollison</t>
  </si>
  <si>
    <t>Jamal Agnew</t>
  </si>
  <si>
    <t>Kevin Austin Jr.</t>
  </si>
  <si>
    <t>Elijah Cooks</t>
  </si>
  <si>
    <t>San Jose State</t>
  </si>
  <si>
    <t>Jacob Harris</t>
  </si>
  <si>
    <t>Jaray Jenkins</t>
  </si>
  <si>
    <t>Tim Jones</t>
  </si>
  <si>
    <t>Southern Miss</t>
  </si>
  <si>
    <t>Zay Jones</t>
  </si>
  <si>
    <t>Christian Kirk</t>
  </si>
  <si>
    <t>Oliver Martin</t>
  </si>
  <si>
    <t>Kendric Pryor</t>
  </si>
  <si>
    <t>Calvin Ridley</t>
  </si>
  <si>
    <t>Parker Washington</t>
  </si>
  <si>
    <t>Seth Williams</t>
  </si>
  <si>
    <t>Evan Engram</t>
  </si>
  <si>
    <t>Luke Farrell</t>
  </si>
  <si>
    <t>Josh Pederson</t>
  </si>
  <si>
    <t>Louisiana-Monroe</t>
  </si>
  <si>
    <t>Gerrit Prince</t>
  </si>
  <si>
    <t>Sammis Reyes</t>
  </si>
  <si>
    <t>Loyola New Orleans</t>
  </si>
  <si>
    <t>Brenton Strange</t>
  </si>
  <si>
    <t>Leonard Taylor</t>
  </si>
  <si>
    <t>M.Burton</t>
  </si>
  <si>
    <t>KC</t>
  </si>
  <si>
    <t>C.Henne</t>
  </si>
  <si>
    <t>P.Mahomes</t>
  </si>
  <si>
    <t>C.Edwards-Helaire</t>
  </si>
  <si>
    <t>I.Pacheco</t>
  </si>
  <si>
    <t>J.McKinnon</t>
  </si>
  <si>
    <t>R.Jones</t>
  </si>
  <si>
    <t>B.Bell</t>
  </si>
  <si>
    <t>J.Fortson</t>
  </si>
  <si>
    <t>N.Gray</t>
  </si>
  <si>
    <t>T.Kelce</t>
  </si>
  <si>
    <t>J.Smith-Schuster</t>
  </si>
  <si>
    <t>J.Watson</t>
  </si>
  <si>
    <t>K.Toney</t>
  </si>
  <si>
    <t>M.Hardman</t>
  </si>
  <si>
    <t>M.Valdes-Scantling</t>
  </si>
  <si>
    <t>S.Moore</t>
  </si>
  <si>
    <t>Shane Buechele</t>
  </si>
  <si>
    <t>Blaine Gabbert</t>
  </si>
  <si>
    <t>Patrick Mahomes</t>
  </si>
  <si>
    <t>Chris Oladokun</t>
  </si>
  <si>
    <t>Clyde Edwards-Helaire</t>
  </si>
  <si>
    <t>Jerick McKinnon</t>
  </si>
  <si>
    <t>Georgia Southern</t>
  </si>
  <si>
    <t>Isiah Pacheco</t>
  </si>
  <si>
    <t>La'Mical Perine</t>
  </si>
  <si>
    <t>Deneric Prince</t>
  </si>
  <si>
    <t>Tulsa</t>
  </si>
  <si>
    <t>Kekoa Crawford</t>
  </si>
  <si>
    <t>Jerrion Ealy</t>
  </si>
  <si>
    <t>Ty Fryfogle</t>
  </si>
  <si>
    <t>Richie James</t>
  </si>
  <si>
    <t>Skyy Moore</t>
  </si>
  <si>
    <t>Cornell Powell</t>
  </si>
  <si>
    <t>Nikko Remigio</t>
  </si>
  <si>
    <t>Rashee Rice</t>
  </si>
  <si>
    <t>Justyn Ross</t>
  </si>
  <si>
    <t>Ty Scott</t>
  </si>
  <si>
    <t>Missouri State</t>
  </si>
  <si>
    <t>Ihmir Smith-Marsette</t>
  </si>
  <si>
    <t>Kadarius Toney</t>
  </si>
  <si>
    <t>Marquez Valdes-Scantling</t>
  </si>
  <si>
    <t>Justin Watson</t>
  </si>
  <si>
    <t>Pennsylvania</t>
  </si>
  <si>
    <t>Blake Bell</t>
  </si>
  <si>
    <t>Kendall Blanton</t>
  </si>
  <si>
    <t>Matt Bushman</t>
  </si>
  <si>
    <t>Jody Fortson</t>
  </si>
  <si>
    <t>Valdosta State</t>
  </si>
  <si>
    <t>Izaiah Gathings</t>
  </si>
  <si>
    <t>Noah Gray</t>
  </si>
  <si>
    <t>Travis Kelce</t>
  </si>
  <si>
    <t>C.Daniel</t>
  </si>
  <si>
    <t>LAC</t>
  </si>
  <si>
    <t>J.Herbert</t>
  </si>
  <si>
    <t>A.Ekeler</t>
  </si>
  <si>
    <t>I.Spiller</t>
  </si>
  <si>
    <t>J.Kelley</t>
  </si>
  <si>
    <t>L.Rountree</t>
  </si>
  <si>
    <t>S.Michel</t>
  </si>
  <si>
    <t>Z.Horvath</t>
  </si>
  <si>
    <t>D.Parham</t>
  </si>
  <si>
    <t>G.Everett</t>
  </si>
  <si>
    <t>R.Rodgers</t>
  </si>
  <si>
    <t>S.Smartt</t>
  </si>
  <si>
    <t>T.McKitty</t>
  </si>
  <si>
    <t>D.Carter</t>
  </si>
  <si>
    <t>J.Guyton</t>
  </si>
  <si>
    <t>J.Moore</t>
  </si>
  <si>
    <t>J.Palmer</t>
  </si>
  <si>
    <t>M.Bandy</t>
  </si>
  <si>
    <t>Max Duggan</t>
  </si>
  <si>
    <t>Justin Herbert</t>
  </si>
  <si>
    <t>Easton Stick</t>
  </si>
  <si>
    <t>Elijah Dotson</t>
  </si>
  <si>
    <t>Northern Colorado</t>
  </si>
  <si>
    <t>Austin Ekeler</t>
  </si>
  <si>
    <t>Western State</t>
  </si>
  <si>
    <t>Tyler Hoosman</t>
  </si>
  <si>
    <t>North Dakota</t>
  </si>
  <si>
    <t>Joshua Kelley</t>
  </si>
  <si>
    <t>Aaron Shampklin</t>
  </si>
  <si>
    <t>Harvard</t>
  </si>
  <si>
    <t>Isaiah Spiller</t>
  </si>
  <si>
    <t>Keenan Allen</t>
  </si>
  <si>
    <t>Terrell Bynum</t>
  </si>
  <si>
    <t>Derius Davis</t>
  </si>
  <si>
    <t>Keelan Doss</t>
  </si>
  <si>
    <t>UC Davis</t>
  </si>
  <si>
    <t>Jalen Guyton</t>
  </si>
  <si>
    <t>John Hightower</t>
  </si>
  <si>
    <t>Quentin Johnston</t>
  </si>
  <si>
    <t>Joshua Palmer</t>
  </si>
  <si>
    <t>Darrius Shepherd</t>
  </si>
  <si>
    <t>Mike Williams</t>
  </si>
  <si>
    <t>Pokey Wilson</t>
  </si>
  <si>
    <t>Florida State</t>
  </si>
  <si>
    <t>Milton Wright</t>
  </si>
  <si>
    <t>Gerald Everett</t>
  </si>
  <si>
    <t>Michael Ezeike</t>
  </si>
  <si>
    <t>Hunter Kampmoyer</t>
  </si>
  <si>
    <t>Tre' McKitty</t>
  </si>
  <si>
    <t>Donald Parham Jr.</t>
  </si>
  <si>
    <t>Stetson</t>
  </si>
  <si>
    <t>Stone Smartt</t>
  </si>
  <si>
    <t>LAR</t>
  </si>
  <si>
    <t>B.Perkins</t>
  </si>
  <si>
    <t>J.Wolford</t>
  </si>
  <si>
    <t>M.Stafford</t>
  </si>
  <si>
    <t>C.Akers</t>
  </si>
  <si>
    <t>D.Henderson</t>
  </si>
  <si>
    <t>K.Williams</t>
  </si>
  <si>
    <t>R.Rivers</t>
  </si>
  <si>
    <t>B.Hopkins</t>
  </si>
  <si>
    <t>K.Blanton</t>
  </si>
  <si>
    <t>T.Higbee</t>
  </si>
  <si>
    <t>A.Robinson</t>
  </si>
  <si>
    <t>A.Trammell</t>
  </si>
  <si>
    <t>B.Powell</t>
  </si>
  <si>
    <t>B.Skowronek</t>
  </si>
  <si>
    <t>C.Kupp</t>
  </si>
  <si>
    <t>J.Harris</t>
  </si>
  <si>
    <t>L.McCutcheon</t>
  </si>
  <si>
    <t>T.Atwell</t>
  </si>
  <si>
    <t>V.Jefferson</t>
  </si>
  <si>
    <t>Stetson Bennett</t>
  </si>
  <si>
    <t>Brett Rypien</t>
  </si>
  <si>
    <t>Matthew Stafford</t>
  </si>
  <si>
    <t>Dresser Winn</t>
  </si>
  <si>
    <t>UT Martin</t>
  </si>
  <si>
    <t>Cam Akers</t>
  </si>
  <si>
    <t>Zach Evans</t>
  </si>
  <si>
    <t>Royce Freeman</t>
  </si>
  <si>
    <t>Ronnie Rivers</t>
  </si>
  <si>
    <t>Kyren Williams</t>
  </si>
  <si>
    <t>Tutu Atwell</t>
  </si>
  <si>
    <t>Braxton Burmeister</t>
  </si>
  <si>
    <t>Tyler Hudson</t>
  </si>
  <si>
    <t>Van Jefferson</t>
  </si>
  <si>
    <t>Tyler Johnson</t>
  </si>
  <si>
    <t>Cooper Kupp</t>
  </si>
  <si>
    <t>Lance McCutcheon</t>
  </si>
  <si>
    <t>Montana State</t>
  </si>
  <si>
    <t>Puka Nacua</t>
  </si>
  <si>
    <t>Demarcus Robinson</t>
  </si>
  <si>
    <t>Ben Skowronek</t>
  </si>
  <si>
    <t>Xavier Smith</t>
  </si>
  <si>
    <t>Florida A&amp;M</t>
  </si>
  <si>
    <t>Austin Trammell</t>
  </si>
  <si>
    <t>Rice</t>
  </si>
  <si>
    <t>Davis Allen</t>
  </si>
  <si>
    <t>Tyler Higbee</t>
  </si>
  <si>
    <t>Western Kentucky</t>
  </si>
  <si>
    <t>Brycen Hopkins</t>
  </si>
  <si>
    <t>Nikola Kalinic</t>
  </si>
  <si>
    <t>Hunter Long</t>
  </si>
  <si>
    <t>Camren McDonald</t>
  </si>
  <si>
    <t>Christian Sims</t>
  </si>
  <si>
    <t>J.Johnson</t>
  </si>
  <si>
    <t>LV</t>
  </si>
  <si>
    <t>D.Carr</t>
  </si>
  <si>
    <t>J.Stidham</t>
  </si>
  <si>
    <t>A.Abdullah</t>
  </si>
  <si>
    <t>B.Bolden</t>
  </si>
  <si>
    <t>J.Jacobs</t>
  </si>
  <si>
    <t>Z.White</t>
  </si>
  <si>
    <t>D.Waller</t>
  </si>
  <si>
    <t>F.Moreau</t>
  </si>
  <si>
    <t>J.Horsted</t>
  </si>
  <si>
    <t>D.Adams</t>
  </si>
  <si>
    <t>D.Turner</t>
  </si>
  <si>
    <t>H.Renfrow</t>
  </si>
  <si>
    <t>K.Cole</t>
  </si>
  <si>
    <t>M.Hollins</t>
  </si>
  <si>
    <t>Chase Garbers</t>
  </si>
  <si>
    <t>Jimmy Garoppolo</t>
  </si>
  <si>
    <t>Eastern Illinois</t>
  </si>
  <si>
    <t>Brian Hoyer</t>
  </si>
  <si>
    <t>Aidan O'Connell</t>
  </si>
  <si>
    <t>Ameer Abdullah</t>
  </si>
  <si>
    <t>Brandon Bolden</t>
  </si>
  <si>
    <t>Brittain Brown</t>
  </si>
  <si>
    <t>Josh Jacobs</t>
  </si>
  <si>
    <t>Sincere McCormick</t>
  </si>
  <si>
    <t>UTSA</t>
  </si>
  <si>
    <t>Darwin Thompson</t>
  </si>
  <si>
    <t>Austin Walter</t>
  </si>
  <si>
    <t>Zamir White</t>
  </si>
  <si>
    <t>Damien Williams</t>
  </si>
  <si>
    <t>Davante Adams</t>
  </si>
  <si>
    <t>DeAndre Carter</t>
  </si>
  <si>
    <t>Sacramento State</t>
  </si>
  <si>
    <t>Keelan Cole Sr.</t>
  </si>
  <si>
    <t>Kentucky Wesleyan</t>
  </si>
  <si>
    <t>Phillip Dorsett</t>
  </si>
  <si>
    <t>Chris Lacy</t>
  </si>
  <si>
    <t>Jakobi Meyers</t>
  </si>
  <si>
    <t>NC State</t>
  </si>
  <si>
    <t>Hunter Renfrow</t>
  </si>
  <si>
    <t>Cam Sims</t>
  </si>
  <si>
    <t>Tre Tucker</t>
  </si>
  <si>
    <t>Kristian Wilkerson</t>
  </si>
  <si>
    <t>Southeast Missouri State</t>
  </si>
  <si>
    <t>Isaiah Zuber</t>
  </si>
  <si>
    <t>Cole Fotheringham</t>
  </si>
  <si>
    <t>Jacob Hollister</t>
  </si>
  <si>
    <t>Austin Hooper</t>
  </si>
  <si>
    <t>Jesper Horsted</t>
  </si>
  <si>
    <t>Michael Mayer</t>
  </si>
  <si>
    <t>John Samuel Shenker</t>
  </si>
  <si>
    <t>A.Ingold</t>
  </si>
  <si>
    <t>MIA</t>
  </si>
  <si>
    <t>S.Thompson</t>
  </si>
  <si>
    <t>T.Bridgewater</t>
  </si>
  <si>
    <t>T.Tagovailoa</t>
  </si>
  <si>
    <t>J.Wilson</t>
  </si>
  <si>
    <t>M.Gaskin</t>
  </si>
  <si>
    <t>R.Mostert</t>
  </si>
  <si>
    <t>S.Ahmed</t>
  </si>
  <si>
    <t>D.Smythe</t>
  </si>
  <si>
    <t>M.Gesicki</t>
  </si>
  <si>
    <t>B.Sanders</t>
  </si>
  <si>
    <t>C.Wilson</t>
  </si>
  <si>
    <t>E.Ezukanma</t>
  </si>
  <si>
    <t>J.Waddle</t>
  </si>
  <si>
    <t>R.Cracraft</t>
  </si>
  <si>
    <t>T.Conner</t>
  </si>
  <si>
    <t>T.Hill</t>
  </si>
  <si>
    <t>T.Sherfield</t>
  </si>
  <si>
    <t>Tua Tagovailoa</t>
  </si>
  <si>
    <t>Skylar Thompson</t>
  </si>
  <si>
    <t>Mike White</t>
  </si>
  <si>
    <t>De'Von Achane</t>
  </si>
  <si>
    <t>Salvon Ahmed</t>
  </si>
  <si>
    <t>Chris Brooks</t>
  </si>
  <si>
    <t>Myles Gaskin</t>
  </si>
  <si>
    <t>Raheem Mostert</t>
  </si>
  <si>
    <t>Jeff Wilson Jr.</t>
  </si>
  <si>
    <t>Braxton Berrios</t>
  </si>
  <si>
    <t>Robbie Chosen</t>
  </si>
  <si>
    <t>Chris Coleman</t>
  </si>
  <si>
    <t>Keke Coutee</t>
  </si>
  <si>
    <t>River Cracraft</t>
  </si>
  <si>
    <t>Daewood Davis</t>
  </si>
  <si>
    <t>Erik Ezukanma</t>
  </si>
  <si>
    <t>Tyreek Hill</t>
  </si>
  <si>
    <t>West Alabama</t>
  </si>
  <si>
    <t>Braylon Sanders</t>
  </si>
  <si>
    <t>Jaylen Waddle</t>
  </si>
  <si>
    <t>Cedrick Wilson Jr.</t>
  </si>
  <si>
    <t>Tanner Conner</t>
  </si>
  <si>
    <t>Idaho State</t>
  </si>
  <si>
    <t>Elijah Higgins</t>
  </si>
  <si>
    <t>Julian Hill</t>
  </si>
  <si>
    <t>Campbell</t>
  </si>
  <si>
    <t>Tyler Kroft</t>
  </si>
  <si>
    <t>Eric Saubert</t>
  </si>
  <si>
    <t>Drake</t>
  </si>
  <si>
    <t>Durham Smythe</t>
  </si>
  <si>
    <t>C.Ham</t>
  </si>
  <si>
    <t>MIN</t>
  </si>
  <si>
    <t>K.Cousins</t>
  </si>
  <si>
    <t>N.Mullens</t>
  </si>
  <si>
    <t>A.Mattison</t>
  </si>
  <si>
    <t>D.Cook</t>
  </si>
  <si>
    <t>K.Nwangwu</t>
  </si>
  <si>
    <t>T.Chandler</t>
  </si>
  <si>
    <t>B.Ellefson</t>
  </si>
  <si>
    <t>I.Smith</t>
  </si>
  <si>
    <t>J.Mundt</t>
  </si>
  <si>
    <t>A.Thielen</t>
  </si>
  <si>
    <t>J.Jefferson</t>
  </si>
  <si>
    <t>J.Nailor</t>
  </si>
  <si>
    <t>J.Reagor</t>
  </si>
  <si>
    <t>K.Osborn</t>
  </si>
  <si>
    <t>Kirk Cousins</t>
  </si>
  <si>
    <t>Jaren Hall</t>
  </si>
  <si>
    <t>Nick Mullens</t>
  </si>
  <si>
    <t>Ty Chandler</t>
  </si>
  <si>
    <t>Aaron Dykes</t>
  </si>
  <si>
    <t>Richmond</t>
  </si>
  <si>
    <t>Alexander Mattison</t>
  </si>
  <si>
    <t>DeWayne McBride</t>
  </si>
  <si>
    <t>Kene Nwangwu</t>
  </si>
  <si>
    <t>Abram Smith</t>
  </si>
  <si>
    <t>Jordan Addison</t>
  </si>
  <si>
    <t>Jacob Copeland</t>
  </si>
  <si>
    <t>N'Keal Harry</t>
  </si>
  <si>
    <t>Lucky Jackson</t>
  </si>
  <si>
    <t>Trishton Jackson</t>
  </si>
  <si>
    <t>Syracuse</t>
  </si>
  <si>
    <t>Justin Jefferson</t>
  </si>
  <si>
    <t>Garett Maag</t>
  </si>
  <si>
    <t>Jalen Nailor</t>
  </si>
  <si>
    <t>K.J. Osborn</t>
  </si>
  <si>
    <t>Brandon Powell</t>
  </si>
  <si>
    <t>Blake Proehl</t>
  </si>
  <si>
    <t>Jalen Reagor</t>
  </si>
  <si>
    <t>Thayer Thomas</t>
  </si>
  <si>
    <t>T.J. Hockenson</t>
  </si>
  <si>
    <t>Johnny Mundt</t>
  </si>
  <si>
    <t>Nick Muse</t>
  </si>
  <si>
    <t>Josh Oliver</t>
  </si>
  <si>
    <t>Ben Sims</t>
  </si>
  <si>
    <t>Colin Thompson</t>
  </si>
  <si>
    <t>B.Hoyer</t>
  </si>
  <si>
    <t>NE</t>
  </si>
  <si>
    <t>B.Zappe</t>
  </si>
  <si>
    <t>D.Harris</t>
  </si>
  <si>
    <t>K.Harris</t>
  </si>
  <si>
    <t>P.Strong</t>
  </si>
  <si>
    <t>R.Stevenson</t>
  </si>
  <si>
    <t>H.Henry</t>
  </si>
  <si>
    <t>J.Smith</t>
  </si>
  <si>
    <t>D.Parker</t>
  </si>
  <si>
    <t>J.Meyers</t>
  </si>
  <si>
    <t>K.Bourne</t>
  </si>
  <si>
    <t>L.Humphrey</t>
  </si>
  <si>
    <t>N.Agholor</t>
  </si>
  <si>
    <t>T.Montgomery</t>
  </si>
  <si>
    <t>T.Thornton</t>
  </si>
  <si>
    <t>Malik Cunningham</t>
  </si>
  <si>
    <t>Mac Jones</t>
  </si>
  <si>
    <t>Trace McSorley</t>
  </si>
  <si>
    <t>Bailey Zappe</t>
  </si>
  <si>
    <t>Ezekiel Elliott</t>
  </si>
  <si>
    <t>Kevin Harris</t>
  </si>
  <si>
    <t>CJ Marable</t>
  </si>
  <si>
    <t>Rhamondre Stevenson</t>
  </si>
  <si>
    <t>Pierre Strong Jr.</t>
  </si>
  <si>
    <t>J.J. Taylor</t>
  </si>
  <si>
    <t>Arizona</t>
  </si>
  <si>
    <t>Kendrick Bourne</t>
  </si>
  <si>
    <t>Kayshon Boutte</t>
  </si>
  <si>
    <t>Demario Douglas</t>
  </si>
  <si>
    <t>Liberty</t>
  </si>
  <si>
    <t>Jalen Hurd</t>
  </si>
  <si>
    <t>Ty Montgomery II</t>
  </si>
  <si>
    <t>Tre Nixon</t>
  </si>
  <si>
    <t>DeVante Parker</t>
  </si>
  <si>
    <t>Thyrick Pitts</t>
  </si>
  <si>
    <t>Delaware</t>
  </si>
  <si>
    <t>Matthew Slater</t>
  </si>
  <si>
    <t>JuJu Smith-Schuster</t>
  </si>
  <si>
    <t>Tyquan Thornton</t>
  </si>
  <si>
    <t>Raleigh Webb</t>
  </si>
  <si>
    <t>Citadel</t>
  </si>
  <si>
    <t>Anthony Firkser</t>
  </si>
  <si>
    <t>Mike Gesicki</t>
  </si>
  <si>
    <t>Hunter Henry</t>
  </si>
  <si>
    <t>Johnny Lumpkin</t>
  </si>
  <si>
    <t>Matt Sokol</t>
  </si>
  <si>
    <t>Scotty Washington</t>
  </si>
  <si>
    <t>A.Prentice</t>
  </si>
  <si>
    <t>NO</t>
  </si>
  <si>
    <t>A.Dalton</t>
  </si>
  <si>
    <t>J.Winston</t>
  </si>
  <si>
    <t>A.Kamara</t>
  </si>
  <si>
    <t>D.Washington</t>
  </si>
  <si>
    <t>J.Howard</t>
  </si>
  <si>
    <t>M.Ingram</t>
  </si>
  <si>
    <t>A.Trautman</t>
  </si>
  <si>
    <t>N.Vannett</t>
  </si>
  <si>
    <t>C.Olave</t>
  </si>
  <si>
    <t>D.Harty</t>
  </si>
  <si>
    <t>J.Landry</t>
  </si>
  <si>
    <t>K.Kirkwood</t>
  </si>
  <si>
    <t>K.White</t>
  </si>
  <si>
    <t>M.Callaway</t>
  </si>
  <si>
    <t>R.Shaheed</t>
  </si>
  <si>
    <t>T.Smith</t>
  </si>
  <si>
    <t>Derek Carr</t>
  </si>
  <si>
    <t>Jake Haener</t>
  </si>
  <si>
    <t>Jameis Winston</t>
  </si>
  <si>
    <t>Jake Bargas</t>
  </si>
  <si>
    <t>Eno Benjamin</t>
  </si>
  <si>
    <t>Alvin Kamara</t>
  </si>
  <si>
    <t>Ellis Merriweather</t>
  </si>
  <si>
    <t>Kendre Miller</t>
  </si>
  <si>
    <t>Darrel Williams</t>
  </si>
  <si>
    <t>Jamaal Williams</t>
  </si>
  <si>
    <t>Kawaan Baker</t>
  </si>
  <si>
    <t>Lynn Bowden</t>
  </si>
  <si>
    <t>Shaquan Davis</t>
  </si>
  <si>
    <t>South Carolina State</t>
  </si>
  <si>
    <t>Bryan Edwards</t>
  </si>
  <si>
    <t>Jontre Kirklin</t>
  </si>
  <si>
    <t>Keith Kirkwood</t>
  </si>
  <si>
    <t>Kirk Merritt</t>
  </si>
  <si>
    <t>Arkansas State</t>
  </si>
  <si>
    <t>Chris Olave</t>
  </si>
  <si>
    <t>A.T. Perry</t>
  </si>
  <si>
    <t>Rashid Shaheed</t>
  </si>
  <si>
    <t>Weber State</t>
  </si>
  <si>
    <t>Tre'Quan Smith</t>
  </si>
  <si>
    <t>Michael Thomas</t>
  </si>
  <si>
    <t>Jimmy Graham</t>
  </si>
  <si>
    <t>Taysom Hill</t>
  </si>
  <si>
    <t>J.P. Holtz</t>
  </si>
  <si>
    <t>Jesse James</t>
  </si>
  <si>
    <t>Juwan Johnson</t>
  </si>
  <si>
    <t>Lucas Krull</t>
  </si>
  <si>
    <t>Foster Moreau</t>
  </si>
  <si>
    <t>D.Jones</t>
  </si>
  <si>
    <t>NYG</t>
  </si>
  <si>
    <t>D.Webb</t>
  </si>
  <si>
    <t>G.Brightwell</t>
  </si>
  <si>
    <t>M.Breida</t>
  </si>
  <si>
    <t>S.Barkley</t>
  </si>
  <si>
    <t>C.Myarick</t>
  </si>
  <si>
    <t>D.Bellinger</t>
  </si>
  <si>
    <t>L.Cager</t>
  </si>
  <si>
    <t>T.Hudson</t>
  </si>
  <si>
    <t>D.Sills</t>
  </si>
  <si>
    <t>D.Slayton</t>
  </si>
  <si>
    <t>K.Golladay</t>
  </si>
  <si>
    <t>M.Johnson</t>
  </si>
  <si>
    <t>R.James</t>
  </si>
  <si>
    <t>S.Shepard</t>
  </si>
  <si>
    <t>W.Robinson</t>
  </si>
  <si>
    <t>Tommy DeVito</t>
  </si>
  <si>
    <t>Daniel Jones</t>
  </si>
  <si>
    <t>Tyrod Taylor</t>
  </si>
  <si>
    <t>Saquon Barkley</t>
  </si>
  <si>
    <t>Matt Breida</t>
  </si>
  <si>
    <t>Gary Brightwell</t>
  </si>
  <si>
    <t>Jashaun Corbin</t>
  </si>
  <si>
    <t>Eric Gray</t>
  </si>
  <si>
    <t>James Robinson</t>
  </si>
  <si>
    <t>Illinois State</t>
  </si>
  <si>
    <t>Cole Beasley</t>
  </si>
  <si>
    <t>Parris Campbell</t>
  </si>
  <si>
    <t>Jamison Crowder</t>
  </si>
  <si>
    <t>Bryce Ford-Wheaton</t>
  </si>
  <si>
    <t>Isaiah Hodgins</t>
  </si>
  <si>
    <t>Jalin Hyatt</t>
  </si>
  <si>
    <t>Collin Johnson</t>
  </si>
  <si>
    <t>Jaydon Mickens</t>
  </si>
  <si>
    <t>Kalil Pimpleton</t>
  </si>
  <si>
    <t>Wan'Dale Robinson</t>
  </si>
  <si>
    <t>Sterling Shepard</t>
  </si>
  <si>
    <t>David Sills V</t>
  </si>
  <si>
    <t>Darius Slayton</t>
  </si>
  <si>
    <t>Daniel Bellinger</t>
  </si>
  <si>
    <t>Lawrence Cager</t>
  </si>
  <si>
    <t>Ryan Jones</t>
  </si>
  <si>
    <t>Tommy Sweeney</t>
  </si>
  <si>
    <t>Darren Waller</t>
  </si>
  <si>
    <t>C.Streveler</t>
  </si>
  <si>
    <t>NYJ</t>
  </si>
  <si>
    <t>J.Flacco</t>
  </si>
  <si>
    <t>M.White</t>
  </si>
  <si>
    <t>Z.Wilson</t>
  </si>
  <si>
    <t>B.Hall</t>
  </si>
  <si>
    <t>M.Carter</t>
  </si>
  <si>
    <t>Z.Knight</t>
  </si>
  <si>
    <t>C.Uzomah</t>
  </si>
  <si>
    <t>J.Ruckert</t>
  </si>
  <si>
    <t>T.Conklin</t>
  </si>
  <si>
    <t>B.Berrios</t>
  </si>
  <si>
    <t>C.Davis</t>
  </si>
  <si>
    <t>D.Mims</t>
  </si>
  <si>
    <t>E.Moore</t>
  </si>
  <si>
    <t>G.Wilson</t>
  </si>
  <si>
    <t>Tim Boyle</t>
  </si>
  <si>
    <t>Eastern Kentucky</t>
  </si>
  <si>
    <t>Aaron Rodgers</t>
  </si>
  <si>
    <t>Zach Wilson</t>
  </si>
  <si>
    <t>Israel Abanikanda</t>
  </si>
  <si>
    <t>Michael Carter</t>
  </si>
  <si>
    <t>Dalvin Cook</t>
  </si>
  <si>
    <t>Travis Dye</t>
  </si>
  <si>
    <t>Breece Hall</t>
  </si>
  <si>
    <t>Zonovan Knight</t>
  </si>
  <si>
    <t>Jason Brownlee</t>
  </si>
  <si>
    <t>Irvin Charles</t>
  </si>
  <si>
    <t>Indiana-Pennsylvania</t>
  </si>
  <si>
    <t>Randall Cobb</t>
  </si>
  <si>
    <t>Corey Davis</t>
  </si>
  <si>
    <t>Alex Erickson</t>
  </si>
  <si>
    <t>Xavier Gipson</t>
  </si>
  <si>
    <t>Stephen F. Austin</t>
  </si>
  <si>
    <t>Mecole Hardman Jr.</t>
  </si>
  <si>
    <t>Jerome Kapp</t>
  </si>
  <si>
    <t>Allen Lazard</t>
  </si>
  <si>
    <t>T.J. Luther</t>
  </si>
  <si>
    <t>Gardner-Webb</t>
  </si>
  <si>
    <t>Malik Taylor</t>
  </si>
  <si>
    <t>Ferris State</t>
  </si>
  <si>
    <t>Garrett Wilson</t>
  </si>
  <si>
    <t>Tyler Conklin</t>
  </si>
  <si>
    <t>E.J. Jenkins</t>
  </si>
  <si>
    <t>Zack Kuntz</t>
  </si>
  <si>
    <t>Jeremy Ruckert</t>
  </si>
  <si>
    <t>C.J. Uzomah</t>
  </si>
  <si>
    <t>Kenny Yeboah</t>
  </si>
  <si>
    <t>G.Minshew</t>
  </si>
  <si>
    <t>PHI</t>
  </si>
  <si>
    <t>J.Hurts</t>
  </si>
  <si>
    <t>B.Scott</t>
  </si>
  <si>
    <t>K.Gainwell</t>
  </si>
  <si>
    <t>M.Sanders</t>
  </si>
  <si>
    <t>T.Sermon</t>
  </si>
  <si>
    <t>D.Goedert</t>
  </si>
  <si>
    <t>G.Calcaterra</t>
  </si>
  <si>
    <t>J.Stoll</t>
  </si>
  <si>
    <t>N.Togiai</t>
  </si>
  <si>
    <t>D.Smith</t>
  </si>
  <si>
    <t>Q.Watkins</t>
  </si>
  <si>
    <t>Z.Pascal</t>
  </si>
  <si>
    <t>Ian Book</t>
  </si>
  <si>
    <t>Jalen Hurts</t>
  </si>
  <si>
    <t>Marcus Mariota</t>
  </si>
  <si>
    <t>Tanner McKee</t>
  </si>
  <si>
    <t>Kennedy Brooks</t>
  </si>
  <si>
    <t>Kenneth Gainwell</t>
  </si>
  <si>
    <t>Rashaad Penny</t>
  </si>
  <si>
    <t>Boston Scott</t>
  </si>
  <si>
    <t>Trey Sermon</t>
  </si>
  <si>
    <t>D'Andre Swift</t>
  </si>
  <si>
    <t>Devon Allen</t>
  </si>
  <si>
    <t>A.J. Brown</t>
  </si>
  <si>
    <t>Deon Cain</t>
  </si>
  <si>
    <t>Tyrie Cleveland</t>
  </si>
  <si>
    <t>Britain Covey</t>
  </si>
  <si>
    <t>Jadon Haselwood</t>
  </si>
  <si>
    <t>Johnny King</t>
  </si>
  <si>
    <t>Joseph Ngata</t>
  </si>
  <si>
    <t>Charleston Rambo</t>
  </si>
  <si>
    <t>DeVonta Smith</t>
  </si>
  <si>
    <t>Greg Ward</t>
  </si>
  <si>
    <t>Quez Watkins</t>
  </si>
  <si>
    <t>Olamide Zaccheaus</t>
  </si>
  <si>
    <t>Dan Arnold</t>
  </si>
  <si>
    <t>Wisconsin- latteville</t>
  </si>
  <si>
    <t>Grant Calcaterra</t>
  </si>
  <si>
    <t>Dallas Goedert</t>
  </si>
  <si>
    <t>Tyree Jackson</t>
  </si>
  <si>
    <t>Brady Russell</t>
  </si>
  <si>
    <t>Jack Stoll</t>
  </si>
  <si>
    <t>D.Watt</t>
  </si>
  <si>
    <t>PIT</t>
  </si>
  <si>
    <t>K.Pickett</t>
  </si>
  <si>
    <t>M.Trubisky</t>
  </si>
  <si>
    <t>A.McFarland</t>
  </si>
  <si>
    <t>B.Snell</t>
  </si>
  <si>
    <t>J.Warren</t>
  </si>
  <si>
    <t>N.Harris</t>
  </si>
  <si>
    <t>C.Heyward</t>
  </si>
  <si>
    <t>P.Freiermuth</t>
  </si>
  <si>
    <t>Z.Gentry</t>
  </si>
  <si>
    <t>C.White</t>
  </si>
  <si>
    <t>G.Olszewski</t>
  </si>
  <si>
    <t>G.Pickens</t>
  </si>
  <si>
    <t>M.Boykin</t>
  </si>
  <si>
    <t>S.Sims</t>
  </si>
  <si>
    <t>Tanner Morgan</t>
  </si>
  <si>
    <t>Kenny Pickett</t>
  </si>
  <si>
    <t>Mason Rudolph</t>
  </si>
  <si>
    <t>Mitch Trubisky</t>
  </si>
  <si>
    <t>Greg Bell</t>
  </si>
  <si>
    <t>Alfonzo Graham</t>
  </si>
  <si>
    <t>Morgan State</t>
  </si>
  <si>
    <t>Darius Hagans</t>
  </si>
  <si>
    <t>Virginia State</t>
  </si>
  <si>
    <t>Najee Harris</t>
  </si>
  <si>
    <t>Anthony McFarland Jr.</t>
  </si>
  <si>
    <t>Xazavian Valladay</t>
  </si>
  <si>
    <t>Jaylen Warren</t>
  </si>
  <si>
    <t>Calvin Austin III</t>
  </si>
  <si>
    <t>Miles Boykin</t>
  </si>
  <si>
    <t>Hakeem Butler</t>
  </si>
  <si>
    <t>Jordan Byrd</t>
  </si>
  <si>
    <t>Dan Chisena</t>
  </si>
  <si>
    <t>Dez Fitzpatrick</t>
  </si>
  <si>
    <t>Diontae Johnson</t>
  </si>
  <si>
    <t>Gunner Olszewski</t>
  </si>
  <si>
    <t>Bemidji State</t>
  </si>
  <si>
    <t>George Pickens</t>
  </si>
  <si>
    <t>Allen Robinson II</t>
  </si>
  <si>
    <t>Cody White</t>
  </si>
  <si>
    <t>Pat Freiermuth</t>
  </si>
  <si>
    <t>Zach Gentry</t>
  </si>
  <si>
    <t>Connor Heyward</t>
  </si>
  <si>
    <t>Darnell Washington</t>
  </si>
  <si>
    <t>Rodney Williams</t>
  </si>
  <si>
    <t>G.Smith</t>
  </si>
  <si>
    <t>SEA</t>
  </si>
  <si>
    <t>D.Dallas</t>
  </si>
  <si>
    <t>G.Igwebuike</t>
  </si>
  <si>
    <t>K.Walker</t>
  </si>
  <si>
    <t>R.Penny</t>
  </si>
  <si>
    <t>T.Homer</t>
  </si>
  <si>
    <t>C.Parkinson</t>
  </si>
  <si>
    <t>N.Fant</t>
  </si>
  <si>
    <t>T.Mabry</t>
  </si>
  <si>
    <t>W.Dissly</t>
  </si>
  <si>
    <t>C.Johnson</t>
  </si>
  <si>
    <t>D.Eskridge</t>
  </si>
  <si>
    <t>D.Metcalf</t>
  </si>
  <si>
    <t>D.Young</t>
  </si>
  <si>
    <t>L.Treadwell</t>
  </si>
  <si>
    <t>M.Goodwin</t>
  </si>
  <si>
    <t>P.Hart</t>
  </si>
  <si>
    <t>T.Lockett</t>
  </si>
  <si>
    <t>Holton Ahlers</t>
  </si>
  <si>
    <t>Drew Lock</t>
  </si>
  <si>
    <t>Geno Smith</t>
  </si>
  <si>
    <t>Zach Charbonnet</t>
  </si>
  <si>
    <t>DeeJay Dallas</t>
  </si>
  <si>
    <t>Bryant Koback</t>
  </si>
  <si>
    <t>Kenny McIntosh</t>
  </si>
  <si>
    <t>Wayne Taulapapa</t>
  </si>
  <si>
    <t>SaRodorick Thompson Jr.</t>
  </si>
  <si>
    <t>Kenneth Walker III</t>
  </si>
  <si>
    <t>Jake Bobo</t>
  </si>
  <si>
    <t>Dee Eskridge</t>
  </si>
  <si>
    <t>John Hall</t>
  </si>
  <si>
    <t>Northwood (MI)</t>
  </si>
  <si>
    <t>Cade Johnson</t>
  </si>
  <si>
    <t>Matt Landers</t>
  </si>
  <si>
    <t>Tyjon Lindsey</t>
  </si>
  <si>
    <t>Tyler Lockett</t>
  </si>
  <si>
    <t>Justin Marshall</t>
  </si>
  <si>
    <t>DK Metcalf</t>
  </si>
  <si>
    <t>Jaxon Smith-Njigba</t>
  </si>
  <si>
    <t>Cody Thompson</t>
  </si>
  <si>
    <t>Easop Winston Jr.</t>
  </si>
  <si>
    <t>Dareke Young</t>
  </si>
  <si>
    <t>Lenoir-Rhyne</t>
  </si>
  <si>
    <t>Will Dissly</t>
  </si>
  <si>
    <t>Noah Fant</t>
  </si>
  <si>
    <t>Griffin Hebert</t>
  </si>
  <si>
    <t>Tyler Mabry</t>
  </si>
  <si>
    <t>Colby Parkinson</t>
  </si>
  <si>
    <t>K.Juszczyk</t>
  </si>
  <si>
    <t>SF</t>
  </si>
  <si>
    <t>B.Purdy</t>
  </si>
  <si>
    <t>J.Garoppolo</t>
  </si>
  <si>
    <t>T.Lance</t>
  </si>
  <si>
    <t>E.Mitchell</t>
  </si>
  <si>
    <t>J.Mason</t>
  </si>
  <si>
    <t>T.Coleman</t>
  </si>
  <si>
    <t>T.Davis-Price</t>
  </si>
  <si>
    <t>C.Woerner</t>
  </si>
  <si>
    <t>G.Kittle</t>
  </si>
  <si>
    <t>R.Dwelley</t>
  </si>
  <si>
    <t>T.Kroft</t>
  </si>
  <si>
    <t>B.Aiyuk</t>
  </si>
  <si>
    <t>D.Gray</t>
  </si>
  <si>
    <t>D.Samuel</t>
  </si>
  <si>
    <t>J.Jennings</t>
  </si>
  <si>
    <t>R.McCloud</t>
  </si>
  <si>
    <t>Brandon Allen</t>
  </si>
  <si>
    <t>Sam Darnold</t>
  </si>
  <si>
    <t>Trey Lance</t>
  </si>
  <si>
    <t>Brock Purdy</t>
  </si>
  <si>
    <t>Tyrion Davis-Price</t>
  </si>
  <si>
    <t>Khalan Laborn</t>
  </si>
  <si>
    <t>Marshall</t>
  </si>
  <si>
    <t>Jordan Mason</t>
  </si>
  <si>
    <t>Christian McCaffrey</t>
  </si>
  <si>
    <t>Jeremy McNichols</t>
  </si>
  <si>
    <t>Elijah Mitchell</t>
  </si>
  <si>
    <t>Brandon Aiyuk</t>
  </si>
  <si>
    <t>Ronnie Bell</t>
  </si>
  <si>
    <t>Chris Conley</t>
  </si>
  <si>
    <t>Danny Gray</t>
  </si>
  <si>
    <t>Jauan Jennings</t>
  </si>
  <si>
    <t>Tay Martin</t>
  </si>
  <si>
    <t>Ray-Ray McCloud III</t>
  </si>
  <si>
    <t>Dazz Newsome</t>
  </si>
  <si>
    <t>Deebo Samuel</t>
  </si>
  <si>
    <t>Willie Snead IV</t>
  </si>
  <si>
    <t>Ball State</t>
  </si>
  <si>
    <t>Isaiah Winstead</t>
  </si>
  <si>
    <t>Ross Dwelley</t>
  </si>
  <si>
    <t>Troy Fumagalli</t>
  </si>
  <si>
    <t>George Kittle</t>
  </si>
  <si>
    <t>Cameron Latu</t>
  </si>
  <si>
    <t>Brayden Willis</t>
  </si>
  <si>
    <t>Charlie Woerner</t>
  </si>
  <si>
    <t>B.Gabbert</t>
  </si>
  <si>
    <t>TB</t>
  </si>
  <si>
    <t>K.Trask</t>
  </si>
  <si>
    <t>T.Brady</t>
  </si>
  <si>
    <t>G.Bernard</t>
  </si>
  <si>
    <t>K.Vaughn</t>
  </si>
  <si>
    <t>L.Fournette</t>
  </si>
  <si>
    <t>R.White</t>
  </si>
  <si>
    <t>C.Brate</t>
  </si>
  <si>
    <t>C.Otton</t>
  </si>
  <si>
    <t>K.Kieft</t>
  </si>
  <si>
    <t>K.Rudolph</t>
  </si>
  <si>
    <t>B.Perriman</t>
  </si>
  <si>
    <t>C.Godwin</t>
  </si>
  <si>
    <t>D.Thompkins</t>
  </si>
  <si>
    <t>J.Darden</t>
  </si>
  <si>
    <t>J.Jones</t>
  </si>
  <si>
    <t>M.Evans</t>
  </si>
  <si>
    <t>R.Gage</t>
  </si>
  <si>
    <t>S.Miller</t>
  </si>
  <si>
    <t>Baker Mayfield</t>
  </si>
  <si>
    <t>Kyle Trask</t>
  </si>
  <si>
    <t>John Wolford</t>
  </si>
  <si>
    <t>Ronnie Brown</t>
  </si>
  <si>
    <t>Chase Edmonds</t>
  </si>
  <si>
    <t>Fordham</t>
  </si>
  <si>
    <t>Patrick Laird</t>
  </si>
  <si>
    <t>Sean Tucker</t>
  </si>
  <si>
    <t>Ke'Shawn Vaughn</t>
  </si>
  <si>
    <t>Rachaad White</t>
  </si>
  <si>
    <t>Taye Barber</t>
  </si>
  <si>
    <t>Mike Evans</t>
  </si>
  <si>
    <t>Russell Gage</t>
  </si>
  <si>
    <t>Kaylon Geiger</t>
  </si>
  <si>
    <t>Chris Godwin</t>
  </si>
  <si>
    <t>Rakim Jarrett</t>
  </si>
  <si>
    <t>Cephus Johnson III</t>
  </si>
  <si>
    <t>Ryan Miller</t>
  </si>
  <si>
    <t>Furman</t>
  </si>
  <si>
    <t>David Moore</t>
  </si>
  <si>
    <t>Trey Palmer</t>
  </si>
  <si>
    <t>Deven Thompkins</t>
  </si>
  <si>
    <t>Kade Warner</t>
  </si>
  <si>
    <t>Dominique Dafney</t>
  </si>
  <si>
    <t>Payne Durham</t>
  </si>
  <si>
    <t>Ko Kieft</t>
  </si>
  <si>
    <t>Cade Otton</t>
  </si>
  <si>
    <t>Tanner Taula</t>
  </si>
  <si>
    <t>David Wells</t>
  </si>
  <si>
    <t>J.Dobbs</t>
  </si>
  <si>
    <t>TEN</t>
  </si>
  <si>
    <t>M.Willis</t>
  </si>
  <si>
    <t>R.Tannehill</t>
  </si>
  <si>
    <t>D.Henry</t>
  </si>
  <si>
    <t>D.Hilliard</t>
  </si>
  <si>
    <t>H.Haskins</t>
  </si>
  <si>
    <t>J.Chestnut</t>
  </si>
  <si>
    <t>J.Ward</t>
  </si>
  <si>
    <t>A.Hooper</t>
  </si>
  <si>
    <t>C.Okonkwo</t>
  </si>
  <si>
    <t>G.Swaim</t>
  </si>
  <si>
    <t>C.Board</t>
  </si>
  <si>
    <t>C.Hollister</t>
  </si>
  <si>
    <t>J.Gordon</t>
  </si>
  <si>
    <t>K.Philips</t>
  </si>
  <si>
    <t>M.Kinsey</t>
  </si>
  <si>
    <t>N.Westbrook-Ikhine</t>
  </si>
  <si>
    <t>R.McMath</t>
  </si>
  <si>
    <t>R.Woods</t>
  </si>
  <si>
    <t>T.Burks</t>
  </si>
  <si>
    <t>Will Levis</t>
  </si>
  <si>
    <t>Ryan Tannehill</t>
  </si>
  <si>
    <t>Malik Willis</t>
  </si>
  <si>
    <t>Julius Chestnut</t>
  </si>
  <si>
    <t>Sacred Heart</t>
  </si>
  <si>
    <t>Hassan Haskins</t>
  </si>
  <si>
    <t>Derrick Henry</t>
  </si>
  <si>
    <t>Jacques Patrick</t>
  </si>
  <si>
    <t>Tyjae Spears</t>
  </si>
  <si>
    <t>Jonathan Ward</t>
  </si>
  <si>
    <t>Treylon Burks</t>
  </si>
  <si>
    <t>Colton Dowell</t>
  </si>
  <si>
    <t>Tre'Shaun Harrison</t>
  </si>
  <si>
    <t>Gavin Holmes</t>
  </si>
  <si>
    <t>DeAndre Hopkins</t>
  </si>
  <si>
    <t>Kearis Jackson</t>
  </si>
  <si>
    <t>Mason Kinsey</t>
  </si>
  <si>
    <t>Berry College</t>
  </si>
  <si>
    <t>Racey McMath</t>
  </si>
  <si>
    <t>Chris Moore</t>
  </si>
  <si>
    <t>Kyle Philips</t>
  </si>
  <si>
    <t>Reggie Roberson Jr.</t>
  </si>
  <si>
    <t>Nick Westbrook-Ikhine</t>
  </si>
  <si>
    <t>Alize Mack</t>
  </si>
  <si>
    <t>Thomas Odukoya</t>
  </si>
  <si>
    <t>Chigoziem Okonkwo</t>
  </si>
  <si>
    <t>Kevin Rader</t>
  </si>
  <si>
    <t>Justin Rigg</t>
  </si>
  <si>
    <t>Trevon Wesco</t>
  </si>
  <si>
    <t>Josh Whyle</t>
  </si>
  <si>
    <t>C.Wentz</t>
  </si>
  <si>
    <t>WAS</t>
  </si>
  <si>
    <t>S.Howell</t>
  </si>
  <si>
    <t>T.Heinicke</t>
  </si>
  <si>
    <t>A.Gibson</t>
  </si>
  <si>
    <t>B.Robinson</t>
  </si>
  <si>
    <t>J.McKissic</t>
  </si>
  <si>
    <t>J.Patterson</t>
  </si>
  <si>
    <t>R.Bonnafon</t>
  </si>
  <si>
    <t>A.Rogers</t>
  </si>
  <si>
    <t>C.Turner</t>
  </si>
  <si>
    <t>J.Bates</t>
  </si>
  <si>
    <t>L.Thomas</t>
  </si>
  <si>
    <t>C.Samuel</t>
  </si>
  <si>
    <t>C.Sims</t>
  </si>
  <si>
    <t>D.Brown</t>
  </si>
  <si>
    <t>D.Milne</t>
  </si>
  <si>
    <t>J.Dotson</t>
  </si>
  <si>
    <t>T.McLaurin</t>
  </si>
  <si>
    <t>Jacoby Brissett</t>
  </si>
  <si>
    <t>Jake Fromm</t>
  </si>
  <si>
    <t>Sam Howell</t>
  </si>
  <si>
    <t>Alex Armah</t>
  </si>
  <si>
    <t>West Georgia</t>
  </si>
  <si>
    <t>Antonio Gibson</t>
  </si>
  <si>
    <t>Derrick Gore</t>
  </si>
  <si>
    <t>Jaret Patterson</t>
  </si>
  <si>
    <t>Brian Robinson Jr.</t>
  </si>
  <si>
    <t>Chris Rodriguez Jr.</t>
  </si>
  <si>
    <t>Jonathan Williams</t>
  </si>
  <si>
    <t>Kazmeir Allen</t>
  </si>
  <si>
    <t>Zion Bowens</t>
  </si>
  <si>
    <t>Dyami Brown</t>
  </si>
  <si>
    <t>Jahan Dotson</t>
  </si>
  <si>
    <t>Marcus Kemp</t>
  </si>
  <si>
    <t>Kyric McGowan</t>
  </si>
  <si>
    <t>Terry McLaurin</t>
  </si>
  <si>
    <t>Dax Milne</t>
  </si>
  <si>
    <t>Byron Pringle</t>
  </si>
  <si>
    <t>Jalen Sample</t>
  </si>
  <si>
    <t>Curtis Samuel</t>
  </si>
  <si>
    <t>Mitchell Tinsley</t>
  </si>
  <si>
    <t>Brycen Tremayne</t>
  </si>
  <si>
    <t>John Bates</t>
  </si>
  <si>
    <t>Brandon Dillon</t>
  </si>
  <si>
    <t>Marian College</t>
  </si>
  <si>
    <t>Curtis Hodges</t>
  </si>
  <si>
    <t>Kaden Smith</t>
  </si>
  <si>
    <t>Logan Thomas</t>
  </si>
  <si>
    <t>Cole Turner</t>
  </si>
  <si>
    <t>Custom Scoring</t>
  </si>
  <si>
    <t>Pass_td</t>
  </si>
  <si>
    <t>Pass_yd</t>
  </si>
  <si>
    <t>Button 1</t>
  </si>
  <si>
    <t>Button 2</t>
  </si>
  <si>
    <t>Button 3</t>
  </si>
  <si>
    <t>Macros</t>
  </si>
  <si>
    <t>Combine into top 200</t>
  </si>
  <si>
    <t>Combine into top per position</t>
  </si>
  <si>
    <t>Save csv of all players?</t>
  </si>
  <si>
    <t>Add conditional formatting?</t>
  </si>
  <si>
    <t>Eventually make macros so I don’t have to put in equations manually</t>
  </si>
  <si>
    <t>Key</t>
  </si>
  <si>
    <t>Column1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</si>
</sst>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0066CC"/>
        <bgColor indexed="64"/>
      </patternFill>
    </fill>
    <fill>
      <patternFill patternType="solid">
        <fgColor rgb="FFCCDDFF"/>
        <bgColor indexed="64"/>
      </patternFill>
    </fill>
    <fill>
      <patternFill patternType="solid">
        <fgColor rgb="FFFFFFFF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/>
      <diagonal/>
    </border>
  </borders>
  <cellStyleXfs count="2">
    <xf numFmtId="0" fontId="0" fillId="0" borderId="0"/>
    <xf numFmtId="0" fontId="3" fillId="2" borderId="0" applyNumberFormat="0" applyBorder="0" applyAlignment="0" applyProtection="0"/>
  </cellStyleXfs>
  <cellXfs count="10">
    <xf numFmtId="0" fontId="0" fillId="0" borderId="0" xfId="0"/>
    <xf numFmtId="0" fontId="3" fillId="2" borderId="0" xfId="1"/>
    <xf numFmtId="0" fontId="0" fillId="3" borderId="0" xfId="0" applyFill="1"/>
    <xf numFmtId="0" fontId="0" fillId="4" borderId="0" xfId="0" applyFill="1"/>
    <xf numFmtId="0" fontId="0" fillId="5" borderId="0" xfId="0" applyFill="1"/>
    <xf numFmtId="0" fontId="1" fillId="4" borderId="1" xfId="0" applyFont="1" applyFill="1" applyBorder="1"/>
    <xf numFmtId="0" fontId="1" fillId="5" borderId="1" xfId="0" applyFont="1" applyFill="1" applyBorder="1"/>
    <xf numFmtId="0" fontId="4" fillId="3" borderId="2" xfId="0" applyFont="1" applyFill="1" applyBorder="1"/>
    <xf numFmtId="0" fontId="1" fillId="4" borderId="3" xfId="0" applyFont="1" applyFill="1" applyBorder="1"/>
    <xf numFmtId="0" fontId="1" fillId="5" borderId="3" xfId="0" applyFont="1" applyFill="1" applyBorder="1"/>
  </cellXfs>
  <cellStyles count="2">
    <cellStyle name="Good" xfId="1" builtinId="26"/>
    <cellStyle name="Normal" xfId="0" builtinId="0"/>
  </cellStyles>
  <dxfs count="57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border outline="0">
        <top style="thin">
          <color theme="1"/>
        </top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FF"/>
        </patternFill>
      </fill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66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border outline="0">
        <top style="thin">
          <color theme="1"/>
        </top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66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border outline="0">
        <top style="thin">
          <color theme="1"/>
        </top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66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border outline="0">
        <top style="thin">
          <color theme="1"/>
        </top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CDDFF"/>
        </patternFill>
      </fill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ARI_Table1" displayName="ARI_Table1" ref="A1:Y24" totalsRowShown="0" headerRowDxfId="5709" dataDxfId="5708">
  <autoFilter ref="A1:Y24" xr:uid="{00000000-0009-0000-0100-000003000000}"/>
  <tableColumns count="25">
    <tableColumn id="1" xr3:uid="{00000000-0010-0000-0000-000001000000}" name="player_name" dataDxfId="5707"/>
    <tableColumn id="2" xr3:uid="{00000000-0010-0000-0000-000002000000}" name="recent_team" dataDxfId="5706"/>
    <tableColumn id="3" xr3:uid="{00000000-0010-0000-0000-000003000000}" name="pos" dataDxfId="5705"/>
    <tableColumn id="4" xr3:uid="{00000000-0010-0000-0000-000004000000}" name="g" dataDxfId="5704"/>
    <tableColumn id="5" xr3:uid="{00000000-0010-0000-0000-000005000000}" name="p_att" dataDxfId="5703"/>
    <tableColumn id="6" xr3:uid="{00000000-0010-0000-0000-000006000000}" name="cmp" dataDxfId="5702"/>
    <tableColumn id="7" xr3:uid="{00000000-0010-0000-0000-000007000000}" name="p_yd" dataDxfId="5701"/>
    <tableColumn id="8" xr3:uid="{00000000-0010-0000-0000-000008000000}" name="p_td" dataDxfId="5700"/>
    <tableColumn id="9" xr3:uid="{00000000-0010-0000-0000-000009000000}" name="int" dataDxfId="5699"/>
    <tableColumn id="10" xr3:uid="{00000000-0010-0000-0000-00000A000000}" name="car" dataDxfId="5698"/>
    <tableColumn id="11" xr3:uid="{00000000-0010-0000-0000-00000B000000}" name="r_yd" dataDxfId="5697"/>
    <tableColumn id="12" xr3:uid="{00000000-0010-0000-0000-00000C000000}" name="r_td" dataDxfId="5696"/>
    <tableColumn id="13" xr3:uid="{00000000-0010-0000-0000-00000D000000}" name="tgt" dataDxfId="5695"/>
    <tableColumn id="14" xr3:uid="{00000000-0010-0000-0000-00000E000000}" name="rec" dataDxfId="5694"/>
    <tableColumn id="15" xr3:uid="{00000000-0010-0000-0000-00000F000000}" name="rec_yd" dataDxfId="5693"/>
    <tableColumn id="16" xr3:uid="{00000000-0010-0000-0000-000010000000}" name="rec_td" dataDxfId="5692"/>
    <tableColumn id="17" xr3:uid="{00000000-0010-0000-0000-000011000000}" name="fmb" dataDxfId="5691"/>
    <tableColumn id="18" xr3:uid="{00000000-0010-0000-0000-000012000000}" name="tp_c" dataDxfId="5690"/>
    <tableColumn id="19" xr3:uid="{00000000-0010-0000-0000-000013000000}" name="f_ppr" dataDxfId="5689"/>
    <tableColumn id="20" xr3:uid="{00000000-0010-0000-0000-000014000000}" name="tgt_share" dataDxfId="5688"/>
    <tableColumn id="21" xr3:uid="{00000000-0010-0000-0000-000015000000}" name="ypc" dataDxfId="5687"/>
    <tableColumn id="22" xr3:uid="{00000000-0010-0000-0000-000016000000}" name="ypr" dataDxfId="5686"/>
    <tableColumn id="23" xr3:uid="{00000000-0010-0000-0000-000017000000}" name="cmp_pct" dataDxfId="5685"/>
    <tableColumn id="24" xr3:uid="{00000000-0010-0000-0000-000018000000}" name="td_rate" dataDxfId="5684"/>
    <tableColumn id="25" xr3:uid="{9A2293DF-9BEC-4DDF-8C11-34E15C718222}" name="f_custom" dataDxfId="5683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ARI_Table2" displayName="ARI_Table2" ref="A30:M31" totalsRowShown="0" headerRowDxfId="5682" dataDxfId="5681">
  <autoFilter ref="A30:M31" xr:uid="{00000000-0009-0000-0100-000004000000}"/>
  <tableColumns count="13">
    <tableColumn id="1" xr3:uid="{00000000-0010-0000-0100-000001000000}" name="team" dataDxfId="5680"/>
    <tableColumn id="2" xr3:uid="{00000000-0010-0000-0100-000002000000}" name="off_yd" dataDxfId="5679"/>
    <tableColumn id="3" xr3:uid="{00000000-0010-0000-0100-000003000000}" name="p_yd" dataDxfId="5678"/>
    <tableColumn id="4" xr3:uid="{00000000-0010-0000-0100-000004000000}" name="car" dataDxfId="5677"/>
    <tableColumn id="5" xr3:uid="{00000000-0010-0000-0100-000005000000}" name="r_yd" dataDxfId="5676"/>
    <tableColumn id="6" xr3:uid="{00000000-0010-0000-0100-000006000000}" name="r_td" dataDxfId="5675"/>
    <tableColumn id="7" xr3:uid="{00000000-0010-0000-0100-000007000000}" name="p_ff" dataDxfId="5674"/>
    <tableColumn id="8" xr3:uid="{00000000-0010-0000-0100-000008000000}" name="p_att" dataDxfId="5673"/>
    <tableColumn id="9" xr3:uid="{00000000-0010-0000-0100-000009000000}" name="cmp_pct" dataDxfId="5672"/>
    <tableColumn id="10" xr3:uid="{00000000-0010-0000-0100-00000A000000}" name="p_td" dataDxfId="5671"/>
    <tableColumn id="11" xr3:uid="{00000000-0010-0000-0100-00000B000000}" name="int" dataDxfId="5670"/>
    <tableColumn id="12" xr3:uid="{00000000-0010-0000-0100-00000C000000}" name="fmb" dataDxfId="5669"/>
    <tableColumn id="13" xr3:uid="{70EB3C8F-0505-4269-B3EA-A8A377387034}" name="f_custom" dataDxfId="5668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ARI_Table3" displayName="ARI_Table3" ref="A32:M33" totalsRowShown="0" headerRowDxfId="5667" dataDxfId="5666">
  <autoFilter ref="A32:M33" xr:uid="{00000000-0009-0000-0100-000005000000}"/>
  <tableColumns count="13">
    <tableColumn id="1" xr3:uid="{00000000-0010-0000-0200-000001000000}" name="team" dataDxfId="5665">
      <calculatedColumnFormula>A31</calculatedColumnFormula>
    </tableColumn>
    <tableColumn id="2" xr3:uid="{00000000-0010-0000-0200-000002000000}" name="off_yd" dataDxfId="5664">
      <calculatedColumnFormula>C33 + E33</calculatedColumnFormula>
    </tableColumn>
    <tableColumn id="3" xr3:uid="{00000000-0010-0000-0200-000003000000}" name="p_yd" dataDxfId="5663">
      <calculatedColumnFormula>SUM(INDIRECT(A33 &amp; "_Table4[[#All],[p_yd]]"))</calculatedColumnFormula>
    </tableColumn>
    <tableColumn id="4" xr3:uid="{00000000-0010-0000-0200-000004000000}" name="car" dataDxfId="5662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0200-000005000000}" name="r_yd" dataDxfId="5661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0200-000006000000}" name="r_td" dataDxfId="5660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0200-000007000000}" name="p_ff" dataDxfId="5659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0200-000008000000}" name="p_att" dataDxfId="5658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0200-000009000000}" name="cmp_pct" dataDxfId="5657">
      <calculatedColumnFormula>SUM(INDIRECT(A33 &amp; "_Table4[[#All],[cmp]]"))/H33</calculatedColumnFormula>
    </tableColumn>
    <tableColumn id="10" xr3:uid="{00000000-0010-0000-0200-00000A000000}" name="p_td" dataDxfId="5656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0200-00000B000000}" name="int" dataDxfId="5655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0200-00000C000000}" name="fmb" dataDxfId="5654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965369F5-2F33-4669-9DA1-2096B96B346B}" name="f_custom" dataDxfId="5653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ARI_Table4" displayName="ARI_Table4" ref="A35:AB40" totalsRowShown="0" headerRowDxfId="5652" dataDxfId="5651">
  <autoFilter ref="A35:AB40" xr:uid="{00000000-0009-0000-0100-000006000000}"/>
  <tableColumns count="28">
    <tableColumn id="1" xr3:uid="{00000000-0010-0000-0300-000001000000}" name="Name" dataDxfId="5650"/>
    <tableColumn id="2" xr3:uid="{00000000-0010-0000-0300-000002000000}" name="POS" dataDxfId="5649"/>
    <tableColumn id="3" xr3:uid="{00000000-0010-0000-0300-000003000000}" name="Age" dataDxfId="5648"/>
    <tableColumn id="4" xr3:uid="{00000000-0010-0000-0300-000004000000}" name="Exp" dataDxfId="5647"/>
    <tableColumn id="5" xr3:uid="{00000000-0010-0000-0300-000005000000}" name="College" dataDxfId="5646"/>
    <tableColumn id="6" xr3:uid="{00000000-0010-0000-0300-000006000000}" name="team" dataDxfId="5645"/>
    <tableColumn id="7" xr3:uid="{00000000-0010-0000-0300-000007000000}" name="g" dataDxfId="5644"/>
    <tableColumn id="8" xr3:uid="{00000000-0010-0000-0300-000008000000}" name="p_att" dataDxfId="5643"/>
    <tableColumn id="9" xr3:uid="{00000000-0010-0000-0300-000009000000}" name="cmp" dataDxfId="5642"/>
    <tableColumn id="10" xr3:uid="{00000000-0010-0000-0300-00000A000000}" name="p_yd" dataDxfId="5641"/>
    <tableColumn id="11" xr3:uid="{00000000-0010-0000-0300-00000B000000}" name="p_td" dataDxfId="5640"/>
    <tableColumn id="12" xr3:uid="{00000000-0010-0000-0300-00000C000000}" name="int" dataDxfId="5639"/>
    <tableColumn id="13" xr3:uid="{00000000-0010-0000-0300-00000D000000}" name="car" dataDxfId="5638"/>
    <tableColumn id="14" xr3:uid="{00000000-0010-0000-0300-00000E000000}" name="r_yd" dataDxfId="5637"/>
    <tableColumn id="15" xr3:uid="{00000000-0010-0000-0300-00000F000000}" name="r_td" dataDxfId="5636"/>
    <tableColumn id="16" xr3:uid="{00000000-0010-0000-0300-000010000000}" name="tgt" dataDxfId="5635"/>
    <tableColumn id="17" xr3:uid="{00000000-0010-0000-0300-000011000000}" name="rec" dataDxfId="5634"/>
    <tableColumn id="18" xr3:uid="{00000000-0010-0000-0300-000012000000}" name="rec_yd" dataDxfId="5633"/>
    <tableColumn id="19" xr3:uid="{00000000-0010-0000-0300-000013000000}" name="rec_td" dataDxfId="5632"/>
    <tableColumn id="20" xr3:uid="{00000000-0010-0000-0300-000014000000}" name="fmb" dataDxfId="5631"/>
    <tableColumn id="21" xr3:uid="{00000000-0010-0000-0300-000015000000}" name="tp_c" dataDxfId="5630"/>
    <tableColumn id="22" xr3:uid="{00000000-0010-0000-0300-000016000000}" name="f_ppr" dataDxfId="5629">
      <calculatedColumnFormula>($J36*0.04)+($K36*4)+($L36*-2)+($N36*0.1)+($O36*6)+($Q36)+($R36*0.1)+($S36*6)+($T36*-2)</calculatedColumnFormula>
    </tableColumn>
    <tableColumn id="23" xr3:uid="{00000000-0010-0000-0300-000017000000}" name="tgt_share" dataDxfId="5628">
      <calculatedColumnFormula>$P36/$H$33</calculatedColumnFormula>
    </tableColumn>
    <tableColumn id="24" xr3:uid="{00000000-0010-0000-0300-000018000000}" name="ypc" dataDxfId="5627">
      <calculatedColumnFormula>$N36/$M36</calculatedColumnFormula>
    </tableColumn>
    <tableColumn id="25" xr3:uid="{00000000-0010-0000-0300-000019000000}" name="ypr" dataDxfId="5626">
      <calculatedColumnFormula>$R36/$Q36</calculatedColumnFormula>
    </tableColumn>
    <tableColumn id="26" xr3:uid="{00000000-0010-0000-0300-00001A000000}" name="cmp_pct" dataDxfId="5625">
      <calculatedColumnFormula>$I36/$H36</calculatedColumnFormula>
    </tableColumn>
    <tableColumn id="27" xr3:uid="{00000000-0010-0000-0300-00001B000000}" name="td_rate" dataDxfId="5624">
      <calculatedColumnFormula>$J36/$H36</calculatedColumnFormula>
    </tableColumn>
    <tableColumn id="28" xr3:uid="{00000000-0010-0000-0300-00001C000000}" name="f_custom" dataDxfId="5623">
      <calculatedColumnFormula>($J36*Cp_yd)+($K36*Cp_td)+($L36*Cint)+($M36*Ccar)+($N36*Cr_td)+($O36*Cr_yd)+(Q36*Crec)+($R36*Crec_yd)+($S36*Crec_td)+($T36*Cfmb)+($U36*Ctp_c)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4000000}" name="ARI_Table5" displayName="ARI_Table5" ref="A45:AB51" totalsRowShown="0" headerRowDxfId="5622" dataDxfId="5621">
  <autoFilter ref="A45:AB51" xr:uid="{00000000-0009-0000-0100-000007000000}"/>
  <tableColumns count="28">
    <tableColumn id="1" xr3:uid="{00000000-0010-0000-0400-000001000000}" name="Name" dataDxfId="5620"/>
    <tableColumn id="2" xr3:uid="{00000000-0010-0000-0400-000002000000}" name="POS" dataDxfId="5619"/>
    <tableColumn id="3" xr3:uid="{00000000-0010-0000-0400-000003000000}" name="Age" dataDxfId="5618"/>
    <tableColumn id="4" xr3:uid="{00000000-0010-0000-0400-000004000000}" name="Exp" dataDxfId="5617"/>
    <tableColumn id="5" xr3:uid="{00000000-0010-0000-0400-000005000000}" name="College" dataDxfId="5616"/>
    <tableColumn id="6" xr3:uid="{00000000-0010-0000-0400-000006000000}" name="team" dataDxfId="5615"/>
    <tableColumn id="7" xr3:uid="{00000000-0010-0000-0400-000007000000}" name="g" dataDxfId="5614"/>
    <tableColumn id="8" xr3:uid="{00000000-0010-0000-0400-000008000000}" name="p_att" dataDxfId="5613"/>
    <tableColumn id="9" xr3:uid="{00000000-0010-0000-0400-000009000000}" name="cmp" dataDxfId="5612"/>
    <tableColumn id="10" xr3:uid="{00000000-0010-0000-0400-00000A000000}" name="p_yd" dataDxfId="5611"/>
    <tableColumn id="11" xr3:uid="{00000000-0010-0000-0400-00000B000000}" name="p_td" dataDxfId="5610"/>
    <tableColumn id="12" xr3:uid="{00000000-0010-0000-0400-00000C000000}" name="int" dataDxfId="5609"/>
    <tableColumn id="13" xr3:uid="{00000000-0010-0000-0400-00000D000000}" name="car" dataDxfId="5608"/>
    <tableColumn id="14" xr3:uid="{00000000-0010-0000-0400-00000E000000}" name="r_yd" dataDxfId="5607"/>
    <tableColumn id="15" xr3:uid="{00000000-0010-0000-0400-00000F000000}" name="r_td" dataDxfId="5606"/>
    <tableColumn id="16" xr3:uid="{00000000-0010-0000-0400-000010000000}" name="tgt" dataDxfId="5605"/>
    <tableColumn id="17" xr3:uid="{00000000-0010-0000-0400-000011000000}" name="rec" dataDxfId="5604"/>
    <tableColumn id="18" xr3:uid="{00000000-0010-0000-0400-000012000000}" name="rec_yd" dataDxfId="5603"/>
    <tableColumn id="19" xr3:uid="{00000000-0010-0000-0400-000013000000}" name="rec_td" dataDxfId="5602"/>
    <tableColumn id="20" xr3:uid="{00000000-0010-0000-0400-000014000000}" name="fmb" dataDxfId="5601"/>
    <tableColumn id="21" xr3:uid="{00000000-0010-0000-0400-000015000000}" name="tp_c" dataDxfId="5600"/>
    <tableColumn id="22" xr3:uid="{00000000-0010-0000-0400-000016000000}" name="f_ppr" dataDxfId="5599">
      <calculatedColumnFormula>($J46*0.04)+($K46*4)+($L46*-2)+($N46*0.1)+($O46*6)+($Q46)+($R46*0.1)+($S46*6)+($T46*-2)</calculatedColumnFormula>
    </tableColumn>
    <tableColumn id="23" xr3:uid="{00000000-0010-0000-0400-000017000000}" name="tgt_share" dataDxfId="5598">
      <calculatedColumnFormula>$P46/$H$33</calculatedColumnFormula>
    </tableColumn>
    <tableColumn id="24" xr3:uid="{00000000-0010-0000-0400-000018000000}" name="ypc" dataDxfId="5597">
      <calculatedColumnFormula>$N46/$M46</calculatedColumnFormula>
    </tableColumn>
    <tableColumn id="25" xr3:uid="{00000000-0010-0000-0400-000019000000}" name="ypr" dataDxfId="5596">
      <calculatedColumnFormula>$R46/$Q46</calculatedColumnFormula>
    </tableColumn>
    <tableColumn id="26" xr3:uid="{00000000-0010-0000-0400-00001A000000}" name="cmp_pct" dataDxfId="5595">
      <calculatedColumnFormula>$R46/$Q46</calculatedColumnFormula>
    </tableColumn>
    <tableColumn id="27" xr3:uid="{00000000-0010-0000-0400-00001B000000}" name="td_rate" dataDxfId="5594">
      <calculatedColumnFormula>$J46/$H46</calculatedColumnFormula>
    </tableColumn>
    <tableColumn id="28" xr3:uid="{00000000-0010-0000-0400-00001C000000}" name="f_custom" dataDxfId="5593">
      <calculatedColumnFormula>($J46*Cp_yd)+($K46*Cp_td)+($L46*Cint)+($M46*Ccar)+($N46*Cr_td)+($O46*Cr_yd)+(Q46*Crec)+($R46*Crec_yd)+($S46*Crec_td)+($T46*Cfmb)+($U46*Ctp_c)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ARI_Table6" displayName="ARI_Table6" ref="A60:AB71" totalsRowShown="0" headerRowDxfId="5592" dataDxfId="5591">
  <autoFilter ref="A60:AB71" xr:uid="{00000000-0009-0000-0100-000008000000}"/>
  <tableColumns count="28">
    <tableColumn id="1" xr3:uid="{00000000-0010-0000-0500-000001000000}" name="Name" dataDxfId="5590"/>
    <tableColumn id="2" xr3:uid="{00000000-0010-0000-0500-000002000000}" name="POS" dataDxfId="5589"/>
    <tableColumn id="3" xr3:uid="{00000000-0010-0000-0500-000003000000}" name="Age" dataDxfId="5588"/>
    <tableColumn id="4" xr3:uid="{00000000-0010-0000-0500-000004000000}" name="Exp" dataDxfId="5587"/>
    <tableColumn id="5" xr3:uid="{00000000-0010-0000-0500-000005000000}" name="College" dataDxfId="5586"/>
    <tableColumn id="6" xr3:uid="{00000000-0010-0000-0500-000006000000}" name="team" dataDxfId="5585"/>
    <tableColumn id="7" xr3:uid="{00000000-0010-0000-0500-000007000000}" name="g" dataDxfId="5584"/>
    <tableColumn id="8" xr3:uid="{00000000-0010-0000-0500-000008000000}" name="p_att" dataDxfId="5583"/>
    <tableColumn id="9" xr3:uid="{00000000-0010-0000-0500-000009000000}" name="cmp" dataDxfId="5582"/>
    <tableColumn id="10" xr3:uid="{00000000-0010-0000-0500-00000A000000}" name="p_yd" dataDxfId="5581"/>
    <tableColumn id="11" xr3:uid="{00000000-0010-0000-0500-00000B000000}" name="p_td" dataDxfId="5580"/>
    <tableColumn id="12" xr3:uid="{00000000-0010-0000-0500-00000C000000}" name="int" dataDxfId="5579"/>
    <tableColumn id="13" xr3:uid="{00000000-0010-0000-0500-00000D000000}" name="car" dataDxfId="5578"/>
    <tableColumn id="14" xr3:uid="{00000000-0010-0000-0500-00000E000000}" name="r_yd" dataDxfId="5577"/>
    <tableColumn id="15" xr3:uid="{00000000-0010-0000-0500-00000F000000}" name="r_td" dataDxfId="5576"/>
    <tableColumn id="16" xr3:uid="{00000000-0010-0000-0500-000010000000}" name="tgt" dataDxfId="5575"/>
    <tableColumn id="17" xr3:uid="{00000000-0010-0000-0500-000011000000}" name="rec" dataDxfId="5574"/>
    <tableColumn id="18" xr3:uid="{00000000-0010-0000-0500-000012000000}" name="rec_yd" dataDxfId="5573"/>
    <tableColumn id="19" xr3:uid="{00000000-0010-0000-0500-000013000000}" name="rec_td" dataDxfId="5572"/>
    <tableColumn id="20" xr3:uid="{00000000-0010-0000-0500-000014000000}" name="fmb" dataDxfId="5571"/>
    <tableColumn id="21" xr3:uid="{00000000-0010-0000-0500-000015000000}" name="tp_c" dataDxfId="5570"/>
    <tableColumn id="22" xr3:uid="{00000000-0010-0000-0500-000016000000}" name="f_ppr" dataDxfId="5569">
      <calculatedColumnFormula>($J61*0.04)+($K61*4)+($L61*-2)+($N61*0.1)+($O61*6)+($Q61)+($R61*0.1)+($S61*6)+($T61*-2)</calculatedColumnFormula>
    </tableColumn>
    <tableColumn id="23" xr3:uid="{00000000-0010-0000-0500-000017000000}" name="tgt_share" dataDxfId="5568">
      <calculatedColumnFormula>$P61/$H$33</calculatedColumnFormula>
    </tableColumn>
    <tableColumn id="24" xr3:uid="{00000000-0010-0000-0500-000018000000}" name="ypc" dataDxfId="5567">
      <calculatedColumnFormula>$N61/$M61</calculatedColumnFormula>
    </tableColumn>
    <tableColumn id="25" xr3:uid="{00000000-0010-0000-0500-000019000000}" name="ypr" dataDxfId="5566">
      <calculatedColumnFormula>$R61/$Q61</calculatedColumnFormula>
    </tableColumn>
    <tableColumn id="26" xr3:uid="{00000000-0010-0000-0500-00001A000000}" name="cmp_pct" dataDxfId="5565">
      <calculatedColumnFormula>$R61/$Q61</calculatedColumnFormula>
    </tableColumn>
    <tableColumn id="27" xr3:uid="{00000000-0010-0000-0500-00001B000000}" name="td_rate" dataDxfId="5564">
      <calculatedColumnFormula>$J61/$H61</calculatedColumnFormula>
    </tableColumn>
    <tableColumn id="28" xr3:uid="{00000000-0010-0000-0500-00001C000000}" name="f_custom" dataDxfId="5563">
      <calculatedColumnFormula>($J61*Cp_yd)+($K61*Cp_td)+($L61*Cint)+($M61*Ccar)+($N61*Cr_td)+($O61*Cr_yd)+(Q61*Crec)+($R61*Crec_yd)+($S61*Crec_td)+($T61*Cfmb)+($U61*Ctp_c)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ARI_Table7" displayName="ARI_Table7" ref="A75:AB82" totalsRowShown="0" headerRowDxfId="5562" dataDxfId="5561">
  <autoFilter ref="A75:AB82" xr:uid="{00000000-0009-0000-0100-000009000000}"/>
  <tableColumns count="28">
    <tableColumn id="1" xr3:uid="{00000000-0010-0000-0600-000001000000}" name="Name" dataDxfId="5560"/>
    <tableColumn id="2" xr3:uid="{00000000-0010-0000-0600-000002000000}" name="POS" dataDxfId="5559"/>
    <tableColumn id="3" xr3:uid="{00000000-0010-0000-0600-000003000000}" name="Age" dataDxfId="5558"/>
    <tableColumn id="4" xr3:uid="{00000000-0010-0000-0600-000004000000}" name="Exp" dataDxfId="5557"/>
    <tableColumn id="5" xr3:uid="{00000000-0010-0000-0600-000005000000}" name="College" dataDxfId="5556"/>
    <tableColumn id="6" xr3:uid="{00000000-0010-0000-0600-000006000000}" name="team" dataDxfId="5555"/>
    <tableColumn id="7" xr3:uid="{00000000-0010-0000-0600-000007000000}" name="g" dataDxfId="5554"/>
    <tableColumn id="8" xr3:uid="{00000000-0010-0000-0600-000008000000}" name="p_att" dataDxfId="5553"/>
    <tableColumn id="9" xr3:uid="{00000000-0010-0000-0600-000009000000}" name="cmp" dataDxfId="5552"/>
    <tableColumn id="10" xr3:uid="{00000000-0010-0000-0600-00000A000000}" name="p_yd" dataDxfId="5551"/>
    <tableColumn id="11" xr3:uid="{00000000-0010-0000-0600-00000B000000}" name="p_td" dataDxfId="5550"/>
    <tableColumn id="12" xr3:uid="{00000000-0010-0000-0600-00000C000000}" name="int" dataDxfId="5549"/>
    <tableColumn id="13" xr3:uid="{00000000-0010-0000-0600-00000D000000}" name="car" dataDxfId="5548"/>
    <tableColumn id="14" xr3:uid="{00000000-0010-0000-0600-00000E000000}" name="r_yd" dataDxfId="5547"/>
    <tableColumn id="15" xr3:uid="{00000000-0010-0000-0600-00000F000000}" name="r_td" dataDxfId="5546"/>
    <tableColumn id="16" xr3:uid="{00000000-0010-0000-0600-000010000000}" name="tgt" dataDxfId="5545"/>
    <tableColumn id="17" xr3:uid="{00000000-0010-0000-0600-000011000000}" name="rec" dataDxfId="5544"/>
    <tableColumn id="18" xr3:uid="{00000000-0010-0000-0600-000012000000}" name="rec_yd" dataDxfId="5543"/>
    <tableColumn id="19" xr3:uid="{00000000-0010-0000-0600-000013000000}" name="rec_td" dataDxfId="5542"/>
    <tableColumn id="20" xr3:uid="{00000000-0010-0000-0600-000014000000}" name="fmb" dataDxfId="5541"/>
    <tableColumn id="21" xr3:uid="{00000000-0010-0000-0600-000015000000}" name="tp_c" dataDxfId="5540"/>
    <tableColumn id="22" xr3:uid="{00000000-0010-0000-0600-000016000000}" name="f_ppr" dataDxfId="5539">
      <calculatedColumnFormula>($J76*0.04)+($K76*4)+($L76*-2)+($N76*0.1)+($O76*6)+($Q76)+($R76*0.1)+($S76*6)+($T76*-2)</calculatedColumnFormula>
    </tableColumn>
    <tableColumn id="23" xr3:uid="{00000000-0010-0000-0600-000017000000}" name="tgt_share" dataDxfId="5538">
      <calculatedColumnFormula>$P76/$H$33</calculatedColumnFormula>
    </tableColumn>
    <tableColumn id="24" xr3:uid="{00000000-0010-0000-0600-000018000000}" name="ypc" dataDxfId="5537">
      <calculatedColumnFormula>$N76/$M76</calculatedColumnFormula>
    </tableColumn>
    <tableColumn id="25" xr3:uid="{00000000-0010-0000-0600-000019000000}" name="ypr" dataDxfId="5536">
      <calculatedColumnFormula>$R76/$Q76</calculatedColumnFormula>
    </tableColumn>
    <tableColumn id="26" xr3:uid="{00000000-0010-0000-0600-00001A000000}" name="cmp_pct" dataDxfId="5535">
      <calculatedColumnFormula>$R76/$Q76</calculatedColumnFormula>
    </tableColumn>
    <tableColumn id="27" xr3:uid="{00000000-0010-0000-0600-00001B000000}" name="td_rate" dataDxfId="5534">
      <calculatedColumnFormula>$J76/$H76</calculatedColumnFormula>
    </tableColumn>
    <tableColumn id="28" xr3:uid="{00000000-0010-0000-0600-00001C000000}" name="f_custom" dataDxfId="5533">
      <calculatedColumnFormula>($J76*Cp_yd)+($K76*Cp_td)+($L76*Cint)+($M76*Ccar)+($N76*Cr_td)+($O76*Cr_yd)+(Q76*Crec)+($R76*Crec_yd)+($S76*Crec_td)+($T76*Cfmb)+($U76*Ctp_c)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ATL_Table1" displayName="ATL_Table1" ref="A1:Y21" totalsRowShown="0" headerRowDxfId="5532" dataDxfId="5531">
  <autoFilter ref="A1:Y21" xr:uid="{00000000-0009-0000-0100-00000A000000}"/>
  <tableColumns count="25">
    <tableColumn id="1" xr3:uid="{00000000-0010-0000-0700-000001000000}" name="player_name" dataDxfId="5530"/>
    <tableColumn id="2" xr3:uid="{00000000-0010-0000-0700-000002000000}" name="recent_team" dataDxfId="5529"/>
    <tableColumn id="3" xr3:uid="{00000000-0010-0000-0700-000003000000}" name="pos" dataDxfId="5528"/>
    <tableColumn id="4" xr3:uid="{00000000-0010-0000-0700-000004000000}" name="g" dataDxfId="5527"/>
    <tableColumn id="5" xr3:uid="{00000000-0010-0000-0700-000005000000}" name="p_att" dataDxfId="5526"/>
    <tableColumn id="6" xr3:uid="{00000000-0010-0000-0700-000006000000}" name="cmp" dataDxfId="5525"/>
    <tableColumn id="7" xr3:uid="{00000000-0010-0000-0700-000007000000}" name="p_yd" dataDxfId="5524"/>
    <tableColumn id="8" xr3:uid="{00000000-0010-0000-0700-000008000000}" name="p_td" dataDxfId="5523"/>
    <tableColumn id="9" xr3:uid="{00000000-0010-0000-0700-000009000000}" name="int" dataDxfId="5522"/>
    <tableColumn id="10" xr3:uid="{00000000-0010-0000-0700-00000A000000}" name="car" dataDxfId="5521"/>
    <tableColumn id="11" xr3:uid="{00000000-0010-0000-0700-00000B000000}" name="r_yd" dataDxfId="5520"/>
    <tableColumn id="12" xr3:uid="{00000000-0010-0000-0700-00000C000000}" name="r_td" dataDxfId="5519"/>
    <tableColumn id="13" xr3:uid="{00000000-0010-0000-0700-00000D000000}" name="tgt" dataDxfId="5518"/>
    <tableColumn id="14" xr3:uid="{00000000-0010-0000-0700-00000E000000}" name="rec" dataDxfId="5517"/>
    <tableColumn id="15" xr3:uid="{00000000-0010-0000-0700-00000F000000}" name="rec_yd" dataDxfId="5516"/>
    <tableColumn id="16" xr3:uid="{00000000-0010-0000-0700-000010000000}" name="rec_td" dataDxfId="5515"/>
    <tableColumn id="17" xr3:uid="{00000000-0010-0000-0700-000011000000}" name="fmb" dataDxfId="5514"/>
    <tableColumn id="18" xr3:uid="{00000000-0010-0000-0700-000012000000}" name="tp_c" dataDxfId="5513"/>
    <tableColumn id="19" xr3:uid="{00000000-0010-0000-0700-000013000000}" name="f_ppr" dataDxfId="5512"/>
    <tableColumn id="20" xr3:uid="{00000000-0010-0000-0700-000014000000}" name="tgt_share" dataDxfId="5511"/>
    <tableColumn id="21" xr3:uid="{00000000-0010-0000-0700-000015000000}" name="ypc" dataDxfId="5510"/>
    <tableColumn id="22" xr3:uid="{00000000-0010-0000-0700-000016000000}" name="ypr" dataDxfId="5509"/>
    <tableColumn id="23" xr3:uid="{00000000-0010-0000-0700-000017000000}" name="cmp_pct" dataDxfId="5508"/>
    <tableColumn id="24" xr3:uid="{00000000-0010-0000-0700-000018000000}" name="td_rate" dataDxfId="5507"/>
    <tableColumn id="25" xr3:uid="{41B15D07-F171-48B5-892C-D2B84E390F96}" name="f_custom" dataDxfId="5506">
      <calculatedColumnFormula>($G2*Admin!$C$4)+($H2*Admin!$C$3)+($I2*Admin!$C$5)+($K2*Admin!$C$9)+($L2*Admin!$C$10)+($N2*Admin!$C$7)+($O2*Admin!$C$11)+($P2*Admin!$C$12)+($Q2*Admin!$C$6)+($R2*Admin!$C$13)</calculatedColumnFormula>
    </tableColumn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ATL_Table2" displayName="ATL_Table2" ref="A30:M31" totalsRowShown="0" headerRowDxfId="5505" dataDxfId="5504">
  <autoFilter ref="A30:M31" xr:uid="{00000000-0009-0000-0100-00000B000000}"/>
  <tableColumns count="13">
    <tableColumn id="1" xr3:uid="{00000000-0010-0000-0800-000001000000}" name="team" dataDxfId="5503"/>
    <tableColumn id="2" xr3:uid="{00000000-0010-0000-0800-000002000000}" name="off_yd" dataDxfId="5502"/>
    <tableColumn id="3" xr3:uid="{00000000-0010-0000-0800-000003000000}" name="p_yd" dataDxfId="5501"/>
    <tableColumn id="4" xr3:uid="{00000000-0010-0000-0800-000004000000}" name="car" dataDxfId="5500"/>
    <tableColumn id="5" xr3:uid="{00000000-0010-0000-0800-000005000000}" name="r_yd" dataDxfId="5499"/>
    <tableColumn id="6" xr3:uid="{00000000-0010-0000-0800-000006000000}" name="r_td" dataDxfId="5498"/>
    <tableColumn id="7" xr3:uid="{00000000-0010-0000-0800-000007000000}" name="p_ff" dataDxfId="5497"/>
    <tableColumn id="8" xr3:uid="{00000000-0010-0000-0800-000008000000}" name="p_att" dataDxfId="5496"/>
    <tableColumn id="9" xr3:uid="{00000000-0010-0000-0800-000009000000}" name="cmp_pct" dataDxfId="5495"/>
    <tableColumn id="10" xr3:uid="{00000000-0010-0000-0800-00000A000000}" name="p_td" dataDxfId="5494"/>
    <tableColumn id="11" xr3:uid="{00000000-0010-0000-0800-00000B000000}" name="int" dataDxfId="5493"/>
    <tableColumn id="12" xr3:uid="{00000000-0010-0000-0800-00000C000000}" name="fmb" dataDxfId="5492"/>
    <tableColumn id="13" xr3:uid="{7A1B885E-6722-438E-8E70-BB628AC9CC66}" name="Column1" dataDxfId="5491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ATL_Table3" displayName="ATL_Table3" ref="A32:M33" totalsRowShown="0" headerRowDxfId="5490" dataDxfId="5489">
  <autoFilter ref="A32:M33" xr:uid="{00000000-0009-0000-0100-00000C000000}"/>
  <tableColumns count="13">
    <tableColumn id="1" xr3:uid="{00000000-0010-0000-0900-000001000000}" name="team" dataDxfId="5488">
      <calculatedColumnFormula>A31</calculatedColumnFormula>
    </tableColumn>
    <tableColumn id="2" xr3:uid="{00000000-0010-0000-0900-000002000000}" name="off_yd" dataDxfId="5487">
      <calculatedColumnFormula>C33 + E33</calculatedColumnFormula>
    </tableColumn>
    <tableColumn id="3" xr3:uid="{00000000-0010-0000-0900-000003000000}" name="p_yd" dataDxfId="5486">
      <calculatedColumnFormula>SUM(INDIRECT(A33 &amp; "_Table4[[#All],[p_yd]]"))</calculatedColumnFormula>
    </tableColumn>
    <tableColumn id="4" xr3:uid="{00000000-0010-0000-0900-000004000000}" name="car" dataDxfId="5485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0900-000005000000}" name="r_yd" dataDxfId="5484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0900-000006000000}" name="r_td" dataDxfId="5483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0900-000007000000}" name="p_ff" dataDxfId="5482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0900-000008000000}" name="p_att" dataDxfId="5481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0900-000009000000}" name="cmp_pct" dataDxfId="5480">
      <calculatedColumnFormula>SUM(INDIRECT(A33 &amp; "_Table4[[#All],[cmp]]"))/H33</calculatedColumnFormula>
    </tableColumn>
    <tableColumn id="10" xr3:uid="{00000000-0010-0000-0900-00000A000000}" name="p_td" dataDxfId="5479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0900-00000B000000}" name="int" dataDxfId="5478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0900-00000C000000}" name="fmb" dataDxfId="5477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A5D2B07B-FDDA-4B15-B12E-A3685CDE9128}" name="Column1" dataDxfId="5476"/>
  </tableColumns>
  <tableStyleInfo name="TableStyleMedium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ATL_Table4" displayName="ATL_Table4" ref="A35:AB38" totalsRowShown="0" headerRowDxfId="5475" dataDxfId="5474">
  <autoFilter ref="A35:AB38" xr:uid="{00000000-0009-0000-0100-00000D000000}"/>
  <tableColumns count="28">
    <tableColumn id="1" xr3:uid="{00000000-0010-0000-0A00-000001000000}" name="Name" dataDxfId="5473"/>
    <tableColumn id="2" xr3:uid="{00000000-0010-0000-0A00-000002000000}" name="POS" dataDxfId="5472"/>
    <tableColumn id="3" xr3:uid="{00000000-0010-0000-0A00-000003000000}" name="Age" dataDxfId="5471"/>
    <tableColumn id="4" xr3:uid="{00000000-0010-0000-0A00-000004000000}" name="Exp" dataDxfId="5470"/>
    <tableColumn id="5" xr3:uid="{00000000-0010-0000-0A00-000005000000}" name="College" dataDxfId="5469"/>
    <tableColumn id="6" xr3:uid="{00000000-0010-0000-0A00-000006000000}" name="team" dataDxfId="5468"/>
    <tableColumn id="7" xr3:uid="{00000000-0010-0000-0A00-000007000000}" name="g" dataDxfId="5467"/>
    <tableColumn id="8" xr3:uid="{00000000-0010-0000-0A00-000008000000}" name="p_att" dataDxfId="5466"/>
    <tableColumn id="9" xr3:uid="{00000000-0010-0000-0A00-000009000000}" name="cmp" dataDxfId="5465"/>
    <tableColumn id="10" xr3:uid="{00000000-0010-0000-0A00-00000A000000}" name="p_yd" dataDxfId="5464"/>
    <tableColumn id="11" xr3:uid="{00000000-0010-0000-0A00-00000B000000}" name="p_td" dataDxfId="5463"/>
    <tableColumn id="12" xr3:uid="{00000000-0010-0000-0A00-00000C000000}" name="int" dataDxfId="5462"/>
    <tableColumn id="13" xr3:uid="{00000000-0010-0000-0A00-00000D000000}" name="car" dataDxfId="5461"/>
    <tableColumn id="14" xr3:uid="{00000000-0010-0000-0A00-00000E000000}" name="r_yd" dataDxfId="5460"/>
    <tableColumn id="15" xr3:uid="{00000000-0010-0000-0A00-00000F000000}" name="r_td" dataDxfId="5459"/>
    <tableColumn id="16" xr3:uid="{00000000-0010-0000-0A00-000010000000}" name="tgt" dataDxfId="5458"/>
    <tableColumn id="17" xr3:uid="{00000000-0010-0000-0A00-000011000000}" name="rec" dataDxfId="5457"/>
    <tableColumn id="18" xr3:uid="{00000000-0010-0000-0A00-000012000000}" name="rec_yd" dataDxfId="5456"/>
    <tableColumn id="19" xr3:uid="{00000000-0010-0000-0A00-000013000000}" name="rec_td" dataDxfId="5455"/>
    <tableColumn id="20" xr3:uid="{00000000-0010-0000-0A00-000014000000}" name="fmb" dataDxfId="5454"/>
    <tableColumn id="21" xr3:uid="{00000000-0010-0000-0A00-000015000000}" name="tp_c" dataDxfId="5453"/>
    <tableColumn id="22" xr3:uid="{00000000-0010-0000-0A00-000016000000}" name="f_ppr" dataDxfId="5452"/>
    <tableColumn id="23" xr3:uid="{00000000-0010-0000-0A00-000017000000}" name="tgt_share" dataDxfId="5451"/>
    <tableColumn id="24" xr3:uid="{00000000-0010-0000-0A00-000018000000}" name="ypc" dataDxfId="5450"/>
    <tableColumn id="25" xr3:uid="{00000000-0010-0000-0A00-000019000000}" name="ypr" dataDxfId="5449"/>
    <tableColumn id="26" xr3:uid="{00000000-0010-0000-0A00-00001A000000}" name="cmp_pct" dataDxfId="5448"/>
    <tableColumn id="27" xr3:uid="{00000000-0010-0000-0A00-00001B000000}" name="td_rate" dataDxfId="5447"/>
    <tableColumn id="28" xr3:uid="{00000000-0010-0000-0A00-00001C000000}" name="f_custom" dataDxfId="5446"/>
  </tableColumns>
  <tableStyleInfo name="TableStyleMedium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ATL_Table5" displayName="ATL_Table5" ref="A45:AB51" totalsRowShown="0" headerRowDxfId="5445" dataDxfId="5444">
  <autoFilter ref="A45:AB51" xr:uid="{00000000-0009-0000-0100-00000E000000}"/>
  <tableColumns count="28">
    <tableColumn id="1" xr3:uid="{00000000-0010-0000-0B00-000001000000}" name="Name" dataDxfId="5443"/>
    <tableColumn id="2" xr3:uid="{00000000-0010-0000-0B00-000002000000}" name="POS" dataDxfId="5442"/>
    <tableColumn id="3" xr3:uid="{00000000-0010-0000-0B00-000003000000}" name="Age" dataDxfId="5441"/>
    <tableColumn id="4" xr3:uid="{00000000-0010-0000-0B00-000004000000}" name="Exp" dataDxfId="5440"/>
    <tableColumn id="5" xr3:uid="{00000000-0010-0000-0B00-000005000000}" name="College" dataDxfId="5439"/>
    <tableColumn id="6" xr3:uid="{00000000-0010-0000-0B00-000006000000}" name="team" dataDxfId="5438"/>
    <tableColumn id="7" xr3:uid="{00000000-0010-0000-0B00-000007000000}" name="g" dataDxfId="5437"/>
    <tableColumn id="8" xr3:uid="{00000000-0010-0000-0B00-000008000000}" name="p_att" dataDxfId="5436"/>
    <tableColumn id="9" xr3:uid="{00000000-0010-0000-0B00-000009000000}" name="cmp" dataDxfId="5435"/>
    <tableColumn id="10" xr3:uid="{00000000-0010-0000-0B00-00000A000000}" name="p_yd" dataDxfId="5434"/>
    <tableColumn id="11" xr3:uid="{00000000-0010-0000-0B00-00000B000000}" name="p_td" dataDxfId="5433"/>
    <tableColumn id="12" xr3:uid="{00000000-0010-0000-0B00-00000C000000}" name="int" dataDxfId="5432"/>
    <tableColumn id="13" xr3:uid="{00000000-0010-0000-0B00-00000D000000}" name="car" dataDxfId="5431"/>
    <tableColumn id="14" xr3:uid="{00000000-0010-0000-0B00-00000E000000}" name="r_yd" dataDxfId="5430"/>
    <tableColumn id="15" xr3:uid="{00000000-0010-0000-0B00-00000F000000}" name="r_td" dataDxfId="5429"/>
    <tableColumn id="16" xr3:uid="{00000000-0010-0000-0B00-000010000000}" name="tgt" dataDxfId="5428"/>
    <tableColumn id="17" xr3:uid="{00000000-0010-0000-0B00-000011000000}" name="rec" dataDxfId="5427"/>
    <tableColumn id="18" xr3:uid="{00000000-0010-0000-0B00-000012000000}" name="rec_yd" dataDxfId="5426"/>
    <tableColumn id="19" xr3:uid="{00000000-0010-0000-0B00-000013000000}" name="rec_td" dataDxfId="5425"/>
    <tableColumn id="20" xr3:uid="{00000000-0010-0000-0B00-000014000000}" name="fmb" dataDxfId="5424"/>
    <tableColumn id="21" xr3:uid="{00000000-0010-0000-0B00-000015000000}" name="tp_c" dataDxfId="5423"/>
    <tableColumn id="22" xr3:uid="{00000000-0010-0000-0B00-000016000000}" name="f_ppr" dataDxfId="5422"/>
    <tableColumn id="23" xr3:uid="{00000000-0010-0000-0B00-000017000000}" name="tgt_share" dataDxfId="5421"/>
    <tableColumn id="24" xr3:uid="{00000000-0010-0000-0B00-000018000000}" name="ypc" dataDxfId="5420"/>
    <tableColumn id="25" xr3:uid="{00000000-0010-0000-0B00-000019000000}" name="ypr" dataDxfId="5419"/>
    <tableColumn id="26" xr3:uid="{00000000-0010-0000-0B00-00001A000000}" name="cmp_pct" dataDxfId="5418"/>
    <tableColumn id="27" xr3:uid="{00000000-0010-0000-0B00-00001B000000}" name="td_rate" dataDxfId="5417"/>
    <tableColumn id="28" xr3:uid="{00000000-0010-0000-0B00-00001C000000}" name="f_custom" dataDxfId="5416">
      <calculatedColumnFormula>($J46*Cp_yd)+($K46*Cp_td)+($L46*Cint)+($M46*Ccar)+($N46*Cr_td)+($O46*Cr_yd)+(Q46*Crec)+($R46*Crec_yd)+($S46*Crec_td)+($T46*Cfmb)+($U46*Ctp_c)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ATL_Table6" displayName="ATL_Table6" ref="A60:AB72" totalsRowShown="0" headerRowDxfId="5415" dataDxfId="5414">
  <autoFilter ref="A60:AB72" xr:uid="{00000000-0009-0000-0100-00000F000000}"/>
  <tableColumns count="28">
    <tableColumn id="1" xr3:uid="{00000000-0010-0000-0C00-000001000000}" name="Name" dataDxfId="5413"/>
    <tableColumn id="2" xr3:uid="{00000000-0010-0000-0C00-000002000000}" name="POS" dataDxfId="5412"/>
    <tableColumn id="3" xr3:uid="{00000000-0010-0000-0C00-000003000000}" name="Age" dataDxfId="5411"/>
    <tableColumn id="4" xr3:uid="{00000000-0010-0000-0C00-000004000000}" name="Exp" dataDxfId="5410"/>
    <tableColumn id="5" xr3:uid="{00000000-0010-0000-0C00-000005000000}" name="College" dataDxfId="5409"/>
    <tableColumn id="6" xr3:uid="{00000000-0010-0000-0C00-000006000000}" name="team" dataDxfId="5408"/>
    <tableColumn id="7" xr3:uid="{00000000-0010-0000-0C00-000007000000}" name="g" dataDxfId="5407"/>
    <tableColumn id="8" xr3:uid="{00000000-0010-0000-0C00-000008000000}" name="p_att" dataDxfId="5406"/>
    <tableColumn id="9" xr3:uid="{00000000-0010-0000-0C00-000009000000}" name="cmp" dataDxfId="5405"/>
    <tableColumn id="10" xr3:uid="{00000000-0010-0000-0C00-00000A000000}" name="p_yd" dataDxfId="5404"/>
    <tableColumn id="11" xr3:uid="{00000000-0010-0000-0C00-00000B000000}" name="p_td" dataDxfId="5403"/>
    <tableColumn id="12" xr3:uid="{00000000-0010-0000-0C00-00000C000000}" name="int" dataDxfId="5402"/>
    <tableColumn id="13" xr3:uid="{00000000-0010-0000-0C00-00000D000000}" name="car" dataDxfId="5401"/>
    <tableColumn id="14" xr3:uid="{00000000-0010-0000-0C00-00000E000000}" name="r_yd" dataDxfId="5400"/>
    <tableColumn id="15" xr3:uid="{00000000-0010-0000-0C00-00000F000000}" name="r_td" dataDxfId="5399"/>
    <tableColumn id="16" xr3:uid="{00000000-0010-0000-0C00-000010000000}" name="tgt" dataDxfId="5398"/>
    <tableColumn id="17" xr3:uid="{00000000-0010-0000-0C00-000011000000}" name="rec" dataDxfId="5397"/>
    <tableColumn id="18" xr3:uid="{00000000-0010-0000-0C00-000012000000}" name="rec_yd" dataDxfId="5396"/>
    <tableColumn id="19" xr3:uid="{00000000-0010-0000-0C00-000013000000}" name="rec_td" dataDxfId="5395"/>
    <tableColumn id="20" xr3:uid="{00000000-0010-0000-0C00-000014000000}" name="fmb" dataDxfId="5394"/>
    <tableColumn id="21" xr3:uid="{00000000-0010-0000-0C00-000015000000}" name="tp_c" dataDxfId="5393"/>
    <tableColumn id="22" xr3:uid="{00000000-0010-0000-0C00-000016000000}" name="f_ppr" dataDxfId="5392"/>
    <tableColumn id="23" xr3:uid="{00000000-0010-0000-0C00-000017000000}" name="tgt_share" dataDxfId="5391"/>
    <tableColumn id="24" xr3:uid="{00000000-0010-0000-0C00-000018000000}" name="ypc" dataDxfId="5390"/>
    <tableColumn id="25" xr3:uid="{00000000-0010-0000-0C00-000019000000}" name="ypr" dataDxfId="5389"/>
    <tableColumn id="26" xr3:uid="{00000000-0010-0000-0C00-00001A000000}" name="cmp_pct" dataDxfId="5388"/>
    <tableColumn id="27" xr3:uid="{00000000-0010-0000-0C00-00001B000000}" name="td_rate" dataDxfId="5387"/>
    <tableColumn id="28" xr3:uid="{00000000-0010-0000-0C00-00001C000000}" name="f_custom" dataDxfId="5386"/>
  </tableColumns>
  <tableStyleInfo name="TableStyleMedium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ATL_Table7" displayName="ATL_Table7" ref="A75:AB82" totalsRowShown="0" headerRowDxfId="5385" dataDxfId="5384">
  <autoFilter ref="A75:AB82" xr:uid="{00000000-0009-0000-0100-000010000000}"/>
  <tableColumns count="28">
    <tableColumn id="1" xr3:uid="{00000000-0010-0000-0D00-000001000000}" name="Name" dataDxfId="5383"/>
    <tableColumn id="2" xr3:uid="{00000000-0010-0000-0D00-000002000000}" name="POS" dataDxfId="5382"/>
    <tableColumn id="3" xr3:uid="{00000000-0010-0000-0D00-000003000000}" name="Age" dataDxfId="5381"/>
    <tableColumn id="4" xr3:uid="{00000000-0010-0000-0D00-000004000000}" name="Exp" dataDxfId="5380"/>
    <tableColumn id="5" xr3:uid="{00000000-0010-0000-0D00-000005000000}" name="College" dataDxfId="5379"/>
    <tableColumn id="6" xr3:uid="{00000000-0010-0000-0D00-000006000000}" name="team" dataDxfId="5378"/>
    <tableColumn id="7" xr3:uid="{00000000-0010-0000-0D00-000007000000}" name="g" dataDxfId="5377"/>
    <tableColumn id="8" xr3:uid="{00000000-0010-0000-0D00-000008000000}" name="p_att" dataDxfId="5376"/>
    <tableColumn id="9" xr3:uid="{00000000-0010-0000-0D00-000009000000}" name="cmp" dataDxfId="5375"/>
    <tableColumn id="10" xr3:uid="{00000000-0010-0000-0D00-00000A000000}" name="p_yd" dataDxfId="5374"/>
    <tableColumn id="11" xr3:uid="{00000000-0010-0000-0D00-00000B000000}" name="p_td" dataDxfId="5373"/>
    <tableColumn id="12" xr3:uid="{00000000-0010-0000-0D00-00000C000000}" name="int" dataDxfId="5372"/>
    <tableColumn id="13" xr3:uid="{00000000-0010-0000-0D00-00000D000000}" name="car" dataDxfId="5371"/>
    <tableColumn id="14" xr3:uid="{00000000-0010-0000-0D00-00000E000000}" name="r_yd" dataDxfId="5370"/>
    <tableColumn id="15" xr3:uid="{00000000-0010-0000-0D00-00000F000000}" name="r_td" dataDxfId="5369"/>
    <tableColumn id="16" xr3:uid="{00000000-0010-0000-0D00-000010000000}" name="tgt" dataDxfId="5368"/>
    <tableColumn id="17" xr3:uid="{00000000-0010-0000-0D00-000011000000}" name="rec" dataDxfId="5367"/>
    <tableColumn id="18" xr3:uid="{00000000-0010-0000-0D00-000012000000}" name="rec_yd" dataDxfId="5366"/>
    <tableColumn id="19" xr3:uid="{00000000-0010-0000-0D00-000013000000}" name="rec_td" dataDxfId="5365"/>
    <tableColumn id="20" xr3:uid="{00000000-0010-0000-0D00-000014000000}" name="fmb" dataDxfId="5364"/>
    <tableColumn id="21" xr3:uid="{00000000-0010-0000-0D00-000015000000}" name="tp_c" dataDxfId="5363"/>
    <tableColumn id="22" xr3:uid="{00000000-0010-0000-0D00-000016000000}" name="f_ppr" dataDxfId="5362"/>
    <tableColumn id="23" xr3:uid="{00000000-0010-0000-0D00-000017000000}" name="tgt_share" dataDxfId="5361"/>
    <tableColumn id="24" xr3:uid="{00000000-0010-0000-0D00-000018000000}" name="ypc" dataDxfId="5360"/>
    <tableColumn id="25" xr3:uid="{00000000-0010-0000-0D00-000019000000}" name="ypr" dataDxfId="5359"/>
    <tableColumn id="26" xr3:uid="{00000000-0010-0000-0D00-00001A000000}" name="cmp_pct" dataDxfId="5358"/>
    <tableColumn id="27" xr3:uid="{00000000-0010-0000-0D00-00001B000000}" name="td_rate" dataDxfId="5357"/>
    <tableColumn id="28" xr3:uid="{00000000-0010-0000-0D00-00001C000000}" name="f_custom" dataDxfId="5356"/>
  </tableColumns>
  <tableStyleInfo name="TableStyleMedium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BAL_Table1" displayName="BAL_Table1" ref="A1:Y22" totalsRowShown="0" headerRowDxfId="5355" dataDxfId="5354">
  <autoFilter ref="A1:Y22" xr:uid="{00000000-0009-0000-0100-000011000000}"/>
  <tableColumns count="25">
    <tableColumn id="1" xr3:uid="{00000000-0010-0000-0E00-000001000000}" name="player_name" dataDxfId="5353"/>
    <tableColumn id="2" xr3:uid="{00000000-0010-0000-0E00-000002000000}" name="recent_team" dataDxfId="5352"/>
    <tableColumn id="3" xr3:uid="{00000000-0010-0000-0E00-000003000000}" name="pos" dataDxfId="5351"/>
    <tableColumn id="4" xr3:uid="{00000000-0010-0000-0E00-000004000000}" name="g" dataDxfId="5350"/>
    <tableColumn id="5" xr3:uid="{00000000-0010-0000-0E00-000005000000}" name="p_att" dataDxfId="5349"/>
    <tableColumn id="6" xr3:uid="{00000000-0010-0000-0E00-000006000000}" name="cmp" dataDxfId="5348"/>
    <tableColumn id="7" xr3:uid="{00000000-0010-0000-0E00-000007000000}" name="p_yd" dataDxfId="5347"/>
    <tableColumn id="8" xr3:uid="{00000000-0010-0000-0E00-000008000000}" name="p_td" dataDxfId="5346"/>
    <tableColumn id="9" xr3:uid="{00000000-0010-0000-0E00-000009000000}" name="int" dataDxfId="5345"/>
    <tableColumn id="10" xr3:uid="{00000000-0010-0000-0E00-00000A000000}" name="car" dataDxfId="5344"/>
    <tableColumn id="11" xr3:uid="{00000000-0010-0000-0E00-00000B000000}" name="r_yd" dataDxfId="5343"/>
    <tableColumn id="12" xr3:uid="{00000000-0010-0000-0E00-00000C000000}" name="r_td" dataDxfId="5342"/>
    <tableColumn id="13" xr3:uid="{00000000-0010-0000-0E00-00000D000000}" name="tgt" dataDxfId="5341"/>
    <tableColumn id="14" xr3:uid="{00000000-0010-0000-0E00-00000E000000}" name="rec" dataDxfId="5340"/>
    <tableColumn id="15" xr3:uid="{00000000-0010-0000-0E00-00000F000000}" name="rec_yd" dataDxfId="5339"/>
    <tableColumn id="16" xr3:uid="{00000000-0010-0000-0E00-000010000000}" name="rec_td" dataDxfId="5338"/>
    <tableColumn id="17" xr3:uid="{00000000-0010-0000-0E00-000011000000}" name="fmb" dataDxfId="5337"/>
    <tableColumn id="18" xr3:uid="{00000000-0010-0000-0E00-000012000000}" name="tp_c" dataDxfId="5336"/>
    <tableColumn id="19" xr3:uid="{00000000-0010-0000-0E00-000013000000}" name="f_ppr" dataDxfId="5335"/>
    <tableColumn id="20" xr3:uid="{00000000-0010-0000-0E00-000014000000}" name="tgt_share" dataDxfId="5334"/>
    <tableColumn id="21" xr3:uid="{00000000-0010-0000-0E00-000015000000}" name="ypc" dataDxfId="5333"/>
    <tableColumn id="22" xr3:uid="{00000000-0010-0000-0E00-000016000000}" name="ypr" dataDxfId="5332"/>
    <tableColumn id="23" xr3:uid="{00000000-0010-0000-0E00-000017000000}" name="cmp_pct" dataDxfId="5331"/>
    <tableColumn id="24" xr3:uid="{00000000-0010-0000-0E00-000018000000}" name="td_rate" dataDxfId="5330"/>
    <tableColumn id="25" xr3:uid="{3610B752-9569-47E7-BD12-40F7D53FAE8E}" name="f_custom" dataDxfId="5329">
      <calculatedColumnFormula>($G2*Admin!$C$4)+($H2*Admin!$C$3)+($I2*Admin!$C$5)+($K2*Admin!$C$9)+($L2*Admin!$C$10)+($N2*Admin!$C$7)+($O2*Admin!$C$11)+($P2*Admin!$C$12)+($Q2*Admin!$C$6)+($R2*Admin!$C$13)</calculatedColumnFormula>
    </tableColumn>
  </tableColumns>
  <tableStyleInfo name="TableStyleMedium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F000000}" name="BAL_Table2" displayName="BAL_Table2" ref="A30:L31" totalsRowShown="0" headerRowDxfId="5328" dataDxfId="5327">
  <autoFilter ref="A30:L31" xr:uid="{00000000-0009-0000-0100-000012000000}"/>
  <tableColumns count="12">
    <tableColumn id="1" xr3:uid="{00000000-0010-0000-0F00-000001000000}" name="team" dataDxfId="5326"/>
    <tableColumn id="2" xr3:uid="{00000000-0010-0000-0F00-000002000000}" name="off_yd" dataDxfId="5325"/>
    <tableColumn id="3" xr3:uid="{00000000-0010-0000-0F00-000003000000}" name="p_yd" dataDxfId="5324"/>
    <tableColumn id="4" xr3:uid="{00000000-0010-0000-0F00-000004000000}" name="car" dataDxfId="5323"/>
    <tableColumn id="5" xr3:uid="{00000000-0010-0000-0F00-000005000000}" name="r_yd" dataDxfId="5322"/>
    <tableColumn id="6" xr3:uid="{00000000-0010-0000-0F00-000006000000}" name="r_td" dataDxfId="5321"/>
    <tableColumn id="7" xr3:uid="{00000000-0010-0000-0F00-000007000000}" name="p_ff" dataDxfId="5320"/>
    <tableColumn id="8" xr3:uid="{00000000-0010-0000-0F00-000008000000}" name="p_att" dataDxfId="5319"/>
    <tableColumn id="9" xr3:uid="{00000000-0010-0000-0F00-000009000000}" name="cmp_pct" dataDxfId="5318"/>
    <tableColumn id="10" xr3:uid="{00000000-0010-0000-0F00-00000A000000}" name="p_td" dataDxfId="5317"/>
    <tableColumn id="11" xr3:uid="{00000000-0010-0000-0F00-00000B000000}" name="int" dataDxfId="5316"/>
    <tableColumn id="12" xr3:uid="{00000000-0010-0000-0F00-00000C000000}" name="fmb" dataDxfId="5315"/>
  </tableColumns>
  <tableStyleInfo name="TableStyleMedium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BAL_Table3" displayName="BAL_Table3" ref="A32:L33" totalsRowShown="0" headerRowDxfId="5314" dataDxfId="5313">
  <autoFilter ref="A32:L33" xr:uid="{00000000-0009-0000-0100-000013000000}"/>
  <tableColumns count="12">
    <tableColumn id="1" xr3:uid="{00000000-0010-0000-1000-000001000000}" name="team" dataDxfId="5312">
      <calculatedColumnFormula>A31</calculatedColumnFormula>
    </tableColumn>
    <tableColumn id="2" xr3:uid="{00000000-0010-0000-1000-000002000000}" name="off_yd" dataDxfId="5311">
      <calculatedColumnFormula>C33 + E33</calculatedColumnFormula>
    </tableColumn>
    <tableColumn id="3" xr3:uid="{00000000-0010-0000-1000-000003000000}" name="p_yd" dataDxfId="5310">
      <calculatedColumnFormula>SUM(INDIRECT(A33 &amp; "_Table4[[#All],[p_yd]]"))</calculatedColumnFormula>
    </tableColumn>
    <tableColumn id="4" xr3:uid="{00000000-0010-0000-1000-000004000000}" name="car" dataDxfId="5309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1000-000005000000}" name="r_yd" dataDxfId="5308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1000-000006000000}" name="r_td" dataDxfId="5307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1000-000007000000}" name="p_ff" dataDxfId="5306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1000-000008000000}" name="p_att" dataDxfId="5305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1000-000009000000}" name="cmp_pct" dataDxfId="5304">
      <calculatedColumnFormula>SUM(INDIRECT(A33 &amp; "_Table4[[#All],[cmp]]"))/H33</calculatedColumnFormula>
    </tableColumn>
    <tableColumn id="10" xr3:uid="{00000000-0010-0000-1000-00000A000000}" name="p_td" dataDxfId="5303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1000-00000B000000}" name="int" dataDxfId="5302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1000-00000C000000}" name="fmb" dataDxfId="5301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</tableColumns>
  <tableStyleInfo name="TableStyleMedium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1000000}" name="BAL_Table4" displayName="BAL_Table4" ref="A35:AB39" totalsRowShown="0" headerRowDxfId="5300" dataDxfId="5299">
  <autoFilter ref="A35:AB39" xr:uid="{00000000-0009-0000-0100-000014000000}"/>
  <tableColumns count="28">
    <tableColumn id="1" xr3:uid="{00000000-0010-0000-1100-000001000000}" name="Name" dataDxfId="5298"/>
    <tableColumn id="2" xr3:uid="{00000000-0010-0000-1100-000002000000}" name="POS" dataDxfId="5297"/>
    <tableColumn id="3" xr3:uid="{00000000-0010-0000-1100-000003000000}" name="Age" dataDxfId="5296"/>
    <tableColumn id="4" xr3:uid="{00000000-0010-0000-1100-000004000000}" name="Exp" dataDxfId="5295"/>
    <tableColumn id="5" xr3:uid="{00000000-0010-0000-1100-000005000000}" name="College" dataDxfId="5294"/>
    <tableColumn id="6" xr3:uid="{00000000-0010-0000-1100-000006000000}" name="team" dataDxfId="5293"/>
    <tableColumn id="7" xr3:uid="{00000000-0010-0000-1100-000007000000}" name="g" dataDxfId="5292"/>
    <tableColumn id="8" xr3:uid="{00000000-0010-0000-1100-000008000000}" name="p_att" dataDxfId="5291"/>
    <tableColumn id="9" xr3:uid="{00000000-0010-0000-1100-000009000000}" name="cmp" dataDxfId="5290"/>
    <tableColumn id="10" xr3:uid="{00000000-0010-0000-1100-00000A000000}" name="p_yd" dataDxfId="5289"/>
    <tableColumn id="11" xr3:uid="{00000000-0010-0000-1100-00000B000000}" name="p_td" dataDxfId="5288"/>
    <tableColumn id="12" xr3:uid="{00000000-0010-0000-1100-00000C000000}" name="int" dataDxfId="5287"/>
    <tableColumn id="13" xr3:uid="{00000000-0010-0000-1100-00000D000000}" name="car" dataDxfId="5286"/>
    <tableColumn id="14" xr3:uid="{00000000-0010-0000-1100-00000E000000}" name="r_yd" dataDxfId="5285"/>
    <tableColumn id="15" xr3:uid="{00000000-0010-0000-1100-00000F000000}" name="r_td" dataDxfId="5284"/>
    <tableColumn id="16" xr3:uid="{00000000-0010-0000-1100-000010000000}" name="tgt" dataDxfId="5283"/>
    <tableColumn id="17" xr3:uid="{00000000-0010-0000-1100-000011000000}" name="rec" dataDxfId="5282"/>
    <tableColumn id="18" xr3:uid="{00000000-0010-0000-1100-000012000000}" name="rec_yd" dataDxfId="5281"/>
    <tableColumn id="19" xr3:uid="{00000000-0010-0000-1100-000013000000}" name="rec_td" dataDxfId="5280"/>
    <tableColumn id="20" xr3:uid="{00000000-0010-0000-1100-000014000000}" name="fmb" dataDxfId="5279"/>
    <tableColumn id="21" xr3:uid="{00000000-0010-0000-1100-000015000000}" name="tp_c" dataDxfId="5278"/>
    <tableColumn id="22" xr3:uid="{00000000-0010-0000-1100-000016000000}" name="f_ppr" dataDxfId="5277"/>
    <tableColumn id="23" xr3:uid="{00000000-0010-0000-1100-000017000000}" name="tgt_share" dataDxfId="5276"/>
    <tableColumn id="24" xr3:uid="{00000000-0010-0000-1100-000018000000}" name="ypc" dataDxfId="5275"/>
    <tableColumn id="25" xr3:uid="{00000000-0010-0000-1100-000019000000}" name="ypr" dataDxfId="5274"/>
    <tableColumn id="26" xr3:uid="{00000000-0010-0000-1100-00001A000000}" name="cmp_pct" dataDxfId="5273"/>
    <tableColumn id="27" xr3:uid="{00000000-0010-0000-1100-00001B000000}" name="td_rate" dataDxfId="5272"/>
    <tableColumn id="28" xr3:uid="{00000000-0010-0000-1100-00001C000000}" name="f_custom" dataDxfId="5271"/>
  </tableColumns>
  <tableStyleInfo name="TableStyleMedium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2000000}" name="BAL_Table5" displayName="BAL_Table5" ref="A45:AB51" totalsRowShown="0" headerRowDxfId="5270" dataDxfId="5269">
  <autoFilter ref="A45:AB51" xr:uid="{00000000-0009-0000-0100-000015000000}"/>
  <tableColumns count="28">
    <tableColumn id="1" xr3:uid="{00000000-0010-0000-1200-000001000000}" name="Name" dataDxfId="5268"/>
    <tableColumn id="2" xr3:uid="{00000000-0010-0000-1200-000002000000}" name="POS" dataDxfId="5267"/>
    <tableColumn id="3" xr3:uid="{00000000-0010-0000-1200-000003000000}" name="Age" dataDxfId="5266"/>
    <tableColumn id="4" xr3:uid="{00000000-0010-0000-1200-000004000000}" name="Exp" dataDxfId="5265"/>
    <tableColumn id="5" xr3:uid="{00000000-0010-0000-1200-000005000000}" name="College" dataDxfId="5264"/>
    <tableColumn id="6" xr3:uid="{00000000-0010-0000-1200-000006000000}" name="team" dataDxfId="5263"/>
    <tableColumn id="7" xr3:uid="{00000000-0010-0000-1200-000007000000}" name="g" dataDxfId="5262"/>
    <tableColumn id="8" xr3:uid="{00000000-0010-0000-1200-000008000000}" name="p_att" dataDxfId="5261"/>
    <tableColumn id="9" xr3:uid="{00000000-0010-0000-1200-000009000000}" name="cmp" dataDxfId="5260"/>
    <tableColumn id="10" xr3:uid="{00000000-0010-0000-1200-00000A000000}" name="p_yd" dataDxfId="5259"/>
    <tableColumn id="11" xr3:uid="{00000000-0010-0000-1200-00000B000000}" name="p_td" dataDxfId="5258"/>
    <tableColumn id="12" xr3:uid="{00000000-0010-0000-1200-00000C000000}" name="int" dataDxfId="5257"/>
    <tableColumn id="13" xr3:uid="{00000000-0010-0000-1200-00000D000000}" name="car" dataDxfId="5256"/>
    <tableColumn id="14" xr3:uid="{00000000-0010-0000-1200-00000E000000}" name="r_yd" dataDxfId="5255"/>
    <tableColumn id="15" xr3:uid="{00000000-0010-0000-1200-00000F000000}" name="r_td" dataDxfId="5254"/>
    <tableColumn id="16" xr3:uid="{00000000-0010-0000-1200-000010000000}" name="tgt" dataDxfId="5253"/>
    <tableColumn id="17" xr3:uid="{00000000-0010-0000-1200-000011000000}" name="rec" dataDxfId="5252"/>
    <tableColumn id="18" xr3:uid="{00000000-0010-0000-1200-000012000000}" name="rec_yd" dataDxfId="5251"/>
    <tableColumn id="19" xr3:uid="{00000000-0010-0000-1200-000013000000}" name="rec_td" dataDxfId="5250"/>
    <tableColumn id="20" xr3:uid="{00000000-0010-0000-1200-000014000000}" name="fmb" dataDxfId="5249"/>
    <tableColumn id="21" xr3:uid="{00000000-0010-0000-1200-000015000000}" name="tp_c" dataDxfId="5248"/>
    <tableColumn id="22" xr3:uid="{00000000-0010-0000-1200-000016000000}" name="f_ppr" dataDxfId="5247"/>
    <tableColumn id="23" xr3:uid="{00000000-0010-0000-1200-000017000000}" name="tgt_share" dataDxfId="5246"/>
    <tableColumn id="24" xr3:uid="{00000000-0010-0000-1200-000018000000}" name="ypc" dataDxfId="5245"/>
    <tableColumn id="25" xr3:uid="{00000000-0010-0000-1200-000019000000}" name="ypr" dataDxfId="5244"/>
    <tableColumn id="26" xr3:uid="{00000000-0010-0000-1200-00001A000000}" name="cmp_pct" dataDxfId="5243"/>
    <tableColumn id="27" xr3:uid="{00000000-0010-0000-1200-00001B000000}" name="td_rate" dataDxfId="5242"/>
    <tableColumn id="28" xr3:uid="{00000000-0010-0000-1200-00001C000000}" name="f_custom" dataDxfId="5241">
      <calculatedColumnFormula>($J46*Cp_yd)+($K46*Cp_td)+($L46*Cint)+($M46*Ccar)+($N46*Cr_td)+($O46*Cr_yd)+(Q46*Crec)+($R46*Crec_yd)+($S46*Crec_td)+($T46*Cfmb)+($U46*Ctp_c)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3000000}" name="BAL_Table6" displayName="BAL_Table6" ref="A60:AB72" totalsRowShown="0" headerRowDxfId="5240" dataDxfId="5239">
  <autoFilter ref="A60:AB72" xr:uid="{00000000-0009-0000-0100-000016000000}"/>
  <tableColumns count="28">
    <tableColumn id="1" xr3:uid="{00000000-0010-0000-1300-000001000000}" name="Name" dataDxfId="5238"/>
    <tableColumn id="2" xr3:uid="{00000000-0010-0000-1300-000002000000}" name="POS" dataDxfId="5237"/>
    <tableColumn id="3" xr3:uid="{00000000-0010-0000-1300-000003000000}" name="Age" dataDxfId="5236"/>
    <tableColumn id="4" xr3:uid="{00000000-0010-0000-1300-000004000000}" name="Exp" dataDxfId="5235"/>
    <tableColumn id="5" xr3:uid="{00000000-0010-0000-1300-000005000000}" name="College" dataDxfId="5234"/>
    <tableColumn id="6" xr3:uid="{00000000-0010-0000-1300-000006000000}" name="team" dataDxfId="5233"/>
    <tableColumn id="7" xr3:uid="{00000000-0010-0000-1300-000007000000}" name="g" dataDxfId="5232"/>
    <tableColumn id="8" xr3:uid="{00000000-0010-0000-1300-000008000000}" name="p_att" dataDxfId="5231"/>
    <tableColumn id="9" xr3:uid="{00000000-0010-0000-1300-000009000000}" name="cmp" dataDxfId="5230"/>
    <tableColumn id="10" xr3:uid="{00000000-0010-0000-1300-00000A000000}" name="p_yd" dataDxfId="5229"/>
    <tableColumn id="11" xr3:uid="{00000000-0010-0000-1300-00000B000000}" name="p_td" dataDxfId="5228"/>
    <tableColumn id="12" xr3:uid="{00000000-0010-0000-1300-00000C000000}" name="int" dataDxfId="5227"/>
    <tableColumn id="13" xr3:uid="{00000000-0010-0000-1300-00000D000000}" name="car" dataDxfId="5226"/>
    <tableColumn id="14" xr3:uid="{00000000-0010-0000-1300-00000E000000}" name="r_yd" dataDxfId="5225"/>
    <tableColumn id="15" xr3:uid="{00000000-0010-0000-1300-00000F000000}" name="r_td" dataDxfId="5224"/>
    <tableColumn id="16" xr3:uid="{00000000-0010-0000-1300-000010000000}" name="tgt" dataDxfId="5223"/>
    <tableColumn id="17" xr3:uid="{00000000-0010-0000-1300-000011000000}" name="rec" dataDxfId="5222"/>
    <tableColumn id="18" xr3:uid="{00000000-0010-0000-1300-000012000000}" name="rec_yd" dataDxfId="5221"/>
    <tableColumn id="19" xr3:uid="{00000000-0010-0000-1300-000013000000}" name="rec_td" dataDxfId="5220"/>
    <tableColumn id="20" xr3:uid="{00000000-0010-0000-1300-000014000000}" name="fmb" dataDxfId="5219"/>
    <tableColumn id="21" xr3:uid="{00000000-0010-0000-1300-000015000000}" name="tp_c" dataDxfId="5218"/>
    <tableColumn id="22" xr3:uid="{00000000-0010-0000-1300-000016000000}" name="f_ppr" dataDxfId="5217"/>
    <tableColumn id="23" xr3:uid="{00000000-0010-0000-1300-000017000000}" name="tgt_share" dataDxfId="5216"/>
    <tableColumn id="24" xr3:uid="{00000000-0010-0000-1300-000018000000}" name="ypc" dataDxfId="5215"/>
    <tableColumn id="25" xr3:uid="{00000000-0010-0000-1300-000019000000}" name="ypr" dataDxfId="5214"/>
    <tableColumn id="26" xr3:uid="{00000000-0010-0000-1300-00001A000000}" name="cmp_pct" dataDxfId="5213"/>
    <tableColumn id="27" xr3:uid="{00000000-0010-0000-1300-00001B000000}" name="td_rate" dataDxfId="5212"/>
    <tableColumn id="28" xr3:uid="{00000000-0010-0000-1300-00001C000000}" name="f_custom" dataDxfId="5211"/>
  </tableColumns>
  <tableStyleInfo name="TableStyleMedium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4000000}" name="BAL_Table7" displayName="BAL_Table7" ref="A75:AB79" totalsRowShown="0" headerRowDxfId="5210" dataDxfId="5209">
  <autoFilter ref="A75:AB79" xr:uid="{00000000-0009-0000-0100-000017000000}"/>
  <tableColumns count="28">
    <tableColumn id="1" xr3:uid="{00000000-0010-0000-1400-000001000000}" name="Name" dataDxfId="5208"/>
    <tableColumn id="2" xr3:uid="{00000000-0010-0000-1400-000002000000}" name="POS" dataDxfId="5207"/>
    <tableColumn id="3" xr3:uid="{00000000-0010-0000-1400-000003000000}" name="Age" dataDxfId="5206"/>
    <tableColumn id="4" xr3:uid="{00000000-0010-0000-1400-000004000000}" name="Exp" dataDxfId="5205"/>
    <tableColumn id="5" xr3:uid="{00000000-0010-0000-1400-000005000000}" name="College" dataDxfId="5204"/>
    <tableColumn id="6" xr3:uid="{00000000-0010-0000-1400-000006000000}" name="team" dataDxfId="5203"/>
    <tableColumn id="7" xr3:uid="{00000000-0010-0000-1400-000007000000}" name="g" dataDxfId="5202"/>
    <tableColumn id="8" xr3:uid="{00000000-0010-0000-1400-000008000000}" name="p_att" dataDxfId="5201"/>
    <tableColumn id="9" xr3:uid="{00000000-0010-0000-1400-000009000000}" name="cmp" dataDxfId="5200"/>
    <tableColumn id="10" xr3:uid="{00000000-0010-0000-1400-00000A000000}" name="p_yd" dataDxfId="5199"/>
    <tableColumn id="11" xr3:uid="{00000000-0010-0000-1400-00000B000000}" name="p_td" dataDxfId="5198"/>
    <tableColumn id="12" xr3:uid="{00000000-0010-0000-1400-00000C000000}" name="int" dataDxfId="5197"/>
    <tableColumn id="13" xr3:uid="{00000000-0010-0000-1400-00000D000000}" name="car" dataDxfId="5196"/>
    <tableColumn id="14" xr3:uid="{00000000-0010-0000-1400-00000E000000}" name="r_yd" dataDxfId="5195"/>
    <tableColumn id="15" xr3:uid="{00000000-0010-0000-1400-00000F000000}" name="r_td" dataDxfId="5194"/>
    <tableColumn id="16" xr3:uid="{00000000-0010-0000-1400-000010000000}" name="tgt" dataDxfId="5193"/>
    <tableColumn id="17" xr3:uid="{00000000-0010-0000-1400-000011000000}" name="rec" dataDxfId="5192"/>
    <tableColumn id="18" xr3:uid="{00000000-0010-0000-1400-000012000000}" name="rec_yd" dataDxfId="5191"/>
    <tableColumn id="19" xr3:uid="{00000000-0010-0000-1400-000013000000}" name="rec_td" dataDxfId="5190"/>
    <tableColumn id="20" xr3:uid="{00000000-0010-0000-1400-000014000000}" name="fmb" dataDxfId="5189"/>
    <tableColumn id="21" xr3:uid="{00000000-0010-0000-1400-000015000000}" name="tp_c" dataDxfId="5188"/>
    <tableColumn id="22" xr3:uid="{00000000-0010-0000-1400-000016000000}" name="f_ppr" dataDxfId="5187"/>
    <tableColumn id="23" xr3:uid="{00000000-0010-0000-1400-000017000000}" name="tgt_share" dataDxfId="5186"/>
    <tableColumn id="24" xr3:uid="{00000000-0010-0000-1400-000018000000}" name="ypc" dataDxfId="5185"/>
    <tableColumn id="25" xr3:uid="{00000000-0010-0000-1400-000019000000}" name="ypr" dataDxfId="5184"/>
    <tableColumn id="26" xr3:uid="{00000000-0010-0000-1400-00001A000000}" name="cmp_pct" dataDxfId="5183"/>
    <tableColumn id="27" xr3:uid="{00000000-0010-0000-1400-00001B000000}" name="td_rate" dataDxfId="5182"/>
    <tableColumn id="28" xr3:uid="{00000000-0010-0000-1400-00001C000000}" name="f_custom" dataDxfId="5181"/>
  </tableColumns>
  <tableStyleInfo name="TableStyleMedium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5000000}" name="BUF_Table1" displayName="BUF_Table1" ref="A1:Y22" totalsRowShown="0" headerRowDxfId="5180" dataDxfId="5179">
  <autoFilter ref="A1:Y22" xr:uid="{00000000-0009-0000-0100-000018000000}"/>
  <tableColumns count="25">
    <tableColumn id="1" xr3:uid="{00000000-0010-0000-1500-000001000000}" name="player_name" dataDxfId="5178"/>
    <tableColumn id="2" xr3:uid="{00000000-0010-0000-1500-000002000000}" name="recent_team" dataDxfId="5177"/>
    <tableColumn id="3" xr3:uid="{00000000-0010-0000-1500-000003000000}" name="pos" dataDxfId="5176"/>
    <tableColumn id="4" xr3:uid="{00000000-0010-0000-1500-000004000000}" name="g" dataDxfId="5175"/>
    <tableColumn id="5" xr3:uid="{00000000-0010-0000-1500-000005000000}" name="p_att" dataDxfId="5174"/>
    <tableColumn id="6" xr3:uid="{00000000-0010-0000-1500-000006000000}" name="cmp" dataDxfId="5173"/>
    <tableColumn id="7" xr3:uid="{00000000-0010-0000-1500-000007000000}" name="p_yd" dataDxfId="5172"/>
    <tableColumn id="8" xr3:uid="{00000000-0010-0000-1500-000008000000}" name="p_td" dataDxfId="5171"/>
    <tableColumn id="9" xr3:uid="{00000000-0010-0000-1500-000009000000}" name="int" dataDxfId="5170"/>
    <tableColumn id="10" xr3:uid="{00000000-0010-0000-1500-00000A000000}" name="car" dataDxfId="5169"/>
    <tableColumn id="11" xr3:uid="{00000000-0010-0000-1500-00000B000000}" name="r_yd" dataDxfId="5168"/>
    <tableColumn id="12" xr3:uid="{00000000-0010-0000-1500-00000C000000}" name="r_td" dataDxfId="5167"/>
    <tableColumn id="13" xr3:uid="{00000000-0010-0000-1500-00000D000000}" name="tgt" dataDxfId="5166"/>
    <tableColumn id="14" xr3:uid="{00000000-0010-0000-1500-00000E000000}" name="rec" dataDxfId="5165"/>
    <tableColumn id="15" xr3:uid="{00000000-0010-0000-1500-00000F000000}" name="rec_yd" dataDxfId="5164"/>
    <tableColumn id="16" xr3:uid="{00000000-0010-0000-1500-000010000000}" name="rec_td" dataDxfId="5163"/>
    <tableColumn id="17" xr3:uid="{00000000-0010-0000-1500-000011000000}" name="fmb" dataDxfId="5162"/>
    <tableColumn id="18" xr3:uid="{00000000-0010-0000-1500-000012000000}" name="tp_c" dataDxfId="5161"/>
    <tableColumn id="19" xr3:uid="{00000000-0010-0000-1500-000013000000}" name="f_ppr" dataDxfId="5160"/>
    <tableColumn id="20" xr3:uid="{00000000-0010-0000-1500-000014000000}" name="tgt_share" dataDxfId="5159"/>
    <tableColumn id="21" xr3:uid="{00000000-0010-0000-1500-000015000000}" name="ypc" dataDxfId="5158"/>
    <tableColumn id="22" xr3:uid="{00000000-0010-0000-1500-000016000000}" name="ypr" dataDxfId="5157"/>
    <tableColumn id="23" xr3:uid="{00000000-0010-0000-1500-000017000000}" name="cmp_pct" dataDxfId="5156"/>
    <tableColumn id="24" xr3:uid="{00000000-0010-0000-1500-000018000000}" name="td_rate" dataDxfId="5155"/>
    <tableColumn id="25" xr3:uid="{04AE5BDB-85E2-4128-8B04-A6C46DB27B83}" name="f_custom" dataDxfId="5154">
      <calculatedColumnFormula>($G2*Admin!$C$4)+($H2*Admin!$C$3)+($I2*Admin!$C$5)+($K2*Admin!$C$9)+($L2*Admin!$C$10)+($N2*Admin!$C$7)+($O2*Admin!$C$11)+($P2*Admin!$C$12)+($Q2*Admin!$C$6)+($R2*Admin!$C$13)</calculatedColumnFormula>
    </tableColumn>
  </tableColumns>
  <tableStyleInfo name="TableStyleMedium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6000000}" name="BUF_Table2" displayName="BUF_Table2" ref="A30:L31" totalsRowShown="0" headerRowDxfId="5153" dataDxfId="5152">
  <autoFilter ref="A30:L31" xr:uid="{00000000-0009-0000-0100-000019000000}"/>
  <tableColumns count="12">
    <tableColumn id="1" xr3:uid="{00000000-0010-0000-1600-000001000000}" name="team" dataDxfId="5151"/>
    <tableColumn id="2" xr3:uid="{00000000-0010-0000-1600-000002000000}" name="off_yd" dataDxfId="5150"/>
    <tableColumn id="3" xr3:uid="{00000000-0010-0000-1600-000003000000}" name="p_yd" dataDxfId="5149"/>
    <tableColumn id="4" xr3:uid="{00000000-0010-0000-1600-000004000000}" name="car" dataDxfId="5148"/>
    <tableColumn id="5" xr3:uid="{00000000-0010-0000-1600-000005000000}" name="r_yd" dataDxfId="5147"/>
    <tableColumn id="6" xr3:uid="{00000000-0010-0000-1600-000006000000}" name="r_td" dataDxfId="5146"/>
    <tableColumn id="7" xr3:uid="{00000000-0010-0000-1600-000007000000}" name="p_ff" dataDxfId="5145"/>
    <tableColumn id="8" xr3:uid="{00000000-0010-0000-1600-000008000000}" name="p_att" dataDxfId="5144"/>
    <tableColumn id="9" xr3:uid="{00000000-0010-0000-1600-000009000000}" name="cmp_pct" dataDxfId="5143"/>
    <tableColumn id="10" xr3:uid="{00000000-0010-0000-1600-00000A000000}" name="p_td" dataDxfId="5142"/>
    <tableColumn id="11" xr3:uid="{00000000-0010-0000-1600-00000B000000}" name="int" dataDxfId="5141"/>
    <tableColumn id="12" xr3:uid="{00000000-0010-0000-1600-00000C000000}" name="fmb" dataDxfId="5140"/>
  </tableColumns>
  <tableStyleInfo name="TableStyleMedium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7000000}" name="BUF_Table3" displayName="BUF_Table3" ref="A32:L33" totalsRowShown="0" headerRowDxfId="5139" dataDxfId="5138">
  <autoFilter ref="A32:L33" xr:uid="{00000000-0009-0000-0100-00001A000000}"/>
  <tableColumns count="12">
    <tableColumn id="1" xr3:uid="{00000000-0010-0000-1700-000001000000}" name="team" dataDxfId="5137">
      <calculatedColumnFormula>A31</calculatedColumnFormula>
    </tableColumn>
    <tableColumn id="2" xr3:uid="{00000000-0010-0000-1700-000002000000}" name="off_yd" dataDxfId="5136">
      <calculatedColumnFormula>C33 + E33</calculatedColumnFormula>
    </tableColumn>
    <tableColumn id="3" xr3:uid="{00000000-0010-0000-1700-000003000000}" name="p_yd" dataDxfId="5135">
      <calculatedColumnFormula>SUM(INDIRECT(A33 &amp; "_Table4[[#All],[p_yd]]"))</calculatedColumnFormula>
    </tableColumn>
    <tableColumn id="4" xr3:uid="{00000000-0010-0000-1700-000004000000}" name="car" dataDxfId="5134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1700-000005000000}" name="r_yd" dataDxfId="5133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1700-000006000000}" name="r_td" dataDxfId="5132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1700-000007000000}" name="p_ff" dataDxfId="5131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1700-000008000000}" name="p_att" dataDxfId="5130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1700-000009000000}" name="cmp_pct" dataDxfId="5129">
      <calculatedColumnFormula>SUM(INDIRECT(A33 &amp; "_Table4[[#All],[cmp]]"))/H33</calculatedColumnFormula>
    </tableColumn>
    <tableColumn id="10" xr3:uid="{00000000-0010-0000-1700-00000A000000}" name="p_td" dataDxfId="5128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1700-00000B000000}" name="int" dataDxfId="5127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1700-00000C000000}" name="fmb" dataDxfId="5126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</tableColumns>
  <tableStyleInfo name="TableStyleMedium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8000000}" name="BUF_Table4" displayName="BUF_Table4" ref="A35:AB38" totalsRowShown="0" headerRowDxfId="5125" dataDxfId="5124">
  <autoFilter ref="A35:AB38" xr:uid="{00000000-0009-0000-0100-00001B000000}"/>
  <tableColumns count="28">
    <tableColumn id="1" xr3:uid="{00000000-0010-0000-1800-000001000000}" name="Name" dataDxfId="5123"/>
    <tableColumn id="2" xr3:uid="{00000000-0010-0000-1800-000002000000}" name="POS" dataDxfId="5122"/>
    <tableColumn id="3" xr3:uid="{00000000-0010-0000-1800-000003000000}" name="Age" dataDxfId="5121"/>
    <tableColumn id="4" xr3:uid="{00000000-0010-0000-1800-000004000000}" name="Exp" dataDxfId="5120"/>
    <tableColumn id="5" xr3:uid="{00000000-0010-0000-1800-000005000000}" name="College" dataDxfId="5119"/>
    <tableColumn id="6" xr3:uid="{00000000-0010-0000-1800-000006000000}" name="team" dataDxfId="5118"/>
    <tableColumn id="7" xr3:uid="{00000000-0010-0000-1800-000007000000}" name="g" dataDxfId="5117"/>
    <tableColumn id="8" xr3:uid="{00000000-0010-0000-1800-000008000000}" name="p_att" dataDxfId="5116"/>
    <tableColumn id="9" xr3:uid="{00000000-0010-0000-1800-000009000000}" name="cmp" dataDxfId="5115"/>
    <tableColumn id="10" xr3:uid="{00000000-0010-0000-1800-00000A000000}" name="p_yd" dataDxfId="5114"/>
    <tableColumn id="11" xr3:uid="{00000000-0010-0000-1800-00000B000000}" name="p_td" dataDxfId="5113"/>
    <tableColumn id="12" xr3:uid="{00000000-0010-0000-1800-00000C000000}" name="int" dataDxfId="5112"/>
    <tableColumn id="13" xr3:uid="{00000000-0010-0000-1800-00000D000000}" name="car" dataDxfId="5111"/>
    <tableColumn id="14" xr3:uid="{00000000-0010-0000-1800-00000E000000}" name="r_yd" dataDxfId="5110"/>
    <tableColumn id="15" xr3:uid="{00000000-0010-0000-1800-00000F000000}" name="r_td" dataDxfId="5109"/>
    <tableColumn id="16" xr3:uid="{00000000-0010-0000-1800-000010000000}" name="tgt" dataDxfId="5108"/>
    <tableColumn id="17" xr3:uid="{00000000-0010-0000-1800-000011000000}" name="rec" dataDxfId="5107"/>
    <tableColumn id="18" xr3:uid="{00000000-0010-0000-1800-000012000000}" name="rec_yd" dataDxfId="5106"/>
    <tableColumn id="19" xr3:uid="{00000000-0010-0000-1800-000013000000}" name="rec_td" dataDxfId="5105"/>
    <tableColumn id="20" xr3:uid="{00000000-0010-0000-1800-000014000000}" name="fmb" dataDxfId="5104"/>
    <tableColumn id="21" xr3:uid="{00000000-0010-0000-1800-000015000000}" name="tp_c" dataDxfId="5103"/>
    <tableColumn id="22" xr3:uid="{00000000-0010-0000-1800-000016000000}" name="f_ppr" dataDxfId="5102"/>
    <tableColumn id="23" xr3:uid="{00000000-0010-0000-1800-000017000000}" name="tgt_share" dataDxfId="5101"/>
    <tableColumn id="24" xr3:uid="{00000000-0010-0000-1800-000018000000}" name="ypc" dataDxfId="5100"/>
    <tableColumn id="25" xr3:uid="{00000000-0010-0000-1800-000019000000}" name="ypr" dataDxfId="5099"/>
    <tableColumn id="26" xr3:uid="{00000000-0010-0000-1800-00001A000000}" name="cmp_pct" dataDxfId="5098"/>
    <tableColumn id="27" xr3:uid="{00000000-0010-0000-1800-00001B000000}" name="td_rate" dataDxfId="5097"/>
    <tableColumn id="28" xr3:uid="{00000000-0010-0000-1800-00001C000000}" name="f_custom" dataDxfId="5096"/>
  </tableColumns>
  <tableStyleInfo name="TableStyleMedium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9000000}" name="BUF_Table5" displayName="BUF_Table5" ref="A45:AB50" totalsRowShown="0" headerRowDxfId="5095" dataDxfId="5094">
  <autoFilter ref="A45:AB50" xr:uid="{00000000-0009-0000-0100-00001C000000}"/>
  <tableColumns count="28">
    <tableColumn id="1" xr3:uid="{00000000-0010-0000-1900-000001000000}" name="Name" dataDxfId="5093"/>
    <tableColumn id="2" xr3:uid="{00000000-0010-0000-1900-000002000000}" name="POS" dataDxfId="5092"/>
    <tableColumn id="3" xr3:uid="{00000000-0010-0000-1900-000003000000}" name="Age" dataDxfId="5091"/>
    <tableColumn id="4" xr3:uid="{00000000-0010-0000-1900-000004000000}" name="Exp" dataDxfId="5090"/>
    <tableColumn id="5" xr3:uid="{00000000-0010-0000-1900-000005000000}" name="College" dataDxfId="5089"/>
    <tableColumn id="6" xr3:uid="{00000000-0010-0000-1900-000006000000}" name="team" dataDxfId="5088"/>
    <tableColumn id="7" xr3:uid="{00000000-0010-0000-1900-000007000000}" name="g" dataDxfId="5087"/>
    <tableColumn id="8" xr3:uid="{00000000-0010-0000-1900-000008000000}" name="p_att" dataDxfId="5086"/>
    <tableColumn id="9" xr3:uid="{00000000-0010-0000-1900-000009000000}" name="cmp" dataDxfId="5085"/>
    <tableColumn id="10" xr3:uid="{00000000-0010-0000-1900-00000A000000}" name="p_yd" dataDxfId="5084"/>
    <tableColumn id="11" xr3:uid="{00000000-0010-0000-1900-00000B000000}" name="p_td" dataDxfId="5083"/>
    <tableColumn id="12" xr3:uid="{00000000-0010-0000-1900-00000C000000}" name="int" dataDxfId="5082"/>
    <tableColumn id="13" xr3:uid="{00000000-0010-0000-1900-00000D000000}" name="car" dataDxfId="5081"/>
    <tableColumn id="14" xr3:uid="{00000000-0010-0000-1900-00000E000000}" name="r_yd" dataDxfId="5080"/>
    <tableColumn id="15" xr3:uid="{00000000-0010-0000-1900-00000F000000}" name="r_td" dataDxfId="5079"/>
    <tableColumn id="16" xr3:uid="{00000000-0010-0000-1900-000010000000}" name="tgt" dataDxfId="5078"/>
    <tableColumn id="17" xr3:uid="{00000000-0010-0000-1900-000011000000}" name="rec" dataDxfId="5077"/>
    <tableColumn id="18" xr3:uid="{00000000-0010-0000-1900-000012000000}" name="rec_yd" dataDxfId="5076"/>
    <tableColumn id="19" xr3:uid="{00000000-0010-0000-1900-000013000000}" name="rec_td" dataDxfId="5075"/>
    <tableColumn id="20" xr3:uid="{00000000-0010-0000-1900-000014000000}" name="fmb" dataDxfId="5074"/>
    <tableColumn id="21" xr3:uid="{00000000-0010-0000-1900-000015000000}" name="tp_c" dataDxfId="5073"/>
    <tableColumn id="22" xr3:uid="{00000000-0010-0000-1900-000016000000}" name="f_ppr" dataDxfId="5072"/>
    <tableColumn id="23" xr3:uid="{00000000-0010-0000-1900-000017000000}" name="tgt_share" dataDxfId="5071"/>
    <tableColumn id="24" xr3:uid="{00000000-0010-0000-1900-000018000000}" name="ypc" dataDxfId="5070"/>
    <tableColumn id="25" xr3:uid="{00000000-0010-0000-1900-000019000000}" name="ypr" dataDxfId="5069"/>
    <tableColumn id="26" xr3:uid="{00000000-0010-0000-1900-00001A000000}" name="cmp_pct" dataDxfId="5068"/>
    <tableColumn id="27" xr3:uid="{00000000-0010-0000-1900-00001B000000}" name="td_rate" dataDxfId="5067"/>
    <tableColumn id="28" xr3:uid="{00000000-0010-0000-1900-00001C000000}" name="f_custom" dataDxfId="5066">
      <calculatedColumnFormula>($J46*Cp_yd)+($K46*Cp_td)+($L46*Cint)+($M46*Ccar)+($N46*Cr_td)+($O46*Cr_yd)+(Q46*Crec)+($R46*Crec_yd)+($S46*Crec_td)+($T46*Cfmb)+($U46*Ctp_c)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A000000}" name="BUF_Table6" displayName="BUF_Table6" ref="A60:AB73" totalsRowShown="0" headerRowDxfId="5065" dataDxfId="5064">
  <autoFilter ref="A60:AB73" xr:uid="{00000000-0009-0000-0100-00001D000000}"/>
  <tableColumns count="28">
    <tableColumn id="1" xr3:uid="{00000000-0010-0000-1A00-000001000000}" name="Name" dataDxfId="5063"/>
    <tableColumn id="2" xr3:uid="{00000000-0010-0000-1A00-000002000000}" name="POS" dataDxfId="5062"/>
    <tableColumn id="3" xr3:uid="{00000000-0010-0000-1A00-000003000000}" name="Age" dataDxfId="5061"/>
    <tableColumn id="4" xr3:uid="{00000000-0010-0000-1A00-000004000000}" name="Exp" dataDxfId="5060"/>
    <tableColumn id="5" xr3:uid="{00000000-0010-0000-1A00-000005000000}" name="College" dataDxfId="5059"/>
    <tableColumn id="6" xr3:uid="{00000000-0010-0000-1A00-000006000000}" name="team" dataDxfId="5058"/>
    <tableColumn id="7" xr3:uid="{00000000-0010-0000-1A00-000007000000}" name="g" dataDxfId="5057"/>
    <tableColumn id="8" xr3:uid="{00000000-0010-0000-1A00-000008000000}" name="p_att" dataDxfId="5056"/>
    <tableColumn id="9" xr3:uid="{00000000-0010-0000-1A00-000009000000}" name="cmp" dataDxfId="5055"/>
    <tableColumn id="10" xr3:uid="{00000000-0010-0000-1A00-00000A000000}" name="p_yd" dataDxfId="5054"/>
    <tableColumn id="11" xr3:uid="{00000000-0010-0000-1A00-00000B000000}" name="p_td" dataDxfId="5053"/>
    <tableColumn id="12" xr3:uid="{00000000-0010-0000-1A00-00000C000000}" name="int" dataDxfId="5052"/>
    <tableColumn id="13" xr3:uid="{00000000-0010-0000-1A00-00000D000000}" name="car" dataDxfId="5051"/>
    <tableColumn id="14" xr3:uid="{00000000-0010-0000-1A00-00000E000000}" name="r_yd" dataDxfId="5050"/>
    <tableColumn id="15" xr3:uid="{00000000-0010-0000-1A00-00000F000000}" name="r_td" dataDxfId="5049"/>
    <tableColumn id="16" xr3:uid="{00000000-0010-0000-1A00-000010000000}" name="tgt" dataDxfId="5048"/>
    <tableColumn id="17" xr3:uid="{00000000-0010-0000-1A00-000011000000}" name="rec" dataDxfId="5047"/>
    <tableColumn id="18" xr3:uid="{00000000-0010-0000-1A00-000012000000}" name="rec_yd" dataDxfId="5046"/>
    <tableColumn id="19" xr3:uid="{00000000-0010-0000-1A00-000013000000}" name="rec_td" dataDxfId="5045"/>
    <tableColumn id="20" xr3:uid="{00000000-0010-0000-1A00-000014000000}" name="fmb" dataDxfId="5044"/>
    <tableColumn id="21" xr3:uid="{00000000-0010-0000-1A00-000015000000}" name="tp_c" dataDxfId="5043"/>
    <tableColumn id="22" xr3:uid="{00000000-0010-0000-1A00-000016000000}" name="f_ppr" dataDxfId="5042"/>
    <tableColumn id="23" xr3:uid="{00000000-0010-0000-1A00-000017000000}" name="tgt_share" dataDxfId="5041"/>
    <tableColumn id="24" xr3:uid="{00000000-0010-0000-1A00-000018000000}" name="ypc" dataDxfId="5040"/>
    <tableColumn id="25" xr3:uid="{00000000-0010-0000-1A00-000019000000}" name="ypr" dataDxfId="5039"/>
    <tableColumn id="26" xr3:uid="{00000000-0010-0000-1A00-00001A000000}" name="cmp_pct" dataDxfId="5038"/>
    <tableColumn id="27" xr3:uid="{00000000-0010-0000-1A00-00001B000000}" name="td_rate" dataDxfId="5037"/>
    <tableColumn id="28" xr3:uid="{00000000-0010-0000-1A00-00001C000000}" name="f_custom" dataDxfId="5036"/>
  </tableColumns>
  <tableStyleInfo name="TableStyleMedium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B000000}" name="BUF_Table7" displayName="BUF_Table7" ref="A75:AB80" totalsRowShown="0" headerRowDxfId="5035" dataDxfId="5034">
  <autoFilter ref="A75:AB80" xr:uid="{00000000-0009-0000-0100-00001E000000}"/>
  <tableColumns count="28">
    <tableColumn id="1" xr3:uid="{00000000-0010-0000-1B00-000001000000}" name="Name" dataDxfId="5033"/>
    <tableColumn id="2" xr3:uid="{00000000-0010-0000-1B00-000002000000}" name="POS" dataDxfId="5032"/>
    <tableColumn id="3" xr3:uid="{00000000-0010-0000-1B00-000003000000}" name="Age" dataDxfId="5031"/>
    <tableColumn id="4" xr3:uid="{00000000-0010-0000-1B00-000004000000}" name="Exp" dataDxfId="5030"/>
    <tableColumn id="5" xr3:uid="{00000000-0010-0000-1B00-000005000000}" name="College" dataDxfId="5029"/>
    <tableColumn id="6" xr3:uid="{00000000-0010-0000-1B00-000006000000}" name="team" dataDxfId="5028"/>
    <tableColumn id="7" xr3:uid="{00000000-0010-0000-1B00-000007000000}" name="g" dataDxfId="5027"/>
    <tableColumn id="8" xr3:uid="{00000000-0010-0000-1B00-000008000000}" name="p_att" dataDxfId="5026"/>
    <tableColumn id="9" xr3:uid="{00000000-0010-0000-1B00-000009000000}" name="cmp" dataDxfId="5025"/>
    <tableColumn id="10" xr3:uid="{00000000-0010-0000-1B00-00000A000000}" name="p_yd" dataDxfId="5024"/>
    <tableColumn id="11" xr3:uid="{00000000-0010-0000-1B00-00000B000000}" name="p_td" dataDxfId="5023"/>
    <tableColumn id="12" xr3:uid="{00000000-0010-0000-1B00-00000C000000}" name="int" dataDxfId="5022"/>
    <tableColumn id="13" xr3:uid="{00000000-0010-0000-1B00-00000D000000}" name="car" dataDxfId="5021"/>
    <tableColumn id="14" xr3:uid="{00000000-0010-0000-1B00-00000E000000}" name="r_yd" dataDxfId="5020"/>
    <tableColumn id="15" xr3:uid="{00000000-0010-0000-1B00-00000F000000}" name="r_td" dataDxfId="5019"/>
    <tableColumn id="16" xr3:uid="{00000000-0010-0000-1B00-000010000000}" name="tgt" dataDxfId="5018"/>
    <tableColumn id="17" xr3:uid="{00000000-0010-0000-1B00-000011000000}" name="rec" dataDxfId="5017"/>
    <tableColumn id="18" xr3:uid="{00000000-0010-0000-1B00-000012000000}" name="rec_yd" dataDxfId="5016"/>
    <tableColumn id="19" xr3:uid="{00000000-0010-0000-1B00-000013000000}" name="rec_td" dataDxfId="5015"/>
    <tableColumn id="20" xr3:uid="{00000000-0010-0000-1B00-000014000000}" name="fmb" dataDxfId="5014"/>
    <tableColumn id="21" xr3:uid="{00000000-0010-0000-1B00-000015000000}" name="tp_c" dataDxfId="5013"/>
    <tableColumn id="22" xr3:uid="{00000000-0010-0000-1B00-000016000000}" name="f_ppr" dataDxfId="5012"/>
    <tableColumn id="23" xr3:uid="{00000000-0010-0000-1B00-000017000000}" name="tgt_share" dataDxfId="5011"/>
    <tableColumn id="24" xr3:uid="{00000000-0010-0000-1B00-000018000000}" name="ypc" dataDxfId="5010"/>
    <tableColumn id="25" xr3:uid="{00000000-0010-0000-1B00-000019000000}" name="ypr" dataDxfId="5009"/>
    <tableColumn id="26" xr3:uid="{00000000-0010-0000-1B00-00001A000000}" name="cmp_pct" dataDxfId="5008"/>
    <tableColumn id="27" xr3:uid="{00000000-0010-0000-1B00-00001B000000}" name="td_rate" dataDxfId="5007"/>
    <tableColumn id="28" xr3:uid="{00000000-0010-0000-1B00-00001C000000}" name="f_custom" dataDxfId="5006"/>
  </tableColumns>
  <tableStyleInfo name="TableStyleMedium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C000000}" name="CAR_Table1" displayName="CAR_Table1" ref="A1:Y19" totalsRowShown="0" headerRowDxfId="5005" dataDxfId="5004">
  <autoFilter ref="A1:Y19" xr:uid="{00000000-0009-0000-0100-00001F000000}"/>
  <tableColumns count="25">
    <tableColumn id="1" xr3:uid="{00000000-0010-0000-1C00-000001000000}" name="player_name" dataDxfId="5003"/>
    <tableColumn id="2" xr3:uid="{00000000-0010-0000-1C00-000002000000}" name="recent_team" dataDxfId="5002"/>
    <tableColumn id="3" xr3:uid="{00000000-0010-0000-1C00-000003000000}" name="pos" dataDxfId="5001"/>
    <tableColumn id="4" xr3:uid="{00000000-0010-0000-1C00-000004000000}" name="g" dataDxfId="5000"/>
    <tableColumn id="5" xr3:uid="{00000000-0010-0000-1C00-000005000000}" name="p_att" dataDxfId="4999"/>
    <tableColumn id="6" xr3:uid="{00000000-0010-0000-1C00-000006000000}" name="cmp" dataDxfId="4998"/>
    <tableColumn id="7" xr3:uid="{00000000-0010-0000-1C00-000007000000}" name="p_yd" dataDxfId="4997"/>
    <tableColumn id="8" xr3:uid="{00000000-0010-0000-1C00-000008000000}" name="p_td" dataDxfId="4996"/>
    <tableColumn id="9" xr3:uid="{00000000-0010-0000-1C00-000009000000}" name="int" dataDxfId="4995"/>
    <tableColumn id="10" xr3:uid="{00000000-0010-0000-1C00-00000A000000}" name="car" dataDxfId="4994"/>
    <tableColumn id="11" xr3:uid="{00000000-0010-0000-1C00-00000B000000}" name="r_yd" dataDxfId="4993"/>
    <tableColumn id="12" xr3:uid="{00000000-0010-0000-1C00-00000C000000}" name="r_td" dataDxfId="4992"/>
    <tableColumn id="13" xr3:uid="{00000000-0010-0000-1C00-00000D000000}" name="tgt" dataDxfId="4991"/>
    <tableColumn id="14" xr3:uid="{00000000-0010-0000-1C00-00000E000000}" name="rec" dataDxfId="4990"/>
    <tableColumn id="15" xr3:uid="{00000000-0010-0000-1C00-00000F000000}" name="rec_yd" dataDxfId="4989"/>
    <tableColumn id="16" xr3:uid="{00000000-0010-0000-1C00-000010000000}" name="rec_td" dataDxfId="4988"/>
    <tableColumn id="17" xr3:uid="{00000000-0010-0000-1C00-000011000000}" name="fmb" dataDxfId="4987"/>
    <tableColumn id="18" xr3:uid="{00000000-0010-0000-1C00-000012000000}" name="tp_c" dataDxfId="4986"/>
    <tableColumn id="19" xr3:uid="{00000000-0010-0000-1C00-000013000000}" name="f_ppr" dataDxfId="4985"/>
    <tableColumn id="20" xr3:uid="{00000000-0010-0000-1C00-000014000000}" name="tgt_share" dataDxfId="4984"/>
    <tableColumn id="21" xr3:uid="{00000000-0010-0000-1C00-000015000000}" name="ypc" dataDxfId="4983"/>
    <tableColumn id="22" xr3:uid="{00000000-0010-0000-1C00-000016000000}" name="ypr" dataDxfId="4982"/>
    <tableColumn id="23" xr3:uid="{00000000-0010-0000-1C00-000017000000}" name="cmp_pct" dataDxfId="4981"/>
    <tableColumn id="24" xr3:uid="{00000000-0010-0000-1C00-000018000000}" name="td_rate" dataDxfId="4980"/>
    <tableColumn id="25" xr3:uid="{4D331BD8-1526-4B0E-B011-B0A9070EB3DB}" name="f_custom" dataDxfId="4979">
      <calculatedColumnFormula>($G2*Admin!$C$4)+($H2*Admin!$C$3)+($I2*Admin!$C$5)+($K2*Admin!$C$9)+($L2*Admin!$C$10)+($N2*Admin!$C$7)+($O2*Admin!$C$11)+($P2*Admin!$C$12)+($Q2*Admin!$C$6)+($R2*Admin!$C$13)</calculatedColumnFormula>
    </tableColumn>
  </tableColumns>
  <tableStyleInfo name="TableStyleMedium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D000000}" name="CAR_Table2" displayName="CAR_Table2" ref="A30:L31" totalsRowShown="0" headerRowDxfId="4978" dataDxfId="4977">
  <autoFilter ref="A30:L31" xr:uid="{00000000-0009-0000-0100-000020000000}"/>
  <tableColumns count="12">
    <tableColumn id="1" xr3:uid="{00000000-0010-0000-1D00-000001000000}" name="team" dataDxfId="4976"/>
    <tableColumn id="2" xr3:uid="{00000000-0010-0000-1D00-000002000000}" name="off_yd" dataDxfId="4975"/>
    <tableColumn id="3" xr3:uid="{00000000-0010-0000-1D00-000003000000}" name="p_yd" dataDxfId="4974"/>
    <tableColumn id="4" xr3:uid="{00000000-0010-0000-1D00-000004000000}" name="car" dataDxfId="4973"/>
    <tableColumn id="5" xr3:uid="{00000000-0010-0000-1D00-000005000000}" name="r_yd" dataDxfId="4972"/>
    <tableColumn id="6" xr3:uid="{00000000-0010-0000-1D00-000006000000}" name="r_td" dataDxfId="4971"/>
    <tableColumn id="7" xr3:uid="{00000000-0010-0000-1D00-000007000000}" name="p_ff" dataDxfId="4970"/>
    <tableColumn id="8" xr3:uid="{00000000-0010-0000-1D00-000008000000}" name="p_att" dataDxfId="4969"/>
    <tableColumn id="9" xr3:uid="{00000000-0010-0000-1D00-000009000000}" name="cmp_pct" dataDxfId="4968"/>
    <tableColumn id="10" xr3:uid="{00000000-0010-0000-1D00-00000A000000}" name="p_td" dataDxfId="4967"/>
    <tableColumn id="11" xr3:uid="{00000000-0010-0000-1D00-00000B000000}" name="int" dataDxfId="4966"/>
    <tableColumn id="12" xr3:uid="{00000000-0010-0000-1D00-00000C000000}" name="fmb" dataDxfId="4965"/>
  </tableColumns>
  <tableStyleInfo name="TableStyleMedium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1E000000}" name="CAR_Table3" displayName="CAR_Table3" ref="A32:L33" totalsRowShown="0" headerRowDxfId="4964" dataDxfId="4963">
  <autoFilter ref="A32:L33" xr:uid="{00000000-0009-0000-0100-000021000000}"/>
  <tableColumns count="12">
    <tableColumn id="1" xr3:uid="{00000000-0010-0000-1E00-000001000000}" name="team" dataDxfId="4962">
      <calculatedColumnFormula>A31</calculatedColumnFormula>
    </tableColumn>
    <tableColumn id="2" xr3:uid="{00000000-0010-0000-1E00-000002000000}" name="off_yd" dataDxfId="4961">
      <calculatedColumnFormula>C33 + E33</calculatedColumnFormula>
    </tableColumn>
    <tableColumn id="3" xr3:uid="{00000000-0010-0000-1E00-000003000000}" name="p_yd" dataDxfId="4960">
      <calculatedColumnFormula>SUM(INDIRECT(A33 &amp; "_Table4[[#All],[p_yd]]"))</calculatedColumnFormula>
    </tableColumn>
    <tableColumn id="4" xr3:uid="{00000000-0010-0000-1E00-000004000000}" name="car" dataDxfId="4959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1E00-000005000000}" name="r_yd" dataDxfId="4958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1E00-000006000000}" name="r_td" dataDxfId="4957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1E00-000007000000}" name="p_ff" dataDxfId="4956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1E00-000008000000}" name="p_att" dataDxfId="4955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1E00-000009000000}" name="cmp_pct" dataDxfId="4954">
      <calculatedColumnFormula>SUM(INDIRECT(A33 &amp; "_Table4[[#All],[cmp]]"))/H33</calculatedColumnFormula>
    </tableColumn>
    <tableColumn id="10" xr3:uid="{00000000-0010-0000-1E00-00000A000000}" name="p_td" dataDxfId="4953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1E00-00000B000000}" name="int" dataDxfId="4952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1E00-00000C000000}" name="fmb" dataDxfId="4951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</tableColumns>
  <tableStyleInfo name="TableStyleMedium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1F000000}" name="CAR_Table4" displayName="CAR_Table4" ref="A35:AB39" totalsRowShown="0" headerRowDxfId="4950" dataDxfId="4949">
  <autoFilter ref="A35:AB39" xr:uid="{00000000-0009-0000-0100-000022000000}"/>
  <tableColumns count="28">
    <tableColumn id="1" xr3:uid="{00000000-0010-0000-1F00-000001000000}" name="Name" dataDxfId="4948"/>
    <tableColumn id="2" xr3:uid="{00000000-0010-0000-1F00-000002000000}" name="POS" dataDxfId="4947"/>
    <tableColumn id="3" xr3:uid="{00000000-0010-0000-1F00-000003000000}" name="Age" dataDxfId="4946"/>
    <tableColumn id="4" xr3:uid="{00000000-0010-0000-1F00-000004000000}" name="Exp" dataDxfId="4945"/>
    <tableColumn id="5" xr3:uid="{00000000-0010-0000-1F00-000005000000}" name="College" dataDxfId="4944"/>
    <tableColumn id="6" xr3:uid="{00000000-0010-0000-1F00-000006000000}" name="team" dataDxfId="4943"/>
    <tableColumn id="7" xr3:uid="{00000000-0010-0000-1F00-000007000000}" name="g" dataDxfId="4942"/>
    <tableColumn id="8" xr3:uid="{00000000-0010-0000-1F00-000008000000}" name="p_att" dataDxfId="4941"/>
    <tableColumn id="9" xr3:uid="{00000000-0010-0000-1F00-000009000000}" name="cmp" dataDxfId="4940"/>
    <tableColumn id="10" xr3:uid="{00000000-0010-0000-1F00-00000A000000}" name="p_yd" dataDxfId="4939"/>
    <tableColumn id="11" xr3:uid="{00000000-0010-0000-1F00-00000B000000}" name="p_td" dataDxfId="4938"/>
    <tableColumn id="12" xr3:uid="{00000000-0010-0000-1F00-00000C000000}" name="int" dataDxfId="4937"/>
    <tableColumn id="13" xr3:uid="{00000000-0010-0000-1F00-00000D000000}" name="car" dataDxfId="4936"/>
    <tableColumn id="14" xr3:uid="{00000000-0010-0000-1F00-00000E000000}" name="r_yd" dataDxfId="4935"/>
    <tableColumn id="15" xr3:uid="{00000000-0010-0000-1F00-00000F000000}" name="r_td" dataDxfId="4934"/>
    <tableColumn id="16" xr3:uid="{00000000-0010-0000-1F00-000010000000}" name="tgt" dataDxfId="4933"/>
    <tableColumn id="17" xr3:uid="{00000000-0010-0000-1F00-000011000000}" name="rec" dataDxfId="4932"/>
    <tableColumn id="18" xr3:uid="{00000000-0010-0000-1F00-000012000000}" name="rec_yd" dataDxfId="4931"/>
    <tableColumn id="19" xr3:uid="{00000000-0010-0000-1F00-000013000000}" name="rec_td" dataDxfId="4930"/>
    <tableColumn id="20" xr3:uid="{00000000-0010-0000-1F00-000014000000}" name="fmb" dataDxfId="4929"/>
    <tableColumn id="21" xr3:uid="{00000000-0010-0000-1F00-000015000000}" name="tp_c" dataDxfId="4928"/>
    <tableColumn id="22" xr3:uid="{00000000-0010-0000-1F00-000016000000}" name="f_ppr" dataDxfId="4927"/>
    <tableColumn id="23" xr3:uid="{00000000-0010-0000-1F00-000017000000}" name="tgt_share" dataDxfId="4926"/>
    <tableColumn id="24" xr3:uid="{00000000-0010-0000-1F00-000018000000}" name="ypc" dataDxfId="4925"/>
    <tableColumn id="25" xr3:uid="{00000000-0010-0000-1F00-000019000000}" name="ypr" dataDxfId="4924"/>
    <tableColumn id="26" xr3:uid="{00000000-0010-0000-1F00-00001A000000}" name="cmp_pct" dataDxfId="4923"/>
    <tableColumn id="27" xr3:uid="{00000000-0010-0000-1F00-00001B000000}" name="td_rate" dataDxfId="4922"/>
    <tableColumn id="28" xr3:uid="{00000000-0010-0000-1F00-00001C000000}" name="f_custom" dataDxfId="4921"/>
  </tableColumns>
  <tableStyleInfo name="TableStyleMedium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20000000}" name="CAR_Table5" displayName="CAR_Table5" ref="A45:AB50" totalsRowShown="0" headerRowDxfId="4920" dataDxfId="4919">
  <autoFilter ref="A45:AB50" xr:uid="{00000000-0009-0000-0100-000023000000}"/>
  <tableColumns count="28">
    <tableColumn id="1" xr3:uid="{00000000-0010-0000-2000-000001000000}" name="Name" dataDxfId="4918"/>
    <tableColumn id="2" xr3:uid="{00000000-0010-0000-2000-000002000000}" name="POS" dataDxfId="4917"/>
    <tableColumn id="3" xr3:uid="{00000000-0010-0000-2000-000003000000}" name="Age" dataDxfId="4916"/>
    <tableColumn id="4" xr3:uid="{00000000-0010-0000-2000-000004000000}" name="Exp" dataDxfId="4915"/>
    <tableColumn id="5" xr3:uid="{00000000-0010-0000-2000-000005000000}" name="College" dataDxfId="4914"/>
    <tableColumn id="6" xr3:uid="{00000000-0010-0000-2000-000006000000}" name="team" dataDxfId="4913"/>
    <tableColumn id="7" xr3:uid="{00000000-0010-0000-2000-000007000000}" name="g" dataDxfId="4912"/>
    <tableColumn id="8" xr3:uid="{00000000-0010-0000-2000-000008000000}" name="p_att" dataDxfId="4911"/>
    <tableColumn id="9" xr3:uid="{00000000-0010-0000-2000-000009000000}" name="cmp" dataDxfId="4910"/>
    <tableColumn id="10" xr3:uid="{00000000-0010-0000-2000-00000A000000}" name="p_yd" dataDxfId="4909"/>
    <tableColumn id="11" xr3:uid="{00000000-0010-0000-2000-00000B000000}" name="p_td" dataDxfId="4908"/>
    <tableColumn id="12" xr3:uid="{00000000-0010-0000-2000-00000C000000}" name="int" dataDxfId="4907"/>
    <tableColumn id="13" xr3:uid="{00000000-0010-0000-2000-00000D000000}" name="car" dataDxfId="4906"/>
    <tableColumn id="14" xr3:uid="{00000000-0010-0000-2000-00000E000000}" name="r_yd" dataDxfId="4905"/>
    <tableColumn id="15" xr3:uid="{00000000-0010-0000-2000-00000F000000}" name="r_td" dataDxfId="4904"/>
    <tableColumn id="16" xr3:uid="{00000000-0010-0000-2000-000010000000}" name="tgt" dataDxfId="4903"/>
    <tableColumn id="17" xr3:uid="{00000000-0010-0000-2000-000011000000}" name="rec" dataDxfId="4902"/>
    <tableColumn id="18" xr3:uid="{00000000-0010-0000-2000-000012000000}" name="rec_yd" dataDxfId="4901"/>
    <tableColumn id="19" xr3:uid="{00000000-0010-0000-2000-000013000000}" name="rec_td" dataDxfId="4900"/>
    <tableColumn id="20" xr3:uid="{00000000-0010-0000-2000-000014000000}" name="fmb" dataDxfId="4899"/>
    <tableColumn id="21" xr3:uid="{00000000-0010-0000-2000-000015000000}" name="tp_c" dataDxfId="4898"/>
    <tableColumn id="22" xr3:uid="{00000000-0010-0000-2000-000016000000}" name="f_ppr" dataDxfId="4897"/>
    <tableColumn id="23" xr3:uid="{00000000-0010-0000-2000-000017000000}" name="tgt_share" dataDxfId="4896"/>
    <tableColumn id="24" xr3:uid="{00000000-0010-0000-2000-000018000000}" name="ypc" dataDxfId="4895"/>
    <tableColumn id="25" xr3:uid="{00000000-0010-0000-2000-000019000000}" name="ypr" dataDxfId="4894"/>
    <tableColumn id="26" xr3:uid="{00000000-0010-0000-2000-00001A000000}" name="cmp_pct" dataDxfId="4893"/>
    <tableColumn id="27" xr3:uid="{00000000-0010-0000-2000-00001B000000}" name="td_rate" dataDxfId="4892"/>
    <tableColumn id="28" xr3:uid="{00000000-0010-0000-2000-00001C000000}" name="f_custom" dataDxfId="4891">
      <calculatedColumnFormula>($J46*Cp_yd)+($K46*Cp_td)+($L46*Cint)+($M46*Ccar)+($N46*Cr_td)+($O46*Cr_yd)+(Q46*Crec)+($R46*Crec_yd)+($S46*Crec_td)+($T46*Cfmb)+($U46*Ctp_c)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21000000}" name="CAR_Table6" displayName="CAR_Table6" ref="A60:AB72" totalsRowShown="0" headerRowDxfId="4890" dataDxfId="4889">
  <autoFilter ref="A60:AB72" xr:uid="{00000000-0009-0000-0100-000024000000}"/>
  <tableColumns count="28">
    <tableColumn id="1" xr3:uid="{00000000-0010-0000-2100-000001000000}" name="Name" dataDxfId="4888"/>
    <tableColumn id="2" xr3:uid="{00000000-0010-0000-2100-000002000000}" name="POS" dataDxfId="4887"/>
    <tableColumn id="3" xr3:uid="{00000000-0010-0000-2100-000003000000}" name="Age" dataDxfId="4886"/>
    <tableColumn id="4" xr3:uid="{00000000-0010-0000-2100-000004000000}" name="Exp" dataDxfId="4885"/>
    <tableColumn id="5" xr3:uid="{00000000-0010-0000-2100-000005000000}" name="College" dataDxfId="4884"/>
    <tableColumn id="6" xr3:uid="{00000000-0010-0000-2100-000006000000}" name="team" dataDxfId="4883"/>
    <tableColumn id="7" xr3:uid="{00000000-0010-0000-2100-000007000000}" name="g" dataDxfId="4882"/>
    <tableColumn id="8" xr3:uid="{00000000-0010-0000-2100-000008000000}" name="p_att" dataDxfId="4881"/>
    <tableColumn id="9" xr3:uid="{00000000-0010-0000-2100-000009000000}" name="cmp" dataDxfId="4880"/>
    <tableColumn id="10" xr3:uid="{00000000-0010-0000-2100-00000A000000}" name="p_yd" dataDxfId="4879"/>
    <tableColumn id="11" xr3:uid="{00000000-0010-0000-2100-00000B000000}" name="p_td" dataDxfId="4878"/>
    <tableColumn id="12" xr3:uid="{00000000-0010-0000-2100-00000C000000}" name="int" dataDxfId="4877"/>
    <tableColumn id="13" xr3:uid="{00000000-0010-0000-2100-00000D000000}" name="car" dataDxfId="4876"/>
    <tableColumn id="14" xr3:uid="{00000000-0010-0000-2100-00000E000000}" name="r_yd" dataDxfId="4875"/>
    <tableColumn id="15" xr3:uid="{00000000-0010-0000-2100-00000F000000}" name="r_td" dataDxfId="4874"/>
    <tableColumn id="16" xr3:uid="{00000000-0010-0000-2100-000010000000}" name="tgt" dataDxfId="4873"/>
    <tableColumn id="17" xr3:uid="{00000000-0010-0000-2100-000011000000}" name="rec" dataDxfId="4872"/>
    <tableColumn id="18" xr3:uid="{00000000-0010-0000-2100-000012000000}" name="rec_yd" dataDxfId="4871"/>
    <tableColumn id="19" xr3:uid="{00000000-0010-0000-2100-000013000000}" name="rec_td" dataDxfId="4870"/>
    <tableColumn id="20" xr3:uid="{00000000-0010-0000-2100-000014000000}" name="fmb" dataDxfId="4869"/>
    <tableColumn id="21" xr3:uid="{00000000-0010-0000-2100-000015000000}" name="tp_c" dataDxfId="4868"/>
    <tableColumn id="22" xr3:uid="{00000000-0010-0000-2100-000016000000}" name="f_ppr" dataDxfId="4867"/>
    <tableColumn id="23" xr3:uid="{00000000-0010-0000-2100-000017000000}" name="tgt_share" dataDxfId="4866"/>
    <tableColumn id="24" xr3:uid="{00000000-0010-0000-2100-000018000000}" name="ypc" dataDxfId="4865"/>
    <tableColumn id="25" xr3:uid="{00000000-0010-0000-2100-000019000000}" name="ypr" dataDxfId="4864"/>
    <tableColumn id="26" xr3:uid="{00000000-0010-0000-2100-00001A000000}" name="cmp_pct" dataDxfId="4863"/>
    <tableColumn id="27" xr3:uid="{00000000-0010-0000-2100-00001B000000}" name="td_rate" dataDxfId="4862"/>
    <tableColumn id="28" xr3:uid="{00000000-0010-0000-2100-00001C000000}" name="f_custom" dataDxfId="4861"/>
  </tableColumns>
  <tableStyleInfo name="TableStyleMedium1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22000000}" name="CAR_Table7" displayName="CAR_Table7" ref="A75:AB80" totalsRowShown="0" headerRowDxfId="4860" dataDxfId="4859">
  <autoFilter ref="A75:AB80" xr:uid="{00000000-0009-0000-0100-000025000000}"/>
  <tableColumns count="28">
    <tableColumn id="1" xr3:uid="{00000000-0010-0000-2200-000001000000}" name="Name" dataDxfId="4858"/>
    <tableColumn id="2" xr3:uid="{00000000-0010-0000-2200-000002000000}" name="POS" dataDxfId="4857"/>
    <tableColumn id="3" xr3:uid="{00000000-0010-0000-2200-000003000000}" name="Age" dataDxfId="4856"/>
    <tableColumn id="4" xr3:uid="{00000000-0010-0000-2200-000004000000}" name="Exp" dataDxfId="4855"/>
    <tableColumn id="5" xr3:uid="{00000000-0010-0000-2200-000005000000}" name="College" dataDxfId="4854"/>
    <tableColumn id="6" xr3:uid="{00000000-0010-0000-2200-000006000000}" name="team" dataDxfId="4853"/>
    <tableColumn id="7" xr3:uid="{00000000-0010-0000-2200-000007000000}" name="g" dataDxfId="4852"/>
    <tableColumn id="8" xr3:uid="{00000000-0010-0000-2200-000008000000}" name="p_att" dataDxfId="4851"/>
    <tableColumn id="9" xr3:uid="{00000000-0010-0000-2200-000009000000}" name="cmp" dataDxfId="4850"/>
    <tableColumn id="10" xr3:uid="{00000000-0010-0000-2200-00000A000000}" name="p_yd" dataDxfId="4849"/>
    <tableColumn id="11" xr3:uid="{00000000-0010-0000-2200-00000B000000}" name="p_td" dataDxfId="4848"/>
    <tableColumn id="12" xr3:uid="{00000000-0010-0000-2200-00000C000000}" name="int" dataDxfId="4847"/>
    <tableColumn id="13" xr3:uid="{00000000-0010-0000-2200-00000D000000}" name="car" dataDxfId="4846"/>
    <tableColumn id="14" xr3:uid="{00000000-0010-0000-2200-00000E000000}" name="r_yd" dataDxfId="4845"/>
    <tableColumn id="15" xr3:uid="{00000000-0010-0000-2200-00000F000000}" name="r_td" dataDxfId="4844"/>
    <tableColumn id="16" xr3:uid="{00000000-0010-0000-2200-000010000000}" name="tgt" dataDxfId="4843"/>
    <tableColumn id="17" xr3:uid="{00000000-0010-0000-2200-000011000000}" name="rec" dataDxfId="4842"/>
    <tableColumn id="18" xr3:uid="{00000000-0010-0000-2200-000012000000}" name="rec_yd" dataDxfId="4841"/>
    <tableColumn id="19" xr3:uid="{00000000-0010-0000-2200-000013000000}" name="rec_td" dataDxfId="4840"/>
    <tableColumn id="20" xr3:uid="{00000000-0010-0000-2200-000014000000}" name="fmb" dataDxfId="4839"/>
    <tableColumn id="21" xr3:uid="{00000000-0010-0000-2200-000015000000}" name="tp_c" dataDxfId="4838"/>
    <tableColumn id="22" xr3:uid="{00000000-0010-0000-2200-000016000000}" name="f_ppr" dataDxfId="4837"/>
    <tableColumn id="23" xr3:uid="{00000000-0010-0000-2200-000017000000}" name="tgt_share" dataDxfId="4836"/>
    <tableColumn id="24" xr3:uid="{00000000-0010-0000-2200-000018000000}" name="ypc" dataDxfId="4835"/>
    <tableColumn id="25" xr3:uid="{00000000-0010-0000-2200-000019000000}" name="ypr" dataDxfId="4834"/>
    <tableColumn id="26" xr3:uid="{00000000-0010-0000-2200-00001A000000}" name="cmp_pct" dataDxfId="4833"/>
    <tableColumn id="27" xr3:uid="{00000000-0010-0000-2200-00001B000000}" name="td_rate" dataDxfId="4832"/>
    <tableColumn id="28" xr3:uid="{00000000-0010-0000-2200-00001C000000}" name="f_custom" dataDxfId="4831"/>
  </tableColumns>
  <tableStyleInfo name="TableStyleMedium1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23000000}" name="CHI_Table1" displayName="CHI_Table1" ref="A1:Y23" totalsRowShown="0" headerRowDxfId="4830" dataDxfId="4829">
  <autoFilter ref="A1:Y23" xr:uid="{00000000-0009-0000-0100-000026000000}"/>
  <tableColumns count="25">
    <tableColumn id="1" xr3:uid="{00000000-0010-0000-2300-000001000000}" name="player_name" dataDxfId="4828"/>
    <tableColumn id="2" xr3:uid="{00000000-0010-0000-2300-000002000000}" name="recent_team" dataDxfId="4827"/>
    <tableColumn id="3" xr3:uid="{00000000-0010-0000-2300-000003000000}" name="pos" dataDxfId="4826"/>
    <tableColumn id="4" xr3:uid="{00000000-0010-0000-2300-000004000000}" name="g" dataDxfId="4825"/>
    <tableColumn id="5" xr3:uid="{00000000-0010-0000-2300-000005000000}" name="p_att" dataDxfId="4824"/>
    <tableColumn id="6" xr3:uid="{00000000-0010-0000-2300-000006000000}" name="cmp" dataDxfId="4823"/>
    <tableColumn id="7" xr3:uid="{00000000-0010-0000-2300-000007000000}" name="p_yd" dataDxfId="4822"/>
    <tableColumn id="8" xr3:uid="{00000000-0010-0000-2300-000008000000}" name="p_td" dataDxfId="4821"/>
    <tableColumn id="9" xr3:uid="{00000000-0010-0000-2300-000009000000}" name="int" dataDxfId="4820"/>
    <tableColumn id="10" xr3:uid="{00000000-0010-0000-2300-00000A000000}" name="car" dataDxfId="4819"/>
    <tableColumn id="11" xr3:uid="{00000000-0010-0000-2300-00000B000000}" name="r_yd" dataDxfId="4818"/>
    <tableColumn id="12" xr3:uid="{00000000-0010-0000-2300-00000C000000}" name="r_td" dataDxfId="4817"/>
    <tableColumn id="13" xr3:uid="{00000000-0010-0000-2300-00000D000000}" name="tgt" dataDxfId="4816"/>
    <tableColumn id="14" xr3:uid="{00000000-0010-0000-2300-00000E000000}" name="rec" dataDxfId="4815"/>
    <tableColumn id="15" xr3:uid="{00000000-0010-0000-2300-00000F000000}" name="rec_yd" dataDxfId="4814"/>
    <tableColumn id="16" xr3:uid="{00000000-0010-0000-2300-000010000000}" name="rec_td" dataDxfId="4813"/>
    <tableColumn id="17" xr3:uid="{00000000-0010-0000-2300-000011000000}" name="fmb" dataDxfId="4812"/>
    <tableColumn id="18" xr3:uid="{00000000-0010-0000-2300-000012000000}" name="tp_c" dataDxfId="4811"/>
    <tableColumn id="19" xr3:uid="{00000000-0010-0000-2300-000013000000}" name="f_ppr" dataDxfId="4810"/>
    <tableColumn id="20" xr3:uid="{00000000-0010-0000-2300-000014000000}" name="tgt_share" dataDxfId="4809"/>
    <tableColumn id="21" xr3:uid="{00000000-0010-0000-2300-000015000000}" name="ypc" dataDxfId="4808"/>
    <tableColumn id="22" xr3:uid="{00000000-0010-0000-2300-000016000000}" name="ypr" dataDxfId="4807"/>
    <tableColumn id="23" xr3:uid="{00000000-0010-0000-2300-000017000000}" name="cmp_pct" dataDxfId="4806"/>
    <tableColumn id="24" xr3:uid="{00000000-0010-0000-2300-000018000000}" name="td_rate" dataDxfId="4805"/>
    <tableColumn id="25" xr3:uid="{4374D72A-04BF-4A60-A1F7-89EBEC2B1F61}" name="f_custom" dataDxfId="4804">
      <calculatedColumnFormula>($G2*Admin!$C$4)+($H2*Admin!$C$3)+($I2*Admin!$C$5)+($K2*Admin!$C$9)+($L2*Admin!$C$10)+($N2*Admin!$C$7)+($O2*Admin!$C$11)+($P2*Admin!$C$12)+($Q2*Admin!$C$6)+($R2*Admin!$C$13)</calculatedColumnFormula>
    </tableColumn>
  </tableColumns>
  <tableStyleInfo name="TableStyleMedium1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24000000}" name="CHI_Table2" displayName="CHI_Table2" ref="A30:L31" totalsRowShown="0" headerRowDxfId="4803" dataDxfId="4802">
  <autoFilter ref="A30:L31" xr:uid="{00000000-0009-0000-0100-000027000000}"/>
  <tableColumns count="12">
    <tableColumn id="1" xr3:uid="{00000000-0010-0000-2400-000001000000}" name="team" dataDxfId="4801"/>
    <tableColumn id="2" xr3:uid="{00000000-0010-0000-2400-000002000000}" name="off_yd" dataDxfId="4800"/>
    <tableColumn id="3" xr3:uid="{00000000-0010-0000-2400-000003000000}" name="p_yd" dataDxfId="4799"/>
    <tableColumn id="4" xr3:uid="{00000000-0010-0000-2400-000004000000}" name="car" dataDxfId="4798"/>
    <tableColumn id="5" xr3:uid="{00000000-0010-0000-2400-000005000000}" name="r_yd" dataDxfId="4797"/>
    <tableColumn id="6" xr3:uid="{00000000-0010-0000-2400-000006000000}" name="r_td" dataDxfId="4796"/>
    <tableColumn id="7" xr3:uid="{00000000-0010-0000-2400-000007000000}" name="p_ff" dataDxfId="4795"/>
    <tableColumn id="8" xr3:uid="{00000000-0010-0000-2400-000008000000}" name="p_att" dataDxfId="4794"/>
    <tableColumn id="9" xr3:uid="{00000000-0010-0000-2400-000009000000}" name="cmp_pct" dataDxfId="4793"/>
    <tableColumn id="10" xr3:uid="{00000000-0010-0000-2400-00000A000000}" name="p_td" dataDxfId="4792"/>
    <tableColumn id="11" xr3:uid="{00000000-0010-0000-2400-00000B000000}" name="int" dataDxfId="4791"/>
    <tableColumn id="12" xr3:uid="{00000000-0010-0000-2400-00000C000000}" name="fmb" dataDxfId="4790"/>
  </tableColumns>
  <tableStyleInfo name="TableStyleMedium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25000000}" name="CHI_Table3" displayName="CHI_Table3" ref="A32:L33" totalsRowShown="0" headerRowDxfId="4789" dataDxfId="4788">
  <autoFilter ref="A32:L33" xr:uid="{00000000-0009-0000-0100-000028000000}"/>
  <tableColumns count="12">
    <tableColumn id="1" xr3:uid="{00000000-0010-0000-2500-000001000000}" name="team" dataDxfId="4787">
      <calculatedColumnFormula>A31</calculatedColumnFormula>
    </tableColumn>
    <tableColumn id="2" xr3:uid="{00000000-0010-0000-2500-000002000000}" name="off_yd" dataDxfId="4786">
      <calculatedColumnFormula>C33 + E33</calculatedColumnFormula>
    </tableColumn>
    <tableColumn id="3" xr3:uid="{00000000-0010-0000-2500-000003000000}" name="p_yd" dataDxfId="4785">
      <calculatedColumnFormula>SUM(INDIRECT(A33 &amp; "_Table4[[#All],[p_yd]]"))</calculatedColumnFormula>
    </tableColumn>
    <tableColumn id="4" xr3:uid="{00000000-0010-0000-2500-000004000000}" name="car" dataDxfId="4784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2500-000005000000}" name="r_yd" dataDxfId="4783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2500-000006000000}" name="r_td" dataDxfId="4782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2500-000007000000}" name="p_ff" dataDxfId="4781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2500-000008000000}" name="p_att" dataDxfId="4780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2500-000009000000}" name="cmp_pct" dataDxfId="4779">
      <calculatedColumnFormula>SUM(INDIRECT(A33 &amp; "_Table4[[#All],[cmp]]"))/H33</calculatedColumnFormula>
    </tableColumn>
    <tableColumn id="10" xr3:uid="{00000000-0010-0000-2500-00000A000000}" name="p_td" dataDxfId="4778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2500-00000B000000}" name="int" dataDxfId="4777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2500-00000C000000}" name="fmb" dataDxfId="4776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</tableColumns>
  <tableStyleInfo name="TableStyleMedium1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26000000}" name="CHI_Table4" displayName="CHI_Table4" ref="A35:AB39" totalsRowShown="0" headerRowDxfId="4775" dataDxfId="4774">
  <autoFilter ref="A35:AB39" xr:uid="{00000000-0009-0000-0100-000029000000}"/>
  <tableColumns count="28">
    <tableColumn id="1" xr3:uid="{00000000-0010-0000-2600-000001000000}" name="Name" dataDxfId="4773"/>
    <tableColumn id="2" xr3:uid="{00000000-0010-0000-2600-000002000000}" name="POS" dataDxfId="4772"/>
    <tableColumn id="3" xr3:uid="{00000000-0010-0000-2600-000003000000}" name="Age" dataDxfId="4771"/>
    <tableColumn id="4" xr3:uid="{00000000-0010-0000-2600-000004000000}" name="Exp" dataDxfId="4770"/>
    <tableColumn id="5" xr3:uid="{00000000-0010-0000-2600-000005000000}" name="College" dataDxfId="4769"/>
    <tableColumn id="6" xr3:uid="{00000000-0010-0000-2600-000006000000}" name="team" dataDxfId="4768"/>
    <tableColumn id="7" xr3:uid="{00000000-0010-0000-2600-000007000000}" name="g" dataDxfId="4767"/>
    <tableColumn id="8" xr3:uid="{00000000-0010-0000-2600-000008000000}" name="p_att" dataDxfId="4766"/>
    <tableColumn id="9" xr3:uid="{00000000-0010-0000-2600-000009000000}" name="cmp" dataDxfId="4765"/>
    <tableColumn id="10" xr3:uid="{00000000-0010-0000-2600-00000A000000}" name="p_yd" dataDxfId="4764"/>
    <tableColumn id="11" xr3:uid="{00000000-0010-0000-2600-00000B000000}" name="p_td" dataDxfId="4763"/>
    <tableColumn id="12" xr3:uid="{00000000-0010-0000-2600-00000C000000}" name="int" dataDxfId="4762"/>
    <tableColumn id="13" xr3:uid="{00000000-0010-0000-2600-00000D000000}" name="car" dataDxfId="4761"/>
    <tableColumn id="14" xr3:uid="{00000000-0010-0000-2600-00000E000000}" name="r_yd" dataDxfId="4760"/>
    <tableColumn id="15" xr3:uid="{00000000-0010-0000-2600-00000F000000}" name="r_td" dataDxfId="4759"/>
    <tableColumn id="16" xr3:uid="{00000000-0010-0000-2600-000010000000}" name="tgt" dataDxfId="4758"/>
    <tableColumn id="17" xr3:uid="{00000000-0010-0000-2600-000011000000}" name="rec" dataDxfId="4757"/>
    <tableColumn id="18" xr3:uid="{00000000-0010-0000-2600-000012000000}" name="rec_yd" dataDxfId="4756"/>
    <tableColumn id="19" xr3:uid="{00000000-0010-0000-2600-000013000000}" name="rec_td" dataDxfId="4755"/>
    <tableColumn id="20" xr3:uid="{00000000-0010-0000-2600-000014000000}" name="fmb" dataDxfId="4754"/>
    <tableColumn id="21" xr3:uid="{00000000-0010-0000-2600-000015000000}" name="tp_c" dataDxfId="4753"/>
    <tableColumn id="22" xr3:uid="{00000000-0010-0000-2600-000016000000}" name="f_ppr" dataDxfId="4752"/>
    <tableColumn id="23" xr3:uid="{00000000-0010-0000-2600-000017000000}" name="tgt_share" dataDxfId="4751"/>
    <tableColumn id="24" xr3:uid="{00000000-0010-0000-2600-000018000000}" name="ypc" dataDxfId="4750"/>
    <tableColumn id="25" xr3:uid="{00000000-0010-0000-2600-000019000000}" name="ypr" dataDxfId="4749"/>
    <tableColumn id="26" xr3:uid="{00000000-0010-0000-2600-00001A000000}" name="cmp_pct" dataDxfId="4748"/>
    <tableColumn id="27" xr3:uid="{00000000-0010-0000-2600-00001B000000}" name="td_rate" dataDxfId="4747"/>
    <tableColumn id="28" xr3:uid="{00000000-0010-0000-2600-00001C000000}" name="f_custom" dataDxfId="4746"/>
  </tableColumns>
  <tableStyleInfo name="TableStyleMedium1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27000000}" name="CHI_Table5" displayName="CHI_Table5" ref="A45:AB50" totalsRowShown="0" headerRowDxfId="4745" dataDxfId="4744">
  <autoFilter ref="A45:AB50" xr:uid="{00000000-0009-0000-0100-00002A000000}"/>
  <tableColumns count="28">
    <tableColumn id="1" xr3:uid="{00000000-0010-0000-2700-000001000000}" name="Name" dataDxfId="4743"/>
    <tableColumn id="2" xr3:uid="{00000000-0010-0000-2700-000002000000}" name="POS" dataDxfId="4742"/>
    <tableColumn id="3" xr3:uid="{00000000-0010-0000-2700-000003000000}" name="Age" dataDxfId="4741"/>
    <tableColumn id="4" xr3:uid="{00000000-0010-0000-2700-000004000000}" name="Exp" dataDxfId="4740"/>
    <tableColumn id="5" xr3:uid="{00000000-0010-0000-2700-000005000000}" name="College" dataDxfId="4739"/>
    <tableColumn id="6" xr3:uid="{00000000-0010-0000-2700-000006000000}" name="team" dataDxfId="4738"/>
    <tableColumn id="7" xr3:uid="{00000000-0010-0000-2700-000007000000}" name="g" dataDxfId="4737"/>
    <tableColumn id="8" xr3:uid="{00000000-0010-0000-2700-000008000000}" name="p_att" dataDxfId="4736"/>
    <tableColumn id="9" xr3:uid="{00000000-0010-0000-2700-000009000000}" name="cmp" dataDxfId="4735"/>
    <tableColumn id="10" xr3:uid="{00000000-0010-0000-2700-00000A000000}" name="p_yd" dataDxfId="4734"/>
    <tableColumn id="11" xr3:uid="{00000000-0010-0000-2700-00000B000000}" name="p_td" dataDxfId="4733"/>
    <tableColumn id="12" xr3:uid="{00000000-0010-0000-2700-00000C000000}" name="int" dataDxfId="4732"/>
    <tableColumn id="13" xr3:uid="{00000000-0010-0000-2700-00000D000000}" name="car" dataDxfId="4731"/>
    <tableColumn id="14" xr3:uid="{00000000-0010-0000-2700-00000E000000}" name="r_yd" dataDxfId="4730"/>
    <tableColumn id="15" xr3:uid="{00000000-0010-0000-2700-00000F000000}" name="r_td" dataDxfId="4729"/>
    <tableColumn id="16" xr3:uid="{00000000-0010-0000-2700-000010000000}" name="tgt" dataDxfId="4728"/>
    <tableColumn id="17" xr3:uid="{00000000-0010-0000-2700-000011000000}" name="rec" dataDxfId="4727"/>
    <tableColumn id="18" xr3:uid="{00000000-0010-0000-2700-000012000000}" name="rec_yd" dataDxfId="4726"/>
    <tableColumn id="19" xr3:uid="{00000000-0010-0000-2700-000013000000}" name="rec_td" dataDxfId="4725"/>
    <tableColumn id="20" xr3:uid="{00000000-0010-0000-2700-000014000000}" name="fmb" dataDxfId="4724"/>
    <tableColumn id="21" xr3:uid="{00000000-0010-0000-2700-000015000000}" name="tp_c" dataDxfId="4723"/>
    <tableColumn id="22" xr3:uid="{00000000-0010-0000-2700-000016000000}" name="f_ppr" dataDxfId="4722"/>
    <tableColumn id="23" xr3:uid="{00000000-0010-0000-2700-000017000000}" name="tgt_share" dataDxfId="4721"/>
    <tableColumn id="24" xr3:uid="{00000000-0010-0000-2700-000018000000}" name="ypc" dataDxfId="4720"/>
    <tableColumn id="25" xr3:uid="{00000000-0010-0000-2700-000019000000}" name="ypr" dataDxfId="4719"/>
    <tableColumn id="26" xr3:uid="{00000000-0010-0000-2700-00001A000000}" name="cmp_pct" dataDxfId="4718"/>
    <tableColumn id="27" xr3:uid="{00000000-0010-0000-2700-00001B000000}" name="td_rate" dataDxfId="4717"/>
    <tableColumn id="28" xr3:uid="{00000000-0010-0000-2700-00001C000000}" name="f_custom" dataDxfId="4716">
      <calculatedColumnFormula>($J46*Cp_yd)+($K46*Cp_td)+($L46*Cint)+($M46*Ccar)+($N46*Cr_td)+($O46*Cr_yd)+(Q46*Crec)+($R46*Crec_yd)+($S46*Crec_td)+($T46*Cfmb)+($U46*Ctp_c)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0000000-000C-0000-FFFF-FFFF28000000}" name="CHI_Table6" displayName="CHI_Table6" ref="A60:AB71" totalsRowShown="0" headerRowDxfId="4715" dataDxfId="4714">
  <autoFilter ref="A60:AB71" xr:uid="{00000000-0009-0000-0100-00002B000000}"/>
  <tableColumns count="28">
    <tableColumn id="1" xr3:uid="{00000000-0010-0000-2800-000001000000}" name="Name" dataDxfId="4713"/>
    <tableColumn id="2" xr3:uid="{00000000-0010-0000-2800-000002000000}" name="POS" dataDxfId="4712"/>
    <tableColumn id="3" xr3:uid="{00000000-0010-0000-2800-000003000000}" name="Age" dataDxfId="4711"/>
    <tableColumn id="4" xr3:uid="{00000000-0010-0000-2800-000004000000}" name="Exp" dataDxfId="4710"/>
    <tableColumn id="5" xr3:uid="{00000000-0010-0000-2800-000005000000}" name="College" dataDxfId="4709"/>
    <tableColumn id="6" xr3:uid="{00000000-0010-0000-2800-000006000000}" name="team" dataDxfId="4708"/>
    <tableColumn id="7" xr3:uid="{00000000-0010-0000-2800-000007000000}" name="g" dataDxfId="4707"/>
    <tableColumn id="8" xr3:uid="{00000000-0010-0000-2800-000008000000}" name="p_att" dataDxfId="4706"/>
    <tableColumn id="9" xr3:uid="{00000000-0010-0000-2800-000009000000}" name="cmp" dataDxfId="4705"/>
    <tableColumn id="10" xr3:uid="{00000000-0010-0000-2800-00000A000000}" name="p_yd" dataDxfId="4704"/>
    <tableColumn id="11" xr3:uid="{00000000-0010-0000-2800-00000B000000}" name="p_td" dataDxfId="4703"/>
    <tableColumn id="12" xr3:uid="{00000000-0010-0000-2800-00000C000000}" name="int" dataDxfId="4702"/>
    <tableColumn id="13" xr3:uid="{00000000-0010-0000-2800-00000D000000}" name="car" dataDxfId="4701"/>
    <tableColumn id="14" xr3:uid="{00000000-0010-0000-2800-00000E000000}" name="r_yd" dataDxfId="4700"/>
    <tableColumn id="15" xr3:uid="{00000000-0010-0000-2800-00000F000000}" name="r_td" dataDxfId="4699"/>
    <tableColumn id="16" xr3:uid="{00000000-0010-0000-2800-000010000000}" name="tgt" dataDxfId="4698"/>
    <tableColumn id="17" xr3:uid="{00000000-0010-0000-2800-000011000000}" name="rec" dataDxfId="4697"/>
    <tableColumn id="18" xr3:uid="{00000000-0010-0000-2800-000012000000}" name="rec_yd" dataDxfId="4696"/>
    <tableColumn id="19" xr3:uid="{00000000-0010-0000-2800-000013000000}" name="rec_td" dataDxfId="4695"/>
    <tableColumn id="20" xr3:uid="{00000000-0010-0000-2800-000014000000}" name="fmb" dataDxfId="4694"/>
    <tableColumn id="21" xr3:uid="{00000000-0010-0000-2800-000015000000}" name="tp_c" dataDxfId="4693"/>
    <tableColumn id="22" xr3:uid="{00000000-0010-0000-2800-000016000000}" name="f_ppr" dataDxfId="4692"/>
    <tableColumn id="23" xr3:uid="{00000000-0010-0000-2800-000017000000}" name="tgt_share" dataDxfId="4691"/>
    <tableColumn id="24" xr3:uid="{00000000-0010-0000-2800-000018000000}" name="ypc" dataDxfId="4690"/>
    <tableColumn id="25" xr3:uid="{00000000-0010-0000-2800-000019000000}" name="ypr" dataDxfId="4689"/>
    <tableColumn id="26" xr3:uid="{00000000-0010-0000-2800-00001A000000}" name="cmp_pct" dataDxfId="4688"/>
    <tableColumn id="27" xr3:uid="{00000000-0010-0000-2800-00001B000000}" name="td_rate" dataDxfId="4687"/>
    <tableColumn id="28" xr3:uid="{00000000-0010-0000-2800-00001C000000}" name="f_custom" dataDxfId="4686"/>
  </tableColumns>
  <tableStyleInfo name="TableStyleMedium1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29000000}" name="CHI_Table7" displayName="CHI_Table7" ref="A75:AB81" totalsRowShown="0" headerRowDxfId="4685" dataDxfId="4684">
  <autoFilter ref="A75:AB81" xr:uid="{00000000-0009-0000-0100-00002C000000}"/>
  <tableColumns count="28">
    <tableColumn id="1" xr3:uid="{00000000-0010-0000-2900-000001000000}" name="Name" dataDxfId="4683"/>
    <tableColumn id="2" xr3:uid="{00000000-0010-0000-2900-000002000000}" name="POS" dataDxfId="4682"/>
    <tableColumn id="3" xr3:uid="{00000000-0010-0000-2900-000003000000}" name="Age" dataDxfId="4681"/>
    <tableColumn id="4" xr3:uid="{00000000-0010-0000-2900-000004000000}" name="Exp" dataDxfId="4680"/>
    <tableColumn id="5" xr3:uid="{00000000-0010-0000-2900-000005000000}" name="College" dataDxfId="4679"/>
    <tableColumn id="6" xr3:uid="{00000000-0010-0000-2900-000006000000}" name="team" dataDxfId="4678"/>
    <tableColumn id="7" xr3:uid="{00000000-0010-0000-2900-000007000000}" name="g" dataDxfId="4677"/>
    <tableColumn id="8" xr3:uid="{00000000-0010-0000-2900-000008000000}" name="p_att" dataDxfId="4676"/>
    <tableColumn id="9" xr3:uid="{00000000-0010-0000-2900-000009000000}" name="cmp" dataDxfId="4675"/>
    <tableColumn id="10" xr3:uid="{00000000-0010-0000-2900-00000A000000}" name="p_yd" dataDxfId="4674"/>
    <tableColumn id="11" xr3:uid="{00000000-0010-0000-2900-00000B000000}" name="p_td" dataDxfId="4673"/>
    <tableColumn id="12" xr3:uid="{00000000-0010-0000-2900-00000C000000}" name="int" dataDxfId="4672"/>
    <tableColumn id="13" xr3:uid="{00000000-0010-0000-2900-00000D000000}" name="car" dataDxfId="4671"/>
    <tableColumn id="14" xr3:uid="{00000000-0010-0000-2900-00000E000000}" name="r_yd" dataDxfId="4670"/>
    <tableColumn id="15" xr3:uid="{00000000-0010-0000-2900-00000F000000}" name="r_td" dataDxfId="4669"/>
    <tableColumn id="16" xr3:uid="{00000000-0010-0000-2900-000010000000}" name="tgt" dataDxfId="4668"/>
    <tableColumn id="17" xr3:uid="{00000000-0010-0000-2900-000011000000}" name="rec" dataDxfId="4667"/>
    <tableColumn id="18" xr3:uid="{00000000-0010-0000-2900-000012000000}" name="rec_yd" dataDxfId="4666"/>
    <tableColumn id="19" xr3:uid="{00000000-0010-0000-2900-000013000000}" name="rec_td" dataDxfId="4665"/>
    <tableColumn id="20" xr3:uid="{00000000-0010-0000-2900-000014000000}" name="fmb" dataDxfId="4664"/>
    <tableColumn id="21" xr3:uid="{00000000-0010-0000-2900-000015000000}" name="tp_c" dataDxfId="4663"/>
    <tableColumn id="22" xr3:uid="{00000000-0010-0000-2900-000016000000}" name="f_ppr" dataDxfId="4662"/>
    <tableColumn id="23" xr3:uid="{00000000-0010-0000-2900-000017000000}" name="tgt_share" dataDxfId="4661"/>
    <tableColumn id="24" xr3:uid="{00000000-0010-0000-2900-000018000000}" name="ypc" dataDxfId="4660"/>
    <tableColumn id="25" xr3:uid="{00000000-0010-0000-2900-000019000000}" name="ypr" dataDxfId="4659"/>
    <tableColumn id="26" xr3:uid="{00000000-0010-0000-2900-00001A000000}" name="cmp_pct" dataDxfId="4658"/>
    <tableColumn id="27" xr3:uid="{00000000-0010-0000-2900-00001B000000}" name="td_rate" dataDxfId="4657"/>
    <tableColumn id="28" xr3:uid="{00000000-0010-0000-2900-00001C000000}" name="f_custom" dataDxfId="4656"/>
  </tableColumns>
  <tableStyleInfo name="TableStyleMedium1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A000000}" name="CIN_Table1" displayName="CIN_Table1" ref="A1:X18" totalsRowShown="0" headerRowDxfId="4655" dataDxfId="4654">
  <autoFilter ref="A1:X18" xr:uid="{00000000-0009-0000-0100-00002D000000}"/>
  <tableColumns count="24">
    <tableColumn id="1" xr3:uid="{00000000-0010-0000-2A00-000001000000}" name="player_name" dataDxfId="4653"/>
    <tableColumn id="2" xr3:uid="{00000000-0010-0000-2A00-000002000000}" name="recent_team" dataDxfId="4652"/>
    <tableColumn id="3" xr3:uid="{00000000-0010-0000-2A00-000003000000}" name="pos" dataDxfId="4651"/>
    <tableColumn id="4" xr3:uid="{00000000-0010-0000-2A00-000004000000}" name="g" dataDxfId="4650"/>
    <tableColumn id="5" xr3:uid="{00000000-0010-0000-2A00-000005000000}" name="p_att" dataDxfId="4649"/>
    <tableColumn id="6" xr3:uid="{00000000-0010-0000-2A00-000006000000}" name="cmp" dataDxfId="4648"/>
    <tableColumn id="7" xr3:uid="{00000000-0010-0000-2A00-000007000000}" name="p_yd" dataDxfId="4647"/>
    <tableColumn id="8" xr3:uid="{00000000-0010-0000-2A00-000008000000}" name="p_td" dataDxfId="4646"/>
    <tableColumn id="9" xr3:uid="{00000000-0010-0000-2A00-000009000000}" name="int" dataDxfId="4645"/>
    <tableColumn id="10" xr3:uid="{00000000-0010-0000-2A00-00000A000000}" name="car" dataDxfId="4644"/>
    <tableColumn id="11" xr3:uid="{00000000-0010-0000-2A00-00000B000000}" name="r_yd" dataDxfId="4643"/>
    <tableColumn id="12" xr3:uid="{00000000-0010-0000-2A00-00000C000000}" name="r_td" dataDxfId="4642"/>
    <tableColumn id="13" xr3:uid="{00000000-0010-0000-2A00-00000D000000}" name="tgt" dataDxfId="4641"/>
    <tableColumn id="14" xr3:uid="{00000000-0010-0000-2A00-00000E000000}" name="rec" dataDxfId="4640"/>
    <tableColumn id="15" xr3:uid="{00000000-0010-0000-2A00-00000F000000}" name="rec_yd" dataDxfId="4639"/>
    <tableColumn id="16" xr3:uid="{00000000-0010-0000-2A00-000010000000}" name="rec_td" dataDxfId="4638"/>
    <tableColumn id="17" xr3:uid="{00000000-0010-0000-2A00-000011000000}" name="fmb" dataDxfId="4637"/>
    <tableColumn id="18" xr3:uid="{00000000-0010-0000-2A00-000012000000}" name="tp_c" dataDxfId="4636"/>
    <tableColumn id="19" xr3:uid="{00000000-0010-0000-2A00-000013000000}" name="f_ppr" dataDxfId="4635"/>
    <tableColumn id="20" xr3:uid="{00000000-0010-0000-2A00-000014000000}" name="tgt_share" dataDxfId="4634"/>
    <tableColumn id="21" xr3:uid="{00000000-0010-0000-2A00-000015000000}" name="ypc" dataDxfId="4633"/>
    <tableColumn id="22" xr3:uid="{00000000-0010-0000-2A00-000016000000}" name="ypr" dataDxfId="4632"/>
    <tableColumn id="23" xr3:uid="{00000000-0010-0000-2A00-000017000000}" name="cmp_pct" dataDxfId="4631"/>
    <tableColumn id="24" xr3:uid="{00000000-0010-0000-2A00-000018000000}" name="td_rate" dataDxfId="4630"/>
  </tableColumns>
  <tableStyleInfo name="TableStyleMedium1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2B000000}" name="CIN_Table2" displayName="CIN_Table2" ref="A30:L31" totalsRowShown="0" headerRowDxfId="4629" dataDxfId="4628">
  <autoFilter ref="A30:L31" xr:uid="{00000000-0009-0000-0100-00002E000000}"/>
  <tableColumns count="12">
    <tableColumn id="1" xr3:uid="{00000000-0010-0000-2B00-000001000000}" name="team" dataDxfId="4627"/>
    <tableColumn id="2" xr3:uid="{00000000-0010-0000-2B00-000002000000}" name="off_yd" dataDxfId="4626"/>
    <tableColumn id="3" xr3:uid="{00000000-0010-0000-2B00-000003000000}" name="p_yd" dataDxfId="4625"/>
    <tableColumn id="4" xr3:uid="{00000000-0010-0000-2B00-000004000000}" name="car" dataDxfId="4624"/>
    <tableColumn id="5" xr3:uid="{00000000-0010-0000-2B00-000005000000}" name="r_yd" dataDxfId="4623"/>
    <tableColumn id="6" xr3:uid="{00000000-0010-0000-2B00-000006000000}" name="r_td" dataDxfId="4622"/>
    <tableColumn id="7" xr3:uid="{00000000-0010-0000-2B00-000007000000}" name="p_ff" dataDxfId="4621"/>
    <tableColumn id="8" xr3:uid="{00000000-0010-0000-2B00-000008000000}" name="p_att" dataDxfId="4620"/>
    <tableColumn id="9" xr3:uid="{00000000-0010-0000-2B00-000009000000}" name="cmp_pct" dataDxfId="4619"/>
    <tableColumn id="10" xr3:uid="{00000000-0010-0000-2B00-00000A000000}" name="p_td" dataDxfId="4618"/>
    <tableColumn id="11" xr3:uid="{00000000-0010-0000-2B00-00000B000000}" name="int" dataDxfId="4617"/>
    <tableColumn id="12" xr3:uid="{00000000-0010-0000-2B00-00000C000000}" name="fmb" dataDxfId="4616"/>
  </tableColumns>
  <tableStyleInfo name="TableStyleMedium1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2C000000}" name="CIN_Table3" displayName="CIN_Table3" ref="A32:L33" totalsRowShown="0" headerRowDxfId="4615" dataDxfId="4614">
  <autoFilter ref="A32:L33" xr:uid="{00000000-0009-0000-0100-00002F000000}"/>
  <tableColumns count="12">
    <tableColumn id="1" xr3:uid="{00000000-0010-0000-2C00-000001000000}" name="team" dataDxfId="4613">
      <calculatedColumnFormula>A31</calculatedColumnFormula>
    </tableColumn>
    <tableColumn id="2" xr3:uid="{00000000-0010-0000-2C00-000002000000}" name="off_yd" dataDxfId="4612">
      <calculatedColumnFormula>C33 + E33</calculatedColumnFormula>
    </tableColumn>
    <tableColumn id="3" xr3:uid="{00000000-0010-0000-2C00-000003000000}" name="p_yd" dataDxfId="4611">
      <calculatedColumnFormula>SUM(INDIRECT(A33 &amp; "_Table4[[#All],[p_yd]]"))</calculatedColumnFormula>
    </tableColumn>
    <tableColumn id="4" xr3:uid="{00000000-0010-0000-2C00-000004000000}" name="car" dataDxfId="4610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2C00-000005000000}" name="r_yd" dataDxfId="4609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2C00-000006000000}" name="r_td" dataDxfId="4608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2C00-000007000000}" name="p_ff" dataDxfId="4607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2C00-000008000000}" name="p_att" dataDxfId="4606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2C00-000009000000}" name="cmp_pct" dataDxfId="4605">
      <calculatedColumnFormula>SUM(INDIRECT(A33 &amp; "_Table4[[#All],[cmp]]"))/H33</calculatedColumnFormula>
    </tableColumn>
    <tableColumn id="10" xr3:uid="{00000000-0010-0000-2C00-00000A000000}" name="p_td" dataDxfId="4604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2C00-00000B000000}" name="int" dataDxfId="4603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2C00-00000C000000}" name="fmb" dataDxfId="4602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</tableColumns>
  <tableStyleInfo name="TableStyleMedium1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0000000-000C-0000-FFFF-FFFF2D000000}" name="CIN_Table4" displayName="CIN_Table4" ref="A35:AB39" totalsRowShown="0" headerRowDxfId="4601" dataDxfId="4600">
  <autoFilter ref="A35:AB39" xr:uid="{00000000-0009-0000-0100-000030000000}"/>
  <tableColumns count="28">
    <tableColumn id="1" xr3:uid="{00000000-0010-0000-2D00-000001000000}" name="Name" dataDxfId="4599"/>
    <tableColumn id="2" xr3:uid="{00000000-0010-0000-2D00-000002000000}" name="POS" dataDxfId="4598"/>
    <tableColumn id="3" xr3:uid="{00000000-0010-0000-2D00-000003000000}" name="Age" dataDxfId="4597"/>
    <tableColumn id="4" xr3:uid="{00000000-0010-0000-2D00-000004000000}" name="Exp" dataDxfId="4596"/>
    <tableColumn id="5" xr3:uid="{00000000-0010-0000-2D00-000005000000}" name="College" dataDxfId="4595"/>
    <tableColumn id="6" xr3:uid="{00000000-0010-0000-2D00-000006000000}" name="team" dataDxfId="4594"/>
    <tableColumn id="7" xr3:uid="{00000000-0010-0000-2D00-000007000000}" name="g" dataDxfId="4593"/>
    <tableColumn id="8" xr3:uid="{00000000-0010-0000-2D00-000008000000}" name="p_att" dataDxfId="4592"/>
    <tableColumn id="9" xr3:uid="{00000000-0010-0000-2D00-000009000000}" name="cmp" dataDxfId="4591"/>
    <tableColumn id="10" xr3:uid="{00000000-0010-0000-2D00-00000A000000}" name="p_yd" dataDxfId="4590"/>
    <tableColumn id="11" xr3:uid="{00000000-0010-0000-2D00-00000B000000}" name="p_td" dataDxfId="4589"/>
    <tableColumn id="12" xr3:uid="{00000000-0010-0000-2D00-00000C000000}" name="int" dataDxfId="4588"/>
    <tableColumn id="13" xr3:uid="{00000000-0010-0000-2D00-00000D000000}" name="car" dataDxfId="4587"/>
    <tableColumn id="14" xr3:uid="{00000000-0010-0000-2D00-00000E000000}" name="r_yd" dataDxfId="4586"/>
    <tableColumn id="15" xr3:uid="{00000000-0010-0000-2D00-00000F000000}" name="r_td" dataDxfId="4585"/>
    <tableColumn id="16" xr3:uid="{00000000-0010-0000-2D00-000010000000}" name="tgt" dataDxfId="4584"/>
    <tableColumn id="17" xr3:uid="{00000000-0010-0000-2D00-000011000000}" name="rec" dataDxfId="4583"/>
    <tableColumn id="18" xr3:uid="{00000000-0010-0000-2D00-000012000000}" name="rec_yd" dataDxfId="4582"/>
    <tableColumn id="19" xr3:uid="{00000000-0010-0000-2D00-000013000000}" name="rec_td" dataDxfId="4581"/>
    <tableColumn id="20" xr3:uid="{00000000-0010-0000-2D00-000014000000}" name="fmb" dataDxfId="4580"/>
    <tableColumn id="21" xr3:uid="{00000000-0010-0000-2D00-000015000000}" name="tp_c" dataDxfId="4579"/>
    <tableColumn id="22" xr3:uid="{00000000-0010-0000-2D00-000016000000}" name="f_ppr" dataDxfId="4578"/>
    <tableColumn id="23" xr3:uid="{00000000-0010-0000-2D00-000017000000}" name="tgt_share" dataDxfId="4577"/>
    <tableColumn id="24" xr3:uid="{00000000-0010-0000-2D00-000018000000}" name="ypc" dataDxfId="4576"/>
    <tableColumn id="25" xr3:uid="{00000000-0010-0000-2D00-000019000000}" name="ypr" dataDxfId="4575"/>
    <tableColumn id="26" xr3:uid="{00000000-0010-0000-2D00-00001A000000}" name="cmp_pct" dataDxfId="4574"/>
    <tableColumn id="27" xr3:uid="{00000000-0010-0000-2D00-00001B000000}" name="td_rate" dataDxfId="4573"/>
    <tableColumn id="28" xr3:uid="{00000000-0010-0000-2D00-00001C000000}" name="f_custom" dataDxfId="4572"/>
  </tableColumns>
  <tableStyleInfo name="TableStyleMedium1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0000000-000C-0000-FFFF-FFFF2E000000}" name="CIN_Table5" displayName="CIN_Table5" ref="A45:AB51" totalsRowShown="0" headerRowDxfId="4571" dataDxfId="4570">
  <autoFilter ref="A45:AB51" xr:uid="{00000000-0009-0000-0100-000031000000}"/>
  <tableColumns count="28">
    <tableColumn id="1" xr3:uid="{00000000-0010-0000-2E00-000001000000}" name="Name" dataDxfId="4569"/>
    <tableColumn id="2" xr3:uid="{00000000-0010-0000-2E00-000002000000}" name="POS" dataDxfId="4568"/>
    <tableColumn id="3" xr3:uid="{00000000-0010-0000-2E00-000003000000}" name="Age" dataDxfId="4567"/>
    <tableColumn id="4" xr3:uid="{00000000-0010-0000-2E00-000004000000}" name="Exp" dataDxfId="4566"/>
    <tableColumn id="5" xr3:uid="{00000000-0010-0000-2E00-000005000000}" name="College" dataDxfId="4565"/>
    <tableColumn id="6" xr3:uid="{00000000-0010-0000-2E00-000006000000}" name="team" dataDxfId="4564"/>
    <tableColumn id="7" xr3:uid="{00000000-0010-0000-2E00-000007000000}" name="g" dataDxfId="4563"/>
    <tableColumn id="8" xr3:uid="{00000000-0010-0000-2E00-000008000000}" name="p_att" dataDxfId="4562"/>
    <tableColumn id="9" xr3:uid="{00000000-0010-0000-2E00-000009000000}" name="cmp" dataDxfId="4561"/>
    <tableColumn id="10" xr3:uid="{00000000-0010-0000-2E00-00000A000000}" name="p_yd" dataDxfId="4560"/>
    <tableColumn id="11" xr3:uid="{00000000-0010-0000-2E00-00000B000000}" name="p_td" dataDxfId="4559"/>
    <tableColumn id="12" xr3:uid="{00000000-0010-0000-2E00-00000C000000}" name="int" dataDxfId="4558"/>
    <tableColumn id="13" xr3:uid="{00000000-0010-0000-2E00-00000D000000}" name="car" dataDxfId="4557"/>
    <tableColumn id="14" xr3:uid="{00000000-0010-0000-2E00-00000E000000}" name="r_yd" dataDxfId="4556"/>
    <tableColumn id="15" xr3:uid="{00000000-0010-0000-2E00-00000F000000}" name="r_td" dataDxfId="4555"/>
    <tableColumn id="16" xr3:uid="{00000000-0010-0000-2E00-000010000000}" name="tgt" dataDxfId="4554"/>
    <tableColumn id="17" xr3:uid="{00000000-0010-0000-2E00-000011000000}" name="rec" dataDxfId="4553"/>
    <tableColumn id="18" xr3:uid="{00000000-0010-0000-2E00-000012000000}" name="rec_yd" dataDxfId="4552"/>
    <tableColumn id="19" xr3:uid="{00000000-0010-0000-2E00-000013000000}" name="rec_td" dataDxfId="4551"/>
    <tableColumn id="20" xr3:uid="{00000000-0010-0000-2E00-000014000000}" name="fmb" dataDxfId="4550"/>
    <tableColumn id="21" xr3:uid="{00000000-0010-0000-2E00-000015000000}" name="tp_c" dataDxfId="4549"/>
    <tableColumn id="22" xr3:uid="{00000000-0010-0000-2E00-000016000000}" name="f_ppr" dataDxfId="4548"/>
    <tableColumn id="23" xr3:uid="{00000000-0010-0000-2E00-000017000000}" name="tgt_share" dataDxfId="4547"/>
    <tableColumn id="24" xr3:uid="{00000000-0010-0000-2E00-000018000000}" name="ypc" dataDxfId="4546"/>
    <tableColumn id="25" xr3:uid="{00000000-0010-0000-2E00-000019000000}" name="ypr" dataDxfId="4545"/>
    <tableColumn id="26" xr3:uid="{00000000-0010-0000-2E00-00001A000000}" name="cmp_pct" dataDxfId="4544"/>
    <tableColumn id="27" xr3:uid="{00000000-0010-0000-2E00-00001B000000}" name="td_rate" dataDxfId="4543"/>
    <tableColumn id="28" xr3:uid="{00000000-0010-0000-2E00-00001C000000}" name="f_custom" dataDxfId="4542">
      <calculatedColumnFormula>($J46*Cp_yd)+($K46*Cp_td)+($L46*Cint)+($M46*Ccar)+($N46*Cr_td)+($O46*Cr_yd)+(Q46*Crec)+($R46*Crec_yd)+($S46*Crec_td)+($T46*Cfmb)+($U46*Ctp_c)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2F000000}" name="CIN_Table6" displayName="CIN_Table6" ref="A60:AB72" totalsRowShown="0" headerRowDxfId="4541" dataDxfId="4540">
  <autoFilter ref="A60:AB72" xr:uid="{00000000-0009-0000-0100-000032000000}"/>
  <tableColumns count="28">
    <tableColumn id="1" xr3:uid="{00000000-0010-0000-2F00-000001000000}" name="Name" dataDxfId="4539"/>
    <tableColumn id="2" xr3:uid="{00000000-0010-0000-2F00-000002000000}" name="POS" dataDxfId="4538"/>
    <tableColumn id="3" xr3:uid="{00000000-0010-0000-2F00-000003000000}" name="Age" dataDxfId="4537"/>
    <tableColumn id="4" xr3:uid="{00000000-0010-0000-2F00-000004000000}" name="Exp" dataDxfId="4536"/>
    <tableColumn id="5" xr3:uid="{00000000-0010-0000-2F00-000005000000}" name="College" dataDxfId="4535"/>
    <tableColumn id="6" xr3:uid="{00000000-0010-0000-2F00-000006000000}" name="team" dataDxfId="4534"/>
    <tableColumn id="7" xr3:uid="{00000000-0010-0000-2F00-000007000000}" name="g" dataDxfId="4533"/>
    <tableColumn id="8" xr3:uid="{00000000-0010-0000-2F00-000008000000}" name="p_att" dataDxfId="4532"/>
    <tableColumn id="9" xr3:uid="{00000000-0010-0000-2F00-000009000000}" name="cmp" dataDxfId="4531"/>
    <tableColumn id="10" xr3:uid="{00000000-0010-0000-2F00-00000A000000}" name="p_yd" dataDxfId="4530"/>
    <tableColumn id="11" xr3:uid="{00000000-0010-0000-2F00-00000B000000}" name="p_td" dataDxfId="4529"/>
    <tableColumn id="12" xr3:uid="{00000000-0010-0000-2F00-00000C000000}" name="int" dataDxfId="4528"/>
    <tableColumn id="13" xr3:uid="{00000000-0010-0000-2F00-00000D000000}" name="car" dataDxfId="4527"/>
    <tableColumn id="14" xr3:uid="{00000000-0010-0000-2F00-00000E000000}" name="r_yd" dataDxfId="4526"/>
    <tableColumn id="15" xr3:uid="{00000000-0010-0000-2F00-00000F000000}" name="r_td" dataDxfId="4525"/>
    <tableColumn id="16" xr3:uid="{00000000-0010-0000-2F00-000010000000}" name="tgt" dataDxfId="4524"/>
    <tableColumn id="17" xr3:uid="{00000000-0010-0000-2F00-000011000000}" name="rec" dataDxfId="4523"/>
    <tableColumn id="18" xr3:uid="{00000000-0010-0000-2F00-000012000000}" name="rec_yd" dataDxfId="4522"/>
    <tableColumn id="19" xr3:uid="{00000000-0010-0000-2F00-000013000000}" name="rec_td" dataDxfId="4521"/>
    <tableColumn id="20" xr3:uid="{00000000-0010-0000-2F00-000014000000}" name="fmb" dataDxfId="4520"/>
    <tableColumn id="21" xr3:uid="{00000000-0010-0000-2F00-000015000000}" name="tp_c" dataDxfId="4519"/>
    <tableColumn id="22" xr3:uid="{00000000-0010-0000-2F00-000016000000}" name="f_ppr" dataDxfId="4518"/>
    <tableColumn id="23" xr3:uid="{00000000-0010-0000-2F00-000017000000}" name="tgt_share" dataDxfId="4517"/>
    <tableColumn id="24" xr3:uid="{00000000-0010-0000-2F00-000018000000}" name="ypc" dataDxfId="4516"/>
    <tableColumn id="25" xr3:uid="{00000000-0010-0000-2F00-000019000000}" name="ypr" dataDxfId="4515"/>
    <tableColumn id="26" xr3:uid="{00000000-0010-0000-2F00-00001A000000}" name="cmp_pct" dataDxfId="4514"/>
    <tableColumn id="27" xr3:uid="{00000000-0010-0000-2F00-00001B000000}" name="td_rate" dataDxfId="4513"/>
    <tableColumn id="28" xr3:uid="{00000000-0010-0000-2F00-00001C000000}" name="f_custom" dataDxfId="4512"/>
  </tableColumns>
  <tableStyleInfo name="TableStyleMedium1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00000000-000C-0000-FFFF-FFFF30000000}" name="CIN_Table7" displayName="CIN_Table7" ref="A75:AB82" totalsRowShown="0" headerRowDxfId="4511" dataDxfId="4510">
  <autoFilter ref="A75:AB82" xr:uid="{00000000-0009-0000-0100-000033000000}"/>
  <tableColumns count="28">
    <tableColumn id="1" xr3:uid="{00000000-0010-0000-3000-000001000000}" name="Name" dataDxfId="4509"/>
    <tableColumn id="2" xr3:uid="{00000000-0010-0000-3000-000002000000}" name="POS" dataDxfId="4508"/>
    <tableColumn id="3" xr3:uid="{00000000-0010-0000-3000-000003000000}" name="Age" dataDxfId="4507"/>
    <tableColumn id="4" xr3:uid="{00000000-0010-0000-3000-000004000000}" name="Exp" dataDxfId="4506"/>
    <tableColumn id="5" xr3:uid="{00000000-0010-0000-3000-000005000000}" name="College" dataDxfId="4505"/>
    <tableColumn id="6" xr3:uid="{00000000-0010-0000-3000-000006000000}" name="team" dataDxfId="4504"/>
    <tableColumn id="7" xr3:uid="{00000000-0010-0000-3000-000007000000}" name="g" dataDxfId="4503"/>
    <tableColumn id="8" xr3:uid="{00000000-0010-0000-3000-000008000000}" name="p_att" dataDxfId="4502"/>
    <tableColumn id="9" xr3:uid="{00000000-0010-0000-3000-000009000000}" name="cmp" dataDxfId="4501"/>
    <tableColumn id="10" xr3:uid="{00000000-0010-0000-3000-00000A000000}" name="p_yd" dataDxfId="4500"/>
    <tableColumn id="11" xr3:uid="{00000000-0010-0000-3000-00000B000000}" name="p_td" dataDxfId="4499"/>
    <tableColumn id="12" xr3:uid="{00000000-0010-0000-3000-00000C000000}" name="int" dataDxfId="4498"/>
    <tableColumn id="13" xr3:uid="{00000000-0010-0000-3000-00000D000000}" name="car" dataDxfId="4497"/>
    <tableColumn id="14" xr3:uid="{00000000-0010-0000-3000-00000E000000}" name="r_yd" dataDxfId="4496"/>
    <tableColumn id="15" xr3:uid="{00000000-0010-0000-3000-00000F000000}" name="r_td" dataDxfId="4495"/>
    <tableColumn id="16" xr3:uid="{00000000-0010-0000-3000-000010000000}" name="tgt" dataDxfId="4494"/>
    <tableColumn id="17" xr3:uid="{00000000-0010-0000-3000-000011000000}" name="rec" dataDxfId="4493"/>
    <tableColumn id="18" xr3:uid="{00000000-0010-0000-3000-000012000000}" name="rec_yd" dataDxfId="4492"/>
    <tableColumn id="19" xr3:uid="{00000000-0010-0000-3000-000013000000}" name="rec_td" dataDxfId="4491"/>
    <tableColumn id="20" xr3:uid="{00000000-0010-0000-3000-000014000000}" name="fmb" dataDxfId="4490"/>
    <tableColumn id="21" xr3:uid="{00000000-0010-0000-3000-000015000000}" name="tp_c" dataDxfId="4489"/>
    <tableColumn id="22" xr3:uid="{00000000-0010-0000-3000-000016000000}" name="f_ppr" dataDxfId="4488"/>
    <tableColumn id="23" xr3:uid="{00000000-0010-0000-3000-000017000000}" name="tgt_share" dataDxfId="4487"/>
    <tableColumn id="24" xr3:uid="{00000000-0010-0000-3000-000018000000}" name="ypc" dataDxfId="4486"/>
    <tableColumn id="25" xr3:uid="{00000000-0010-0000-3000-000019000000}" name="ypr" dataDxfId="4485"/>
    <tableColumn id="26" xr3:uid="{00000000-0010-0000-3000-00001A000000}" name="cmp_pct" dataDxfId="4484"/>
    <tableColumn id="27" xr3:uid="{00000000-0010-0000-3000-00001B000000}" name="td_rate" dataDxfId="4483"/>
    <tableColumn id="28" xr3:uid="{00000000-0010-0000-3000-00001C000000}" name="f_custom" dataDxfId="4482"/>
  </tableColumns>
  <tableStyleInfo name="TableStyleMedium1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00000000-000C-0000-FFFF-FFFF31000000}" name="CLE_Table1" displayName="CLE_Table1" ref="A1:X18" totalsRowShown="0" headerRowDxfId="4481" dataDxfId="4480">
  <autoFilter ref="A1:X18" xr:uid="{00000000-0009-0000-0100-000034000000}"/>
  <tableColumns count="24">
    <tableColumn id="1" xr3:uid="{00000000-0010-0000-3100-000001000000}" name="player_name" dataDxfId="4479"/>
    <tableColumn id="2" xr3:uid="{00000000-0010-0000-3100-000002000000}" name="recent_team" dataDxfId="4478"/>
    <tableColumn id="3" xr3:uid="{00000000-0010-0000-3100-000003000000}" name="pos" dataDxfId="4477"/>
    <tableColumn id="4" xr3:uid="{00000000-0010-0000-3100-000004000000}" name="g" dataDxfId="4476"/>
    <tableColumn id="5" xr3:uid="{00000000-0010-0000-3100-000005000000}" name="p_att" dataDxfId="4475"/>
    <tableColumn id="6" xr3:uid="{00000000-0010-0000-3100-000006000000}" name="cmp" dataDxfId="4474"/>
    <tableColumn id="7" xr3:uid="{00000000-0010-0000-3100-000007000000}" name="p_yd" dataDxfId="4473"/>
    <tableColumn id="8" xr3:uid="{00000000-0010-0000-3100-000008000000}" name="p_td" dataDxfId="4472"/>
    <tableColumn id="9" xr3:uid="{00000000-0010-0000-3100-000009000000}" name="int" dataDxfId="4471"/>
    <tableColumn id="10" xr3:uid="{00000000-0010-0000-3100-00000A000000}" name="car" dataDxfId="4470"/>
    <tableColumn id="11" xr3:uid="{00000000-0010-0000-3100-00000B000000}" name="r_yd" dataDxfId="4469"/>
    <tableColumn id="12" xr3:uid="{00000000-0010-0000-3100-00000C000000}" name="r_td" dataDxfId="4468"/>
    <tableColumn id="13" xr3:uid="{00000000-0010-0000-3100-00000D000000}" name="tgt" dataDxfId="4467"/>
    <tableColumn id="14" xr3:uid="{00000000-0010-0000-3100-00000E000000}" name="rec" dataDxfId="4466"/>
    <tableColumn id="15" xr3:uid="{00000000-0010-0000-3100-00000F000000}" name="rec_yd" dataDxfId="4465"/>
    <tableColumn id="16" xr3:uid="{00000000-0010-0000-3100-000010000000}" name="rec_td" dataDxfId="4464"/>
    <tableColumn id="17" xr3:uid="{00000000-0010-0000-3100-000011000000}" name="fmb" dataDxfId="4463"/>
    <tableColumn id="18" xr3:uid="{00000000-0010-0000-3100-000012000000}" name="tp_c" dataDxfId="4462"/>
    <tableColumn id="19" xr3:uid="{00000000-0010-0000-3100-000013000000}" name="f_ppr" dataDxfId="4461"/>
    <tableColumn id="20" xr3:uid="{00000000-0010-0000-3100-000014000000}" name="tgt_share" dataDxfId="4460"/>
    <tableColumn id="21" xr3:uid="{00000000-0010-0000-3100-000015000000}" name="ypc" dataDxfId="4459"/>
    <tableColumn id="22" xr3:uid="{00000000-0010-0000-3100-000016000000}" name="ypr" dataDxfId="4458"/>
    <tableColumn id="23" xr3:uid="{00000000-0010-0000-3100-000017000000}" name="cmp_pct" dataDxfId="4457"/>
    <tableColumn id="24" xr3:uid="{00000000-0010-0000-3100-000018000000}" name="td_rate" dataDxfId="4456"/>
  </tableColumns>
  <tableStyleInfo name="TableStyleMedium1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00000000-000C-0000-FFFF-FFFF32000000}" name="CLE_Table2" displayName="CLE_Table2" ref="A30:L31" totalsRowShown="0" headerRowDxfId="4455" dataDxfId="4454">
  <autoFilter ref="A30:L31" xr:uid="{00000000-0009-0000-0100-000035000000}"/>
  <tableColumns count="12">
    <tableColumn id="1" xr3:uid="{00000000-0010-0000-3200-000001000000}" name="team" dataDxfId="4453"/>
    <tableColumn id="2" xr3:uid="{00000000-0010-0000-3200-000002000000}" name="off_yd" dataDxfId="4452"/>
    <tableColumn id="3" xr3:uid="{00000000-0010-0000-3200-000003000000}" name="p_yd" dataDxfId="4451"/>
    <tableColumn id="4" xr3:uid="{00000000-0010-0000-3200-000004000000}" name="car" dataDxfId="4450"/>
    <tableColumn id="5" xr3:uid="{00000000-0010-0000-3200-000005000000}" name="r_yd" dataDxfId="4449"/>
    <tableColumn id="6" xr3:uid="{00000000-0010-0000-3200-000006000000}" name="r_td" dataDxfId="4448"/>
    <tableColumn id="7" xr3:uid="{00000000-0010-0000-3200-000007000000}" name="p_ff" dataDxfId="4447"/>
    <tableColumn id="8" xr3:uid="{00000000-0010-0000-3200-000008000000}" name="p_att" dataDxfId="4446"/>
    <tableColumn id="9" xr3:uid="{00000000-0010-0000-3200-000009000000}" name="cmp_pct" dataDxfId="4445"/>
    <tableColumn id="10" xr3:uid="{00000000-0010-0000-3200-00000A000000}" name="p_td" dataDxfId="4444"/>
    <tableColumn id="11" xr3:uid="{00000000-0010-0000-3200-00000B000000}" name="int" dataDxfId="4443"/>
    <tableColumn id="12" xr3:uid="{00000000-0010-0000-3200-00000C000000}" name="fmb" dataDxfId="4442"/>
  </tableColumns>
  <tableStyleInfo name="TableStyleMedium1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00000000-000C-0000-FFFF-FFFF33000000}" name="CLE_Table3" displayName="CLE_Table3" ref="A32:L33" totalsRowShown="0" headerRowDxfId="4441" dataDxfId="4440">
  <autoFilter ref="A32:L33" xr:uid="{00000000-0009-0000-0100-000036000000}"/>
  <tableColumns count="12">
    <tableColumn id="1" xr3:uid="{00000000-0010-0000-3300-000001000000}" name="team" dataDxfId="4439">
      <calculatedColumnFormula>A31</calculatedColumnFormula>
    </tableColumn>
    <tableColumn id="2" xr3:uid="{00000000-0010-0000-3300-000002000000}" name="off_yd" dataDxfId="4438">
      <calculatedColumnFormula>C33 + E33</calculatedColumnFormula>
    </tableColumn>
    <tableColumn id="3" xr3:uid="{00000000-0010-0000-3300-000003000000}" name="p_yd" dataDxfId="4437">
      <calculatedColumnFormula>SUM(INDIRECT(A33 &amp; "_Table4[[#All],[p_yd]]"))</calculatedColumnFormula>
    </tableColumn>
    <tableColumn id="4" xr3:uid="{00000000-0010-0000-3300-000004000000}" name="car" dataDxfId="4436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3300-000005000000}" name="r_yd" dataDxfId="4435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3300-000006000000}" name="r_td" dataDxfId="4434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3300-000007000000}" name="p_ff" dataDxfId="4433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3300-000008000000}" name="p_att" dataDxfId="4432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3300-000009000000}" name="cmp_pct" dataDxfId="4431">
      <calculatedColumnFormula>SUM(INDIRECT(A33 &amp; "_Table4[[#All],[cmp]]"))/H33</calculatedColumnFormula>
    </tableColumn>
    <tableColumn id="10" xr3:uid="{00000000-0010-0000-3300-00000A000000}" name="p_td" dataDxfId="4430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3300-00000B000000}" name="int" dataDxfId="4429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3300-00000C000000}" name="fmb" dataDxfId="4428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</tableColumns>
  <tableStyleInfo name="TableStyleMedium1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00000000-000C-0000-FFFF-FFFF34000000}" name="CLE_Table4" displayName="CLE_Table4" ref="A35:AB39" totalsRowShown="0" headerRowDxfId="4427" dataDxfId="4426">
  <autoFilter ref="A35:AB39" xr:uid="{00000000-0009-0000-0100-000037000000}"/>
  <tableColumns count="28">
    <tableColumn id="1" xr3:uid="{00000000-0010-0000-3400-000001000000}" name="Name" dataDxfId="4425"/>
    <tableColumn id="2" xr3:uid="{00000000-0010-0000-3400-000002000000}" name="POS" dataDxfId="4424"/>
    <tableColumn id="3" xr3:uid="{00000000-0010-0000-3400-000003000000}" name="Age" dataDxfId="4423"/>
    <tableColumn id="4" xr3:uid="{00000000-0010-0000-3400-000004000000}" name="Exp" dataDxfId="4422"/>
    <tableColumn id="5" xr3:uid="{00000000-0010-0000-3400-000005000000}" name="College" dataDxfId="4421"/>
    <tableColumn id="6" xr3:uid="{00000000-0010-0000-3400-000006000000}" name="team" dataDxfId="4420"/>
    <tableColumn id="7" xr3:uid="{00000000-0010-0000-3400-000007000000}" name="g" dataDxfId="4419"/>
    <tableColumn id="8" xr3:uid="{00000000-0010-0000-3400-000008000000}" name="p_att" dataDxfId="4418"/>
    <tableColumn id="9" xr3:uid="{00000000-0010-0000-3400-000009000000}" name="cmp" dataDxfId="4417"/>
    <tableColumn id="10" xr3:uid="{00000000-0010-0000-3400-00000A000000}" name="p_yd" dataDxfId="4416"/>
    <tableColumn id="11" xr3:uid="{00000000-0010-0000-3400-00000B000000}" name="p_td" dataDxfId="4415"/>
    <tableColumn id="12" xr3:uid="{00000000-0010-0000-3400-00000C000000}" name="int" dataDxfId="4414"/>
    <tableColumn id="13" xr3:uid="{00000000-0010-0000-3400-00000D000000}" name="car" dataDxfId="4413"/>
    <tableColumn id="14" xr3:uid="{00000000-0010-0000-3400-00000E000000}" name="r_yd" dataDxfId="4412"/>
    <tableColumn id="15" xr3:uid="{00000000-0010-0000-3400-00000F000000}" name="r_td" dataDxfId="4411"/>
    <tableColumn id="16" xr3:uid="{00000000-0010-0000-3400-000010000000}" name="tgt" dataDxfId="4410"/>
    <tableColumn id="17" xr3:uid="{00000000-0010-0000-3400-000011000000}" name="rec" dataDxfId="4409"/>
    <tableColumn id="18" xr3:uid="{00000000-0010-0000-3400-000012000000}" name="rec_yd" dataDxfId="4408"/>
    <tableColumn id="19" xr3:uid="{00000000-0010-0000-3400-000013000000}" name="rec_td" dataDxfId="4407"/>
    <tableColumn id="20" xr3:uid="{00000000-0010-0000-3400-000014000000}" name="fmb" dataDxfId="4406"/>
    <tableColumn id="21" xr3:uid="{00000000-0010-0000-3400-000015000000}" name="tp_c" dataDxfId="4405"/>
    <tableColumn id="22" xr3:uid="{00000000-0010-0000-3400-000016000000}" name="f_ppr" dataDxfId="4404"/>
    <tableColumn id="23" xr3:uid="{00000000-0010-0000-3400-000017000000}" name="tgt_share" dataDxfId="4403"/>
    <tableColumn id="24" xr3:uid="{00000000-0010-0000-3400-000018000000}" name="ypc" dataDxfId="4402"/>
    <tableColumn id="25" xr3:uid="{00000000-0010-0000-3400-000019000000}" name="ypr" dataDxfId="4401"/>
    <tableColumn id="26" xr3:uid="{00000000-0010-0000-3400-00001A000000}" name="cmp_pct" dataDxfId="4400"/>
    <tableColumn id="27" xr3:uid="{00000000-0010-0000-3400-00001B000000}" name="td_rate" dataDxfId="4399"/>
    <tableColumn id="28" xr3:uid="{00000000-0010-0000-3400-00001C000000}" name="f_custom" dataDxfId="4398"/>
  </tableColumns>
  <tableStyleInfo name="TableStyleMedium1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00000000-000C-0000-FFFF-FFFF35000000}" name="CLE_Table5" displayName="CLE_Table5" ref="A45:AB51" totalsRowShown="0" headerRowDxfId="4397" dataDxfId="4396">
  <autoFilter ref="A45:AB51" xr:uid="{00000000-0009-0000-0100-000038000000}"/>
  <tableColumns count="28">
    <tableColumn id="1" xr3:uid="{00000000-0010-0000-3500-000001000000}" name="Name" dataDxfId="4395"/>
    <tableColumn id="2" xr3:uid="{00000000-0010-0000-3500-000002000000}" name="POS" dataDxfId="4394"/>
    <tableColumn id="3" xr3:uid="{00000000-0010-0000-3500-000003000000}" name="Age" dataDxfId="4393"/>
    <tableColumn id="4" xr3:uid="{00000000-0010-0000-3500-000004000000}" name="Exp" dataDxfId="4392"/>
    <tableColumn id="5" xr3:uid="{00000000-0010-0000-3500-000005000000}" name="College" dataDxfId="4391"/>
    <tableColumn id="6" xr3:uid="{00000000-0010-0000-3500-000006000000}" name="team" dataDxfId="4390"/>
    <tableColumn id="7" xr3:uid="{00000000-0010-0000-3500-000007000000}" name="g" dataDxfId="4389"/>
    <tableColumn id="8" xr3:uid="{00000000-0010-0000-3500-000008000000}" name="p_att" dataDxfId="4388"/>
    <tableColumn id="9" xr3:uid="{00000000-0010-0000-3500-000009000000}" name="cmp" dataDxfId="4387"/>
    <tableColumn id="10" xr3:uid="{00000000-0010-0000-3500-00000A000000}" name="p_yd" dataDxfId="4386"/>
    <tableColumn id="11" xr3:uid="{00000000-0010-0000-3500-00000B000000}" name="p_td" dataDxfId="4385"/>
    <tableColumn id="12" xr3:uid="{00000000-0010-0000-3500-00000C000000}" name="int" dataDxfId="4384"/>
    <tableColumn id="13" xr3:uid="{00000000-0010-0000-3500-00000D000000}" name="car" dataDxfId="4383"/>
    <tableColumn id="14" xr3:uid="{00000000-0010-0000-3500-00000E000000}" name="r_yd" dataDxfId="4382"/>
    <tableColumn id="15" xr3:uid="{00000000-0010-0000-3500-00000F000000}" name="r_td" dataDxfId="4381"/>
    <tableColumn id="16" xr3:uid="{00000000-0010-0000-3500-000010000000}" name="tgt" dataDxfId="4380"/>
    <tableColumn id="17" xr3:uid="{00000000-0010-0000-3500-000011000000}" name="rec" dataDxfId="4379"/>
    <tableColumn id="18" xr3:uid="{00000000-0010-0000-3500-000012000000}" name="rec_yd" dataDxfId="4378"/>
    <tableColumn id="19" xr3:uid="{00000000-0010-0000-3500-000013000000}" name="rec_td" dataDxfId="4377"/>
    <tableColumn id="20" xr3:uid="{00000000-0010-0000-3500-000014000000}" name="fmb" dataDxfId="4376"/>
    <tableColumn id="21" xr3:uid="{00000000-0010-0000-3500-000015000000}" name="tp_c" dataDxfId="4375"/>
    <tableColumn id="22" xr3:uid="{00000000-0010-0000-3500-000016000000}" name="f_ppr" dataDxfId="4374"/>
    <tableColumn id="23" xr3:uid="{00000000-0010-0000-3500-000017000000}" name="tgt_share" dataDxfId="4373"/>
    <tableColumn id="24" xr3:uid="{00000000-0010-0000-3500-000018000000}" name="ypc" dataDxfId="4372"/>
    <tableColumn id="25" xr3:uid="{00000000-0010-0000-3500-000019000000}" name="ypr" dataDxfId="4371"/>
    <tableColumn id="26" xr3:uid="{00000000-0010-0000-3500-00001A000000}" name="cmp_pct" dataDxfId="4370"/>
    <tableColumn id="27" xr3:uid="{00000000-0010-0000-3500-00001B000000}" name="td_rate" dataDxfId="4369"/>
    <tableColumn id="28" xr3:uid="{00000000-0010-0000-3500-00001C000000}" name="f_custom" dataDxfId="4368">
      <calculatedColumnFormula>($J46*Cp_yd)+($K46*Cp_td)+($L46*Cint)+($M46*Ccar)+($N46*Cr_td)+($O46*Cr_yd)+(Q46*Crec)+($R46*Crec_yd)+($S46*Crec_td)+($T46*Cfmb)+($U46*Ctp_c)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00000000-000C-0000-FFFF-FFFF36000000}" name="CLE_Table6" displayName="CLE_Table6" ref="A60:AB73" totalsRowShown="0" headerRowDxfId="4367" dataDxfId="4366">
  <autoFilter ref="A60:AB73" xr:uid="{00000000-0009-0000-0100-000039000000}"/>
  <tableColumns count="28">
    <tableColumn id="1" xr3:uid="{00000000-0010-0000-3600-000001000000}" name="Name" dataDxfId="4365"/>
    <tableColumn id="2" xr3:uid="{00000000-0010-0000-3600-000002000000}" name="POS" dataDxfId="4364"/>
    <tableColumn id="3" xr3:uid="{00000000-0010-0000-3600-000003000000}" name="Age" dataDxfId="4363"/>
    <tableColumn id="4" xr3:uid="{00000000-0010-0000-3600-000004000000}" name="Exp" dataDxfId="4362"/>
    <tableColumn id="5" xr3:uid="{00000000-0010-0000-3600-000005000000}" name="College" dataDxfId="4361"/>
    <tableColumn id="6" xr3:uid="{00000000-0010-0000-3600-000006000000}" name="team" dataDxfId="4360"/>
    <tableColumn id="7" xr3:uid="{00000000-0010-0000-3600-000007000000}" name="g" dataDxfId="4359"/>
    <tableColumn id="8" xr3:uid="{00000000-0010-0000-3600-000008000000}" name="p_att" dataDxfId="4358"/>
    <tableColumn id="9" xr3:uid="{00000000-0010-0000-3600-000009000000}" name="cmp" dataDxfId="4357"/>
    <tableColumn id="10" xr3:uid="{00000000-0010-0000-3600-00000A000000}" name="p_yd" dataDxfId="4356"/>
    <tableColumn id="11" xr3:uid="{00000000-0010-0000-3600-00000B000000}" name="p_td" dataDxfId="4355"/>
    <tableColumn id="12" xr3:uid="{00000000-0010-0000-3600-00000C000000}" name="int" dataDxfId="4354"/>
    <tableColumn id="13" xr3:uid="{00000000-0010-0000-3600-00000D000000}" name="car" dataDxfId="4353"/>
    <tableColumn id="14" xr3:uid="{00000000-0010-0000-3600-00000E000000}" name="r_yd" dataDxfId="4352"/>
    <tableColumn id="15" xr3:uid="{00000000-0010-0000-3600-00000F000000}" name="r_td" dataDxfId="4351"/>
    <tableColumn id="16" xr3:uid="{00000000-0010-0000-3600-000010000000}" name="tgt" dataDxfId="4350"/>
    <tableColumn id="17" xr3:uid="{00000000-0010-0000-3600-000011000000}" name="rec" dataDxfId="4349"/>
    <tableColumn id="18" xr3:uid="{00000000-0010-0000-3600-000012000000}" name="rec_yd" dataDxfId="4348"/>
    <tableColumn id="19" xr3:uid="{00000000-0010-0000-3600-000013000000}" name="rec_td" dataDxfId="4347"/>
    <tableColumn id="20" xr3:uid="{00000000-0010-0000-3600-000014000000}" name="fmb" dataDxfId="4346"/>
    <tableColumn id="21" xr3:uid="{00000000-0010-0000-3600-000015000000}" name="tp_c" dataDxfId="4345"/>
    <tableColumn id="22" xr3:uid="{00000000-0010-0000-3600-000016000000}" name="f_ppr" dataDxfId="4344"/>
    <tableColumn id="23" xr3:uid="{00000000-0010-0000-3600-000017000000}" name="tgt_share" dataDxfId="4343"/>
    <tableColumn id="24" xr3:uid="{00000000-0010-0000-3600-000018000000}" name="ypc" dataDxfId="4342"/>
    <tableColumn id="25" xr3:uid="{00000000-0010-0000-3600-000019000000}" name="ypr" dataDxfId="4341"/>
    <tableColumn id="26" xr3:uid="{00000000-0010-0000-3600-00001A000000}" name="cmp_pct" dataDxfId="4340"/>
    <tableColumn id="27" xr3:uid="{00000000-0010-0000-3600-00001B000000}" name="td_rate" dataDxfId="4339"/>
    <tableColumn id="28" xr3:uid="{00000000-0010-0000-3600-00001C000000}" name="f_custom" dataDxfId="4338"/>
  </tableColumns>
  <tableStyleInfo name="TableStyleMedium1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00000000-000C-0000-FFFF-FFFF37000000}" name="CLE_Table7" displayName="CLE_Table7" ref="A75:AB81" totalsRowShown="0" headerRowDxfId="4337" dataDxfId="4336">
  <autoFilter ref="A75:AB81" xr:uid="{00000000-0009-0000-0100-00003A000000}"/>
  <tableColumns count="28">
    <tableColumn id="1" xr3:uid="{00000000-0010-0000-3700-000001000000}" name="Name" dataDxfId="4335"/>
    <tableColumn id="2" xr3:uid="{00000000-0010-0000-3700-000002000000}" name="POS" dataDxfId="4334"/>
    <tableColumn id="3" xr3:uid="{00000000-0010-0000-3700-000003000000}" name="Age" dataDxfId="4333"/>
    <tableColumn id="4" xr3:uid="{00000000-0010-0000-3700-000004000000}" name="Exp" dataDxfId="4332"/>
    <tableColumn id="5" xr3:uid="{00000000-0010-0000-3700-000005000000}" name="College" dataDxfId="4331"/>
    <tableColumn id="6" xr3:uid="{00000000-0010-0000-3700-000006000000}" name="team" dataDxfId="4330"/>
    <tableColumn id="7" xr3:uid="{00000000-0010-0000-3700-000007000000}" name="g" dataDxfId="4329"/>
    <tableColumn id="8" xr3:uid="{00000000-0010-0000-3700-000008000000}" name="p_att" dataDxfId="4328"/>
    <tableColumn id="9" xr3:uid="{00000000-0010-0000-3700-000009000000}" name="cmp" dataDxfId="4327"/>
    <tableColumn id="10" xr3:uid="{00000000-0010-0000-3700-00000A000000}" name="p_yd" dataDxfId="4326"/>
    <tableColumn id="11" xr3:uid="{00000000-0010-0000-3700-00000B000000}" name="p_td" dataDxfId="4325"/>
    <tableColumn id="12" xr3:uid="{00000000-0010-0000-3700-00000C000000}" name="int" dataDxfId="4324"/>
    <tableColumn id="13" xr3:uid="{00000000-0010-0000-3700-00000D000000}" name="car" dataDxfId="4323"/>
    <tableColumn id="14" xr3:uid="{00000000-0010-0000-3700-00000E000000}" name="r_yd" dataDxfId="4322"/>
    <tableColumn id="15" xr3:uid="{00000000-0010-0000-3700-00000F000000}" name="r_td" dataDxfId="4321"/>
    <tableColumn id="16" xr3:uid="{00000000-0010-0000-3700-000010000000}" name="tgt" dataDxfId="4320"/>
    <tableColumn id="17" xr3:uid="{00000000-0010-0000-3700-000011000000}" name="rec" dataDxfId="4319"/>
    <tableColumn id="18" xr3:uid="{00000000-0010-0000-3700-000012000000}" name="rec_yd" dataDxfId="4318"/>
    <tableColumn id="19" xr3:uid="{00000000-0010-0000-3700-000013000000}" name="rec_td" dataDxfId="4317"/>
    <tableColumn id="20" xr3:uid="{00000000-0010-0000-3700-000014000000}" name="fmb" dataDxfId="4316"/>
    <tableColumn id="21" xr3:uid="{00000000-0010-0000-3700-000015000000}" name="tp_c" dataDxfId="4315"/>
    <tableColumn id="22" xr3:uid="{00000000-0010-0000-3700-000016000000}" name="f_ppr" dataDxfId="4314"/>
    <tableColumn id="23" xr3:uid="{00000000-0010-0000-3700-000017000000}" name="tgt_share" dataDxfId="4313"/>
    <tableColumn id="24" xr3:uid="{00000000-0010-0000-3700-000018000000}" name="ypc" dataDxfId="4312"/>
    <tableColumn id="25" xr3:uid="{00000000-0010-0000-3700-000019000000}" name="ypr" dataDxfId="4311"/>
    <tableColumn id="26" xr3:uid="{00000000-0010-0000-3700-00001A000000}" name="cmp_pct" dataDxfId="4310"/>
    <tableColumn id="27" xr3:uid="{00000000-0010-0000-3700-00001B000000}" name="td_rate" dataDxfId="4309"/>
    <tableColumn id="28" xr3:uid="{00000000-0010-0000-3700-00001C000000}" name="f_custom" dataDxfId="4308"/>
  </tableColumns>
  <tableStyleInfo name="TableStyleMedium1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00000000-000C-0000-FFFF-FFFF38000000}" name="DAL_Table1" displayName="DAL_Table1" ref="A1:X19" totalsRowShown="0" headerRowDxfId="4307" dataDxfId="4306">
  <autoFilter ref="A1:X19" xr:uid="{00000000-0009-0000-0100-00003B000000}"/>
  <tableColumns count="24">
    <tableColumn id="1" xr3:uid="{00000000-0010-0000-3800-000001000000}" name="player_name" dataDxfId="4305"/>
    <tableColumn id="2" xr3:uid="{00000000-0010-0000-3800-000002000000}" name="recent_team" dataDxfId="4304"/>
    <tableColumn id="3" xr3:uid="{00000000-0010-0000-3800-000003000000}" name="pos" dataDxfId="4303"/>
    <tableColumn id="4" xr3:uid="{00000000-0010-0000-3800-000004000000}" name="g" dataDxfId="4302"/>
    <tableColumn id="5" xr3:uid="{00000000-0010-0000-3800-000005000000}" name="p_att" dataDxfId="4301"/>
    <tableColumn id="6" xr3:uid="{00000000-0010-0000-3800-000006000000}" name="cmp" dataDxfId="4300"/>
    <tableColumn id="7" xr3:uid="{00000000-0010-0000-3800-000007000000}" name="p_yd" dataDxfId="4299"/>
    <tableColumn id="8" xr3:uid="{00000000-0010-0000-3800-000008000000}" name="p_td" dataDxfId="4298"/>
    <tableColumn id="9" xr3:uid="{00000000-0010-0000-3800-000009000000}" name="int" dataDxfId="4297"/>
    <tableColumn id="10" xr3:uid="{00000000-0010-0000-3800-00000A000000}" name="car" dataDxfId="4296"/>
    <tableColumn id="11" xr3:uid="{00000000-0010-0000-3800-00000B000000}" name="r_yd" dataDxfId="4295"/>
    <tableColumn id="12" xr3:uid="{00000000-0010-0000-3800-00000C000000}" name="r_td" dataDxfId="4294"/>
    <tableColumn id="13" xr3:uid="{00000000-0010-0000-3800-00000D000000}" name="tgt" dataDxfId="4293"/>
    <tableColumn id="14" xr3:uid="{00000000-0010-0000-3800-00000E000000}" name="rec" dataDxfId="4292"/>
    <tableColumn id="15" xr3:uid="{00000000-0010-0000-3800-00000F000000}" name="rec_yd" dataDxfId="4291"/>
    <tableColumn id="16" xr3:uid="{00000000-0010-0000-3800-000010000000}" name="rec_td" dataDxfId="4290"/>
    <tableColumn id="17" xr3:uid="{00000000-0010-0000-3800-000011000000}" name="fmb" dataDxfId="4289"/>
    <tableColumn id="18" xr3:uid="{00000000-0010-0000-3800-000012000000}" name="tp_c" dataDxfId="4288"/>
    <tableColumn id="19" xr3:uid="{00000000-0010-0000-3800-000013000000}" name="f_ppr" dataDxfId="4287"/>
    <tableColumn id="20" xr3:uid="{00000000-0010-0000-3800-000014000000}" name="tgt_share" dataDxfId="4286"/>
    <tableColumn id="21" xr3:uid="{00000000-0010-0000-3800-000015000000}" name="ypc" dataDxfId="4285"/>
    <tableColumn id="22" xr3:uid="{00000000-0010-0000-3800-000016000000}" name="ypr" dataDxfId="4284"/>
    <tableColumn id="23" xr3:uid="{00000000-0010-0000-3800-000017000000}" name="cmp_pct" dataDxfId="4283"/>
    <tableColumn id="24" xr3:uid="{00000000-0010-0000-3800-000018000000}" name="td_rate" dataDxfId="4282"/>
  </tableColumns>
  <tableStyleInfo name="TableStyleMedium1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00000000-000C-0000-FFFF-FFFF39000000}" name="DAL_Table2" displayName="DAL_Table2" ref="A30:L31" totalsRowShown="0" headerRowDxfId="4281" dataDxfId="4280">
  <autoFilter ref="A30:L31" xr:uid="{00000000-0009-0000-0100-00003C000000}"/>
  <tableColumns count="12">
    <tableColumn id="1" xr3:uid="{00000000-0010-0000-3900-000001000000}" name="team" dataDxfId="4279"/>
    <tableColumn id="2" xr3:uid="{00000000-0010-0000-3900-000002000000}" name="off_yd" dataDxfId="4278"/>
    <tableColumn id="3" xr3:uid="{00000000-0010-0000-3900-000003000000}" name="p_yd" dataDxfId="4277"/>
    <tableColumn id="4" xr3:uid="{00000000-0010-0000-3900-000004000000}" name="car" dataDxfId="4276"/>
    <tableColumn id="5" xr3:uid="{00000000-0010-0000-3900-000005000000}" name="r_yd" dataDxfId="4275"/>
    <tableColumn id="6" xr3:uid="{00000000-0010-0000-3900-000006000000}" name="r_td" dataDxfId="4274"/>
    <tableColumn id="7" xr3:uid="{00000000-0010-0000-3900-000007000000}" name="p_ff" dataDxfId="4273"/>
    <tableColumn id="8" xr3:uid="{00000000-0010-0000-3900-000008000000}" name="p_att" dataDxfId="4272"/>
    <tableColumn id="9" xr3:uid="{00000000-0010-0000-3900-000009000000}" name="cmp_pct" dataDxfId="4271"/>
    <tableColumn id="10" xr3:uid="{00000000-0010-0000-3900-00000A000000}" name="p_td" dataDxfId="4270"/>
    <tableColumn id="11" xr3:uid="{00000000-0010-0000-3900-00000B000000}" name="int" dataDxfId="4269"/>
    <tableColumn id="12" xr3:uid="{00000000-0010-0000-3900-00000C000000}" name="fmb" dataDxfId="4268"/>
  </tableColumns>
  <tableStyleInfo name="TableStyleMedium1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00000000-000C-0000-FFFF-FFFF3A000000}" name="DAL_Table3" displayName="DAL_Table3" ref="A32:L33" totalsRowShown="0" headerRowDxfId="4267" dataDxfId="4266">
  <autoFilter ref="A32:L33" xr:uid="{00000000-0009-0000-0100-00003D000000}"/>
  <tableColumns count="12">
    <tableColumn id="1" xr3:uid="{00000000-0010-0000-3A00-000001000000}" name="team" dataDxfId="4265">
      <calculatedColumnFormula>A31</calculatedColumnFormula>
    </tableColumn>
    <tableColumn id="2" xr3:uid="{00000000-0010-0000-3A00-000002000000}" name="off_yd" dataDxfId="4264">
      <calculatedColumnFormula>C33 + E33</calculatedColumnFormula>
    </tableColumn>
    <tableColumn id="3" xr3:uid="{00000000-0010-0000-3A00-000003000000}" name="p_yd" dataDxfId="4263">
      <calculatedColumnFormula>SUM(INDIRECT(A33 &amp; "_Table4[[#All],[p_yd]]"))</calculatedColumnFormula>
    </tableColumn>
    <tableColumn id="4" xr3:uid="{00000000-0010-0000-3A00-000004000000}" name="car" dataDxfId="4262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3A00-000005000000}" name="r_yd" dataDxfId="4261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3A00-000006000000}" name="r_td" dataDxfId="4260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3A00-000007000000}" name="p_ff" dataDxfId="4259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3A00-000008000000}" name="p_att" dataDxfId="4258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3A00-000009000000}" name="cmp_pct" dataDxfId="4257">
      <calculatedColumnFormula>SUM(INDIRECT(A33 &amp; "_Table4[[#All],[cmp]]"))/H33</calculatedColumnFormula>
    </tableColumn>
    <tableColumn id="10" xr3:uid="{00000000-0010-0000-3A00-00000A000000}" name="p_td" dataDxfId="4256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3A00-00000B000000}" name="int" dataDxfId="4255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3A00-00000C000000}" name="fmb" dataDxfId="4254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</tableColumns>
  <tableStyleInfo name="TableStyleMedium1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00000000-000C-0000-FFFF-FFFF3B000000}" name="DAL_Table4" displayName="DAL_Table4" ref="A35:AB38" totalsRowShown="0" headerRowDxfId="4253" dataDxfId="4252">
  <autoFilter ref="A35:AB38" xr:uid="{00000000-0009-0000-0100-00003E000000}"/>
  <tableColumns count="28">
    <tableColumn id="1" xr3:uid="{00000000-0010-0000-3B00-000001000000}" name="Name" dataDxfId="4251"/>
    <tableColumn id="2" xr3:uid="{00000000-0010-0000-3B00-000002000000}" name="POS" dataDxfId="4250"/>
    <tableColumn id="3" xr3:uid="{00000000-0010-0000-3B00-000003000000}" name="Age" dataDxfId="4249"/>
    <tableColumn id="4" xr3:uid="{00000000-0010-0000-3B00-000004000000}" name="Exp" dataDxfId="4248"/>
    <tableColumn id="5" xr3:uid="{00000000-0010-0000-3B00-000005000000}" name="College" dataDxfId="4247"/>
    <tableColumn id="6" xr3:uid="{00000000-0010-0000-3B00-000006000000}" name="team" dataDxfId="4246"/>
    <tableColumn id="7" xr3:uid="{00000000-0010-0000-3B00-000007000000}" name="g" dataDxfId="4245"/>
    <tableColumn id="8" xr3:uid="{00000000-0010-0000-3B00-000008000000}" name="p_att" dataDxfId="4244"/>
    <tableColumn id="9" xr3:uid="{00000000-0010-0000-3B00-000009000000}" name="cmp" dataDxfId="4243"/>
    <tableColumn id="10" xr3:uid="{00000000-0010-0000-3B00-00000A000000}" name="p_yd" dataDxfId="4242"/>
    <tableColumn id="11" xr3:uid="{00000000-0010-0000-3B00-00000B000000}" name="p_td" dataDxfId="4241"/>
    <tableColumn id="12" xr3:uid="{00000000-0010-0000-3B00-00000C000000}" name="int" dataDxfId="4240"/>
    <tableColumn id="13" xr3:uid="{00000000-0010-0000-3B00-00000D000000}" name="car" dataDxfId="4239"/>
    <tableColumn id="14" xr3:uid="{00000000-0010-0000-3B00-00000E000000}" name="r_yd" dataDxfId="4238"/>
    <tableColumn id="15" xr3:uid="{00000000-0010-0000-3B00-00000F000000}" name="r_td" dataDxfId="4237"/>
    <tableColumn id="16" xr3:uid="{00000000-0010-0000-3B00-000010000000}" name="tgt" dataDxfId="4236"/>
    <tableColumn id="17" xr3:uid="{00000000-0010-0000-3B00-000011000000}" name="rec" dataDxfId="4235"/>
    <tableColumn id="18" xr3:uid="{00000000-0010-0000-3B00-000012000000}" name="rec_yd" dataDxfId="4234"/>
    <tableColumn id="19" xr3:uid="{00000000-0010-0000-3B00-000013000000}" name="rec_td" dataDxfId="4233"/>
    <tableColumn id="20" xr3:uid="{00000000-0010-0000-3B00-000014000000}" name="fmb" dataDxfId="4232"/>
    <tableColumn id="21" xr3:uid="{00000000-0010-0000-3B00-000015000000}" name="tp_c" dataDxfId="4231"/>
    <tableColumn id="22" xr3:uid="{00000000-0010-0000-3B00-000016000000}" name="f_ppr" dataDxfId="4230"/>
    <tableColumn id="23" xr3:uid="{00000000-0010-0000-3B00-000017000000}" name="tgt_share" dataDxfId="4229"/>
    <tableColumn id="24" xr3:uid="{00000000-0010-0000-3B00-000018000000}" name="ypc" dataDxfId="4228"/>
    <tableColumn id="25" xr3:uid="{00000000-0010-0000-3B00-000019000000}" name="ypr" dataDxfId="4227"/>
    <tableColumn id="26" xr3:uid="{00000000-0010-0000-3B00-00001A000000}" name="cmp_pct" dataDxfId="4226"/>
    <tableColumn id="27" xr3:uid="{00000000-0010-0000-3B00-00001B000000}" name="td_rate" dataDxfId="4225"/>
    <tableColumn id="28" xr3:uid="{00000000-0010-0000-3B00-00001C000000}" name="f_custom" dataDxfId="4224"/>
  </tableColumns>
  <tableStyleInfo name="TableStyleMedium1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00000000-000C-0000-FFFF-FFFF3C000000}" name="DAL_Table5" displayName="DAL_Table5" ref="A45:AB51" totalsRowShown="0" headerRowDxfId="4223" dataDxfId="4222">
  <autoFilter ref="A45:AB51" xr:uid="{00000000-0009-0000-0100-00003F000000}"/>
  <tableColumns count="28">
    <tableColumn id="1" xr3:uid="{00000000-0010-0000-3C00-000001000000}" name="Name" dataDxfId="4221"/>
    <tableColumn id="2" xr3:uid="{00000000-0010-0000-3C00-000002000000}" name="POS" dataDxfId="4220"/>
    <tableColumn id="3" xr3:uid="{00000000-0010-0000-3C00-000003000000}" name="Age" dataDxfId="4219"/>
    <tableColumn id="4" xr3:uid="{00000000-0010-0000-3C00-000004000000}" name="Exp" dataDxfId="4218"/>
    <tableColumn id="5" xr3:uid="{00000000-0010-0000-3C00-000005000000}" name="College" dataDxfId="4217"/>
    <tableColumn id="6" xr3:uid="{00000000-0010-0000-3C00-000006000000}" name="team" dataDxfId="4216"/>
    <tableColumn id="7" xr3:uid="{00000000-0010-0000-3C00-000007000000}" name="g" dataDxfId="4215"/>
    <tableColumn id="8" xr3:uid="{00000000-0010-0000-3C00-000008000000}" name="p_att" dataDxfId="4214"/>
    <tableColumn id="9" xr3:uid="{00000000-0010-0000-3C00-000009000000}" name="cmp" dataDxfId="4213"/>
    <tableColumn id="10" xr3:uid="{00000000-0010-0000-3C00-00000A000000}" name="p_yd" dataDxfId="4212"/>
    <tableColumn id="11" xr3:uid="{00000000-0010-0000-3C00-00000B000000}" name="p_td" dataDxfId="4211"/>
    <tableColumn id="12" xr3:uid="{00000000-0010-0000-3C00-00000C000000}" name="int" dataDxfId="4210"/>
    <tableColumn id="13" xr3:uid="{00000000-0010-0000-3C00-00000D000000}" name="car" dataDxfId="4209"/>
    <tableColumn id="14" xr3:uid="{00000000-0010-0000-3C00-00000E000000}" name="r_yd" dataDxfId="4208"/>
    <tableColumn id="15" xr3:uid="{00000000-0010-0000-3C00-00000F000000}" name="r_td" dataDxfId="4207"/>
    <tableColumn id="16" xr3:uid="{00000000-0010-0000-3C00-000010000000}" name="tgt" dataDxfId="4206"/>
    <tableColumn id="17" xr3:uid="{00000000-0010-0000-3C00-000011000000}" name="rec" dataDxfId="4205"/>
    <tableColumn id="18" xr3:uid="{00000000-0010-0000-3C00-000012000000}" name="rec_yd" dataDxfId="4204"/>
    <tableColumn id="19" xr3:uid="{00000000-0010-0000-3C00-000013000000}" name="rec_td" dataDxfId="4203"/>
    <tableColumn id="20" xr3:uid="{00000000-0010-0000-3C00-000014000000}" name="fmb" dataDxfId="4202"/>
    <tableColumn id="21" xr3:uid="{00000000-0010-0000-3C00-000015000000}" name="tp_c" dataDxfId="4201"/>
    <tableColumn id="22" xr3:uid="{00000000-0010-0000-3C00-000016000000}" name="f_ppr" dataDxfId="4200"/>
    <tableColumn id="23" xr3:uid="{00000000-0010-0000-3C00-000017000000}" name="tgt_share" dataDxfId="4199"/>
    <tableColumn id="24" xr3:uid="{00000000-0010-0000-3C00-000018000000}" name="ypc" dataDxfId="4198"/>
    <tableColumn id="25" xr3:uid="{00000000-0010-0000-3C00-000019000000}" name="ypr" dataDxfId="4197"/>
    <tableColumn id="26" xr3:uid="{00000000-0010-0000-3C00-00001A000000}" name="cmp_pct" dataDxfId="4196"/>
    <tableColumn id="27" xr3:uid="{00000000-0010-0000-3C00-00001B000000}" name="td_rate" dataDxfId="4195"/>
    <tableColumn id="28" xr3:uid="{00000000-0010-0000-3C00-00001C000000}" name="f_custom" dataDxfId="4194">
      <calculatedColumnFormula>($J46*Cp_yd)+($K46*Cp_td)+($L46*Cint)+($M46*Ccar)+($N46*Cr_td)+($O46*Cr_yd)+(Q46*Crec)+($R46*Crec_yd)+($S46*Crec_td)+($T46*Cfmb)+($U46*Ctp_c)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00000000-000C-0000-FFFF-FFFF3D000000}" name="DAL_Table6" displayName="DAL_Table6" ref="A60:AB74" totalsRowShown="0" headerRowDxfId="4193" dataDxfId="4192">
  <autoFilter ref="A60:AB74" xr:uid="{00000000-0009-0000-0100-000040000000}"/>
  <tableColumns count="28">
    <tableColumn id="1" xr3:uid="{00000000-0010-0000-3D00-000001000000}" name="Name" dataDxfId="4191"/>
    <tableColumn id="2" xr3:uid="{00000000-0010-0000-3D00-000002000000}" name="POS" dataDxfId="4190"/>
    <tableColumn id="3" xr3:uid="{00000000-0010-0000-3D00-000003000000}" name="Age" dataDxfId="4189"/>
    <tableColumn id="4" xr3:uid="{00000000-0010-0000-3D00-000004000000}" name="Exp" dataDxfId="4188"/>
    <tableColumn id="5" xr3:uid="{00000000-0010-0000-3D00-000005000000}" name="College" dataDxfId="4187"/>
    <tableColumn id="6" xr3:uid="{00000000-0010-0000-3D00-000006000000}" name="team" dataDxfId="4186"/>
    <tableColumn id="7" xr3:uid="{00000000-0010-0000-3D00-000007000000}" name="g" dataDxfId="4185"/>
    <tableColumn id="8" xr3:uid="{00000000-0010-0000-3D00-000008000000}" name="p_att" dataDxfId="4184"/>
    <tableColumn id="9" xr3:uid="{00000000-0010-0000-3D00-000009000000}" name="cmp" dataDxfId="4183"/>
    <tableColumn id="10" xr3:uid="{00000000-0010-0000-3D00-00000A000000}" name="p_yd" dataDxfId="4182"/>
    <tableColumn id="11" xr3:uid="{00000000-0010-0000-3D00-00000B000000}" name="p_td" dataDxfId="4181"/>
    <tableColumn id="12" xr3:uid="{00000000-0010-0000-3D00-00000C000000}" name="int" dataDxfId="4180"/>
    <tableColumn id="13" xr3:uid="{00000000-0010-0000-3D00-00000D000000}" name="car" dataDxfId="4179"/>
    <tableColumn id="14" xr3:uid="{00000000-0010-0000-3D00-00000E000000}" name="r_yd" dataDxfId="4178"/>
    <tableColumn id="15" xr3:uid="{00000000-0010-0000-3D00-00000F000000}" name="r_td" dataDxfId="4177"/>
    <tableColumn id="16" xr3:uid="{00000000-0010-0000-3D00-000010000000}" name="tgt" dataDxfId="4176"/>
    <tableColumn id="17" xr3:uid="{00000000-0010-0000-3D00-000011000000}" name="rec" dataDxfId="4175"/>
    <tableColumn id="18" xr3:uid="{00000000-0010-0000-3D00-000012000000}" name="rec_yd" dataDxfId="4174"/>
    <tableColumn id="19" xr3:uid="{00000000-0010-0000-3D00-000013000000}" name="rec_td" dataDxfId="4173"/>
    <tableColumn id="20" xr3:uid="{00000000-0010-0000-3D00-000014000000}" name="fmb" dataDxfId="4172"/>
    <tableColumn id="21" xr3:uid="{00000000-0010-0000-3D00-000015000000}" name="tp_c" dataDxfId="4171"/>
    <tableColumn id="22" xr3:uid="{00000000-0010-0000-3D00-000016000000}" name="f_ppr" dataDxfId="4170"/>
    <tableColumn id="23" xr3:uid="{00000000-0010-0000-3D00-000017000000}" name="tgt_share" dataDxfId="4169"/>
    <tableColumn id="24" xr3:uid="{00000000-0010-0000-3D00-000018000000}" name="ypc" dataDxfId="4168"/>
    <tableColumn id="25" xr3:uid="{00000000-0010-0000-3D00-000019000000}" name="ypr" dataDxfId="4167"/>
    <tableColumn id="26" xr3:uid="{00000000-0010-0000-3D00-00001A000000}" name="cmp_pct" dataDxfId="4166"/>
    <tableColumn id="27" xr3:uid="{00000000-0010-0000-3D00-00001B000000}" name="td_rate" dataDxfId="4165"/>
    <tableColumn id="28" xr3:uid="{00000000-0010-0000-3D00-00001C000000}" name="f_custom" dataDxfId="4164"/>
  </tableColumns>
  <tableStyleInfo name="TableStyleMedium1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00000000-000C-0000-FFFF-FFFF3E000000}" name="DAL_Table7" displayName="DAL_Table7" ref="A75:AB81" totalsRowShown="0" headerRowDxfId="4163" dataDxfId="4162">
  <autoFilter ref="A75:AB81" xr:uid="{00000000-0009-0000-0100-000041000000}"/>
  <tableColumns count="28">
    <tableColumn id="1" xr3:uid="{00000000-0010-0000-3E00-000001000000}" name="Name" dataDxfId="4161"/>
    <tableColumn id="2" xr3:uid="{00000000-0010-0000-3E00-000002000000}" name="POS" dataDxfId="4160"/>
    <tableColumn id="3" xr3:uid="{00000000-0010-0000-3E00-000003000000}" name="Age" dataDxfId="4159"/>
    <tableColumn id="4" xr3:uid="{00000000-0010-0000-3E00-000004000000}" name="Exp" dataDxfId="4158"/>
    <tableColumn id="5" xr3:uid="{00000000-0010-0000-3E00-000005000000}" name="College" dataDxfId="4157"/>
    <tableColumn id="6" xr3:uid="{00000000-0010-0000-3E00-000006000000}" name="team" dataDxfId="4156"/>
    <tableColumn id="7" xr3:uid="{00000000-0010-0000-3E00-000007000000}" name="g" dataDxfId="4155"/>
    <tableColumn id="8" xr3:uid="{00000000-0010-0000-3E00-000008000000}" name="p_att" dataDxfId="4154"/>
    <tableColumn id="9" xr3:uid="{00000000-0010-0000-3E00-000009000000}" name="cmp" dataDxfId="4153"/>
    <tableColumn id="10" xr3:uid="{00000000-0010-0000-3E00-00000A000000}" name="p_yd" dataDxfId="4152"/>
    <tableColumn id="11" xr3:uid="{00000000-0010-0000-3E00-00000B000000}" name="p_td" dataDxfId="4151"/>
    <tableColumn id="12" xr3:uid="{00000000-0010-0000-3E00-00000C000000}" name="int" dataDxfId="4150"/>
    <tableColumn id="13" xr3:uid="{00000000-0010-0000-3E00-00000D000000}" name="car" dataDxfId="4149"/>
    <tableColumn id="14" xr3:uid="{00000000-0010-0000-3E00-00000E000000}" name="r_yd" dataDxfId="4148"/>
    <tableColumn id="15" xr3:uid="{00000000-0010-0000-3E00-00000F000000}" name="r_td" dataDxfId="4147"/>
    <tableColumn id="16" xr3:uid="{00000000-0010-0000-3E00-000010000000}" name="tgt" dataDxfId="4146"/>
    <tableColumn id="17" xr3:uid="{00000000-0010-0000-3E00-000011000000}" name="rec" dataDxfId="4145"/>
    <tableColumn id="18" xr3:uid="{00000000-0010-0000-3E00-000012000000}" name="rec_yd" dataDxfId="4144"/>
    <tableColumn id="19" xr3:uid="{00000000-0010-0000-3E00-000013000000}" name="rec_td" dataDxfId="4143"/>
    <tableColumn id="20" xr3:uid="{00000000-0010-0000-3E00-000014000000}" name="fmb" dataDxfId="4142"/>
    <tableColumn id="21" xr3:uid="{00000000-0010-0000-3E00-000015000000}" name="tp_c" dataDxfId="4141"/>
    <tableColumn id="22" xr3:uid="{00000000-0010-0000-3E00-000016000000}" name="f_ppr" dataDxfId="4140"/>
    <tableColumn id="23" xr3:uid="{00000000-0010-0000-3E00-000017000000}" name="tgt_share" dataDxfId="4139"/>
    <tableColumn id="24" xr3:uid="{00000000-0010-0000-3E00-000018000000}" name="ypc" dataDxfId="4138"/>
    <tableColumn id="25" xr3:uid="{00000000-0010-0000-3E00-000019000000}" name="ypr" dataDxfId="4137"/>
    <tableColumn id="26" xr3:uid="{00000000-0010-0000-3E00-00001A000000}" name="cmp_pct" dataDxfId="4136"/>
    <tableColumn id="27" xr3:uid="{00000000-0010-0000-3E00-00001B000000}" name="td_rate" dataDxfId="4135"/>
    <tableColumn id="28" xr3:uid="{00000000-0010-0000-3E00-00001C000000}" name="f_custom" dataDxfId="4134"/>
  </tableColumns>
  <tableStyleInfo name="TableStyleMedium1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00000000-000C-0000-FFFF-FFFF3F000000}" name="DEN_Table1" displayName="DEN_Table1" ref="A1:X25" totalsRowShown="0" headerRowDxfId="4133" dataDxfId="4132">
  <autoFilter ref="A1:X25" xr:uid="{00000000-0009-0000-0100-000042000000}"/>
  <tableColumns count="24">
    <tableColumn id="1" xr3:uid="{00000000-0010-0000-3F00-000001000000}" name="player_name" dataDxfId="4131"/>
    <tableColumn id="2" xr3:uid="{00000000-0010-0000-3F00-000002000000}" name="recent_team" dataDxfId="4130"/>
    <tableColumn id="3" xr3:uid="{00000000-0010-0000-3F00-000003000000}" name="pos" dataDxfId="4129"/>
    <tableColumn id="4" xr3:uid="{00000000-0010-0000-3F00-000004000000}" name="g" dataDxfId="4128"/>
    <tableColumn id="5" xr3:uid="{00000000-0010-0000-3F00-000005000000}" name="p_att" dataDxfId="4127"/>
    <tableColumn id="6" xr3:uid="{00000000-0010-0000-3F00-000006000000}" name="cmp" dataDxfId="4126"/>
    <tableColumn id="7" xr3:uid="{00000000-0010-0000-3F00-000007000000}" name="p_yd" dataDxfId="4125"/>
    <tableColumn id="8" xr3:uid="{00000000-0010-0000-3F00-000008000000}" name="p_td" dataDxfId="4124"/>
    <tableColumn id="9" xr3:uid="{00000000-0010-0000-3F00-000009000000}" name="int" dataDxfId="4123"/>
    <tableColumn id="10" xr3:uid="{00000000-0010-0000-3F00-00000A000000}" name="car" dataDxfId="4122"/>
    <tableColumn id="11" xr3:uid="{00000000-0010-0000-3F00-00000B000000}" name="r_yd" dataDxfId="4121"/>
    <tableColumn id="12" xr3:uid="{00000000-0010-0000-3F00-00000C000000}" name="r_td" dataDxfId="4120"/>
    <tableColumn id="13" xr3:uid="{00000000-0010-0000-3F00-00000D000000}" name="tgt" dataDxfId="4119"/>
    <tableColumn id="14" xr3:uid="{00000000-0010-0000-3F00-00000E000000}" name="rec" dataDxfId="4118"/>
    <tableColumn id="15" xr3:uid="{00000000-0010-0000-3F00-00000F000000}" name="rec_yd" dataDxfId="4117"/>
    <tableColumn id="16" xr3:uid="{00000000-0010-0000-3F00-000010000000}" name="rec_td" dataDxfId="4116"/>
    <tableColumn id="17" xr3:uid="{00000000-0010-0000-3F00-000011000000}" name="fmb" dataDxfId="4115"/>
    <tableColumn id="18" xr3:uid="{00000000-0010-0000-3F00-000012000000}" name="tp_c" dataDxfId="4114"/>
    <tableColumn id="19" xr3:uid="{00000000-0010-0000-3F00-000013000000}" name="f_ppr" dataDxfId="4113"/>
    <tableColumn id="20" xr3:uid="{00000000-0010-0000-3F00-000014000000}" name="tgt_share" dataDxfId="4112"/>
    <tableColumn id="21" xr3:uid="{00000000-0010-0000-3F00-000015000000}" name="ypc" dataDxfId="4111"/>
    <tableColumn id="22" xr3:uid="{00000000-0010-0000-3F00-000016000000}" name="ypr" dataDxfId="4110"/>
    <tableColumn id="23" xr3:uid="{00000000-0010-0000-3F00-000017000000}" name="cmp_pct" dataDxfId="4109"/>
    <tableColumn id="24" xr3:uid="{00000000-0010-0000-3F00-000018000000}" name="td_rate" dataDxfId="4108"/>
  </tableColumns>
  <tableStyleInfo name="TableStyleMedium1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00000000-000C-0000-FFFF-FFFF40000000}" name="DEN_Table2" displayName="DEN_Table2" ref="A30:L31" totalsRowShown="0" headerRowDxfId="4107" dataDxfId="4106">
  <autoFilter ref="A30:L31" xr:uid="{00000000-0009-0000-0100-000043000000}"/>
  <tableColumns count="12">
    <tableColumn id="1" xr3:uid="{00000000-0010-0000-4000-000001000000}" name="team" dataDxfId="4105"/>
    <tableColumn id="2" xr3:uid="{00000000-0010-0000-4000-000002000000}" name="off_yd" dataDxfId="4104"/>
    <tableColumn id="3" xr3:uid="{00000000-0010-0000-4000-000003000000}" name="p_yd" dataDxfId="4103"/>
    <tableColumn id="4" xr3:uid="{00000000-0010-0000-4000-000004000000}" name="car" dataDxfId="4102"/>
    <tableColumn id="5" xr3:uid="{00000000-0010-0000-4000-000005000000}" name="r_yd" dataDxfId="4101"/>
    <tableColumn id="6" xr3:uid="{00000000-0010-0000-4000-000006000000}" name="r_td" dataDxfId="4100"/>
    <tableColumn id="7" xr3:uid="{00000000-0010-0000-4000-000007000000}" name="p_ff" dataDxfId="4099"/>
    <tableColumn id="8" xr3:uid="{00000000-0010-0000-4000-000008000000}" name="p_att" dataDxfId="4098"/>
    <tableColumn id="9" xr3:uid="{00000000-0010-0000-4000-000009000000}" name="cmp_pct" dataDxfId="4097"/>
    <tableColumn id="10" xr3:uid="{00000000-0010-0000-4000-00000A000000}" name="p_td" dataDxfId="4096"/>
    <tableColumn id="11" xr3:uid="{00000000-0010-0000-4000-00000B000000}" name="int" dataDxfId="4095"/>
    <tableColumn id="12" xr3:uid="{00000000-0010-0000-4000-00000C000000}" name="fmb" dataDxfId="4094"/>
  </tableColumns>
  <tableStyleInfo name="TableStyleMedium1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00000000-000C-0000-FFFF-FFFF41000000}" name="DEN_Table3" displayName="DEN_Table3" ref="A32:L33" totalsRowShown="0" headerRowDxfId="4093" dataDxfId="4092">
  <autoFilter ref="A32:L33" xr:uid="{00000000-0009-0000-0100-000044000000}"/>
  <tableColumns count="12">
    <tableColumn id="1" xr3:uid="{00000000-0010-0000-4100-000001000000}" name="team" dataDxfId="4091">
      <calculatedColumnFormula>A31</calculatedColumnFormula>
    </tableColumn>
    <tableColumn id="2" xr3:uid="{00000000-0010-0000-4100-000002000000}" name="off_yd" dataDxfId="4090">
      <calculatedColumnFormula>C33 + E33</calculatedColumnFormula>
    </tableColumn>
    <tableColumn id="3" xr3:uid="{00000000-0010-0000-4100-000003000000}" name="p_yd" dataDxfId="4089">
      <calculatedColumnFormula>SUM(INDIRECT(A33 &amp; "_Table4[[#All],[p_yd]]"))</calculatedColumnFormula>
    </tableColumn>
    <tableColumn id="4" xr3:uid="{00000000-0010-0000-4100-000004000000}" name="car" dataDxfId="4088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4100-000005000000}" name="r_yd" dataDxfId="4087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4100-000006000000}" name="r_td" dataDxfId="4086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4100-000007000000}" name="p_ff" dataDxfId="4085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4100-000008000000}" name="p_att" dataDxfId="4084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4100-000009000000}" name="cmp_pct" dataDxfId="4083">
      <calculatedColumnFormula>SUM(INDIRECT(A33 &amp; "_Table4[[#All],[cmp]]"))/H33</calculatedColumnFormula>
    </tableColumn>
    <tableColumn id="10" xr3:uid="{00000000-0010-0000-4100-00000A000000}" name="p_td" dataDxfId="4082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4100-00000B000000}" name="int" dataDxfId="4081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4100-00000C000000}" name="fmb" dataDxfId="4080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</tableColumns>
  <tableStyleInfo name="TableStyleMedium1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00000000-000C-0000-FFFF-FFFF42000000}" name="DEN_Table4" displayName="DEN_Table4" ref="A35:AB38" totalsRowShown="0" headerRowDxfId="4079" dataDxfId="4078">
  <autoFilter ref="A35:AB38" xr:uid="{00000000-0009-0000-0100-000045000000}"/>
  <tableColumns count="28">
    <tableColumn id="1" xr3:uid="{00000000-0010-0000-4200-000001000000}" name="Name" dataDxfId="4077"/>
    <tableColumn id="2" xr3:uid="{00000000-0010-0000-4200-000002000000}" name="POS" dataDxfId="4076"/>
    <tableColumn id="3" xr3:uid="{00000000-0010-0000-4200-000003000000}" name="Age" dataDxfId="4075"/>
    <tableColumn id="4" xr3:uid="{00000000-0010-0000-4200-000004000000}" name="Exp" dataDxfId="4074"/>
    <tableColumn id="5" xr3:uid="{00000000-0010-0000-4200-000005000000}" name="College" dataDxfId="4073"/>
    <tableColumn id="6" xr3:uid="{00000000-0010-0000-4200-000006000000}" name="team" dataDxfId="4072"/>
    <tableColumn id="7" xr3:uid="{00000000-0010-0000-4200-000007000000}" name="g" dataDxfId="4071"/>
    <tableColumn id="8" xr3:uid="{00000000-0010-0000-4200-000008000000}" name="p_att" dataDxfId="4070"/>
    <tableColumn id="9" xr3:uid="{00000000-0010-0000-4200-000009000000}" name="cmp" dataDxfId="4069"/>
    <tableColumn id="10" xr3:uid="{00000000-0010-0000-4200-00000A000000}" name="p_yd" dataDxfId="4068"/>
    <tableColumn id="11" xr3:uid="{00000000-0010-0000-4200-00000B000000}" name="p_td" dataDxfId="4067"/>
    <tableColumn id="12" xr3:uid="{00000000-0010-0000-4200-00000C000000}" name="int" dataDxfId="4066"/>
    <tableColumn id="13" xr3:uid="{00000000-0010-0000-4200-00000D000000}" name="car" dataDxfId="4065"/>
    <tableColumn id="14" xr3:uid="{00000000-0010-0000-4200-00000E000000}" name="r_yd" dataDxfId="4064"/>
    <tableColumn id="15" xr3:uid="{00000000-0010-0000-4200-00000F000000}" name="r_td" dataDxfId="4063"/>
    <tableColumn id="16" xr3:uid="{00000000-0010-0000-4200-000010000000}" name="tgt" dataDxfId="4062"/>
    <tableColumn id="17" xr3:uid="{00000000-0010-0000-4200-000011000000}" name="rec" dataDxfId="4061"/>
    <tableColumn id="18" xr3:uid="{00000000-0010-0000-4200-000012000000}" name="rec_yd" dataDxfId="4060"/>
    <tableColumn id="19" xr3:uid="{00000000-0010-0000-4200-000013000000}" name="rec_td" dataDxfId="4059"/>
    <tableColumn id="20" xr3:uid="{00000000-0010-0000-4200-000014000000}" name="fmb" dataDxfId="4058"/>
    <tableColumn id="21" xr3:uid="{00000000-0010-0000-4200-000015000000}" name="tp_c" dataDxfId="4057"/>
    <tableColumn id="22" xr3:uid="{00000000-0010-0000-4200-000016000000}" name="f_ppr" dataDxfId="4056"/>
    <tableColumn id="23" xr3:uid="{00000000-0010-0000-4200-000017000000}" name="tgt_share" dataDxfId="4055"/>
    <tableColumn id="24" xr3:uid="{00000000-0010-0000-4200-000018000000}" name="ypc" dataDxfId="4054"/>
    <tableColumn id="25" xr3:uid="{00000000-0010-0000-4200-000019000000}" name="ypr" dataDxfId="4053"/>
    <tableColumn id="26" xr3:uid="{00000000-0010-0000-4200-00001A000000}" name="cmp_pct" dataDxfId="4052"/>
    <tableColumn id="27" xr3:uid="{00000000-0010-0000-4200-00001B000000}" name="td_rate" dataDxfId="4051"/>
    <tableColumn id="28" xr3:uid="{00000000-0010-0000-4200-00001C000000}" name="f_custom" dataDxfId="4050"/>
  </tableColumns>
  <tableStyleInfo name="TableStyleMedium1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00000000-000C-0000-FFFF-FFFF43000000}" name="DEN_Table5" displayName="DEN_Table5" ref="A45:AB51" totalsRowShown="0" headerRowDxfId="4049" dataDxfId="4048">
  <autoFilter ref="A45:AB51" xr:uid="{00000000-0009-0000-0100-000046000000}"/>
  <tableColumns count="28">
    <tableColumn id="1" xr3:uid="{00000000-0010-0000-4300-000001000000}" name="Name" dataDxfId="4047"/>
    <tableColumn id="2" xr3:uid="{00000000-0010-0000-4300-000002000000}" name="POS" dataDxfId="4046"/>
    <tableColumn id="3" xr3:uid="{00000000-0010-0000-4300-000003000000}" name="Age" dataDxfId="4045"/>
    <tableColumn id="4" xr3:uid="{00000000-0010-0000-4300-000004000000}" name="Exp" dataDxfId="4044"/>
    <tableColumn id="5" xr3:uid="{00000000-0010-0000-4300-000005000000}" name="College" dataDxfId="4043"/>
    <tableColumn id="6" xr3:uid="{00000000-0010-0000-4300-000006000000}" name="team" dataDxfId="4042"/>
    <tableColumn id="7" xr3:uid="{00000000-0010-0000-4300-000007000000}" name="g" dataDxfId="4041"/>
    <tableColumn id="8" xr3:uid="{00000000-0010-0000-4300-000008000000}" name="p_att" dataDxfId="4040"/>
    <tableColumn id="9" xr3:uid="{00000000-0010-0000-4300-000009000000}" name="cmp" dataDxfId="4039"/>
    <tableColumn id="10" xr3:uid="{00000000-0010-0000-4300-00000A000000}" name="p_yd" dataDxfId="4038"/>
    <tableColumn id="11" xr3:uid="{00000000-0010-0000-4300-00000B000000}" name="p_td" dataDxfId="4037"/>
    <tableColumn id="12" xr3:uid="{00000000-0010-0000-4300-00000C000000}" name="int" dataDxfId="4036"/>
    <tableColumn id="13" xr3:uid="{00000000-0010-0000-4300-00000D000000}" name="car" dataDxfId="4035"/>
    <tableColumn id="14" xr3:uid="{00000000-0010-0000-4300-00000E000000}" name="r_yd" dataDxfId="4034"/>
    <tableColumn id="15" xr3:uid="{00000000-0010-0000-4300-00000F000000}" name="r_td" dataDxfId="4033"/>
    <tableColumn id="16" xr3:uid="{00000000-0010-0000-4300-000010000000}" name="tgt" dataDxfId="4032"/>
    <tableColumn id="17" xr3:uid="{00000000-0010-0000-4300-000011000000}" name="rec" dataDxfId="4031"/>
    <tableColumn id="18" xr3:uid="{00000000-0010-0000-4300-000012000000}" name="rec_yd" dataDxfId="4030"/>
    <tableColumn id="19" xr3:uid="{00000000-0010-0000-4300-000013000000}" name="rec_td" dataDxfId="4029"/>
    <tableColumn id="20" xr3:uid="{00000000-0010-0000-4300-000014000000}" name="fmb" dataDxfId="4028"/>
    <tableColumn id="21" xr3:uid="{00000000-0010-0000-4300-000015000000}" name="tp_c" dataDxfId="4027"/>
    <tableColumn id="22" xr3:uid="{00000000-0010-0000-4300-000016000000}" name="f_ppr" dataDxfId="4026"/>
    <tableColumn id="23" xr3:uid="{00000000-0010-0000-4300-000017000000}" name="tgt_share" dataDxfId="4025"/>
    <tableColumn id="24" xr3:uid="{00000000-0010-0000-4300-000018000000}" name="ypc" dataDxfId="4024"/>
    <tableColumn id="25" xr3:uid="{00000000-0010-0000-4300-000019000000}" name="ypr" dataDxfId="4023"/>
    <tableColumn id="26" xr3:uid="{00000000-0010-0000-4300-00001A000000}" name="cmp_pct" dataDxfId="4022"/>
    <tableColumn id="27" xr3:uid="{00000000-0010-0000-4300-00001B000000}" name="td_rate" dataDxfId="4021"/>
    <tableColumn id="28" xr3:uid="{00000000-0010-0000-4300-00001C000000}" name="f_custom" dataDxfId="4020">
      <calculatedColumnFormula>($J46*Cp_yd)+($K46*Cp_td)+($L46*Cint)+($M46*Ccar)+($N46*Cr_td)+($O46*Cr_yd)+(Q46*Crec)+($R46*Crec_yd)+($S46*Crec_td)+($T46*Cfmb)+($U46*Ctp_c)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00000000-000C-0000-FFFF-FFFF44000000}" name="DEN_Table6" displayName="DEN_Table6" ref="A60:AB74" totalsRowShown="0" headerRowDxfId="4019" dataDxfId="4018">
  <autoFilter ref="A60:AB74" xr:uid="{00000000-0009-0000-0100-000047000000}"/>
  <tableColumns count="28">
    <tableColumn id="1" xr3:uid="{00000000-0010-0000-4400-000001000000}" name="Name" dataDxfId="4017"/>
    <tableColumn id="2" xr3:uid="{00000000-0010-0000-4400-000002000000}" name="POS" dataDxfId="4016"/>
    <tableColumn id="3" xr3:uid="{00000000-0010-0000-4400-000003000000}" name="Age" dataDxfId="4015"/>
    <tableColumn id="4" xr3:uid="{00000000-0010-0000-4400-000004000000}" name="Exp" dataDxfId="4014"/>
    <tableColumn id="5" xr3:uid="{00000000-0010-0000-4400-000005000000}" name="College" dataDxfId="4013"/>
    <tableColumn id="6" xr3:uid="{00000000-0010-0000-4400-000006000000}" name="team" dataDxfId="4012"/>
    <tableColumn id="7" xr3:uid="{00000000-0010-0000-4400-000007000000}" name="g" dataDxfId="4011"/>
    <tableColumn id="8" xr3:uid="{00000000-0010-0000-4400-000008000000}" name="p_att" dataDxfId="4010"/>
    <tableColumn id="9" xr3:uid="{00000000-0010-0000-4400-000009000000}" name="cmp" dataDxfId="4009"/>
    <tableColumn id="10" xr3:uid="{00000000-0010-0000-4400-00000A000000}" name="p_yd" dataDxfId="4008"/>
    <tableColumn id="11" xr3:uid="{00000000-0010-0000-4400-00000B000000}" name="p_td" dataDxfId="4007"/>
    <tableColumn id="12" xr3:uid="{00000000-0010-0000-4400-00000C000000}" name="int" dataDxfId="4006"/>
    <tableColumn id="13" xr3:uid="{00000000-0010-0000-4400-00000D000000}" name="car" dataDxfId="4005"/>
    <tableColumn id="14" xr3:uid="{00000000-0010-0000-4400-00000E000000}" name="r_yd" dataDxfId="4004"/>
    <tableColumn id="15" xr3:uid="{00000000-0010-0000-4400-00000F000000}" name="r_td" dataDxfId="4003"/>
    <tableColumn id="16" xr3:uid="{00000000-0010-0000-4400-000010000000}" name="tgt" dataDxfId="4002"/>
    <tableColumn id="17" xr3:uid="{00000000-0010-0000-4400-000011000000}" name="rec" dataDxfId="4001"/>
    <tableColumn id="18" xr3:uid="{00000000-0010-0000-4400-000012000000}" name="rec_yd" dataDxfId="4000"/>
    <tableColumn id="19" xr3:uid="{00000000-0010-0000-4400-000013000000}" name="rec_td" dataDxfId="3999"/>
    <tableColumn id="20" xr3:uid="{00000000-0010-0000-4400-000014000000}" name="fmb" dataDxfId="3998"/>
    <tableColumn id="21" xr3:uid="{00000000-0010-0000-4400-000015000000}" name="tp_c" dataDxfId="3997"/>
    <tableColumn id="22" xr3:uid="{00000000-0010-0000-4400-000016000000}" name="f_ppr" dataDxfId="3996"/>
    <tableColumn id="23" xr3:uid="{00000000-0010-0000-4400-000017000000}" name="tgt_share" dataDxfId="3995"/>
    <tableColumn id="24" xr3:uid="{00000000-0010-0000-4400-000018000000}" name="ypc" dataDxfId="3994"/>
    <tableColumn id="25" xr3:uid="{00000000-0010-0000-4400-000019000000}" name="ypr" dataDxfId="3993"/>
    <tableColumn id="26" xr3:uid="{00000000-0010-0000-4400-00001A000000}" name="cmp_pct" dataDxfId="3992"/>
    <tableColumn id="27" xr3:uid="{00000000-0010-0000-4400-00001B000000}" name="td_rate" dataDxfId="3991"/>
    <tableColumn id="28" xr3:uid="{00000000-0010-0000-4400-00001C000000}" name="f_custom" dataDxfId="3990"/>
  </tableColumns>
  <tableStyleInfo name="TableStyleMedium1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00000000-000C-0000-FFFF-FFFF45000000}" name="DEN_Table7" displayName="DEN_Table7" ref="A75:AB81" totalsRowShown="0" headerRowDxfId="3989" dataDxfId="3988">
  <autoFilter ref="A75:AB81" xr:uid="{00000000-0009-0000-0100-000048000000}"/>
  <tableColumns count="28">
    <tableColumn id="1" xr3:uid="{00000000-0010-0000-4500-000001000000}" name="Name" dataDxfId="3987"/>
    <tableColumn id="2" xr3:uid="{00000000-0010-0000-4500-000002000000}" name="POS" dataDxfId="3986"/>
    <tableColumn id="3" xr3:uid="{00000000-0010-0000-4500-000003000000}" name="Age" dataDxfId="3985"/>
    <tableColumn id="4" xr3:uid="{00000000-0010-0000-4500-000004000000}" name="Exp" dataDxfId="3984"/>
    <tableColumn id="5" xr3:uid="{00000000-0010-0000-4500-000005000000}" name="College" dataDxfId="3983"/>
    <tableColumn id="6" xr3:uid="{00000000-0010-0000-4500-000006000000}" name="team" dataDxfId="3982"/>
    <tableColumn id="7" xr3:uid="{00000000-0010-0000-4500-000007000000}" name="g" dataDxfId="3981"/>
    <tableColumn id="8" xr3:uid="{00000000-0010-0000-4500-000008000000}" name="p_att" dataDxfId="3980"/>
    <tableColumn id="9" xr3:uid="{00000000-0010-0000-4500-000009000000}" name="cmp" dataDxfId="3979"/>
    <tableColumn id="10" xr3:uid="{00000000-0010-0000-4500-00000A000000}" name="p_yd" dataDxfId="3978"/>
    <tableColumn id="11" xr3:uid="{00000000-0010-0000-4500-00000B000000}" name="p_td" dataDxfId="3977"/>
    <tableColumn id="12" xr3:uid="{00000000-0010-0000-4500-00000C000000}" name="int" dataDxfId="3976"/>
    <tableColumn id="13" xr3:uid="{00000000-0010-0000-4500-00000D000000}" name="car" dataDxfId="3975"/>
    <tableColumn id="14" xr3:uid="{00000000-0010-0000-4500-00000E000000}" name="r_yd" dataDxfId="3974"/>
    <tableColumn id="15" xr3:uid="{00000000-0010-0000-4500-00000F000000}" name="r_td" dataDxfId="3973"/>
    <tableColumn id="16" xr3:uid="{00000000-0010-0000-4500-000010000000}" name="tgt" dataDxfId="3972"/>
    <tableColumn id="17" xr3:uid="{00000000-0010-0000-4500-000011000000}" name="rec" dataDxfId="3971"/>
    <tableColumn id="18" xr3:uid="{00000000-0010-0000-4500-000012000000}" name="rec_yd" dataDxfId="3970"/>
    <tableColumn id="19" xr3:uid="{00000000-0010-0000-4500-000013000000}" name="rec_td" dataDxfId="3969"/>
    <tableColumn id="20" xr3:uid="{00000000-0010-0000-4500-000014000000}" name="fmb" dataDxfId="3968"/>
    <tableColumn id="21" xr3:uid="{00000000-0010-0000-4500-000015000000}" name="tp_c" dataDxfId="3967"/>
    <tableColumn id="22" xr3:uid="{00000000-0010-0000-4500-000016000000}" name="f_ppr" dataDxfId="3966"/>
    <tableColumn id="23" xr3:uid="{00000000-0010-0000-4500-000017000000}" name="tgt_share" dataDxfId="3965"/>
    <tableColumn id="24" xr3:uid="{00000000-0010-0000-4500-000018000000}" name="ypc" dataDxfId="3964"/>
    <tableColumn id="25" xr3:uid="{00000000-0010-0000-4500-000019000000}" name="ypr" dataDxfId="3963"/>
    <tableColumn id="26" xr3:uid="{00000000-0010-0000-4500-00001A000000}" name="cmp_pct" dataDxfId="3962"/>
    <tableColumn id="27" xr3:uid="{00000000-0010-0000-4500-00001B000000}" name="td_rate" dataDxfId="3961"/>
    <tableColumn id="28" xr3:uid="{00000000-0010-0000-4500-00001C000000}" name="f_custom" dataDxfId="3960"/>
  </tableColumns>
  <tableStyleInfo name="TableStyleMedium1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00000000-000C-0000-FFFF-FFFF46000000}" name="DET_Table1" displayName="DET_Table1" ref="A1:X20" totalsRowShown="0" headerRowDxfId="3959" dataDxfId="3958">
  <autoFilter ref="A1:X20" xr:uid="{00000000-0009-0000-0100-000049000000}"/>
  <tableColumns count="24">
    <tableColumn id="1" xr3:uid="{00000000-0010-0000-4600-000001000000}" name="player_name" dataDxfId="3957"/>
    <tableColumn id="2" xr3:uid="{00000000-0010-0000-4600-000002000000}" name="recent_team" dataDxfId="3956"/>
    <tableColumn id="3" xr3:uid="{00000000-0010-0000-4600-000003000000}" name="pos" dataDxfId="3955"/>
    <tableColumn id="4" xr3:uid="{00000000-0010-0000-4600-000004000000}" name="g" dataDxfId="3954"/>
    <tableColumn id="5" xr3:uid="{00000000-0010-0000-4600-000005000000}" name="p_att" dataDxfId="3953"/>
    <tableColumn id="6" xr3:uid="{00000000-0010-0000-4600-000006000000}" name="cmp" dataDxfId="3952"/>
    <tableColumn id="7" xr3:uid="{00000000-0010-0000-4600-000007000000}" name="p_yd" dataDxfId="3951"/>
    <tableColumn id="8" xr3:uid="{00000000-0010-0000-4600-000008000000}" name="p_td" dataDxfId="3950"/>
    <tableColumn id="9" xr3:uid="{00000000-0010-0000-4600-000009000000}" name="int" dataDxfId="3949"/>
    <tableColumn id="10" xr3:uid="{00000000-0010-0000-4600-00000A000000}" name="car" dataDxfId="3948"/>
    <tableColumn id="11" xr3:uid="{00000000-0010-0000-4600-00000B000000}" name="r_yd" dataDxfId="3947"/>
    <tableColumn id="12" xr3:uid="{00000000-0010-0000-4600-00000C000000}" name="r_td" dataDxfId="3946"/>
    <tableColumn id="13" xr3:uid="{00000000-0010-0000-4600-00000D000000}" name="tgt" dataDxfId="3945"/>
    <tableColumn id="14" xr3:uid="{00000000-0010-0000-4600-00000E000000}" name="rec" dataDxfId="3944"/>
    <tableColumn id="15" xr3:uid="{00000000-0010-0000-4600-00000F000000}" name="rec_yd" dataDxfId="3943"/>
    <tableColumn id="16" xr3:uid="{00000000-0010-0000-4600-000010000000}" name="rec_td" dataDxfId="3942"/>
    <tableColumn id="17" xr3:uid="{00000000-0010-0000-4600-000011000000}" name="fmb" dataDxfId="3941"/>
    <tableColumn id="18" xr3:uid="{00000000-0010-0000-4600-000012000000}" name="tp_c" dataDxfId="3940"/>
    <tableColumn id="19" xr3:uid="{00000000-0010-0000-4600-000013000000}" name="f_ppr" dataDxfId="3939"/>
    <tableColumn id="20" xr3:uid="{00000000-0010-0000-4600-000014000000}" name="tgt_share" dataDxfId="3938"/>
    <tableColumn id="21" xr3:uid="{00000000-0010-0000-4600-000015000000}" name="ypc" dataDxfId="3937"/>
    <tableColumn id="22" xr3:uid="{00000000-0010-0000-4600-000016000000}" name="ypr" dataDxfId="3936"/>
    <tableColumn id="23" xr3:uid="{00000000-0010-0000-4600-000017000000}" name="cmp_pct" dataDxfId="3935"/>
    <tableColumn id="24" xr3:uid="{00000000-0010-0000-4600-000018000000}" name="td_rate" dataDxfId="3934"/>
  </tableColumns>
  <tableStyleInfo name="TableStyleMedium1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00000000-000C-0000-FFFF-FFFF47000000}" name="DET_Table2" displayName="DET_Table2" ref="A30:L31" totalsRowShown="0" headerRowDxfId="3933" dataDxfId="3932">
  <autoFilter ref="A30:L31" xr:uid="{00000000-0009-0000-0100-00004A000000}"/>
  <tableColumns count="12">
    <tableColumn id="1" xr3:uid="{00000000-0010-0000-4700-000001000000}" name="team" dataDxfId="3931"/>
    <tableColumn id="2" xr3:uid="{00000000-0010-0000-4700-000002000000}" name="off_yd" dataDxfId="3930"/>
    <tableColumn id="3" xr3:uid="{00000000-0010-0000-4700-000003000000}" name="p_yd" dataDxfId="3929"/>
    <tableColumn id="4" xr3:uid="{00000000-0010-0000-4700-000004000000}" name="car" dataDxfId="3928"/>
    <tableColumn id="5" xr3:uid="{00000000-0010-0000-4700-000005000000}" name="r_yd" dataDxfId="3927"/>
    <tableColumn id="6" xr3:uid="{00000000-0010-0000-4700-000006000000}" name="r_td" dataDxfId="3926"/>
    <tableColumn id="7" xr3:uid="{00000000-0010-0000-4700-000007000000}" name="p_ff" dataDxfId="3925"/>
    <tableColumn id="8" xr3:uid="{00000000-0010-0000-4700-000008000000}" name="p_att" dataDxfId="3924"/>
    <tableColumn id="9" xr3:uid="{00000000-0010-0000-4700-000009000000}" name="cmp_pct" dataDxfId="3923"/>
    <tableColumn id="10" xr3:uid="{00000000-0010-0000-4700-00000A000000}" name="p_td" dataDxfId="3922"/>
    <tableColumn id="11" xr3:uid="{00000000-0010-0000-4700-00000B000000}" name="int" dataDxfId="3921"/>
    <tableColumn id="12" xr3:uid="{00000000-0010-0000-4700-00000C000000}" name="fmb" dataDxfId="3920"/>
  </tableColumns>
  <tableStyleInfo name="TableStyleMedium1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00000000-000C-0000-FFFF-FFFF48000000}" name="DET_Table3" displayName="DET_Table3" ref="A32:L33" totalsRowShown="0" headerRowDxfId="3919" dataDxfId="3918">
  <autoFilter ref="A32:L33" xr:uid="{00000000-0009-0000-0100-00004B000000}"/>
  <tableColumns count="12">
    <tableColumn id="1" xr3:uid="{00000000-0010-0000-4800-000001000000}" name="team" dataDxfId="3917">
      <calculatedColumnFormula>A31</calculatedColumnFormula>
    </tableColumn>
    <tableColumn id="2" xr3:uid="{00000000-0010-0000-4800-000002000000}" name="off_yd" dataDxfId="3916">
      <calculatedColumnFormula>C33 + E33</calculatedColumnFormula>
    </tableColumn>
    <tableColumn id="3" xr3:uid="{00000000-0010-0000-4800-000003000000}" name="p_yd" dataDxfId="3915">
      <calculatedColumnFormula>SUM(INDIRECT(A33 &amp; "_Table4[[#All],[p_yd]]"))</calculatedColumnFormula>
    </tableColumn>
    <tableColumn id="4" xr3:uid="{00000000-0010-0000-4800-000004000000}" name="car" dataDxfId="3914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4800-000005000000}" name="r_yd" dataDxfId="3913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4800-000006000000}" name="r_td" dataDxfId="3912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4800-000007000000}" name="p_ff" dataDxfId="3911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4800-000008000000}" name="p_att" dataDxfId="3910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4800-000009000000}" name="cmp_pct" dataDxfId="3909">
      <calculatedColumnFormula>SUM(INDIRECT(A33 &amp; "_Table4[[#All],[cmp]]"))/H33</calculatedColumnFormula>
    </tableColumn>
    <tableColumn id="10" xr3:uid="{00000000-0010-0000-4800-00000A000000}" name="p_td" dataDxfId="3908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4800-00000B000000}" name="int" dataDxfId="3907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4800-00000C000000}" name="fmb" dataDxfId="3906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</tableColumns>
  <tableStyleInfo name="TableStyleMedium1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00000000-000C-0000-FFFF-FFFF49000000}" name="DET_Table4" displayName="DET_Table4" ref="A35:AB40" totalsRowShown="0" headerRowDxfId="3905" dataDxfId="3904">
  <autoFilter ref="A35:AB40" xr:uid="{00000000-0009-0000-0100-00004C000000}"/>
  <tableColumns count="28">
    <tableColumn id="1" xr3:uid="{00000000-0010-0000-4900-000001000000}" name="Name" dataDxfId="3903"/>
    <tableColumn id="2" xr3:uid="{00000000-0010-0000-4900-000002000000}" name="POS" dataDxfId="3902"/>
    <tableColumn id="3" xr3:uid="{00000000-0010-0000-4900-000003000000}" name="Age" dataDxfId="3901"/>
    <tableColumn id="4" xr3:uid="{00000000-0010-0000-4900-000004000000}" name="Exp" dataDxfId="3900"/>
    <tableColumn id="5" xr3:uid="{00000000-0010-0000-4900-000005000000}" name="College" dataDxfId="3899"/>
    <tableColumn id="6" xr3:uid="{00000000-0010-0000-4900-000006000000}" name="team" dataDxfId="3898"/>
    <tableColumn id="7" xr3:uid="{00000000-0010-0000-4900-000007000000}" name="g" dataDxfId="3897"/>
    <tableColumn id="8" xr3:uid="{00000000-0010-0000-4900-000008000000}" name="p_att" dataDxfId="3896"/>
    <tableColumn id="9" xr3:uid="{00000000-0010-0000-4900-000009000000}" name="cmp" dataDxfId="3895"/>
    <tableColumn id="10" xr3:uid="{00000000-0010-0000-4900-00000A000000}" name="p_yd" dataDxfId="3894"/>
    <tableColumn id="11" xr3:uid="{00000000-0010-0000-4900-00000B000000}" name="p_td" dataDxfId="3893"/>
    <tableColumn id="12" xr3:uid="{00000000-0010-0000-4900-00000C000000}" name="int" dataDxfId="3892"/>
    <tableColumn id="13" xr3:uid="{00000000-0010-0000-4900-00000D000000}" name="car" dataDxfId="3891"/>
    <tableColumn id="14" xr3:uid="{00000000-0010-0000-4900-00000E000000}" name="r_yd" dataDxfId="3890"/>
    <tableColumn id="15" xr3:uid="{00000000-0010-0000-4900-00000F000000}" name="r_td" dataDxfId="3889"/>
    <tableColumn id="16" xr3:uid="{00000000-0010-0000-4900-000010000000}" name="tgt" dataDxfId="3888"/>
    <tableColumn id="17" xr3:uid="{00000000-0010-0000-4900-000011000000}" name="rec" dataDxfId="3887"/>
    <tableColumn id="18" xr3:uid="{00000000-0010-0000-4900-000012000000}" name="rec_yd" dataDxfId="3886"/>
    <tableColumn id="19" xr3:uid="{00000000-0010-0000-4900-000013000000}" name="rec_td" dataDxfId="3885"/>
    <tableColumn id="20" xr3:uid="{00000000-0010-0000-4900-000014000000}" name="fmb" dataDxfId="3884"/>
    <tableColumn id="21" xr3:uid="{00000000-0010-0000-4900-000015000000}" name="tp_c" dataDxfId="3883"/>
    <tableColumn id="22" xr3:uid="{00000000-0010-0000-4900-000016000000}" name="f_ppr" dataDxfId="3882"/>
    <tableColumn id="23" xr3:uid="{00000000-0010-0000-4900-000017000000}" name="tgt_share" dataDxfId="3881"/>
    <tableColumn id="24" xr3:uid="{00000000-0010-0000-4900-000018000000}" name="ypc" dataDxfId="3880"/>
    <tableColumn id="25" xr3:uid="{00000000-0010-0000-4900-000019000000}" name="ypr" dataDxfId="3879"/>
    <tableColumn id="26" xr3:uid="{00000000-0010-0000-4900-00001A000000}" name="cmp_pct" dataDxfId="3878"/>
    <tableColumn id="27" xr3:uid="{00000000-0010-0000-4900-00001B000000}" name="td_rate" dataDxfId="3877"/>
    <tableColumn id="28" xr3:uid="{00000000-0010-0000-4900-00001C000000}" name="f_custom" dataDxfId="3876"/>
  </tableColumns>
  <tableStyleInfo name="TableStyleMedium1"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00000000-000C-0000-FFFF-FFFF4A000000}" name="DET_Table5" displayName="DET_Table5" ref="A45:AB53" totalsRowShown="0" headerRowDxfId="3875" dataDxfId="3874">
  <autoFilter ref="A45:AB53" xr:uid="{00000000-0009-0000-0100-00004D000000}"/>
  <tableColumns count="28">
    <tableColumn id="1" xr3:uid="{00000000-0010-0000-4A00-000001000000}" name="Name" dataDxfId="3873"/>
    <tableColumn id="2" xr3:uid="{00000000-0010-0000-4A00-000002000000}" name="POS" dataDxfId="3872"/>
    <tableColumn id="3" xr3:uid="{00000000-0010-0000-4A00-000003000000}" name="Age" dataDxfId="3871"/>
    <tableColumn id="4" xr3:uid="{00000000-0010-0000-4A00-000004000000}" name="Exp" dataDxfId="3870"/>
    <tableColumn id="5" xr3:uid="{00000000-0010-0000-4A00-000005000000}" name="College" dataDxfId="3869"/>
    <tableColumn id="6" xr3:uid="{00000000-0010-0000-4A00-000006000000}" name="team" dataDxfId="3868"/>
    <tableColumn id="7" xr3:uid="{00000000-0010-0000-4A00-000007000000}" name="g" dataDxfId="3867"/>
    <tableColumn id="8" xr3:uid="{00000000-0010-0000-4A00-000008000000}" name="p_att" dataDxfId="3866"/>
    <tableColumn id="9" xr3:uid="{00000000-0010-0000-4A00-000009000000}" name="cmp" dataDxfId="3865"/>
    <tableColumn id="10" xr3:uid="{00000000-0010-0000-4A00-00000A000000}" name="p_yd" dataDxfId="3864"/>
    <tableColumn id="11" xr3:uid="{00000000-0010-0000-4A00-00000B000000}" name="p_td" dataDxfId="3863"/>
    <tableColumn id="12" xr3:uid="{00000000-0010-0000-4A00-00000C000000}" name="int" dataDxfId="3862"/>
    <tableColumn id="13" xr3:uid="{00000000-0010-0000-4A00-00000D000000}" name="car" dataDxfId="3861"/>
    <tableColumn id="14" xr3:uid="{00000000-0010-0000-4A00-00000E000000}" name="r_yd" dataDxfId="3860"/>
    <tableColumn id="15" xr3:uid="{00000000-0010-0000-4A00-00000F000000}" name="r_td" dataDxfId="3859"/>
    <tableColumn id="16" xr3:uid="{00000000-0010-0000-4A00-000010000000}" name="tgt" dataDxfId="3858"/>
    <tableColumn id="17" xr3:uid="{00000000-0010-0000-4A00-000011000000}" name="rec" dataDxfId="3857"/>
    <tableColumn id="18" xr3:uid="{00000000-0010-0000-4A00-000012000000}" name="rec_yd" dataDxfId="3856"/>
    <tableColumn id="19" xr3:uid="{00000000-0010-0000-4A00-000013000000}" name="rec_td" dataDxfId="3855"/>
    <tableColumn id="20" xr3:uid="{00000000-0010-0000-4A00-000014000000}" name="fmb" dataDxfId="3854"/>
    <tableColumn id="21" xr3:uid="{00000000-0010-0000-4A00-000015000000}" name="tp_c" dataDxfId="3853"/>
    <tableColumn id="22" xr3:uid="{00000000-0010-0000-4A00-000016000000}" name="f_ppr" dataDxfId="3852"/>
    <tableColumn id="23" xr3:uid="{00000000-0010-0000-4A00-000017000000}" name="tgt_share" dataDxfId="3851"/>
    <tableColumn id="24" xr3:uid="{00000000-0010-0000-4A00-000018000000}" name="ypc" dataDxfId="3850"/>
    <tableColumn id="25" xr3:uid="{00000000-0010-0000-4A00-000019000000}" name="ypr" dataDxfId="3849"/>
    <tableColumn id="26" xr3:uid="{00000000-0010-0000-4A00-00001A000000}" name="cmp_pct" dataDxfId="3848"/>
    <tableColumn id="27" xr3:uid="{00000000-0010-0000-4A00-00001B000000}" name="td_rate" dataDxfId="3847"/>
    <tableColumn id="28" xr3:uid="{00000000-0010-0000-4A00-00001C000000}" name="f_custom" dataDxfId="3846">
      <calculatedColumnFormula>($J46*Cp_yd)+($K46*Cp_td)+($L46*Cint)+($M46*Ccar)+($N46*Cr_td)+($O46*Cr_yd)+(Q46*Crec)+($R46*Crec_yd)+($S46*Crec_td)+($T46*Cfmb)+($U46*Ctp_c)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00000000-000C-0000-FFFF-FFFF4B000000}" name="DET_Table6" displayName="DET_Table6" ref="A60:AB73" totalsRowShown="0" headerRowDxfId="3845" dataDxfId="3844">
  <autoFilter ref="A60:AB73" xr:uid="{00000000-0009-0000-0100-00004E000000}"/>
  <tableColumns count="28">
    <tableColumn id="1" xr3:uid="{00000000-0010-0000-4B00-000001000000}" name="Name" dataDxfId="3843"/>
    <tableColumn id="2" xr3:uid="{00000000-0010-0000-4B00-000002000000}" name="POS" dataDxfId="3842"/>
    <tableColumn id="3" xr3:uid="{00000000-0010-0000-4B00-000003000000}" name="Age" dataDxfId="3841"/>
    <tableColumn id="4" xr3:uid="{00000000-0010-0000-4B00-000004000000}" name="Exp" dataDxfId="3840"/>
    <tableColumn id="5" xr3:uid="{00000000-0010-0000-4B00-000005000000}" name="College" dataDxfId="3839"/>
    <tableColumn id="6" xr3:uid="{00000000-0010-0000-4B00-000006000000}" name="team" dataDxfId="3838"/>
    <tableColumn id="7" xr3:uid="{00000000-0010-0000-4B00-000007000000}" name="g" dataDxfId="3837"/>
    <tableColumn id="8" xr3:uid="{00000000-0010-0000-4B00-000008000000}" name="p_att" dataDxfId="3836"/>
    <tableColumn id="9" xr3:uid="{00000000-0010-0000-4B00-000009000000}" name="cmp" dataDxfId="3835"/>
    <tableColumn id="10" xr3:uid="{00000000-0010-0000-4B00-00000A000000}" name="p_yd" dataDxfId="3834"/>
    <tableColumn id="11" xr3:uid="{00000000-0010-0000-4B00-00000B000000}" name="p_td" dataDxfId="3833"/>
    <tableColumn id="12" xr3:uid="{00000000-0010-0000-4B00-00000C000000}" name="int" dataDxfId="3832"/>
    <tableColumn id="13" xr3:uid="{00000000-0010-0000-4B00-00000D000000}" name="car" dataDxfId="3831"/>
    <tableColumn id="14" xr3:uid="{00000000-0010-0000-4B00-00000E000000}" name="r_yd" dataDxfId="3830"/>
    <tableColumn id="15" xr3:uid="{00000000-0010-0000-4B00-00000F000000}" name="r_td" dataDxfId="3829"/>
    <tableColumn id="16" xr3:uid="{00000000-0010-0000-4B00-000010000000}" name="tgt" dataDxfId="3828"/>
    <tableColumn id="17" xr3:uid="{00000000-0010-0000-4B00-000011000000}" name="rec" dataDxfId="3827"/>
    <tableColumn id="18" xr3:uid="{00000000-0010-0000-4B00-000012000000}" name="rec_yd" dataDxfId="3826"/>
    <tableColumn id="19" xr3:uid="{00000000-0010-0000-4B00-000013000000}" name="rec_td" dataDxfId="3825"/>
    <tableColumn id="20" xr3:uid="{00000000-0010-0000-4B00-000014000000}" name="fmb" dataDxfId="3824"/>
    <tableColumn id="21" xr3:uid="{00000000-0010-0000-4B00-000015000000}" name="tp_c" dataDxfId="3823"/>
    <tableColumn id="22" xr3:uid="{00000000-0010-0000-4B00-000016000000}" name="f_ppr" dataDxfId="3822"/>
    <tableColumn id="23" xr3:uid="{00000000-0010-0000-4B00-000017000000}" name="tgt_share" dataDxfId="3821"/>
    <tableColumn id="24" xr3:uid="{00000000-0010-0000-4B00-000018000000}" name="ypc" dataDxfId="3820"/>
    <tableColumn id="25" xr3:uid="{00000000-0010-0000-4B00-000019000000}" name="ypr" dataDxfId="3819"/>
    <tableColumn id="26" xr3:uid="{00000000-0010-0000-4B00-00001A000000}" name="cmp_pct" dataDxfId="3818"/>
    <tableColumn id="27" xr3:uid="{00000000-0010-0000-4B00-00001B000000}" name="td_rate" dataDxfId="3817"/>
    <tableColumn id="28" xr3:uid="{00000000-0010-0000-4B00-00001C000000}" name="f_custom" dataDxfId="3816"/>
  </tableColumns>
  <tableStyleInfo name="TableStyleMedium1"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00000000-000C-0000-FFFF-FFFF4C000000}" name="DET_Table7" displayName="DET_Table7" ref="A75:AB81" totalsRowShown="0" headerRowDxfId="3815" dataDxfId="3814">
  <autoFilter ref="A75:AB81" xr:uid="{00000000-0009-0000-0100-00004F000000}"/>
  <tableColumns count="28">
    <tableColumn id="1" xr3:uid="{00000000-0010-0000-4C00-000001000000}" name="Name" dataDxfId="3813"/>
    <tableColumn id="2" xr3:uid="{00000000-0010-0000-4C00-000002000000}" name="POS" dataDxfId="3812"/>
    <tableColumn id="3" xr3:uid="{00000000-0010-0000-4C00-000003000000}" name="Age" dataDxfId="3811"/>
    <tableColumn id="4" xr3:uid="{00000000-0010-0000-4C00-000004000000}" name="Exp" dataDxfId="3810"/>
    <tableColumn id="5" xr3:uid="{00000000-0010-0000-4C00-000005000000}" name="College" dataDxfId="3809"/>
    <tableColumn id="6" xr3:uid="{00000000-0010-0000-4C00-000006000000}" name="team" dataDxfId="3808"/>
    <tableColumn id="7" xr3:uid="{00000000-0010-0000-4C00-000007000000}" name="g" dataDxfId="3807"/>
    <tableColumn id="8" xr3:uid="{00000000-0010-0000-4C00-000008000000}" name="p_att" dataDxfId="3806"/>
    <tableColumn id="9" xr3:uid="{00000000-0010-0000-4C00-000009000000}" name="cmp" dataDxfId="3805"/>
    <tableColumn id="10" xr3:uid="{00000000-0010-0000-4C00-00000A000000}" name="p_yd" dataDxfId="3804"/>
    <tableColumn id="11" xr3:uid="{00000000-0010-0000-4C00-00000B000000}" name="p_td" dataDxfId="3803"/>
    <tableColumn id="12" xr3:uid="{00000000-0010-0000-4C00-00000C000000}" name="int" dataDxfId="3802"/>
    <tableColumn id="13" xr3:uid="{00000000-0010-0000-4C00-00000D000000}" name="car" dataDxfId="3801"/>
    <tableColumn id="14" xr3:uid="{00000000-0010-0000-4C00-00000E000000}" name="r_yd" dataDxfId="3800"/>
    <tableColumn id="15" xr3:uid="{00000000-0010-0000-4C00-00000F000000}" name="r_td" dataDxfId="3799"/>
    <tableColumn id="16" xr3:uid="{00000000-0010-0000-4C00-000010000000}" name="tgt" dataDxfId="3798"/>
    <tableColumn id="17" xr3:uid="{00000000-0010-0000-4C00-000011000000}" name="rec" dataDxfId="3797"/>
    <tableColumn id="18" xr3:uid="{00000000-0010-0000-4C00-000012000000}" name="rec_yd" dataDxfId="3796"/>
    <tableColumn id="19" xr3:uid="{00000000-0010-0000-4C00-000013000000}" name="rec_td" dataDxfId="3795"/>
    <tableColumn id="20" xr3:uid="{00000000-0010-0000-4C00-000014000000}" name="fmb" dataDxfId="3794"/>
    <tableColumn id="21" xr3:uid="{00000000-0010-0000-4C00-000015000000}" name="tp_c" dataDxfId="3793"/>
    <tableColumn id="22" xr3:uid="{00000000-0010-0000-4C00-000016000000}" name="f_ppr" dataDxfId="3792"/>
    <tableColumn id="23" xr3:uid="{00000000-0010-0000-4C00-000017000000}" name="tgt_share" dataDxfId="3791"/>
    <tableColumn id="24" xr3:uid="{00000000-0010-0000-4C00-000018000000}" name="ypc" dataDxfId="3790"/>
    <tableColumn id="25" xr3:uid="{00000000-0010-0000-4C00-000019000000}" name="ypr" dataDxfId="3789"/>
    <tableColumn id="26" xr3:uid="{00000000-0010-0000-4C00-00001A000000}" name="cmp_pct" dataDxfId="3788"/>
    <tableColumn id="27" xr3:uid="{00000000-0010-0000-4C00-00001B000000}" name="td_rate" dataDxfId="3787"/>
    <tableColumn id="28" xr3:uid="{00000000-0010-0000-4C00-00001C000000}" name="f_custom" dataDxfId="3786"/>
  </tableColumns>
  <tableStyleInfo name="TableStyleMedium1"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00000000-000C-0000-FFFF-FFFF4D000000}" name="GB_Table1" displayName="GB_Table1" ref="A1:X19" totalsRowShown="0" headerRowDxfId="3785" dataDxfId="3784">
  <autoFilter ref="A1:X19" xr:uid="{00000000-0009-0000-0100-000050000000}"/>
  <tableColumns count="24">
    <tableColumn id="1" xr3:uid="{00000000-0010-0000-4D00-000001000000}" name="player_name" dataDxfId="3783"/>
    <tableColumn id="2" xr3:uid="{00000000-0010-0000-4D00-000002000000}" name="recent_team" dataDxfId="3782"/>
    <tableColumn id="3" xr3:uid="{00000000-0010-0000-4D00-000003000000}" name="pos" dataDxfId="3781"/>
    <tableColumn id="4" xr3:uid="{00000000-0010-0000-4D00-000004000000}" name="g" dataDxfId="3780"/>
    <tableColumn id="5" xr3:uid="{00000000-0010-0000-4D00-000005000000}" name="p_att" dataDxfId="3779"/>
    <tableColumn id="6" xr3:uid="{00000000-0010-0000-4D00-000006000000}" name="cmp" dataDxfId="3778"/>
    <tableColumn id="7" xr3:uid="{00000000-0010-0000-4D00-000007000000}" name="p_yd" dataDxfId="3777"/>
    <tableColumn id="8" xr3:uid="{00000000-0010-0000-4D00-000008000000}" name="p_td" dataDxfId="3776"/>
    <tableColumn id="9" xr3:uid="{00000000-0010-0000-4D00-000009000000}" name="int" dataDxfId="3775"/>
    <tableColumn id="10" xr3:uid="{00000000-0010-0000-4D00-00000A000000}" name="car" dataDxfId="3774"/>
    <tableColumn id="11" xr3:uid="{00000000-0010-0000-4D00-00000B000000}" name="r_yd" dataDxfId="3773"/>
    <tableColumn id="12" xr3:uid="{00000000-0010-0000-4D00-00000C000000}" name="r_td" dataDxfId="3772"/>
    <tableColumn id="13" xr3:uid="{00000000-0010-0000-4D00-00000D000000}" name="tgt" dataDxfId="3771"/>
    <tableColumn id="14" xr3:uid="{00000000-0010-0000-4D00-00000E000000}" name="rec" dataDxfId="3770"/>
    <tableColumn id="15" xr3:uid="{00000000-0010-0000-4D00-00000F000000}" name="rec_yd" dataDxfId="3769"/>
    <tableColumn id="16" xr3:uid="{00000000-0010-0000-4D00-000010000000}" name="rec_td" dataDxfId="3768"/>
    <tableColumn id="17" xr3:uid="{00000000-0010-0000-4D00-000011000000}" name="fmb" dataDxfId="3767"/>
    <tableColumn id="18" xr3:uid="{00000000-0010-0000-4D00-000012000000}" name="tp_c" dataDxfId="3766"/>
    <tableColumn id="19" xr3:uid="{00000000-0010-0000-4D00-000013000000}" name="f_ppr" dataDxfId="3765"/>
    <tableColumn id="20" xr3:uid="{00000000-0010-0000-4D00-000014000000}" name="tgt_share" dataDxfId="3764"/>
    <tableColumn id="21" xr3:uid="{00000000-0010-0000-4D00-000015000000}" name="ypc" dataDxfId="3763"/>
    <tableColumn id="22" xr3:uid="{00000000-0010-0000-4D00-000016000000}" name="ypr" dataDxfId="3762"/>
    <tableColumn id="23" xr3:uid="{00000000-0010-0000-4D00-000017000000}" name="cmp_pct" dataDxfId="3761"/>
    <tableColumn id="24" xr3:uid="{00000000-0010-0000-4D00-000018000000}" name="td_rate" dataDxfId="3760"/>
  </tableColumns>
  <tableStyleInfo name="TableStyleMedium1"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00000000-000C-0000-FFFF-FFFF4E000000}" name="GB_Table2" displayName="GB_Table2" ref="A30:L31" totalsRowShown="0" headerRowDxfId="3759" dataDxfId="3758">
  <autoFilter ref="A30:L31" xr:uid="{00000000-0009-0000-0100-000051000000}"/>
  <tableColumns count="12">
    <tableColumn id="1" xr3:uid="{00000000-0010-0000-4E00-000001000000}" name="team" dataDxfId="3757"/>
    <tableColumn id="2" xr3:uid="{00000000-0010-0000-4E00-000002000000}" name="off_yd" dataDxfId="3756"/>
    <tableColumn id="3" xr3:uid="{00000000-0010-0000-4E00-000003000000}" name="p_yd" dataDxfId="3755"/>
    <tableColumn id="4" xr3:uid="{00000000-0010-0000-4E00-000004000000}" name="car" dataDxfId="3754"/>
    <tableColumn id="5" xr3:uid="{00000000-0010-0000-4E00-000005000000}" name="r_yd" dataDxfId="3753"/>
    <tableColumn id="6" xr3:uid="{00000000-0010-0000-4E00-000006000000}" name="r_td" dataDxfId="3752"/>
    <tableColumn id="7" xr3:uid="{00000000-0010-0000-4E00-000007000000}" name="p_ff" dataDxfId="3751"/>
    <tableColumn id="8" xr3:uid="{00000000-0010-0000-4E00-000008000000}" name="p_att" dataDxfId="3750"/>
    <tableColumn id="9" xr3:uid="{00000000-0010-0000-4E00-000009000000}" name="cmp_pct" dataDxfId="3749"/>
    <tableColumn id="10" xr3:uid="{00000000-0010-0000-4E00-00000A000000}" name="p_td" dataDxfId="3748"/>
    <tableColumn id="11" xr3:uid="{00000000-0010-0000-4E00-00000B000000}" name="int" dataDxfId="3747"/>
    <tableColumn id="12" xr3:uid="{00000000-0010-0000-4E00-00000C000000}" name="fmb" dataDxfId="3746"/>
  </tableColumns>
  <tableStyleInfo name="TableStyleMedium1"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00000000-000C-0000-FFFF-FFFF4F000000}" name="GB_Table3" displayName="GB_Table3" ref="A32:L33" totalsRowShown="0" headerRowDxfId="3745" dataDxfId="3744">
  <autoFilter ref="A32:L33" xr:uid="{00000000-0009-0000-0100-000052000000}"/>
  <tableColumns count="12">
    <tableColumn id="1" xr3:uid="{00000000-0010-0000-4F00-000001000000}" name="team" dataDxfId="3743">
      <calculatedColumnFormula>A31</calculatedColumnFormula>
    </tableColumn>
    <tableColumn id="2" xr3:uid="{00000000-0010-0000-4F00-000002000000}" name="off_yd" dataDxfId="3742">
      <calculatedColumnFormula>C33 + E33</calculatedColumnFormula>
    </tableColumn>
    <tableColumn id="3" xr3:uid="{00000000-0010-0000-4F00-000003000000}" name="p_yd" dataDxfId="3741">
      <calculatedColumnFormula>SUM(INDIRECT(A33 &amp; "_Table4[[#All],[p_yd]]"))</calculatedColumnFormula>
    </tableColumn>
    <tableColumn id="4" xr3:uid="{00000000-0010-0000-4F00-000004000000}" name="car" dataDxfId="3740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4F00-000005000000}" name="r_yd" dataDxfId="3739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4F00-000006000000}" name="r_td" dataDxfId="3738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4F00-000007000000}" name="p_ff" dataDxfId="3737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4F00-000008000000}" name="p_att" dataDxfId="3736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4F00-000009000000}" name="cmp_pct" dataDxfId="3735">
      <calculatedColumnFormula>SUM(INDIRECT(A33 &amp; "_Table4[[#All],[cmp]]"))/H33</calculatedColumnFormula>
    </tableColumn>
    <tableColumn id="10" xr3:uid="{00000000-0010-0000-4F00-00000A000000}" name="p_td" dataDxfId="3734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4F00-00000B000000}" name="int" dataDxfId="3733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4F00-00000C000000}" name="fmb" dataDxfId="3732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</tableColumns>
  <tableStyleInfo name="TableStyleMedium1"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00000000-000C-0000-FFFF-FFFF50000000}" name="GB_Table4" displayName="GB_Table4" ref="A35:AB38" totalsRowShown="0" headerRowDxfId="3731" dataDxfId="3730">
  <autoFilter ref="A35:AB38" xr:uid="{00000000-0009-0000-0100-000053000000}"/>
  <tableColumns count="28">
    <tableColumn id="1" xr3:uid="{00000000-0010-0000-5000-000001000000}" name="Name" dataDxfId="3729"/>
    <tableColumn id="2" xr3:uid="{00000000-0010-0000-5000-000002000000}" name="POS" dataDxfId="3728"/>
    <tableColumn id="3" xr3:uid="{00000000-0010-0000-5000-000003000000}" name="Age" dataDxfId="3727"/>
    <tableColumn id="4" xr3:uid="{00000000-0010-0000-5000-000004000000}" name="Exp" dataDxfId="3726"/>
    <tableColumn id="5" xr3:uid="{00000000-0010-0000-5000-000005000000}" name="College" dataDxfId="3725"/>
    <tableColumn id="6" xr3:uid="{00000000-0010-0000-5000-000006000000}" name="team" dataDxfId="3724"/>
    <tableColumn id="7" xr3:uid="{00000000-0010-0000-5000-000007000000}" name="g" dataDxfId="3723"/>
    <tableColumn id="8" xr3:uid="{00000000-0010-0000-5000-000008000000}" name="p_att" dataDxfId="3722"/>
    <tableColumn id="9" xr3:uid="{00000000-0010-0000-5000-000009000000}" name="cmp" dataDxfId="3721"/>
    <tableColumn id="10" xr3:uid="{00000000-0010-0000-5000-00000A000000}" name="p_yd" dataDxfId="3720"/>
    <tableColumn id="11" xr3:uid="{00000000-0010-0000-5000-00000B000000}" name="p_td" dataDxfId="3719"/>
    <tableColumn id="12" xr3:uid="{00000000-0010-0000-5000-00000C000000}" name="int" dataDxfId="3718"/>
    <tableColumn id="13" xr3:uid="{00000000-0010-0000-5000-00000D000000}" name="car" dataDxfId="3717"/>
    <tableColumn id="14" xr3:uid="{00000000-0010-0000-5000-00000E000000}" name="r_yd" dataDxfId="3716"/>
    <tableColumn id="15" xr3:uid="{00000000-0010-0000-5000-00000F000000}" name="r_td" dataDxfId="3715"/>
    <tableColumn id="16" xr3:uid="{00000000-0010-0000-5000-000010000000}" name="tgt" dataDxfId="3714"/>
    <tableColumn id="17" xr3:uid="{00000000-0010-0000-5000-000011000000}" name="rec" dataDxfId="3713"/>
    <tableColumn id="18" xr3:uid="{00000000-0010-0000-5000-000012000000}" name="rec_yd" dataDxfId="3712"/>
    <tableColumn id="19" xr3:uid="{00000000-0010-0000-5000-000013000000}" name="rec_td" dataDxfId="3711"/>
    <tableColumn id="20" xr3:uid="{00000000-0010-0000-5000-000014000000}" name="fmb" dataDxfId="3710"/>
    <tableColumn id="21" xr3:uid="{00000000-0010-0000-5000-000015000000}" name="tp_c" dataDxfId="3709"/>
    <tableColumn id="22" xr3:uid="{00000000-0010-0000-5000-000016000000}" name="f_ppr" dataDxfId="3708"/>
    <tableColumn id="23" xr3:uid="{00000000-0010-0000-5000-000017000000}" name="tgt_share" dataDxfId="3707"/>
    <tableColumn id="24" xr3:uid="{00000000-0010-0000-5000-000018000000}" name="ypc" dataDxfId="3706"/>
    <tableColumn id="25" xr3:uid="{00000000-0010-0000-5000-000019000000}" name="ypr" dataDxfId="3705"/>
    <tableColumn id="26" xr3:uid="{00000000-0010-0000-5000-00001A000000}" name="cmp_pct" dataDxfId="3704"/>
    <tableColumn id="27" xr3:uid="{00000000-0010-0000-5000-00001B000000}" name="td_rate" dataDxfId="3703"/>
    <tableColumn id="28" xr3:uid="{00000000-0010-0000-5000-00001C000000}" name="f_custom" dataDxfId="3702"/>
  </tableColumns>
  <tableStyleInfo name="TableStyleMedium1"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00000000-000C-0000-FFFF-FFFF51000000}" name="GB_Table5" displayName="GB_Table5" ref="A45:AB52" totalsRowShown="0" headerRowDxfId="3701" dataDxfId="3700">
  <autoFilter ref="A45:AB52" xr:uid="{00000000-0009-0000-0100-000054000000}"/>
  <tableColumns count="28">
    <tableColumn id="1" xr3:uid="{00000000-0010-0000-5100-000001000000}" name="Name" dataDxfId="3699"/>
    <tableColumn id="2" xr3:uid="{00000000-0010-0000-5100-000002000000}" name="POS" dataDxfId="3698"/>
    <tableColumn id="3" xr3:uid="{00000000-0010-0000-5100-000003000000}" name="Age" dataDxfId="3697"/>
    <tableColumn id="4" xr3:uid="{00000000-0010-0000-5100-000004000000}" name="Exp" dataDxfId="3696"/>
    <tableColumn id="5" xr3:uid="{00000000-0010-0000-5100-000005000000}" name="College" dataDxfId="3695"/>
    <tableColumn id="6" xr3:uid="{00000000-0010-0000-5100-000006000000}" name="team" dataDxfId="3694"/>
    <tableColumn id="7" xr3:uid="{00000000-0010-0000-5100-000007000000}" name="g" dataDxfId="3693"/>
    <tableColumn id="8" xr3:uid="{00000000-0010-0000-5100-000008000000}" name="p_att" dataDxfId="3692"/>
    <tableColumn id="9" xr3:uid="{00000000-0010-0000-5100-000009000000}" name="cmp" dataDxfId="3691"/>
    <tableColumn id="10" xr3:uid="{00000000-0010-0000-5100-00000A000000}" name="p_yd" dataDxfId="3690"/>
    <tableColumn id="11" xr3:uid="{00000000-0010-0000-5100-00000B000000}" name="p_td" dataDxfId="3689"/>
    <tableColumn id="12" xr3:uid="{00000000-0010-0000-5100-00000C000000}" name="int" dataDxfId="3688"/>
    <tableColumn id="13" xr3:uid="{00000000-0010-0000-5100-00000D000000}" name="car" dataDxfId="3687"/>
    <tableColumn id="14" xr3:uid="{00000000-0010-0000-5100-00000E000000}" name="r_yd" dataDxfId="3686"/>
    <tableColumn id="15" xr3:uid="{00000000-0010-0000-5100-00000F000000}" name="r_td" dataDxfId="3685"/>
    <tableColumn id="16" xr3:uid="{00000000-0010-0000-5100-000010000000}" name="tgt" dataDxfId="3684"/>
    <tableColumn id="17" xr3:uid="{00000000-0010-0000-5100-000011000000}" name="rec" dataDxfId="3683"/>
    <tableColumn id="18" xr3:uid="{00000000-0010-0000-5100-000012000000}" name="rec_yd" dataDxfId="3682"/>
    <tableColumn id="19" xr3:uid="{00000000-0010-0000-5100-000013000000}" name="rec_td" dataDxfId="3681"/>
    <tableColumn id="20" xr3:uid="{00000000-0010-0000-5100-000014000000}" name="fmb" dataDxfId="3680"/>
    <tableColumn id="21" xr3:uid="{00000000-0010-0000-5100-000015000000}" name="tp_c" dataDxfId="3679"/>
    <tableColumn id="22" xr3:uid="{00000000-0010-0000-5100-000016000000}" name="f_ppr" dataDxfId="3678"/>
    <tableColumn id="23" xr3:uid="{00000000-0010-0000-5100-000017000000}" name="tgt_share" dataDxfId="3677"/>
    <tableColumn id="24" xr3:uid="{00000000-0010-0000-5100-000018000000}" name="ypc" dataDxfId="3676"/>
    <tableColumn id="25" xr3:uid="{00000000-0010-0000-5100-000019000000}" name="ypr" dataDxfId="3675"/>
    <tableColumn id="26" xr3:uid="{00000000-0010-0000-5100-00001A000000}" name="cmp_pct" dataDxfId="3674"/>
    <tableColumn id="27" xr3:uid="{00000000-0010-0000-5100-00001B000000}" name="td_rate" dataDxfId="3673"/>
    <tableColumn id="28" xr3:uid="{00000000-0010-0000-5100-00001C000000}" name="f_custom" dataDxfId="3672">
      <calculatedColumnFormula>($J46*Cp_yd)+($K46*Cp_td)+($L46*Cint)+($M46*Ccar)+($N46*Cr_td)+($O46*Cr_yd)+(Q46*Crec)+($R46*Crec_yd)+($S46*Crec_td)+($T46*Cfmb)+($U46*Ctp_c)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00000000-000C-0000-FFFF-FFFF52000000}" name="GB_Table6" displayName="GB_Table6" ref="A60:AB72" totalsRowShown="0" headerRowDxfId="3671" dataDxfId="3670">
  <autoFilter ref="A60:AB72" xr:uid="{00000000-0009-0000-0100-000055000000}"/>
  <tableColumns count="28">
    <tableColumn id="1" xr3:uid="{00000000-0010-0000-5200-000001000000}" name="Name" dataDxfId="3669"/>
    <tableColumn id="2" xr3:uid="{00000000-0010-0000-5200-000002000000}" name="POS" dataDxfId="3668"/>
    <tableColumn id="3" xr3:uid="{00000000-0010-0000-5200-000003000000}" name="Age" dataDxfId="3667"/>
    <tableColumn id="4" xr3:uid="{00000000-0010-0000-5200-000004000000}" name="Exp" dataDxfId="3666"/>
    <tableColumn id="5" xr3:uid="{00000000-0010-0000-5200-000005000000}" name="College" dataDxfId="3665"/>
    <tableColumn id="6" xr3:uid="{00000000-0010-0000-5200-000006000000}" name="team" dataDxfId="3664"/>
    <tableColumn id="7" xr3:uid="{00000000-0010-0000-5200-000007000000}" name="g" dataDxfId="3663"/>
    <tableColumn id="8" xr3:uid="{00000000-0010-0000-5200-000008000000}" name="p_att" dataDxfId="3662"/>
    <tableColumn id="9" xr3:uid="{00000000-0010-0000-5200-000009000000}" name="cmp" dataDxfId="3661"/>
    <tableColumn id="10" xr3:uid="{00000000-0010-0000-5200-00000A000000}" name="p_yd" dataDxfId="3660"/>
    <tableColumn id="11" xr3:uid="{00000000-0010-0000-5200-00000B000000}" name="p_td" dataDxfId="3659"/>
    <tableColumn id="12" xr3:uid="{00000000-0010-0000-5200-00000C000000}" name="int" dataDxfId="3658"/>
    <tableColumn id="13" xr3:uid="{00000000-0010-0000-5200-00000D000000}" name="car" dataDxfId="3657"/>
    <tableColumn id="14" xr3:uid="{00000000-0010-0000-5200-00000E000000}" name="r_yd" dataDxfId="3656"/>
    <tableColumn id="15" xr3:uid="{00000000-0010-0000-5200-00000F000000}" name="r_td" dataDxfId="3655"/>
    <tableColumn id="16" xr3:uid="{00000000-0010-0000-5200-000010000000}" name="tgt" dataDxfId="3654"/>
    <tableColumn id="17" xr3:uid="{00000000-0010-0000-5200-000011000000}" name="rec" dataDxfId="3653"/>
    <tableColumn id="18" xr3:uid="{00000000-0010-0000-5200-000012000000}" name="rec_yd" dataDxfId="3652"/>
    <tableColumn id="19" xr3:uid="{00000000-0010-0000-5200-000013000000}" name="rec_td" dataDxfId="3651"/>
    <tableColumn id="20" xr3:uid="{00000000-0010-0000-5200-000014000000}" name="fmb" dataDxfId="3650"/>
    <tableColumn id="21" xr3:uid="{00000000-0010-0000-5200-000015000000}" name="tp_c" dataDxfId="3649"/>
    <tableColumn id="22" xr3:uid="{00000000-0010-0000-5200-000016000000}" name="f_ppr" dataDxfId="3648"/>
    <tableColumn id="23" xr3:uid="{00000000-0010-0000-5200-000017000000}" name="tgt_share" dataDxfId="3647"/>
    <tableColumn id="24" xr3:uid="{00000000-0010-0000-5200-000018000000}" name="ypc" dataDxfId="3646"/>
    <tableColumn id="25" xr3:uid="{00000000-0010-0000-5200-000019000000}" name="ypr" dataDxfId="3645"/>
    <tableColumn id="26" xr3:uid="{00000000-0010-0000-5200-00001A000000}" name="cmp_pct" dataDxfId="3644"/>
    <tableColumn id="27" xr3:uid="{00000000-0010-0000-5200-00001B000000}" name="td_rate" dataDxfId="3643"/>
    <tableColumn id="28" xr3:uid="{00000000-0010-0000-5200-00001C000000}" name="f_custom" dataDxfId="3642"/>
  </tableColumns>
  <tableStyleInfo name="TableStyleMedium1" showFirstColumn="0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00000000-000C-0000-FFFF-FFFF53000000}" name="GB_Table7" displayName="GB_Table7" ref="A75:AB80" totalsRowShown="0" headerRowDxfId="3641" dataDxfId="3640">
  <autoFilter ref="A75:AB80" xr:uid="{00000000-0009-0000-0100-000056000000}"/>
  <tableColumns count="28">
    <tableColumn id="1" xr3:uid="{00000000-0010-0000-5300-000001000000}" name="Name" dataDxfId="3639"/>
    <tableColumn id="2" xr3:uid="{00000000-0010-0000-5300-000002000000}" name="POS" dataDxfId="3638"/>
    <tableColumn id="3" xr3:uid="{00000000-0010-0000-5300-000003000000}" name="Age" dataDxfId="3637"/>
    <tableColumn id="4" xr3:uid="{00000000-0010-0000-5300-000004000000}" name="Exp" dataDxfId="3636"/>
    <tableColumn id="5" xr3:uid="{00000000-0010-0000-5300-000005000000}" name="College" dataDxfId="3635"/>
    <tableColumn id="6" xr3:uid="{00000000-0010-0000-5300-000006000000}" name="team" dataDxfId="3634"/>
    <tableColumn id="7" xr3:uid="{00000000-0010-0000-5300-000007000000}" name="g" dataDxfId="3633"/>
    <tableColumn id="8" xr3:uid="{00000000-0010-0000-5300-000008000000}" name="p_att" dataDxfId="3632"/>
    <tableColumn id="9" xr3:uid="{00000000-0010-0000-5300-000009000000}" name="cmp" dataDxfId="3631"/>
    <tableColumn id="10" xr3:uid="{00000000-0010-0000-5300-00000A000000}" name="p_yd" dataDxfId="3630"/>
    <tableColumn id="11" xr3:uid="{00000000-0010-0000-5300-00000B000000}" name="p_td" dataDxfId="3629"/>
    <tableColumn id="12" xr3:uid="{00000000-0010-0000-5300-00000C000000}" name="int" dataDxfId="3628"/>
    <tableColumn id="13" xr3:uid="{00000000-0010-0000-5300-00000D000000}" name="car" dataDxfId="3627"/>
    <tableColumn id="14" xr3:uid="{00000000-0010-0000-5300-00000E000000}" name="r_yd" dataDxfId="3626"/>
    <tableColumn id="15" xr3:uid="{00000000-0010-0000-5300-00000F000000}" name="r_td" dataDxfId="3625"/>
    <tableColumn id="16" xr3:uid="{00000000-0010-0000-5300-000010000000}" name="tgt" dataDxfId="3624"/>
    <tableColumn id="17" xr3:uid="{00000000-0010-0000-5300-000011000000}" name="rec" dataDxfId="3623"/>
    <tableColumn id="18" xr3:uid="{00000000-0010-0000-5300-000012000000}" name="rec_yd" dataDxfId="3622"/>
    <tableColumn id="19" xr3:uid="{00000000-0010-0000-5300-000013000000}" name="rec_td" dataDxfId="3621"/>
    <tableColumn id="20" xr3:uid="{00000000-0010-0000-5300-000014000000}" name="fmb" dataDxfId="3620"/>
    <tableColumn id="21" xr3:uid="{00000000-0010-0000-5300-000015000000}" name="tp_c" dataDxfId="3619"/>
    <tableColumn id="22" xr3:uid="{00000000-0010-0000-5300-000016000000}" name="f_ppr" dataDxfId="3618"/>
    <tableColumn id="23" xr3:uid="{00000000-0010-0000-5300-000017000000}" name="tgt_share" dataDxfId="3617"/>
    <tableColumn id="24" xr3:uid="{00000000-0010-0000-5300-000018000000}" name="ypc" dataDxfId="3616"/>
    <tableColumn id="25" xr3:uid="{00000000-0010-0000-5300-000019000000}" name="ypr" dataDxfId="3615"/>
    <tableColumn id="26" xr3:uid="{00000000-0010-0000-5300-00001A000000}" name="cmp_pct" dataDxfId="3614"/>
    <tableColumn id="27" xr3:uid="{00000000-0010-0000-5300-00001B000000}" name="td_rate" dataDxfId="3613"/>
    <tableColumn id="28" xr3:uid="{00000000-0010-0000-5300-00001C000000}" name="f_custom" dataDxfId="3612"/>
  </tableColumns>
  <tableStyleInfo name="TableStyleMedium1" showFirstColumn="0" showLastColumn="0" showRowStripes="1" showColumnStripes="0"/>
</table>
</file>

<file path=xl/tables/table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00000000-000C-0000-FFFF-FFFF54000000}" name="HOU_Table1" displayName="HOU_Table1" ref="A1:X24" totalsRowShown="0" headerRowDxfId="3611" dataDxfId="3610">
  <autoFilter ref="A1:X24" xr:uid="{00000000-0009-0000-0100-000057000000}"/>
  <tableColumns count="24">
    <tableColumn id="1" xr3:uid="{00000000-0010-0000-5400-000001000000}" name="player_name" dataDxfId="3609"/>
    <tableColumn id="2" xr3:uid="{00000000-0010-0000-5400-000002000000}" name="recent_team" dataDxfId="3608"/>
    <tableColumn id="3" xr3:uid="{00000000-0010-0000-5400-000003000000}" name="pos" dataDxfId="3607"/>
    <tableColumn id="4" xr3:uid="{00000000-0010-0000-5400-000004000000}" name="g" dataDxfId="3606"/>
    <tableColumn id="5" xr3:uid="{00000000-0010-0000-5400-000005000000}" name="p_att" dataDxfId="3605"/>
    <tableColumn id="6" xr3:uid="{00000000-0010-0000-5400-000006000000}" name="cmp" dataDxfId="3604"/>
    <tableColumn id="7" xr3:uid="{00000000-0010-0000-5400-000007000000}" name="p_yd" dataDxfId="3603"/>
    <tableColumn id="8" xr3:uid="{00000000-0010-0000-5400-000008000000}" name="p_td" dataDxfId="3602"/>
    <tableColumn id="9" xr3:uid="{00000000-0010-0000-5400-000009000000}" name="int" dataDxfId="3601"/>
    <tableColumn id="10" xr3:uid="{00000000-0010-0000-5400-00000A000000}" name="car" dataDxfId="3600"/>
    <tableColumn id="11" xr3:uid="{00000000-0010-0000-5400-00000B000000}" name="r_yd" dataDxfId="3599"/>
    <tableColumn id="12" xr3:uid="{00000000-0010-0000-5400-00000C000000}" name="r_td" dataDxfId="3598"/>
    <tableColumn id="13" xr3:uid="{00000000-0010-0000-5400-00000D000000}" name="tgt" dataDxfId="3597"/>
    <tableColumn id="14" xr3:uid="{00000000-0010-0000-5400-00000E000000}" name="rec" dataDxfId="3596"/>
    <tableColumn id="15" xr3:uid="{00000000-0010-0000-5400-00000F000000}" name="rec_yd" dataDxfId="3595"/>
    <tableColumn id="16" xr3:uid="{00000000-0010-0000-5400-000010000000}" name="rec_td" dataDxfId="3594"/>
    <tableColumn id="17" xr3:uid="{00000000-0010-0000-5400-000011000000}" name="fmb" dataDxfId="3593"/>
    <tableColumn id="18" xr3:uid="{00000000-0010-0000-5400-000012000000}" name="tp_c" dataDxfId="3592"/>
    <tableColumn id="19" xr3:uid="{00000000-0010-0000-5400-000013000000}" name="f_ppr" dataDxfId="3591"/>
    <tableColumn id="20" xr3:uid="{00000000-0010-0000-5400-000014000000}" name="tgt_share" dataDxfId="3590"/>
    <tableColumn id="21" xr3:uid="{00000000-0010-0000-5400-000015000000}" name="ypc" dataDxfId="3589"/>
    <tableColumn id="22" xr3:uid="{00000000-0010-0000-5400-000016000000}" name="ypr" dataDxfId="3588"/>
    <tableColumn id="23" xr3:uid="{00000000-0010-0000-5400-000017000000}" name="cmp_pct" dataDxfId="3587"/>
    <tableColumn id="24" xr3:uid="{00000000-0010-0000-5400-000018000000}" name="td_rate" dataDxfId="3586"/>
  </tableColumns>
  <tableStyleInfo name="TableStyleMedium1" showFirstColumn="0" showLastColumn="0" showRowStripes="1" showColumnStripes="0"/>
</table>
</file>

<file path=xl/tables/table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00000000-000C-0000-FFFF-FFFF55000000}" name="HOU_Table2" displayName="HOU_Table2" ref="A30:L31" totalsRowShown="0" headerRowDxfId="3585" dataDxfId="3584">
  <autoFilter ref="A30:L31" xr:uid="{00000000-0009-0000-0100-000058000000}"/>
  <tableColumns count="12">
    <tableColumn id="1" xr3:uid="{00000000-0010-0000-5500-000001000000}" name="team" dataDxfId="3583"/>
    <tableColumn id="2" xr3:uid="{00000000-0010-0000-5500-000002000000}" name="off_yd" dataDxfId="3582"/>
    <tableColumn id="3" xr3:uid="{00000000-0010-0000-5500-000003000000}" name="p_yd" dataDxfId="3581"/>
    <tableColumn id="4" xr3:uid="{00000000-0010-0000-5500-000004000000}" name="car" dataDxfId="3580"/>
    <tableColumn id="5" xr3:uid="{00000000-0010-0000-5500-000005000000}" name="r_yd" dataDxfId="3579"/>
    <tableColumn id="6" xr3:uid="{00000000-0010-0000-5500-000006000000}" name="r_td" dataDxfId="3578"/>
    <tableColumn id="7" xr3:uid="{00000000-0010-0000-5500-000007000000}" name="p_ff" dataDxfId="3577"/>
    <tableColumn id="8" xr3:uid="{00000000-0010-0000-5500-000008000000}" name="p_att" dataDxfId="3576"/>
    <tableColumn id="9" xr3:uid="{00000000-0010-0000-5500-000009000000}" name="cmp_pct" dataDxfId="3575"/>
    <tableColumn id="10" xr3:uid="{00000000-0010-0000-5500-00000A000000}" name="p_td" dataDxfId="3574"/>
    <tableColumn id="11" xr3:uid="{00000000-0010-0000-5500-00000B000000}" name="int" dataDxfId="3573"/>
    <tableColumn id="12" xr3:uid="{00000000-0010-0000-5500-00000C000000}" name="fmb" dataDxfId="3572"/>
  </tableColumns>
  <tableStyleInfo name="TableStyleMedium1" showFirstColumn="0" showLastColumn="0" showRowStripes="1" showColumnStripes="0"/>
</table>
</file>

<file path=xl/tables/table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00000000-000C-0000-FFFF-FFFF56000000}" name="HOU_Table3" displayName="HOU_Table3" ref="A32:L33" totalsRowShown="0" headerRowDxfId="3571" dataDxfId="3570">
  <autoFilter ref="A32:L33" xr:uid="{00000000-0009-0000-0100-000059000000}"/>
  <tableColumns count="12">
    <tableColumn id="1" xr3:uid="{00000000-0010-0000-5600-000001000000}" name="team" dataDxfId="3569">
      <calculatedColumnFormula>A31</calculatedColumnFormula>
    </tableColumn>
    <tableColumn id="2" xr3:uid="{00000000-0010-0000-5600-000002000000}" name="off_yd" dataDxfId="3568">
      <calculatedColumnFormula>C33 + E33</calculatedColumnFormula>
    </tableColumn>
    <tableColumn id="3" xr3:uid="{00000000-0010-0000-5600-000003000000}" name="p_yd" dataDxfId="3567">
      <calculatedColumnFormula>SUM(INDIRECT(A33 &amp; "_Table4[[#All],[p_yd]]"))</calculatedColumnFormula>
    </tableColumn>
    <tableColumn id="4" xr3:uid="{00000000-0010-0000-5600-000004000000}" name="car" dataDxfId="3566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5600-000005000000}" name="r_yd" dataDxfId="3565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5600-000006000000}" name="r_td" dataDxfId="3564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5600-000007000000}" name="p_ff" dataDxfId="3563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5600-000008000000}" name="p_att" dataDxfId="3562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5600-000009000000}" name="cmp_pct" dataDxfId="3561">
      <calculatedColumnFormula>SUM(INDIRECT(A33 &amp; "_Table4[[#All],[cmp]]"))/H33</calculatedColumnFormula>
    </tableColumn>
    <tableColumn id="10" xr3:uid="{00000000-0010-0000-5600-00000A000000}" name="p_td" dataDxfId="3560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5600-00000B000000}" name="int" dataDxfId="3559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5600-00000C000000}" name="fmb" dataDxfId="3558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</tableColumns>
  <tableStyleInfo name="TableStyleMedium1" showFirstColumn="0" showLastColumn="0" showRowStripes="1" showColumnStripes="0"/>
</table>
</file>

<file path=xl/tables/table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00000000-000C-0000-FFFF-FFFF57000000}" name="HOU_Table4" displayName="HOU_Table4" ref="A35:AB39" totalsRowShown="0" headerRowDxfId="3557" dataDxfId="3556">
  <autoFilter ref="A35:AB39" xr:uid="{00000000-0009-0000-0100-00005A000000}"/>
  <tableColumns count="28">
    <tableColumn id="1" xr3:uid="{00000000-0010-0000-5700-000001000000}" name="Name" dataDxfId="3555"/>
    <tableColumn id="2" xr3:uid="{00000000-0010-0000-5700-000002000000}" name="POS" dataDxfId="3554"/>
    <tableColumn id="3" xr3:uid="{00000000-0010-0000-5700-000003000000}" name="Age" dataDxfId="3553"/>
    <tableColumn id="4" xr3:uid="{00000000-0010-0000-5700-000004000000}" name="Exp" dataDxfId="3552"/>
    <tableColumn id="5" xr3:uid="{00000000-0010-0000-5700-000005000000}" name="College" dataDxfId="3551"/>
    <tableColumn id="6" xr3:uid="{00000000-0010-0000-5700-000006000000}" name="team" dataDxfId="3550"/>
    <tableColumn id="7" xr3:uid="{00000000-0010-0000-5700-000007000000}" name="g" dataDxfId="3549"/>
    <tableColumn id="8" xr3:uid="{00000000-0010-0000-5700-000008000000}" name="p_att" dataDxfId="3548"/>
    <tableColumn id="9" xr3:uid="{00000000-0010-0000-5700-000009000000}" name="cmp" dataDxfId="3547"/>
    <tableColumn id="10" xr3:uid="{00000000-0010-0000-5700-00000A000000}" name="p_yd" dataDxfId="3546"/>
    <tableColumn id="11" xr3:uid="{00000000-0010-0000-5700-00000B000000}" name="p_td" dataDxfId="3545"/>
    <tableColumn id="12" xr3:uid="{00000000-0010-0000-5700-00000C000000}" name="int" dataDxfId="3544"/>
    <tableColumn id="13" xr3:uid="{00000000-0010-0000-5700-00000D000000}" name="car" dataDxfId="3543"/>
    <tableColumn id="14" xr3:uid="{00000000-0010-0000-5700-00000E000000}" name="r_yd" dataDxfId="3542"/>
    <tableColumn id="15" xr3:uid="{00000000-0010-0000-5700-00000F000000}" name="r_td" dataDxfId="3541"/>
    <tableColumn id="16" xr3:uid="{00000000-0010-0000-5700-000010000000}" name="tgt" dataDxfId="3540"/>
    <tableColumn id="17" xr3:uid="{00000000-0010-0000-5700-000011000000}" name="rec" dataDxfId="3539"/>
    <tableColumn id="18" xr3:uid="{00000000-0010-0000-5700-000012000000}" name="rec_yd" dataDxfId="3538"/>
    <tableColumn id="19" xr3:uid="{00000000-0010-0000-5700-000013000000}" name="rec_td" dataDxfId="3537"/>
    <tableColumn id="20" xr3:uid="{00000000-0010-0000-5700-000014000000}" name="fmb" dataDxfId="3536"/>
    <tableColumn id="21" xr3:uid="{00000000-0010-0000-5700-000015000000}" name="tp_c" dataDxfId="3535"/>
    <tableColumn id="22" xr3:uid="{00000000-0010-0000-5700-000016000000}" name="f_ppr" dataDxfId="3534"/>
    <tableColumn id="23" xr3:uid="{00000000-0010-0000-5700-000017000000}" name="tgt_share" dataDxfId="3533"/>
    <tableColumn id="24" xr3:uid="{00000000-0010-0000-5700-000018000000}" name="ypc" dataDxfId="3532"/>
    <tableColumn id="25" xr3:uid="{00000000-0010-0000-5700-000019000000}" name="ypr" dataDxfId="3531"/>
    <tableColumn id="26" xr3:uid="{00000000-0010-0000-5700-00001A000000}" name="cmp_pct" dataDxfId="3530"/>
    <tableColumn id="27" xr3:uid="{00000000-0010-0000-5700-00001B000000}" name="td_rate" dataDxfId="3529"/>
    <tableColumn id="28" xr3:uid="{00000000-0010-0000-5700-00001C000000}" name="f_custom" dataDxfId="3528"/>
  </tableColumns>
  <tableStyleInfo name="TableStyleMedium1" showFirstColumn="0" showLastColumn="0" showRowStripes="1" showColumnStripes="0"/>
</table>
</file>

<file path=xl/tables/table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00000000-000C-0000-FFFF-FFFF58000000}" name="HOU_Table5" displayName="HOU_Table5" ref="A45:AB50" totalsRowShown="0" headerRowDxfId="3527" dataDxfId="3526">
  <autoFilter ref="A45:AB50" xr:uid="{00000000-0009-0000-0100-00005B000000}"/>
  <tableColumns count="28">
    <tableColumn id="1" xr3:uid="{00000000-0010-0000-5800-000001000000}" name="Name" dataDxfId="3525"/>
    <tableColumn id="2" xr3:uid="{00000000-0010-0000-5800-000002000000}" name="POS" dataDxfId="3524"/>
    <tableColumn id="3" xr3:uid="{00000000-0010-0000-5800-000003000000}" name="Age" dataDxfId="3523"/>
    <tableColumn id="4" xr3:uid="{00000000-0010-0000-5800-000004000000}" name="Exp" dataDxfId="3522"/>
    <tableColumn id="5" xr3:uid="{00000000-0010-0000-5800-000005000000}" name="College" dataDxfId="3521"/>
    <tableColumn id="6" xr3:uid="{00000000-0010-0000-5800-000006000000}" name="team" dataDxfId="3520"/>
    <tableColumn id="7" xr3:uid="{00000000-0010-0000-5800-000007000000}" name="g" dataDxfId="3519"/>
    <tableColumn id="8" xr3:uid="{00000000-0010-0000-5800-000008000000}" name="p_att" dataDxfId="3518"/>
    <tableColumn id="9" xr3:uid="{00000000-0010-0000-5800-000009000000}" name="cmp" dataDxfId="3517"/>
    <tableColumn id="10" xr3:uid="{00000000-0010-0000-5800-00000A000000}" name="p_yd" dataDxfId="3516"/>
    <tableColumn id="11" xr3:uid="{00000000-0010-0000-5800-00000B000000}" name="p_td" dataDxfId="3515"/>
    <tableColumn id="12" xr3:uid="{00000000-0010-0000-5800-00000C000000}" name="int" dataDxfId="3514"/>
    <tableColumn id="13" xr3:uid="{00000000-0010-0000-5800-00000D000000}" name="car" dataDxfId="3513"/>
    <tableColumn id="14" xr3:uid="{00000000-0010-0000-5800-00000E000000}" name="r_yd" dataDxfId="3512"/>
    <tableColumn id="15" xr3:uid="{00000000-0010-0000-5800-00000F000000}" name="r_td" dataDxfId="3511"/>
    <tableColumn id="16" xr3:uid="{00000000-0010-0000-5800-000010000000}" name="tgt" dataDxfId="3510"/>
    <tableColumn id="17" xr3:uid="{00000000-0010-0000-5800-000011000000}" name="rec" dataDxfId="3509"/>
    <tableColumn id="18" xr3:uid="{00000000-0010-0000-5800-000012000000}" name="rec_yd" dataDxfId="3508"/>
    <tableColumn id="19" xr3:uid="{00000000-0010-0000-5800-000013000000}" name="rec_td" dataDxfId="3507"/>
    <tableColumn id="20" xr3:uid="{00000000-0010-0000-5800-000014000000}" name="fmb" dataDxfId="3506"/>
    <tableColumn id="21" xr3:uid="{00000000-0010-0000-5800-000015000000}" name="tp_c" dataDxfId="3505"/>
    <tableColumn id="22" xr3:uid="{00000000-0010-0000-5800-000016000000}" name="f_ppr" dataDxfId="3504"/>
    <tableColumn id="23" xr3:uid="{00000000-0010-0000-5800-000017000000}" name="tgt_share" dataDxfId="3503"/>
    <tableColumn id="24" xr3:uid="{00000000-0010-0000-5800-000018000000}" name="ypc" dataDxfId="3502"/>
    <tableColumn id="25" xr3:uid="{00000000-0010-0000-5800-000019000000}" name="ypr" dataDxfId="3501"/>
    <tableColumn id="26" xr3:uid="{00000000-0010-0000-5800-00001A000000}" name="cmp_pct" dataDxfId="3500"/>
    <tableColumn id="27" xr3:uid="{00000000-0010-0000-5800-00001B000000}" name="td_rate" dataDxfId="3499"/>
    <tableColumn id="28" xr3:uid="{00000000-0010-0000-5800-00001C000000}" name="f_custom" dataDxfId="3498">
      <calculatedColumnFormula>($J46*Cp_yd)+($K46*Cp_td)+($L46*Cint)+($M46*Ccar)+($N46*Cr_td)+($O46*Cr_yd)+(Q46*Crec)+($R46*Crec_yd)+($S46*Crec_td)+($T46*Cfmb)+($U46*Ctp_c)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" xr:uid="{00000000-000C-0000-FFFF-FFFF59000000}" name="HOU_Table6" displayName="HOU_Table6" ref="A60:AB73" totalsRowShown="0" headerRowDxfId="3497" dataDxfId="3496">
  <autoFilter ref="A60:AB73" xr:uid="{00000000-0009-0000-0100-00005C000000}"/>
  <tableColumns count="28">
    <tableColumn id="1" xr3:uid="{00000000-0010-0000-5900-000001000000}" name="Name" dataDxfId="3495"/>
    <tableColumn id="2" xr3:uid="{00000000-0010-0000-5900-000002000000}" name="POS" dataDxfId="3494"/>
    <tableColumn id="3" xr3:uid="{00000000-0010-0000-5900-000003000000}" name="Age" dataDxfId="3493"/>
    <tableColumn id="4" xr3:uid="{00000000-0010-0000-5900-000004000000}" name="Exp" dataDxfId="3492"/>
    <tableColumn id="5" xr3:uid="{00000000-0010-0000-5900-000005000000}" name="College" dataDxfId="3491"/>
    <tableColumn id="6" xr3:uid="{00000000-0010-0000-5900-000006000000}" name="team" dataDxfId="3490"/>
    <tableColumn id="7" xr3:uid="{00000000-0010-0000-5900-000007000000}" name="g" dataDxfId="3489"/>
    <tableColumn id="8" xr3:uid="{00000000-0010-0000-5900-000008000000}" name="p_att" dataDxfId="3488"/>
    <tableColumn id="9" xr3:uid="{00000000-0010-0000-5900-000009000000}" name="cmp" dataDxfId="3487"/>
    <tableColumn id="10" xr3:uid="{00000000-0010-0000-5900-00000A000000}" name="p_yd" dataDxfId="3486"/>
    <tableColumn id="11" xr3:uid="{00000000-0010-0000-5900-00000B000000}" name="p_td" dataDxfId="3485"/>
    <tableColumn id="12" xr3:uid="{00000000-0010-0000-5900-00000C000000}" name="int" dataDxfId="3484"/>
    <tableColumn id="13" xr3:uid="{00000000-0010-0000-5900-00000D000000}" name="car" dataDxfId="3483"/>
    <tableColumn id="14" xr3:uid="{00000000-0010-0000-5900-00000E000000}" name="r_yd" dataDxfId="3482"/>
    <tableColumn id="15" xr3:uid="{00000000-0010-0000-5900-00000F000000}" name="r_td" dataDxfId="3481"/>
    <tableColumn id="16" xr3:uid="{00000000-0010-0000-5900-000010000000}" name="tgt" dataDxfId="3480"/>
    <tableColumn id="17" xr3:uid="{00000000-0010-0000-5900-000011000000}" name="rec" dataDxfId="3479"/>
    <tableColumn id="18" xr3:uid="{00000000-0010-0000-5900-000012000000}" name="rec_yd" dataDxfId="3478"/>
    <tableColumn id="19" xr3:uid="{00000000-0010-0000-5900-000013000000}" name="rec_td" dataDxfId="3477"/>
    <tableColumn id="20" xr3:uid="{00000000-0010-0000-5900-000014000000}" name="fmb" dataDxfId="3476"/>
    <tableColumn id="21" xr3:uid="{00000000-0010-0000-5900-000015000000}" name="tp_c" dataDxfId="3475"/>
    <tableColumn id="22" xr3:uid="{00000000-0010-0000-5900-000016000000}" name="f_ppr" dataDxfId="3474"/>
    <tableColumn id="23" xr3:uid="{00000000-0010-0000-5900-000017000000}" name="tgt_share" dataDxfId="3473"/>
    <tableColumn id="24" xr3:uid="{00000000-0010-0000-5900-000018000000}" name="ypc" dataDxfId="3472"/>
    <tableColumn id="25" xr3:uid="{00000000-0010-0000-5900-000019000000}" name="ypr" dataDxfId="3471"/>
    <tableColumn id="26" xr3:uid="{00000000-0010-0000-5900-00001A000000}" name="cmp_pct" dataDxfId="3470"/>
    <tableColumn id="27" xr3:uid="{00000000-0010-0000-5900-00001B000000}" name="td_rate" dataDxfId="3469"/>
    <tableColumn id="28" xr3:uid="{00000000-0010-0000-5900-00001C000000}" name="f_custom" dataDxfId="3468"/>
  </tableColumns>
  <tableStyleInfo name="TableStyleMedium1" showFirstColumn="0" showLastColumn="0" showRowStripes="1" showColumnStripes="0"/>
</table>
</file>

<file path=xl/tables/table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00000000-000C-0000-FFFF-FFFF5A000000}" name="HOU_Table7" displayName="HOU_Table7" ref="A75:AB83" totalsRowShown="0" headerRowDxfId="3467" dataDxfId="3466">
  <autoFilter ref="A75:AB83" xr:uid="{00000000-0009-0000-0100-00005D000000}"/>
  <tableColumns count="28">
    <tableColumn id="1" xr3:uid="{00000000-0010-0000-5A00-000001000000}" name="Name" dataDxfId="3465"/>
    <tableColumn id="2" xr3:uid="{00000000-0010-0000-5A00-000002000000}" name="POS" dataDxfId="3464"/>
    <tableColumn id="3" xr3:uid="{00000000-0010-0000-5A00-000003000000}" name="Age" dataDxfId="3463"/>
    <tableColumn id="4" xr3:uid="{00000000-0010-0000-5A00-000004000000}" name="Exp" dataDxfId="3462"/>
    <tableColumn id="5" xr3:uid="{00000000-0010-0000-5A00-000005000000}" name="College" dataDxfId="3461"/>
    <tableColumn id="6" xr3:uid="{00000000-0010-0000-5A00-000006000000}" name="team" dataDxfId="3460"/>
    <tableColumn id="7" xr3:uid="{00000000-0010-0000-5A00-000007000000}" name="g" dataDxfId="3459"/>
    <tableColumn id="8" xr3:uid="{00000000-0010-0000-5A00-000008000000}" name="p_att" dataDxfId="3458"/>
    <tableColumn id="9" xr3:uid="{00000000-0010-0000-5A00-000009000000}" name="cmp" dataDxfId="3457"/>
    <tableColumn id="10" xr3:uid="{00000000-0010-0000-5A00-00000A000000}" name="p_yd" dataDxfId="3456"/>
    <tableColumn id="11" xr3:uid="{00000000-0010-0000-5A00-00000B000000}" name="p_td" dataDxfId="3455"/>
    <tableColumn id="12" xr3:uid="{00000000-0010-0000-5A00-00000C000000}" name="int" dataDxfId="3454"/>
    <tableColumn id="13" xr3:uid="{00000000-0010-0000-5A00-00000D000000}" name="car" dataDxfId="3453"/>
    <tableColumn id="14" xr3:uid="{00000000-0010-0000-5A00-00000E000000}" name="r_yd" dataDxfId="3452"/>
    <tableColumn id="15" xr3:uid="{00000000-0010-0000-5A00-00000F000000}" name="r_td" dataDxfId="3451"/>
    <tableColumn id="16" xr3:uid="{00000000-0010-0000-5A00-000010000000}" name="tgt" dataDxfId="3450"/>
    <tableColumn id="17" xr3:uid="{00000000-0010-0000-5A00-000011000000}" name="rec" dataDxfId="3449"/>
    <tableColumn id="18" xr3:uid="{00000000-0010-0000-5A00-000012000000}" name="rec_yd" dataDxfId="3448"/>
    <tableColumn id="19" xr3:uid="{00000000-0010-0000-5A00-000013000000}" name="rec_td" dataDxfId="3447"/>
    <tableColumn id="20" xr3:uid="{00000000-0010-0000-5A00-000014000000}" name="fmb" dataDxfId="3446"/>
    <tableColumn id="21" xr3:uid="{00000000-0010-0000-5A00-000015000000}" name="tp_c" dataDxfId="3445"/>
    <tableColumn id="22" xr3:uid="{00000000-0010-0000-5A00-000016000000}" name="f_ppr" dataDxfId="3444"/>
    <tableColumn id="23" xr3:uid="{00000000-0010-0000-5A00-000017000000}" name="tgt_share" dataDxfId="3443"/>
    <tableColumn id="24" xr3:uid="{00000000-0010-0000-5A00-000018000000}" name="ypc" dataDxfId="3442"/>
    <tableColumn id="25" xr3:uid="{00000000-0010-0000-5A00-000019000000}" name="ypr" dataDxfId="3441"/>
    <tableColumn id="26" xr3:uid="{00000000-0010-0000-5A00-00001A000000}" name="cmp_pct" dataDxfId="3440"/>
    <tableColumn id="27" xr3:uid="{00000000-0010-0000-5A00-00001B000000}" name="td_rate" dataDxfId="3439"/>
    <tableColumn id="28" xr3:uid="{00000000-0010-0000-5A00-00001C000000}" name="f_custom" dataDxfId="3438"/>
  </tableColumns>
  <tableStyleInfo name="TableStyleMedium1" showFirstColumn="0" showLastColumn="0" showRowStripes="1" showColumnStripes="0"/>
</table>
</file>

<file path=xl/tables/table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00000000-000C-0000-FFFF-FFFF5B000000}" name="IND_Table1" displayName="IND_Table1" ref="A1:X20" totalsRowShown="0" headerRowDxfId="3437" dataDxfId="3436">
  <autoFilter ref="A1:X20" xr:uid="{00000000-0009-0000-0100-00005E000000}"/>
  <tableColumns count="24">
    <tableColumn id="1" xr3:uid="{00000000-0010-0000-5B00-000001000000}" name="player_name" dataDxfId="3435"/>
    <tableColumn id="2" xr3:uid="{00000000-0010-0000-5B00-000002000000}" name="recent_team" dataDxfId="3434"/>
    <tableColumn id="3" xr3:uid="{00000000-0010-0000-5B00-000003000000}" name="pos" dataDxfId="3433"/>
    <tableColumn id="4" xr3:uid="{00000000-0010-0000-5B00-000004000000}" name="g" dataDxfId="3432"/>
    <tableColumn id="5" xr3:uid="{00000000-0010-0000-5B00-000005000000}" name="p_att" dataDxfId="3431"/>
    <tableColumn id="6" xr3:uid="{00000000-0010-0000-5B00-000006000000}" name="cmp" dataDxfId="3430"/>
    <tableColumn id="7" xr3:uid="{00000000-0010-0000-5B00-000007000000}" name="p_yd" dataDxfId="3429"/>
    <tableColumn id="8" xr3:uid="{00000000-0010-0000-5B00-000008000000}" name="p_td" dataDxfId="3428"/>
    <tableColumn id="9" xr3:uid="{00000000-0010-0000-5B00-000009000000}" name="int" dataDxfId="3427"/>
    <tableColumn id="10" xr3:uid="{00000000-0010-0000-5B00-00000A000000}" name="car" dataDxfId="3426"/>
    <tableColumn id="11" xr3:uid="{00000000-0010-0000-5B00-00000B000000}" name="r_yd" dataDxfId="3425"/>
    <tableColumn id="12" xr3:uid="{00000000-0010-0000-5B00-00000C000000}" name="r_td" dataDxfId="3424"/>
    <tableColumn id="13" xr3:uid="{00000000-0010-0000-5B00-00000D000000}" name="tgt" dataDxfId="3423"/>
    <tableColumn id="14" xr3:uid="{00000000-0010-0000-5B00-00000E000000}" name="rec" dataDxfId="3422"/>
    <tableColumn id="15" xr3:uid="{00000000-0010-0000-5B00-00000F000000}" name="rec_yd" dataDxfId="3421"/>
    <tableColumn id="16" xr3:uid="{00000000-0010-0000-5B00-000010000000}" name="rec_td" dataDxfId="3420"/>
    <tableColumn id="17" xr3:uid="{00000000-0010-0000-5B00-000011000000}" name="fmb" dataDxfId="3419"/>
    <tableColumn id="18" xr3:uid="{00000000-0010-0000-5B00-000012000000}" name="tp_c" dataDxfId="3418"/>
    <tableColumn id="19" xr3:uid="{00000000-0010-0000-5B00-000013000000}" name="f_ppr" dataDxfId="3417"/>
    <tableColumn id="20" xr3:uid="{00000000-0010-0000-5B00-000014000000}" name="tgt_share" dataDxfId="3416"/>
    <tableColumn id="21" xr3:uid="{00000000-0010-0000-5B00-000015000000}" name="ypc" dataDxfId="3415"/>
    <tableColumn id="22" xr3:uid="{00000000-0010-0000-5B00-000016000000}" name="ypr" dataDxfId="3414"/>
    <tableColumn id="23" xr3:uid="{00000000-0010-0000-5B00-000017000000}" name="cmp_pct" dataDxfId="3413"/>
    <tableColumn id="24" xr3:uid="{00000000-0010-0000-5B00-000018000000}" name="td_rate" dataDxfId="3412"/>
  </tableColumns>
  <tableStyleInfo name="TableStyleMedium1" showFirstColumn="0" showLastColumn="0" showRowStripes="1" showColumnStripes="0"/>
</table>
</file>

<file path=xl/tables/table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00000000-000C-0000-FFFF-FFFF5C000000}" name="IND_Table2" displayName="IND_Table2" ref="A30:L31" totalsRowShown="0" headerRowDxfId="3411" dataDxfId="3410">
  <autoFilter ref="A30:L31" xr:uid="{00000000-0009-0000-0100-00005F000000}"/>
  <tableColumns count="12">
    <tableColumn id="1" xr3:uid="{00000000-0010-0000-5C00-000001000000}" name="team" dataDxfId="3409"/>
    <tableColumn id="2" xr3:uid="{00000000-0010-0000-5C00-000002000000}" name="off_yd" dataDxfId="3408"/>
    <tableColumn id="3" xr3:uid="{00000000-0010-0000-5C00-000003000000}" name="p_yd" dataDxfId="3407"/>
    <tableColumn id="4" xr3:uid="{00000000-0010-0000-5C00-000004000000}" name="car" dataDxfId="3406"/>
    <tableColumn id="5" xr3:uid="{00000000-0010-0000-5C00-000005000000}" name="r_yd" dataDxfId="3405"/>
    <tableColumn id="6" xr3:uid="{00000000-0010-0000-5C00-000006000000}" name="r_td" dataDxfId="3404"/>
    <tableColumn id="7" xr3:uid="{00000000-0010-0000-5C00-000007000000}" name="p_ff" dataDxfId="3403"/>
    <tableColumn id="8" xr3:uid="{00000000-0010-0000-5C00-000008000000}" name="p_att" dataDxfId="3402"/>
    <tableColumn id="9" xr3:uid="{00000000-0010-0000-5C00-000009000000}" name="cmp_pct" dataDxfId="3401"/>
    <tableColumn id="10" xr3:uid="{00000000-0010-0000-5C00-00000A000000}" name="p_td" dataDxfId="3400"/>
    <tableColumn id="11" xr3:uid="{00000000-0010-0000-5C00-00000B000000}" name="int" dataDxfId="3399"/>
    <tableColumn id="12" xr3:uid="{00000000-0010-0000-5C00-00000C000000}" name="fmb" dataDxfId="3398"/>
  </tableColumns>
  <tableStyleInfo name="TableStyleMedium1" showFirstColumn="0" showLastColumn="0" showRowStripes="1" showColumnStripes="0"/>
</table>
</file>

<file path=xl/tables/table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00000000-000C-0000-FFFF-FFFF5D000000}" name="IND_Table3" displayName="IND_Table3" ref="A32:L33" totalsRowShown="0" headerRowDxfId="3397" dataDxfId="3396">
  <autoFilter ref="A32:L33" xr:uid="{00000000-0009-0000-0100-000060000000}"/>
  <tableColumns count="12">
    <tableColumn id="1" xr3:uid="{00000000-0010-0000-5D00-000001000000}" name="team" dataDxfId="3395">
      <calculatedColumnFormula>A31</calculatedColumnFormula>
    </tableColumn>
    <tableColumn id="2" xr3:uid="{00000000-0010-0000-5D00-000002000000}" name="off_yd" dataDxfId="3394">
      <calculatedColumnFormula>C33 + E33</calculatedColumnFormula>
    </tableColumn>
    <tableColumn id="3" xr3:uid="{00000000-0010-0000-5D00-000003000000}" name="p_yd" dataDxfId="3393">
      <calculatedColumnFormula>SUM(INDIRECT(A33 &amp; "_Table4[[#All],[p_yd]]"))</calculatedColumnFormula>
    </tableColumn>
    <tableColumn id="4" xr3:uid="{00000000-0010-0000-5D00-000004000000}" name="car" dataDxfId="3392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5D00-000005000000}" name="r_yd" dataDxfId="3391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5D00-000006000000}" name="r_td" dataDxfId="3390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5D00-000007000000}" name="p_ff" dataDxfId="3389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5D00-000008000000}" name="p_att" dataDxfId="3388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5D00-000009000000}" name="cmp_pct" dataDxfId="3387">
      <calculatedColumnFormula>SUM(INDIRECT(A33 &amp; "_Table4[[#All],[cmp]]"))/H33</calculatedColumnFormula>
    </tableColumn>
    <tableColumn id="10" xr3:uid="{00000000-0010-0000-5D00-00000A000000}" name="p_td" dataDxfId="3386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5D00-00000B000000}" name="int" dataDxfId="3385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5D00-00000C000000}" name="fmb" dataDxfId="3384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</tableColumns>
  <tableStyleInfo name="TableStyleMedium1" showFirstColumn="0" showLastColumn="0" showRowStripes="1" showColumnStripes="0"/>
</table>
</file>

<file path=xl/tables/table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7" xr:uid="{00000000-000C-0000-FFFF-FFFF5E000000}" name="IND_Table4" displayName="IND_Table4" ref="A35:AB38" totalsRowShown="0" headerRowDxfId="3383" dataDxfId="3382">
  <autoFilter ref="A35:AB38" xr:uid="{00000000-0009-0000-0100-000061000000}"/>
  <tableColumns count="28">
    <tableColumn id="1" xr3:uid="{00000000-0010-0000-5E00-000001000000}" name="Name" dataDxfId="3381"/>
    <tableColumn id="2" xr3:uid="{00000000-0010-0000-5E00-000002000000}" name="POS" dataDxfId="3380"/>
    <tableColumn id="3" xr3:uid="{00000000-0010-0000-5E00-000003000000}" name="Age" dataDxfId="3379"/>
    <tableColumn id="4" xr3:uid="{00000000-0010-0000-5E00-000004000000}" name="Exp" dataDxfId="3378"/>
    <tableColumn id="5" xr3:uid="{00000000-0010-0000-5E00-000005000000}" name="College" dataDxfId="3377"/>
    <tableColumn id="6" xr3:uid="{00000000-0010-0000-5E00-000006000000}" name="team" dataDxfId="3376"/>
    <tableColumn id="7" xr3:uid="{00000000-0010-0000-5E00-000007000000}" name="g" dataDxfId="3375"/>
    <tableColumn id="8" xr3:uid="{00000000-0010-0000-5E00-000008000000}" name="p_att" dataDxfId="3374"/>
    <tableColumn id="9" xr3:uid="{00000000-0010-0000-5E00-000009000000}" name="cmp" dataDxfId="3373"/>
    <tableColumn id="10" xr3:uid="{00000000-0010-0000-5E00-00000A000000}" name="p_yd" dataDxfId="3372"/>
    <tableColumn id="11" xr3:uid="{00000000-0010-0000-5E00-00000B000000}" name="p_td" dataDxfId="3371"/>
    <tableColumn id="12" xr3:uid="{00000000-0010-0000-5E00-00000C000000}" name="int" dataDxfId="3370"/>
    <tableColumn id="13" xr3:uid="{00000000-0010-0000-5E00-00000D000000}" name="car" dataDxfId="3369"/>
    <tableColumn id="14" xr3:uid="{00000000-0010-0000-5E00-00000E000000}" name="r_yd" dataDxfId="3368"/>
    <tableColumn id="15" xr3:uid="{00000000-0010-0000-5E00-00000F000000}" name="r_td" dataDxfId="3367"/>
    <tableColumn id="16" xr3:uid="{00000000-0010-0000-5E00-000010000000}" name="tgt" dataDxfId="3366"/>
    <tableColumn id="17" xr3:uid="{00000000-0010-0000-5E00-000011000000}" name="rec" dataDxfId="3365"/>
    <tableColumn id="18" xr3:uid="{00000000-0010-0000-5E00-000012000000}" name="rec_yd" dataDxfId="3364"/>
    <tableColumn id="19" xr3:uid="{00000000-0010-0000-5E00-000013000000}" name="rec_td" dataDxfId="3363"/>
    <tableColumn id="20" xr3:uid="{00000000-0010-0000-5E00-000014000000}" name="fmb" dataDxfId="3362"/>
    <tableColumn id="21" xr3:uid="{00000000-0010-0000-5E00-000015000000}" name="tp_c" dataDxfId="3361"/>
    <tableColumn id="22" xr3:uid="{00000000-0010-0000-5E00-000016000000}" name="f_ppr" dataDxfId="3360"/>
    <tableColumn id="23" xr3:uid="{00000000-0010-0000-5E00-000017000000}" name="tgt_share" dataDxfId="3359"/>
    <tableColumn id="24" xr3:uid="{00000000-0010-0000-5E00-000018000000}" name="ypc" dataDxfId="3358"/>
    <tableColumn id="25" xr3:uid="{00000000-0010-0000-5E00-000019000000}" name="ypr" dataDxfId="3357"/>
    <tableColumn id="26" xr3:uid="{00000000-0010-0000-5E00-00001A000000}" name="cmp_pct" dataDxfId="3356"/>
    <tableColumn id="27" xr3:uid="{00000000-0010-0000-5E00-00001B000000}" name="td_rate" dataDxfId="3355"/>
    <tableColumn id="28" xr3:uid="{00000000-0010-0000-5E00-00001C000000}" name="f_custom" dataDxfId="3354"/>
  </tableColumns>
  <tableStyleInfo name="TableStyleMedium1" showFirstColumn="0" showLastColumn="0" showRowStripes="1" showColumnStripes="0"/>
</table>
</file>

<file path=xl/tables/table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" xr:uid="{00000000-000C-0000-FFFF-FFFF5F000000}" name="IND_Table5" displayName="IND_Table5" ref="A45:AB52" totalsRowShown="0" headerRowDxfId="3353" dataDxfId="3352">
  <autoFilter ref="A45:AB52" xr:uid="{00000000-0009-0000-0100-000062000000}"/>
  <tableColumns count="28">
    <tableColumn id="1" xr3:uid="{00000000-0010-0000-5F00-000001000000}" name="Name" dataDxfId="3351"/>
    <tableColumn id="2" xr3:uid="{00000000-0010-0000-5F00-000002000000}" name="POS" dataDxfId="3350"/>
    <tableColumn id="3" xr3:uid="{00000000-0010-0000-5F00-000003000000}" name="Age" dataDxfId="3349"/>
    <tableColumn id="4" xr3:uid="{00000000-0010-0000-5F00-000004000000}" name="Exp" dataDxfId="3348"/>
    <tableColumn id="5" xr3:uid="{00000000-0010-0000-5F00-000005000000}" name="College" dataDxfId="3347"/>
    <tableColumn id="6" xr3:uid="{00000000-0010-0000-5F00-000006000000}" name="team" dataDxfId="3346"/>
    <tableColumn id="7" xr3:uid="{00000000-0010-0000-5F00-000007000000}" name="g" dataDxfId="3345"/>
    <tableColumn id="8" xr3:uid="{00000000-0010-0000-5F00-000008000000}" name="p_att" dataDxfId="3344"/>
    <tableColumn id="9" xr3:uid="{00000000-0010-0000-5F00-000009000000}" name="cmp" dataDxfId="3343"/>
    <tableColumn id="10" xr3:uid="{00000000-0010-0000-5F00-00000A000000}" name="p_yd" dataDxfId="3342"/>
    <tableColumn id="11" xr3:uid="{00000000-0010-0000-5F00-00000B000000}" name="p_td" dataDxfId="3341"/>
    <tableColumn id="12" xr3:uid="{00000000-0010-0000-5F00-00000C000000}" name="int" dataDxfId="3340"/>
    <tableColumn id="13" xr3:uid="{00000000-0010-0000-5F00-00000D000000}" name="car" dataDxfId="3339"/>
    <tableColumn id="14" xr3:uid="{00000000-0010-0000-5F00-00000E000000}" name="r_yd" dataDxfId="3338"/>
    <tableColumn id="15" xr3:uid="{00000000-0010-0000-5F00-00000F000000}" name="r_td" dataDxfId="3337"/>
    <tableColumn id="16" xr3:uid="{00000000-0010-0000-5F00-000010000000}" name="tgt" dataDxfId="3336"/>
    <tableColumn id="17" xr3:uid="{00000000-0010-0000-5F00-000011000000}" name="rec" dataDxfId="3335"/>
    <tableColumn id="18" xr3:uid="{00000000-0010-0000-5F00-000012000000}" name="rec_yd" dataDxfId="3334"/>
    <tableColumn id="19" xr3:uid="{00000000-0010-0000-5F00-000013000000}" name="rec_td" dataDxfId="3333"/>
    <tableColumn id="20" xr3:uid="{00000000-0010-0000-5F00-000014000000}" name="fmb" dataDxfId="3332"/>
    <tableColumn id="21" xr3:uid="{00000000-0010-0000-5F00-000015000000}" name="tp_c" dataDxfId="3331"/>
    <tableColumn id="22" xr3:uid="{00000000-0010-0000-5F00-000016000000}" name="f_ppr" dataDxfId="3330"/>
    <tableColumn id="23" xr3:uid="{00000000-0010-0000-5F00-000017000000}" name="tgt_share" dataDxfId="3329"/>
    <tableColumn id="24" xr3:uid="{00000000-0010-0000-5F00-000018000000}" name="ypc" dataDxfId="3328"/>
    <tableColumn id="25" xr3:uid="{00000000-0010-0000-5F00-000019000000}" name="ypr" dataDxfId="3327"/>
    <tableColumn id="26" xr3:uid="{00000000-0010-0000-5F00-00001A000000}" name="cmp_pct" dataDxfId="3326"/>
    <tableColumn id="27" xr3:uid="{00000000-0010-0000-5F00-00001B000000}" name="td_rate" dataDxfId="3325"/>
    <tableColumn id="28" xr3:uid="{00000000-0010-0000-5F00-00001C000000}" name="f_custom" dataDxfId="3324">
      <calculatedColumnFormula>($J46*Cp_yd)+($K46*Cp_td)+($L46*Cint)+($M46*Ccar)+($N46*Cr_td)+($O46*Cr_yd)+(Q46*Crec)+($R46*Crec_yd)+($S46*Crec_td)+($T46*Cfmb)+($U46*Ctp_c)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00000000-000C-0000-FFFF-FFFF60000000}" name="IND_Table6" displayName="IND_Table6" ref="A60:AB73" totalsRowShown="0" headerRowDxfId="3323" dataDxfId="3322">
  <autoFilter ref="A60:AB73" xr:uid="{00000000-0009-0000-0100-000063000000}"/>
  <tableColumns count="28">
    <tableColumn id="1" xr3:uid="{00000000-0010-0000-6000-000001000000}" name="Name" dataDxfId="3321"/>
    <tableColumn id="2" xr3:uid="{00000000-0010-0000-6000-000002000000}" name="POS" dataDxfId="3320"/>
    <tableColumn id="3" xr3:uid="{00000000-0010-0000-6000-000003000000}" name="Age" dataDxfId="3319"/>
    <tableColumn id="4" xr3:uid="{00000000-0010-0000-6000-000004000000}" name="Exp" dataDxfId="3318"/>
    <tableColumn id="5" xr3:uid="{00000000-0010-0000-6000-000005000000}" name="College" dataDxfId="3317"/>
    <tableColumn id="6" xr3:uid="{00000000-0010-0000-6000-000006000000}" name="team" dataDxfId="3316"/>
    <tableColumn id="7" xr3:uid="{00000000-0010-0000-6000-000007000000}" name="g" dataDxfId="3315"/>
    <tableColumn id="8" xr3:uid="{00000000-0010-0000-6000-000008000000}" name="p_att" dataDxfId="3314"/>
    <tableColumn id="9" xr3:uid="{00000000-0010-0000-6000-000009000000}" name="cmp" dataDxfId="3313"/>
    <tableColumn id="10" xr3:uid="{00000000-0010-0000-6000-00000A000000}" name="p_yd" dataDxfId="3312"/>
    <tableColumn id="11" xr3:uid="{00000000-0010-0000-6000-00000B000000}" name="p_td" dataDxfId="3311"/>
    <tableColumn id="12" xr3:uid="{00000000-0010-0000-6000-00000C000000}" name="int" dataDxfId="3310"/>
    <tableColumn id="13" xr3:uid="{00000000-0010-0000-6000-00000D000000}" name="car" dataDxfId="3309"/>
    <tableColumn id="14" xr3:uid="{00000000-0010-0000-6000-00000E000000}" name="r_yd" dataDxfId="3308"/>
    <tableColumn id="15" xr3:uid="{00000000-0010-0000-6000-00000F000000}" name="r_td" dataDxfId="3307"/>
    <tableColumn id="16" xr3:uid="{00000000-0010-0000-6000-000010000000}" name="tgt" dataDxfId="3306"/>
    <tableColumn id="17" xr3:uid="{00000000-0010-0000-6000-000011000000}" name="rec" dataDxfId="3305"/>
    <tableColumn id="18" xr3:uid="{00000000-0010-0000-6000-000012000000}" name="rec_yd" dataDxfId="3304"/>
    <tableColumn id="19" xr3:uid="{00000000-0010-0000-6000-000013000000}" name="rec_td" dataDxfId="3303"/>
    <tableColumn id="20" xr3:uid="{00000000-0010-0000-6000-000014000000}" name="fmb" dataDxfId="3302"/>
    <tableColumn id="21" xr3:uid="{00000000-0010-0000-6000-000015000000}" name="tp_c" dataDxfId="3301"/>
    <tableColumn id="22" xr3:uid="{00000000-0010-0000-6000-000016000000}" name="f_ppr" dataDxfId="3300"/>
    <tableColumn id="23" xr3:uid="{00000000-0010-0000-6000-000017000000}" name="tgt_share" dataDxfId="3299"/>
    <tableColumn id="24" xr3:uid="{00000000-0010-0000-6000-000018000000}" name="ypc" dataDxfId="3298"/>
    <tableColumn id="25" xr3:uid="{00000000-0010-0000-6000-000019000000}" name="ypr" dataDxfId="3297"/>
    <tableColumn id="26" xr3:uid="{00000000-0010-0000-6000-00001A000000}" name="cmp_pct" dataDxfId="3296"/>
    <tableColumn id="27" xr3:uid="{00000000-0010-0000-6000-00001B000000}" name="td_rate" dataDxfId="3295"/>
    <tableColumn id="28" xr3:uid="{00000000-0010-0000-6000-00001C000000}" name="f_custom" dataDxfId="3294"/>
  </tableColumns>
  <tableStyleInfo name="TableStyleMedium1" showFirstColumn="0" showLastColumn="0" showRowStripes="1" showColumnStripes="0"/>
</table>
</file>

<file path=xl/tables/table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00000000-000C-0000-FFFF-FFFF61000000}" name="IND_Table7" displayName="IND_Table7" ref="A75:AB84" totalsRowShown="0" headerRowDxfId="3293" dataDxfId="3292">
  <autoFilter ref="A75:AB84" xr:uid="{00000000-0009-0000-0100-000064000000}"/>
  <tableColumns count="28">
    <tableColumn id="1" xr3:uid="{00000000-0010-0000-6100-000001000000}" name="Name" dataDxfId="3291"/>
    <tableColumn id="2" xr3:uid="{00000000-0010-0000-6100-000002000000}" name="POS" dataDxfId="3290"/>
    <tableColumn id="3" xr3:uid="{00000000-0010-0000-6100-000003000000}" name="Age" dataDxfId="3289"/>
    <tableColumn id="4" xr3:uid="{00000000-0010-0000-6100-000004000000}" name="Exp" dataDxfId="3288"/>
    <tableColumn id="5" xr3:uid="{00000000-0010-0000-6100-000005000000}" name="College" dataDxfId="3287"/>
    <tableColumn id="6" xr3:uid="{00000000-0010-0000-6100-000006000000}" name="team" dataDxfId="3286"/>
    <tableColumn id="7" xr3:uid="{00000000-0010-0000-6100-000007000000}" name="g" dataDxfId="3285"/>
    <tableColumn id="8" xr3:uid="{00000000-0010-0000-6100-000008000000}" name="p_att" dataDxfId="3284"/>
    <tableColumn id="9" xr3:uid="{00000000-0010-0000-6100-000009000000}" name="cmp" dataDxfId="3283"/>
    <tableColumn id="10" xr3:uid="{00000000-0010-0000-6100-00000A000000}" name="p_yd" dataDxfId="3282"/>
    <tableColumn id="11" xr3:uid="{00000000-0010-0000-6100-00000B000000}" name="p_td" dataDxfId="3281"/>
    <tableColumn id="12" xr3:uid="{00000000-0010-0000-6100-00000C000000}" name="int" dataDxfId="3280"/>
    <tableColumn id="13" xr3:uid="{00000000-0010-0000-6100-00000D000000}" name="car" dataDxfId="3279"/>
    <tableColumn id="14" xr3:uid="{00000000-0010-0000-6100-00000E000000}" name="r_yd" dataDxfId="3278"/>
    <tableColumn id="15" xr3:uid="{00000000-0010-0000-6100-00000F000000}" name="r_td" dataDxfId="3277"/>
    <tableColumn id="16" xr3:uid="{00000000-0010-0000-6100-000010000000}" name="tgt" dataDxfId="3276"/>
    <tableColumn id="17" xr3:uid="{00000000-0010-0000-6100-000011000000}" name="rec" dataDxfId="3275"/>
    <tableColumn id="18" xr3:uid="{00000000-0010-0000-6100-000012000000}" name="rec_yd" dataDxfId="3274"/>
    <tableColumn id="19" xr3:uid="{00000000-0010-0000-6100-000013000000}" name="rec_td" dataDxfId="3273"/>
    <tableColumn id="20" xr3:uid="{00000000-0010-0000-6100-000014000000}" name="fmb" dataDxfId="3272"/>
    <tableColumn id="21" xr3:uid="{00000000-0010-0000-6100-000015000000}" name="tp_c" dataDxfId="3271"/>
    <tableColumn id="22" xr3:uid="{00000000-0010-0000-6100-000016000000}" name="f_ppr" dataDxfId="3270"/>
    <tableColumn id="23" xr3:uid="{00000000-0010-0000-6100-000017000000}" name="tgt_share" dataDxfId="3269"/>
    <tableColumn id="24" xr3:uid="{00000000-0010-0000-6100-000018000000}" name="ypc" dataDxfId="3268"/>
    <tableColumn id="25" xr3:uid="{00000000-0010-0000-6100-000019000000}" name="ypr" dataDxfId="3267"/>
    <tableColumn id="26" xr3:uid="{00000000-0010-0000-6100-00001A000000}" name="cmp_pct" dataDxfId="3266"/>
    <tableColumn id="27" xr3:uid="{00000000-0010-0000-6100-00001B000000}" name="td_rate" dataDxfId="3265"/>
    <tableColumn id="28" xr3:uid="{00000000-0010-0000-6100-00001C000000}" name="f_custom" dataDxfId="3264"/>
  </tableColumns>
  <tableStyleInfo name="TableStyleMedium1" showFirstColumn="0" showLastColumn="0" showRowStripes="1" showColumnStripes="0"/>
</table>
</file>

<file path=xl/tables/table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" xr:uid="{00000000-000C-0000-FFFF-FFFF62000000}" name="JAX_Table1" displayName="JAX_Table1" ref="A1:X16" totalsRowShown="0" headerRowDxfId="3263" dataDxfId="3262">
  <autoFilter ref="A1:X16" xr:uid="{00000000-0009-0000-0100-000065000000}"/>
  <tableColumns count="24">
    <tableColumn id="1" xr3:uid="{00000000-0010-0000-6200-000001000000}" name="player_name" dataDxfId="3261"/>
    <tableColumn id="2" xr3:uid="{00000000-0010-0000-6200-000002000000}" name="recent_team" dataDxfId="3260"/>
    <tableColumn id="3" xr3:uid="{00000000-0010-0000-6200-000003000000}" name="pos" dataDxfId="3259"/>
    <tableColumn id="4" xr3:uid="{00000000-0010-0000-6200-000004000000}" name="g" dataDxfId="3258"/>
    <tableColumn id="5" xr3:uid="{00000000-0010-0000-6200-000005000000}" name="p_att" dataDxfId="3257"/>
    <tableColumn id="6" xr3:uid="{00000000-0010-0000-6200-000006000000}" name="cmp" dataDxfId="3256"/>
    <tableColumn id="7" xr3:uid="{00000000-0010-0000-6200-000007000000}" name="p_yd" dataDxfId="3255"/>
    <tableColumn id="8" xr3:uid="{00000000-0010-0000-6200-000008000000}" name="p_td" dataDxfId="3254"/>
    <tableColumn id="9" xr3:uid="{00000000-0010-0000-6200-000009000000}" name="int" dataDxfId="3253"/>
    <tableColumn id="10" xr3:uid="{00000000-0010-0000-6200-00000A000000}" name="car" dataDxfId="3252"/>
    <tableColumn id="11" xr3:uid="{00000000-0010-0000-6200-00000B000000}" name="r_yd" dataDxfId="3251"/>
    <tableColumn id="12" xr3:uid="{00000000-0010-0000-6200-00000C000000}" name="r_td" dataDxfId="3250"/>
    <tableColumn id="13" xr3:uid="{00000000-0010-0000-6200-00000D000000}" name="tgt" dataDxfId="3249"/>
    <tableColumn id="14" xr3:uid="{00000000-0010-0000-6200-00000E000000}" name="rec" dataDxfId="3248"/>
    <tableColumn id="15" xr3:uid="{00000000-0010-0000-6200-00000F000000}" name="rec_yd" dataDxfId="3247"/>
    <tableColumn id="16" xr3:uid="{00000000-0010-0000-6200-000010000000}" name="rec_td" dataDxfId="3246"/>
    <tableColumn id="17" xr3:uid="{00000000-0010-0000-6200-000011000000}" name="fmb" dataDxfId="3245"/>
    <tableColumn id="18" xr3:uid="{00000000-0010-0000-6200-000012000000}" name="tp_c" dataDxfId="3244"/>
    <tableColumn id="19" xr3:uid="{00000000-0010-0000-6200-000013000000}" name="f_ppr" dataDxfId="3243"/>
    <tableColumn id="20" xr3:uid="{00000000-0010-0000-6200-000014000000}" name="tgt_share" dataDxfId="3242"/>
    <tableColumn id="21" xr3:uid="{00000000-0010-0000-6200-000015000000}" name="ypc" dataDxfId="3241"/>
    <tableColumn id="22" xr3:uid="{00000000-0010-0000-6200-000016000000}" name="ypr" dataDxfId="3240"/>
    <tableColumn id="23" xr3:uid="{00000000-0010-0000-6200-000017000000}" name="cmp_pct" dataDxfId="3239"/>
    <tableColumn id="24" xr3:uid="{00000000-0010-0000-6200-000018000000}" name="td_rate" dataDxfId="3238"/>
  </tableColumns>
  <tableStyleInfo name="TableStyleMedium1" showFirstColumn="0" showLastColumn="0" showRowStripes="1" showColumnStripes="0"/>
</table>
</file>

<file path=xl/tables/table1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" xr:uid="{00000000-000C-0000-FFFF-FFFF63000000}" name="JAX_Table2" displayName="JAX_Table2" ref="A30:L31" totalsRowShown="0" headerRowDxfId="3237" dataDxfId="3236">
  <autoFilter ref="A30:L31" xr:uid="{00000000-0009-0000-0100-000066000000}"/>
  <tableColumns count="12">
    <tableColumn id="1" xr3:uid="{00000000-0010-0000-6300-000001000000}" name="team" dataDxfId="3235"/>
    <tableColumn id="2" xr3:uid="{00000000-0010-0000-6300-000002000000}" name="off_yd" dataDxfId="3234"/>
    <tableColumn id="3" xr3:uid="{00000000-0010-0000-6300-000003000000}" name="p_yd" dataDxfId="3233"/>
    <tableColumn id="4" xr3:uid="{00000000-0010-0000-6300-000004000000}" name="car" dataDxfId="3232"/>
    <tableColumn id="5" xr3:uid="{00000000-0010-0000-6300-000005000000}" name="r_yd" dataDxfId="3231"/>
    <tableColumn id="6" xr3:uid="{00000000-0010-0000-6300-000006000000}" name="r_td" dataDxfId="3230"/>
    <tableColumn id="7" xr3:uid="{00000000-0010-0000-6300-000007000000}" name="p_ff" dataDxfId="3229"/>
    <tableColumn id="8" xr3:uid="{00000000-0010-0000-6300-000008000000}" name="p_att" dataDxfId="3228"/>
    <tableColumn id="9" xr3:uid="{00000000-0010-0000-6300-000009000000}" name="cmp_pct" dataDxfId="3227"/>
    <tableColumn id="10" xr3:uid="{00000000-0010-0000-6300-00000A000000}" name="p_td" dataDxfId="3226"/>
    <tableColumn id="11" xr3:uid="{00000000-0010-0000-6300-00000B000000}" name="int" dataDxfId="3225"/>
    <tableColumn id="12" xr3:uid="{00000000-0010-0000-6300-00000C000000}" name="fmb" dataDxfId="3224"/>
  </tableColumns>
  <tableStyleInfo name="TableStyleMedium1" showFirstColumn="0" showLastColumn="0" showRowStripes="1" showColumnStripes="0"/>
</table>
</file>

<file path=xl/tables/table1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" xr:uid="{00000000-000C-0000-FFFF-FFFF64000000}" name="JAX_Table3" displayName="JAX_Table3" ref="A32:L33" totalsRowShown="0" headerRowDxfId="3223" dataDxfId="3222">
  <autoFilter ref="A32:L33" xr:uid="{00000000-0009-0000-0100-000067000000}"/>
  <tableColumns count="12">
    <tableColumn id="1" xr3:uid="{00000000-0010-0000-6400-000001000000}" name="team" dataDxfId="3221">
      <calculatedColumnFormula>A31</calculatedColumnFormula>
    </tableColumn>
    <tableColumn id="2" xr3:uid="{00000000-0010-0000-6400-000002000000}" name="off_yd" dataDxfId="3220">
      <calculatedColumnFormula>C33 + E33</calculatedColumnFormula>
    </tableColumn>
    <tableColumn id="3" xr3:uid="{00000000-0010-0000-6400-000003000000}" name="p_yd" dataDxfId="3219">
      <calculatedColumnFormula>SUM(INDIRECT(A33 &amp; "_Table4[[#All],[p_yd]]"))</calculatedColumnFormula>
    </tableColumn>
    <tableColumn id="4" xr3:uid="{00000000-0010-0000-6400-000004000000}" name="car" dataDxfId="3218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6400-000005000000}" name="r_yd" dataDxfId="3217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6400-000006000000}" name="r_td" dataDxfId="3216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6400-000007000000}" name="p_ff" dataDxfId="3215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6400-000008000000}" name="p_att" dataDxfId="3214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6400-000009000000}" name="cmp_pct" dataDxfId="3213">
      <calculatedColumnFormula>SUM(INDIRECT(A33 &amp; "_Table4[[#All],[cmp]]"))/H33</calculatedColumnFormula>
    </tableColumn>
    <tableColumn id="10" xr3:uid="{00000000-0010-0000-6400-00000A000000}" name="p_td" dataDxfId="3212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6400-00000B000000}" name="int" dataDxfId="3211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6400-00000C000000}" name="fmb" dataDxfId="3210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</tableColumns>
  <tableStyleInfo name="TableStyleMedium1" showFirstColumn="0" showLastColumn="0" showRowStripes="1" showColumnStripes="0"/>
</table>
</file>

<file path=xl/tables/table1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4" xr:uid="{00000000-000C-0000-FFFF-FFFF65000000}" name="JAX_Table4" displayName="JAX_Table4" ref="A35:AB38" totalsRowShown="0" headerRowDxfId="3209" dataDxfId="3208">
  <autoFilter ref="A35:AB38" xr:uid="{00000000-0009-0000-0100-000068000000}"/>
  <tableColumns count="28">
    <tableColumn id="1" xr3:uid="{00000000-0010-0000-6500-000001000000}" name="Name" dataDxfId="3207"/>
    <tableColumn id="2" xr3:uid="{00000000-0010-0000-6500-000002000000}" name="POS" dataDxfId="3206"/>
    <tableColumn id="3" xr3:uid="{00000000-0010-0000-6500-000003000000}" name="Age" dataDxfId="3205"/>
    <tableColumn id="4" xr3:uid="{00000000-0010-0000-6500-000004000000}" name="Exp" dataDxfId="3204"/>
    <tableColumn id="5" xr3:uid="{00000000-0010-0000-6500-000005000000}" name="College" dataDxfId="3203"/>
    <tableColumn id="6" xr3:uid="{00000000-0010-0000-6500-000006000000}" name="team" dataDxfId="3202"/>
    <tableColumn id="7" xr3:uid="{00000000-0010-0000-6500-000007000000}" name="g" dataDxfId="3201"/>
    <tableColumn id="8" xr3:uid="{00000000-0010-0000-6500-000008000000}" name="p_att" dataDxfId="3200"/>
    <tableColumn id="9" xr3:uid="{00000000-0010-0000-6500-000009000000}" name="cmp" dataDxfId="3199"/>
    <tableColumn id="10" xr3:uid="{00000000-0010-0000-6500-00000A000000}" name="p_yd" dataDxfId="3198"/>
    <tableColumn id="11" xr3:uid="{00000000-0010-0000-6500-00000B000000}" name="p_td" dataDxfId="3197"/>
    <tableColumn id="12" xr3:uid="{00000000-0010-0000-6500-00000C000000}" name="int" dataDxfId="3196"/>
    <tableColumn id="13" xr3:uid="{00000000-0010-0000-6500-00000D000000}" name="car" dataDxfId="3195"/>
    <tableColumn id="14" xr3:uid="{00000000-0010-0000-6500-00000E000000}" name="r_yd" dataDxfId="3194"/>
    <tableColumn id="15" xr3:uid="{00000000-0010-0000-6500-00000F000000}" name="r_td" dataDxfId="3193"/>
    <tableColumn id="16" xr3:uid="{00000000-0010-0000-6500-000010000000}" name="tgt" dataDxfId="3192"/>
    <tableColumn id="17" xr3:uid="{00000000-0010-0000-6500-000011000000}" name="rec" dataDxfId="3191"/>
    <tableColumn id="18" xr3:uid="{00000000-0010-0000-6500-000012000000}" name="rec_yd" dataDxfId="3190"/>
    <tableColumn id="19" xr3:uid="{00000000-0010-0000-6500-000013000000}" name="rec_td" dataDxfId="3189"/>
    <tableColumn id="20" xr3:uid="{00000000-0010-0000-6500-000014000000}" name="fmb" dataDxfId="3188"/>
    <tableColumn id="21" xr3:uid="{00000000-0010-0000-6500-000015000000}" name="tp_c" dataDxfId="3187"/>
    <tableColumn id="22" xr3:uid="{00000000-0010-0000-6500-000016000000}" name="f_ppr" dataDxfId="3186"/>
    <tableColumn id="23" xr3:uid="{00000000-0010-0000-6500-000017000000}" name="tgt_share" dataDxfId="3185"/>
    <tableColumn id="24" xr3:uid="{00000000-0010-0000-6500-000018000000}" name="ypc" dataDxfId="3184"/>
    <tableColumn id="25" xr3:uid="{00000000-0010-0000-6500-000019000000}" name="ypr" dataDxfId="3183"/>
    <tableColumn id="26" xr3:uid="{00000000-0010-0000-6500-00001A000000}" name="cmp_pct" dataDxfId="3182"/>
    <tableColumn id="27" xr3:uid="{00000000-0010-0000-6500-00001B000000}" name="td_rate" dataDxfId="3181"/>
    <tableColumn id="28" xr3:uid="{00000000-0010-0000-6500-00001C000000}" name="f_custom" dataDxfId="3180"/>
  </tableColumns>
  <tableStyleInfo name="TableStyleMedium1" showFirstColumn="0" showLastColumn="0" showRowStripes="1" showColumnStripes="0"/>
</table>
</file>

<file path=xl/tables/table1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" xr:uid="{00000000-000C-0000-FFFF-FFFF66000000}" name="JAX_Table5" displayName="JAX_Table5" ref="A45:AB51" totalsRowShown="0" headerRowDxfId="3179" dataDxfId="3178">
  <autoFilter ref="A45:AB51" xr:uid="{00000000-0009-0000-0100-000069000000}"/>
  <tableColumns count="28">
    <tableColumn id="1" xr3:uid="{00000000-0010-0000-6600-000001000000}" name="Name" dataDxfId="3177"/>
    <tableColumn id="2" xr3:uid="{00000000-0010-0000-6600-000002000000}" name="POS" dataDxfId="3176"/>
    <tableColumn id="3" xr3:uid="{00000000-0010-0000-6600-000003000000}" name="Age" dataDxfId="3175"/>
    <tableColumn id="4" xr3:uid="{00000000-0010-0000-6600-000004000000}" name="Exp" dataDxfId="3174"/>
    <tableColumn id="5" xr3:uid="{00000000-0010-0000-6600-000005000000}" name="College" dataDxfId="3173"/>
    <tableColumn id="6" xr3:uid="{00000000-0010-0000-6600-000006000000}" name="team" dataDxfId="3172"/>
    <tableColumn id="7" xr3:uid="{00000000-0010-0000-6600-000007000000}" name="g" dataDxfId="3171"/>
    <tableColumn id="8" xr3:uid="{00000000-0010-0000-6600-000008000000}" name="p_att" dataDxfId="3170"/>
    <tableColumn id="9" xr3:uid="{00000000-0010-0000-6600-000009000000}" name="cmp" dataDxfId="3169"/>
    <tableColumn id="10" xr3:uid="{00000000-0010-0000-6600-00000A000000}" name="p_yd" dataDxfId="3168"/>
    <tableColumn id="11" xr3:uid="{00000000-0010-0000-6600-00000B000000}" name="p_td" dataDxfId="3167"/>
    <tableColumn id="12" xr3:uid="{00000000-0010-0000-6600-00000C000000}" name="int" dataDxfId="3166"/>
    <tableColumn id="13" xr3:uid="{00000000-0010-0000-6600-00000D000000}" name="car" dataDxfId="3165"/>
    <tableColumn id="14" xr3:uid="{00000000-0010-0000-6600-00000E000000}" name="r_yd" dataDxfId="3164"/>
    <tableColumn id="15" xr3:uid="{00000000-0010-0000-6600-00000F000000}" name="r_td" dataDxfId="3163"/>
    <tableColumn id="16" xr3:uid="{00000000-0010-0000-6600-000010000000}" name="tgt" dataDxfId="3162"/>
    <tableColumn id="17" xr3:uid="{00000000-0010-0000-6600-000011000000}" name="rec" dataDxfId="3161"/>
    <tableColumn id="18" xr3:uid="{00000000-0010-0000-6600-000012000000}" name="rec_yd" dataDxfId="3160"/>
    <tableColumn id="19" xr3:uid="{00000000-0010-0000-6600-000013000000}" name="rec_td" dataDxfId="3159"/>
    <tableColumn id="20" xr3:uid="{00000000-0010-0000-6600-000014000000}" name="fmb" dataDxfId="3158"/>
    <tableColumn id="21" xr3:uid="{00000000-0010-0000-6600-000015000000}" name="tp_c" dataDxfId="3157"/>
    <tableColumn id="22" xr3:uid="{00000000-0010-0000-6600-000016000000}" name="f_ppr" dataDxfId="3156"/>
    <tableColumn id="23" xr3:uid="{00000000-0010-0000-6600-000017000000}" name="tgt_share" dataDxfId="3155"/>
    <tableColumn id="24" xr3:uid="{00000000-0010-0000-6600-000018000000}" name="ypc" dataDxfId="3154"/>
    <tableColumn id="25" xr3:uid="{00000000-0010-0000-6600-000019000000}" name="ypr" dataDxfId="3153"/>
    <tableColumn id="26" xr3:uid="{00000000-0010-0000-6600-00001A000000}" name="cmp_pct" dataDxfId="3152"/>
    <tableColumn id="27" xr3:uid="{00000000-0010-0000-6600-00001B000000}" name="td_rate" dataDxfId="3151"/>
    <tableColumn id="28" xr3:uid="{00000000-0010-0000-6600-00001C000000}" name="f_custom" dataDxfId="3150">
      <calculatedColumnFormula>($J46*Cp_yd)+($K46*Cp_td)+($L46*Cint)+($M46*Ccar)+($N46*Cr_td)+($O46*Cr_yd)+(Q46*Crec)+($R46*Crec_yd)+($S46*Crec_td)+($T46*Cfmb)+($U46*Ctp_c)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6" xr:uid="{00000000-000C-0000-FFFF-FFFF67000000}" name="JAX_Table6" displayName="JAX_Table6" ref="A60:AB73" totalsRowShown="0" headerRowDxfId="3149" dataDxfId="3148">
  <autoFilter ref="A60:AB73" xr:uid="{00000000-0009-0000-0100-00006A000000}"/>
  <tableColumns count="28">
    <tableColumn id="1" xr3:uid="{00000000-0010-0000-6700-000001000000}" name="Name" dataDxfId="3147"/>
    <tableColumn id="2" xr3:uid="{00000000-0010-0000-6700-000002000000}" name="POS" dataDxfId="3146"/>
    <tableColumn id="3" xr3:uid="{00000000-0010-0000-6700-000003000000}" name="Age" dataDxfId="3145"/>
    <tableColumn id="4" xr3:uid="{00000000-0010-0000-6700-000004000000}" name="Exp" dataDxfId="3144"/>
    <tableColumn id="5" xr3:uid="{00000000-0010-0000-6700-000005000000}" name="College" dataDxfId="3143"/>
    <tableColumn id="6" xr3:uid="{00000000-0010-0000-6700-000006000000}" name="team" dataDxfId="3142"/>
    <tableColumn id="7" xr3:uid="{00000000-0010-0000-6700-000007000000}" name="g" dataDxfId="3141"/>
    <tableColumn id="8" xr3:uid="{00000000-0010-0000-6700-000008000000}" name="p_att" dataDxfId="3140"/>
    <tableColumn id="9" xr3:uid="{00000000-0010-0000-6700-000009000000}" name="cmp" dataDxfId="3139"/>
    <tableColumn id="10" xr3:uid="{00000000-0010-0000-6700-00000A000000}" name="p_yd" dataDxfId="3138"/>
    <tableColumn id="11" xr3:uid="{00000000-0010-0000-6700-00000B000000}" name="p_td" dataDxfId="3137"/>
    <tableColumn id="12" xr3:uid="{00000000-0010-0000-6700-00000C000000}" name="int" dataDxfId="3136"/>
    <tableColumn id="13" xr3:uid="{00000000-0010-0000-6700-00000D000000}" name="car" dataDxfId="3135"/>
    <tableColumn id="14" xr3:uid="{00000000-0010-0000-6700-00000E000000}" name="r_yd" dataDxfId="3134"/>
    <tableColumn id="15" xr3:uid="{00000000-0010-0000-6700-00000F000000}" name="r_td" dataDxfId="3133"/>
    <tableColumn id="16" xr3:uid="{00000000-0010-0000-6700-000010000000}" name="tgt" dataDxfId="3132"/>
    <tableColumn id="17" xr3:uid="{00000000-0010-0000-6700-000011000000}" name="rec" dataDxfId="3131"/>
    <tableColumn id="18" xr3:uid="{00000000-0010-0000-6700-000012000000}" name="rec_yd" dataDxfId="3130"/>
    <tableColumn id="19" xr3:uid="{00000000-0010-0000-6700-000013000000}" name="rec_td" dataDxfId="3129"/>
    <tableColumn id="20" xr3:uid="{00000000-0010-0000-6700-000014000000}" name="fmb" dataDxfId="3128"/>
    <tableColumn id="21" xr3:uid="{00000000-0010-0000-6700-000015000000}" name="tp_c" dataDxfId="3127"/>
    <tableColumn id="22" xr3:uid="{00000000-0010-0000-6700-000016000000}" name="f_ppr" dataDxfId="3126"/>
    <tableColumn id="23" xr3:uid="{00000000-0010-0000-6700-000017000000}" name="tgt_share" dataDxfId="3125"/>
    <tableColumn id="24" xr3:uid="{00000000-0010-0000-6700-000018000000}" name="ypc" dataDxfId="3124"/>
    <tableColumn id="25" xr3:uid="{00000000-0010-0000-6700-000019000000}" name="ypr" dataDxfId="3123"/>
    <tableColumn id="26" xr3:uid="{00000000-0010-0000-6700-00001A000000}" name="cmp_pct" dataDxfId="3122"/>
    <tableColumn id="27" xr3:uid="{00000000-0010-0000-6700-00001B000000}" name="td_rate" dataDxfId="3121"/>
    <tableColumn id="28" xr3:uid="{00000000-0010-0000-6700-00001C000000}" name="f_custom" dataDxfId="3120"/>
  </tableColumns>
  <tableStyleInfo name="TableStyleMedium1" showFirstColumn="0" showLastColumn="0" showRowStripes="1" showColumnStripes="0"/>
</table>
</file>

<file path=xl/tables/table1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" xr:uid="{00000000-000C-0000-FFFF-FFFF68000000}" name="JAX_Table7" displayName="JAX_Table7" ref="A75:AB82" totalsRowShown="0" headerRowDxfId="3119" dataDxfId="3118">
  <autoFilter ref="A75:AB82" xr:uid="{00000000-0009-0000-0100-00006B000000}"/>
  <tableColumns count="28">
    <tableColumn id="1" xr3:uid="{00000000-0010-0000-6800-000001000000}" name="Name" dataDxfId="3117"/>
    <tableColumn id="2" xr3:uid="{00000000-0010-0000-6800-000002000000}" name="POS" dataDxfId="3116"/>
    <tableColumn id="3" xr3:uid="{00000000-0010-0000-6800-000003000000}" name="Age" dataDxfId="3115"/>
    <tableColumn id="4" xr3:uid="{00000000-0010-0000-6800-000004000000}" name="Exp" dataDxfId="3114"/>
    <tableColumn id="5" xr3:uid="{00000000-0010-0000-6800-000005000000}" name="College" dataDxfId="3113"/>
    <tableColumn id="6" xr3:uid="{00000000-0010-0000-6800-000006000000}" name="team" dataDxfId="3112"/>
    <tableColumn id="7" xr3:uid="{00000000-0010-0000-6800-000007000000}" name="g" dataDxfId="3111"/>
    <tableColumn id="8" xr3:uid="{00000000-0010-0000-6800-000008000000}" name="p_att" dataDxfId="3110"/>
    <tableColumn id="9" xr3:uid="{00000000-0010-0000-6800-000009000000}" name="cmp" dataDxfId="3109"/>
    <tableColumn id="10" xr3:uid="{00000000-0010-0000-6800-00000A000000}" name="p_yd" dataDxfId="3108"/>
    <tableColumn id="11" xr3:uid="{00000000-0010-0000-6800-00000B000000}" name="p_td" dataDxfId="3107"/>
    <tableColumn id="12" xr3:uid="{00000000-0010-0000-6800-00000C000000}" name="int" dataDxfId="3106"/>
    <tableColumn id="13" xr3:uid="{00000000-0010-0000-6800-00000D000000}" name="car" dataDxfId="3105"/>
    <tableColumn id="14" xr3:uid="{00000000-0010-0000-6800-00000E000000}" name="r_yd" dataDxfId="3104"/>
    <tableColumn id="15" xr3:uid="{00000000-0010-0000-6800-00000F000000}" name="r_td" dataDxfId="3103"/>
    <tableColumn id="16" xr3:uid="{00000000-0010-0000-6800-000010000000}" name="tgt" dataDxfId="3102"/>
    <tableColumn id="17" xr3:uid="{00000000-0010-0000-6800-000011000000}" name="rec" dataDxfId="3101"/>
    <tableColumn id="18" xr3:uid="{00000000-0010-0000-6800-000012000000}" name="rec_yd" dataDxfId="3100"/>
    <tableColumn id="19" xr3:uid="{00000000-0010-0000-6800-000013000000}" name="rec_td" dataDxfId="3099"/>
    <tableColumn id="20" xr3:uid="{00000000-0010-0000-6800-000014000000}" name="fmb" dataDxfId="3098"/>
    <tableColumn id="21" xr3:uid="{00000000-0010-0000-6800-000015000000}" name="tp_c" dataDxfId="3097"/>
    <tableColumn id="22" xr3:uid="{00000000-0010-0000-6800-000016000000}" name="f_ppr" dataDxfId="3096"/>
    <tableColumn id="23" xr3:uid="{00000000-0010-0000-6800-000017000000}" name="tgt_share" dataDxfId="3095"/>
    <tableColumn id="24" xr3:uid="{00000000-0010-0000-6800-000018000000}" name="ypc" dataDxfId="3094"/>
    <tableColumn id="25" xr3:uid="{00000000-0010-0000-6800-000019000000}" name="ypr" dataDxfId="3093"/>
    <tableColumn id="26" xr3:uid="{00000000-0010-0000-6800-00001A000000}" name="cmp_pct" dataDxfId="3092"/>
    <tableColumn id="27" xr3:uid="{00000000-0010-0000-6800-00001B000000}" name="td_rate" dataDxfId="3091"/>
    <tableColumn id="28" xr3:uid="{00000000-0010-0000-6800-00001C000000}" name="f_custom" dataDxfId="3090"/>
  </tableColumns>
  <tableStyleInfo name="TableStyleMedium1" showFirstColumn="0" showLastColumn="0" showRowStripes="1" showColumnStripes="0"/>
</table>
</file>

<file path=xl/tables/table1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8" xr:uid="{00000000-000C-0000-FFFF-FFFF69000000}" name="KC_Table1" displayName="KC_Table1" ref="A1:X18" totalsRowShown="0" headerRowDxfId="3089" dataDxfId="3088">
  <autoFilter ref="A1:X18" xr:uid="{00000000-0009-0000-0100-00006C000000}"/>
  <tableColumns count="24">
    <tableColumn id="1" xr3:uid="{00000000-0010-0000-6900-000001000000}" name="player_name" dataDxfId="3087"/>
    <tableColumn id="2" xr3:uid="{00000000-0010-0000-6900-000002000000}" name="recent_team" dataDxfId="3086"/>
    <tableColumn id="3" xr3:uid="{00000000-0010-0000-6900-000003000000}" name="pos" dataDxfId="3085"/>
    <tableColumn id="4" xr3:uid="{00000000-0010-0000-6900-000004000000}" name="g" dataDxfId="3084"/>
    <tableColumn id="5" xr3:uid="{00000000-0010-0000-6900-000005000000}" name="p_att" dataDxfId="3083"/>
    <tableColumn id="6" xr3:uid="{00000000-0010-0000-6900-000006000000}" name="cmp" dataDxfId="3082"/>
    <tableColumn id="7" xr3:uid="{00000000-0010-0000-6900-000007000000}" name="p_yd" dataDxfId="3081"/>
    <tableColumn id="8" xr3:uid="{00000000-0010-0000-6900-000008000000}" name="p_td" dataDxfId="3080"/>
    <tableColumn id="9" xr3:uid="{00000000-0010-0000-6900-000009000000}" name="int" dataDxfId="3079"/>
    <tableColumn id="10" xr3:uid="{00000000-0010-0000-6900-00000A000000}" name="car" dataDxfId="3078"/>
    <tableColumn id="11" xr3:uid="{00000000-0010-0000-6900-00000B000000}" name="r_yd" dataDxfId="3077"/>
    <tableColumn id="12" xr3:uid="{00000000-0010-0000-6900-00000C000000}" name="r_td" dataDxfId="3076"/>
    <tableColumn id="13" xr3:uid="{00000000-0010-0000-6900-00000D000000}" name="tgt" dataDxfId="3075"/>
    <tableColumn id="14" xr3:uid="{00000000-0010-0000-6900-00000E000000}" name="rec" dataDxfId="3074"/>
    <tableColumn id="15" xr3:uid="{00000000-0010-0000-6900-00000F000000}" name="rec_yd" dataDxfId="3073"/>
    <tableColumn id="16" xr3:uid="{00000000-0010-0000-6900-000010000000}" name="rec_td" dataDxfId="3072"/>
    <tableColumn id="17" xr3:uid="{00000000-0010-0000-6900-000011000000}" name="fmb" dataDxfId="3071"/>
    <tableColumn id="18" xr3:uid="{00000000-0010-0000-6900-000012000000}" name="tp_c" dataDxfId="3070"/>
    <tableColumn id="19" xr3:uid="{00000000-0010-0000-6900-000013000000}" name="f_ppr" dataDxfId="3069"/>
    <tableColumn id="20" xr3:uid="{00000000-0010-0000-6900-000014000000}" name="tgt_share" dataDxfId="3068"/>
    <tableColumn id="21" xr3:uid="{00000000-0010-0000-6900-000015000000}" name="ypc" dataDxfId="3067"/>
    <tableColumn id="22" xr3:uid="{00000000-0010-0000-6900-000016000000}" name="ypr" dataDxfId="3066"/>
    <tableColumn id="23" xr3:uid="{00000000-0010-0000-6900-000017000000}" name="cmp_pct" dataDxfId="3065"/>
    <tableColumn id="24" xr3:uid="{00000000-0010-0000-6900-000018000000}" name="td_rate" dataDxfId="3064"/>
  </tableColumns>
  <tableStyleInfo name="TableStyleMedium1" showFirstColumn="0" showLastColumn="0" showRowStripes="1" showColumnStripes="0"/>
</table>
</file>

<file path=xl/tables/table1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" xr:uid="{00000000-000C-0000-FFFF-FFFF6A000000}" name="KC_Table2" displayName="KC_Table2" ref="A30:L31" totalsRowShown="0" headerRowDxfId="3063" dataDxfId="3062">
  <autoFilter ref="A30:L31" xr:uid="{00000000-0009-0000-0100-00006D000000}"/>
  <tableColumns count="12">
    <tableColumn id="1" xr3:uid="{00000000-0010-0000-6A00-000001000000}" name="team" dataDxfId="3061"/>
    <tableColumn id="2" xr3:uid="{00000000-0010-0000-6A00-000002000000}" name="off_yd" dataDxfId="3060"/>
    <tableColumn id="3" xr3:uid="{00000000-0010-0000-6A00-000003000000}" name="p_yd" dataDxfId="3059"/>
    <tableColumn id="4" xr3:uid="{00000000-0010-0000-6A00-000004000000}" name="car" dataDxfId="3058"/>
    <tableColumn id="5" xr3:uid="{00000000-0010-0000-6A00-000005000000}" name="r_yd" dataDxfId="3057"/>
    <tableColumn id="6" xr3:uid="{00000000-0010-0000-6A00-000006000000}" name="r_td" dataDxfId="3056"/>
    <tableColumn id="7" xr3:uid="{00000000-0010-0000-6A00-000007000000}" name="p_ff" dataDxfId="3055"/>
    <tableColumn id="8" xr3:uid="{00000000-0010-0000-6A00-000008000000}" name="p_att" dataDxfId="3054"/>
    <tableColumn id="9" xr3:uid="{00000000-0010-0000-6A00-000009000000}" name="cmp_pct" dataDxfId="3053"/>
    <tableColumn id="10" xr3:uid="{00000000-0010-0000-6A00-00000A000000}" name="p_td" dataDxfId="3052"/>
    <tableColumn id="11" xr3:uid="{00000000-0010-0000-6A00-00000B000000}" name="int" dataDxfId="3051"/>
    <tableColumn id="12" xr3:uid="{00000000-0010-0000-6A00-00000C000000}" name="fmb" dataDxfId="3050"/>
  </tableColumns>
  <tableStyleInfo name="TableStyleMedium1" showFirstColumn="0" showLastColumn="0" showRowStripes="1" showColumnStripes="0"/>
</table>
</file>

<file path=xl/tables/table1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0" xr:uid="{00000000-000C-0000-FFFF-FFFF6B000000}" name="KC_Table3" displayName="KC_Table3" ref="A32:L33" totalsRowShown="0" headerRowDxfId="3049" dataDxfId="3048">
  <autoFilter ref="A32:L33" xr:uid="{00000000-0009-0000-0100-00006E000000}"/>
  <tableColumns count="12">
    <tableColumn id="1" xr3:uid="{00000000-0010-0000-6B00-000001000000}" name="team" dataDxfId="3047">
      <calculatedColumnFormula>A31</calculatedColumnFormula>
    </tableColumn>
    <tableColumn id="2" xr3:uid="{00000000-0010-0000-6B00-000002000000}" name="off_yd" dataDxfId="3046">
      <calculatedColumnFormula>C33 + E33</calculatedColumnFormula>
    </tableColumn>
    <tableColumn id="3" xr3:uid="{00000000-0010-0000-6B00-000003000000}" name="p_yd" dataDxfId="3045">
      <calculatedColumnFormula>SUM(INDIRECT(A33 &amp; "_Table4[[#All],[p_yd]]"))</calculatedColumnFormula>
    </tableColumn>
    <tableColumn id="4" xr3:uid="{00000000-0010-0000-6B00-000004000000}" name="car" dataDxfId="3044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6B00-000005000000}" name="r_yd" dataDxfId="3043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6B00-000006000000}" name="r_td" dataDxfId="3042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6B00-000007000000}" name="p_ff" dataDxfId="3041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6B00-000008000000}" name="p_att" dataDxfId="3040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6B00-000009000000}" name="cmp_pct" dataDxfId="3039">
      <calculatedColumnFormula>SUM(INDIRECT(A33 &amp; "_Table4[[#All],[cmp]]"))/H33</calculatedColumnFormula>
    </tableColumn>
    <tableColumn id="10" xr3:uid="{00000000-0010-0000-6B00-00000A000000}" name="p_td" dataDxfId="3038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6B00-00000B000000}" name="int" dataDxfId="3037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6B00-00000C000000}" name="fmb" dataDxfId="3036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</tableColumns>
  <tableStyleInfo name="TableStyleMedium1" showFirstColumn="0" showLastColumn="0" showRowStripes="1" showColumnStripes="0"/>
</table>
</file>

<file path=xl/tables/table1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1" xr:uid="{00000000-000C-0000-FFFF-FFFF6C000000}" name="KC_Table4" displayName="KC_Table4" ref="A35:AB39" totalsRowShown="0" headerRowDxfId="3035" dataDxfId="3034">
  <autoFilter ref="A35:AB39" xr:uid="{00000000-0009-0000-0100-00006F000000}"/>
  <tableColumns count="28">
    <tableColumn id="1" xr3:uid="{00000000-0010-0000-6C00-000001000000}" name="Name" dataDxfId="3033"/>
    <tableColumn id="2" xr3:uid="{00000000-0010-0000-6C00-000002000000}" name="POS" dataDxfId="3032"/>
    <tableColumn id="3" xr3:uid="{00000000-0010-0000-6C00-000003000000}" name="Age" dataDxfId="3031"/>
    <tableColumn id="4" xr3:uid="{00000000-0010-0000-6C00-000004000000}" name="Exp" dataDxfId="3030"/>
    <tableColumn id="5" xr3:uid="{00000000-0010-0000-6C00-000005000000}" name="College" dataDxfId="3029"/>
    <tableColumn id="6" xr3:uid="{00000000-0010-0000-6C00-000006000000}" name="team" dataDxfId="3028"/>
    <tableColumn id="7" xr3:uid="{00000000-0010-0000-6C00-000007000000}" name="g" dataDxfId="3027"/>
    <tableColumn id="8" xr3:uid="{00000000-0010-0000-6C00-000008000000}" name="p_att" dataDxfId="3026"/>
    <tableColumn id="9" xr3:uid="{00000000-0010-0000-6C00-000009000000}" name="cmp" dataDxfId="3025"/>
    <tableColumn id="10" xr3:uid="{00000000-0010-0000-6C00-00000A000000}" name="p_yd" dataDxfId="3024"/>
    <tableColumn id="11" xr3:uid="{00000000-0010-0000-6C00-00000B000000}" name="p_td" dataDxfId="3023"/>
    <tableColumn id="12" xr3:uid="{00000000-0010-0000-6C00-00000C000000}" name="int" dataDxfId="3022"/>
    <tableColumn id="13" xr3:uid="{00000000-0010-0000-6C00-00000D000000}" name="car" dataDxfId="3021"/>
    <tableColumn id="14" xr3:uid="{00000000-0010-0000-6C00-00000E000000}" name="r_yd" dataDxfId="3020"/>
    <tableColumn id="15" xr3:uid="{00000000-0010-0000-6C00-00000F000000}" name="r_td" dataDxfId="3019"/>
    <tableColumn id="16" xr3:uid="{00000000-0010-0000-6C00-000010000000}" name="tgt" dataDxfId="3018"/>
    <tableColumn id="17" xr3:uid="{00000000-0010-0000-6C00-000011000000}" name="rec" dataDxfId="3017"/>
    <tableColumn id="18" xr3:uid="{00000000-0010-0000-6C00-000012000000}" name="rec_yd" dataDxfId="3016"/>
    <tableColumn id="19" xr3:uid="{00000000-0010-0000-6C00-000013000000}" name="rec_td" dataDxfId="3015"/>
    <tableColumn id="20" xr3:uid="{00000000-0010-0000-6C00-000014000000}" name="fmb" dataDxfId="3014"/>
    <tableColumn id="21" xr3:uid="{00000000-0010-0000-6C00-000015000000}" name="tp_c" dataDxfId="3013"/>
    <tableColumn id="22" xr3:uid="{00000000-0010-0000-6C00-000016000000}" name="f_ppr" dataDxfId="3012"/>
    <tableColumn id="23" xr3:uid="{00000000-0010-0000-6C00-000017000000}" name="tgt_share" dataDxfId="3011"/>
    <tableColumn id="24" xr3:uid="{00000000-0010-0000-6C00-000018000000}" name="ypc" dataDxfId="3010"/>
    <tableColumn id="25" xr3:uid="{00000000-0010-0000-6C00-000019000000}" name="ypr" dataDxfId="3009"/>
    <tableColumn id="26" xr3:uid="{00000000-0010-0000-6C00-00001A000000}" name="cmp_pct" dataDxfId="3008"/>
    <tableColumn id="27" xr3:uid="{00000000-0010-0000-6C00-00001B000000}" name="td_rate" dataDxfId="3007"/>
    <tableColumn id="28" xr3:uid="{00000000-0010-0000-6C00-00001C000000}" name="f_custom" dataDxfId="3006"/>
  </tableColumns>
  <tableStyleInfo name="TableStyleMedium1" showFirstColumn="0" showLastColumn="0" showRowStripes="1" showColumnStripes="0"/>
</table>
</file>

<file path=xl/tables/table1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2" xr:uid="{00000000-000C-0000-FFFF-FFFF6D000000}" name="KC_Table5" displayName="KC_Table5" ref="A45:AB50" totalsRowShown="0" headerRowDxfId="3005" dataDxfId="3004">
  <autoFilter ref="A45:AB50" xr:uid="{00000000-0009-0000-0100-000070000000}"/>
  <tableColumns count="28">
    <tableColumn id="1" xr3:uid="{00000000-0010-0000-6D00-000001000000}" name="Name" dataDxfId="3003"/>
    <tableColumn id="2" xr3:uid="{00000000-0010-0000-6D00-000002000000}" name="POS" dataDxfId="3002"/>
    <tableColumn id="3" xr3:uid="{00000000-0010-0000-6D00-000003000000}" name="Age" dataDxfId="3001"/>
    <tableColumn id="4" xr3:uid="{00000000-0010-0000-6D00-000004000000}" name="Exp" dataDxfId="3000"/>
    <tableColumn id="5" xr3:uid="{00000000-0010-0000-6D00-000005000000}" name="College" dataDxfId="2999"/>
    <tableColumn id="6" xr3:uid="{00000000-0010-0000-6D00-000006000000}" name="team" dataDxfId="2998"/>
    <tableColumn id="7" xr3:uid="{00000000-0010-0000-6D00-000007000000}" name="g" dataDxfId="2997"/>
    <tableColumn id="8" xr3:uid="{00000000-0010-0000-6D00-000008000000}" name="p_att" dataDxfId="2996"/>
    <tableColumn id="9" xr3:uid="{00000000-0010-0000-6D00-000009000000}" name="cmp" dataDxfId="2995"/>
    <tableColumn id="10" xr3:uid="{00000000-0010-0000-6D00-00000A000000}" name="p_yd" dataDxfId="2994"/>
    <tableColumn id="11" xr3:uid="{00000000-0010-0000-6D00-00000B000000}" name="p_td" dataDxfId="2993"/>
    <tableColumn id="12" xr3:uid="{00000000-0010-0000-6D00-00000C000000}" name="int" dataDxfId="2992"/>
    <tableColumn id="13" xr3:uid="{00000000-0010-0000-6D00-00000D000000}" name="car" dataDxfId="2991"/>
    <tableColumn id="14" xr3:uid="{00000000-0010-0000-6D00-00000E000000}" name="r_yd" dataDxfId="2990"/>
    <tableColumn id="15" xr3:uid="{00000000-0010-0000-6D00-00000F000000}" name="r_td" dataDxfId="2989"/>
    <tableColumn id="16" xr3:uid="{00000000-0010-0000-6D00-000010000000}" name="tgt" dataDxfId="2988"/>
    <tableColumn id="17" xr3:uid="{00000000-0010-0000-6D00-000011000000}" name="rec" dataDxfId="2987"/>
    <tableColumn id="18" xr3:uid="{00000000-0010-0000-6D00-000012000000}" name="rec_yd" dataDxfId="2986"/>
    <tableColumn id="19" xr3:uid="{00000000-0010-0000-6D00-000013000000}" name="rec_td" dataDxfId="2985"/>
    <tableColumn id="20" xr3:uid="{00000000-0010-0000-6D00-000014000000}" name="fmb" dataDxfId="2984"/>
    <tableColumn id="21" xr3:uid="{00000000-0010-0000-6D00-000015000000}" name="tp_c" dataDxfId="2983"/>
    <tableColumn id="22" xr3:uid="{00000000-0010-0000-6D00-000016000000}" name="f_ppr" dataDxfId="2982"/>
    <tableColumn id="23" xr3:uid="{00000000-0010-0000-6D00-000017000000}" name="tgt_share" dataDxfId="2981"/>
    <tableColumn id="24" xr3:uid="{00000000-0010-0000-6D00-000018000000}" name="ypc" dataDxfId="2980"/>
    <tableColumn id="25" xr3:uid="{00000000-0010-0000-6D00-000019000000}" name="ypr" dataDxfId="2979"/>
    <tableColumn id="26" xr3:uid="{00000000-0010-0000-6D00-00001A000000}" name="cmp_pct" dataDxfId="2978"/>
    <tableColumn id="27" xr3:uid="{00000000-0010-0000-6D00-00001B000000}" name="td_rate" dataDxfId="2977"/>
    <tableColumn id="28" xr3:uid="{00000000-0010-0000-6D00-00001C000000}" name="f_custom" dataDxfId="2976">
      <calculatedColumnFormula>($J46*Cp_yd)+($K46*Cp_td)+($L46*Cint)+($M46*Ccar)+($N46*Cr_td)+($O46*Cr_yd)+(Q46*Crec)+($R46*Crec_yd)+($S46*Crec_td)+($T46*Cfmb)+($U46*Ctp_c)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3" xr:uid="{00000000-000C-0000-FFFF-FFFF6E000000}" name="KC_Table6" displayName="KC_Table6" ref="A60:AB74" totalsRowShown="0" headerRowDxfId="2975" dataDxfId="2974">
  <autoFilter ref="A60:AB74" xr:uid="{00000000-0009-0000-0100-000071000000}"/>
  <tableColumns count="28">
    <tableColumn id="1" xr3:uid="{00000000-0010-0000-6E00-000001000000}" name="Name" dataDxfId="2973"/>
    <tableColumn id="2" xr3:uid="{00000000-0010-0000-6E00-000002000000}" name="POS" dataDxfId="2972"/>
    <tableColumn id="3" xr3:uid="{00000000-0010-0000-6E00-000003000000}" name="Age" dataDxfId="2971"/>
    <tableColumn id="4" xr3:uid="{00000000-0010-0000-6E00-000004000000}" name="Exp" dataDxfId="2970"/>
    <tableColumn id="5" xr3:uid="{00000000-0010-0000-6E00-000005000000}" name="College" dataDxfId="2969"/>
    <tableColumn id="6" xr3:uid="{00000000-0010-0000-6E00-000006000000}" name="team" dataDxfId="2968"/>
    <tableColumn id="7" xr3:uid="{00000000-0010-0000-6E00-000007000000}" name="g" dataDxfId="2967"/>
    <tableColumn id="8" xr3:uid="{00000000-0010-0000-6E00-000008000000}" name="p_att" dataDxfId="2966"/>
    <tableColumn id="9" xr3:uid="{00000000-0010-0000-6E00-000009000000}" name="cmp" dataDxfId="2965"/>
    <tableColumn id="10" xr3:uid="{00000000-0010-0000-6E00-00000A000000}" name="p_yd" dataDxfId="2964"/>
    <tableColumn id="11" xr3:uid="{00000000-0010-0000-6E00-00000B000000}" name="p_td" dataDxfId="2963"/>
    <tableColumn id="12" xr3:uid="{00000000-0010-0000-6E00-00000C000000}" name="int" dataDxfId="2962"/>
    <tableColumn id="13" xr3:uid="{00000000-0010-0000-6E00-00000D000000}" name="car" dataDxfId="2961"/>
    <tableColumn id="14" xr3:uid="{00000000-0010-0000-6E00-00000E000000}" name="r_yd" dataDxfId="2960"/>
    <tableColumn id="15" xr3:uid="{00000000-0010-0000-6E00-00000F000000}" name="r_td" dataDxfId="2959"/>
    <tableColumn id="16" xr3:uid="{00000000-0010-0000-6E00-000010000000}" name="tgt" dataDxfId="2958"/>
    <tableColumn id="17" xr3:uid="{00000000-0010-0000-6E00-000011000000}" name="rec" dataDxfId="2957"/>
    <tableColumn id="18" xr3:uid="{00000000-0010-0000-6E00-000012000000}" name="rec_yd" dataDxfId="2956"/>
    <tableColumn id="19" xr3:uid="{00000000-0010-0000-6E00-000013000000}" name="rec_td" dataDxfId="2955"/>
    <tableColumn id="20" xr3:uid="{00000000-0010-0000-6E00-000014000000}" name="fmb" dataDxfId="2954"/>
    <tableColumn id="21" xr3:uid="{00000000-0010-0000-6E00-000015000000}" name="tp_c" dataDxfId="2953"/>
    <tableColumn id="22" xr3:uid="{00000000-0010-0000-6E00-000016000000}" name="f_ppr" dataDxfId="2952"/>
    <tableColumn id="23" xr3:uid="{00000000-0010-0000-6E00-000017000000}" name="tgt_share" dataDxfId="2951"/>
    <tableColumn id="24" xr3:uid="{00000000-0010-0000-6E00-000018000000}" name="ypc" dataDxfId="2950"/>
    <tableColumn id="25" xr3:uid="{00000000-0010-0000-6E00-000019000000}" name="ypr" dataDxfId="2949"/>
    <tableColumn id="26" xr3:uid="{00000000-0010-0000-6E00-00001A000000}" name="cmp_pct" dataDxfId="2948"/>
    <tableColumn id="27" xr3:uid="{00000000-0010-0000-6E00-00001B000000}" name="td_rate" dataDxfId="2947"/>
    <tableColumn id="28" xr3:uid="{00000000-0010-0000-6E00-00001C000000}" name="f_custom" dataDxfId="2946"/>
  </tableColumns>
  <tableStyleInfo name="TableStyleMedium1" showFirstColumn="0" showLastColumn="0" showRowStripes="1" showColumnStripes="0"/>
</table>
</file>

<file path=xl/tables/table1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4" xr:uid="{00000000-000C-0000-FFFF-FFFF6F000000}" name="KC_Table7" displayName="KC_Table7" ref="A75:AB82" totalsRowShown="0" headerRowDxfId="2945" dataDxfId="2944">
  <autoFilter ref="A75:AB82" xr:uid="{00000000-0009-0000-0100-000072000000}"/>
  <tableColumns count="28">
    <tableColumn id="1" xr3:uid="{00000000-0010-0000-6F00-000001000000}" name="Name" dataDxfId="2943"/>
    <tableColumn id="2" xr3:uid="{00000000-0010-0000-6F00-000002000000}" name="POS" dataDxfId="2942"/>
    <tableColumn id="3" xr3:uid="{00000000-0010-0000-6F00-000003000000}" name="Age" dataDxfId="2941"/>
    <tableColumn id="4" xr3:uid="{00000000-0010-0000-6F00-000004000000}" name="Exp" dataDxfId="2940"/>
    <tableColumn id="5" xr3:uid="{00000000-0010-0000-6F00-000005000000}" name="College" dataDxfId="2939"/>
    <tableColumn id="6" xr3:uid="{00000000-0010-0000-6F00-000006000000}" name="team" dataDxfId="2938"/>
    <tableColumn id="7" xr3:uid="{00000000-0010-0000-6F00-000007000000}" name="g" dataDxfId="2937"/>
    <tableColumn id="8" xr3:uid="{00000000-0010-0000-6F00-000008000000}" name="p_att" dataDxfId="2936"/>
    <tableColumn id="9" xr3:uid="{00000000-0010-0000-6F00-000009000000}" name="cmp" dataDxfId="2935"/>
    <tableColumn id="10" xr3:uid="{00000000-0010-0000-6F00-00000A000000}" name="p_yd" dataDxfId="2934"/>
    <tableColumn id="11" xr3:uid="{00000000-0010-0000-6F00-00000B000000}" name="p_td" dataDxfId="2933"/>
    <tableColumn id="12" xr3:uid="{00000000-0010-0000-6F00-00000C000000}" name="int" dataDxfId="2932"/>
    <tableColumn id="13" xr3:uid="{00000000-0010-0000-6F00-00000D000000}" name="car" dataDxfId="2931"/>
    <tableColumn id="14" xr3:uid="{00000000-0010-0000-6F00-00000E000000}" name="r_yd" dataDxfId="2930"/>
    <tableColumn id="15" xr3:uid="{00000000-0010-0000-6F00-00000F000000}" name="r_td" dataDxfId="2929"/>
    <tableColumn id="16" xr3:uid="{00000000-0010-0000-6F00-000010000000}" name="tgt" dataDxfId="2928"/>
    <tableColumn id="17" xr3:uid="{00000000-0010-0000-6F00-000011000000}" name="rec" dataDxfId="2927"/>
    <tableColumn id="18" xr3:uid="{00000000-0010-0000-6F00-000012000000}" name="rec_yd" dataDxfId="2926"/>
    <tableColumn id="19" xr3:uid="{00000000-0010-0000-6F00-000013000000}" name="rec_td" dataDxfId="2925"/>
    <tableColumn id="20" xr3:uid="{00000000-0010-0000-6F00-000014000000}" name="fmb" dataDxfId="2924"/>
    <tableColumn id="21" xr3:uid="{00000000-0010-0000-6F00-000015000000}" name="tp_c" dataDxfId="2923"/>
    <tableColumn id="22" xr3:uid="{00000000-0010-0000-6F00-000016000000}" name="f_ppr" dataDxfId="2922"/>
    <tableColumn id="23" xr3:uid="{00000000-0010-0000-6F00-000017000000}" name="tgt_share" dataDxfId="2921"/>
    <tableColumn id="24" xr3:uid="{00000000-0010-0000-6F00-000018000000}" name="ypc" dataDxfId="2920"/>
    <tableColumn id="25" xr3:uid="{00000000-0010-0000-6F00-000019000000}" name="ypr" dataDxfId="2919"/>
    <tableColumn id="26" xr3:uid="{00000000-0010-0000-6F00-00001A000000}" name="cmp_pct" dataDxfId="2918"/>
    <tableColumn id="27" xr3:uid="{00000000-0010-0000-6F00-00001B000000}" name="td_rate" dataDxfId="2917"/>
    <tableColumn id="28" xr3:uid="{00000000-0010-0000-6F00-00001C000000}" name="f_custom" dataDxfId="2916"/>
  </tableColumns>
  <tableStyleInfo name="TableStyleMedium1" showFirstColumn="0" showLastColumn="0" showRowStripes="1" showColumnStripes="0"/>
</table>
</file>

<file path=xl/tables/table1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5" xr:uid="{00000000-000C-0000-FFFF-FFFF70000000}" name="LAC_Table1" displayName="LAC_Table1" ref="A1:X21" totalsRowShown="0" headerRowDxfId="2915" dataDxfId="2914">
  <autoFilter ref="A1:X21" xr:uid="{00000000-0009-0000-0100-000073000000}"/>
  <tableColumns count="24">
    <tableColumn id="1" xr3:uid="{00000000-0010-0000-7000-000001000000}" name="player_name" dataDxfId="2913"/>
    <tableColumn id="2" xr3:uid="{00000000-0010-0000-7000-000002000000}" name="recent_team" dataDxfId="2912"/>
    <tableColumn id="3" xr3:uid="{00000000-0010-0000-7000-000003000000}" name="pos" dataDxfId="2911"/>
    <tableColumn id="4" xr3:uid="{00000000-0010-0000-7000-000004000000}" name="g" dataDxfId="2910"/>
    <tableColumn id="5" xr3:uid="{00000000-0010-0000-7000-000005000000}" name="p_att" dataDxfId="2909"/>
    <tableColumn id="6" xr3:uid="{00000000-0010-0000-7000-000006000000}" name="cmp" dataDxfId="2908"/>
    <tableColumn id="7" xr3:uid="{00000000-0010-0000-7000-000007000000}" name="p_yd" dataDxfId="2907"/>
    <tableColumn id="8" xr3:uid="{00000000-0010-0000-7000-000008000000}" name="p_td" dataDxfId="2906"/>
    <tableColumn id="9" xr3:uid="{00000000-0010-0000-7000-000009000000}" name="int" dataDxfId="2905"/>
    <tableColumn id="10" xr3:uid="{00000000-0010-0000-7000-00000A000000}" name="car" dataDxfId="2904"/>
    <tableColumn id="11" xr3:uid="{00000000-0010-0000-7000-00000B000000}" name="r_yd" dataDxfId="2903"/>
    <tableColumn id="12" xr3:uid="{00000000-0010-0000-7000-00000C000000}" name="r_td" dataDxfId="2902"/>
    <tableColumn id="13" xr3:uid="{00000000-0010-0000-7000-00000D000000}" name="tgt" dataDxfId="2901"/>
    <tableColumn id="14" xr3:uid="{00000000-0010-0000-7000-00000E000000}" name="rec" dataDxfId="2900"/>
    <tableColumn id="15" xr3:uid="{00000000-0010-0000-7000-00000F000000}" name="rec_yd" dataDxfId="2899"/>
    <tableColumn id="16" xr3:uid="{00000000-0010-0000-7000-000010000000}" name="rec_td" dataDxfId="2898"/>
    <tableColumn id="17" xr3:uid="{00000000-0010-0000-7000-000011000000}" name="fmb" dataDxfId="2897"/>
    <tableColumn id="18" xr3:uid="{00000000-0010-0000-7000-000012000000}" name="tp_c" dataDxfId="2896"/>
    <tableColumn id="19" xr3:uid="{00000000-0010-0000-7000-000013000000}" name="f_ppr" dataDxfId="2895"/>
    <tableColumn id="20" xr3:uid="{00000000-0010-0000-7000-000014000000}" name="tgt_share" dataDxfId="2894"/>
    <tableColumn id="21" xr3:uid="{00000000-0010-0000-7000-000015000000}" name="ypc" dataDxfId="2893"/>
    <tableColumn id="22" xr3:uid="{00000000-0010-0000-7000-000016000000}" name="ypr" dataDxfId="2892"/>
    <tableColumn id="23" xr3:uid="{00000000-0010-0000-7000-000017000000}" name="cmp_pct" dataDxfId="2891"/>
    <tableColumn id="24" xr3:uid="{00000000-0010-0000-7000-000018000000}" name="td_rate" dataDxfId="2890"/>
  </tableColumns>
  <tableStyleInfo name="TableStyleMedium1" showFirstColumn="0" showLastColumn="0" showRowStripes="1" showColumnStripes="0"/>
</table>
</file>

<file path=xl/tables/table1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6" xr:uid="{00000000-000C-0000-FFFF-FFFF71000000}" name="LAC_Table2" displayName="LAC_Table2" ref="A30:L31" totalsRowShown="0" headerRowDxfId="2889" dataDxfId="2888">
  <autoFilter ref="A30:L31" xr:uid="{00000000-0009-0000-0100-000074000000}"/>
  <tableColumns count="12">
    <tableColumn id="1" xr3:uid="{00000000-0010-0000-7100-000001000000}" name="team" dataDxfId="2887"/>
    <tableColumn id="2" xr3:uid="{00000000-0010-0000-7100-000002000000}" name="off_yd" dataDxfId="2886"/>
    <tableColumn id="3" xr3:uid="{00000000-0010-0000-7100-000003000000}" name="p_yd" dataDxfId="2885"/>
    <tableColumn id="4" xr3:uid="{00000000-0010-0000-7100-000004000000}" name="car" dataDxfId="2884"/>
    <tableColumn id="5" xr3:uid="{00000000-0010-0000-7100-000005000000}" name="r_yd" dataDxfId="2883"/>
    <tableColumn id="6" xr3:uid="{00000000-0010-0000-7100-000006000000}" name="r_td" dataDxfId="2882"/>
    <tableColumn id="7" xr3:uid="{00000000-0010-0000-7100-000007000000}" name="p_ff" dataDxfId="2881"/>
    <tableColumn id="8" xr3:uid="{00000000-0010-0000-7100-000008000000}" name="p_att" dataDxfId="2880"/>
    <tableColumn id="9" xr3:uid="{00000000-0010-0000-7100-000009000000}" name="cmp_pct" dataDxfId="2879"/>
    <tableColumn id="10" xr3:uid="{00000000-0010-0000-7100-00000A000000}" name="p_td" dataDxfId="2878"/>
    <tableColumn id="11" xr3:uid="{00000000-0010-0000-7100-00000B000000}" name="int" dataDxfId="2877"/>
    <tableColumn id="12" xr3:uid="{00000000-0010-0000-7100-00000C000000}" name="fmb" dataDxfId="2876"/>
  </tableColumns>
  <tableStyleInfo name="TableStyleMedium1" showFirstColumn="0" showLastColumn="0" showRowStripes="1" showColumnStripes="0"/>
</table>
</file>

<file path=xl/tables/table1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7" xr:uid="{00000000-000C-0000-FFFF-FFFF72000000}" name="LAC_Table3" displayName="LAC_Table3" ref="A32:L33" totalsRowShown="0" headerRowDxfId="2875" dataDxfId="2874">
  <autoFilter ref="A32:L33" xr:uid="{00000000-0009-0000-0100-000075000000}"/>
  <tableColumns count="12">
    <tableColumn id="1" xr3:uid="{00000000-0010-0000-7200-000001000000}" name="team" dataDxfId="2873">
      <calculatedColumnFormula>A31</calculatedColumnFormula>
    </tableColumn>
    <tableColumn id="2" xr3:uid="{00000000-0010-0000-7200-000002000000}" name="off_yd" dataDxfId="2872">
      <calculatedColumnFormula>C33 + E33</calculatedColumnFormula>
    </tableColumn>
    <tableColumn id="3" xr3:uid="{00000000-0010-0000-7200-000003000000}" name="p_yd" dataDxfId="2871">
      <calculatedColumnFormula>SUM(INDIRECT(A33 &amp; "_Table4[[#All],[p_yd]]"))</calculatedColumnFormula>
    </tableColumn>
    <tableColumn id="4" xr3:uid="{00000000-0010-0000-7200-000004000000}" name="car" dataDxfId="2870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7200-000005000000}" name="r_yd" dataDxfId="2869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7200-000006000000}" name="r_td" dataDxfId="2868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7200-000007000000}" name="p_ff" dataDxfId="2867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7200-000008000000}" name="p_att" dataDxfId="2866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7200-000009000000}" name="cmp_pct" dataDxfId="2865">
      <calculatedColumnFormula>SUM(INDIRECT(A33 &amp; "_Table4[[#All],[cmp]]"))/H33</calculatedColumnFormula>
    </tableColumn>
    <tableColumn id="10" xr3:uid="{00000000-0010-0000-7200-00000A000000}" name="p_td" dataDxfId="2864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7200-00000B000000}" name="int" dataDxfId="2863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7200-00000C000000}" name="fmb" dataDxfId="2862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</tableColumns>
  <tableStyleInfo name="TableStyleMedium1" showFirstColumn="0" showLastColumn="0" showRowStripes="1" showColumnStripes="0"/>
</table>
</file>

<file path=xl/tables/table1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8" xr:uid="{00000000-000C-0000-FFFF-FFFF73000000}" name="LAC_Table4" displayName="LAC_Table4" ref="A35:AB38" totalsRowShown="0" headerRowDxfId="2861" dataDxfId="2860">
  <autoFilter ref="A35:AB38" xr:uid="{00000000-0009-0000-0100-000076000000}"/>
  <tableColumns count="28">
    <tableColumn id="1" xr3:uid="{00000000-0010-0000-7300-000001000000}" name="Name" dataDxfId="2859"/>
    <tableColumn id="2" xr3:uid="{00000000-0010-0000-7300-000002000000}" name="POS" dataDxfId="2858"/>
    <tableColumn id="3" xr3:uid="{00000000-0010-0000-7300-000003000000}" name="Age" dataDxfId="2857"/>
    <tableColumn id="4" xr3:uid="{00000000-0010-0000-7300-000004000000}" name="Exp" dataDxfId="2856"/>
    <tableColumn id="5" xr3:uid="{00000000-0010-0000-7300-000005000000}" name="College" dataDxfId="2855"/>
    <tableColumn id="6" xr3:uid="{00000000-0010-0000-7300-000006000000}" name="team" dataDxfId="2854"/>
    <tableColumn id="7" xr3:uid="{00000000-0010-0000-7300-000007000000}" name="g" dataDxfId="2853"/>
    <tableColumn id="8" xr3:uid="{00000000-0010-0000-7300-000008000000}" name="p_att" dataDxfId="2852"/>
    <tableColumn id="9" xr3:uid="{00000000-0010-0000-7300-000009000000}" name="cmp" dataDxfId="2851"/>
    <tableColumn id="10" xr3:uid="{00000000-0010-0000-7300-00000A000000}" name="p_yd" dataDxfId="2850"/>
    <tableColumn id="11" xr3:uid="{00000000-0010-0000-7300-00000B000000}" name="p_td" dataDxfId="2849"/>
    <tableColumn id="12" xr3:uid="{00000000-0010-0000-7300-00000C000000}" name="int" dataDxfId="2848"/>
    <tableColumn id="13" xr3:uid="{00000000-0010-0000-7300-00000D000000}" name="car" dataDxfId="2847"/>
    <tableColumn id="14" xr3:uid="{00000000-0010-0000-7300-00000E000000}" name="r_yd" dataDxfId="2846"/>
    <tableColumn id="15" xr3:uid="{00000000-0010-0000-7300-00000F000000}" name="r_td" dataDxfId="2845"/>
    <tableColumn id="16" xr3:uid="{00000000-0010-0000-7300-000010000000}" name="tgt" dataDxfId="2844"/>
    <tableColumn id="17" xr3:uid="{00000000-0010-0000-7300-000011000000}" name="rec" dataDxfId="2843"/>
    <tableColumn id="18" xr3:uid="{00000000-0010-0000-7300-000012000000}" name="rec_yd" dataDxfId="2842"/>
    <tableColumn id="19" xr3:uid="{00000000-0010-0000-7300-000013000000}" name="rec_td" dataDxfId="2841"/>
    <tableColumn id="20" xr3:uid="{00000000-0010-0000-7300-000014000000}" name="fmb" dataDxfId="2840"/>
    <tableColumn id="21" xr3:uid="{00000000-0010-0000-7300-000015000000}" name="tp_c" dataDxfId="2839"/>
    <tableColumn id="22" xr3:uid="{00000000-0010-0000-7300-000016000000}" name="f_ppr" dataDxfId="2838"/>
    <tableColumn id="23" xr3:uid="{00000000-0010-0000-7300-000017000000}" name="tgt_share" dataDxfId="2837"/>
    <tableColumn id="24" xr3:uid="{00000000-0010-0000-7300-000018000000}" name="ypc" dataDxfId="2836"/>
    <tableColumn id="25" xr3:uid="{00000000-0010-0000-7300-000019000000}" name="ypr" dataDxfId="2835"/>
    <tableColumn id="26" xr3:uid="{00000000-0010-0000-7300-00001A000000}" name="cmp_pct" dataDxfId="2834"/>
    <tableColumn id="27" xr3:uid="{00000000-0010-0000-7300-00001B000000}" name="td_rate" dataDxfId="2833"/>
    <tableColumn id="28" xr3:uid="{00000000-0010-0000-7300-00001C000000}" name="f_custom" dataDxfId="2832"/>
  </tableColumns>
  <tableStyleInfo name="TableStyleMedium1" showFirstColumn="0" showLastColumn="0" showRowStripes="1" showColumnStripes="0"/>
</table>
</file>

<file path=xl/tables/table1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9" xr:uid="{00000000-000C-0000-FFFF-FFFF74000000}" name="LAC_Table5" displayName="LAC_Table5" ref="A45:AB51" totalsRowShown="0" headerRowDxfId="2831" dataDxfId="2830">
  <autoFilter ref="A45:AB51" xr:uid="{00000000-0009-0000-0100-000077000000}"/>
  <tableColumns count="28">
    <tableColumn id="1" xr3:uid="{00000000-0010-0000-7400-000001000000}" name="Name" dataDxfId="2829"/>
    <tableColumn id="2" xr3:uid="{00000000-0010-0000-7400-000002000000}" name="POS" dataDxfId="2828"/>
    <tableColumn id="3" xr3:uid="{00000000-0010-0000-7400-000003000000}" name="Age" dataDxfId="2827"/>
    <tableColumn id="4" xr3:uid="{00000000-0010-0000-7400-000004000000}" name="Exp" dataDxfId="2826"/>
    <tableColumn id="5" xr3:uid="{00000000-0010-0000-7400-000005000000}" name="College" dataDxfId="2825"/>
    <tableColumn id="6" xr3:uid="{00000000-0010-0000-7400-000006000000}" name="team" dataDxfId="2824"/>
    <tableColumn id="7" xr3:uid="{00000000-0010-0000-7400-000007000000}" name="g" dataDxfId="2823"/>
    <tableColumn id="8" xr3:uid="{00000000-0010-0000-7400-000008000000}" name="p_att" dataDxfId="2822"/>
    <tableColumn id="9" xr3:uid="{00000000-0010-0000-7400-000009000000}" name="cmp" dataDxfId="2821"/>
    <tableColumn id="10" xr3:uid="{00000000-0010-0000-7400-00000A000000}" name="p_yd" dataDxfId="2820"/>
    <tableColumn id="11" xr3:uid="{00000000-0010-0000-7400-00000B000000}" name="p_td" dataDxfId="2819"/>
    <tableColumn id="12" xr3:uid="{00000000-0010-0000-7400-00000C000000}" name="int" dataDxfId="2818"/>
    <tableColumn id="13" xr3:uid="{00000000-0010-0000-7400-00000D000000}" name="car" dataDxfId="2817"/>
    <tableColumn id="14" xr3:uid="{00000000-0010-0000-7400-00000E000000}" name="r_yd" dataDxfId="2816"/>
    <tableColumn id="15" xr3:uid="{00000000-0010-0000-7400-00000F000000}" name="r_td" dataDxfId="2815"/>
    <tableColumn id="16" xr3:uid="{00000000-0010-0000-7400-000010000000}" name="tgt" dataDxfId="2814"/>
    <tableColumn id="17" xr3:uid="{00000000-0010-0000-7400-000011000000}" name="rec" dataDxfId="2813"/>
    <tableColumn id="18" xr3:uid="{00000000-0010-0000-7400-000012000000}" name="rec_yd" dataDxfId="2812"/>
    <tableColumn id="19" xr3:uid="{00000000-0010-0000-7400-000013000000}" name="rec_td" dataDxfId="2811"/>
    <tableColumn id="20" xr3:uid="{00000000-0010-0000-7400-000014000000}" name="fmb" dataDxfId="2810"/>
    <tableColumn id="21" xr3:uid="{00000000-0010-0000-7400-000015000000}" name="tp_c" dataDxfId="2809"/>
    <tableColumn id="22" xr3:uid="{00000000-0010-0000-7400-000016000000}" name="f_ppr" dataDxfId="2808"/>
    <tableColumn id="23" xr3:uid="{00000000-0010-0000-7400-000017000000}" name="tgt_share" dataDxfId="2807"/>
    <tableColumn id="24" xr3:uid="{00000000-0010-0000-7400-000018000000}" name="ypc" dataDxfId="2806"/>
    <tableColumn id="25" xr3:uid="{00000000-0010-0000-7400-000019000000}" name="ypr" dataDxfId="2805"/>
    <tableColumn id="26" xr3:uid="{00000000-0010-0000-7400-00001A000000}" name="cmp_pct" dataDxfId="2804"/>
    <tableColumn id="27" xr3:uid="{00000000-0010-0000-7400-00001B000000}" name="td_rate" dataDxfId="2803"/>
    <tableColumn id="28" xr3:uid="{00000000-0010-0000-7400-00001C000000}" name="f_custom" dataDxfId="2802">
      <calculatedColumnFormula>($J46*Cp_yd)+($K46*Cp_td)+($L46*Cint)+($M46*Ccar)+($N46*Cr_td)+($O46*Cr_yd)+(Q46*Crec)+($R46*Crec_yd)+($S46*Crec_td)+($T46*Cfmb)+($U46*Ctp_c)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0" xr:uid="{00000000-000C-0000-FFFF-FFFF75000000}" name="LAC_Table6" displayName="LAC_Table6" ref="A60:AB72" totalsRowShown="0" headerRowDxfId="2801" dataDxfId="2800">
  <autoFilter ref="A60:AB72" xr:uid="{00000000-0009-0000-0100-000078000000}"/>
  <tableColumns count="28">
    <tableColumn id="1" xr3:uid="{00000000-0010-0000-7500-000001000000}" name="Name" dataDxfId="2799"/>
    <tableColumn id="2" xr3:uid="{00000000-0010-0000-7500-000002000000}" name="POS" dataDxfId="2798"/>
    <tableColumn id="3" xr3:uid="{00000000-0010-0000-7500-000003000000}" name="Age" dataDxfId="2797"/>
    <tableColumn id="4" xr3:uid="{00000000-0010-0000-7500-000004000000}" name="Exp" dataDxfId="2796"/>
    <tableColumn id="5" xr3:uid="{00000000-0010-0000-7500-000005000000}" name="College" dataDxfId="2795"/>
    <tableColumn id="6" xr3:uid="{00000000-0010-0000-7500-000006000000}" name="team" dataDxfId="2794"/>
    <tableColumn id="7" xr3:uid="{00000000-0010-0000-7500-000007000000}" name="g" dataDxfId="2793"/>
    <tableColumn id="8" xr3:uid="{00000000-0010-0000-7500-000008000000}" name="p_att" dataDxfId="2792"/>
    <tableColumn id="9" xr3:uid="{00000000-0010-0000-7500-000009000000}" name="cmp" dataDxfId="2791"/>
    <tableColumn id="10" xr3:uid="{00000000-0010-0000-7500-00000A000000}" name="p_yd" dataDxfId="2790"/>
    <tableColumn id="11" xr3:uid="{00000000-0010-0000-7500-00000B000000}" name="p_td" dataDxfId="2789"/>
    <tableColumn id="12" xr3:uid="{00000000-0010-0000-7500-00000C000000}" name="int" dataDxfId="2788"/>
    <tableColumn id="13" xr3:uid="{00000000-0010-0000-7500-00000D000000}" name="car" dataDxfId="2787"/>
    <tableColumn id="14" xr3:uid="{00000000-0010-0000-7500-00000E000000}" name="r_yd" dataDxfId="2786"/>
    <tableColumn id="15" xr3:uid="{00000000-0010-0000-7500-00000F000000}" name="r_td" dataDxfId="2785"/>
    <tableColumn id="16" xr3:uid="{00000000-0010-0000-7500-000010000000}" name="tgt" dataDxfId="2784"/>
    <tableColumn id="17" xr3:uid="{00000000-0010-0000-7500-000011000000}" name="rec" dataDxfId="2783"/>
    <tableColumn id="18" xr3:uid="{00000000-0010-0000-7500-000012000000}" name="rec_yd" dataDxfId="2782"/>
    <tableColumn id="19" xr3:uid="{00000000-0010-0000-7500-000013000000}" name="rec_td" dataDxfId="2781"/>
    <tableColumn id="20" xr3:uid="{00000000-0010-0000-7500-000014000000}" name="fmb" dataDxfId="2780"/>
    <tableColumn id="21" xr3:uid="{00000000-0010-0000-7500-000015000000}" name="tp_c" dataDxfId="2779"/>
    <tableColumn id="22" xr3:uid="{00000000-0010-0000-7500-000016000000}" name="f_ppr" dataDxfId="2778"/>
    <tableColumn id="23" xr3:uid="{00000000-0010-0000-7500-000017000000}" name="tgt_share" dataDxfId="2777"/>
    <tableColumn id="24" xr3:uid="{00000000-0010-0000-7500-000018000000}" name="ypc" dataDxfId="2776"/>
    <tableColumn id="25" xr3:uid="{00000000-0010-0000-7500-000019000000}" name="ypr" dataDxfId="2775"/>
    <tableColumn id="26" xr3:uid="{00000000-0010-0000-7500-00001A000000}" name="cmp_pct" dataDxfId="2774"/>
    <tableColumn id="27" xr3:uid="{00000000-0010-0000-7500-00001B000000}" name="td_rate" dataDxfId="2773"/>
    <tableColumn id="28" xr3:uid="{00000000-0010-0000-7500-00001C000000}" name="f_custom" dataDxfId="2772"/>
  </tableColumns>
  <tableStyleInfo name="TableStyleMedium1" showFirstColumn="0" showLastColumn="0" showRowStripes="1" showColumnStripes="0"/>
</table>
</file>

<file path=xl/tables/table1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1" xr:uid="{00000000-000C-0000-FFFF-FFFF76000000}" name="LAC_Table7" displayName="LAC_Table7" ref="A75:AB81" totalsRowShown="0" headerRowDxfId="2771" dataDxfId="2770">
  <autoFilter ref="A75:AB81" xr:uid="{00000000-0009-0000-0100-000079000000}"/>
  <tableColumns count="28">
    <tableColumn id="1" xr3:uid="{00000000-0010-0000-7600-000001000000}" name="Name" dataDxfId="2769"/>
    <tableColumn id="2" xr3:uid="{00000000-0010-0000-7600-000002000000}" name="POS" dataDxfId="2768"/>
    <tableColumn id="3" xr3:uid="{00000000-0010-0000-7600-000003000000}" name="Age" dataDxfId="2767"/>
    <tableColumn id="4" xr3:uid="{00000000-0010-0000-7600-000004000000}" name="Exp" dataDxfId="2766"/>
    <tableColumn id="5" xr3:uid="{00000000-0010-0000-7600-000005000000}" name="College" dataDxfId="2765"/>
    <tableColumn id="6" xr3:uid="{00000000-0010-0000-7600-000006000000}" name="team" dataDxfId="2764"/>
    <tableColumn id="7" xr3:uid="{00000000-0010-0000-7600-000007000000}" name="g" dataDxfId="2763"/>
    <tableColumn id="8" xr3:uid="{00000000-0010-0000-7600-000008000000}" name="p_att" dataDxfId="2762"/>
    <tableColumn id="9" xr3:uid="{00000000-0010-0000-7600-000009000000}" name="cmp" dataDxfId="2761"/>
    <tableColumn id="10" xr3:uid="{00000000-0010-0000-7600-00000A000000}" name="p_yd" dataDxfId="2760"/>
    <tableColumn id="11" xr3:uid="{00000000-0010-0000-7600-00000B000000}" name="p_td" dataDxfId="2759"/>
    <tableColumn id="12" xr3:uid="{00000000-0010-0000-7600-00000C000000}" name="int" dataDxfId="2758"/>
    <tableColumn id="13" xr3:uid="{00000000-0010-0000-7600-00000D000000}" name="car" dataDxfId="2757"/>
    <tableColumn id="14" xr3:uid="{00000000-0010-0000-7600-00000E000000}" name="r_yd" dataDxfId="2756"/>
    <tableColumn id="15" xr3:uid="{00000000-0010-0000-7600-00000F000000}" name="r_td" dataDxfId="2755"/>
    <tableColumn id="16" xr3:uid="{00000000-0010-0000-7600-000010000000}" name="tgt" dataDxfId="2754"/>
    <tableColumn id="17" xr3:uid="{00000000-0010-0000-7600-000011000000}" name="rec" dataDxfId="2753"/>
    <tableColumn id="18" xr3:uid="{00000000-0010-0000-7600-000012000000}" name="rec_yd" dataDxfId="2752"/>
    <tableColumn id="19" xr3:uid="{00000000-0010-0000-7600-000013000000}" name="rec_td" dataDxfId="2751"/>
    <tableColumn id="20" xr3:uid="{00000000-0010-0000-7600-000014000000}" name="fmb" dataDxfId="2750"/>
    <tableColumn id="21" xr3:uid="{00000000-0010-0000-7600-000015000000}" name="tp_c" dataDxfId="2749"/>
    <tableColumn id="22" xr3:uid="{00000000-0010-0000-7600-000016000000}" name="f_ppr" dataDxfId="2748"/>
    <tableColumn id="23" xr3:uid="{00000000-0010-0000-7600-000017000000}" name="tgt_share" dataDxfId="2747"/>
    <tableColumn id="24" xr3:uid="{00000000-0010-0000-7600-000018000000}" name="ypc" dataDxfId="2746"/>
    <tableColumn id="25" xr3:uid="{00000000-0010-0000-7600-000019000000}" name="ypr" dataDxfId="2745"/>
    <tableColumn id="26" xr3:uid="{00000000-0010-0000-7600-00001A000000}" name="cmp_pct" dataDxfId="2744"/>
    <tableColumn id="27" xr3:uid="{00000000-0010-0000-7600-00001B000000}" name="td_rate" dataDxfId="2743"/>
    <tableColumn id="28" xr3:uid="{00000000-0010-0000-7600-00001C000000}" name="f_custom" dataDxfId="2742"/>
  </tableColumns>
  <tableStyleInfo name="TableStyleMedium1" showFirstColumn="0" showLastColumn="0" showRowStripes="1" showColumnStripes="0"/>
</table>
</file>

<file path=xl/tables/table1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2" xr:uid="{00000000-000C-0000-FFFF-FFFF77000000}" name="LAR_Table1" displayName="LAR_Table1" ref="A1:X22" totalsRowShown="0" headerRowDxfId="2741" dataDxfId="2740">
  <autoFilter ref="A1:X22" xr:uid="{00000000-0009-0000-0100-00007A000000}"/>
  <tableColumns count="24">
    <tableColumn id="1" xr3:uid="{00000000-0010-0000-7700-000001000000}" name="player_name" dataDxfId="2739"/>
    <tableColumn id="2" xr3:uid="{00000000-0010-0000-7700-000002000000}" name="recent_team" dataDxfId="2738"/>
    <tableColumn id="3" xr3:uid="{00000000-0010-0000-7700-000003000000}" name="pos" dataDxfId="2737"/>
    <tableColumn id="4" xr3:uid="{00000000-0010-0000-7700-000004000000}" name="g" dataDxfId="2736"/>
    <tableColumn id="5" xr3:uid="{00000000-0010-0000-7700-000005000000}" name="p_att" dataDxfId="2735"/>
    <tableColumn id="6" xr3:uid="{00000000-0010-0000-7700-000006000000}" name="cmp" dataDxfId="2734"/>
    <tableColumn id="7" xr3:uid="{00000000-0010-0000-7700-000007000000}" name="p_yd" dataDxfId="2733"/>
    <tableColumn id="8" xr3:uid="{00000000-0010-0000-7700-000008000000}" name="p_td" dataDxfId="2732"/>
    <tableColumn id="9" xr3:uid="{00000000-0010-0000-7700-000009000000}" name="int" dataDxfId="2731"/>
    <tableColumn id="10" xr3:uid="{00000000-0010-0000-7700-00000A000000}" name="car" dataDxfId="2730"/>
    <tableColumn id="11" xr3:uid="{00000000-0010-0000-7700-00000B000000}" name="r_yd" dataDxfId="2729"/>
    <tableColumn id="12" xr3:uid="{00000000-0010-0000-7700-00000C000000}" name="r_td" dataDxfId="2728"/>
    <tableColumn id="13" xr3:uid="{00000000-0010-0000-7700-00000D000000}" name="tgt" dataDxfId="2727"/>
    <tableColumn id="14" xr3:uid="{00000000-0010-0000-7700-00000E000000}" name="rec" dataDxfId="2726"/>
    <tableColumn id="15" xr3:uid="{00000000-0010-0000-7700-00000F000000}" name="rec_yd" dataDxfId="2725"/>
    <tableColumn id="16" xr3:uid="{00000000-0010-0000-7700-000010000000}" name="rec_td" dataDxfId="2724"/>
    <tableColumn id="17" xr3:uid="{00000000-0010-0000-7700-000011000000}" name="fmb" dataDxfId="2723"/>
    <tableColumn id="18" xr3:uid="{00000000-0010-0000-7700-000012000000}" name="tp_c" dataDxfId="2722"/>
    <tableColumn id="19" xr3:uid="{00000000-0010-0000-7700-000013000000}" name="f_ppr" dataDxfId="2721"/>
    <tableColumn id="20" xr3:uid="{00000000-0010-0000-7700-000014000000}" name="tgt_share" dataDxfId="2720"/>
    <tableColumn id="21" xr3:uid="{00000000-0010-0000-7700-000015000000}" name="ypc" dataDxfId="2719"/>
    <tableColumn id="22" xr3:uid="{00000000-0010-0000-7700-000016000000}" name="ypr" dataDxfId="2718"/>
    <tableColumn id="23" xr3:uid="{00000000-0010-0000-7700-000017000000}" name="cmp_pct" dataDxfId="2717"/>
    <tableColumn id="24" xr3:uid="{00000000-0010-0000-7700-000018000000}" name="td_rate" dataDxfId="2716"/>
  </tableColumns>
  <tableStyleInfo name="TableStyleMedium1" showFirstColumn="0" showLastColumn="0" showRowStripes="1" showColumnStripes="0"/>
</table>
</file>

<file path=xl/tables/table1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3" xr:uid="{00000000-000C-0000-FFFF-FFFF78000000}" name="LAR_Table2" displayName="LAR_Table2" ref="A30:L31" totalsRowShown="0" headerRowDxfId="2715" dataDxfId="2714">
  <autoFilter ref="A30:L31" xr:uid="{00000000-0009-0000-0100-00007B000000}"/>
  <tableColumns count="12">
    <tableColumn id="1" xr3:uid="{00000000-0010-0000-7800-000001000000}" name="team" dataDxfId="2713"/>
    <tableColumn id="2" xr3:uid="{00000000-0010-0000-7800-000002000000}" name="off_yd" dataDxfId="2712"/>
    <tableColumn id="3" xr3:uid="{00000000-0010-0000-7800-000003000000}" name="p_yd" dataDxfId="2711"/>
    <tableColumn id="4" xr3:uid="{00000000-0010-0000-7800-000004000000}" name="car" dataDxfId="2710"/>
    <tableColumn id="5" xr3:uid="{00000000-0010-0000-7800-000005000000}" name="r_yd" dataDxfId="2709"/>
    <tableColumn id="6" xr3:uid="{00000000-0010-0000-7800-000006000000}" name="r_td" dataDxfId="2708"/>
    <tableColumn id="7" xr3:uid="{00000000-0010-0000-7800-000007000000}" name="p_ff" dataDxfId="2707"/>
    <tableColumn id="8" xr3:uid="{00000000-0010-0000-7800-000008000000}" name="p_att" dataDxfId="2706"/>
    <tableColumn id="9" xr3:uid="{00000000-0010-0000-7800-000009000000}" name="cmp_pct" dataDxfId="2705"/>
    <tableColumn id="10" xr3:uid="{00000000-0010-0000-7800-00000A000000}" name="p_td" dataDxfId="2704"/>
    <tableColumn id="11" xr3:uid="{00000000-0010-0000-7800-00000B000000}" name="int" dataDxfId="2703"/>
    <tableColumn id="12" xr3:uid="{00000000-0010-0000-7800-00000C000000}" name="fmb" dataDxfId="2702"/>
  </tableColumns>
  <tableStyleInfo name="TableStyleMedium1" showFirstColumn="0" showLastColumn="0" showRowStripes="1" showColumnStripes="0"/>
</table>
</file>

<file path=xl/tables/table1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4" xr:uid="{00000000-000C-0000-FFFF-FFFF79000000}" name="LAR_Table3" displayName="LAR_Table3" ref="A32:L33" totalsRowShown="0" headerRowDxfId="2701" dataDxfId="2700">
  <autoFilter ref="A32:L33" xr:uid="{00000000-0009-0000-0100-00007C000000}"/>
  <tableColumns count="12">
    <tableColumn id="1" xr3:uid="{00000000-0010-0000-7900-000001000000}" name="team" dataDxfId="2699">
      <calculatedColumnFormula>A31</calculatedColumnFormula>
    </tableColumn>
    <tableColumn id="2" xr3:uid="{00000000-0010-0000-7900-000002000000}" name="off_yd" dataDxfId="2698">
      <calculatedColumnFormula>C33 + E33</calculatedColumnFormula>
    </tableColumn>
    <tableColumn id="3" xr3:uid="{00000000-0010-0000-7900-000003000000}" name="p_yd" dataDxfId="2697">
      <calculatedColumnFormula>SUM(INDIRECT(A33 &amp; "_Table4[[#All],[p_yd]]"))</calculatedColumnFormula>
    </tableColumn>
    <tableColumn id="4" xr3:uid="{00000000-0010-0000-7900-000004000000}" name="car" dataDxfId="2696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7900-000005000000}" name="r_yd" dataDxfId="2695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7900-000006000000}" name="r_td" dataDxfId="2694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7900-000007000000}" name="p_ff" dataDxfId="2693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7900-000008000000}" name="p_att" dataDxfId="2692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7900-000009000000}" name="cmp_pct" dataDxfId="2691">
      <calculatedColumnFormula>SUM(INDIRECT(A33 &amp; "_Table4[[#All],[cmp]]"))/H33</calculatedColumnFormula>
    </tableColumn>
    <tableColumn id="10" xr3:uid="{00000000-0010-0000-7900-00000A000000}" name="p_td" dataDxfId="2690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7900-00000B000000}" name="int" dataDxfId="2689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7900-00000C000000}" name="fmb" dataDxfId="2688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</tableColumns>
  <tableStyleInfo name="TableStyleMedium1" showFirstColumn="0" showLastColumn="0" showRowStripes="1" showColumnStripes="0"/>
</table>
</file>

<file path=xl/tables/table1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5" xr:uid="{00000000-000C-0000-FFFF-FFFF7A000000}" name="LAR_Table4" displayName="LAR_Table4" ref="A35:AB39" totalsRowShown="0" headerRowDxfId="2687" dataDxfId="2686">
  <autoFilter ref="A35:AB39" xr:uid="{00000000-0009-0000-0100-00007D000000}"/>
  <tableColumns count="28">
    <tableColumn id="1" xr3:uid="{00000000-0010-0000-7A00-000001000000}" name="Name" dataDxfId="2685"/>
    <tableColumn id="2" xr3:uid="{00000000-0010-0000-7A00-000002000000}" name="POS" dataDxfId="2684"/>
    <tableColumn id="3" xr3:uid="{00000000-0010-0000-7A00-000003000000}" name="Age" dataDxfId="2683"/>
    <tableColumn id="4" xr3:uid="{00000000-0010-0000-7A00-000004000000}" name="Exp" dataDxfId="2682"/>
    <tableColumn id="5" xr3:uid="{00000000-0010-0000-7A00-000005000000}" name="College" dataDxfId="2681"/>
    <tableColumn id="6" xr3:uid="{00000000-0010-0000-7A00-000006000000}" name="team" dataDxfId="2680"/>
    <tableColumn id="7" xr3:uid="{00000000-0010-0000-7A00-000007000000}" name="g" dataDxfId="2679"/>
    <tableColumn id="8" xr3:uid="{00000000-0010-0000-7A00-000008000000}" name="p_att" dataDxfId="2678"/>
    <tableColumn id="9" xr3:uid="{00000000-0010-0000-7A00-000009000000}" name="cmp" dataDxfId="2677"/>
    <tableColumn id="10" xr3:uid="{00000000-0010-0000-7A00-00000A000000}" name="p_yd" dataDxfId="2676"/>
    <tableColumn id="11" xr3:uid="{00000000-0010-0000-7A00-00000B000000}" name="p_td" dataDxfId="2675"/>
    <tableColumn id="12" xr3:uid="{00000000-0010-0000-7A00-00000C000000}" name="int" dataDxfId="2674"/>
    <tableColumn id="13" xr3:uid="{00000000-0010-0000-7A00-00000D000000}" name="car" dataDxfId="2673"/>
    <tableColumn id="14" xr3:uid="{00000000-0010-0000-7A00-00000E000000}" name="r_yd" dataDxfId="2672"/>
    <tableColumn id="15" xr3:uid="{00000000-0010-0000-7A00-00000F000000}" name="r_td" dataDxfId="2671"/>
    <tableColumn id="16" xr3:uid="{00000000-0010-0000-7A00-000010000000}" name="tgt" dataDxfId="2670"/>
    <tableColumn id="17" xr3:uid="{00000000-0010-0000-7A00-000011000000}" name="rec" dataDxfId="2669"/>
    <tableColumn id="18" xr3:uid="{00000000-0010-0000-7A00-000012000000}" name="rec_yd" dataDxfId="2668"/>
    <tableColumn id="19" xr3:uid="{00000000-0010-0000-7A00-000013000000}" name="rec_td" dataDxfId="2667"/>
    <tableColumn id="20" xr3:uid="{00000000-0010-0000-7A00-000014000000}" name="fmb" dataDxfId="2666"/>
    <tableColumn id="21" xr3:uid="{00000000-0010-0000-7A00-000015000000}" name="tp_c" dataDxfId="2665"/>
    <tableColumn id="22" xr3:uid="{00000000-0010-0000-7A00-000016000000}" name="f_ppr" dataDxfId="2664"/>
    <tableColumn id="23" xr3:uid="{00000000-0010-0000-7A00-000017000000}" name="tgt_share" dataDxfId="2663"/>
    <tableColumn id="24" xr3:uid="{00000000-0010-0000-7A00-000018000000}" name="ypc" dataDxfId="2662"/>
    <tableColumn id="25" xr3:uid="{00000000-0010-0000-7A00-000019000000}" name="ypr" dataDxfId="2661"/>
    <tableColumn id="26" xr3:uid="{00000000-0010-0000-7A00-00001A000000}" name="cmp_pct" dataDxfId="2660"/>
    <tableColumn id="27" xr3:uid="{00000000-0010-0000-7A00-00001B000000}" name="td_rate" dataDxfId="2659"/>
    <tableColumn id="28" xr3:uid="{00000000-0010-0000-7A00-00001C000000}" name="f_custom" dataDxfId="2658"/>
  </tableColumns>
  <tableStyleInfo name="TableStyleMedium1" showFirstColumn="0" showLastColumn="0" showRowStripes="1" showColumnStripes="0"/>
</table>
</file>

<file path=xl/tables/table1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6" xr:uid="{00000000-000C-0000-FFFF-FFFF7B000000}" name="LAR_Table5" displayName="LAR_Table5" ref="A45:AB50" totalsRowShown="0" headerRowDxfId="2657" dataDxfId="2656">
  <autoFilter ref="A45:AB50" xr:uid="{00000000-0009-0000-0100-00007E000000}"/>
  <tableColumns count="28">
    <tableColumn id="1" xr3:uid="{00000000-0010-0000-7B00-000001000000}" name="Name" dataDxfId="2655"/>
    <tableColumn id="2" xr3:uid="{00000000-0010-0000-7B00-000002000000}" name="POS" dataDxfId="2654"/>
    <tableColumn id="3" xr3:uid="{00000000-0010-0000-7B00-000003000000}" name="Age" dataDxfId="2653"/>
    <tableColumn id="4" xr3:uid="{00000000-0010-0000-7B00-000004000000}" name="Exp" dataDxfId="2652"/>
    <tableColumn id="5" xr3:uid="{00000000-0010-0000-7B00-000005000000}" name="College" dataDxfId="2651"/>
    <tableColumn id="6" xr3:uid="{00000000-0010-0000-7B00-000006000000}" name="team" dataDxfId="2650"/>
    <tableColumn id="7" xr3:uid="{00000000-0010-0000-7B00-000007000000}" name="g" dataDxfId="2649"/>
    <tableColumn id="8" xr3:uid="{00000000-0010-0000-7B00-000008000000}" name="p_att" dataDxfId="2648"/>
    <tableColumn id="9" xr3:uid="{00000000-0010-0000-7B00-000009000000}" name="cmp" dataDxfId="2647"/>
    <tableColumn id="10" xr3:uid="{00000000-0010-0000-7B00-00000A000000}" name="p_yd" dataDxfId="2646"/>
    <tableColumn id="11" xr3:uid="{00000000-0010-0000-7B00-00000B000000}" name="p_td" dataDxfId="2645"/>
    <tableColumn id="12" xr3:uid="{00000000-0010-0000-7B00-00000C000000}" name="int" dataDxfId="2644"/>
    <tableColumn id="13" xr3:uid="{00000000-0010-0000-7B00-00000D000000}" name="car" dataDxfId="2643"/>
    <tableColumn id="14" xr3:uid="{00000000-0010-0000-7B00-00000E000000}" name="r_yd" dataDxfId="2642"/>
    <tableColumn id="15" xr3:uid="{00000000-0010-0000-7B00-00000F000000}" name="r_td" dataDxfId="2641"/>
    <tableColumn id="16" xr3:uid="{00000000-0010-0000-7B00-000010000000}" name="tgt" dataDxfId="2640"/>
    <tableColumn id="17" xr3:uid="{00000000-0010-0000-7B00-000011000000}" name="rec" dataDxfId="2639"/>
    <tableColumn id="18" xr3:uid="{00000000-0010-0000-7B00-000012000000}" name="rec_yd" dataDxfId="2638"/>
    <tableColumn id="19" xr3:uid="{00000000-0010-0000-7B00-000013000000}" name="rec_td" dataDxfId="2637"/>
    <tableColumn id="20" xr3:uid="{00000000-0010-0000-7B00-000014000000}" name="fmb" dataDxfId="2636"/>
    <tableColumn id="21" xr3:uid="{00000000-0010-0000-7B00-000015000000}" name="tp_c" dataDxfId="2635"/>
    <tableColumn id="22" xr3:uid="{00000000-0010-0000-7B00-000016000000}" name="f_ppr" dataDxfId="2634"/>
    <tableColumn id="23" xr3:uid="{00000000-0010-0000-7B00-000017000000}" name="tgt_share" dataDxfId="2633"/>
    <tableColumn id="24" xr3:uid="{00000000-0010-0000-7B00-000018000000}" name="ypc" dataDxfId="2632"/>
    <tableColumn id="25" xr3:uid="{00000000-0010-0000-7B00-000019000000}" name="ypr" dataDxfId="2631"/>
    <tableColumn id="26" xr3:uid="{00000000-0010-0000-7B00-00001A000000}" name="cmp_pct" dataDxfId="2630"/>
    <tableColumn id="27" xr3:uid="{00000000-0010-0000-7B00-00001B000000}" name="td_rate" dataDxfId="2629"/>
    <tableColumn id="28" xr3:uid="{00000000-0010-0000-7B00-00001C000000}" name="f_custom" dataDxfId="2628">
      <calculatedColumnFormula>($J46*Cp_yd)+($K46*Cp_td)+($L46*Cint)+($M46*Ccar)+($N46*Cr_td)+($O46*Cr_yd)+(Q46*Crec)+($R46*Crec_yd)+($S46*Crec_td)+($T46*Cfmb)+($U46*Ctp_c)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7" xr:uid="{00000000-000C-0000-FFFF-FFFF7C000000}" name="LAR_Table6" displayName="LAR_Table6" ref="A60:AB72" totalsRowShown="0" headerRowDxfId="2627" dataDxfId="2626">
  <autoFilter ref="A60:AB72" xr:uid="{00000000-0009-0000-0100-00007F000000}"/>
  <tableColumns count="28">
    <tableColumn id="1" xr3:uid="{00000000-0010-0000-7C00-000001000000}" name="Name" dataDxfId="2625"/>
    <tableColumn id="2" xr3:uid="{00000000-0010-0000-7C00-000002000000}" name="POS" dataDxfId="2624"/>
    <tableColumn id="3" xr3:uid="{00000000-0010-0000-7C00-000003000000}" name="Age" dataDxfId="2623"/>
    <tableColumn id="4" xr3:uid="{00000000-0010-0000-7C00-000004000000}" name="Exp" dataDxfId="2622"/>
    <tableColumn id="5" xr3:uid="{00000000-0010-0000-7C00-000005000000}" name="College" dataDxfId="2621"/>
    <tableColumn id="6" xr3:uid="{00000000-0010-0000-7C00-000006000000}" name="team" dataDxfId="2620"/>
    <tableColumn id="7" xr3:uid="{00000000-0010-0000-7C00-000007000000}" name="g" dataDxfId="2619"/>
    <tableColumn id="8" xr3:uid="{00000000-0010-0000-7C00-000008000000}" name="p_att" dataDxfId="2618"/>
    <tableColumn id="9" xr3:uid="{00000000-0010-0000-7C00-000009000000}" name="cmp" dataDxfId="2617"/>
    <tableColumn id="10" xr3:uid="{00000000-0010-0000-7C00-00000A000000}" name="p_yd" dataDxfId="2616"/>
    <tableColumn id="11" xr3:uid="{00000000-0010-0000-7C00-00000B000000}" name="p_td" dataDxfId="2615"/>
    <tableColumn id="12" xr3:uid="{00000000-0010-0000-7C00-00000C000000}" name="int" dataDxfId="2614"/>
    <tableColumn id="13" xr3:uid="{00000000-0010-0000-7C00-00000D000000}" name="car" dataDxfId="2613"/>
    <tableColumn id="14" xr3:uid="{00000000-0010-0000-7C00-00000E000000}" name="r_yd" dataDxfId="2612"/>
    <tableColumn id="15" xr3:uid="{00000000-0010-0000-7C00-00000F000000}" name="r_td" dataDxfId="2611"/>
    <tableColumn id="16" xr3:uid="{00000000-0010-0000-7C00-000010000000}" name="tgt" dataDxfId="2610"/>
    <tableColumn id="17" xr3:uid="{00000000-0010-0000-7C00-000011000000}" name="rec" dataDxfId="2609"/>
    <tableColumn id="18" xr3:uid="{00000000-0010-0000-7C00-000012000000}" name="rec_yd" dataDxfId="2608"/>
    <tableColumn id="19" xr3:uid="{00000000-0010-0000-7C00-000013000000}" name="rec_td" dataDxfId="2607"/>
    <tableColumn id="20" xr3:uid="{00000000-0010-0000-7C00-000014000000}" name="fmb" dataDxfId="2606"/>
    <tableColumn id="21" xr3:uid="{00000000-0010-0000-7C00-000015000000}" name="tp_c" dataDxfId="2605"/>
    <tableColumn id="22" xr3:uid="{00000000-0010-0000-7C00-000016000000}" name="f_ppr" dataDxfId="2604"/>
    <tableColumn id="23" xr3:uid="{00000000-0010-0000-7C00-000017000000}" name="tgt_share" dataDxfId="2603"/>
    <tableColumn id="24" xr3:uid="{00000000-0010-0000-7C00-000018000000}" name="ypc" dataDxfId="2602"/>
    <tableColumn id="25" xr3:uid="{00000000-0010-0000-7C00-000019000000}" name="ypr" dataDxfId="2601"/>
    <tableColumn id="26" xr3:uid="{00000000-0010-0000-7C00-00001A000000}" name="cmp_pct" dataDxfId="2600"/>
    <tableColumn id="27" xr3:uid="{00000000-0010-0000-7C00-00001B000000}" name="td_rate" dataDxfId="2599"/>
    <tableColumn id="28" xr3:uid="{00000000-0010-0000-7C00-00001C000000}" name="f_custom" dataDxfId="2598"/>
  </tableColumns>
  <tableStyleInfo name="TableStyleMedium1" showFirstColumn="0" showLastColumn="0" showRowStripes="1" showColumnStripes="0"/>
</table>
</file>

<file path=xl/tables/table1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8" xr:uid="{00000000-000C-0000-FFFF-FFFF7D000000}" name="LAR_Table7" displayName="LAR_Table7" ref="A75:AB82" totalsRowShown="0" headerRowDxfId="2597" dataDxfId="2596">
  <autoFilter ref="A75:AB82" xr:uid="{00000000-0009-0000-0100-000080000000}"/>
  <tableColumns count="28">
    <tableColumn id="1" xr3:uid="{00000000-0010-0000-7D00-000001000000}" name="Name" dataDxfId="2595"/>
    <tableColumn id="2" xr3:uid="{00000000-0010-0000-7D00-000002000000}" name="POS" dataDxfId="2594"/>
    <tableColumn id="3" xr3:uid="{00000000-0010-0000-7D00-000003000000}" name="Age" dataDxfId="2593"/>
    <tableColumn id="4" xr3:uid="{00000000-0010-0000-7D00-000004000000}" name="Exp" dataDxfId="2592"/>
    <tableColumn id="5" xr3:uid="{00000000-0010-0000-7D00-000005000000}" name="College" dataDxfId="2591"/>
    <tableColumn id="6" xr3:uid="{00000000-0010-0000-7D00-000006000000}" name="team" dataDxfId="2590"/>
    <tableColumn id="7" xr3:uid="{00000000-0010-0000-7D00-000007000000}" name="g" dataDxfId="2589"/>
    <tableColumn id="8" xr3:uid="{00000000-0010-0000-7D00-000008000000}" name="p_att" dataDxfId="2588"/>
    <tableColumn id="9" xr3:uid="{00000000-0010-0000-7D00-000009000000}" name="cmp" dataDxfId="2587"/>
    <tableColumn id="10" xr3:uid="{00000000-0010-0000-7D00-00000A000000}" name="p_yd" dataDxfId="2586"/>
    <tableColumn id="11" xr3:uid="{00000000-0010-0000-7D00-00000B000000}" name="p_td" dataDxfId="2585"/>
    <tableColumn id="12" xr3:uid="{00000000-0010-0000-7D00-00000C000000}" name="int" dataDxfId="2584"/>
    <tableColumn id="13" xr3:uid="{00000000-0010-0000-7D00-00000D000000}" name="car" dataDxfId="2583"/>
    <tableColumn id="14" xr3:uid="{00000000-0010-0000-7D00-00000E000000}" name="r_yd" dataDxfId="2582"/>
    <tableColumn id="15" xr3:uid="{00000000-0010-0000-7D00-00000F000000}" name="r_td" dataDxfId="2581"/>
    <tableColumn id="16" xr3:uid="{00000000-0010-0000-7D00-000010000000}" name="tgt" dataDxfId="2580"/>
    <tableColumn id="17" xr3:uid="{00000000-0010-0000-7D00-000011000000}" name="rec" dataDxfId="2579"/>
    <tableColumn id="18" xr3:uid="{00000000-0010-0000-7D00-000012000000}" name="rec_yd" dataDxfId="2578"/>
    <tableColumn id="19" xr3:uid="{00000000-0010-0000-7D00-000013000000}" name="rec_td" dataDxfId="2577"/>
    <tableColumn id="20" xr3:uid="{00000000-0010-0000-7D00-000014000000}" name="fmb" dataDxfId="2576"/>
    <tableColumn id="21" xr3:uid="{00000000-0010-0000-7D00-000015000000}" name="tp_c" dataDxfId="2575"/>
    <tableColumn id="22" xr3:uid="{00000000-0010-0000-7D00-000016000000}" name="f_ppr" dataDxfId="2574"/>
    <tableColumn id="23" xr3:uid="{00000000-0010-0000-7D00-000017000000}" name="tgt_share" dataDxfId="2573"/>
    <tableColumn id="24" xr3:uid="{00000000-0010-0000-7D00-000018000000}" name="ypc" dataDxfId="2572"/>
    <tableColumn id="25" xr3:uid="{00000000-0010-0000-7D00-000019000000}" name="ypr" dataDxfId="2571"/>
    <tableColumn id="26" xr3:uid="{00000000-0010-0000-7D00-00001A000000}" name="cmp_pct" dataDxfId="2570"/>
    <tableColumn id="27" xr3:uid="{00000000-0010-0000-7D00-00001B000000}" name="td_rate" dataDxfId="2569"/>
    <tableColumn id="28" xr3:uid="{00000000-0010-0000-7D00-00001C000000}" name="f_custom" dataDxfId="2568"/>
  </tableColumns>
  <tableStyleInfo name="TableStyleMedium1" showFirstColumn="0" showLastColumn="0" showRowStripes="1" showColumnStripes="0"/>
</table>
</file>

<file path=xl/tables/table1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9" xr:uid="{00000000-000C-0000-FFFF-FFFF7E000000}" name="LV_Table1" displayName="LV_Table1" ref="A1:X16" totalsRowShown="0" headerRowDxfId="2567" dataDxfId="2566">
  <autoFilter ref="A1:X16" xr:uid="{00000000-0009-0000-0100-000081000000}"/>
  <tableColumns count="24">
    <tableColumn id="1" xr3:uid="{00000000-0010-0000-7E00-000001000000}" name="player_name" dataDxfId="2565"/>
    <tableColumn id="2" xr3:uid="{00000000-0010-0000-7E00-000002000000}" name="recent_team" dataDxfId="2564"/>
    <tableColumn id="3" xr3:uid="{00000000-0010-0000-7E00-000003000000}" name="pos" dataDxfId="2563"/>
    <tableColumn id="4" xr3:uid="{00000000-0010-0000-7E00-000004000000}" name="g" dataDxfId="2562"/>
    <tableColumn id="5" xr3:uid="{00000000-0010-0000-7E00-000005000000}" name="p_att" dataDxfId="2561"/>
    <tableColumn id="6" xr3:uid="{00000000-0010-0000-7E00-000006000000}" name="cmp" dataDxfId="2560"/>
    <tableColumn id="7" xr3:uid="{00000000-0010-0000-7E00-000007000000}" name="p_yd" dataDxfId="2559"/>
    <tableColumn id="8" xr3:uid="{00000000-0010-0000-7E00-000008000000}" name="p_td" dataDxfId="2558"/>
    <tableColumn id="9" xr3:uid="{00000000-0010-0000-7E00-000009000000}" name="int" dataDxfId="2557"/>
    <tableColumn id="10" xr3:uid="{00000000-0010-0000-7E00-00000A000000}" name="car" dataDxfId="2556"/>
    <tableColumn id="11" xr3:uid="{00000000-0010-0000-7E00-00000B000000}" name="r_yd" dataDxfId="2555"/>
    <tableColumn id="12" xr3:uid="{00000000-0010-0000-7E00-00000C000000}" name="r_td" dataDxfId="2554"/>
    <tableColumn id="13" xr3:uid="{00000000-0010-0000-7E00-00000D000000}" name="tgt" dataDxfId="2553"/>
    <tableColumn id="14" xr3:uid="{00000000-0010-0000-7E00-00000E000000}" name="rec" dataDxfId="2552"/>
    <tableColumn id="15" xr3:uid="{00000000-0010-0000-7E00-00000F000000}" name="rec_yd" dataDxfId="2551"/>
    <tableColumn id="16" xr3:uid="{00000000-0010-0000-7E00-000010000000}" name="rec_td" dataDxfId="2550"/>
    <tableColumn id="17" xr3:uid="{00000000-0010-0000-7E00-000011000000}" name="fmb" dataDxfId="2549"/>
    <tableColumn id="18" xr3:uid="{00000000-0010-0000-7E00-000012000000}" name="tp_c" dataDxfId="2548"/>
    <tableColumn id="19" xr3:uid="{00000000-0010-0000-7E00-000013000000}" name="f_ppr" dataDxfId="2547"/>
    <tableColumn id="20" xr3:uid="{00000000-0010-0000-7E00-000014000000}" name="tgt_share" dataDxfId="2546"/>
    <tableColumn id="21" xr3:uid="{00000000-0010-0000-7E00-000015000000}" name="ypc" dataDxfId="2545"/>
    <tableColumn id="22" xr3:uid="{00000000-0010-0000-7E00-000016000000}" name="ypr" dataDxfId="2544"/>
    <tableColumn id="23" xr3:uid="{00000000-0010-0000-7E00-000017000000}" name="cmp_pct" dataDxfId="2543"/>
    <tableColumn id="24" xr3:uid="{00000000-0010-0000-7E00-000018000000}" name="td_rate" dataDxfId="2542"/>
  </tableColumns>
  <tableStyleInfo name="TableStyleMedium1" showFirstColumn="0" showLastColumn="0" showRowStripes="1" showColumnStripes="0"/>
</table>
</file>

<file path=xl/tables/table1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0" xr:uid="{00000000-000C-0000-FFFF-FFFF7F000000}" name="LV_Table2" displayName="LV_Table2" ref="A30:L31" totalsRowShown="0" headerRowDxfId="2541" dataDxfId="2540">
  <autoFilter ref="A30:L31" xr:uid="{00000000-0009-0000-0100-000082000000}"/>
  <tableColumns count="12">
    <tableColumn id="1" xr3:uid="{00000000-0010-0000-7F00-000001000000}" name="team" dataDxfId="2539"/>
    <tableColumn id="2" xr3:uid="{00000000-0010-0000-7F00-000002000000}" name="off_yd" dataDxfId="2538"/>
    <tableColumn id="3" xr3:uid="{00000000-0010-0000-7F00-000003000000}" name="p_yd" dataDxfId="2537"/>
    <tableColumn id="4" xr3:uid="{00000000-0010-0000-7F00-000004000000}" name="car" dataDxfId="2536"/>
    <tableColumn id="5" xr3:uid="{00000000-0010-0000-7F00-000005000000}" name="r_yd" dataDxfId="2535"/>
    <tableColumn id="6" xr3:uid="{00000000-0010-0000-7F00-000006000000}" name="r_td" dataDxfId="2534"/>
    <tableColumn id="7" xr3:uid="{00000000-0010-0000-7F00-000007000000}" name="p_ff" dataDxfId="2533"/>
    <tableColumn id="8" xr3:uid="{00000000-0010-0000-7F00-000008000000}" name="p_att" dataDxfId="2532"/>
    <tableColumn id="9" xr3:uid="{00000000-0010-0000-7F00-000009000000}" name="cmp_pct" dataDxfId="2531"/>
    <tableColumn id="10" xr3:uid="{00000000-0010-0000-7F00-00000A000000}" name="p_td" dataDxfId="2530"/>
    <tableColumn id="11" xr3:uid="{00000000-0010-0000-7F00-00000B000000}" name="int" dataDxfId="2529"/>
    <tableColumn id="12" xr3:uid="{00000000-0010-0000-7F00-00000C000000}" name="fmb" dataDxfId="2528"/>
  </tableColumns>
  <tableStyleInfo name="TableStyleMedium1" showFirstColumn="0" showLastColumn="0" showRowStripes="1" showColumnStripes="0"/>
</table>
</file>

<file path=xl/tables/table1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1" xr:uid="{00000000-000C-0000-FFFF-FFFF80000000}" name="LV_Table3" displayName="LV_Table3" ref="A32:L33" totalsRowShown="0" headerRowDxfId="2527" dataDxfId="2526">
  <autoFilter ref="A32:L33" xr:uid="{00000000-0009-0000-0100-000083000000}"/>
  <tableColumns count="12">
    <tableColumn id="1" xr3:uid="{00000000-0010-0000-8000-000001000000}" name="team" dataDxfId="2525">
      <calculatedColumnFormula>A31</calculatedColumnFormula>
    </tableColumn>
    <tableColumn id="2" xr3:uid="{00000000-0010-0000-8000-000002000000}" name="off_yd" dataDxfId="2524">
      <calculatedColumnFormula>C33 + E33</calculatedColumnFormula>
    </tableColumn>
    <tableColumn id="3" xr3:uid="{00000000-0010-0000-8000-000003000000}" name="p_yd" dataDxfId="2523">
      <calculatedColumnFormula>SUM(INDIRECT(A33 &amp; "_Table4[[#All],[p_yd]]"))</calculatedColumnFormula>
    </tableColumn>
    <tableColumn id="4" xr3:uid="{00000000-0010-0000-8000-000004000000}" name="car" dataDxfId="2522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8000-000005000000}" name="r_yd" dataDxfId="2521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8000-000006000000}" name="r_td" dataDxfId="2520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8000-000007000000}" name="p_ff" dataDxfId="2519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8000-000008000000}" name="p_att" dataDxfId="2518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8000-000009000000}" name="cmp_pct" dataDxfId="2517">
      <calculatedColumnFormula>SUM(INDIRECT(A33 &amp; "_Table4[[#All],[cmp]]"))/H33</calculatedColumnFormula>
    </tableColumn>
    <tableColumn id="10" xr3:uid="{00000000-0010-0000-8000-00000A000000}" name="p_td" dataDxfId="2516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8000-00000B000000}" name="int" dataDxfId="2515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8000-00000C000000}" name="fmb" dataDxfId="2514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</tableColumns>
  <tableStyleInfo name="TableStyleMedium1" showFirstColumn="0" showLastColumn="0" showRowStripes="1" showColumnStripes="0"/>
</table>
</file>

<file path=xl/tables/table1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2" xr:uid="{00000000-000C-0000-FFFF-FFFF81000000}" name="LV_Table4" displayName="LV_Table4" ref="A35:AB39" totalsRowShown="0" headerRowDxfId="2513" dataDxfId="2512">
  <autoFilter ref="A35:AB39" xr:uid="{00000000-0009-0000-0100-000084000000}"/>
  <tableColumns count="28">
    <tableColumn id="1" xr3:uid="{00000000-0010-0000-8100-000001000000}" name="Name" dataDxfId="2511"/>
    <tableColumn id="2" xr3:uid="{00000000-0010-0000-8100-000002000000}" name="POS" dataDxfId="2510"/>
    <tableColumn id="3" xr3:uid="{00000000-0010-0000-8100-000003000000}" name="Age" dataDxfId="2509"/>
    <tableColumn id="4" xr3:uid="{00000000-0010-0000-8100-000004000000}" name="Exp" dataDxfId="2508"/>
    <tableColumn id="5" xr3:uid="{00000000-0010-0000-8100-000005000000}" name="College" dataDxfId="2507"/>
    <tableColumn id="6" xr3:uid="{00000000-0010-0000-8100-000006000000}" name="team" dataDxfId="2506"/>
    <tableColumn id="7" xr3:uid="{00000000-0010-0000-8100-000007000000}" name="g" dataDxfId="2505"/>
    <tableColumn id="8" xr3:uid="{00000000-0010-0000-8100-000008000000}" name="p_att" dataDxfId="2504"/>
    <tableColumn id="9" xr3:uid="{00000000-0010-0000-8100-000009000000}" name="cmp" dataDxfId="2503"/>
    <tableColumn id="10" xr3:uid="{00000000-0010-0000-8100-00000A000000}" name="p_yd" dataDxfId="2502"/>
    <tableColumn id="11" xr3:uid="{00000000-0010-0000-8100-00000B000000}" name="p_td" dataDxfId="2501"/>
    <tableColumn id="12" xr3:uid="{00000000-0010-0000-8100-00000C000000}" name="int" dataDxfId="2500"/>
    <tableColumn id="13" xr3:uid="{00000000-0010-0000-8100-00000D000000}" name="car" dataDxfId="2499"/>
    <tableColumn id="14" xr3:uid="{00000000-0010-0000-8100-00000E000000}" name="r_yd" dataDxfId="2498"/>
    <tableColumn id="15" xr3:uid="{00000000-0010-0000-8100-00000F000000}" name="r_td" dataDxfId="2497"/>
    <tableColumn id="16" xr3:uid="{00000000-0010-0000-8100-000010000000}" name="tgt" dataDxfId="2496"/>
    <tableColumn id="17" xr3:uid="{00000000-0010-0000-8100-000011000000}" name="rec" dataDxfId="2495"/>
    <tableColumn id="18" xr3:uid="{00000000-0010-0000-8100-000012000000}" name="rec_yd" dataDxfId="2494"/>
    <tableColumn id="19" xr3:uid="{00000000-0010-0000-8100-000013000000}" name="rec_td" dataDxfId="2493"/>
    <tableColumn id="20" xr3:uid="{00000000-0010-0000-8100-000014000000}" name="fmb" dataDxfId="2492"/>
    <tableColumn id="21" xr3:uid="{00000000-0010-0000-8100-000015000000}" name="tp_c" dataDxfId="2491"/>
    <tableColumn id="22" xr3:uid="{00000000-0010-0000-8100-000016000000}" name="f_ppr" dataDxfId="2490"/>
    <tableColumn id="23" xr3:uid="{00000000-0010-0000-8100-000017000000}" name="tgt_share" dataDxfId="2489"/>
    <tableColumn id="24" xr3:uid="{00000000-0010-0000-8100-000018000000}" name="ypc" dataDxfId="2488"/>
    <tableColumn id="25" xr3:uid="{00000000-0010-0000-8100-000019000000}" name="ypr" dataDxfId="2487"/>
    <tableColumn id="26" xr3:uid="{00000000-0010-0000-8100-00001A000000}" name="cmp_pct" dataDxfId="2486"/>
    <tableColumn id="27" xr3:uid="{00000000-0010-0000-8100-00001B000000}" name="td_rate" dataDxfId="2485"/>
    <tableColumn id="28" xr3:uid="{00000000-0010-0000-8100-00001C000000}" name="f_custom" dataDxfId="2484"/>
  </tableColumns>
  <tableStyleInfo name="TableStyleMedium1" showFirstColumn="0" showLastColumn="0" showRowStripes="1" showColumnStripes="0"/>
</table>
</file>

<file path=xl/tables/table1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3" xr:uid="{00000000-000C-0000-FFFF-FFFF82000000}" name="LV_Table5" displayName="LV_Table5" ref="A45:AB54" totalsRowShown="0" headerRowDxfId="2483" dataDxfId="2482">
  <autoFilter ref="A45:AB54" xr:uid="{00000000-0009-0000-0100-000085000000}"/>
  <tableColumns count="28">
    <tableColumn id="1" xr3:uid="{00000000-0010-0000-8200-000001000000}" name="Name" dataDxfId="2481"/>
    <tableColumn id="2" xr3:uid="{00000000-0010-0000-8200-000002000000}" name="POS" dataDxfId="2480"/>
    <tableColumn id="3" xr3:uid="{00000000-0010-0000-8200-000003000000}" name="Age" dataDxfId="2479"/>
    <tableColumn id="4" xr3:uid="{00000000-0010-0000-8200-000004000000}" name="Exp" dataDxfId="2478"/>
    <tableColumn id="5" xr3:uid="{00000000-0010-0000-8200-000005000000}" name="College" dataDxfId="2477"/>
    <tableColumn id="6" xr3:uid="{00000000-0010-0000-8200-000006000000}" name="team" dataDxfId="2476"/>
    <tableColumn id="7" xr3:uid="{00000000-0010-0000-8200-000007000000}" name="g" dataDxfId="2475"/>
    <tableColumn id="8" xr3:uid="{00000000-0010-0000-8200-000008000000}" name="p_att" dataDxfId="2474"/>
    <tableColumn id="9" xr3:uid="{00000000-0010-0000-8200-000009000000}" name="cmp" dataDxfId="2473"/>
    <tableColumn id="10" xr3:uid="{00000000-0010-0000-8200-00000A000000}" name="p_yd" dataDxfId="2472"/>
    <tableColumn id="11" xr3:uid="{00000000-0010-0000-8200-00000B000000}" name="p_td" dataDxfId="2471"/>
    <tableColumn id="12" xr3:uid="{00000000-0010-0000-8200-00000C000000}" name="int" dataDxfId="2470"/>
    <tableColumn id="13" xr3:uid="{00000000-0010-0000-8200-00000D000000}" name="car" dataDxfId="2469"/>
    <tableColumn id="14" xr3:uid="{00000000-0010-0000-8200-00000E000000}" name="r_yd" dataDxfId="2468"/>
    <tableColumn id="15" xr3:uid="{00000000-0010-0000-8200-00000F000000}" name="r_td" dataDxfId="2467"/>
    <tableColumn id="16" xr3:uid="{00000000-0010-0000-8200-000010000000}" name="tgt" dataDxfId="2466"/>
    <tableColumn id="17" xr3:uid="{00000000-0010-0000-8200-000011000000}" name="rec" dataDxfId="2465"/>
    <tableColumn id="18" xr3:uid="{00000000-0010-0000-8200-000012000000}" name="rec_yd" dataDxfId="2464"/>
    <tableColumn id="19" xr3:uid="{00000000-0010-0000-8200-000013000000}" name="rec_td" dataDxfId="2463"/>
    <tableColumn id="20" xr3:uid="{00000000-0010-0000-8200-000014000000}" name="fmb" dataDxfId="2462"/>
    <tableColumn id="21" xr3:uid="{00000000-0010-0000-8200-000015000000}" name="tp_c" dataDxfId="2461"/>
    <tableColumn id="22" xr3:uid="{00000000-0010-0000-8200-000016000000}" name="f_ppr" dataDxfId="2460"/>
    <tableColumn id="23" xr3:uid="{00000000-0010-0000-8200-000017000000}" name="tgt_share" dataDxfId="2459"/>
    <tableColumn id="24" xr3:uid="{00000000-0010-0000-8200-000018000000}" name="ypc" dataDxfId="2458"/>
    <tableColumn id="25" xr3:uid="{00000000-0010-0000-8200-000019000000}" name="ypr" dataDxfId="2457"/>
    <tableColumn id="26" xr3:uid="{00000000-0010-0000-8200-00001A000000}" name="cmp_pct" dataDxfId="2456"/>
    <tableColumn id="27" xr3:uid="{00000000-0010-0000-8200-00001B000000}" name="td_rate" dataDxfId="2455"/>
    <tableColumn id="28" xr3:uid="{00000000-0010-0000-8200-00001C000000}" name="f_custom" dataDxfId="2454">
      <calculatedColumnFormula>($J46*Cp_yd)+($K46*Cp_td)+($L46*Cint)+($M46*Ccar)+($N46*Cr_td)+($O46*Cr_yd)+(Q46*Crec)+($R46*Crec_yd)+($S46*Crec_td)+($T46*Cfmb)+($U46*Ctp_c)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4" xr:uid="{00000000-000C-0000-FFFF-FFFF83000000}" name="LV_Table6" displayName="LV_Table6" ref="A60:AB71" totalsRowShown="0" headerRowDxfId="2453" dataDxfId="2452">
  <autoFilter ref="A60:AB71" xr:uid="{00000000-0009-0000-0100-000086000000}"/>
  <tableColumns count="28">
    <tableColumn id="1" xr3:uid="{00000000-0010-0000-8300-000001000000}" name="Name" dataDxfId="2451"/>
    <tableColumn id="2" xr3:uid="{00000000-0010-0000-8300-000002000000}" name="POS" dataDxfId="2450"/>
    <tableColumn id="3" xr3:uid="{00000000-0010-0000-8300-000003000000}" name="Age" dataDxfId="2449"/>
    <tableColumn id="4" xr3:uid="{00000000-0010-0000-8300-000004000000}" name="Exp" dataDxfId="2448"/>
    <tableColumn id="5" xr3:uid="{00000000-0010-0000-8300-000005000000}" name="College" dataDxfId="2447"/>
    <tableColumn id="6" xr3:uid="{00000000-0010-0000-8300-000006000000}" name="team" dataDxfId="2446"/>
    <tableColumn id="7" xr3:uid="{00000000-0010-0000-8300-000007000000}" name="g" dataDxfId="2445"/>
    <tableColumn id="8" xr3:uid="{00000000-0010-0000-8300-000008000000}" name="p_att" dataDxfId="2444"/>
    <tableColumn id="9" xr3:uid="{00000000-0010-0000-8300-000009000000}" name="cmp" dataDxfId="2443"/>
    <tableColumn id="10" xr3:uid="{00000000-0010-0000-8300-00000A000000}" name="p_yd" dataDxfId="2442"/>
    <tableColumn id="11" xr3:uid="{00000000-0010-0000-8300-00000B000000}" name="p_td" dataDxfId="2441"/>
    <tableColumn id="12" xr3:uid="{00000000-0010-0000-8300-00000C000000}" name="int" dataDxfId="2440"/>
    <tableColumn id="13" xr3:uid="{00000000-0010-0000-8300-00000D000000}" name="car" dataDxfId="2439"/>
    <tableColumn id="14" xr3:uid="{00000000-0010-0000-8300-00000E000000}" name="r_yd" dataDxfId="2438"/>
    <tableColumn id="15" xr3:uid="{00000000-0010-0000-8300-00000F000000}" name="r_td" dataDxfId="2437"/>
    <tableColumn id="16" xr3:uid="{00000000-0010-0000-8300-000010000000}" name="tgt" dataDxfId="2436"/>
    <tableColumn id="17" xr3:uid="{00000000-0010-0000-8300-000011000000}" name="rec" dataDxfId="2435"/>
    <tableColumn id="18" xr3:uid="{00000000-0010-0000-8300-000012000000}" name="rec_yd" dataDxfId="2434"/>
    <tableColumn id="19" xr3:uid="{00000000-0010-0000-8300-000013000000}" name="rec_td" dataDxfId="2433"/>
    <tableColumn id="20" xr3:uid="{00000000-0010-0000-8300-000014000000}" name="fmb" dataDxfId="2432"/>
    <tableColumn id="21" xr3:uid="{00000000-0010-0000-8300-000015000000}" name="tp_c" dataDxfId="2431"/>
    <tableColumn id="22" xr3:uid="{00000000-0010-0000-8300-000016000000}" name="f_ppr" dataDxfId="2430"/>
    <tableColumn id="23" xr3:uid="{00000000-0010-0000-8300-000017000000}" name="tgt_share" dataDxfId="2429"/>
    <tableColumn id="24" xr3:uid="{00000000-0010-0000-8300-000018000000}" name="ypc" dataDxfId="2428"/>
    <tableColumn id="25" xr3:uid="{00000000-0010-0000-8300-000019000000}" name="ypr" dataDxfId="2427"/>
    <tableColumn id="26" xr3:uid="{00000000-0010-0000-8300-00001A000000}" name="cmp_pct" dataDxfId="2426"/>
    <tableColumn id="27" xr3:uid="{00000000-0010-0000-8300-00001B000000}" name="td_rate" dataDxfId="2425"/>
    <tableColumn id="28" xr3:uid="{00000000-0010-0000-8300-00001C000000}" name="f_custom" dataDxfId="2424"/>
  </tableColumns>
  <tableStyleInfo name="TableStyleMedium1" showFirstColumn="0" showLastColumn="0" showRowStripes="1" showColumnStripes="0"/>
</table>
</file>

<file path=xl/tables/table1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5" xr:uid="{00000000-000C-0000-FFFF-FFFF84000000}" name="LV_Table7" displayName="LV_Table7" ref="A75:AB81" totalsRowShown="0" headerRowDxfId="2423" dataDxfId="2422">
  <autoFilter ref="A75:AB81" xr:uid="{00000000-0009-0000-0100-000087000000}"/>
  <tableColumns count="28">
    <tableColumn id="1" xr3:uid="{00000000-0010-0000-8400-000001000000}" name="Name" dataDxfId="2421"/>
    <tableColumn id="2" xr3:uid="{00000000-0010-0000-8400-000002000000}" name="POS" dataDxfId="2420"/>
    <tableColumn id="3" xr3:uid="{00000000-0010-0000-8400-000003000000}" name="Age" dataDxfId="2419"/>
    <tableColumn id="4" xr3:uid="{00000000-0010-0000-8400-000004000000}" name="Exp" dataDxfId="2418"/>
    <tableColumn id="5" xr3:uid="{00000000-0010-0000-8400-000005000000}" name="College" dataDxfId="2417"/>
    <tableColumn id="6" xr3:uid="{00000000-0010-0000-8400-000006000000}" name="team" dataDxfId="2416"/>
    <tableColumn id="7" xr3:uid="{00000000-0010-0000-8400-000007000000}" name="g" dataDxfId="2415"/>
    <tableColumn id="8" xr3:uid="{00000000-0010-0000-8400-000008000000}" name="p_att" dataDxfId="2414"/>
    <tableColumn id="9" xr3:uid="{00000000-0010-0000-8400-000009000000}" name="cmp" dataDxfId="2413"/>
    <tableColumn id="10" xr3:uid="{00000000-0010-0000-8400-00000A000000}" name="p_yd" dataDxfId="2412"/>
    <tableColumn id="11" xr3:uid="{00000000-0010-0000-8400-00000B000000}" name="p_td" dataDxfId="2411"/>
    <tableColumn id="12" xr3:uid="{00000000-0010-0000-8400-00000C000000}" name="int" dataDxfId="2410"/>
    <tableColumn id="13" xr3:uid="{00000000-0010-0000-8400-00000D000000}" name="car" dataDxfId="2409"/>
    <tableColumn id="14" xr3:uid="{00000000-0010-0000-8400-00000E000000}" name="r_yd" dataDxfId="2408"/>
    <tableColumn id="15" xr3:uid="{00000000-0010-0000-8400-00000F000000}" name="r_td" dataDxfId="2407"/>
    <tableColumn id="16" xr3:uid="{00000000-0010-0000-8400-000010000000}" name="tgt" dataDxfId="2406"/>
    <tableColumn id="17" xr3:uid="{00000000-0010-0000-8400-000011000000}" name="rec" dataDxfId="2405"/>
    <tableColumn id="18" xr3:uid="{00000000-0010-0000-8400-000012000000}" name="rec_yd" dataDxfId="2404"/>
    <tableColumn id="19" xr3:uid="{00000000-0010-0000-8400-000013000000}" name="rec_td" dataDxfId="2403"/>
    <tableColumn id="20" xr3:uid="{00000000-0010-0000-8400-000014000000}" name="fmb" dataDxfId="2402"/>
    <tableColumn id="21" xr3:uid="{00000000-0010-0000-8400-000015000000}" name="tp_c" dataDxfId="2401"/>
    <tableColumn id="22" xr3:uid="{00000000-0010-0000-8400-000016000000}" name="f_ppr" dataDxfId="2400"/>
    <tableColumn id="23" xr3:uid="{00000000-0010-0000-8400-000017000000}" name="tgt_share" dataDxfId="2399"/>
    <tableColumn id="24" xr3:uid="{00000000-0010-0000-8400-000018000000}" name="ypc" dataDxfId="2398"/>
    <tableColumn id="25" xr3:uid="{00000000-0010-0000-8400-000019000000}" name="ypr" dataDxfId="2397"/>
    <tableColumn id="26" xr3:uid="{00000000-0010-0000-8400-00001A000000}" name="cmp_pct" dataDxfId="2396"/>
    <tableColumn id="27" xr3:uid="{00000000-0010-0000-8400-00001B000000}" name="td_rate" dataDxfId="2395"/>
    <tableColumn id="28" xr3:uid="{00000000-0010-0000-8400-00001C000000}" name="f_custom" dataDxfId="2394"/>
  </tableColumns>
  <tableStyleInfo name="TableStyleMedium1" showFirstColumn="0" showLastColumn="0" showRowStripes="1" showColumnStripes="0"/>
</table>
</file>

<file path=xl/tables/table1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6" xr:uid="{00000000-000C-0000-FFFF-FFFF85000000}" name="MIA_Table1" displayName="MIA_Table1" ref="A1:X20" totalsRowShown="0" headerRowDxfId="2393" dataDxfId="2392">
  <autoFilter ref="A1:X20" xr:uid="{00000000-0009-0000-0100-000088000000}"/>
  <tableColumns count="24">
    <tableColumn id="1" xr3:uid="{00000000-0010-0000-8500-000001000000}" name="player_name" dataDxfId="2391"/>
    <tableColumn id="2" xr3:uid="{00000000-0010-0000-8500-000002000000}" name="recent_team" dataDxfId="2390"/>
    <tableColumn id="3" xr3:uid="{00000000-0010-0000-8500-000003000000}" name="pos" dataDxfId="2389"/>
    <tableColumn id="4" xr3:uid="{00000000-0010-0000-8500-000004000000}" name="g" dataDxfId="2388"/>
    <tableColumn id="5" xr3:uid="{00000000-0010-0000-8500-000005000000}" name="p_att" dataDxfId="2387"/>
    <tableColumn id="6" xr3:uid="{00000000-0010-0000-8500-000006000000}" name="cmp" dataDxfId="2386"/>
    <tableColumn id="7" xr3:uid="{00000000-0010-0000-8500-000007000000}" name="p_yd" dataDxfId="2385"/>
    <tableColumn id="8" xr3:uid="{00000000-0010-0000-8500-000008000000}" name="p_td" dataDxfId="2384"/>
    <tableColumn id="9" xr3:uid="{00000000-0010-0000-8500-000009000000}" name="int" dataDxfId="2383"/>
    <tableColumn id="10" xr3:uid="{00000000-0010-0000-8500-00000A000000}" name="car" dataDxfId="2382"/>
    <tableColumn id="11" xr3:uid="{00000000-0010-0000-8500-00000B000000}" name="r_yd" dataDxfId="2381"/>
    <tableColumn id="12" xr3:uid="{00000000-0010-0000-8500-00000C000000}" name="r_td" dataDxfId="2380"/>
    <tableColumn id="13" xr3:uid="{00000000-0010-0000-8500-00000D000000}" name="tgt" dataDxfId="2379"/>
    <tableColumn id="14" xr3:uid="{00000000-0010-0000-8500-00000E000000}" name="rec" dataDxfId="2378"/>
    <tableColumn id="15" xr3:uid="{00000000-0010-0000-8500-00000F000000}" name="rec_yd" dataDxfId="2377"/>
    <tableColumn id="16" xr3:uid="{00000000-0010-0000-8500-000010000000}" name="rec_td" dataDxfId="2376"/>
    <tableColumn id="17" xr3:uid="{00000000-0010-0000-8500-000011000000}" name="fmb" dataDxfId="2375"/>
    <tableColumn id="18" xr3:uid="{00000000-0010-0000-8500-000012000000}" name="tp_c" dataDxfId="2374"/>
    <tableColumn id="19" xr3:uid="{00000000-0010-0000-8500-000013000000}" name="f_ppr" dataDxfId="2373"/>
    <tableColumn id="20" xr3:uid="{00000000-0010-0000-8500-000014000000}" name="tgt_share" dataDxfId="2372"/>
    <tableColumn id="21" xr3:uid="{00000000-0010-0000-8500-000015000000}" name="ypc" dataDxfId="2371"/>
    <tableColumn id="22" xr3:uid="{00000000-0010-0000-8500-000016000000}" name="ypr" dataDxfId="2370"/>
    <tableColumn id="23" xr3:uid="{00000000-0010-0000-8500-000017000000}" name="cmp_pct" dataDxfId="2369"/>
    <tableColumn id="24" xr3:uid="{00000000-0010-0000-8500-000018000000}" name="td_rate" dataDxfId="2368"/>
  </tableColumns>
  <tableStyleInfo name="TableStyleMedium1" showFirstColumn="0" showLastColumn="0" showRowStripes="1" showColumnStripes="0"/>
</table>
</file>

<file path=xl/tables/table1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7" xr:uid="{00000000-000C-0000-FFFF-FFFF86000000}" name="MIA_Table2" displayName="MIA_Table2" ref="A30:L31" totalsRowShown="0" headerRowDxfId="2367" dataDxfId="2366">
  <autoFilter ref="A30:L31" xr:uid="{00000000-0009-0000-0100-000089000000}"/>
  <tableColumns count="12">
    <tableColumn id="1" xr3:uid="{00000000-0010-0000-8600-000001000000}" name="team" dataDxfId="2365"/>
    <tableColumn id="2" xr3:uid="{00000000-0010-0000-8600-000002000000}" name="off_yd" dataDxfId="2364"/>
    <tableColumn id="3" xr3:uid="{00000000-0010-0000-8600-000003000000}" name="p_yd" dataDxfId="2363"/>
    <tableColumn id="4" xr3:uid="{00000000-0010-0000-8600-000004000000}" name="car" dataDxfId="2362"/>
    <tableColumn id="5" xr3:uid="{00000000-0010-0000-8600-000005000000}" name="r_yd" dataDxfId="2361"/>
    <tableColumn id="6" xr3:uid="{00000000-0010-0000-8600-000006000000}" name="r_td" dataDxfId="2360"/>
    <tableColumn id="7" xr3:uid="{00000000-0010-0000-8600-000007000000}" name="p_ff" dataDxfId="2359"/>
    <tableColumn id="8" xr3:uid="{00000000-0010-0000-8600-000008000000}" name="p_att" dataDxfId="2358"/>
    <tableColumn id="9" xr3:uid="{00000000-0010-0000-8600-000009000000}" name="cmp_pct" dataDxfId="2357"/>
    <tableColumn id="10" xr3:uid="{00000000-0010-0000-8600-00000A000000}" name="p_td" dataDxfId="2356"/>
    <tableColumn id="11" xr3:uid="{00000000-0010-0000-8600-00000B000000}" name="int" dataDxfId="2355"/>
    <tableColumn id="12" xr3:uid="{00000000-0010-0000-8600-00000C000000}" name="fmb" dataDxfId="2354"/>
  </tableColumns>
  <tableStyleInfo name="TableStyleMedium1" showFirstColumn="0" showLastColumn="0" showRowStripes="1" showColumnStripes="0"/>
</table>
</file>

<file path=xl/tables/table1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8" xr:uid="{00000000-000C-0000-FFFF-FFFF87000000}" name="MIA_Table3" displayName="MIA_Table3" ref="A32:L33" totalsRowShown="0" headerRowDxfId="2353" dataDxfId="2352">
  <autoFilter ref="A32:L33" xr:uid="{00000000-0009-0000-0100-00008A000000}"/>
  <tableColumns count="12">
    <tableColumn id="1" xr3:uid="{00000000-0010-0000-8700-000001000000}" name="team" dataDxfId="2351">
      <calculatedColumnFormula>A31</calculatedColumnFormula>
    </tableColumn>
    <tableColumn id="2" xr3:uid="{00000000-0010-0000-8700-000002000000}" name="off_yd" dataDxfId="2350">
      <calculatedColumnFormula>C33 + E33</calculatedColumnFormula>
    </tableColumn>
    <tableColumn id="3" xr3:uid="{00000000-0010-0000-8700-000003000000}" name="p_yd" dataDxfId="2349">
      <calculatedColumnFormula>SUM(INDIRECT(A33 &amp; "_Table4[[#All],[p_yd]]"))</calculatedColumnFormula>
    </tableColumn>
    <tableColumn id="4" xr3:uid="{00000000-0010-0000-8700-000004000000}" name="car" dataDxfId="2348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8700-000005000000}" name="r_yd" dataDxfId="2347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8700-000006000000}" name="r_td" dataDxfId="2346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8700-000007000000}" name="p_ff" dataDxfId="2345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8700-000008000000}" name="p_att" dataDxfId="2344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8700-000009000000}" name="cmp_pct" dataDxfId="2343">
      <calculatedColumnFormula>SUM(INDIRECT(A33 &amp; "_Table4[[#All],[cmp]]"))/H33</calculatedColumnFormula>
    </tableColumn>
    <tableColumn id="10" xr3:uid="{00000000-0010-0000-8700-00000A000000}" name="p_td" dataDxfId="2342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8700-00000B000000}" name="int" dataDxfId="2341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8700-00000C000000}" name="fmb" dataDxfId="2340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</tableColumns>
  <tableStyleInfo name="TableStyleMedium1" showFirstColumn="0" showLastColumn="0" showRowStripes="1" showColumnStripes="0"/>
</table>
</file>

<file path=xl/tables/table1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9" xr:uid="{00000000-000C-0000-FFFF-FFFF88000000}" name="MIA_Table4" displayName="MIA_Table4" ref="A35:AB38" totalsRowShown="0" headerRowDxfId="2339" dataDxfId="2338">
  <autoFilter ref="A35:AB38" xr:uid="{00000000-0009-0000-0100-00008B000000}"/>
  <tableColumns count="28">
    <tableColumn id="1" xr3:uid="{00000000-0010-0000-8800-000001000000}" name="Name" dataDxfId="2337"/>
    <tableColumn id="2" xr3:uid="{00000000-0010-0000-8800-000002000000}" name="POS" dataDxfId="2336"/>
    <tableColumn id="3" xr3:uid="{00000000-0010-0000-8800-000003000000}" name="Age" dataDxfId="2335"/>
    <tableColumn id="4" xr3:uid="{00000000-0010-0000-8800-000004000000}" name="Exp" dataDxfId="2334"/>
    <tableColumn id="5" xr3:uid="{00000000-0010-0000-8800-000005000000}" name="College" dataDxfId="2333"/>
    <tableColumn id="6" xr3:uid="{00000000-0010-0000-8800-000006000000}" name="team" dataDxfId="2332"/>
    <tableColumn id="7" xr3:uid="{00000000-0010-0000-8800-000007000000}" name="g" dataDxfId="2331"/>
    <tableColumn id="8" xr3:uid="{00000000-0010-0000-8800-000008000000}" name="p_att" dataDxfId="2330"/>
    <tableColumn id="9" xr3:uid="{00000000-0010-0000-8800-000009000000}" name="cmp" dataDxfId="2329"/>
    <tableColumn id="10" xr3:uid="{00000000-0010-0000-8800-00000A000000}" name="p_yd" dataDxfId="2328"/>
    <tableColumn id="11" xr3:uid="{00000000-0010-0000-8800-00000B000000}" name="p_td" dataDxfId="2327"/>
    <tableColumn id="12" xr3:uid="{00000000-0010-0000-8800-00000C000000}" name="int" dataDxfId="2326"/>
    <tableColumn id="13" xr3:uid="{00000000-0010-0000-8800-00000D000000}" name="car" dataDxfId="2325"/>
    <tableColumn id="14" xr3:uid="{00000000-0010-0000-8800-00000E000000}" name="r_yd" dataDxfId="2324"/>
    <tableColumn id="15" xr3:uid="{00000000-0010-0000-8800-00000F000000}" name="r_td" dataDxfId="2323"/>
    <tableColumn id="16" xr3:uid="{00000000-0010-0000-8800-000010000000}" name="tgt" dataDxfId="2322"/>
    <tableColumn id="17" xr3:uid="{00000000-0010-0000-8800-000011000000}" name="rec" dataDxfId="2321"/>
    <tableColumn id="18" xr3:uid="{00000000-0010-0000-8800-000012000000}" name="rec_yd" dataDxfId="2320"/>
    <tableColumn id="19" xr3:uid="{00000000-0010-0000-8800-000013000000}" name="rec_td" dataDxfId="2319"/>
    <tableColumn id="20" xr3:uid="{00000000-0010-0000-8800-000014000000}" name="fmb" dataDxfId="2318"/>
    <tableColumn id="21" xr3:uid="{00000000-0010-0000-8800-000015000000}" name="tp_c" dataDxfId="2317"/>
    <tableColumn id="22" xr3:uid="{00000000-0010-0000-8800-000016000000}" name="f_ppr" dataDxfId="2316"/>
    <tableColumn id="23" xr3:uid="{00000000-0010-0000-8800-000017000000}" name="tgt_share" dataDxfId="2315"/>
    <tableColumn id="24" xr3:uid="{00000000-0010-0000-8800-000018000000}" name="ypc" dataDxfId="2314"/>
    <tableColumn id="25" xr3:uid="{00000000-0010-0000-8800-000019000000}" name="ypr" dataDxfId="2313"/>
    <tableColumn id="26" xr3:uid="{00000000-0010-0000-8800-00001A000000}" name="cmp_pct" dataDxfId="2312"/>
    <tableColumn id="27" xr3:uid="{00000000-0010-0000-8800-00001B000000}" name="td_rate" dataDxfId="2311"/>
    <tableColumn id="28" xr3:uid="{00000000-0010-0000-8800-00001C000000}" name="f_custom" dataDxfId="2310"/>
  </tableColumns>
  <tableStyleInfo name="TableStyleMedium1" showFirstColumn="0" showLastColumn="0" showRowStripes="1" showColumnStripes="0"/>
</table>
</file>

<file path=xl/tables/table1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0" xr:uid="{00000000-000C-0000-FFFF-FFFF89000000}" name="MIA_Table5" displayName="MIA_Table5" ref="A45:AB51" totalsRowShown="0" headerRowDxfId="2309" dataDxfId="2308">
  <autoFilter ref="A45:AB51" xr:uid="{00000000-0009-0000-0100-00008C000000}"/>
  <tableColumns count="28">
    <tableColumn id="1" xr3:uid="{00000000-0010-0000-8900-000001000000}" name="Name" dataDxfId="2307"/>
    <tableColumn id="2" xr3:uid="{00000000-0010-0000-8900-000002000000}" name="POS" dataDxfId="2306"/>
    <tableColumn id="3" xr3:uid="{00000000-0010-0000-8900-000003000000}" name="Age" dataDxfId="2305"/>
    <tableColumn id="4" xr3:uid="{00000000-0010-0000-8900-000004000000}" name="Exp" dataDxfId="2304"/>
    <tableColumn id="5" xr3:uid="{00000000-0010-0000-8900-000005000000}" name="College" dataDxfId="2303"/>
    <tableColumn id="6" xr3:uid="{00000000-0010-0000-8900-000006000000}" name="team" dataDxfId="2302"/>
    <tableColumn id="7" xr3:uid="{00000000-0010-0000-8900-000007000000}" name="g" dataDxfId="2301"/>
    <tableColumn id="8" xr3:uid="{00000000-0010-0000-8900-000008000000}" name="p_att" dataDxfId="2300"/>
    <tableColumn id="9" xr3:uid="{00000000-0010-0000-8900-000009000000}" name="cmp" dataDxfId="2299"/>
    <tableColumn id="10" xr3:uid="{00000000-0010-0000-8900-00000A000000}" name="p_yd" dataDxfId="2298"/>
    <tableColumn id="11" xr3:uid="{00000000-0010-0000-8900-00000B000000}" name="p_td" dataDxfId="2297"/>
    <tableColumn id="12" xr3:uid="{00000000-0010-0000-8900-00000C000000}" name="int" dataDxfId="2296"/>
    <tableColumn id="13" xr3:uid="{00000000-0010-0000-8900-00000D000000}" name="car" dataDxfId="2295"/>
    <tableColumn id="14" xr3:uid="{00000000-0010-0000-8900-00000E000000}" name="r_yd" dataDxfId="2294"/>
    <tableColumn id="15" xr3:uid="{00000000-0010-0000-8900-00000F000000}" name="r_td" dataDxfId="2293"/>
    <tableColumn id="16" xr3:uid="{00000000-0010-0000-8900-000010000000}" name="tgt" dataDxfId="2292"/>
    <tableColumn id="17" xr3:uid="{00000000-0010-0000-8900-000011000000}" name="rec" dataDxfId="2291"/>
    <tableColumn id="18" xr3:uid="{00000000-0010-0000-8900-000012000000}" name="rec_yd" dataDxfId="2290"/>
    <tableColumn id="19" xr3:uid="{00000000-0010-0000-8900-000013000000}" name="rec_td" dataDxfId="2289"/>
    <tableColumn id="20" xr3:uid="{00000000-0010-0000-8900-000014000000}" name="fmb" dataDxfId="2288"/>
    <tableColumn id="21" xr3:uid="{00000000-0010-0000-8900-000015000000}" name="tp_c" dataDxfId="2287"/>
    <tableColumn id="22" xr3:uid="{00000000-0010-0000-8900-000016000000}" name="f_ppr" dataDxfId="2286"/>
    <tableColumn id="23" xr3:uid="{00000000-0010-0000-8900-000017000000}" name="tgt_share" dataDxfId="2285"/>
    <tableColumn id="24" xr3:uid="{00000000-0010-0000-8900-000018000000}" name="ypc" dataDxfId="2284"/>
    <tableColumn id="25" xr3:uid="{00000000-0010-0000-8900-000019000000}" name="ypr" dataDxfId="2283"/>
    <tableColumn id="26" xr3:uid="{00000000-0010-0000-8900-00001A000000}" name="cmp_pct" dataDxfId="2282"/>
    <tableColumn id="27" xr3:uid="{00000000-0010-0000-8900-00001B000000}" name="td_rate" dataDxfId="2281"/>
    <tableColumn id="28" xr3:uid="{00000000-0010-0000-8900-00001C000000}" name="f_custom" dataDxfId="2280">
      <calculatedColumnFormula>($J46*Cp_yd)+($K46*Cp_td)+($L46*Cint)+($M46*Ccar)+($N46*Cr_td)+($O46*Cr_yd)+(Q46*Crec)+($R46*Crec_yd)+($S46*Crec_td)+($T46*Cfmb)+($U46*Ctp_c)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1" xr:uid="{00000000-000C-0000-FFFF-FFFF8A000000}" name="MIA_Table6" displayName="MIA_Table6" ref="A60:AB71" totalsRowShown="0" headerRowDxfId="2279" dataDxfId="2278">
  <autoFilter ref="A60:AB71" xr:uid="{00000000-0009-0000-0100-00008D000000}"/>
  <tableColumns count="28">
    <tableColumn id="1" xr3:uid="{00000000-0010-0000-8A00-000001000000}" name="Name" dataDxfId="2277"/>
    <tableColumn id="2" xr3:uid="{00000000-0010-0000-8A00-000002000000}" name="POS" dataDxfId="2276"/>
    <tableColumn id="3" xr3:uid="{00000000-0010-0000-8A00-000003000000}" name="Age" dataDxfId="2275"/>
    <tableColumn id="4" xr3:uid="{00000000-0010-0000-8A00-000004000000}" name="Exp" dataDxfId="2274"/>
    <tableColumn id="5" xr3:uid="{00000000-0010-0000-8A00-000005000000}" name="College" dataDxfId="2273"/>
    <tableColumn id="6" xr3:uid="{00000000-0010-0000-8A00-000006000000}" name="team" dataDxfId="2272"/>
    <tableColumn id="7" xr3:uid="{00000000-0010-0000-8A00-000007000000}" name="g" dataDxfId="2271"/>
    <tableColumn id="8" xr3:uid="{00000000-0010-0000-8A00-000008000000}" name="p_att" dataDxfId="2270"/>
    <tableColumn id="9" xr3:uid="{00000000-0010-0000-8A00-000009000000}" name="cmp" dataDxfId="2269"/>
    <tableColumn id="10" xr3:uid="{00000000-0010-0000-8A00-00000A000000}" name="p_yd" dataDxfId="2268"/>
    <tableColumn id="11" xr3:uid="{00000000-0010-0000-8A00-00000B000000}" name="p_td" dataDxfId="2267"/>
    <tableColumn id="12" xr3:uid="{00000000-0010-0000-8A00-00000C000000}" name="int" dataDxfId="2266"/>
    <tableColumn id="13" xr3:uid="{00000000-0010-0000-8A00-00000D000000}" name="car" dataDxfId="2265"/>
    <tableColumn id="14" xr3:uid="{00000000-0010-0000-8A00-00000E000000}" name="r_yd" dataDxfId="2264"/>
    <tableColumn id="15" xr3:uid="{00000000-0010-0000-8A00-00000F000000}" name="r_td" dataDxfId="2263"/>
    <tableColumn id="16" xr3:uid="{00000000-0010-0000-8A00-000010000000}" name="tgt" dataDxfId="2262"/>
    <tableColumn id="17" xr3:uid="{00000000-0010-0000-8A00-000011000000}" name="rec" dataDxfId="2261"/>
    <tableColumn id="18" xr3:uid="{00000000-0010-0000-8A00-000012000000}" name="rec_yd" dataDxfId="2260"/>
    <tableColumn id="19" xr3:uid="{00000000-0010-0000-8A00-000013000000}" name="rec_td" dataDxfId="2259"/>
    <tableColumn id="20" xr3:uid="{00000000-0010-0000-8A00-000014000000}" name="fmb" dataDxfId="2258"/>
    <tableColumn id="21" xr3:uid="{00000000-0010-0000-8A00-000015000000}" name="tp_c" dataDxfId="2257"/>
    <tableColumn id="22" xr3:uid="{00000000-0010-0000-8A00-000016000000}" name="f_ppr" dataDxfId="2256"/>
    <tableColumn id="23" xr3:uid="{00000000-0010-0000-8A00-000017000000}" name="tgt_share" dataDxfId="2255"/>
    <tableColumn id="24" xr3:uid="{00000000-0010-0000-8A00-000018000000}" name="ypc" dataDxfId="2254"/>
    <tableColumn id="25" xr3:uid="{00000000-0010-0000-8A00-000019000000}" name="ypr" dataDxfId="2253"/>
    <tableColumn id="26" xr3:uid="{00000000-0010-0000-8A00-00001A000000}" name="cmp_pct" dataDxfId="2252"/>
    <tableColumn id="27" xr3:uid="{00000000-0010-0000-8A00-00001B000000}" name="td_rate" dataDxfId="2251"/>
    <tableColumn id="28" xr3:uid="{00000000-0010-0000-8A00-00001C000000}" name="f_custom" dataDxfId="2250"/>
  </tableColumns>
  <tableStyleInfo name="TableStyleMedium1" showFirstColumn="0" showLastColumn="0" showRowStripes="1" showColumnStripes="0"/>
</table>
</file>

<file path=xl/tables/table1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2" xr:uid="{00000000-000C-0000-FFFF-FFFF8B000000}" name="MIA_Table7" displayName="MIA_Table7" ref="A75:AB81" totalsRowShown="0" headerRowDxfId="2249" dataDxfId="2248">
  <autoFilter ref="A75:AB81" xr:uid="{00000000-0009-0000-0100-00008E000000}"/>
  <tableColumns count="28">
    <tableColumn id="1" xr3:uid="{00000000-0010-0000-8B00-000001000000}" name="Name" dataDxfId="2247"/>
    <tableColumn id="2" xr3:uid="{00000000-0010-0000-8B00-000002000000}" name="POS" dataDxfId="2246"/>
    <tableColumn id="3" xr3:uid="{00000000-0010-0000-8B00-000003000000}" name="Age" dataDxfId="2245"/>
    <tableColumn id="4" xr3:uid="{00000000-0010-0000-8B00-000004000000}" name="Exp" dataDxfId="2244"/>
    <tableColumn id="5" xr3:uid="{00000000-0010-0000-8B00-000005000000}" name="College" dataDxfId="2243"/>
    <tableColumn id="6" xr3:uid="{00000000-0010-0000-8B00-000006000000}" name="team" dataDxfId="2242"/>
    <tableColumn id="7" xr3:uid="{00000000-0010-0000-8B00-000007000000}" name="g" dataDxfId="2241"/>
    <tableColumn id="8" xr3:uid="{00000000-0010-0000-8B00-000008000000}" name="p_att" dataDxfId="2240"/>
    <tableColumn id="9" xr3:uid="{00000000-0010-0000-8B00-000009000000}" name="cmp" dataDxfId="2239"/>
    <tableColumn id="10" xr3:uid="{00000000-0010-0000-8B00-00000A000000}" name="p_yd" dataDxfId="2238"/>
    <tableColumn id="11" xr3:uid="{00000000-0010-0000-8B00-00000B000000}" name="p_td" dataDxfId="2237"/>
    <tableColumn id="12" xr3:uid="{00000000-0010-0000-8B00-00000C000000}" name="int" dataDxfId="2236"/>
    <tableColumn id="13" xr3:uid="{00000000-0010-0000-8B00-00000D000000}" name="car" dataDxfId="2235"/>
    <tableColumn id="14" xr3:uid="{00000000-0010-0000-8B00-00000E000000}" name="r_yd" dataDxfId="2234"/>
    <tableColumn id="15" xr3:uid="{00000000-0010-0000-8B00-00000F000000}" name="r_td" dataDxfId="2233"/>
    <tableColumn id="16" xr3:uid="{00000000-0010-0000-8B00-000010000000}" name="tgt" dataDxfId="2232"/>
    <tableColumn id="17" xr3:uid="{00000000-0010-0000-8B00-000011000000}" name="rec" dataDxfId="2231"/>
    <tableColumn id="18" xr3:uid="{00000000-0010-0000-8B00-000012000000}" name="rec_yd" dataDxfId="2230"/>
    <tableColumn id="19" xr3:uid="{00000000-0010-0000-8B00-000013000000}" name="rec_td" dataDxfId="2229"/>
    <tableColumn id="20" xr3:uid="{00000000-0010-0000-8B00-000014000000}" name="fmb" dataDxfId="2228"/>
    <tableColumn id="21" xr3:uid="{00000000-0010-0000-8B00-000015000000}" name="tp_c" dataDxfId="2227"/>
    <tableColumn id="22" xr3:uid="{00000000-0010-0000-8B00-000016000000}" name="f_ppr" dataDxfId="2226"/>
    <tableColumn id="23" xr3:uid="{00000000-0010-0000-8B00-000017000000}" name="tgt_share" dataDxfId="2225"/>
    <tableColumn id="24" xr3:uid="{00000000-0010-0000-8B00-000018000000}" name="ypc" dataDxfId="2224"/>
    <tableColumn id="25" xr3:uid="{00000000-0010-0000-8B00-000019000000}" name="ypr" dataDxfId="2223"/>
    <tableColumn id="26" xr3:uid="{00000000-0010-0000-8B00-00001A000000}" name="cmp_pct" dataDxfId="2222"/>
    <tableColumn id="27" xr3:uid="{00000000-0010-0000-8B00-00001B000000}" name="td_rate" dataDxfId="2221"/>
    <tableColumn id="28" xr3:uid="{00000000-0010-0000-8B00-00001C000000}" name="f_custom" dataDxfId="2220"/>
  </tableColumns>
  <tableStyleInfo name="TableStyleMedium1" showFirstColumn="0" showLastColumn="0" showRowStripes="1" showColumnStripes="0"/>
</table>
</file>

<file path=xl/tables/table1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3" xr:uid="{00000000-000C-0000-FFFF-FFFF8C000000}" name="MIN_Table1" displayName="MIN_Table1" ref="A1:X17" totalsRowShown="0" headerRowDxfId="2219" dataDxfId="2218">
  <autoFilter ref="A1:X17" xr:uid="{00000000-0009-0000-0100-00008F000000}"/>
  <tableColumns count="24">
    <tableColumn id="1" xr3:uid="{00000000-0010-0000-8C00-000001000000}" name="player_name" dataDxfId="2217"/>
    <tableColumn id="2" xr3:uid="{00000000-0010-0000-8C00-000002000000}" name="recent_team" dataDxfId="2216"/>
    <tableColumn id="3" xr3:uid="{00000000-0010-0000-8C00-000003000000}" name="pos" dataDxfId="2215"/>
    <tableColumn id="4" xr3:uid="{00000000-0010-0000-8C00-000004000000}" name="g" dataDxfId="2214"/>
    <tableColumn id="5" xr3:uid="{00000000-0010-0000-8C00-000005000000}" name="p_att" dataDxfId="2213"/>
    <tableColumn id="6" xr3:uid="{00000000-0010-0000-8C00-000006000000}" name="cmp" dataDxfId="2212"/>
    <tableColumn id="7" xr3:uid="{00000000-0010-0000-8C00-000007000000}" name="p_yd" dataDxfId="2211"/>
    <tableColumn id="8" xr3:uid="{00000000-0010-0000-8C00-000008000000}" name="p_td" dataDxfId="2210"/>
    <tableColumn id="9" xr3:uid="{00000000-0010-0000-8C00-000009000000}" name="int" dataDxfId="2209"/>
    <tableColumn id="10" xr3:uid="{00000000-0010-0000-8C00-00000A000000}" name="car" dataDxfId="2208"/>
    <tableColumn id="11" xr3:uid="{00000000-0010-0000-8C00-00000B000000}" name="r_yd" dataDxfId="2207"/>
    <tableColumn id="12" xr3:uid="{00000000-0010-0000-8C00-00000C000000}" name="r_td" dataDxfId="2206"/>
    <tableColumn id="13" xr3:uid="{00000000-0010-0000-8C00-00000D000000}" name="tgt" dataDxfId="2205"/>
    <tableColumn id="14" xr3:uid="{00000000-0010-0000-8C00-00000E000000}" name="rec" dataDxfId="2204"/>
    <tableColumn id="15" xr3:uid="{00000000-0010-0000-8C00-00000F000000}" name="rec_yd" dataDxfId="2203"/>
    <tableColumn id="16" xr3:uid="{00000000-0010-0000-8C00-000010000000}" name="rec_td" dataDxfId="2202"/>
    <tableColumn id="17" xr3:uid="{00000000-0010-0000-8C00-000011000000}" name="fmb" dataDxfId="2201"/>
    <tableColumn id="18" xr3:uid="{00000000-0010-0000-8C00-000012000000}" name="tp_c" dataDxfId="2200"/>
    <tableColumn id="19" xr3:uid="{00000000-0010-0000-8C00-000013000000}" name="f_ppr" dataDxfId="2199"/>
    <tableColumn id="20" xr3:uid="{00000000-0010-0000-8C00-000014000000}" name="tgt_share" dataDxfId="2198"/>
    <tableColumn id="21" xr3:uid="{00000000-0010-0000-8C00-000015000000}" name="ypc" dataDxfId="2197"/>
    <tableColumn id="22" xr3:uid="{00000000-0010-0000-8C00-000016000000}" name="ypr" dataDxfId="2196"/>
    <tableColumn id="23" xr3:uid="{00000000-0010-0000-8C00-000017000000}" name="cmp_pct" dataDxfId="2195"/>
    <tableColumn id="24" xr3:uid="{00000000-0010-0000-8C00-000018000000}" name="td_rate" dataDxfId="2194"/>
  </tableColumns>
  <tableStyleInfo name="TableStyleMedium1" showFirstColumn="0" showLastColumn="0" showRowStripes="1" showColumnStripes="0"/>
</table>
</file>

<file path=xl/tables/table1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4" xr:uid="{00000000-000C-0000-FFFF-FFFF8D000000}" name="MIN_Table2" displayName="MIN_Table2" ref="A30:L31" totalsRowShown="0" headerRowDxfId="2193" dataDxfId="2192">
  <autoFilter ref="A30:L31" xr:uid="{00000000-0009-0000-0100-000090000000}"/>
  <tableColumns count="12">
    <tableColumn id="1" xr3:uid="{00000000-0010-0000-8D00-000001000000}" name="team" dataDxfId="2191"/>
    <tableColumn id="2" xr3:uid="{00000000-0010-0000-8D00-000002000000}" name="off_yd" dataDxfId="2190"/>
    <tableColumn id="3" xr3:uid="{00000000-0010-0000-8D00-000003000000}" name="p_yd" dataDxfId="2189"/>
    <tableColumn id="4" xr3:uid="{00000000-0010-0000-8D00-000004000000}" name="car" dataDxfId="2188"/>
    <tableColumn id="5" xr3:uid="{00000000-0010-0000-8D00-000005000000}" name="r_yd" dataDxfId="2187"/>
    <tableColumn id="6" xr3:uid="{00000000-0010-0000-8D00-000006000000}" name="r_td" dataDxfId="2186"/>
    <tableColumn id="7" xr3:uid="{00000000-0010-0000-8D00-000007000000}" name="p_ff" dataDxfId="2185"/>
    <tableColumn id="8" xr3:uid="{00000000-0010-0000-8D00-000008000000}" name="p_att" dataDxfId="2184"/>
    <tableColumn id="9" xr3:uid="{00000000-0010-0000-8D00-000009000000}" name="cmp_pct" dataDxfId="2183"/>
    <tableColumn id="10" xr3:uid="{00000000-0010-0000-8D00-00000A000000}" name="p_td" dataDxfId="2182"/>
    <tableColumn id="11" xr3:uid="{00000000-0010-0000-8D00-00000B000000}" name="int" dataDxfId="2181"/>
    <tableColumn id="12" xr3:uid="{00000000-0010-0000-8D00-00000C000000}" name="fmb" dataDxfId="2180"/>
  </tableColumns>
  <tableStyleInfo name="TableStyleMedium1" showFirstColumn="0" showLastColumn="0" showRowStripes="1" showColumnStripes="0"/>
</table>
</file>

<file path=xl/tables/table1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5" xr:uid="{00000000-000C-0000-FFFF-FFFF8E000000}" name="MIN_Table3" displayName="MIN_Table3" ref="A32:L33" totalsRowShown="0" headerRowDxfId="2179" dataDxfId="2178">
  <autoFilter ref="A32:L33" xr:uid="{00000000-0009-0000-0100-000091000000}"/>
  <tableColumns count="12">
    <tableColumn id="1" xr3:uid="{00000000-0010-0000-8E00-000001000000}" name="team" dataDxfId="2177">
      <calculatedColumnFormula>A31</calculatedColumnFormula>
    </tableColumn>
    <tableColumn id="2" xr3:uid="{00000000-0010-0000-8E00-000002000000}" name="off_yd" dataDxfId="2176">
      <calculatedColumnFormula>C33 + E33</calculatedColumnFormula>
    </tableColumn>
    <tableColumn id="3" xr3:uid="{00000000-0010-0000-8E00-000003000000}" name="p_yd" dataDxfId="2175">
      <calculatedColumnFormula>SUM(INDIRECT(A33 &amp; "_Table4[[#All],[p_yd]]"))</calculatedColumnFormula>
    </tableColumn>
    <tableColumn id="4" xr3:uid="{00000000-0010-0000-8E00-000004000000}" name="car" dataDxfId="2174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8E00-000005000000}" name="r_yd" dataDxfId="2173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8E00-000006000000}" name="r_td" dataDxfId="2172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8E00-000007000000}" name="p_ff" dataDxfId="2171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8E00-000008000000}" name="p_att" dataDxfId="2170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8E00-000009000000}" name="cmp_pct" dataDxfId="2169">
      <calculatedColumnFormula>SUM(INDIRECT(A33 &amp; "_Table4[[#All],[cmp]]"))/H33</calculatedColumnFormula>
    </tableColumn>
    <tableColumn id="10" xr3:uid="{00000000-0010-0000-8E00-00000A000000}" name="p_td" dataDxfId="2168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8E00-00000B000000}" name="int" dataDxfId="2167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8E00-00000C000000}" name="fmb" dataDxfId="2166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</tableColumns>
  <tableStyleInfo name="TableStyleMedium1" showFirstColumn="0" showLastColumn="0" showRowStripes="1" showColumnStripes="0"/>
</table>
</file>

<file path=xl/tables/table1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6" xr:uid="{00000000-000C-0000-FFFF-FFFF8F000000}" name="MIN_Table4" displayName="MIN_Table4" ref="A35:AB38" totalsRowShown="0" headerRowDxfId="2165" dataDxfId="2164">
  <autoFilter ref="A35:AB38" xr:uid="{00000000-0009-0000-0100-000092000000}"/>
  <tableColumns count="28">
    <tableColumn id="1" xr3:uid="{00000000-0010-0000-8F00-000001000000}" name="Name" dataDxfId="2163"/>
    <tableColumn id="2" xr3:uid="{00000000-0010-0000-8F00-000002000000}" name="POS" dataDxfId="2162"/>
    <tableColumn id="3" xr3:uid="{00000000-0010-0000-8F00-000003000000}" name="Age" dataDxfId="2161"/>
    <tableColumn id="4" xr3:uid="{00000000-0010-0000-8F00-000004000000}" name="Exp" dataDxfId="2160"/>
    <tableColumn id="5" xr3:uid="{00000000-0010-0000-8F00-000005000000}" name="College" dataDxfId="2159"/>
    <tableColumn id="6" xr3:uid="{00000000-0010-0000-8F00-000006000000}" name="team" dataDxfId="2158"/>
    <tableColumn id="7" xr3:uid="{00000000-0010-0000-8F00-000007000000}" name="g" dataDxfId="2157"/>
    <tableColumn id="8" xr3:uid="{00000000-0010-0000-8F00-000008000000}" name="p_att" dataDxfId="2156"/>
    <tableColumn id="9" xr3:uid="{00000000-0010-0000-8F00-000009000000}" name="cmp" dataDxfId="2155"/>
    <tableColumn id="10" xr3:uid="{00000000-0010-0000-8F00-00000A000000}" name="p_yd" dataDxfId="2154"/>
    <tableColumn id="11" xr3:uid="{00000000-0010-0000-8F00-00000B000000}" name="p_td" dataDxfId="2153"/>
    <tableColumn id="12" xr3:uid="{00000000-0010-0000-8F00-00000C000000}" name="int" dataDxfId="2152"/>
    <tableColumn id="13" xr3:uid="{00000000-0010-0000-8F00-00000D000000}" name="car" dataDxfId="2151"/>
    <tableColumn id="14" xr3:uid="{00000000-0010-0000-8F00-00000E000000}" name="r_yd" dataDxfId="2150"/>
    <tableColumn id="15" xr3:uid="{00000000-0010-0000-8F00-00000F000000}" name="r_td" dataDxfId="2149"/>
    <tableColumn id="16" xr3:uid="{00000000-0010-0000-8F00-000010000000}" name="tgt" dataDxfId="2148"/>
    <tableColumn id="17" xr3:uid="{00000000-0010-0000-8F00-000011000000}" name="rec" dataDxfId="2147"/>
    <tableColumn id="18" xr3:uid="{00000000-0010-0000-8F00-000012000000}" name="rec_yd" dataDxfId="2146"/>
    <tableColumn id="19" xr3:uid="{00000000-0010-0000-8F00-000013000000}" name="rec_td" dataDxfId="2145"/>
    <tableColumn id="20" xr3:uid="{00000000-0010-0000-8F00-000014000000}" name="fmb" dataDxfId="2144"/>
    <tableColumn id="21" xr3:uid="{00000000-0010-0000-8F00-000015000000}" name="tp_c" dataDxfId="2143"/>
    <tableColumn id="22" xr3:uid="{00000000-0010-0000-8F00-000016000000}" name="f_ppr" dataDxfId="2142"/>
    <tableColumn id="23" xr3:uid="{00000000-0010-0000-8F00-000017000000}" name="tgt_share" dataDxfId="2141"/>
    <tableColumn id="24" xr3:uid="{00000000-0010-0000-8F00-000018000000}" name="ypc" dataDxfId="2140"/>
    <tableColumn id="25" xr3:uid="{00000000-0010-0000-8F00-000019000000}" name="ypr" dataDxfId="2139"/>
    <tableColumn id="26" xr3:uid="{00000000-0010-0000-8F00-00001A000000}" name="cmp_pct" dataDxfId="2138"/>
    <tableColumn id="27" xr3:uid="{00000000-0010-0000-8F00-00001B000000}" name="td_rate" dataDxfId="2137"/>
    <tableColumn id="28" xr3:uid="{00000000-0010-0000-8F00-00001C000000}" name="f_custom" dataDxfId="2136"/>
  </tableColumns>
  <tableStyleInfo name="TableStyleMedium1" showFirstColumn="0" showLastColumn="0" showRowStripes="1" showColumnStripes="0"/>
</table>
</file>

<file path=xl/tables/table1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7" xr:uid="{00000000-000C-0000-FFFF-FFFF90000000}" name="MIN_Table5" displayName="MIN_Table5" ref="A45:AB51" totalsRowShown="0" headerRowDxfId="2135" dataDxfId="2134">
  <autoFilter ref="A45:AB51" xr:uid="{00000000-0009-0000-0100-000093000000}"/>
  <tableColumns count="28">
    <tableColumn id="1" xr3:uid="{00000000-0010-0000-9000-000001000000}" name="Name" dataDxfId="2133"/>
    <tableColumn id="2" xr3:uid="{00000000-0010-0000-9000-000002000000}" name="POS" dataDxfId="2132"/>
    <tableColumn id="3" xr3:uid="{00000000-0010-0000-9000-000003000000}" name="Age" dataDxfId="2131"/>
    <tableColumn id="4" xr3:uid="{00000000-0010-0000-9000-000004000000}" name="Exp" dataDxfId="2130"/>
    <tableColumn id="5" xr3:uid="{00000000-0010-0000-9000-000005000000}" name="College" dataDxfId="2129"/>
    <tableColumn id="6" xr3:uid="{00000000-0010-0000-9000-000006000000}" name="team" dataDxfId="2128"/>
    <tableColumn id="7" xr3:uid="{00000000-0010-0000-9000-000007000000}" name="g" dataDxfId="2127"/>
    <tableColumn id="8" xr3:uid="{00000000-0010-0000-9000-000008000000}" name="p_att" dataDxfId="2126"/>
    <tableColumn id="9" xr3:uid="{00000000-0010-0000-9000-000009000000}" name="cmp" dataDxfId="2125"/>
    <tableColumn id="10" xr3:uid="{00000000-0010-0000-9000-00000A000000}" name="p_yd" dataDxfId="2124"/>
    <tableColumn id="11" xr3:uid="{00000000-0010-0000-9000-00000B000000}" name="p_td" dataDxfId="2123"/>
    <tableColumn id="12" xr3:uid="{00000000-0010-0000-9000-00000C000000}" name="int" dataDxfId="2122"/>
    <tableColumn id="13" xr3:uid="{00000000-0010-0000-9000-00000D000000}" name="car" dataDxfId="2121"/>
    <tableColumn id="14" xr3:uid="{00000000-0010-0000-9000-00000E000000}" name="r_yd" dataDxfId="2120"/>
    <tableColumn id="15" xr3:uid="{00000000-0010-0000-9000-00000F000000}" name="r_td" dataDxfId="2119"/>
    <tableColumn id="16" xr3:uid="{00000000-0010-0000-9000-000010000000}" name="tgt" dataDxfId="2118"/>
    <tableColumn id="17" xr3:uid="{00000000-0010-0000-9000-000011000000}" name="rec" dataDxfId="2117"/>
    <tableColumn id="18" xr3:uid="{00000000-0010-0000-9000-000012000000}" name="rec_yd" dataDxfId="2116"/>
    <tableColumn id="19" xr3:uid="{00000000-0010-0000-9000-000013000000}" name="rec_td" dataDxfId="2115"/>
    <tableColumn id="20" xr3:uid="{00000000-0010-0000-9000-000014000000}" name="fmb" dataDxfId="2114"/>
    <tableColumn id="21" xr3:uid="{00000000-0010-0000-9000-000015000000}" name="tp_c" dataDxfId="2113"/>
    <tableColumn id="22" xr3:uid="{00000000-0010-0000-9000-000016000000}" name="f_ppr" dataDxfId="2112"/>
    <tableColumn id="23" xr3:uid="{00000000-0010-0000-9000-000017000000}" name="tgt_share" dataDxfId="2111"/>
    <tableColumn id="24" xr3:uid="{00000000-0010-0000-9000-000018000000}" name="ypc" dataDxfId="2110"/>
    <tableColumn id="25" xr3:uid="{00000000-0010-0000-9000-000019000000}" name="ypr" dataDxfId="2109"/>
    <tableColumn id="26" xr3:uid="{00000000-0010-0000-9000-00001A000000}" name="cmp_pct" dataDxfId="2108"/>
    <tableColumn id="27" xr3:uid="{00000000-0010-0000-9000-00001B000000}" name="td_rate" dataDxfId="2107"/>
    <tableColumn id="28" xr3:uid="{00000000-0010-0000-9000-00001C000000}" name="f_custom" dataDxfId="2106">
      <calculatedColumnFormula>($J46*Cp_yd)+($K46*Cp_td)+($L46*Cint)+($M46*Ccar)+($N46*Cr_td)+($O46*Cr_yd)+(Q46*Crec)+($R46*Crec_yd)+($S46*Crec_td)+($T46*Cfmb)+($U46*Ctp_c)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8" xr:uid="{00000000-000C-0000-FFFF-FFFF91000000}" name="MIN_Table6" displayName="MIN_Table6" ref="A60:AB73" totalsRowShown="0" headerRowDxfId="2105" dataDxfId="2104">
  <autoFilter ref="A60:AB73" xr:uid="{00000000-0009-0000-0100-000094000000}"/>
  <tableColumns count="28">
    <tableColumn id="1" xr3:uid="{00000000-0010-0000-9100-000001000000}" name="Name" dataDxfId="2103"/>
    <tableColumn id="2" xr3:uid="{00000000-0010-0000-9100-000002000000}" name="POS" dataDxfId="2102"/>
    <tableColumn id="3" xr3:uid="{00000000-0010-0000-9100-000003000000}" name="Age" dataDxfId="2101"/>
    <tableColumn id="4" xr3:uid="{00000000-0010-0000-9100-000004000000}" name="Exp" dataDxfId="2100"/>
    <tableColumn id="5" xr3:uid="{00000000-0010-0000-9100-000005000000}" name="College" dataDxfId="2099"/>
    <tableColumn id="6" xr3:uid="{00000000-0010-0000-9100-000006000000}" name="team" dataDxfId="2098"/>
    <tableColumn id="7" xr3:uid="{00000000-0010-0000-9100-000007000000}" name="g" dataDxfId="2097"/>
    <tableColumn id="8" xr3:uid="{00000000-0010-0000-9100-000008000000}" name="p_att" dataDxfId="2096"/>
    <tableColumn id="9" xr3:uid="{00000000-0010-0000-9100-000009000000}" name="cmp" dataDxfId="2095"/>
    <tableColumn id="10" xr3:uid="{00000000-0010-0000-9100-00000A000000}" name="p_yd" dataDxfId="2094"/>
    <tableColumn id="11" xr3:uid="{00000000-0010-0000-9100-00000B000000}" name="p_td" dataDxfId="2093"/>
    <tableColumn id="12" xr3:uid="{00000000-0010-0000-9100-00000C000000}" name="int" dataDxfId="2092"/>
    <tableColumn id="13" xr3:uid="{00000000-0010-0000-9100-00000D000000}" name="car" dataDxfId="2091"/>
    <tableColumn id="14" xr3:uid="{00000000-0010-0000-9100-00000E000000}" name="r_yd" dataDxfId="2090"/>
    <tableColumn id="15" xr3:uid="{00000000-0010-0000-9100-00000F000000}" name="r_td" dataDxfId="2089"/>
    <tableColumn id="16" xr3:uid="{00000000-0010-0000-9100-000010000000}" name="tgt" dataDxfId="2088"/>
    <tableColumn id="17" xr3:uid="{00000000-0010-0000-9100-000011000000}" name="rec" dataDxfId="2087"/>
    <tableColumn id="18" xr3:uid="{00000000-0010-0000-9100-000012000000}" name="rec_yd" dataDxfId="2086"/>
    <tableColumn id="19" xr3:uid="{00000000-0010-0000-9100-000013000000}" name="rec_td" dataDxfId="2085"/>
    <tableColumn id="20" xr3:uid="{00000000-0010-0000-9100-000014000000}" name="fmb" dataDxfId="2084"/>
    <tableColumn id="21" xr3:uid="{00000000-0010-0000-9100-000015000000}" name="tp_c" dataDxfId="2083"/>
    <tableColumn id="22" xr3:uid="{00000000-0010-0000-9100-000016000000}" name="f_ppr" dataDxfId="2082"/>
    <tableColumn id="23" xr3:uid="{00000000-0010-0000-9100-000017000000}" name="tgt_share" dataDxfId="2081"/>
    <tableColumn id="24" xr3:uid="{00000000-0010-0000-9100-000018000000}" name="ypc" dataDxfId="2080"/>
    <tableColumn id="25" xr3:uid="{00000000-0010-0000-9100-000019000000}" name="ypr" dataDxfId="2079"/>
    <tableColumn id="26" xr3:uid="{00000000-0010-0000-9100-00001A000000}" name="cmp_pct" dataDxfId="2078"/>
    <tableColumn id="27" xr3:uid="{00000000-0010-0000-9100-00001B000000}" name="td_rate" dataDxfId="2077"/>
    <tableColumn id="28" xr3:uid="{00000000-0010-0000-9100-00001C000000}" name="f_custom" dataDxfId="2076"/>
  </tableColumns>
  <tableStyleInfo name="TableStyleMedium1" showFirstColumn="0" showLastColumn="0" showRowStripes="1" showColumnStripes="0"/>
</table>
</file>

<file path=xl/tables/table1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9" xr:uid="{00000000-000C-0000-FFFF-FFFF92000000}" name="MIN_Table7" displayName="MIN_Table7" ref="A75:AB81" totalsRowShown="0" headerRowDxfId="2075" dataDxfId="2074">
  <autoFilter ref="A75:AB81" xr:uid="{00000000-0009-0000-0100-000095000000}"/>
  <tableColumns count="28">
    <tableColumn id="1" xr3:uid="{00000000-0010-0000-9200-000001000000}" name="Name" dataDxfId="2073"/>
    <tableColumn id="2" xr3:uid="{00000000-0010-0000-9200-000002000000}" name="POS" dataDxfId="2072"/>
    <tableColumn id="3" xr3:uid="{00000000-0010-0000-9200-000003000000}" name="Age" dataDxfId="2071"/>
    <tableColumn id="4" xr3:uid="{00000000-0010-0000-9200-000004000000}" name="Exp" dataDxfId="2070"/>
    <tableColumn id="5" xr3:uid="{00000000-0010-0000-9200-000005000000}" name="College" dataDxfId="2069"/>
    <tableColumn id="6" xr3:uid="{00000000-0010-0000-9200-000006000000}" name="team" dataDxfId="2068"/>
    <tableColumn id="7" xr3:uid="{00000000-0010-0000-9200-000007000000}" name="g" dataDxfId="2067"/>
    <tableColumn id="8" xr3:uid="{00000000-0010-0000-9200-000008000000}" name="p_att" dataDxfId="2066"/>
    <tableColumn id="9" xr3:uid="{00000000-0010-0000-9200-000009000000}" name="cmp" dataDxfId="2065"/>
    <tableColumn id="10" xr3:uid="{00000000-0010-0000-9200-00000A000000}" name="p_yd" dataDxfId="2064"/>
    <tableColumn id="11" xr3:uid="{00000000-0010-0000-9200-00000B000000}" name="p_td" dataDxfId="2063"/>
    <tableColumn id="12" xr3:uid="{00000000-0010-0000-9200-00000C000000}" name="int" dataDxfId="2062"/>
    <tableColumn id="13" xr3:uid="{00000000-0010-0000-9200-00000D000000}" name="car" dataDxfId="2061"/>
    <tableColumn id="14" xr3:uid="{00000000-0010-0000-9200-00000E000000}" name="r_yd" dataDxfId="2060"/>
    <tableColumn id="15" xr3:uid="{00000000-0010-0000-9200-00000F000000}" name="r_td" dataDxfId="2059"/>
    <tableColumn id="16" xr3:uid="{00000000-0010-0000-9200-000010000000}" name="tgt" dataDxfId="2058"/>
    <tableColumn id="17" xr3:uid="{00000000-0010-0000-9200-000011000000}" name="rec" dataDxfId="2057"/>
    <tableColumn id="18" xr3:uid="{00000000-0010-0000-9200-000012000000}" name="rec_yd" dataDxfId="2056"/>
    <tableColumn id="19" xr3:uid="{00000000-0010-0000-9200-000013000000}" name="rec_td" dataDxfId="2055"/>
    <tableColumn id="20" xr3:uid="{00000000-0010-0000-9200-000014000000}" name="fmb" dataDxfId="2054"/>
    <tableColumn id="21" xr3:uid="{00000000-0010-0000-9200-000015000000}" name="tp_c" dataDxfId="2053"/>
    <tableColumn id="22" xr3:uid="{00000000-0010-0000-9200-000016000000}" name="f_ppr" dataDxfId="2052"/>
    <tableColumn id="23" xr3:uid="{00000000-0010-0000-9200-000017000000}" name="tgt_share" dataDxfId="2051"/>
    <tableColumn id="24" xr3:uid="{00000000-0010-0000-9200-000018000000}" name="ypc" dataDxfId="2050"/>
    <tableColumn id="25" xr3:uid="{00000000-0010-0000-9200-000019000000}" name="ypr" dataDxfId="2049"/>
    <tableColumn id="26" xr3:uid="{00000000-0010-0000-9200-00001A000000}" name="cmp_pct" dataDxfId="2048"/>
    <tableColumn id="27" xr3:uid="{00000000-0010-0000-9200-00001B000000}" name="td_rate" dataDxfId="2047"/>
    <tableColumn id="28" xr3:uid="{00000000-0010-0000-9200-00001C000000}" name="f_custom" dataDxfId="2046"/>
  </tableColumns>
  <tableStyleInfo name="TableStyleMedium1" showFirstColumn="0" showLastColumn="0" showRowStripes="1" showColumnStripes="0"/>
</table>
</file>

<file path=xl/tables/table1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0" xr:uid="{00000000-000C-0000-FFFF-FFFF93000000}" name="NE_Table1" displayName="NE_Table1" ref="A1:X18" totalsRowShown="0" headerRowDxfId="2045" dataDxfId="2044">
  <autoFilter ref="A1:X18" xr:uid="{00000000-0009-0000-0100-000096000000}"/>
  <tableColumns count="24">
    <tableColumn id="1" xr3:uid="{00000000-0010-0000-9300-000001000000}" name="player_name" dataDxfId="2043"/>
    <tableColumn id="2" xr3:uid="{00000000-0010-0000-9300-000002000000}" name="recent_team" dataDxfId="2042"/>
    <tableColumn id="3" xr3:uid="{00000000-0010-0000-9300-000003000000}" name="pos" dataDxfId="2041"/>
    <tableColumn id="4" xr3:uid="{00000000-0010-0000-9300-000004000000}" name="g" dataDxfId="2040"/>
    <tableColumn id="5" xr3:uid="{00000000-0010-0000-9300-000005000000}" name="p_att" dataDxfId="2039"/>
    <tableColumn id="6" xr3:uid="{00000000-0010-0000-9300-000006000000}" name="cmp" dataDxfId="2038"/>
    <tableColumn id="7" xr3:uid="{00000000-0010-0000-9300-000007000000}" name="p_yd" dataDxfId="2037"/>
    <tableColumn id="8" xr3:uid="{00000000-0010-0000-9300-000008000000}" name="p_td" dataDxfId="2036"/>
    <tableColumn id="9" xr3:uid="{00000000-0010-0000-9300-000009000000}" name="int" dataDxfId="2035"/>
    <tableColumn id="10" xr3:uid="{00000000-0010-0000-9300-00000A000000}" name="car" dataDxfId="2034"/>
    <tableColumn id="11" xr3:uid="{00000000-0010-0000-9300-00000B000000}" name="r_yd" dataDxfId="2033"/>
    <tableColumn id="12" xr3:uid="{00000000-0010-0000-9300-00000C000000}" name="r_td" dataDxfId="2032"/>
    <tableColumn id="13" xr3:uid="{00000000-0010-0000-9300-00000D000000}" name="tgt" dataDxfId="2031"/>
    <tableColumn id="14" xr3:uid="{00000000-0010-0000-9300-00000E000000}" name="rec" dataDxfId="2030"/>
    <tableColumn id="15" xr3:uid="{00000000-0010-0000-9300-00000F000000}" name="rec_yd" dataDxfId="2029"/>
    <tableColumn id="16" xr3:uid="{00000000-0010-0000-9300-000010000000}" name="rec_td" dataDxfId="2028"/>
    <tableColumn id="17" xr3:uid="{00000000-0010-0000-9300-000011000000}" name="fmb" dataDxfId="2027"/>
    <tableColumn id="18" xr3:uid="{00000000-0010-0000-9300-000012000000}" name="tp_c" dataDxfId="2026"/>
    <tableColumn id="19" xr3:uid="{00000000-0010-0000-9300-000013000000}" name="f_ppr" dataDxfId="2025"/>
    <tableColumn id="20" xr3:uid="{00000000-0010-0000-9300-000014000000}" name="tgt_share" dataDxfId="2024"/>
    <tableColumn id="21" xr3:uid="{00000000-0010-0000-9300-000015000000}" name="ypc" dataDxfId="2023"/>
    <tableColumn id="22" xr3:uid="{00000000-0010-0000-9300-000016000000}" name="ypr" dataDxfId="2022"/>
    <tableColumn id="23" xr3:uid="{00000000-0010-0000-9300-000017000000}" name="cmp_pct" dataDxfId="2021"/>
    <tableColumn id="24" xr3:uid="{00000000-0010-0000-9300-000018000000}" name="td_rate" dataDxfId="2020"/>
  </tableColumns>
  <tableStyleInfo name="TableStyleMedium1" showFirstColumn="0" showLastColumn="0" showRowStripes="1" showColumnStripes="0"/>
</table>
</file>

<file path=xl/tables/table1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1" xr:uid="{00000000-000C-0000-FFFF-FFFF94000000}" name="NE_Table2" displayName="NE_Table2" ref="A30:L31" totalsRowShown="0" headerRowDxfId="2019" dataDxfId="2018">
  <autoFilter ref="A30:L31" xr:uid="{00000000-0009-0000-0100-000097000000}"/>
  <tableColumns count="12">
    <tableColumn id="1" xr3:uid="{00000000-0010-0000-9400-000001000000}" name="team" dataDxfId="2017"/>
    <tableColumn id="2" xr3:uid="{00000000-0010-0000-9400-000002000000}" name="off_yd" dataDxfId="2016"/>
    <tableColumn id="3" xr3:uid="{00000000-0010-0000-9400-000003000000}" name="p_yd" dataDxfId="2015"/>
    <tableColumn id="4" xr3:uid="{00000000-0010-0000-9400-000004000000}" name="car" dataDxfId="2014"/>
    <tableColumn id="5" xr3:uid="{00000000-0010-0000-9400-000005000000}" name="r_yd" dataDxfId="2013"/>
    <tableColumn id="6" xr3:uid="{00000000-0010-0000-9400-000006000000}" name="r_td" dataDxfId="2012"/>
    <tableColumn id="7" xr3:uid="{00000000-0010-0000-9400-000007000000}" name="p_ff" dataDxfId="2011"/>
    <tableColumn id="8" xr3:uid="{00000000-0010-0000-9400-000008000000}" name="p_att" dataDxfId="2010"/>
    <tableColumn id="9" xr3:uid="{00000000-0010-0000-9400-000009000000}" name="cmp_pct" dataDxfId="2009"/>
    <tableColumn id="10" xr3:uid="{00000000-0010-0000-9400-00000A000000}" name="p_td" dataDxfId="2008"/>
    <tableColumn id="11" xr3:uid="{00000000-0010-0000-9400-00000B000000}" name="int" dataDxfId="2007"/>
    <tableColumn id="12" xr3:uid="{00000000-0010-0000-9400-00000C000000}" name="fmb" dataDxfId="2006"/>
  </tableColumns>
  <tableStyleInfo name="TableStyleMedium1" showFirstColumn="0" showLastColumn="0" showRowStripes="1" showColumnStripes="0"/>
</table>
</file>

<file path=xl/tables/table1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2" xr:uid="{00000000-000C-0000-FFFF-FFFF95000000}" name="NE_Table3" displayName="NE_Table3" ref="A32:L33" totalsRowShown="0" headerRowDxfId="2005" dataDxfId="2004">
  <autoFilter ref="A32:L33" xr:uid="{00000000-0009-0000-0100-000098000000}"/>
  <tableColumns count="12">
    <tableColumn id="1" xr3:uid="{00000000-0010-0000-9500-000001000000}" name="team" dataDxfId="2003">
      <calculatedColumnFormula>A31</calculatedColumnFormula>
    </tableColumn>
    <tableColumn id="2" xr3:uid="{00000000-0010-0000-9500-000002000000}" name="off_yd" dataDxfId="2002">
      <calculatedColumnFormula>C33 + E33</calculatedColumnFormula>
    </tableColumn>
    <tableColumn id="3" xr3:uid="{00000000-0010-0000-9500-000003000000}" name="p_yd" dataDxfId="2001">
      <calculatedColumnFormula>SUM(INDIRECT(A33 &amp; "_Table4[[#All],[p_yd]]"))</calculatedColumnFormula>
    </tableColumn>
    <tableColumn id="4" xr3:uid="{00000000-0010-0000-9500-000004000000}" name="car" dataDxfId="2000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9500-000005000000}" name="r_yd" dataDxfId="1999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9500-000006000000}" name="r_td" dataDxfId="1998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9500-000007000000}" name="p_ff" dataDxfId="1997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9500-000008000000}" name="p_att" dataDxfId="1996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9500-000009000000}" name="cmp_pct" dataDxfId="1995">
      <calculatedColumnFormula>SUM(INDIRECT(A33 &amp; "_Table4[[#All],[cmp]]"))/H33</calculatedColumnFormula>
    </tableColumn>
    <tableColumn id="10" xr3:uid="{00000000-0010-0000-9500-00000A000000}" name="p_td" dataDxfId="1994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9500-00000B000000}" name="int" dataDxfId="1993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9500-00000C000000}" name="fmb" dataDxfId="1992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</tableColumns>
  <tableStyleInfo name="TableStyleMedium1" showFirstColumn="0" showLastColumn="0" showRowStripes="1" showColumnStripes="0"/>
</table>
</file>

<file path=xl/tables/table1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3" xr:uid="{00000000-000C-0000-FFFF-FFFF96000000}" name="NE_Table4" displayName="NE_Table4" ref="A35:AB39" totalsRowShown="0" headerRowDxfId="1991" dataDxfId="1990">
  <autoFilter ref="A35:AB39" xr:uid="{00000000-0009-0000-0100-000099000000}"/>
  <tableColumns count="28">
    <tableColumn id="1" xr3:uid="{00000000-0010-0000-9600-000001000000}" name="Name" dataDxfId="1989"/>
    <tableColumn id="2" xr3:uid="{00000000-0010-0000-9600-000002000000}" name="POS" dataDxfId="1988"/>
    <tableColumn id="3" xr3:uid="{00000000-0010-0000-9600-000003000000}" name="Age" dataDxfId="1987"/>
    <tableColumn id="4" xr3:uid="{00000000-0010-0000-9600-000004000000}" name="Exp" dataDxfId="1986"/>
    <tableColumn id="5" xr3:uid="{00000000-0010-0000-9600-000005000000}" name="College" dataDxfId="1985"/>
    <tableColumn id="6" xr3:uid="{00000000-0010-0000-9600-000006000000}" name="team" dataDxfId="1984"/>
    <tableColumn id="7" xr3:uid="{00000000-0010-0000-9600-000007000000}" name="g" dataDxfId="1983"/>
    <tableColumn id="8" xr3:uid="{00000000-0010-0000-9600-000008000000}" name="p_att" dataDxfId="1982"/>
    <tableColumn id="9" xr3:uid="{00000000-0010-0000-9600-000009000000}" name="cmp" dataDxfId="1981"/>
    <tableColumn id="10" xr3:uid="{00000000-0010-0000-9600-00000A000000}" name="p_yd" dataDxfId="1980"/>
    <tableColumn id="11" xr3:uid="{00000000-0010-0000-9600-00000B000000}" name="p_td" dataDxfId="1979"/>
    <tableColumn id="12" xr3:uid="{00000000-0010-0000-9600-00000C000000}" name="int" dataDxfId="1978"/>
    <tableColumn id="13" xr3:uid="{00000000-0010-0000-9600-00000D000000}" name="car" dataDxfId="1977"/>
    <tableColumn id="14" xr3:uid="{00000000-0010-0000-9600-00000E000000}" name="r_yd" dataDxfId="1976"/>
    <tableColumn id="15" xr3:uid="{00000000-0010-0000-9600-00000F000000}" name="r_td" dataDxfId="1975"/>
    <tableColumn id="16" xr3:uid="{00000000-0010-0000-9600-000010000000}" name="tgt" dataDxfId="1974"/>
    <tableColumn id="17" xr3:uid="{00000000-0010-0000-9600-000011000000}" name="rec" dataDxfId="1973"/>
    <tableColumn id="18" xr3:uid="{00000000-0010-0000-9600-000012000000}" name="rec_yd" dataDxfId="1972"/>
    <tableColumn id="19" xr3:uid="{00000000-0010-0000-9600-000013000000}" name="rec_td" dataDxfId="1971"/>
    <tableColumn id="20" xr3:uid="{00000000-0010-0000-9600-000014000000}" name="fmb" dataDxfId="1970"/>
    <tableColumn id="21" xr3:uid="{00000000-0010-0000-9600-000015000000}" name="tp_c" dataDxfId="1969"/>
    <tableColumn id="22" xr3:uid="{00000000-0010-0000-9600-000016000000}" name="f_ppr" dataDxfId="1968"/>
    <tableColumn id="23" xr3:uid="{00000000-0010-0000-9600-000017000000}" name="tgt_share" dataDxfId="1967"/>
    <tableColumn id="24" xr3:uid="{00000000-0010-0000-9600-000018000000}" name="ypc" dataDxfId="1966"/>
    <tableColumn id="25" xr3:uid="{00000000-0010-0000-9600-000019000000}" name="ypr" dataDxfId="1965"/>
    <tableColumn id="26" xr3:uid="{00000000-0010-0000-9600-00001A000000}" name="cmp_pct" dataDxfId="1964"/>
    <tableColumn id="27" xr3:uid="{00000000-0010-0000-9600-00001B000000}" name="td_rate" dataDxfId="1963"/>
    <tableColumn id="28" xr3:uid="{00000000-0010-0000-9600-00001C000000}" name="f_custom" dataDxfId="1962"/>
  </tableColumns>
  <tableStyleInfo name="TableStyleMedium1" showFirstColumn="0" showLastColumn="0" showRowStripes="1" showColumnStripes="0"/>
</table>
</file>

<file path=xl/tables/table1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4" xr:uid="{00000000-000C-0000-FFFF-FFFF97000000}" name="NE_Table5" displayName="NE_Table5" ref="A45:AB51" totalsRowShown="0" headerRowDxfId="1961" dataDxfId="1960">
  <autoFilter ref="A45:AB51" xr:uid="{00000000-0009-0000-0100-00009A000000}"/>
  <tableColumns count="28">
    <tableColumn id="1" xr3:uid="{00000000-0010-0000-9700-000001000000}" name="Name" dataDxfId="1959"/>
    <tableColumn id="2" xr3:uid="{00000000-0010-0000-9700-000002000000}" name="POS" dataDxfId="1958"/>
    <tableColumn id="3" xr3:uid="{00000000-0010-0000-9700-000003000000}" name="Age" dataDxfId="1957"/>
    <tableColumn id="4" xr3:uid="{00000000-0010-0000-9700-000004000000}" name="Exp" dataDxfId="1956"/>
    <tableColumn id="5" xr3:uid="{00000000-0010-0000-9700-000005000000}" name="College" dataDxfId="1955"/>
    <tableColumn id="6" xr3:uid="{00000000-0010-0000-9700-000006000000}" name="team" dataDxfId="1954"/>
    <tableColumn id="7" xr3:uid="{00000000-0010-0000-9700-000007000000}" name="g" dataDxfId="1953"/>
    <tableColumn id="8" xr3:uid="{00000000-0010-0000-9700-000008000000}" name="p_att" dataDxfId="1952"/>
    <tableColumn id="9" xr3:uid="{00000000-0010-0000-9700-000009000000}" name="cmp" dataDxfId="1951"/>
    <tableColumn id="10" xr3:uid="{00000000-0010-0000-9700-00000A000000}" name="p_yd" dataDxfId="1950"/>
    <tableColumn id="11" xr3:uid="{00000000-0010-0000-9700-00000B000000}" name="p_td" dataDxfId="1949"/>
    <tableColumn id="12" xr3:uid="{00000000-0010-0000-9700-00000C000000}" name="int" dataDxfId="1948"/>
    <tableColumn id="13" xr3:uid="{00000000-0010-0000-9700-00000D000000}" name="car" dataDxfId="1947"/>
    <tableColumn id="14" xr3:uid="{00000000-0010-0000-9700-00000E000000}" name="r_yd" dataDxfId="1946"/>
    <tableColumn id="15" xr3:uid="{00000000-0010-0000-9700-00000F000000}" name="r_td" dataDxfId="1945"/>
    <tableColumn id="16" xr3:uid="{00000000-0010-0000-9700-000010000000}" name="tgt" dataDxfId="1944"/>
    <tableColumn id="17" xr3:uid="{00000000-0010-0000-9700-000011000000}" name="rec" dataDxfId="1943"/>
    <tableColumn id="18" xr3:uid="{00000000-0010-0000-9700-000012000000}" name="rec_yd" dataDxfId="1942"/>
    <tableColumn id="19" xr3:uid="{00000000-0010-0000-9700-000013000000}" name="rec_td" dataDxfId="1941"/>
    <tableColumn id="20" xr3:uid="{00000000-0010-0000-9700-000014000000}" name="fmb" dataDxfId="1940"/>
    <tableColumn id="21" xr3:uid="{00000000-0010-0000-9700-000015000000}" name="tp_c" dataDxfId="1939"/>
    <tableColumn id="22" xr3:uid="{00000000-0010-0000-9700-000016000000}" name="f_ppr" dataDxfId="1938"/>
    <tableColumn id="23" xr3:uid="{00000000-0010-0000-9700-000017000000}" name="tgt_share" dataDxfId="1937"/>
    <tableColumn id="24" xr3:uid="{00000000-0010-0000-9700-000018000000}" name="ypc" dataDxfId="1936"/>
    <tableColumn id="25" xr3:uid="{00000000-0010-0000-9700-000019000000}" name="ypr" dataDxfId="1935"/>
    <tableColumn id="26" xr3:uid="{00000000-0010-0000-9700-00001A000000}" name="cmp_pct" dataDxfId="1934"/>
    <tableColumn id="27" xr3:uid="{00000000-0010-0000-9700-00001B000000}" name="td_rate" dataDxfId="1933"/>
    <tableColumn id="28" xr3:uid="{00000000-0010-0000-9700-00001C000000}" name="f_custom" dataDxfId="1932">
      <calculatedColumnFormula>($J46*Cp_yd)+($K46*Cp_td)+($L46*Cint)+($M46*Ccar)+($N46*Cr_td)+($O46*Cr_yd)+(Q46*Crec)+($R46*Crec_yd)+($S46*Crec_td)+($T46*Cfmb)+($U46*Ctp_c)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5" xr:uid="{00000000-000C-0000-FFFF-FFFF98000000}" name="NE_Table6" displayName="NE_Table6" ref="A60:AB72" totalsRowShown="0" headerRowDxfId="1931" dataDxfId="1930">
  <autoFilter ref="A60:AB72" xr:uid="{00000000-0009-0000-0100-00009B000000}"/>
  <tableColumns count="28">
    <tableColumn id="1" xr3:uid="{00000000-0010-0000-9800-000001000000}" name="Name" dataDxfId="1929"/>
    <tableColumn id="2" xr3:uid="{00000000-0010-0000-9800-000002000000}" name="POS" dataDxfId="1928"/>
    <tableColumn id="3" xr3:uid="{00000000-0010-0000-9800-000003000000}" name="Age" dataDxfId="1927"/>
    <tableColumn id="4" xr3:uid="{00000000-0010-0000-9800-000004000000}" name="Exp" dataDxfId="1926"/>
    <tableColumn id="5" xr3:uid="{00000000-0010-0000-9800-000005000000}" name="College" dataDxfId="1925"/>
    <tableColumn id="6" xr3:uid="{00000000-0010-0000-9800-000006000000}" name="team" dataDxfId="1924"/>
    <tableColumn id="7" xr3:uid="{00000000-0010-0000-9800-000007000000}" name="g" dataDxfId="1923"/>
    <tableColumn id="8" xr3:uid="{00000000-0010-0000-9800-000008000000}" name="p_att" dataDxfId="1922"/>
    <tableColumn id="9" xr3:uid="{00000000-0010-0000-9800-000009000000}" name="cmp" dataDxfId="1921"/>
    <tableColumn id="10" xr3:uid="{00000000-0010-0000-9800-00000A000000}" name="p_yd" dataDxfId="1920"/>
    <tableColumn id="11" xr3:uid="{00000000-0010-0000-9800-00000B000000}" name="p_td" dataDxfId="1919"/>
    <tableColumn id="12" xr3:uid="{00000000-0010-0000-9800-00000C000000}" name="int" dataDxfId="1918"/>
    <tableColumn id="13" xr3:uid="{00000000-0010-0000-9800-00000D000000}" name="car" dataDxfId="1917"/>
    <tableColumn id="14" xr3:uid="{00000000-0010-0000-9800-00000E000000}" name="r_yd" dataDxfId="1916"/>
    <tableColumn id="15" xr3:uid="{00000000-0010-0000-9800-00000F000000}" name="r_td" dataDxfId="1915"/>
    <tableColumn id="16" xr3:uid="{00000000-0010-0000-9800-000010000000}" name="tgt" dataDxfId="1914"/>
    <tableColumn id="17" xr3:uid="{00000000-0010-0000-9800-000011000000}" name="rec" dataDxfId="1913"/>
    <tableColumn id="18" xr3:uid="{00000000-0010-0000-9800-000012000000}" name="rec_yd" dataDxfId="1912"/>
    <tableColumn id="19" xr3:uid="{00000000-0010-0000-9800-000013000000}" name="rec_td" dataDxfId="1911"/>
    <tableColumn id="20" xr3:uid="{00000000-0010-0000-9800-000014000000}" name="fmb" dataDxfId="1910"/>
    <tableColumn id="21" xr3:uid="{00000000-0010-0000-9800-000015000000}" name="tp_c" dataDxfId="1909"/>
    <tableColumn id="22" xr3:uid="{00000000-0010-0000-9800-000016000000}" name="f_ppr" dataDxfId="1908"/>
    <tableColumn id="23" xr3:uid="{00000000-0010-0000-9800-000017000000}" name="tgt_share" dataDxfId="1907"/>
    <tableColumn id="24" xr3:uid="{00000000-0010-0000-9800-000018000000}" name="ypc" dataDxfId="1906"/>
    <tableColumn id="25" xr3:uid="{00000000-0010-0000-9800-000019000000}" name="ypr" dataDxfId="1905"/>
    <tableColumn id="26" xr3:uid="{00000000-0010-0000-9800-00001A000000}" name="cmp_pct" dataDxfId="1904"/>
    <tableColumn id="27" xr3:uid="{00000000-0010-0000-9800-00001B000000}" name="td_rate" dataDxfId="1903"/>
    <tableColumn id="28" xr3:uid="{00000000-0010-0000-9800-00001C000000}" name="f_custom" dataDxfId="1902"/>
  </tableColumns>
  <tableStyleInfo name="TableStyleMedium1" showFirstColumn="0" showLastColumn="0" showRowStripes="1" showColumnStripes="0"/>
</table>
</file>

<file path=xl/tables/table1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6" xr:uid="{00000000-000C-0000-FFFF-FFFF99000000}" name="NE_Table7" displayName="NE_Table7" ref="A75:AB81" totalsRowShown="0" headerRowDxfId="1901" dataDxfId="1900">
  <autoFilter ref="A75:AB81" xr:uid="{00000000-0009-0000-0100-00009C000000}"/>
  <tableColumns count="28">
    <tableColumn id="1" xr3:uid="{00000000-0010-0000-9900-000001000000}" name="Name" dataDxfId="1899"/>
    <tableColumn id="2" xr3:uid="{00000000-0010-0000-9900-000002000000}" name="POS" dataDxfId="1898"/>
    <tableColumn id="3" xr3:uid="{00000000-0010-0000-9900-000003000000}" name="Age" dataDxfId="1897"/>
    <tableColumn id="4" xr3:uid="{00000000-0010-0000-9900-000004000000}" name="Exp" dataDxfId="1896"/>
    <tableColumn id="5" xr3:uid="{00000000-0010-0000-9900-000005000000}" name="College" dataDxfId="1895"/>
    <tableColumn id="6" xr3:uid="{00000000-0010-0000-9900-000006000000}" name="team" dataDxfId="1894"/>
    <tableColumn id="7" xr3:uid="{00000000-0010-0000-9900-000007000000}" name="g" dataDxfId="1893"/>
    <tableColumn id="8" xr3:uid="{00000000-0010-0000-9900-000008000000}" name="p_att" dataDxfId="1892"/>
    <tableColumn id="9" xr3:uid="{00000000-0010-0000-9900-000009000000}" name="cmp" dataDxfId="1891"/>
    <tableColumn id="10" xr3:uid="{00000000-0010-0000-9900-00000A000000}" name="p_yd" dataDxfId="1890"/>
    <tableColumn id="11" xr3:uid="{00000000-0010-0000-9900-00000B000000}" name="p_td" dataDxfId="1889"/>
    <tableColumn id="12" xr3:uid="{00000000-0010-0000-9900-00000C000000}" name="int" dataDxfId="1888"/>
    <tableColumn id="13" xr3:uid="{00000000-0010-0000-9900-00000D000000}" name="car" dataDxfId="1887"/>
    <tableColumn id="14" xr3:uid="{00000000-0010-0000-9900-00000E000000}" name="r_yd" dataDxfId="1886"/>
    <tableColumn id="15" xr3:uid="{00000000-0010-0000-9900-00000F000000}" name="r_td" dataDxfId="1885"/>
    <tableColumn id="16" xr3:uid="{00000000-0010-0000-9900-000010000000}" name="tgt" dataDxfId="1884"/>
    <tableColumn id="17" xr3:uid="{00000000-0010-0000-9900-000011000000}" name="rec" dataDxfId="1883"/>
    <tableColumn id="18" xr3:uid="{00000000-0010-0000-9900-000012000000}" name="rec_yd" dataDxfId="1882"/>
    <tableColumn id="19" xr3:uid="{00000000-0010-0000-9900-000013000000}" name="rec_td" dataDxfId="1881"/>
    <tableColumn id="20" xr3:uid="{00000000-0010-0000-9900-000014000000}" name="fmb" dataDxfId="1880"/>
    <tableColumn id="21" xr3:uid="{00000000-0010-0000-9900-000015000000}" name="tp_c" dataDxfId="1879"/>
    <tableColumn id="22" xr3:uid="{00000000-0010-0000-9900-000016000000}" name="f_ppr" dataDxfId="1878"/>
    <tableColumn id="23" xr3:uid="{00000000-0010-0000-9900-000017000000}" name="tgt_share" dataDxfId="1877"/>
    <tableColumn id="24" xr3:uid="{00000000-0010-0000-9900-000018000000}" name="ypc" dataDxfId="1876"/>
    <tableColumn id="25" xr3:uid="{00000000-0010-0000-9900-000019000000}" name="ypr" dataDxfId="1875"/>
    <tableColumn id="26" xr3:uid="{00000000-0010-0000-9900-00001A000000}" name="cmp_pct" dataDxfId="1874"/>
    <tableColumn id="27" xr3:uid="{00000000-0010-0000-9900-00001B000000}" name="td_rate" dataDxfId="1873"/>
    <tableColumn id="28" xr3:uid="{00000000-0010-0000-9900-00001C000000}" name="f_custom" dataDxfId="1872"/>
  </tableColumns>
  <tableStyleInfo name="TableStyleMedium1" showFirstColumn="0" showLastColumn="0" showRowStripes="1" showColumnStripes="0"/>
</table>
</file>

<file path=xl/tables/table1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7" xr:uid="{00000000-000C-0000-FFFF-FFFF9A000000}" name="NO_Table1" displayName="NO_Table1" ref="A1:X25" totalsRowShown="0" headerRowDxfId="1871" dataDxfId="1870">
  <autoFilter ref="A1:X25" xr:uid="{00000000-0009-0000-0100-00009D000000}"/>
  <tableColumns count="24">
    <tableColumn id="1" xr3:uid="{00000000-0010-0000-9A00-000001000000}" name="player_name" dataDxfId="1869"/>
    <tableColumn id="2" xr3:uid="{00000000-0010-0000-9A00-000002000000}" name="recent_team" dataDxfId="1868"/>
    <tableColumn id="3" xr3:uid="{00000000-0010-0000-9A00-000003000000}" name="pos" dataDxfId="1867"/>
    <tableColumn id="4" xr3:uid="{00000000-0010-0000-9A00-000004000000}" name="g" dataDxfId="1866"/>
    <tableColumn id="5" xr3:uid="{00000000-0010-0000-9A00-000005000000}" name="p_att" dataDxfId="1865"/>
    <tableColumn id="6" xr3:uid="{00000000-0010-0000-9A00-000006000000}" name="cmp" dataDxfId="1864"/>
    <tableColumn id="7" xr3:uid="{00000000-0010-0000-9A00-000007000000}" name="p_yd" dataDxfId="1863"/>
    <tableColumn id="8" xr3:uid="{00000000-0010-0000-9A00-000008000000}" name="p_td" dataDxfId="1862"/>
    <tableColumn id="9" xr3:uid="{00000000-0010-0000-9A00-000009000000}" name="int" dataDxfId="1861"/>
    <tableColumn id="10" xr3:uid="{00000000-0010-0000-9A00-00000A000000}" name="car" dataDxfId="1860"/>
    <tableColumn id="11" xr3:uid="{00000000-0010-0000-9A00-00000B000000}" name="r_yd" dataDxfId="1859"/>
    <tableColumn id="12" xr3:uid="{00000000-0010-0000-9A00-00000C000000}" name="r_td" dataDxfId="1858"/>
    <tableColumn id="13" xr3:uid="{00000000-0010-0000-9A00-00000D000000}" name="tgt" dataDxfId="1857"/>
    <tableColumn id="14" xr3:uid="{00000000-0010-0000-9A00-00000E000000}" name="rec" dataDxfId="1856"/>
    <tableColumn id="15" xr3:uid="{00000000-0010-0000-9A00-00000F000000}" name="rec_yd" dataDxfId="1855"/>
    <tableColumn id="16" xr3:uid="{00000000-0010-0000-9A00-000010000000}" name="rec_td" dataDxfId="1854"/>
    <tableColumn id="17" xr3:uid="{00000000-0010-0000-9A00-000011000000}" name="fmb" dataDxfId="1853"/>
    <tableColumn id="18" xr3:uid="{00000000-0010-0000-9A00-000012000000}" name="tp_c" dataDxfId="1852"/>
    <tableColumn id="19" xr3:uid="{00000000-0010-0000-9A00-000013000000}" name="f_ppr" dataDxfId="1851"/>
    <tableColumn id="20" xr3:uid="{00000000-0010-0000-9A00-000014000000}" name="tgt_share" dataDxfId="1850"/>
    <tableColumn id="21" xr3:uid="{00000000-0010-0000-9A00-000015000000}" name="ypc" dataDxfId="1849"/>
    <tableColumn id="22" xr3:uid="{00000000-0010-0000-9A00-000016000000}" name="ypr" dataDxfId="1848"/>
    <tableColumn id="23" xr3:uid="{00000000-0010-0000-9A00-000017000000}" name="cmp_pct" dataDxfId="1847"/>
    <tableColumn id="24" xr3:uid="{00000000-0010-0000-9A00-000018000000}" name="td_rate" dataDxfId="1846"/>
  </tableColumns>
  <tableStyleInfo name="TableStyleMedium1" showFirstColumn="0" showLastColumn="0" showRowStripes="1" showColumnStripes="0"/>
</table>
</file>

<file path=xl/tables/table1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8" xr:uid="{00000000-000C-0000-FFFF-FFFF9B000000}" name="NO_Table2" displayName="NO_Table2" ref="A30:L31" totalsRowShown="0" headerRowDxfId="1845" dataDxfId="1844">
  <autoFilter ref="A30:L31" xr:uid="{00000000-0009-0000-0100-00009E000000}"/>
  <tableColumns count="12">
    <tableColumn id="1" xr3:uid="{00000000-0010-0000-9B00-000001000000}" name="team" dataDxfId="1843"/>
    <tableColumn id="2" xr3:uid="{00000000-0010-0000-9B00-000002000000}" name="off_yd" dataDxfId="1842"/>
    <tableColumn id="3" xr3:uid="{00000000-0010-0000-9B00-000003000000}" name="p_yd" dataDxfId="1841"/>
    <tableColumn id="4" xr3:uid="{00000000-0010-0000-9B00-000004000000}" name="car" dataDxfId="1840"/>
    <tableColumn id="5" xr3:uid="{00000000-0010-0000-9B00-000005000000}" name="r_yd" dataDxfId="1839"/>
    <tableColumn id="6" xr3:uid="{00000000-0010-0000-9B00-000006000000}" name="r_td" dataDxfId="1838"/>
    <tableColumn id="7" xr3:uid="{00000000-0010-0000-9B00-000007000000}" name="p_ff" dataDxfId="1837"/>
    <tableColumn id="8" xr3:uid="{00000000-0010-0000-9B00-000008000000}" name="p_att" dataDxfId="1836"/>
    <tableColumn id="9" xr3:uid="{00000000-0010-0000-9B00-000009000000}" name="cmp_pct" dataDxfId="1835"/>
    <tableColumn id="10" xr3:uid="{00000000-0010-0000-9B00-00000A000000}" name="p_td" dataDxfId="1834"/>
    <tableColumn id="11" xr3:uid="{00000000-0010-0000-9B00-00000B000000}" name="int" dataDxfId="1833"/>
    <tableColumn id="12" xr3:uid="{00000000-0010-0000-9B00-00000C000000}" name="fmb" dataDxfId="1832"/>
  </tableColumns>
  <tableStyleInfo name="TableStyleMedium1" showFirstColumn="0" showLastColumn="0" showRowStripes="1" showColumnStripes="0"/>
</table>
</file>

<file path=xl/tables/table1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9" xr:uid="{00000000-000C-0000-FFFF-FFFF9C000000}" name="NO_Table3" displayName="NO_Table3" ref="A32:L33" totalsRowShown="0" headerRowDxfId="1831" dataDxfId="1830">
  <autoFilter ref="A32:L33" xr:uid="{00000000-0009-0000-0100-00009F000000}"/>
  <tableColumns count="12">
    <tableColumn id="1" xr3:uid="{00000000-0010-0000-9C00-000001000000}" name="team" dataDxfId="1829">
      <calculatedColumnFormula>A31</calculatedColumnFormula>
    </tableColumn>
    <tableColumn id="2" xr3:uid="{00000000-0010-0000-9C00-000002000000}" name="off_yd" dataDxfId="1828">
      <calculatedColumnFormula>C33 + E33</calculatedColumnFormula>
    </tableColumn>
    <tableColumn id="3" xr3:uid="{00000000-0010-0000-9C00-000003000000}" name="p_yd" dataDxfId="1827">
      <calculatedColumnFormula>SUM(INDIRECT(A33 &amp; "_Table4[[#All],[p_yd]]"))</calculatedColumnFormula>
    </tableColumn>
    <tableColumn id="4" xr3:uid="{00000000-0010-0000-9C00-000004000000}" name="car" dataDxfId="1826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9C00-000005000000}" name="r_yd" dataDxfId="1825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9C00-000006000000}" name="r_td" dataDxfId="1824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9C00-000007000000}" name="p_ff" dataDxfId="1823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9C00-000008000000}" name="p_att" dataDxfId="1822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9C00-000009000000}" name="cmp_pct" dataDxfId="1821">
      <calculatedColumnFormula>SUM(INDIRECT(A33 &amp; "_Table4[[#All],[cmp]]"))/H33</calculatedColumnFormula>
    </tableColumn>
    <tableColumn id="10" xr3:uid="{00000000-0010-0000-9C00-00000A000000}" name="p_td" dataDxfId="1820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9C00-00000B000000}" name="int" dataDxfId="1819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9C00-00000C000000}" name="fmb" dataDxfId="1818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</tableColumns>
  <tableStyleInfo name="TableStyleMedium1" showFirstColumn="0" showLastColumn="0" showRowStripes="1" showColumnStripes="0"/>
</table>
</file>

<file path=xl/tables/table1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0" xr:uid="{00000000-000C-0000-FFFF-FFFF9D000000}" name="NO_Table4" displayName="NO_Table4" ref="A35:AB38" totalsRowShown="0" headerRowDxfId="1817" dataDxfId="1816">
  <autoFilter ref="A35:AB38" xr:uid="{00000000-0009-0000-0100-0000A0000000}"/>
  <tableColumns count="28">
    <tableColumn id="1" xr3:uid="{00000000-0010-0000-9D00-000001000000}" name="Name" dataDxfId="1815"/>
    <tableColumn id="2" xr3:uid="{00000000-0010-0000-9D00-000002000000}" name="POS" dataDxfId="1814"/>
    <tableColumn id="3" xr3:uid="{00000000-0010-0000-9D00-000003000000}" name="Age" dataDxfId="1813"/>
    <tableColumn id="4" xr3:uid="{00000000-0010-0000-9D00-000004000000}" name="Exp" dataDxfId="1812"/>
    <tableColumn id="5" xr3:uid="{00000000-0010-0000-9D00-000005000000}" name="College" dataDxfId="1811"/>
    <tableColumn id="6" xr3:uid="{00000000-0010-0000-9D00-000006000000}" name="team" dataDxfId="1810"/>
    <tableColumn id="7" xr3:uid="{00000000-0010-0000-9D00-000007000000}" name="g" dataDxfId="1809"/>
    <tableColumn id="8" xr3:uid="{00000000-0010-0000-9D00-000008000000}" name="p_att" dataDxfId="1808"/>
    <tableColumn id="9" xr3:uid="{00000000-0010-0000-9D00-000009000000}" name="cmp" dataDxfId="1807"/>
    <tableColumn id="10" xr3:uid="{00000000-0010-0000-9D00-00000A000000}" name="p_yd" dataDxfId="1806"/>
    <tableColumn id="11" xr3:uid="{00000000-0010-0000-9D00-00000B000000}" name="p_td" dataDxfId="1805"/>
    <tableColumn id="12" xr3:uid="{00000000-0010-0000-9D00-00000C000000}" name="int" dataDxfId="1804"/>
    <tableColumn id="13" xr3:uid="{00000000-0010-0000-9D00-00000D000000}" name="car" dataDxfId="1803"/>
    <tableColumn id="14" xr3:uid="{00000000-0010-0000-9D00-00000E000000}" name="r_yd" dataDxfId="1802"/>
    <tableColumn id="15" xr3:uid="{00000000-0010-0000-9D00-00000F000000}" name="r_td" dataDxfId="1801"/>
    <tableColumn id="16" xr3:uid="{00000000-0010-0000-9D00-000010000000}" name="tgt" dataDxfId="1800"/>
    <tableColumn id="17" xr3:uid="{00000000-0010-0000-9D00-000011000000}" name="rec" dataDxfId="1799"/>
    <tableColumn id="18" xr3:uid="{00000000-0010-0000-9D00-000012000000}" name="rec_yd" dataDxfId="1798"/>
    <tableColumn id="19" xr3:uid="{00000000-0010-0000-9D00-000013000000}" name="rec_td" dataDxfId="1797"/>
    <tableColumn id="20" xr3:uid="{00000000-0010-0000-9D00-000014000000}" name="fmb" dataDxfId="1796"/>
    <tableColumn id="21" xr3:uid="{00000000-0010-0000-9D00-000015000000}" name="tp_c" dataDxfId="1795"/>
    <tableColumn id="22" xr3:uid="{00000000-0010-0000-9D00-000016000000}" name="f_ppr" dataDxfId="1794"/>
    <tableColumn id="23" xr3:uid="{00000000-0010-0000-9D00-000017000000}" name="tgt_share" dataDxfId="1793"/>
    <tableColumn id="24" xr3:uid="{00000000-0010-0000-9D00-000018000000}" name="ypc" dataDxfId="1792"/>
    <tableColumn id="25" xr3:uid="{00000000-0010-0000-9D00-000019000000}" name="ypr" dataDxfId="1791"/>
    <tableColumn id="26" xr3:uid="{00000000-0010-0000-9D00-00001A000000}" name="cmp_pct" dataDxfId="1790"/>
    <tableColumn id="27" xr3:uid="{00000000-0010-0000-9D00-00001B000000}" name="td_rate" dataDxfId="1789"/>
    <tableColumn id="28" xr3:uid="{00000000-0010-0000-9D00-00001C000000}" name="f_custom" dataDxfId="1788"/>
  </tableColumns>
  <tableStyleInfo name="TableStyleMedium1" showFirstColumn="0" showLastColumn="0" showRowStripes="1" showColumnStripes="0"/>
</table>
</file>

<file path=xl/tables/table1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1" xr:uid="{00000000-000C-0000-FFFF-FFFF9E000000}" name="NO_Table5" displayName="NO_Table5" ref="A45:AB52" totalsRowShown="0" headerRowDxfId="1787" dataDxfId="1786">
  <autoFilter ref="A45:AB52" xr:uid="{00000000-0009-0000-0100-0000A1000000}"/>
  <tableColumns count="28">
    <tableColumn id="1" xr3:uid="{00000000-0010-0000-9E00-000001000000}" name="Name" dataDxfId="1785"/>
    <tableColumn id="2" xr3:uid="{00000000-0010-0000-9E00-000002000000}" name="POS" dataDxfId="1784"/>
    <tableColumn id="3" xr3:uid="{00000000-0010-0000-9E00-000003000000}" name="Age" dataDxfId="1783"/>
    <tableColumn id="4" xr3:uid="{00000000-0010-0000-9E00-000004000000}" name="Exp" dataDxfId="1782"/>
    <tableColumn id="5" xr3:uid="{00000000-0010-0000-9E00-000005000000}" name="College" dataDxfId="1781"/>
    <tableColumn id="6" xr3:uid="{00000000-0010-0000-9E00-000006000000}" name="team" dataDxfId="1780"/>
    <tableColumn id="7" xr3:uid="{00000000-0010-0000-9E00-000007000000}" name="g" dataDxfId="1779"/>
    <tableColumn id="8" xr3:uid="{00000000-0010-0000-9E00-000008000000}" name="p_att" dataDxfId="1778"/>
    <tableColumn id="9" xr3:uid="{00000000-0010-0000-9E00-000009000000}" name="cmp" dataDxfId="1777"/>
    <tableColumn id="10" xr3:uid="{00000000-0010-0000-9E00-00000A000000}" name="p_yd" dataDxfId="1776"/>
    <tableColumn id="11" xr3:uid="{00000000-0010-0000-9E00-00000B000000}" name="p_td" dataDxfId="1775"/>
    <tableColumn id="12" xr3:uid="{00000000-0010-0000-9E00-00000C000000}" name="int" dataDxfId="1774"/>
    <tableColumn id="13" xr3:uid="{00000000-0010-0000-9E00-00000D000000}" name="car" dataDxfId="1773"/>
    <tableColumn id="14" xr3:uid="{00000000-0010-0000-9E00-00000E000000}" name="r_yd" dataDxfId="1772"/>
    <tableColumn id="15" xr3:uid="{00000000-0010-0000-9E00-00000F000000}" name="r_td" dataDxfId="1771"/>
    <tableColumn id="16" xr3:uid="{00000000-0010-0000-9E00-000010000000}" name="tgt" dataDxfId="1770"/>
    <tableColumn id="17" xr3:uid="{00000000-0010-0000-9E00-000011000000}" name="rec" dataDxfId="1769"/>
    <tableColumn id="18" xr3:uid="{00000000-0010-0000-9E00-000012000000}" name="rec_yd" dataDxfId="1768"/>
    <tableColumn id="19" xr3:uid="{00000000-0010-0000-9E00-000013000000}" name="rec_td" dataDxfId="1767"/>
    <tableColumn id="20" xr3:uid="{00000000-0010-0000-9E00-000014000000}" name="fmb" dataDxfId="1766"/>
    <tableColumn id="21" xr3:uid="{00000000-0010-0000-9E00-000015000000}" name="tp_c" dataDxfId="1765"/>
    <tableColumn id="22" xr3:uid="{00000000-0010-0000-9E00-000016000000}" name="f_ppr" dataDxfId="1764"/>
    <tableColumn id="23" xr3:uid="{00000000-0010-0000-9E00-000017000000}" name="tgt_share" dataDxfId="1763"/>
    <tableColumn id="24" xr3:uid="{00000000-0010-0000-9E00-000018000000}" name="ypc" dataDxfId="1762"/>
    <tableColumn id="25" xr3:uid="{00000000-0010-0000-9E00-000019000000}" name="ypr" dataDxfId="1761"/>
    <tableColumn id="26" xr3:uid="{00000000-0010-0000-9E00-00001A000000}" name="cmp_pct" dataDxfId="1760"/>
    <tableColumn id="27" xr3:uid="{00000000-0010-0000-9E00-00001B000000}" name="td_rate" dataDxfId="1759"/>
    <tableColumn id="28" xr3:uid="{00000000-0010-0000-9E00-00001C000000}" name="f_custom" dataDxfId="1758">
      <calculatedColumnFormula>($J46*Cp_yd)+($K46*Cp_td)+($L46*Cint)+($M46*Ccar)+($N46*Cr_td)+($O46*Cr_yd)+(Q46*Crec)+($R46*Crec_yd)+($S46*Crec_td)+($T46*Cfmb)+($U46*Ctp_c)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2" xr:uid="{00000000-000C-0000-FFFF-FFFF9F000000}" name="NO_Table6" displayName="NO_Table6" ref="A60:AB72" totalsRowShown="0" headerRowDxfId="1757" dataDxfId="1756">
  <autoFilter ref="A60:AB72" xr:uid="{00000000-0009-0000-0100-0000A2000000}"/>
  <tableColumns count="28">
    <tableColumn id="1" xr3:uid="{00000000-0010-0000-9F00-000001000000}" name="Name" dataDxfId="1755"/>
    <tableColumn id="2" xr3:uid="{00000000-0010-0000-9F00-000002000000}" name="POS" dataDxfId="1754"/>
    <tableColumn id="3" xr3:uid="{00000000-0010-0000-9F00-000003000000}" name="Age" dataDxfId="1753"/>
    <tableColumn id="4" xr3:uid="{00000000-0010-0000-9F00-000004000000}" name="Exp" dataDxfId="1752"/>
    <tableColumn id="5" xr3:uid="{00000000-0010-0000-9F00-000005000000}" name="College" dataDxfId="1751"/>
    <tableColumn id="6" xr3:uid="{00000000-0010-0000-9F00-000006000000}" name="team" dataDxfId="1750"/>
    <tableColumn id="7" xr3:uid="{00000000-0010-0000-9F00-000007000000}" name="g" dataDxfId="1749"/>
    <tableColumn id="8" xr3:uid="{00000000-0010-0000-9F00-000008000000}" name="p_att" dataDxfId="1748"/>
    <tableColumn id="9" xr3:uid="{00000000-0010-0000-9F00-000009000000}" name="cmp" dataDxfId="1747"/>
    <tableColumn id="10" xr3:uid="{00000000-0010-0000-9F00-00000A000000}" name="p_yd" dataDxfId="1746"/>
    <tableColumn id="11" xr3:uid="{00000000-0010-0000-9F00-00000B000000}" name="p_td" dataDxfId="1745"/>
    <tableColumn id="12" xr3:uid="{00000000-0010-0000-9F00-00000C000000}" name="int" dataDxfId="1744"/>
    <tableColumn id="13" xr3:uid="{00000000-0010-0000-9F00-00000D000000}" name="car" dataDxfId="1743"/>
    <tableColumn id="14" xr3:uid="{00000000-0010-0000-9F00-00000E000000}" name="r_yd" dataDxfId="1742"/>
    <tableColumn id="15" xr3:uid="{00000000-0010-0000-9F00-00000F000000}" name="r_td" dataDxfId="1741"/>
    <tableColumn id="16" xr3:uid="{00000000-0010-0000-9F00-000010000000}" name="tgt" dataDxfId="1740"/>
    <tableColumn id="17" xr3:uid="{00000000-0010-0000-9F00-000011000000}" name="rec" dataDxfId="1739"/>
    <tableColumn id="18" xr3:uid="{00000000-0010-0000-9F00-000012000000}" name="rec_yd" dataDxfId="1738"/>
    <tableColumn id="19" xr3:uid="{00000000-0010-0000-9F00-000013000000}" name="rec_td" dataDxfId="1737"/>
    <tableColumn id="20" xr3:uid="{00000000-0010-0000-9F00-000014000000}" name="fmb" dataDxfId="1736"/>
    <tableColumn id="21" xr3:uid="{00000000-0010-0000-9F00-000015000000}" name="tp_c" dataDxfId="1735"/>
    <tableColumn id="22" xr3:uid="{00000000-0010-0000-9F00-000016000000}" name="f_ppr" dataDxfId="1734"/>
    <tableColumn id="23" xr3:uid="{00000000-0010-0000-9F00-000017000000}" name="tgt_share" dataDxfId="1733"/>
    <tableColumn id="24" xr3:uid="{00000000-0010-0000-9F00-000018000000}" name="ypc" dataDxfId="1732"/>
    <tableColumn id="25" xr3:uid="{00000000-0010-0000-9F00-000019000000}" name="ypr" dataDxfId="1731"/>
    <tableColumn id="26" xr3:uid="{00000000-0010-0000-9F00-00001A000000}" name="cmp_pct" dataDxfId="1730"/>
    <tableColumn id="27" xr3:uid="{00000000-0010-0000-9F00-00001B000000}" name="td_rate" dataDxfId="1729"/>
    <tableColumn id="28" xr3:uid="{00000000-0010-0000-9F00-00001C000000}" name="f_custom" dataDxfId="1728"/>
  </tableColumns>
  <tableStyleInfo name="TableStyleMedium1" showFirstColumn="0" showLastColumn="0" showRowStripes="1" showColumnStripes="0"/>
</table>
</file>

<file path=xl/tables/table1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3" xr:uid="{00000000-000C-0000-FFFF-FFFFA0000000}" name="NO_Table7" displayName="NO_Table7" ref="A75:AB82" totalsRowShown="0" headerRowDxfId="1727" dataDxfId="1726">
  <autoFilter ref="A75:AB82" xr:uid="{00000000-0009-0000-0100-0000A3000000}"/>
  <tableColumns count="28">
    <tableColumn id="1" xr3:uid="{00000000-0010-0000-A000-000001000000}" name="Name" dataDxfId="1725"/>
    <tableColumn id="2" xr3:uid="{00000000-0010-0000-A000-000002000000}" name="POS" dataDxfId="1724"/>
    <tableColumn id="3" xr3:uid="{00000000-0010-0000-A000-000003000000}" name="Age" dataDxfId="1723"/>
    <tableColumn id="4" xr3:uid="{00000000-0010-0000-A000-000004000000}" name="Exp" dataDxfId="1722"/>
    <tableColumn id="5" xr3:uid="{00000000-0010-0000-A000-000005000000}" name="College" dataDxfId="1721"/>
    <tableColumn id="6" xr3:uid="{00000000-0010-0000-A000-000006000000}" name="team" dataDxfId="1720"/>
    <tableColumn id="7" xr3:uid="{00000000-0010-0000-A000-000007000000}" name="g" dataDxfId="1719"/>
    <tableColumn id="8" xr3:uid="{00000000-0010-0000-A000-000008000000}" name="p_att" dataDxfId="1718"/>
    <tableColumn id="9" xr3:uid="{00000000-0010-0000-A000-000009000000}" name="cmp" dataDxfId="1717"/>
    <tableColumn id="10" xr3:uid="{00000000-0010-0000-A000-00000A000000}" name="p_yd" dataDxfId="1716"/>
    <tableColumn id="11" xr3:uid="{00000000-0010-0000-A000-00000B000000}" name="p_td" dataDxfId="1715"/>
    <tableColumn id="12" xr3:uid="{00000000-0010-0000-A000-00000C000000}" name="int" dataDxfId="1714"/>
    <tableColumn id="13" xr3:uid="{00000000-0010-0000-A000-00000D000000}" name="car" dataDxfId="1713"/>
    <tableColumn id="14" xr3:uid="{00000000-0010-0000-A000-00000E000000}" name="r_yd" dataDxfId="1712"/>
    <tableColumn id="15" xr3:uid="{00000000-0010-0000-A000-00000F000000}" name="r_td" dataDxfId="1711"/>
    <tableColumn id="16" xr3:uid="{00000000-0010-0000-A000-000010000000}" name="tgt" dataDxfId="1710"/>
    <tableColumn id="17" xr3:uid="{00000000-0010-0000-A000-000011000000}" name="rec" dataDxfId="1709"/>
    <tableColumn id="18" xr3:uid="{00000000-0010-0000-A000-000012000000}" name="rec_yd" dataDxfId="1708"/>
    <tableColumn id="19" xr3:uid="{00000000-0010-0000-A000-000013000000}" name="rec_td" dataDxfId="1707"/>
    <tableColumn id="20" xr3:uid="{00000000-0010-0000-A000-000014000000}" name="fmb" dataDxfId="1706"/>
    <tableColumn id="21" xr3:uid="{00000000-0010-0000-A000-000015000000}" name="tp_c" dataDxfId="1705"/>
    <tableColumn id="22" xr3:uid="{00000000-0010-0000-A000-000016000000}" name="f_ppr" dataDxfId="1704"/>
    <tableColumn id="23" xr3:uid="{00000000-0010-0000-A000-000017000000}" name="tgt_share" dataDxfId="1703"/>
    <tableColumn id="24" xr3:uid="{00000000-0010-0000-A000-000018000000}" name="ypc" dataDxfId="1702"/>
    <tableColumn id="25" xr3:uid="{00000000-0010-0000-A000-000019000000}" name="ypr" dataDxfId="1701"/>
    <tableColumn id="26" xr3:uid="{00000000-0010-0000-A000-00001A000000}" name="cmp_pct" dataDxfId="1700"/>
    <tableColumn id="27" xr3:uid="{00000000-0010-0000-A000-00001B000000}" name="td_rate" dataDxfId="1699"/>
    <tableColumn id="28" xr3:uid="{00000000-0010-0000-A000-00001C000000}" name="f_custom" dataDxfId="1698"/>
  </tableColumns>
  <tableStyleInfo name="TableStyleMedium1" showFirstColumn="0" showLastColumn="0" showRowStripes="1" showColumnStripes="0"/>
</table>
</file>

<file path=xl/tables/table1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4" xr:uid="{00000000-000C-0000-FFFF-FFFFA1000000}" name="NYG_Table1" displayName="NYG_Table1" ref="A1:X21" totalsRowShown="0" headerRowDxfId="1697" dataDxfId="1696">
  <autoFilter ref="A1:X21" xr:uid="{00000000-0009-0000-0100-0000A4000000}"/>
  <tableColumns count="24">
    <tableColumn id="1" xr3:uid="{00000000-0010-0000-A100-000001000000}" name="player_name" dataDxfId="1695"/>
    <tableColumn id="2" xr3:uid="{00000000-0010-0000-A100-000002000000}" name="recent_team" dataDxfId="1694"/>
    <tableColumn id="3" xr3:uid="{00000000-0010-0000-A100-000003000000}" name="pos" dataDxfId="1693"/>
    <tableColumn id="4" xr3:uid="{00000000-0010-0000-A100-000004000000}" name="g" dataDxfId="1692"/>
    <tableColumn id="5" xr3:uid="{00000000-0010-0000-A100-000005000000}" name="p_att" dataDxfId="1691"/>
    <tableColumn id="6" xr3:uid="{00000000-0010-0000-A100-000006000000}" name="cmp" dataDxfId="1690"/>
    <tableColumn id="7" xr3:uid="{00000000-0010-0000-A100-000007000000}" name="p_yd" dataDxfId="1689"/>
    <tableColumn id="8" xr3:uid="{00000000-0010-0000-A100-000008000000}" name="p_td" dataDxfId="1688"/>
    <tableColumn id="9" xr3:uid="{00000000-0010-0000-A100-000009000000}" name="int" dataDxfId="1687"/>
    <tableColumn id="10" xr3:uid="{00000000-0010-0000-A100-00000A000000}" name="car" dataDxfId="1686"/>
    <tableColumn id="11" xr3:uid="{00000000-0010-0000-A100-00000B000000}" name="r_yd" dataDxfId="1685"/>
    <tableColumn id="12" xr3:uid="{00000000-0010-0000-A100-00000C000000}" name="r_td" dataDxfId="1684"/>
    <tableColumn id="13" xr3:uid="{00000000-0010-0000-A100-00000D000000}" name="tgt" dataDxfId="1683"/>
    <tableColumn id="14" xr3:uid="{00000000-0010-0000-A100-00000E000000}" name="rec" dataDxfId="1682"/>
    <tableColumn id="15" xr3:uid="{00000000-0010-0000-A100-00000F000000}" name="rec_yd" dataDxfId="1681"/>
    <tableColumn id="16" xr3:uid="{00000000-0010-0000-A100-000010000000}" name="rec_td" dataDxfId="1680"/>
    <tableColumn id="17" xr3:uid="{00000000-0010-0000-A100-000011000000}" name="fmb" dataDxfId="1679"/>
    <tableColumn id="18" xr3:uid="{00000000-0010-0000-A100-000012000000}" name="tp_c" dataDxfId="1678"/>
    <tableColumn id="19" xr3:uid="{00000000-0010-0000-A100-000013000000}" name="f_ppr" dataDxfId="1677"/>
    <tableColumn id="20" xr3:uid="{00000000-0010-0000-A100-000014000000}" name="tgt_share" dataDxfId="1676"/>
    <tableColumn id="21" xr3:uid="{00000000-0010-0000-A100-000015000000}" name="ypc" dataDxfId="1675"/>
    <tableColumn id="22" xr3:uid="{00000000-0010-0000-A100-000016000000}" name="ypr" dataDxfId="1674"/>
    <tableColumn id="23" xr3:uid="{00000000-0010-0000-A100-000017000000}" name="cmp_pct" dataDxfId="1673"/>
    <tableColumn id="24" xr3:uid="{00000000-0010-0000-A100-000018000000}" name="td_rate" dataDxfId="1672"/>
  </tableColumns>
  <tableStyleInfo name="TableStyleMedium1" showFirstColumn="0" showLastColumn="0" showRowStripes="1" showColumnStripes="0"/>
</table>
</file>

<file path=xl/tables/table1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5" xr:uid="{00000000-000C-0000-FFFF-FFFFA2000000}" name="NYG_Table2" displayName="NYG_Table2" ref="A30:L31" totalsRowShown="0" headerRowDxfId="1671" dataDxfId="1670">
  <autoFilter ref="A30:L31" xr:uid="{00000000-0009-0000-0100-0000A5000000}"/>
  <tableColumns count="12">
    <tableColumn id="1" xr3:uid="{00000000-0010-0000-A200-000001000000}" name="team" dataDxfId="1669"/>
    <tableColumn id="2" xr3:uid="{00000000-0010-0000-A200-000002000000}" name="off_yd" dataDxfId="1668"/>
    <tableColumn id="3" xr3:uid="{00000000-0010-0000-A200-000003000000}" name="p_yd" dataDxfId="1667"/>
    <tableColumn id="4" xr3:uid="{00000000-0010-0000-A200-000004000000}" name="car" dataDxfId="1666"/>
    <tableColumn id="5" xr3:uid="{00000000-0010-0000-A200-000005000000}" name="r_yd" dataDxfId="1665"/>
    <tableColumn id="6" xr3:uid="{00000000-0010-0000-A200-000006000000}" name="r_td" dataDxfId="1664"/>
    <tableColumn id="7" xr3:uid="{00000000-0010-0000-A200-000007000000}" name="p_ff" dataDxfId="1663"/>
    <tableColumn id="8" xr3:uid="{00000000-0010-0000-A200-000008000000}" name="p_att" dataDxfId="1662"/>
    <tableColumn id="9" xr3:uid="{00000000-0010-0000-A200-000009000000}" name="cmp_pct" dataDxfId="1661"/>
    <tableColumn id="10" xr3:uid="{00000000-0010-0000-A200-00000A000000}" name="p_td" dataDxfId="1660"/>
    <tableColumn id="11" xr3:uid="{00000000-0010-0000-A200-00000B000000}" name="int" dataDxfId="1659"/>
    <tableColumn id="12" xr3:uid="{00000000-0010-0000-A200-00000C000000}" name="fmb" dataDxfId="1658"/>
  </tableColumns>
  <tableStyleInfo name="TableStyleMedium1" showFirstColumn="0" showLastColumn="0" showRowStripes="1" showColumnStripes="0"/>
</table>
</file>

<file path=xl/tables/table1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6" xr:uid="{00000000-000C-0000-FFFF-FFFFA3000000}" name="NYG_Table3" displayName="NYG_Table3" ref="A32:L33" totalsRowShown="0" headerRowDxfId="1657" dataDxfId="1656">
  <autoFilter ref="A32:L33" xr:uid="{00000000-0009-0000-0100-0000A6000000}"/>
  <tableColumns count="12">
    <tableColumn id="1" xr3:uid="{00000000-0010-0000-A300-000001000000}" name="team" dataDxfId="1655">
      <calculatedColumnFormula>A31</calculatedColumnFormula>
    </tableColumn>
    <tableColumn id="2" xr3:uid="{00000000-0010-0000-A300-000002000000}" name="off_yd" dataDxfId="1654">
      <calculatedColumnFormula>C33 + E33</calculatedColumnFormula>
    </tableColumn>
    <tableColumn id="3" xr3:uid="{00000000-0010-0000-A300-000003000000}" name="p_yd" dataDxfId="1653">
      <calculatedColumnFormula>SUM(INDIRECT(A33 &amp; "_Table4[[#All],[p_yd]]"))</calculatedColumnFormula>
    </tableColumn>
    <tableColumn id="4" xr3:uid="{00000000-0010-0000-A300-000004000000}" name="car" dataDxfId="1652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A300-000005000000}" name="r_yd" dataDxfId="1651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A300-000006000000}" name="r_td" dataDxfId="1650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A300-000007000000}" name="p_ff" dataDxfId="1649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A300-000008000000}" name="p_att" dataDxfId="1648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A300-000009000000}" name="cmp_pct" dataDxfId="1647">
      <calculatedColumnFormula>SUM(INDIRECT(A33 &amp; "_Table4[[#All],[cmp]]"))/H33</calculatedColumnFormula>
    </tableColumn>
    <tableColumn id="10" xr3:uid="{00000000-0010-0000-A300-00000A000000}" name="p_td" dataDxfId="1646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A300-00000B000000}" name="int" dataDxfId="1645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A300-00000C000000}" name="fmb" dataDxfId="1644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</tableColumns>
  <tableStyleInfo name="TableStyleMedium1" showFirstColumn="0" showLastColumn="0" showRowStripes="1" showColumnStripes="0"/>
</table>
</file>

<file path=xl/tables/table1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7" xr:uid="{00000000-000C-0000-FFFF-FFFFA4000000}" name="NYG_Table4" displayName="NYG_Table4" ref="A35:AB38" totalsRowShown="0" headerRowDxfId="1643" dataDxfId="1642">
  <autoFilter ref="A35:AB38" xr:uid="{00000000-0009-0000-0100-0000A7000000}"/>
  <tableColumns count="28">
    <tableColumn id="1" xr3:uid="{00000000-0010-0000-A400-000001000000}" name="Name" dataDxfId="1641"/>
    <tableColumn id="2" xr3:uid="{00000000-0010-0000-A400-000002000000}" name="POS" dataDxfId="1640"/>
    <tableColumn id="3" xr3:uid="{00000000-0010-0000-A400-000003000000}" name="Age" dataDxfId="1639"/>
    <tableColumn id="4" xr3:uid="{00000000-0010-0000-A400-000004000000}" name="Exp" dataDxfId="1638"/>
    <tableColumn id="5" xr3:uid="{00000000-0010-0000-A400-000005000000}" name="College" dataDxfId="1637"/>
    <tableColumn id="6" xr3:uid="{00000000-0010-0000-A400-000006000000}" name="team" dataDxfId="1636"/>
    <tableColumn id="7" xr3:uid="{00000000-0010-0000-A400-000007000000}" name="g" dataDxfId="1635"/>
    <tableColumn id="8" xr3:uid="{00000000-0010-0000-A400-000008000000}" name="p_att" dataDxfId="1634"/>
    <tableColumn id="9" xr3:uid="{00000000-0010-0000-A400-000009000000}" name="cmp" dataDxfId="1633"/>
    <tableColumn id="10" xr3:uid="{00000000-0010-0000-A400-00000A000000}" name="p_yd" dataDxfId="1632"/>
    <tableColumn id="11" xr3:uid="{00000000-0010-0000-A400-00000B000000}" name="p_td" dataDxfId="1631"/>
    <tableColumn id="12" xr3:uid="{00000000-0010-0000-A400-00000C000000}" name="int" dataDxfId="1630"/>
    <tableColumn id="13" xr3:uid="{00000000-0010-0000-A400-00000D000000}" name="car" dataDxfId="1629"/>
    <tableColumn id="14" xr3:uid="{00000000-0010-0000-A400-00000E000000}" name="r_yd" dataDxfId="1628"/>
    <tableColumn id="15" xr3:uid="{00000000-0010-0000-A400-00000F000000}" name="r_td" dataDxfId="1627"/>
    <tableColumn id="16" xr3:uid="{00000000-0010-0000-A400-000010000000}" name="tgt" dataDxfId="1626"/>
    <tableColumn id="17" xr3:uid="{00000000-0010-0000-A400-000011000000}" name="rec" dataDxfId="1625"/>
    <tableColumn id="18" xr3:uid="{00000000-0010-0000-A400-000012000000}" name="rec_yd" dataDxfId="1624"/>
    <tableColumn id="19" xr3:uid="{00000000-0010-0000-A400-000013000000}" name="rec_td" dataDxfId="1623"/>
    <tableColumn id="20" xr3:uid="{00000000-0010-0000-A400-000014000000}" name="fmb" dataDxfId="1622"/>
    <tableColumn id="21" xr3:uid="{00000000-0010-0000-A400-000015000000}" name="tp_c" dataDxfId="1621"/>
    <tableColumn id="22" xr3:uid="{00000000-0010-0000-A400-000016000000}" name="f_ppr" dataDxfId="1620"/>
    <tableColumn id="23" xr3:uid="{00000000-0010-0000-A400-000017000000}" name="tgt_share" dataDxfId="1619"/>
    <tableColumn id="24" xr3:uid="{00000000-0010-0000-A400-000018000000}" name="ypc" dataDxfId="1618"/>
    <tableColumn id="25" xr3:uid="{00000000-0010-0000-A400-000019000000}" name="ypr" dataDxfId="1617"/>
    <tableColumn id="26" xr3:uid="{00000000-0010-0000-A400-00001A000000}" name="cmp_pct" dataDxfId="1616"/>
    <tableColumn id="27" xr3:uid="{00000000-0010-0000-A400-00001B000000}" name="td_rate" dataDxfId="1615"/>
    <tableColumn id="28" xr3:uid="{00000000-0010-0000-A400-00001C000000}" name="f_custom" dataDxfId="1614"/>
  </tableColumns>
  <tableStyleInfo name="TableStyleMedium1" showFirstColumn="0" showLastColumn="0" showRowStripes="1" showColumnStripes="0"/>
</table>
</file>

<file path=xl/tables/table1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8" xr:uid="{00000000-000C-0000-FFFF-FFFFA5000000}" name="NYG_Table5" displayName="NYG_Table5" ref="A45:AB51" totalsRowShown="0" headerRowDxfId="1613" dataDxfId="1612">
  <autoFilter ref="A45:AB51" xr:uid="{00000000-0009-0000-0100-0000A8000000}"/>
  <tableColumns count="28">
    <tableColumn id="1" xr3:uid="{00000000-0010-0000-A500-000001000000}" name="Name" dataDxfId="1611"/>
    <tableColumn id="2" xr3:uid="{00000000-0010-0000-A500-000002000000}" name="POS" dataDxfId="1610"/>
    <tableColumn id="3" xr3:uid="{00000000-0010-0000-A500-000003000000}" name="Age" dataDxfId="1609"/>
    <tableColumn id="4" xr3:uid="{00000000-0010-0000-A500-000004000000}" name="Exp" dataDxfId="1608"/>
    <tableColumn id="5" xr3:uid="{00000000-0010-0000-A500-000005000000}" name="College" dataDxfId="1607"/>
    <tableColumn id="6" xr3:uid="{00000000-0010-0000-A500-000006000000}" name="team" dataDxfId="1606"/>
    <tableColumn id="7" xr3:uid="{00000000-0010-0000-A500-000007000000}" name="g" dataDxfId="1605"/>
    <tableColumn id="8" xr3:uid="{00000000-0010-0000-A500-000008000000}" name="p_att" dataDxfId="1604"/>
    <tableColumn id="9" xr3:uid="{00000000-0010-0000-A500-000009000000}" name="cmp" dataDxfId="1603"/>
    <tableColumn id="10" xr3:uid="{00000000-0010-0000-A500-00000A000000}" name="p_yd" dataDxfId="1602"/>
    <tableColumn id="11" xr3:uid="{00000000-0010-0000-A500-00000B000000}" name="p_td" dataDxfId="1601"/>
    <tableColumn id="12" xr3:uid="{00000000-0010-0000-A500-00000C000000}" name="int" dataDxfId="1600"/>
    <tableColumn id="13" xr3:uid="{00000000-0010-0000-A500-00000D000000}" name="car" dataDxfId="1599"/>
    <tableColumn id="14" xr3:uid="{00000000-0010-0000-A500-00000E000000}" name="r_yd" dataDxfId="1598"/>
    <tableColumn id="15" xr3:uid="{00000000-0010-0000-A500-00000F000000}" name="r_td" dataDxfId="1597"/>
    <tableColumn id="16" xr3:uid="{00000000-0010-0000-A500-000010000000}" name="tgt" dataDxfId="1596"/>
    <tableColumn id="17" xr3:uid="{00000000-0010-0000-A500-000011000000}" name="rec" dataDxfId="1595"/>
    <tableColumn id="18" xr3:uid="{00000000-0010-0000-A500-000012000000}" name="rec_yd" dataDxfId="1594"/>
    <tableColumn id="19" xr3:uid="{00000000-0010-0000-A500-000013000000}" name="rec_td" dataDxfId="1593"/>
    <tableColumn id="20" xr3:uid="{00000000-0010-0000-A500-000014000000}" name="fmb" dataDxfId="1592"/>
    <tableColumn id="21" xr3:uid="{00000000-0010-0000-A500-000015000000}" name="tp_c" dataDxfId="1591"/>
    <tableColumn id="22" xr3:uid="{00000000-0010-0000-A500-000016000000}" name="f_ppr" dataDxfId="1590"/>
    <tableColumn id="23" xr3:uid="{00000000-0010-0000-A500-000017000000}" name="tgt_share" dataDxfId="1589"/>
    <tableColumn id="24" xr3:uid="{00000000-0010-0000-A500-000018000000}" name="ypc" dataDxfId="1588"/>
    <tableColumn id="25" xr3:uid="{00000000-0010-0000-A500-000019000000}" name="ypr" dataDxfId="1587"/>
    <tableColumn id="26" xr3:uid="{00000000-0010-0000-A500-00001A000000}" name="cmp_pct" dataDxfId="1586"/>
    <tableColumn id="27" xr3:uid="{00000000-0010-0000-A500-00001B000000}" name="td_rate" dataDxfId="1585"/>
    <tableColumn id="28" xr3:uid="{00000000-0010-0000-A500-00001C000000}" name="f_custom" dataDxfId="1584">
      <calculatedColumnFormula>($J46*Cp_yd)+($K46*Cp_td)+($L46*Cint)+($M46*Ccar)+($N46*Cr_td)+($O46*Cr_yd)+(Q46*Crec)+($R46*Crec_yd)+($S46*Crec_td)+($T46*Cfmb)+($U46*Ctp_c)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9" xr:uid="{00000000-000C-0000-FFFF-FFFFA6000000}" name="NYG_Table6" displayName="NYG_Table6" ref="A60:AB73" totalsRowShown="0" headerRowDxfId="1583" dataDxfId="1582">
  <autoFilter ref="A60:AB73" xr:uid="{00000000-0009-0000-0100-0000A9000000}"/>
  <tableColumns count="28">
    <tableColumn id="1" xr3:uid="{00000000-0010-0000-A600-000001000000}" name="Name" dataDxfId="1581"/>
    <tableColumn id="2" xr3:uid="{00000000-0010-0000-A600-000002000000}" name="POS" dataDxfId="1580"/>
    <tableColumn id="3" xr3:uid="{00000000-0010-0000-A600-000003000000}" name="Age" dataDxfId="1579"/>
    <tableColumn id="4" xr3:uid="{00000000-0010-0000-A600-000004000000}" name="Exp" dataDxfId="1578"/>
    <tableColumn id="5" xr3:uid="{00000000-0010-0000-A600-000005000000}" name="College" dataDxfId="1577"/>
    <tableColumn id="6" xr3:uid="{00000000-0010-0000-A600-000006000000}" name="team" dataDxfId="1576"/>
    <tableColumn id="7" xr3:uid="{00000000-0010-0000-A600-000007000000}" name="g" dataDxfId="1575"/>
    <tableColumn id="8" xr3:uid="{00000000-0010-0000-A600-000008000000}" name="p_att" dataDxfId="1574"/>
    <tableColumn id="9" xr3:uid="{00000000-0010-0000-A600-000009000000}" name="cmp" dataDxfId="1573"/>
    <tableColumn id="10" xr3:uid="{00000000-0010-0000-A600-00000A000000}" name="p_yd" dataDxfId="1572"/>
    <tableColumn id="11" xr3:uid="{00000000-0010-0000-A600-00000B000000}" name="p_td" dataDxfId="1571"/>
    <tableColumn id="12" xr3:uid="{00000000-0010-0000-A600-00000C000000}" name="int" dataDxfId="1570"/>
    <tableColumn id="13" xr3:uid="{00000000-0010-0000-A600-00000D000000}" name="car" dataDxfId="1569"/>
    <tableColumn id="14" xr3:uid="{00000000-0010-0000-A600-00000E000000}" name="r_yd" dataDxfId="1568"/>
    <tableColumn id="15" xr3:uid="{00000000-0010-0000-A600-00000F000000}" name="r_td" dataDxfId="1567"/>
    <tableColumn id="16" xr3:uid="{00000000-0010-0000-A600-000010000000}" name="tgt" dataDxfId="1566"/>
    <tableColumn id="17" xr3:uid="{00000000-0010-0000-A600-000011000000}" name="rec" dataDxfId="1565"/>
    <tableColumn id="18" xr3:uid="{00000000-0010-0000-A600-000012000000}" name="rec_yd" dataDxfId="1564"/>
    <tableColumn id="19" xr3:uid="{00000000-0010-0000-A600-000013000000}" name="rec_td" dataDxfId="1563"/>
    <tableColumn id="20" xr3:uid="{00000000-0010-0000-A600-000014000000}" name="fmb" dataDxfId="1562"/>
    <tableColumn id="21" xr3:uid="{00000000-0010-0000-A600-000015000000}" name="tp_c" dataDxfId="1561"/>
    <tableColumn id="22" xr3:uid="{00000000-0010-0000-A600-000016000000}" name="f_ppr" dataDxfId="1560"/>
    <tableColumn id="23" xr3:uid="{00000000-0010-0000-A600-000017000000}" name="tgt_share" dataDxfId="1559"/>
    <tableColumn id="24" xr3:uid="{00000000-0010-0000-A600-000018000000}" name="ypc" dataDxfId="1558"/>
    <tableColumn id="25" xr3:uid="{00000000-0010-0000-A600-000019000000}" name="ypr" dataDxfId="1557"/>
    <tableColumn id="26" xr3:uid="{00000000-0010-0000-A600-00001A000000}" name="cmp_pct" dataDxfId="1556"/>
    <tableColumn id="27" xr3:uid="{00000000-0010-0000-A600-00001B000000}" name="td_rate" dataDxfId="1555"/>
    <tableColumn id="28" xr3:uid="{00000000-0010-0000-A600-00001C000000}" name="f_custom" dataDxfId="1554"/>
  </tableColumns>
  <tableStyleInfo name="TableStyleMedium1" showFirstColumn="0" showLastColumn="0" showRowStripes="1" showColumnStripes="0"/>
</table>
</file>

<file path=xl/tables/table1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0" xr:uid="{00000000-000C-0000-FFFF-FFFFA7000000}" name="NYG_Table7" displayName="NYG_Table7" ref="A75:AB80" totalsRowShown="0" headerRowDxfId="1553" dataDxfId="1552">
  <autoFilter ref="A75:AB80" xr:uid="{00000000-0009-0000-0100-0000AA000000}"/>
  <tableColumns count="28">
    <tableColumn id="1" xr3:uid="{00000000-0010-0000-A700-000001000000}" name="Name" dataDxfId="1551"/>
    <tableColumn id="2" xr3:uid="{00000000-0010-0000-A700-000002000000}" name="POS" dataDxfId="1550"/>
    <tableColumn id="3" xr3:uid="{00000000-0010-0000-A700-000003000000}" name="Age" dataDxfId="1549"/>
    <tableColumn id="4" xr3:uid="{00000000-0010-0000-A700-000004000000}" name="Exp" dataDxfId="1548"/>
    <tableColumn id="5" xr3:uid="{00000000-0010-0000-A700-000005000000}" name="College" dataDxfId="1547"/>
    <tableColumn id="6" xr3:uid="{00000000-0010-0000-A700-000006000000}" name="team" dataDxfId="1546"/>
    <tableColumn id="7" xr3:uid="{00000000-0010-0000-A700-000007000000}" name="g" dataDxfId="1545"/>
    <tableColumn id="8" xr3:uid="{00000000-0010-0000-A700-000008000000}" name="p_att" dataDxfId="1544"/>
    <tableColumn id="9" xr3:uid="{00000000-0010-0000-A700-000009000000}" name="cmp" dataDxfId="1543"/>
    <tableColumn id="10" xr3:uid="{00000000-0010-0000-A700-00000A000000}" name="p_yd" dataDxfId="1542"/>
    <tableColumn id="11" xr3:uid="{00000000-0010-0000-A700-00000B000000}" name="p_td" dataDxfId="1541"/>
    <tableColumn id="12" xr3:uid="{00000000-0010-0000-A700-00000C000000}" name="int" dataDxfId="1540"/>
    <tableColumn id="13" xr3:uid="{00000000-0010-0000-A700-00000D000000}" name="car" dataDxfId="1539"/>
    <tableColumn id="14" xr3:uid="{00000000-0010-0000-A700-00000E000000}" name="r_yd" dataDxfId="1538"/>
    <tableColumn id="15" xr3:uid="{00000000-0010-0000-A700-00000F000000}" name="r_td" dataDxfId="1537"/>
    <tableColumn id="16" xr3:uid="{00000000-0010-0000-A700-000010000000}" name="tgt" dataDxfId="1536"/>
    <tableColumn id="17" xr3:uid="{00000000-0010-0000-A700-000011000000}" name="rec" dataDxfId="1535"/>
    <tableColumn id="18" xr3:uid="{00000000-0010-0000-A700-000012000000}" name="rec_yd" dataDxfId="1534"/>
    <tableColumn id="19" xr3:uid="{00000000-0010-0000-A700-000013000000}" name="rec_td" dataDxfId="1533"/>
    <tableColumn id="20" xr3:uid="{00000000-0010-0000-A700-000014000000}" name="fmb" dataDxfId="1532"/>
    <tableColumn id="21" xr3:uid="{00000000-0010-0000-A700-000015000000}" name="tp_c" dataDxfId="1531"/>
    <tableColumn id="22" xr3:uid="{00000000-0010-0000-A700-000016000000}" name="f_ppr" dataDxfId="1530"/>
    <tableColumn id="23" xr3:uid="{00000000-0010-0000-A700-000017000000}" name="tgt_share" dataDxfId="1529"/>
    <tableColumn id="24" xr3:uid="{00000000-0010-0000-A700-000018000000}" name="ypc" dataDxfId="1528"/>
    <tableColumn id="25" xr3:uid="{00000000-0010-0000-A700-000019000000}" name="ypr" dataDxfId="1527"/>
    <tableColumn id="26" xr3:uid="{00000000-0010-0000-A700-00001A000000}" name="cmp_pct" dataDxfId="1526"/>
    <tableColumn id="27" xr3:uid="{00000000-0010-0000-A700-00001B000000}" name="td_rate" dataDxfId="1525"/>
    <tableColumn id="28" xr3:uid="{00000000-0010-0000-A700-00001C000000}" name="f_custom" dataDxfId="1524"/>
  </tableColumns>
  <tableStyleInfo name="TableStyleMedium1" showFirstColumn="0" showLastColumn="0" showRowStripes="1" showColumnStripes="0"/>
</table>
</file>

<file path=xl/tables/table1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1" xr:uid="{00000000-000C-0000-FFFF-FFFFA8000000}" name="NYJ_Table1" displayName="NYJ_Table1" ref="A1:X20" totalsRowShown="0" headerRowDxfId="1523" dataDxfId="1522">
  <autoFilter ref="A1:X20" xr:uid="{00000000-0009-0000-0100-0000AB000000}"/>
  <tableColumns count="24">
    <tableColumn id="1" xr3:uid="{00000000-0010-0000-A800-000001000000}" name="player_name" dataDxfId="1521"/>
    <tableColumn id="2" xr3:uid="{00000000-0010-0000-A800-000002000000}" name="recent_team" dataDxfId="1520"/>
    <tableColumn id="3" xr3:uid="{00000000-0010-0000-A800-000003000000}" name="pos" dataDxfId="1519"/>
    <tableColumn id="4" xr3:uid="{00000000-0010-0000-A800-000004000000}" name="g" dataDxfId="1518"/>
    <tableColumn id="5" xr3:uid="{00000000-0010-0000-A800-000005000000}" name="p_att" dataDxfId="1517"/>
    <tableColumn id="6" xr3:uid="{00000000-0010-0000-A800-000006000000}" name="cmp" dataDxfId="1516"/>
    <tableColumn id="7" xr3:uid="{00000000-0010-0000-A800-000007000000}" name="p_yd" dataDxfId="1515"/>
    <tableColumn id="8" xr3:uid="{00000000-0010-0000-A800-000008000000}" name="p_td" dataDxfId="1514"/>
    <tableColumn id="9" xr3:uid="{00000000-0010-0000-A800-000009000000}" name="int" dataDxfId="1513"/>
    <tableColumn id="10" xr3:uid="{00000000-0010-0000-A800-00000A000000}" name="car" dataDxfId="1512"/>
    <tableColumn id="11" xr3:uid="{00000000-0010-0000-A800-00000B000000}" name="r_yd" dataDxfId="1511"/>
    <tableColumn id="12" xr3:uid="{00000000-0010-0000-A800-00000C000000}" name="r_td" dataDxfId="1510"/>
    <tableColumn id="13" xr3:uid="{00000000-0010-0000-A800-00000D000000}" name="tgt" dataDxfId="1509"/>
    <tableColumn id="14" xr3:uid="{00000000-0010-0000-A800-00000E000000}" name="rec" dataDxfId="1508"/>
    <tableColumn id="15" xr3:uid="{00000000-0010-0000-A800-00000F000000}" name="rec_yd" dataDxfId="1507"/>
    <tableColumn id="16" xr3:uid="{00000000-0010-0000-A800-000010000000}" name="rec_td" dataDxfId="1506"/>
    <tableColumn id="17" xr3:uid="{00000000-0010-0000-A800-000011000000}" name="fmb" dataDxfId="1505"/>
    <tableColumn id="18" xr3:uid="{00000000-0010-0000-A800-000012000000}" name="tp_c" dataDxfId="1504"/>
    <tableColumn id="19" xr3:uid="{00000000-0010-0000-A800-000013000000}" name="f_ppr" dataDxfId="1503"/>
    <tableColumn id="20" xr3:uid="{00000000-0010-0000-A800-000014000000}" name="tgt_share" dataDxfId="1502"/>
    <tableColumn id="21" xr3:uid="{00000000-0010-0000-A800-000015000000}" name="ypc" dataDxfId="1501"/>
    <tableColumn id="22" xr3:uid="{00000000-0010-0000-A800-000016000000}" name="ypr" dataDxfId="1500"/>
    <tableColumn id="23" xr3:uid="{00000000-0010-0000-A800-000017000000}" name="cmp_pct" dataDxfId="1499"/>
    <tableColumn id="24" xr3:uid="{00000000-0010-0000-A800-000018000000}" name="td_rate" dataDxfId="1498"/>
  </tableColumns>
  <tableStyleInfo name="TableStyleMedium1" showFirstColumn="0" showLastColumn="0" showRowStripes="1" showColumnStripes="0"/>
</table>
</file>

<file path=xl/tables/table1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2" xr:uid="{00000000-000C-0000-FFFF-FFFFA9000000}" name="NYJ_Table2" displayName="NYJ_Table2" ref="A30:L31" totalsRowShown="0" headerRowDxfId="1497" dataDxfId="1496">
  <autoFilter ref="A30:L31" xr:uid="{00000000-0009-0000-0100-0000AC000000}"/>
  <tableColumns count="12">
    <tableColumn id="1" xr3:uid="{00000000-0010-0000-A900-000001000000}" name="team" dataDxfId="1495"/>
    <tableColumn id="2" xr3:uid="{00000000-0010-0000-A900-000002000000}" name="off_yd" dataDxfId="1494"/>
    <tableColumn id="3" xr3:uid="{00000000-0010-0000-A900-000003000000}" name="p_yd" dataDxfId="1493"/>
    <tableColumn id="4" xr3:uid="{00000000-0010-0000-A900-000004000000}" name="car" dataDxfId="1492"/>
    <tableColumn id="5" xr3:uid="{00000000-0010-0000-A900-000005000000}" name="r_yd" dataDxfId="1491"/>
    <tableColumn id="6" xr3:uid="{00000000-0010-0000-A900-000006000000}" name="r_td" dataDxfId="1490"/>
    <tableColumn id="7" xr3:uid="{00000000-0010-0000-A900-000007000000}" name="p_ff" dataDxfId="1489"/>
    <tableColumn id="8" xr3:uid="{00000000-0010-0000-A900-000008000000}" name="p_att" dataDxfId="1488"/>
    <tableColumn id="9" xr3:uid="{00000000-0010-0000-A900-000009000000}" name="cmp_pct" dataDxfId="1487"/>
    <tableColumn id="10" xr3:uid="{00000000-0010-0000-A900-00000A000000}" name="p_td" dataDxfId="1486"/>
    <tableColumn id="11" xr3:uid="{00000000-0010-0000-A900-00000B000000}" name="int" dataDxfId="1485"/>
    <tableColumn id="12" xr3:uid="{00000000-0010-0000-A900-00000C000000}" name="fmb" dataDxfId="1484"/>
  </tableColumns>
  <tableStyleInfo name="TableStyleMedium1" showFirstColumn="0" showLastColumn="0" showRowStripes="1" showColumnStripes="0"/>
</table>
</file>

<file path=xl/tables/table1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3" xr:uid="{00000000-000C-0000-FFFF-FFFFAA000000}" name="NYJ_Table3" displayName="NYJ_Table3" ref="A32:L33" totalsRowShown="0" headerRowDxfId="1483" dataDxfId="1482">
  <autoFilter ref="A32:L33" xr:uid="{00000000-0009-0000-0100-0000AD000000}"/>
  <tableColumns count="12">
    <tableColumn id="1" xr3:uid="{00000000-0010-0000-AA00-000001000000}" name="team" dataDxfId="1481">
      <calculatedColumnFormula>A31</calculatedColumnFormula>
    </tableColumn>
    <tableColumn id="2" xr3:uid="{00000000-0010-0000-AA00-000002000000}" name="off_yd" dataDxfId="1480">
      <calculatedColumnFormula>C33 + E33</calculatedColumnFormula>
    </tableColumn>
    <tableColumn id="3" xr3:uid="{00000000-0010-0000-AA00-000003000000}" name="p_yd" dataDxfId="1479">
      <calculatedColumnFormula>SUM(INDIRECT(A33 &amp; "_Table4[[#All],[p_yd]]"))</calculatedColumnFormula>
    </tableColumn>
    <tableColumn id="4" xr3:uid="{00000000-0010-0000-AA00-000004000000}" name="car" dataDxfId="1478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AA00-000005000000}" name="r_yd" dataDxfId="1477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AA00-000006000000}" name="r_td" dataDxfId="1476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AA00-000007000000}" name="p_ff" dataDxfId="1475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AA00-000008000000}" name="p_att" dataDxfId="1474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AA00-000009000000}" name="cmp_pct" dataDxfId="1473">
      <calculatedColumnFormula>SUM(INDIRECT(A33 &amp; "_Table4[[#All],[cmp]]"))/H33</calculatedColumnFormula>
    </tableColumn>
    <tableColumn id="10" xr3:uid="{00000000-0010-0000-AA00-00000A000000}" name="p_td" dataDxfId="1472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AA00-00000B000000}" name="int" dataDxfId="1471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AA00-00000C000000}" name="fmb" dataDxfId="1470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</tableColumns>
  <tableStyleInfo name="TableStyleMedium1" showFirstColumn="0" showLastColumn="0" showRowStripes="1" showColumnStripes="0"/>
</table>
</file>

<file path=xl/tables/table1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4" xr:uid="{00000000-000C-0000-FFFF-FFFFAB000000}" name="NYJ_Table4" displayName="NYJ_Table4" ref="A35:AB38" totalsRowShown="0" headerRowDxfId="1469" dataDxfId="1468">
  <autoFilter ref="A35:AB38" xr:uid="{00000000-0009-0000-0100-0000AE000000}"/>
  <tableColumns count="28">
    <tableColumn id="1" xr3:uid="{00000000-0010-0000-AB00-000001000000}" name="Name" dataDxfId="1467"/>
    <tableColumn id="2" xr3:uid="{00000000-0010-0000-AB00-000002000000}" name="POS" dataDxfId="1466"/>
    <tableColumn id="3" xr3:uid="{00000000-0010-0000-AB00-000003000000}" name="Age" dataDxfId="1465"/>
    <tableColumn id="4" xr3:uid="{00000000-0010-0000-AB00-000004000000}" name="Exp" dataDxfId="1464"/>
    <tableColumn id="5" xr3:uid="{00000000-0010-0000-AB00-000005000000}" name="College" dataDxfId="1463"/>
    <tableColumn id="6" xr3:uid="{00000000-0010-0000-AB00-000006000000}" name="team" dataDxfId="1462"/>
    <tableColumn id="7" xr3:uid="{00000000-0010-0000-AB00-000007000000}" name="g" dataDxfId="1461"/>
    <tableColumn id="8" xr3:uid="{00000000-0010-0000-AB00-000008000000}" name="p_att" dataDxfId="1460"/>
    <tableColumn id="9" xr3:uid="{00000000-0010-0000-AB00-000009000000}" name="cmp" dataDxfId="1459"/>
    <tableColumn id="10" xr3:uid="{00000000-0010-0000-AB00-00000A000000}" name="p_yd" dataDxfId="1458"/>
    <tableColumn id="11" xr3:uid="{00000000-0010-0000-AB00-00000B000000}" name="p_td" dataDxfId="1457"/>
    <tableColumn id="12" xr3:uid="{00000000-0010-0000-AB00-00000C000000}" name="int" dataDxfId="1456"/>
    <tableColumn id="13" xr3:uid="{00000000-0010-0000-AB00-00000D000000}" name="car" dataDxfId="1455"/>
    <tableColumn id="14" xr3:uid="{00000000-0010-0000-AB00-00000E000000}" name="r_yd" dataDxfId="1454"/>
    <tableColumn id="15" xr3:uid="{00000000-0010-0000-AB00-00000F000000}" name="r_td" dataDxfId="1453"/>
    <tableColumn id="16" xr3:uid="{00000000-0010-0000-AB00-000010000000}" name="tgt" dataDxfId="1452"/>
    <tableColumn id="17" xr3:uid="{00000000-0010-0000-AB00-000011000000}" name="rec" dataDxfId="1451"/>
    <tableColumn id="18" xr3:uid="{00000000-0010-0000-AB00-000012000000}" name="rec_yd" dataDxfId="1450"/>
    <tableColumn id="19" xr3:uid="{00000000-0010-0000-AB00-000013000000}" name="rec_td" dataDxfId="1449"/>
    <tableColumn id="20" xr3:uid="{00000000-0010-0000-AB00-000014000000}" name="fmb" dataDxfId="1448"/>
    <tableColumn id="21" xr3:uid="{00000000-0010-0000-AB00-000015000000}" name="tp_c" dataDxfId="1447"/>
    <tableColumn id="22" xr3:uid="{00000000-0010-0000-AB00-000016000000}" name="f_ppr" dataDxfId="1446"/>
    <tableColumn id="23" xr3:uid="{00000000-0010-0000-AB00-000017000000}" name="tgt_share" dataDxfId="1445"/>
    <tableColumn id="24" xr3:uid="{00000000-0010-0000-AB00-000018000000}" name="ypc" dataDxfId="1444"/>
    <tableColumn id="25" xr3:uid="{00000000-0010-0000-AB00-000019000000}" name="ypr" dataDxfId="1443"/>
    <tableColumn id="26" xr3:uid="{00000000-0010-0000-AB00-00001A000000}" name="cmp_pct" dataDxfId="1442"/>
    <tableColumn id="27" xr3:uid="{00000000-0010-0000-AB00-00001B000000}" name="td_rate" dataDxfId="1441"/>
    <tableColumn id="28" xr3:uid="{00000000-0010-0000-AB00-00001C000000}" name="f_custom" dataDxfId="1440"/>
  </tableColumns>
  <tableStyleInfo name="TableStyleMedium1" showFirstColumn="0" showLastColumn="0" showRowStripes="1" showColumnStripes="0"/>
</table>
</file>

<file path=xl/tables/table1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5" xr:uid="{00000000-000C-0000-FFFF-FFFFAC000000}" name="NYJ_Table5" displayName="NYJ_Table5" ref="A45:AB51" totalsRowShown="0" headerRowDxfId="1439" dataDxfId="1438">
  <autoFilter ref="A45:AB51" xr:uid="{00000000-0009-0000-0100-0000AF000000}"/>
  <tableColumns count="28">
    <tableColumn id="1" xr3:uid="{00000000-0010-0000-AC00-000001000000}" name="Name" dataDxfId="1437"/>
    <tableColumn id="2" xr3:uid="{00000000-0010-0000-AC00-000002000000}" name="POS" dataDxfId="1436"/>
    <tableColumn id="3" xr3:uid="{00000000-0010-0000-AC00-000003000000}" name="Age" dataDxfId="1435"/>
    <tableColumn id="4" xr3:uid="{00000000-0010-0000-AC00-000004000000}" name="Exp" dataDxfId="1434"/>
    <tableColumn id="5" xr3:uid="{00000000-0010-0000-AC00-000005000000}" name="College" dataDxfId="1433"/>
    <tableColumn id="6" xr3:uid="{00000000-0010-0000-AC00-000006000000}" name="team" dataDxfId="1432"/>
    <tableColumn id="7" xr3:uid="{00000000-0010-0000-AC00-000007000000}" name="g" dataDxfId="1431"/>
    <tableColumn id="8" xr3:uid="{00000000-0010-0000-AC00-000008000000}" name="p_att" dataDxfId="1430"/>
    <tableColumn id="9" xr3:uid="{00000000-0010-0000-AC00-000009000000}" name="cmp" dataDxfId="1429"/>
    <tableColumn id="10" xr3:uid="{00000000-0010-0000-AC00-00000A000000}" name="p_yd" dataDxfId="1428"/>
    <tableColumn id="11" xr3:uid="{00000000-0010-0000-AC00-00000B000000}" name="p_td" dataDxfId="1427"/>
    <tableColumn id="12" xr3:uid="{00000000-0010-0000-AC00-00000C000000}" name="int" dataDxfId="1426"/>
    <tableColumn id="13" xr3:uid="{00000000-0010-0000-AC00-00000D000000}" name="car" dataDxfId="1425"/>
    <tableColumn id="14" xr3:uid="{00000000-0010-0000-AC00-00000E000000}" name="r_yd" dataDxfId="1424"/>
    <tableColumn id="15" xr3:uid="{00000000-0010-0000-AC00-00000F000000}" name="r_td" dataDxfId="1423"/>
    <tableColumn id="16" xr3:uid="{00000000-0010-0000-AC00-000010000000}" name="tgt" dataDxfId="1422"/>
    <tableColumn id="17" xr3:uid="{00000000-0010-0000-AC00-000011000000}" name="rec" dataDxfId="1421"/>
    <tableColumn id="18" xr3:uid="{00000000-0010-0000-AC00-000012000000}" name="rec_yd" dataDxfId="1420"/>
    <tableColumn id="19" xr3:uid="{00000000-0010-0000-AC00-000013000000}" name="rec_td" dataDxfId="1419"/>
    <tableColumn id="20" xr3:uid="{00000000-0010-0000-AC00-000014000000}" name="fmb" dataDxfId="1418"/>
    <tableColumn id="21" xr3:uid="{00000000-0010-0000-AC00-000015000000}" name="tp_c" dataDxfId="1417"/>
    <tableColumn id="22" xr3:uid="{00000000-0010-0000-AC00-000016000000}" name="f_ppr" dataDxfId="1416"/>
    <tableColumn id="23" xr3:uid="{00000000-0010-0000-AC00-000017000000}" name="tgt_share" dataDxfId="1415"/>
    <tableColumn id="24" xr3:uid="{00000000-0010-0000-AC00-000018000000}" name="ypc" dataDxfId="1414"/>
    <tableColumn id="25" xr3:uid="{00000000-0010-0000-AC00-000019000000}" name="ypr" dataDxfId="1413"/>
    <tableColumn id="26" xr3:uid="{00000000-0010-0000-AC00-00001A000000}" name="cmp_pct" dataDxfId="1412"/>
    <tableColumn id="27" xr3:uid="{00000000-0010-0000-AC00-00001B000000}" name="td_rate" dataDxfId="1411"/>
    <tableColumn id="28" xr3:uid="{00000000-0010-0000-AC00-00001C000000}" name="f_custom" dataDxfId="1410">
      <calculatedColumnFormula>($J46*Cp_yd)+($K46*Cp_td)+($L46*Cint)+($M46*Ccar)+($N46*Cr_td)+($O46*Cr_yd)+(Q46*Crec)+($R46*Crec_yd)+($S46*Crec_td)+($T46*Cfmb)+($U46*Ctp_c)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6" xr:uid="{00000000-000C-0000-FFFF-FFFFAD000000}" name="NYJ_Table6" displayName="NYJ_Table6" ref="A60:AB72" totalsRowShown="0" headerRowDxfId="1409" dataDxfId="1408">
  <autoFilter ref="A60:AB72" xr:uid="{00000000-0009-0000-0100-0000B0000000}"/>
  <tableColumns count="28">
    <tableColumn id="1" xr3:uid="{00000000-0010-0000-AD00-000001000000}" name="Name" dataDxfId="1407"/>
    <tableColumn id="2" xr3:uid="{00000000-0010-0000-AD00-000002000000}" name="POS" dataDxfId="1406"/>
    <tableColumn id="3" xr3:uid="{00000000-0010-0000-AD00-000003000000}" name="Age" dataDxfId="1405"/>
    <tableColumn id="4" xr3:uid="{00000000-0010-0000-AD00-000004000000}" name="Exp" dataDxfId="1404"/>
    <tableColumn id="5" xr3:uid="{00000000-0010-0000-AD00-000005000000}" name="College" dataDxfId="1403"/>
    <tableColumn id="6" xr3:uid="{00000000-0010-0000-AD00-000006000000}" name="team" dataDxfId="1402"/>
    <tableColumn id="7" xr3:uid="{00000000-0010-0000-AD00-000007000000}" name="g" dataDxfId="1401"/>
    <tableColumn id="8" xr3:uid="{00000000-0010-0000-AD00-000008000000}" name="p_att" dataDxfId="1400"/>
    <tableColumn id="9" xr3:uid="{00000000-0010-0000-AD00-000009000000}" name="cmp" dataDxfId="1399"/>
    <tableColumn id="10" xr3:uid="{00000000-0010-0000-AD00-00000A000000}" name="p_yd" dataDxfId="1398"/>
    <tableColumn id="11" xr3:uid="{00000000-0010-0000-AD00-00000B000000}" name="p_td" dataDxfId="1397"/>
    <tableColumn id="12" xr3:uid="{00000000-0010-0000-AD00-00000C000000}" name="int" dataDxfId="1396"/>
    <tableColumn id="13" xr3:uid="{00000000-0010-0000-AD00-00000D000000}" name="car" dataDxfId="1395"/>
    <tableColumn id="14" xr3:uid="{00000000-0010-0000-AD00-00000E000000}" name="r_yd" dataDxfId="1394"/>
    <tableColumn id="15" xr3:uid="{00000000-0010-0000-AD00-00000F000000}" name="r_td" dataDxfId="1393"/>
    <tableColumn id="16" xr3:uid="{00000000-0010-0000-AD00-000010000000}" name="tgt" dataDxfId="1392"/>
    <tableColumn id="17" xr3:uid="{00000000-0010-0000-AD00-000011000000}" name="rec" dataDxfId="1391"/>
    <tableColumn id="18" xr3:uid="{00000000-0010-0000-AD00-000012000000}" name="rec_yd" dataDxfId="1390"/>
    <tableColumn id="19" xr3:uid="{00000000-0010-0000-AD00-000013000000}" name="rec_td" dataDxfId="1389"/>
    <tableColumn id="20" xr3:uid="{00000000-0010-0000-AD00-000014000000}" name="fmb" dataDxfId="1388"/>
    <tableColumn id="21" xr3:uid="{00000000-0010-0000-AD00-000015000000}" name="tp_c" dataDxfId="1387"/>
    <tableColumn id="22" xr3:uid="{00000000-0010-0000-AD00-000016000000}" name="f_ppr" dataDxfId="1386"/>
    <tableColumn id="23" xr3:uid="{00000000-0010-0000-AD00-000017000000}" name="tgt_share" dataDxfId="1385"/>
    <tableColumn id="24" xr3:uid="{00000000-0010-0000-AD00-000018000000}" name="ypc" dataDxfId="1384"/>
    <tableColumn id="25" xr3:uid="{00000000-0010-0000-AD00-000019000000}" name="ypr" dataDxfId="1383"/>
    <tableColumn id="26" xr3:uid="{00000000-0010-0000-AD00-00001A000000}" name="cmp_pct" dataDxfId="1382"/>
    <tableColumn id="27" xr3:uid="{00000000-0010-0000-AD00-00001B000000}" name="td_rate" dataDxfId="1381"/>
    <tableColumn id="28" xr3:uid="{00000000-0010-0000-AD00-00001C000000}" name="f_custom" dataDxfId="1380"/>
  </tableColumns>
  <tableStyleInfo name="TableStyleMedium1" showFirstColumn="0" showLastColumn="0" showRowStripes="1" showColumnStripes="0"/>
</table>
</file>

<file path=xl/tables/table1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7" xr:uid="{00000000-000C-0000-FFFF-FFFFAE000000}" name="NYJ_Table7" displayName="NYJ_Table7" ref="A75:AB81" totalsRowShown="0" headerRowDxfId="1379" dataDxfId="1378">
  <autoFilter ref="A75:AB81" xr:uid="{00000000-0009-0000-0100-0000B1000000}"/>
  <tableColumns count="28">
    <tableColumn id="1" xr3:uid="{00000000-0010-0000-AE00-000001000000}" name="Name" dataDxfId="1377"/>
    <tableColumn id="2" xr3:uid="{00000000-0010-0000-AE00-000002000000}" name="POS" dataDxfId="1376"/>
    <tableColumn id="3" xr3:uid="{00000000-0010-0000-AE00-000003000000}" name="Age" dataDxfId="1375"/>
    <tableColumn id="4" xr3:uid="{00000000-0010-0000-AE00-000004000000}" name="Exp" dataDxfId="1374"/>
    <tableColumn id="5" xr3:uid="{00000000-0010-0000-AE00-000005000000}" name="College" dataDxfId="1373"/>
    <tableColumn id="6" xr3:uid="{00000000-0010-0000-AE00-000006000000}" name="team" dataDxfId="1372"/>
    <tableColumn id="7" xr3:uid="{00000000-0010-0000-AE00-000007000000}" name="g" dataDxfId="1371"/>
    <tableColumn id="8" xr3:uid="{00000000-0010-0000-AE00-000008000000}" name="p_att" dataDxfId="1370"/>
    <tableColumn id="9" xr3:uid="{00000000-0010-0000-AE00-000009000000}" name="cmp" dataDxfId="1369"/>
    <tableColumn id="10" xr3:uid="{00000000-0010-0000-AE00-00000A000000}" name="p_yd" dataDxfId="1368"/>
    <tableColumn id="11" xr3:uid="{00000000-0010-0000-AE00-00000B000000}" name="p_td" dataDxfId="1367"/>
    <tableColumn id="12" xr3:uid="{00000000-0010-0000-AE00-00000C000000}" name="int" dataDxfId="1366"/>
    <tableColumn id="13" xr3:uid="{00000000-0010-0000-AE00-00000D000000}" name="car" dataDxfId="1365"/>
    <tableColumn id="14" xr3:uid="{00000000-0010-0000-AE00-00000E000000}" name="r_yd" dataDxfId="1364"/>
    <tableColumn id="15" xr3:uid="{00000000-0010-0000-AE00-00000F000000}" name="r_td" dataDxfId="1363"/>
    <tableColumn id="16" xr3:uid="{00000000-0010-0000-AE00-000010000000}" name="tgt" dataDxfId="1362"/>
    <tableColumn id="17" xr3:uid="{00000000-0010-0000-AE00-000011000000}" name="rec" dataDxfId="1361"/>
    <tableColumn id="18" xr3:uid="{00000000-0010-0000-AE00-000012000000}" name="rec_yd" dataDxfId="1360"/>
    <tableColumn id="19" xr3:uid="{00000000-0010-0000-AE00-000013000000}" name="rec_td" dataDxfId="1359"/>
    <tableColumn id="20" xr3:uid="{00000000-0010-0000-AE00-000014000000}" name="fmb" dataDxfId="1358"/>
    <tableColumn id="21" xr3:uid="{00000000-0010-0000-AE00-000015000000}" name="tp_c" dataDxfId="1357"/>
    <tableColumn id="22" xr3:uid="{00000000-0010-0000-AE00-000016000000}" name="f_ppr" dataDxfId="1356"/>
    <tableColumn id="23" xr3:uid="{00000000-0010-0000-AE00-000017000000}" name="tgt_share" dataDxfId="1355"/>
    <tableColumn id="24" xr3:uid="{00000000-0010-0000-AE00-000018000000}" name="ypc" dataDxfId="1354"/>
    <tableColumn id="25" xr3:uid="{00000000-0010-0000-AE00-000019000000}" name="ypr" dataDxfId="1353"/>
    <tableColumn id="26" xr3:uid="{00000000-0010-0000-AE00-00001A000000}" name="cmp_pct" dataDxfId="1352"/>
    <tableColumn id="27" xr3:uid="{00000000-0010-0000-AE00-00001B000000}" name="td_rate" dataDxfId="1351"/>
    <tableColumn id="28" xr3:uid="{00000000-0010-0000-AE00-00001C000000}" name="f_custom" dataDxfId="1350"/>
  </tableColumns>
  <tableStyleInfo name="TableStyleMedium1" showFirstColumn="0" showLastColumn="0" showRowStripes="1" showColumnStripes="0"/>
</table>
</file>

<file path=xl/tables/table1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8" xr:uid="{00000000-000C-0000-FFFF-FFFFAF000000}" name="PHI_Table1" displayName="PHI_Table1" ref="A1:X15" totalsRowShown="0" headerRowDxfId="1349" dataDxfId="1348">
  <autoFilter ref="A1:X15" xr:uid="{00000000-0009-0000-0100-0000B2000000}"/>
  <tableColumns count="24">
    <tableColumn id="1" xr3:uid="{00000000-0010-0000-AF00-000001000000}" name="player_name" dataDxfId="1347"/>
    <tableColumn id="2" xr3:uid="{00000000-0010-0000-AF00-000002000000}" name="recent_team" dataDxfId="1346"/>
    <tableColumn id="3" xr3:uid="{00000000-0010-0000-AF00-000003000000}" name="pos" dataDxfId="1345"/>
    <tableColumn id="4" xr3:uid="{00000000-0010-0000-AF00-000004000000}" name="g" dataDxfId="1344"/>
    <tableColumn id="5" xr3:uid="{00000000-0010-0000-AF00-000005000000}" name="p_att" dataDxfId="1343"/>
    <tableColumn id="6" xr3:uid="{00000000-0010-0000-AF00-000006000000}" name="cmp" dataDxfId="1342"/>
    <tableColumn id="7" xr3:uid="{00000000-0010-0000-AF00-000007000000}" name="p_yd" dataDxfId="1341"/>
    <tableColumn id="8" xr3:uid="{00000000-0010-0000-AF00-000008000000}" name="p_td" dataDxfId="1340"/>
    <tableColumn id="9" xr3:uid="{00000000-0010-0000-AF00-000009000000}" name="int" dataDxfId="1339"/>
    <tableColumn id="10" xr3:uid="{00000000-0010-0000-AF00-00000A000000}" name="car" dataDxfId="1338"/>
    <tableColumn id="11" xr3:uid="{00000000-0010-0000-AF00-00000B000000}" name="r_yd" dataDxfId="1337"/>
    <tableColumn id="12" xr3:uid="{00000000-0010-0000-AF00-00000C000000}" name="r_td" dataDxfId="1336"/>
    <tableColumn id="13" xr3:uid="{00000000-0010-0000-AF00-00000D000000}" name="tgt" dataDxfId="1335"/>
    <tableColumn id="14" xr3:uid="{00000000-0010-0000-AF00-00000E000000}" name="rec" dataDxfId="1334"/>
    <tableColumn id="15" xr3:uid="{00000000-0010-0000-AF00-00000F000000}" name="rec_yd" dataDxfId="1333"/>
    <tableColumn id="16" xr3:uid="{00000000-0010-0000-AF00-000010000000}" name="rec_td" dataDxfId="1332"/>
    <tableColumn id="17" xr3:uid="{00000000-0010-0000-AF00-000011000000}" name="fmb" dataDxfId="1331"/>
    <tableColumn id="18" xr3:uid="{00000000-0010-0000-AF00-000012000000}" name="tp_c" dataDxfId="1330"/>
    <tableColumn id="19" xr3:uid="{00000000-0010-0000-AF00-000013000000}" name="f_ppr" dataDxfId="1329"/>
    <tableColumn id="20" xr3:uid="{00000000-0010-0000-AF00-000014000000}" name="tgt_share" dataDxfId="1328"/>
    <tableColumn id="21" xr3:uid="{00000000-0010-0000-AF00-000015000000}" name="ypc" dataDxfId="1327"/>
    <tableColumn id="22" xr3:uid="{00000000-0010-0000-AF00-000016000000}" name="ypr" dataDxfId="1326"/>
    <tableColumn id="23" xr3:uid="{00000000-0010-0000-AF00-000017000000}" name="cmp_pct" dataDxfId="1325"/>
    <tableColumn id="24" xr3:uid="{00000000-0010-0000-AF00-000018000000}" name="td_rate" dataDxfId="1324"/>
  </tableColumns>
  <tableStyleInfo name="TableStyleMedium1" showFirstColumn="0" showLastColumn="0" showRowStripes="1" showColumnStripes="0"/>
</table>
</file>

<file path=xl/tables/table1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9" xr:uid="{00000000-000C-0000-FFFF-FFFFB0000000}" name="PHI_Table2" displayName="PHI_Table2" ref="A30:L31" totalsRowShown="0" headerRowDxfId="1323" dataDxfId="1322">
  <autoFilter ref="A30:L31" xr:uid="{00000000-0009-0000-0100-0000B3000000}"/>
  <tableColumns count="12">
    <tableColumn id="1" xr3:uid="{00000000-0010-0000-B000-000001000000}" name="team" dataDxfId="1321"/>
    <tableColumn id="2" xr3:uid="{00000000-0010-0000-B000-000002000000}" name="off_yd" dataDxfId="1320"/>
    <tableColumn id="3" xr3:uid="{00000000-0010-0000-B000-000003000000}" name="p_yd" dataDxfId="1319"/>
    <tableColumn id="4" xr3:uid="{00000000-0010-0000-B000-000004000000}" name="car" dataDxfId="1318"/>
    <tableColumn id="5" xr3:uid="{00000000-0010-0000-B000-000005000000}" name="r_yd" dataDxfId="1317"/>
    <tableColumn id="6" xr3:uid="{00000000-0010-0000-B000-000006000000}" name="r_td" dataDxfId="1316"/>
    <tableColumn id="7" xr3:uid="{00000000-0010-0000-B000-000007000000}" name="p_ff" dataDxfId="1315"/>
    <tableColumn id="8" xr3:uid="{00000000-0010-0000-B000-000008000000}" name="p_att" dataDxfId="1314"/>
    <tableColumn id="9" xr3:uid="{00000000-0010-0000-B000-000009000000}" name="cmp_pct" dataDxfId="1313"/>
    <tableColumn id="10" xr3:uid="{00000000-0010-0000-B000-00000A000000}" name="p_td" dataDxfId="1312"/>
    <tableColumn id="11" xr3:uid="{00000000-0010-0000-B000-00000B000000}" name="int" dataDxfId="1311"/>
    <tableColumn id="12" xr3:uid="{00000000-0010-0000-B000-00000C000000}" name="fmb" dataDxfId="1310"/>
  </tableColumns>
  <tableStyleInfo name="TableStyleMedium1" showFirstColumn="0" showLastColumn="0" showRowStripes="1" showColumnStripes="0"/>
</table>
</file>

<file path=xl/tables/table1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0" xr:uid="{00000000-000C-0000-FFFF-FFFFB1000000}" name="PHI_Table3" displayName="PHI_Table3" ref="A32:L33" totalsRowShown="0" headerRowDxfId="1309" dataDxfId="1308">
  <autoFilter ref="A32:L33" xr:uid="{00000000-0009-0000-0100-0000B4000000}"/>
  <tableColumns count="12">
    <tableColumn id="1" xr3:uid="{00000000-0010-0000-B100-000001000000}" name="team" dataDxfId="1307">
      <calculatedColumnFormula>A31</calculatedColumnFormula>
    </tableColumn>
    <tableColumn id="2" xr3:uid="{00000000-0010-0000-B100-000002000000}" name="off_yd" dataDxfId="1306">
      <calculatedColumnFormula>C33 + E33</calculatedColumnFormula>
    </tableColumn>
    <tableColumn id="3" xr3:uid="{00000000-0010-0000-B100-000003000000}" name="p_yd" dataDxfId="1305">
      <calculatedColumnFormula>SUM(INDIRECT(A33 &amp; "_Table4[[#All],[p_yd]]"))</calculatedColumnFormula>
    </tableColumn>
    <tableColumn id="4" xr3:uid="{00000000-0010-0000-B100-000004000000}" name="car" dataDxfId="1304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B100-000005000000}" name="r_yd" dataDxfId="1303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B100-000006000000}" name="r_td" dataDxfId="1302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B100-000007000000}" name="p_ff" dataDxfId="1301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B100-000008000000}" name="p_att" dataDxfId="1300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B100-000009000000}" name="cmp_pct" dataDxfId="1299">
      <calculatedColumnFormula>SUM(INDIRECT(A33 &amp; "_Table4[[#All],[cmp]]"))/H33</calculatedColumnFormula>
    </tableColumn>
    <tableColumn id="10" xr3:uid="{00000000-0010-0000-B100-00000A000000}" name="p_td" dataDxfId="1298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B100-00000B000000}" name="int" dataDxfId="1297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B100-00000C000000}" name="fmb" dataDxfId="1296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</tableColumns>
  <tableStyleInfo name="TableStyleMedium1" showFirstColumn="0" showLastColumn="0" showRowStripes="1" showColumnStripes="0"/>
</table>
</file>

<file path=xl/tables/table1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1" xr:uid="{00000000-000C-0000-FFFF-FFFFB2000000}" name="PHI_Table4" displayName="PHI_Table4" ref="A35:AB39" totalsRowShown="0" headerRowDxfId="1295" dataDxfId="1294">
  <autoFilter ref="A35:AB39" xr:uid="{00000000-0009-0000-0100-0000B5000000}"/>
  <tableColumns count="28">
    <tableColumn id="1" xr3:uid="{00000000-0010-0000-B200-000001000000}" name="Name" dataDxfId="1293"/>
    <tableColumn id="2" xr3:uid="{00000000-0010-0000-B200-000002000000}" name="POS" dataDxfId="1292"/>
    <tableColumn id="3" xr3:uid="{00000000-0010-0000-B200-000003000000}" name="Age" dataDxfId="1291"/>
    <tableColumn id="4" xr3:uid="{00000000-0010-0000-B200-000004000000}" name="Exp" dataDxfId="1290"/>
    <tableColumn id="5" xr3:uid="{00000000-0010-0000-B200-000005000000}" name="College" dataDxfId="1289"/>
    <tableColumn id="6" xr3:uid="{00000000-0010-0000-B200-000006000000}" name="team" dataDxfId="1288"/>
    <tableColumn id="7" xr3:uid="{00000000-0010-0000-B200-000007000000}" name="g" dataDxfId="1287"/>
    <tableColumn id="8" xr3:uid="{00000000-0010-0000-B200-000008000000}" name="p_att" dataDxfId="1286"/>
    <tableColumn id="9" xr3:uid="{00000000-0010-0000-B200-000009000000}" name="cmp" dataDxfId="1285"/>
    <tableColumn id="10" xr3:uid="{00000000-0010-0000-B200-00000A000000}" name="p_yd" dataDxfId="1284"/>
    <tableColumn id="11" xr3:uid="{00000000-0010-0000-B200-00000B000000}" name="p_td" dataDxfId="1283"/>
    <tableColumn id="12" xr3:uid="{00000000-0010-0000-B200-00000C000000}" name="int" dataDxfId="1282"/>
    <tableColumn id="13" xr3:uid="{00000000-0010-0000-B200-00000D000000}" name="car" dataDxfId="1281"/>
    <tableColumn id="14" xr3:uid="{00000000-0010-0000-B200-00000E000000}" name="r_yd" dataDxfId="1280"/>
    <tableColumn id="15" xr3:uid="{00000000-0010-0000-B200-00000F000000}" name="r_td" dataDxfId="1279"/>
    <tableColumn id="16" xr3:uid="{00000000-0010-0000-B200-000010000000}" name="tgt" dataDxfId="1278"/>
    <tableColumn id="17" xr3:uid="{00000000-0010-0000-B200-000011000000}" name="rec" dataDxfId="1277"/>
    <tableColumn id="18" xr3:uid="{00000000-0010-0000-B200-000012000000}" name="rec_yd" dataDxfId="1276"/>
    <tableColumn id="19" xr3:uid="{00000000-0010-0000-B200-000013000000}" name="rec_td" dataDxfId="1275"/>
    <tableColumn id="20" xr3:uid="{00000000-0010-0000-B200-000014000000}" name="fmb" dataDxfId="1274"/>
    <tableColumn id="21" xr3:uid="{00000000-0010-0000-B200-000015000000}" name="tp_c" dataDxfId="1273"/>
    <tableColumn id="22" xr3:uid="{00000000-0010-0000-B200-000016000000}" name="f_ppr" dataDxfId="1272"/>
    <tableColumn id="23" xr3:uid="{00000000-0010-0000-B200-000017000000}" name="tgt_share" dataDxfId="1271"/>
    <tableColumn id="24" xr3:uid="{00000000-0010-0000-B200-000018000000}" name="ypc" dataDxfId="1270"/>
    <tableColumn id="25" xr3:uid="{00000000-0010-0000-B200-000019000000}" name="ypr" dataDxfId="1269"/>
    <tableColumn id="26" xr3:uid="{00000000-0010-0000-B200-00001A000000}" name="cmp_pct" dataDxfId="1268"/>
    <tableColumn id="27" xr3:uid="{00000000-0010-0000-B200-00001B000000}" name="td_rate" dataDxfId="1267"/>
    <tableColumn id="28" xr3:uid="{00000000-0010-0000-B200-00001C000000}" name="f_custom" dataDxfId="1266"/>
  </tableColumns>
  <tableStyleInfo name="TableStyleMedium1" showFirstColumn="0" showLastColumn="0" showRowStripes="1" showColumnStripes="0"/>
</table>
</file>

<file path=xl/tables/table1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2" xr:uid="{00000000-000C-0000-FFFF-FFFFB3000000}" name="PHI_Table5" displayName="PHI_Table5" ref="A45:AB51" totalsRowShown="0" headerRowDxfId="1265" dataDxfId="1264">
  <autoFilter ref="A45:AB51" xr:uid="{00000000-0009-0000-0100-0000B6000000}"/>
  <tableColumns count="28">
    <tableColumn id="1" xr3:uid="{00000000-0010-0000-B300-000001000000}" name="Name" dataDxfId="1263"/>
    <tableColumn id="2" xr3:uid="{00000000-0010-0000-B300-000002000000}" name="POS" dataDxfId="1262"/>
    <tableColumn id="3" xr3:uid="{00000000-0010-0000-B300-000003000000}" name="Age" dataDxfId="1261"/>
    <tableColumn id="4" xr3:uid="{00000000-0010-0000-B300-000004000000}" name="Exp" dataDxfId="1260"/>
    <tableColumn id="5" xr3:uid="{00000000-0010-0000-B300-000005000000}" name="College" dataDxfId="1259"/>
    <tableColumn id="6" xr3:uid="{00000000-0010-0000-B300-000006000000}" name="team" dataDxfId="1258"/>
    <tableColumn id="7" xr3:uid="{00000000-0010-0000-B300-000007000000}" name="g" dataDxfId="1257"/>
    <tableColumn id="8" xr3:uid="{00000000-0010-0000-B300-000008000000}" name="p_att" dataDxfId="1256"/>
    <tableColumn id="9" xr3:uid="{00000000-0010-0000-B300-000009000000}" name="cmp" dataDxfId="1255"/>
    <tableColumn id="10" xr3:uid="{00000000-0010-0000-B300-00000A000000}" name="p_yd" dataDxfId="1254"/>
    <tableColumn id="11" xr3:uid="{00000000-0010-0000-B300-00000B000000}" name="p_td" dataDxfId="1253"/>
    <tableColumn id="12" xr3:uid="{00000000-0010-0000-B300-00000C000000}" name="int" dataDxfId="1252"/>
    <tableColumn id="13" xr3:uid="{00000000-0010-0000-B300-00000D000000}" name="car" dataDxfId="1251"/>
    <tableColumn id="14" xr3:uid="{00000000-0010-0000-B300-00000E000000}" name="r_yd" dataDxfId="1250"/>
    <tableColumn id="15" xr3:uid="{00000000-0010-0000-B300-00000F000000}" name="r_td" dataDxfId="1249"/>
    <tableColumn id="16" xr3:uid="{00000000-0010-0000-B300-000010000000}" name="tgt" dataDxfId="1248"/>
    <tableColumn id="17" xr3:uid="{00000000-0010-0000-B300-000011000000}" name="rec" dataDxfId="1247"/>
    <tableColumn id="18" xr3:uid="{00000000-0010-0000-B300-000012000000}" name="rec_yd" dataDxfId="1246"/>
    <tableColumn id="19" xr3:uid="{00000000-0010-0000-B300-000013000000}" name="rec_td" dataDxfId="1245"/>
    <tableColumn id="20" xr3:uid="{00000000-0010-0000-B300-000014000000}" name="fmb" dataDxfId="1244"/>
    <tableColumn id="21" xr3:uid="{00000000-0010-0000-B300-000015000000}" name="tp_c" dataDxfId="1243"/>
    <tableColumn id="22" xr3:uid="{00000000-0010-0000-B300-000016000000}" name="f_ppr" dataDxfId="1242"/>
    <tableColumn id="23" xr3:uid="{00000000-0010-0000-B300-000017000000}" name="tgt_share" dataDxfId="1241"/>
    <tableColumn id="24" xr3:uid="{00000000-0010-0000-B300-000018000000}" name="ypc" dataDxfId="1240"/>
    <tableColumn id="25" xr3:uid="{00000000-0010-0000-B300-000019000000}" name="ypr" dataDxfId="1239"/>
    <tableColumn id="26" xr3:uid="{00000000-0010-0000-B300-00001A000000}" name="cmp_pct" dataDxfId="1238"/>
    <tableColumn id="27" xr3:uid="{00000000-0010-0000-B300-00001B000000}" name="td_rate" dataDxfId="1237"/>
    <tableColumn id="28" xr3:uid="{00000000-0010-0000-B300-00001C000000}" name="f_custom" dataDxfId="1236">
      <calculatedColumnFormula>($J46*Cp_yd)+($K46*Cp_td)+($L46*Cint)+($M46*Ccar)+($N46*Cr_td)+($O46*Cr_yd)+(Q46*Crec)+($R46*Crec_yd)+($S46*Crec_td)+($T46*Cfmb)+($U46*Ctp_c)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3" xr:uid="{00000000-000C-0000-FFFF-FFFFB4000000}" name="PHI_Table6" displayName="PHI_Table6" ref="A60:AB73" totalsRowShown="0" headerRowDxfId="1235" dataDxfId="1234">
  <autoFilter ref="A60:AB73" xr:uid="{00000000-0009-0000-0100-0000B7000000}"/>
  <tableColumns count="28">
    <tableColumn id="1" xr3:uid="{00000000-0010-0000-B400-000001000000}" name="Name" dataDxfId="1233"/>
    <tableColumn id="2" xr3:uid="{00000000-0010-0000-B400-000002000000}" name="POS" dataDxfId="1232"/>
    <tableColumn id="3" xr3:uid="{00000000-0010-0000-B400-000003000000}" name="Age" dataDxfId="1231"/>
    <tableColumn id="4" xr3:uid="{00000000-0010-0000-B400-000004000000}" name="Exp" dataDxfId="1230"/>
    <tableColumn id="5" xr3:uid="{00000000-0010-0000-B400-000005000000}" name="College" dataDxfId="1229"/>
    <tableColumn id="6" xr3:uid="{00000000-0010-0000-B400-000006000000}" name="team" dataDxfId="1228"/>
    <tableColumn id="7" xr3:uid="{00000000-0010-0000-B400-000007000000}" name="g" dataDxfId="1227"/>
    <tableColumn id="8" xr3:uid="{00000000-0010-0000-B400-000008000000}" name="p_att" dataDxfId="1226"/>
    <tableColumn id="9" xr3:uid="{00000000-0010-0000-B400-000009000000}" name="cmp" dataDxfId="1225"/>
    <tableColumn id="10" xr3:uid="{00000000-0010-0000-B400-00000A000000}" name="p_yd" dataDxfId="1224"/>
    <tableColumn id="11" xr3:uid="{00000000-0010-0000-B400-00000B000000}" name="p_td" dataDxfId="1223"/>
    <tableColumn id="12" xr3:uid="{00000000-0010-0000-B400-00000C000000}" name="int" dataDxfId="1222"/>
    <tableColumn id="13" xr3:uid="{00000000-0010-0000-B400-00000D000000}" name="car" dataDxfId="1221"/>
    <tableColumn id="14" xr3:uid="{00000000-0010-0000-B400-00000E000000}" name="r_yd" dataDxfId="1220"/>
    <tableColumn id="15" xr3:uid="{00000000-0010-0000-B400-00000F000000}" name="r_td" dataDxfId="1219"/>
    <tableColumn id="16" xr3:uid="{00000000-0010-0000-B400-000010000000}" name="tgt" dataDxfId="1218"/>
    <tableColumn id="17" xr3:uid="{00000000-0010-0000-B400-000011000000}" name="rec" dataDxfId="1217"/>
    <tableColumn id="18" xr3:uid="{00000000-0010-0000-B400-000012000000}" name="rec_yd" dataDxfId="1216"/>
    <tableColumn id="19" xr3:uid="{00000000-0010-0000-B400-000013000000}" name="rec_td" dataDxfId="1215"/>
    <tableColumn id="20" xr3:uid="{00000000-0010-0000-B400-000014000000}" name="fmb" dataDxfId="1214"/>
    <tableColumn id="21" xr3:uid="{00000000-0010-0000-B400-000015000000}" name="tp_c" dataDxfId="1213"/>
    <tableColumn id="22" xr3:uid="{00000000-0010-0000-B400-000016000000}" name="f_ppr" dataDxfId="1212"/>
    <tableColumn id="23" xr3:uid="{00000000-0010-0000-B400-000017000000}" name="tgt_share" dataDxfId="1211"/>
    <tableColumn id="24" xr3:uid="{00000000-0010-0000-B400-000018000000}" name="ypc" dataDxfId="1210"/>
    <tableColumn id="25" xr3:uid="{00000000-0010-0000-B400-000019000000}" name="ypr" dataDxfId="1209"/>
    <tableColumn id="26" xr3:uid="{00000000-0010-0000-B400-00001A000000}" name="cmp_pct" dataDxfId="1208"/>
    <tableColumn id="27" xr3:uid="{00000000-0010-0000-B400-00001B000000}" name="td_rate" dataDxfId="1207"/>
    <tableColumn id="28" xr3:uid="{00000000-0010-0000-B400-00001C000000}" name="f_custom" dataDxfId="1206"/>
  </tableColumns>
  <tableStyleInfo name="TableStyleMedium1" showFirstColumn="0" showLastColumn="0" showRowStripes="1" showColumnStripes="0"/>
</table>
</file>

<file path=xl/tables/table1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4" xr:uid="{00000000-000C-0000-FFFF-FFFFB5000000}" name="PHI_Table7" displayName="PHI_Table7" ref="A75:AB81" totalsRowShown="0" headerRowDxfId="1205" dataDxfId="1204">
  <autoFilter ref="A75:AB81" xr:uid="{00000000-0009-0000-0100-0000B8000000}"/>
  <tableColumns count="28">
    <tableColumn id="1" xr3:uid="{00000000-0010-0000-B500-000001000000}" name="Name" dataDxfId="1203"/>
    <tableColumn id="2" xr3:uid="{00000000-0010-0000-B500-000002000000}" name="POS" dataDxfId="1202"/>
    <tableColumn id="3" xr3:uid="{00000000-0010-0000-B500-000003000000}" name="Age" dataDxfId="1201"/>
    <tableColumn id="4" xr3:uid="{00000000-0010-0000-B500-000004000000}" name="Exp" dataDxfId="1200"/>
    <tableColumn id="5" xr3:uid="{00000000-0010-0000-B500-000005000000}" name="College" dataDxfId="1199"/>
    <tableColumn id="6" xr3:uid="{00000000-0010-0000-B500-000006000000}" name="team" dataDxfId="1198"/>
    <tableColumn id="7" xr3:uid="{00000000-0010-0000-B500-000007000000}" name="g" dataDxfId="1197"/>
    <tableColumn id="8" xr3:uid="{00000000-0010-0000-B500-000008000000}" name="p_att" dataDxfId="1196"/>
    <tableColumn id="9" xr3:uid="{00000000-0010-0000-B500-000009000000}" name="cmp" dataDxfId="1195"/>
    <tableColumn id="10" xr3:uid="{00000000-0010-0000-B500-00000A000000}" name="p_yd" dataDxfId="1194"/>
    <tableColumn id="11" xr3:uid="{00000000-0010-0000-B500-00000B000000}" name="p_td" dataDxfId="1193"/>
    <tableColumn id="12" xr3:uid="{00000000-0010-0000-B500-00000C000000}" name="int" dataDxfId="1192"/>
    <tableColumn id="13" xr3:uid="{00000000-0010-0000-B500-00000D000000}" name="car" dataDxfId="1191"/>
    <tableColumn id="14" xr3:uid="{00000000-0010-0000-B500-00000E000000}" name="r_yd" dataDxfId="1190"/>
    <tableColumn id="15" xr3:uid="{00000000-0010-0000-B500-00000F000000}" name="r_td" dataDxfId="1189"/>
    <tableColumn id="16" xr3:uid="{00000000-0010-0000-B500-000010000000}" name="tgt" dataDxfId="1188"/>
    <tableColumn id="17" xr3:uid="{00000000-0010-0000-B500-000011000000}" name="rec" dataDxfId="1187"/>
    <tableColumn id="18" xr3:uid="{00000000-0010-0000-B500-000012000000}" name="rec_yd" dataDxfId="1186"/>
    <tableColumn id="19" xr3:uid="{00000000-0010-0000-B500-000013000000}" name="rec_td" dataDxfId="1185"/>
    <tableColumn id="20" xr3:uid="{00000000-0010-0000-B500-000014000000}" name="fmb" dataDxfId="1184"/>
    <tableColumn id="21" xr3:uid="{00000000-0010-0000-B500-000015000000}" name="tp_c" dataDxfId="1183"/>
    <tableColumn id="22" xr3:uid="{00000000-0010-0000-B500-000016000000}" name="f_ppr" dataDxfId="1182"/>
    <tableColumn id="23" xr3:uid="{00000000-0010-0000-B500-000017000000}" name="tgt_share" dataDxfId="1181"/>
    <tableColumn id="24" xr3:uid="{00000000-0010-0000-B500-000018000000}" name="ypc" dataDxfId="1180"/>
    <tableColumn id="25" xr3:uid="{00000000-0010-0000-B500-000019000000}" name="ypr" dataDxfId="1179"/>
    <tableColumn id="26" xr3:uid="{00000000-0010-0000-B500-00001A000000}" name="cmp_pct" dataDxfId="1178"/>
    <tableColumn id="27" xr3:uid="{00000000-0010-0000-B500-00001B000000}" name="td_rate" dataDxfId="1177"/>
    <tableColumn id="28" xr3:uid="{00000000-0010-0000-B500-00001C000000}" name="f_custom" dataDxfId="1176"/>
  </tableColumns>
  <tableStyleInfo name="TableStyleMedium1" showFirstColumn="0" showLastColumn="0" showRowStripes="1" showColumnStripes="0"/>
</table>
</file>

<file path=xl/tables/table1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5" xr:uid="{00000000-000C-0000-FFFF-FFFFB6000000}" name="PIT_Table1" displayName="PIT_Table1" ref="A1:X18" totalsRowShown="0" headerRowDxfId="1175" dataDxfId="1174">
  <autoFilter ref="A1:X18" xr:uid="{00000000-0009-0000-0100-0000B9000000}"/>
  <tableColumns count="24">
    <tableColumn id="1" xr3:uid="{00000000-0010-0000-B600-000001000000}" name="player_name" dataDxfId="1173"/>
    <tableColumn id="2" xr3:uid="{00000000-0010-0000-B600-000002000000}" name="recent_team" dataDxfId="1172"/>
    <tableColumn id="3" xr3:uid="{00000000-0010-0000-B600-000003000000}" name="pos" dataDxfId="1171"/>
    <tableColumn id="4" xr3:uid="{00000000-0010-0000-B600-000004000000}" name="g" dataDxfId="1170"/>
    <tableColumn id="5" xr3:uid="{00000000-0010-0000-B600-000005000000}" name="p_att" dataDxfId="1169"/>
    <tableColumn id="6" xr3:uid="{00000000-0010-0000-B600-000006000000}" name="cmp" dataDxfId="1168"/>
    <tableColumn id="7" xr3:uid="{00000000-0010-0000-B600-000007000000}" name="p_yd" dataDxfId="1167"/>
    <tableColumn id="8" xr3:uid="{00000000-0010-0000-B600-000008000000}" name="p_td" dataDxfId="1166"/>
    <tableColumn id="9" xr3:uid="{00000000-0010-0000-B600-000009000000}" name="int" dataDxfId="1165"/>
    <tableColumn id="10" xr3:uid="{00000000-0010-0000-B600-00000A000000}" name="car" dataDxfId="1164"/>
    <tableColumn id="11" xr3:uid="{00000000-0010-0000-B600-00000B000000}" name="r_yd" dataDxfId="1163"/>
    <tableColumn id="12" xr3:uid="{00000000-0010-0000-B600-00000C000000}" name="r_td" dataDxfId="1162"/>
    <tableColumn id="13" xr3:uid="{00000000-0010-0000-B600-00000D000000}" name="tgt" dataDxfId="1161"/>
    <tableColumn id="14" xr3:uid="{00000000-0010-0000-B600-00000E000000}" name="rec" dataDxfId="1160"/>
    <tableColumn id="15" xr3:uid="{00000000-0010-0000-B600-00000F000000}" name="rec_yd" dataDxfId="1159"/>
    <tableColumn id="16" xr3:uid="{00000000-0010-0000-B600-000010000000}" name="rec_td" dataDxfId="1158"/>
    <tableColumn id="17" xr3:uid="{00000000-0010-0000-B600-000011000000}" name="fmb" dataDxfId="1157"/>
    <tableColumn id="18" xr3:uid="{00000000-0010-0000-B600-000012000000}" name="tp_c" dataDxfId="1156"/>
    <tableColumn id="19" xr3:uid="{00000000-0010-0000-B600-000013000000}" name="f_ppr" dataDxfId="1155"/>
    <tableColumn id="20" xr3:uid="{00000000-0010-0000-B600-000014000000}" name="tgt_share" dataDxfId="1154"/>
    <tableColumn id="21" xr3:uid="{00000000-0010-0000-B600-000015000000}" name="ypc" dataDxfId="1153"/>
    <tableColumn id="22" xr3:uid="{00000000-0010-0000-B600-000016000000}" name="ypr" dataDxfId="1152"/>
    <tableColumn id="23" xr3:uid="{00000000-0010-0000-B600-000017000000}" name="cmp_pct" dataDxfId="1151"/>
    <tableColumn id="24" xr3:uid="{00000000-0010-0000-B600-000018000000}" name="td_rate" dataDxfId="1150"/>
  </tableColumns>
  <tableStyleInfo name="TableStyleMedium1" showFirstColumn="0" showLastColumn="0" showRowStripes="1" showColumnStripes="0"/>
</table>
</file>

<file path=xl/tables/table1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6" xr:uid="{00000000-000C-0000-FFFF-FFFFB7000000}" name="PIT_Table2" displayName="PIT_Table2" ref="A30:L31" totalsRowShown="0" headerRowDxfId="1149" dataDxfId="1148">
  <autoFilter ref="A30:L31" xr:uid="{00000000-0009-0000-0100-0000BA000000}"/>
  <tableColumns count="12">
    <tableColumn id="1" xr3:uid="{00000000-0010-0000-B700-000001000000}" name="team" dataDxfId="1147"/>
    <tableColumn id="2" xr3:uid="{00000000-0010-0000-B700-000002000000}" name="off_yd" dataDxfId="1146"/>
    <tableColumn id="3" xr3:uid="{00000000-0010-0000-B700-000003000000}" name="p_yd" dataDxfId="1145"/>
    <tableColumn id="4" xr3:uid="{00000000-0010-0000-B700-000004000000}" name="car" dataDxfId="1144"/>
    <tableColumn id="5" xr3:uid="{00000000-0010-0000-B700-000005000000}" name="r_yd" dataDxfId="1143"/>
    <tableColumn id="6" xr3:uid="{00000000-0010-0000-B700-000006000000}" name="r_td" dataDxfId="1142"/>
    <tableColumn id="7" xr3:uid="{00000000-0010-0000-B700-000007000000}" name="p_ff" dataDxfId="1141"/>
    <tableColumn id="8" xr3:uid="{00000000-0010-0000-B700-000008000000}" name="p_att" dataDxfId="1140"/>
    <tableColumn id="9" xr3:uid="{00000000-0010-0000-B700-000009000000}" name="cmp_pct" dataDxfId="1139"/>
    <tableColumn id="10" xr3:uid="{00000000-0010-0000-B700-00000A000000}" name="p_td" dataDxfId="1138"/>
    <tableColumn id="11" xr3:uid="{00000000-0010-0000-B700-00000B000000}" name="int" dataDxfId="1137"/>
    <tableColumn id="12" xr3:uid="{00000000-0010-0000-B700-00000C000000}" name="fmb" dataDxfId="1136"/>
  </tableColumns>
  <tableStyleInfo name="TableStyleMedium1" showFirstColumn="0" showLastColumn="0" showRowStripes="1" showColumnStripes="0"/>
</table>
</file>

<file path=xl/tables/table1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7" xr:uid="{00000000-000C-0000-FFFF-FFFFB8000000}" name="PIT_Table3" displayName="PIT_Table3" ref="A32:L33" totalsRowShown="0" headerRowDxfId="1135" dataDxfId="1134">
  <autoFilter ref="A32:L33" xr:uid="{00000000-0009-0000-0100-0000BB000000}"/>
  <tableColumns count="12">
    <tableColumn id="1" xr3:uid="{00000000-0010-0000-B800-000001000000}" name="team" dataDxfId="1133">
      <calculatedColumnFormula>A31</calculatedColumnFormula>
    </tableColumn>
    <tableColumn id="2" xr3:uid="{00000000-0010-0000-B800-000002000000}" name="off_yd" dataDxfId="1132">
      <calculatedColumnFormula>C33 + E33</calculatedColumnFormula>
    </tableColumn>
    <tableColumn id="3" xr3:uid="{00000000-0010-0000-B800-000003000000}" name="p_yd" dataDxfId="1131">
      <calculatedColumnFormula>SUM(INDIRECT(A33 &amp; "_Table4[[#All],[p_yd]]"))</calculatedColumnFormula>
    </tableColumn>
    <tableColumn id="4" xr3:uid="{00000000-0010-0000-B800-000004000000}" name="car" dataDxfId="1130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B800-000005000000}" name="r_yd" dataDxfId="1129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B800-000006000000}" name="r_td" dataDxfId="1128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B800-000007000000}" name="p_ff" dataDxfId="1127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B800-000008000000}" name="p_att" dataDxfId="1126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B800-000009000000}" name="cmp_pct" dataDxfId="1125">
      <calculatedColumnFormula>SUM(INDIRECT(A33 &amp; "_Table4[[#All],[cmp]]"))/H33</calculatedColumnFormula>
    </tableColumn>
    <tableColumn id="10" xr3:uid="{00000000-0010-0000-B800-00000A000000}" name="p_td" dataDxfId="1124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B800-00000B000000}" name="int" dataDxfId="1123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B800-00000C000000}" name="fmb" dataDxfId="1122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</tableColumns>
  <tableStyleInfo name="TableStyleMedium1" showFirstColumn="0" showLastColumn="0" showRowStripes="1" showColumnStripes="0"/>
</table>
</file>

<file path=xl/tables/table1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8" xr:uid="{00000000-000C-0000-FFFF-FFFFB9000000}" name="PIT_Table4" displayName="PIT_Table4" ref="A35:AB39" totalsRowShown="0" headerRowDxfId="1121" dataDxfId="1120">
  <autoFilter ref="A35:AB39" xr:uid="{00000000-0009-0000-0100-0000BC000000}"/>
  <tableColumns count="28">
    <tableColumn id="1" xr3:uid="{00000000-0010-0000-B900-000001000000}" name="Name" dataDxfId="1119"/>
    <tableColumn id="2" xr3:uid="{00000000-0010-0000-B900-000002000000}" name="POS" dataDxfId="1118"/>
    <tableColumn id="3" xr3:uid="{00000000-0010-0000-B900-000003000000}" name="Age" dataDxfId="1117"/>
    <tableColumn id="4" xr3:uid="{00000000-0010-0000-B900-000004000000}" name="Exp" dataDxfId="1116"/>
    <tableColumn id="5" xr3:uid="{00000000-0010-0000-B900-000005000000}" name="College" dataDxfId="1115"/>
    <tableColumn id="6" xr3:uid="{00000000-0010-0000-B900-000006000000}" name="team" dataDxfId="1114"/>
    <tableColumn id="7" xr3:uid="{00000000-0010-0000-B900-000007000000}" name="g" dataDxfId="1113"/>
    <tableColumn id="8" xr3:uid="{00000000-0010-0000-B900-000008000000}" name="p_att" dataDxfId="1112"/>
    <tableColumn id="9" xr3:uid="{00000000-0010-0000-B900-000009000000}" name="cmp" dataDxfId="1111"/>
    <tableColumn id="10" xr3:uid="{00000000-0010-0000-B900-00000A000000}" name="p_yd" dataDxfId="1110"/>
    <tableColumn id="11" xr3:uid="{00000000-0010-0000-B900-00000B000000}" name="p_td" dataDxfId="1109"/>
    <tableColumn id="12" xr3:uid="{00000000-0010-0000-B900-00000C000000}" name="int" dataDxfId="1108"/>
    <tableColumn id="13" xr3:uid="{00000000-0010-0000-B900-00000D000000}" name="car" dataDxfId="1107"/>
    <tableColumn id="14" xr3:uid="{00000000-0010-0000-B900-00000E000000}" name="r_yd" dataDxfId="1106"/>
    <tableColumn id="15" xr3:uid="{00000000-0010-0000-B900-00000F000000}" name="r_td" dataDxfId="1105"/>
    <tableColumn id="16" xr3:uid="{00000000-0010-0000-B900-000010000000}" name="tgt" dataDxfId="1104"/>
    <tableColumn id="17" xr3:uid="{00000000-0010-0000-B900-000011000000}" name="rec" dataDxfId="1103"/>
    <tableColumn id="18" xr3:uid="{00000000-0010-0000-B900-000012000000}" name="rec_yd" dataDxfId="1102"/>
    <tableColumn id="19" xr3:uid="{00000000-0010-0000-B900-000013000000}" name="rec_td" dataDxfId="1101"/>
    <tableColumn id="20" xr3:uid="{00000000-0010-0000-B900-000014000000}" name="fmb" dataDxfId="1100"/>
    <tableColumn id="21" xr3:uid="{00000000-0010-0000-B900-000015000000}" name="tp_c" dataDxfId="1099"/>
    <tableColumn id="22" xr3:uid="{00000000-0010-0000-B900-000016000000}" name="f_ppr" dataDxfId="1098"/>
    <tableColumn id="23" xr3:uid="{00000000-0010-0000-B900-000017000000}" name="tgt_share" dataDxfId="1097"/>
    <tableColumn id="24" xr3:uid="{00000000-0010-0000-B900-000018000000}" name="ypc" dataDxfId="1096"/>
    <tableColumn id="25" xr3:uid="{00000000-0010-0000-B900-000019000000}" name="ypr" dataDxfId="1095"/>
    <tableColumn id="26" xr3:uid="{00000000-0010-0000-B900-00001A000000}" name="cmp_pct" dataDxfId="1094"/>
    <tableColumn id="27" xr3:uid="{00000000-0010-0000-B900-00001B000000}" name="td_rate" dataDxfId="1093"/>
    <tableColumn id="28" xr3:uid="{00000000-0010-0000-B900-00001C000000}" name="f_custom" dataDxfId="1092"/>
  </tableColumns>
  <tableStyleInfo name="TableStyleMedium1" showFirstColumn="0" showLastColumn="0" showRowStripes="1" showColumnStripes="0"/>
</table>
</file>

<file path=xl/tables/table1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9" xr:uid="{00000000-000C-0000-FFFF-FFFFBA000000}" name="PIT_Table5" displayName="PIT_Table5" ref="A45:AB52" totalsRowShown="0" headerRowDxfId="1091" dataDxfId="1090">
  <autoFilter ref="A45:AB52" xr:uid="{00000000-0009-0000-0100-0000BD000000}"/>
  <tableColumns count="28">
    <tableColumn id="1" xr3:uid="{00000000-0010-0000-BA00-000001000000}" name="Name" dataDxfId="1089"/>
    <tableColumn id="2" xr3:uid="{00000000-0010-0000-BA00-000002000000}" name="POS" dataDxfId="1088"/>
    <tableColumn id="3" xr3:uid="{00000000-0010-0000-BA00-000003000000}" name="Age" dataDxfId="1087"/>
    <tableColumn id="4" xr3:uid="{00000000-0010-0000-BA00-000004000000}" name="Exp" dataDxfId="1086"/>
    <tableColumn id="5" xr3:uid="{00000000-0010-0000-BA00-000005000000}" name="College" dataDxfId="1085"/>
    <tableColumn id="6" xr3:uid="{00000000-0010-0000-BA00-000006000000}" name="team" dataDxfId="1084"/>
    <tableColumn id="7" xr3:uid="{00000000-0010-0000-BA00-000007000000}" name="g" dataDxfId="1083"/>
    <tableColumn id="8" xr3:uid="{00000000-0010-0000-BA00-000008000000}" name="p_att" dataDxfId="1082"/>
    <tableColumn id="9" xr3:uid="{00000000-0010-0000-BA00-000009000000}" name="cmp" dataDxfId="1081"/>
    <tableColumn id="10" xr3:uid="{00000000-0010-0000-BA00-00000A000000}" name="p_yd" dataDxfId="1080"/>
    <tableColumn id="11" xr3:uid="{00000000-0010-0000-BA00-00000B000000}" name="p_td" dataDxfId="1079"/>
    <tableColumn id="12" xr3:uid="{00000000-0010-0000-BA00-00000C000000}" name="int" dataDxfId="1078"/>
    <tableColumn id="13" xr3:uid="{00000000-0010-0000-BA00-00000D000000}" name="car" dataDxfId="1077"/>
    <tableColumn id="14" xr3:uid="{00000000-0010-0000-BA00-00000E000000}" name="r_yd" dataDxfId="1076"/>
    <tableColumn id="15" xr3:uid="{00000000-0010-0000-BA00-00000F000000}" name="r_td" dataDxfId="1075"/>
    <tableColumn id="16" xr3:uid="{00000000-0010-0000-BA00-000010000000}" name="tgt" dataDxfId="1074"/>
    <tableColumn id="17" xr3:uid="{00000000-0010-0000-BA00-000011000000}" name="rec" dataDxfId="1073"/>
    <tableColumn id="18" xr3:uid="{00000000-0010-0000-BA00-000012000000}" name="rec_yd" dataDxfId="1072"/>
    <tableColumn id="19" xr3:uid="{00000000-0010-0000-BA00-000013000000}" name="rec_td" dataDxfId="1071"/>
    <tableColumn id="20" xr3:uid="{00000000-0010-0000-BA00-000014000000}" name="fmb" dataDxfId="1070"/>
    <tableColumn id="21" xr3:uid="{00000000-0010-0000-BA00-000015000000}" name="tp_c" dataDxfId="1069"/>
    <tableColumn id="22" xr3:uid="{00000000-0010-0000-BA00-000016000000}" name="f_ppr" dataDxfId="1068"/>
    <tableColumn id="23" xr3:uid="{00000000-0010-0000-BA00-000017000000}" name="tgt_share" dataDxfId="1067"/>
    <tableColumn id="24" xr3:uid="{00000000-0010-0000-BA00-000018000000}" name="ypc" dataDxfId="1066"/>
    <tableColumn id="25" xr3:uid="{00000000-0010-0000-BA00-000019000000}" name="ypr" dataDxfId="1065"/>
    <tableColumn id="26" xr3:uid="{00000000-0010-0000-BA00-00001A000000}" name="cmp_pct" dataDxfId="1064"/>
    <tableColumn id="27" xr3:uid="{00000000-0010-0000-BA00-00001B000000}" name="td_rate" dataDxfId="1063"/>
    <tableColumn id="28" xr3:uid="{00000000-0010-0000-BA00-00001C000000}" name="f_custom" dataDxfId="1062">
      <calculatedColumnFormula>($J46*Cp_yd)+($K46*Cp_td)+($L46*Cint)+($M46*Ccar)+($N46*Cr_td)+($O46*Cr_yd)+(Q46*Crec)+($R46*Crec_yd)+($S46*Crec_td)+($T46*Cfmb)+($U46*Ctp_c)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0" xr:uid="{00000000-000C-0000-FFFF-FFFFBB000000}" name="PIT_Table6" displayName="PIT_Table6" ref="A60:AB71" totalsRowShown="0" headerRowDxfId="1061" dataDxfId="1060">
  <autoFilter ref="A60:AB71" xr:uid="{00000000-0009-0000-0100-0000BE000000}"/>
  <tableColumns count="28">
    <tableColumn id="1" xr3:uid="{00000000-0010-0000-BB00-000001000000}" name="Name" dataDxfId="1059"/>
    <tableColumn id="2" xr3:uid="{00000000-0010-0000-BB00-000002000000}" name="POS" dataDxfId="1058"/>
    <tableColumn id="3" xr3:uid="{00000000-0010-0000-BB00-000003000000}" name="Age" dataDxfId="1057"/>
    <tableColumn id="4" xr3:uid="{00000000-0010-0000-BB00-000004000000}" name="Exp" dataDxfId="1056"/>
    <tableColumn id="5" xr3:uid="{00000000-0010-0000-BB00-000005000000}" name="College" dataDxfId="1055"/>
    <tableColumn id="6" xr3:uid="{00000000-0010-0000-BB00-000006000000}" name="team" dataDxfId="1054"/>
    <tableColumn id="7" xr3:uid="{00000000-0010-0000-BB00-000007000000}" name="g" dataDxfId="1053"/>
    <tableColumn id="8" xr3:uid="{00000000-0010-0000-BB00-000008000000}" name="p_att" dataDxfId="1052"/>
    <tableColumn id="9" xr3:uid="{00000000-0010-0000-BB00-000009000000}" name="cmp" dataDxfId="1051"/>
    <tableColumn id="10" xr3:uid="{00000000-0010-0000-BB00-00000A000000}" name="p_yd" dataDxfId="1050"/>
    <tableColumn id="11" xr3:uid="{00000000-0010-0000-BB00-00000B000000}" name="p_td" dataDxfId="1049"/>
    <tableColumn id="12" xr3:uid="{00000000-0010-0000-BB00-00000C000000}" name="int" dataDxfId="1048"/>
    <tableColumn id="13" xr3:uid="{00000000-0010-0000-BB00-00000D000000}" name="car" dataDxfId="1047"/>
    <tableColumn id="14" xr3:uid="{00000000-0010-0000-BB00-00000E000000}" name="r_yd" dataDxfId="1046"/>
    <tableColumn id="15" xr3:uid="{00000000-0010-0000-BB00-00000F000000}" name="r_td" dataDxfId="1045"/>
    <tableColumn id="16" xr3:uid="{00000000-0010-0000-BB00-000010000000}" name="tgt" dataDxfId="1044"/>
    <tableColumn id="17" xr3:uid="{00000000-0010-0000-BB00-000011000000}" name="rec" dataDxfId="1043"/>
    <tableColumn id="18" xr3:uid="{00000000-0010-0000-BB00-000012000000}" name="rec_yd" dataDxfId="1042"/>
    <tableColumn id="19" xr3:uid="{00000000-0010-0000-BB00-000013000000}" name="rec_td" dataDxfId="1041"/>
    <tableColumn id="20" xr3:uid="{00000000-0010-0000-BB00-000014000000}" name="fmb" dataDxfId="1040"/>
    <tableColumn id="21" xr3:uid="{00000000-0010-0000-BB00-000015000000}" name="tp_c" dataDxfId="1039"/>
    <tableColumn id="22" xr3:uid="{00000000-0010-0000-BB00-000016000000}" name="f_ppr" dataDxfId="1038"/>
    <tableColumn id="23" xr3:uid="{00000000-0010-0000-BB00-000017000000}" name="tgt_share" dataDxfId="1037"/>
    <tableColumn id="24" xr3:uid="{00000000-0010-0000-BB00-000018000000}" name="ypc" dataDxfId="1036"/>
    <tableColumn id="25" xr3:uid="{00000000-0010-0000-BB00-000019000000}" name="ypr" dataDxfId="1035"/>
    <tableColumn id="26" xr3:uid="{00000000-0010-0000-BB00-00001A000000}" name="cmp_pct" dataDxfId="1034"/>
    <tableColumn id="27" xr3:uid="{00000000-0010-0000-BB00-00001B000000}" name="td_rate" dataDxfId="1033"/>
    <tableColumn id="28" xr3:uid="{00000000-0010-0000-BB00-00001C000000}" name="f_custom" dataDxfId="1032"/>
  </tableColumns>
  <tableStyleInfo name="TableStyleMedium1" showFirstColumn="0" showLastColumn="0" showRowStripes="1" showColumnStripes="0"/>
</table>
</file>

<file path=xl/tables/table1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1" xr:uid="{00000000-000C-0000-FFFF-FFFFBC000000}" name="PIT_Table7" displayName="PIT_Table7" ref="A75:AB80" totalsRowShown="0" headerRowDxfId="1031" dataDxfId="1030">
  <autoFilter ref="A75:AB80" xr:uid="{00000000-0009-0000-0100-0000BF000000}"/>
  <tableColumns count="28">
    <tableColumn id="1" xr3:uid="{00000000-0010-0000-BC00-000001000000}" name="Name" dataDxfId="1029"/>
    <tableColumn id="2" xr3:uid="{00000000-0010-0000-BC00-000002000000}" name="POS" dataDxfId="1028"/>
    <tableColumn id="3" xr3:uid="{00000000-0010-0000-BC00-000003000000}" name="Age" dataDxfId="1027"/>
    <tableColumn id="4" xr3:uid="{00000000-0010-0000-BC00-000004000000}" name="Exp" dataDxfId="1026"/>
    <tableColumn id="5" xr3:uid="{00000000-0010-0000-BC00-000005000000}" name="College" dataDxfId="1025"/>
    <tableColumn id="6" xr3:uid="{00000000-0010-0000-BC00-000006000000}" name="team" dataDxfId="1024"/>
    <tableColumn id="7" xr3:uid="{00000000-0010-0000-BC00-000007000000}" name="g" dataDxfId="1023"/>
    <tableColumn id="8" xr3:uid="{00000000-0010-0000-BC00-000008000000}" name="p_att" dataDxfId="1022"/>
    <tableColumn id="9" xr3:uid="{00000000-0010-0000-BC00-000009000000}" name="cmp" dataDxfId="1021"/>
    <tableColumn id="10" xr3:uid="{00000000-0010-0000-BC00-00000A000000}" name="p_yd" dataDxfId="1020"/>
    <tableColumn id="11" xr3:uid="{00000000-0010-0000-BC00-00000B000000}" name="p_td" dataDxfId="1019"/>
    <tableColumn id="12" xr3:uid="{00000000-0010-0000-BC00-00000C000000}" name="int" dataDxfId="1018"/>
    <tableColumn id="13" xr3:uid="{00000000-0010-0000-BC00-00000D000000}" name="car" dataDxfId="1017"/>
    <tableColumn id="14" xr3:uid="{00000000-0010-0000-BC00-00000E000000}" name="r_yd" dataDxfId="1016"/>
    <tableColumn id="15" xr3:uid="{00000000-0010-0000-BC00-00000F000000}" name="r_td" dataDxfId="1015"/>
    <tableColumn id="16" xr3:uid="{00000000-0010-0000-BC00-000010000000}" name="tgt" dataDxfId="1014"/>
    <tableColumn id="17" xr3:uid="{00000000-0010-0000-BC00-000011000000}" name="rec" dataDxfId="1013"/>
    <tableColumn id="18" xr3:uid="{00000000-0010-0000-BC00-000012000000}" name="rec_yd" dataDxfId="1012"/>
    <tableColumn id="19" xr3:uid="{00000000-0010-0000-BC00-000013000000}" name="rec_td" dataDxfId="1011"/>
    <tableColumn id="20" xr3:uid="{00000000-0010-0000-BC00-000014000000}" name="fmb" dataDxfId="1010"/>
    <tableColumn id="21" xr3:uid="{00000000-0010-0000-BC00-000015000000}" name="tp_c" dataDxfId="1009"/>
    <tableColumn id="22" xr3:uid="{00000000-0010-0000-BC00-000016000000}" name="f_ppr" dataDxfId="1008"/>
    <tableColumn id="23" xr3:uid="{00000000-0010-0000-BC00-000017000000}" name="tgt_share" dataDxfId="1007"/>
    <tableColumn id="24" xr3:uid="{00000000-0010-0000-BC00-000018000000}" name="ypc" dataDxfId="1006"/>
    <tableColumn id="25" xr3:uid="{00000000-0010-0000-BC00-000019000000}" name="ypr" dataDxfId="1005"/>
    <tableColumn id="26" xr3:uid="{00000000-0010-0000-BC00-00001A000000}" name="cmp_pct" dataDxfId="1004"/>
    <tableColumn id="27" xr3:uid="{00000000-0010-0000-BC00-00001B000000}" name="td_rate" dataDxfId="1003"/>
    <tableColumn id="28" xr3:uid="{00000000-0010-0000-BC00-00001C000000}" name="f_custom" dataDxfId="1002"/>
  </tableColumns>
  <tableStyleInfo name="TableStyleMedium1" showFirstColumn="0" showLastColumn="0" showRowStripes="1" showColumnStripes="0"/>
</table>
</file>

<file path=xl/tables/table1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2" xr:uid="{00000000-000C-0000-FFFF-FFFFBD000000}" name="SEA_Table1" displayName="SEA_Table1" ref="A1:X20" totalsRowShown="0" headerRowDxfId="1001" dataDxfId="1000">
  <autoFilter ref="A1:X20" xr:uid="{00000000-0009-0000-0100-0000C0000000}"/>
  <tableColumns count="24">
    <tableColumn id="1" xr3:uid="{00000000-0010-0000-BD00-000001000000}" name="player_name" dataDxfId="999"/>
    <tableColumn id="2" xr3:uid="{00000000-0010-0000-BD00-000002000000}" name="recent_team" dataDxfId="998"/>
    <tableColumn id="3" xr3:uid="{00000000-0010-0000-BD00-000003000000}" name="pos" dataDxfId="997"/>
    <tableColumn id="4" xr3:uid="{00000000-0010-0000-BD00-000004000000}" name="g" dataDxfId="996"/>
    <tableColumn id="5" xr3:uid="{00000000-0010-0000-BD00-000005000000}" name="p_att" dataDxfId="995"/>
    <tableColumn id="6" xr3:uid="{00000000-0010-0000-BD00-000006000000}" name="cmp" dataDxfId="994"/>
    <tableColumn id="7" xr3:uid="{00000000-0010-0000-BD00-000007000000}" name="p_yd" dataDxfId="993"/>
    <tableColumn id="8" xr3:uid="{00000000-0010-0000-BD00-000008000000}" name="p_td" dataDxfId="992"/>
    <tableColumn id="9" xr3:uid="{00000000-0010-0000-BD00-000009000000}" name="int" dataDxfId="991"/>
    <tableColumn id="10" xr3:uid="{00000000-0010-0000-BD00-00000A000000}" name="car" dataDxfId="990"/>
    <tableColumn id="11" xr3:uid="{00000000-0010-0000-BD00-00000B000000}" name="r_yd" dataDxfId="989"/>
    <tableColumn id="12" xr3:uid="{00000000-0010-0000-BD00-00000C000000}" name="r_td" dataDxfId="988"/>
    <tableColumn id="13" xr3:uid="{00000000-0010-0000-BD00-00000D000000}" name="tgt" dataDxfId="987"/>
    <tableColumn id="14" xr3:uid="{00000000-0010-0000-BD00-00000E000000}" name="rec" dataDxfId="986"/>
    <tableColumn id="15" xr3:uid="{00000000-0010-0000-BD00-00000F000000}" name="rec_yd" dataDxfId="985"/>
    <tableColumn id="16" xr3:uid="{00000000-0010-0000-BD00-000010000000}" name="rec_td" dataDxfId="984"/>
    <tableColumn id="17" xr3:uid="{00000000-0010-0000-BD00-000011000000}" name="fmb" dataDxfId="983"/>
    <tableColumn id="18" xr3:uid="{00000000-0010-0000-BD00-000012000000}" name="tp_c" dataDxfId="982"/>
    <tableColumn id="19" xr3:uid="{00000000-0010-0000-BD00-000013000000}" name="f_ppr" dataDxfId="981"/>
    <tableColumn id="20" xr3:uid="{00000000-0010-0000-BD00-000014000000}" name="tgt_share" dataDxfId="980"/>
    <tableColumn id="21" xr3:uid="{00000000-0010-0000-BD00-000015000000}" name="ypc" dataDxfId="979"/>
    <tableColumn id="22" xr3:uid="{00000000-0010-0000-BD00-000016000000}" name="ypr" dataDxfId="978"/>
    <tableColumn id="23" xr3:uid="{00000000-0010-0000-BD00-000017000000}" name="cmp_pct" dataDxfId="977"/>
    <tableColumn id="24" xr3:uid="{00000000-0010-0000-BD00-000018000000}" name="td_rate" dataDxfId="976"/>
  </tableColumns>
  <tableStyleInfo name="TableStyleMedium1" showFirstColumn="0" showLastColumn="0" showRowStripes="1" showColumnStripes="0"/>
</table>
</file>

<file path=xl/tables/table1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3" xr:uid="{00000000-000C-0000-FFFF-FFFFBE000000}" name="SEA_Table2" displayName="SEA_Table2" ref="A30:L31" totalsRowShown="0" headerRowDxfId="975" dataDxfId="974">
  <autoFilter ref="A30:L31" xr:uid="{00000000-0009-0000-0100-0000C1000000}"/>
  <tableColumns count="12">
    <tableColumn id="1" xr3:uid="{00000000-0010-0000-BE00-000001000000}" name="team" dataDxfId="973"/>
    <tableColumn id="2" xr3:uid="{00000000-0010-0000-BE00-000002000000}" name="off_yd" dataDxfId="972"/>
    <tableColumn id="3" xr3:uid="{00000000-0010-0000-BE00-000003000000}" name="p_yd" dataDxfId="971"/>
    <tableColumn id="4" xr3:uid="{00000000-0010-0000-BE00-000004000000}" name="car" dataDxfId="970"/>
    <tableColumn id="5" xr3:uid="{00000000-0010-0000-BE00-000005000000}" name="r_yd" dataDxfId="969"/>
    <tableColumn id="6" xr3:uid="{00000000-0010-0000-BE00-000006000000}" name="r_td" dataDxfId="968"/>
    <tableColumn id="7" xr3:uid="{00000000-0010-0000-BE00-000007000000}" name="p_ff" dataDxfId="967"/>
    <tableColumn id="8" xr3:uid="{00000000-0010-0000-BE00-000008000000}" name="p_att" dataDxfId="966"/>
    <tableColumn id="9" xr3:uid="{00000000-0010-0000-BE00-000009000000}" name="cmp_pct" dataDxfId="965"/>
    <tableColumn id="10" xr3:uid="{00000000-0010-0000-BE00-00000A000000}" name="p_td" dataDxfId="964"/>
    <tableColumn id="11" xr3:uid="{00000000-0010-0000-BE00-00000B000000}" name="int" dataDxfId="963"/>
    <tableColumn id="12" xr3:uid="{00000000-0010-0000-BE00-00000C000000}" name="fmb" dataDxfId="962"/>
  </tableColumns>
  <tableStyleInfo name="TableStyleMedium1" showFirstColumn="0" showLastColumn="0" showRowStripes="1" showColumnStripes="0"/>
</table>
</file>

<file path=xl/tables/table1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4" xr:uid="{00000000-000C-0000-FFFF-FFFFBF000000}" name="SEA_Table3" displayName="SEA_Table3" ref="A32:L33" totalsRowShown="0" headerRowDxfId="961" dataDxfId="960">
  <autoFilter ref="A32:L33" xr:uid="{00000000-0009-0000-0100-0000C2000000}"/>
  <tableColumns count="12">
    <tableColumn id="1" xr3:uid="{00000000-0010-0000-BF00-000001000000}" name="team" dataDxfId="959">
      <calculatedColumnFormula>A31</calculatedColumnFormula>
    </tableColumn>
    <tableColumn id="2" xr3:uid="{00000000-0010-0000-BF00-000002000000}" name="off_yd" dataDxfId="958">
      <calculatedColumnFormula>C33 + E33</calculatedColumnFormula>
    </tableColumn>
    <tableColumn id="3" xr3:uid="{00000000-0010-0000-BF00-000003000000}" name="p_yd" dataDxfId="957">
      <calculatedColumnFormula>SUM(INDIRECT(A33 &amp; "_Table4[[#All],[p_yd]]"))</calculatedColumnFormula>
    </tableColumn>
    <tableColumn id="4" xr3:uid="{00000000-0010-0000-BF00-000004000000}" name="car" dataDxfId="956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BF00-000005000000}" name="r_yd" dataDxfId="955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BF00-000006000000}" name="r_td" dataDxfId="954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BF00-000007000000}" name="p_ff" dataDxfId="953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BF00-000008000000}" name="p_att" dataDxfId="952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BF00-000009000000}" name="cmp_pct" dataDxfId="951">
      <calculatedColumnFormula>SUM(INDIRECT(A33 &amp; "_Table4[[#All],[cmp]]"))/H33</calculatedColumnFormula>
    </tableColumn>
    <tableColumn id="10" xr3:uid="{00000000-0010-0000-BF00-00000A000000}" name="p_td" dataDxfId="950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BF00-00000B000000}" name="int" dataDxfId="949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BF00-00000C000000}" name="fmb" dataDxfId="948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</tableColumns>
  <tableStyleInfo name="TableStyleMedium1" showFirstColumn="0" showLastColumn="0" showRowStripes="1" showColumnStripes="0"/>
</table>
</file>

<file path=xl/tables/table1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5" xr:uid="{00000000-000C-0000-FFFF-FFFFC0000000}" name="SEA_Table4" displayName="SEA_Table4" ref="A35:AB38" totalsRowShown="0" headerRowDxfId="947" dataDxfId="946">
  <autoFilter ref="A35:AB38" xr:uid="{00000000-0009-0000-0100-0000C3000000}"/>
  <tableColumns count="28">
    <tableColumn id="1" xr3:uid="{00000000-0010-0000-C000-000001000000}" name="Name" dataDxfId="945"/>
    <tableColumn id="2" xr3:uid="{00000000-0010-0000-C000-000002000000}" name="POS" dataDxfId="944"/>
    <tableColumn id="3" xr3:uid="{00000000-0010-0000-C000-000003000000}" name="Age" dataDxfId="943"/>
    <tableColumn id="4" xr3:uid="{00000000-0010-0000-C000-000004000000}" name="Exp" dataDxfId="942"/>
    <tableColumn id="5" xr3:uid="{00000000-0010-0000-C000-000005000000}" name="College" dataDxfId="941"/>
    <tableColumn id="6" xr3:uid="{00000000-0010-0000-C000-000006000000}" name="team" dataDxfId="940"/>
    <tableColumn id="7" xr3:uid="{00000000-0010-0000-C000-000007000000}" name="g" dataDxfId="939"/>
    <tableColumn id="8" xr3:uid="{00000000-0010-0000-C000-000008000000}" name="p_att" dataDxfId="938"/>
    <tableColumn id="9" xr3:uid="{00000000-0010-0000-C000-000009000000}" name="cmp" dataDxfId="937"/>
    <tableColumn id="10" xr3:uid="{00000000-0010-0000-C000-00000A000000}" name="p_yd" dataDxfId="936"/>
    <tableColumn id="11" xr3:uid="{00000000-0010-0000-C000-00000B000000}" name="p_td" dataDxfId="935"/>
    <tableColumn id="12" xr3:uid="{00000000-0010-0000-C000-00000C000000}" name="int" dataDxfId="934"/>
    <tableColumn id="13" xr3:uid="{00000000-0010-0000-C000-00000D000000}" name="car" dataDxfId="933"/>
    <tableColumn id="14" xr3:uid="{00000000-0010-0000-C000-00000E000000}" name="r_yd" dataDxfId="932"/>
    <tableColumn id="15" xr3:uid="{00000000-0010-0000-C000-00000F000000}" name="r_td" dataDxfId="931"/>
    <tableColumn id="16" xr3:uid="{00000000-0010-0000-C000-000010000000}" name="tgt" dataDxfId="930"/>
    <tableColumn id="17" xr3:uid="{00000000-0010-0000-C000-000011000000}" name="rec" dataDxfId="929"/>
    <tableColumn id="18" xr3:uid="{00000000-0010-0000-C000-000012000000}" name="rec_yd" dataDxfId="928"/>
    <tableColumn id="19" xr3:uid="{00000000-0010-0000-C000-000013000000}" name="rec_td" dataDxfId="927"/>
    <tableColumn id="20" xr3:uid="{00000000-0010-0000-C000-000014000000}" name="fmb" dataDxfId="926"/>
    <tableColumn id="21" xr3:uid="{00000000-0010-0000-C000-000015000000}" name="tp_c" dataDxfId="925"/>
    <tableColumn id="22" xr3:uid="{00000000-0010-0000-C000-000016000000}" name="f_ppr" dataDxfId="924"/>
    <tableColumn id="23" xr3:uid="{00000000-0010-0000-C000-000017000000}" name="tgt_share" dataDxfId="923"/>
    <tableColumn id="24" xr3:uid="{00000000-0010-0000-C000-000018000000}" name="ypc" dataDxfId="922"/>
    <tableColumn id="25" xr3:uid="{00000000-0010-0000-C000-000019000000}" name="ypr" dataDxfId="921"/>
    <tableColumn id="26" xr3:uid="{00000000-0010-0000-C000-00001A000000}" name="cmp_pct" dataDxfId="920"/>
    <tableColumn id="27" xr3:uid="{00000000-0010-0000-C000-00001B000000}" name="td_rate" dataDxfId="919"/>
    <tableColumn id="28" xr3:uid="{00000000-0010-0000-C000-00001C000000}" name="f_custom" dataDxfId="918"/>
  </tableColumns>
  <tableStyleInfo name="TableStyleMedium1" showFirstColumn="0" showLastColumn="0" showRowStripes="1" showColumnStripes="0"/>
</table>
</file>

<file path=xl/tables/table1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6" xr:uid="{00000000-000C-0000-FFFF-FFFFC1000000}" name="SEA_Table5" displayName="SEA_Table5" ref="A45:AB52" totalsRowShown="0" headerRowDxfId="917" dataDxfId="916">
  <autoFilter ref="A45:AB52" xr:uid="{00000000-0009-0000-0100-0000C4000000}"/>
  <tableColumns count="28">
    <tableColumn id="1" xr3:uid="{00000000-0010-0000-C100-000001000000}" name="Name" dataDxfId="915"/>
    <tableColumn id="2" xr3:uid="{00000000-0010-0000-C100-000002000000}" name="POS" dataDxfId="914"/>
    <tableColumn id="3" xr3:uid="{00000000-0010-0000-C100-000003000000}" name="Age" dataDxfId="913"/>
    <tableColumn id="4" xr3:uid="{00000000-0010-0000-C100-000004000000}" name="Exp" dataDxfId="912"/>
    <tableColumn id="5" xr3:uid="{00000000-0010-0000-C100-000005000000}" name="College" dataDxfId="911"/>
    <tableColumn id="6" xr3:uid="{00000000-0010-0000-C100-000006000000}" name="team" dataDxfId="910"/>
    <tableColumn id="7" xr3:uid="{00000000-0010-0000-C100-000007000000}" name="g" dataDxfId="909"/>
    <tableColumn id="8" xr3:uid="{00000000-0010-0000-C100-000008000000}" name="p_att" dataDxfId="908"/>
    <tableColumn id="9" xr3:uid="{00000000-0010-0000-C100-000009000000}" name="cmp" dataDxfId="907"/>
    <tableColumn id="10" xr3:uid="{00000000-0010-0000-C100-00000A000000}" name="p_yd" dataDxfId="906"/>
    <tableColumn id="11" xr3:uid="{00000000-0010-0000-C100-00000B000000}" name="p_td" dataDxfId="905"/>
    <tableColumn id="12" xr3:uid="{00000000-0010-0000-C100-00000C000000}" name="int" dataDxfId="904"/>
    <tableColumn id="13" xr3:uid="{00000000-0010-0000-C100-00000D000000}" name="car" dataDxfId="903"/>
    <tableColumn id="14" xr3:uid="{00000000-0010-0000-C100-00000E000000}" name="r_yd" dataDxfId="902"/>
    <tableColumn id="15" xr3:uid="{00000000-0010-0000-C100-00000F000000}" name="r_td" dataDxfId="901"/>
    <tableColumn id="16" xr3:uid="{00000000-0010-0000-C100-000010000000}" name="tgt" dataDxfId="900"/>
    <tableColumn id="17" xr3:uid="{00000000-0010-0000-C100-000011000000}" name="rec" dataDxfId="899"/>
    <tableColumn id="18" xr3:uid="{00000000-0010-0000-C100-000012000000}" name="rec_yd" dataDxfId="898"/>
    <tableColumn id="19" xr3:uid="{00000000-0010-0000-C100-000013000000}" name="rec_td" dataDxfId="897"/>
    <tableColumn id="20" xr3:uid="{00000000-0010-0000-C100-000014000000}" name="fmb" dataDxfId="896"/>
    <tableColumn id="21" xr3:uid="{00000000-0010-0000-C100-000015000000}" name="tp_c" dataDxfId="895"/>
    <tableColumn id="22" xr3:uid="{00000000-0010-0000-C100-000016000000}" name="f_ppr" dataDxfId="894"/>
    <tableColumn id="23" xr3:uid="{00000000-0010-0000-C100-000017000000}" name="tgt_share" dataDxfId="893"/>
    <tableColumn id="24" xr3:uid="{00000000-0010-0000-C100-000018000000}" name="ypc" dataDxfId="892"/>
    <tableColumn id="25" xr3:uid="{00000000-0010-0000-C100-000019000000}" name="ypr" dataDxfId="891"/>
    <tableColumn id="26" xr3:uid="{00000000-0010-0000-C100-00001A000000}" name="cmp_pct" dataDxfId="890"/>
    <tableColumn id="27" xr3:uid="{00000000-0010-0000-C100-00001B000000}" name="td_rate" dataDxfId="889"/>
    <tableColumn id="28" xr3:uid="{00000000-0010-0000-C100-00001C000000}" name="f_custom" dataDxfId="888">
      <calculatedColumnFormula>($J46*Cp_yd)+($K46*Cp_td)+($L46*Cint)+($M46*Ccar)+($N46*Cr_td)+($O46*Cr_yd)+(Q46*Crec)+($R46*Crec_yd)+($S46*Crec_td)+($T46*Cfmb)+($U46*Ctp_c)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7" xr:uid="{00000000-000C-0000-FFFF-FFFFC2000000}" name="SEA_Table6" displayName="SEA_Table6" ref="A60:AB73" totalsRowShown="0" headerRowDxfId="887" dataDxfId="886">
  <autoFilter ref="A60:AB73" xr:uid="{00000000-0009-0000-0100-0000C5000000}"/>
  <tableColumns count="28">
    <tableColumn id="1" xr3:uid="{00000000-0010-0000-C200-000001000000}" name="Name" dataDxfId="885"/>
    <tableColumn id="2" xr3:uid="{00000000-0010-0000-C200-000002000000}" name="POS" dataDxfId="884"/>
    <tableColumn id="3" xr3:uid="{00000000-0010-0000-C200-000003000000}" name="Age" dataDxfId="883"/>
    <tableColumn id="4" xr3:uid="{00000000-0010-0000-C200-000004000000}" name="Exp" dataDxfId="882"/>
    <tableColumn id="5" xr3:uid="{00000000-0010-0000-C200-000005000000}" name="College" dataDxfId="881"/>
    <tableColumn id="6" xr3:uid="{00000000-0010-0000-C200-000006000000}" name="team" dataDxfId="880"/>
    <tableColumn id="7" xr3:uid="{00000000-0010-0000-C200-000007000000}" name="g" dataDxfId="879"/>
    <tableColumn id="8" xr3:uid="{00000000-0010-0000-C200-000008000000}" name="p_att" dataDxfId="878"/>
    <tableColumn id="9" xr3:uid="{00000000-0010-0000-C200-000009000000}" name="cmp" dataDxfId="877"/>
    <tableColumn id="10" xr3:uid="{00000000-0010-0000-C200-00000A000000}" name="p_yd" dataDxfId="876"/>
    <tableColumn id="11" xr3:uid="{00000000-0010-0000-C200-00000B000000}" name="p_td" dataDxfId="875"/>
    <tableColumn id="12" xr3:uid="{00000000-0010-0000-C200-00000C000000}" name="int" dataDxfId="874"/>
    <tableColumn id="13" xr3:uid="{00000000-0010-0000-C200-00000D000000}" name="car" dataDxfId="873"/>
    <tableColumn id="14" xr3:uid="{00000000-0010-0000-C200-00000E000000}" name="r_yd" dataDxfId="872"/>
    <tableColumn id="15" xr3:uid="{00000000-0010-0000-C200-00000F000000}" name="r_td" dataDxfId="871"/>
    <tableColumn id="16" xr3:uid="{00000000-0010-0000-C200-000010000000}" name="tgt" dataDxfId="870"/>
    <tableColumn id="17" xr3:uid="{00000000-0010-0000-C200-000011000000}" name="rec" dataDxfId="869"/>
    <tableColumn id="18" xr3:uid="{00000000-0010-0000-C200-000012000000}" name="rec_yd" dataDxfId="868"/>
    <tableColumn id="19" xr3:uid="{00000000-0010-0000-C200-000013000000}" name="rec_td" dataDxfId="867"/>
    <tableColumn id="20" xr3:uid="{00000000-0010-0000-C200-000014000000}" name="fmb" dataDxfId="866"/>
    <tableColumn id="21" xr3:uid="{00000000-0010-0000-C200-000015000000}" name="tp_c" dataDxfId="865"/>
    <tableColumn id="22" xr3:uid="{00000000-0010-0000-C200-000016000000}" name="f_ppr" dataDxfId="864"/>
    <tableColumn id="23" xr3:uid="{00000000-0010-0000-C200-000017000000}" name="tgt_share" dataDxfId="863"/>
    <tableColumn id="24" xr3:uid="{00000000-0010-0000-C200-000018000000}" name="ypc" dataDxfId="862"/>
    <tableColumn id="25" xr3:uid="{00000000-0010-0000-C200-000019000000}" name="ypr" dataDxfId="861"/>
    <tableColumn id="26" xr3:uid="{00000000-0010-0000-C200-00001A000000}" name="cmp_pct" dataDxfId="860"/>
    <tableColumn id="27" xr3:uid="{00000000-0010-0000-C200-00001B000000}" name="td_rate" dataDxfId="859"/>
    <tableColumn id="28" xr3:uid="{00000000-0010-0000-C200-00001C000000}" name="f_custom" dataDxfId="858"/>
  </tableColumns>
  <tableStyleInfo name="TableStyleMedium1" showFirstColumn="0" showLastColumn="0" showRowStripes="1" showColumnStripes="0"/>
</table>
</file>

<file path=xl/tables/table1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8" xr:uid="{00000000-000C-0000-FFFF-FFFFC3000000}" name="SEA_Table7" displayName="SEA_Table7" ref="A75:AB80" totalsRowShown="0" headerRowDxfId="857" dataDxfId="856">
  <autoFilter ref="A75:AB80" xr:uid="{00000000-0009-0000-0100-0000C6000000}"/>
  <tableColumns count="28">
    <tableColumn id="1" xr3:uid="{00000000-0010-0000-C300-000001000000}" name="Name" dataDxfId="855"/>
    <tableColumn id="2" xr3:uid="{00000000-0010-0000-C300-000002000000}" name="POS" dataDxfId="854"/>
    <tableColumn id="3" xr3:uid="{00000000-0010-0000-C300-000003000000}" name="Age" dataDxfId="853"/>
    <tableColumn id="4" xr3:uid="{00000000-0010-0000-C300-000004000000}" name="Exp" dataDxfId="852"/>
    <tableColumn id="5" xr3:uid="{00000000-0010-0000-C300-000005000000}" name="College" dataDxfId="851"/>
    <tableColumn id="6" xr3:uid="{00000000-0010-0000-C300-000006000000}" name="team" dataDxfId="850"/>
    <tableColumn id="7" xr3:uid="{00000000-0010-0000-C300-000007000000}" name="g" dataDxfId="849"/>
    <tableColumn id="8" xr3:uid="{00000000-0010-0000-C300-000008000000}" name="p_att" dataDxfId="848"/>
    <tableColumn id="9" xr3:uid="{00000000-0010-0000-C300-000009000000}" name="cmp" dataDxfId="847"/>
    <tableColumn id="10" xr3:uid="{00000000-0010-0000-C300-00000A000000}" name="p_yd" dataDxfId="846"/>
    <tableColumn id="11" xr3:uid="{00000000-0010-0000-C300-00000B000000}" name="p_td" dataDxfId="845"/>
    <tableColumn id="12" xr3:uid="{00000000-0010-0000-C300-00000C000000}" name="int" dataDxfId="844"/>
    <tableColumn id="13" xr3:uid="{00000000-0010-0000-C300-00000D000000}" name="car" dataDxfId="843"/>
    <tableColumn id="14" xr3:uid="{00000000-0010-0000-C300-00000E000000}" name="r_yd" dataDxfId="842"/>
    <tableColumn id="15" xr3:uid="{00000000-0010-0000-C300-00000F000000}" name="r_td" dataDxfId="841"/>
    <tableColumn id="16" xr3:uid="{00000000-0010-0000-C300-000010000000}" name="tgt" dataDxfId="840"/>
    <tableColumn id="17" xr3:uid="{00000000-0010-0000-C300-000011000000}" name="rec" dataDxfId="839"/>
    <tableColumn id="18" xr3:uid="{00000000-0010-0000-C300-000012000000}" name="rec_yd" dataDxfId="838"/>
    <tableColumn id="19" xr3:uid="{00000000-0010-0000-C300-000013000000}" name="rec_td" dataDxfId="837"/>
    <tableColumn id="20" xr3:uid="{00000000-0010-0000-C300-000014000000}" name="fmb" dataDxfId="836"/>
    <tableColumn id="21" xr3:uid="{00000000-0010-0000-C300-000015000000}" name="tp_c" dataDxfId="835"/>
    <tableColumn id="22" xr3:uid="{00000000-0010-0000-C300-000016000000}" name="f_ppr" dataDxfId="834"/>
    <tableColumn id="23" xr3:uid="{00000000-0010-0000-C300-000017000000}" name="tgt_share" dataDxfId="833"/>
    <tableColumn id="24" xr3:uid="{00000000-0010-0000-C300-000018000000}" name="ypc" dataDxfId="832"/>
    <tableColumn id="25" xr3:uid="{00000000-0010-0000-C300-000019000000}" name="ypr" dataDxfId="831"/>
    <tableColumn id="26" xr3:uid="{00000000-0010-0000-C300-00001A000000}" name="cmp_pct" dataDxfId="830"/>
    <tableColumn id="27" xr3:uid="{00000000-0010-0000-C300-00001B000000}" name="td_rate" dataDxfId="829"/>
    <tableColumn id="28" xr3:uid="{00000000-0010-0000-C300-00001C000000}" name="f_custom" dataDxfId="828"/>
  </tableColumns>
  <tableStyleInfo name="TableStyleMedium1" showFirstColumn="0" showLastColumn="0" showRowStripes="1" showColumnStripes="0"/>
</table>
</file>

<file path=xl/tables/table1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9" xr:uid="{00000000-000C-0000-FFFF-FFFFC4000000}" name="SF_Table1" displayName="SF_Table1" ref="A1:X21" totalsRowShown="0" headerRowDxfId="827" dataDxfId="826">
  <autoFilter ref="A1:X21" xr:uid="{00000000-0009-0000-0100-0000C7000000}"/>
  <tableColumns count="24">
    <tableColumn id="1" xr3:uid="{00000000-0010-0000-C400-000001000000}" name="player_name" dataDxfId="825"/>
    <tableColumn id="2" xr3:uid="{00000000-0010-0000-C400-000002000000}" name="recent_team" dataDxfId="824"/>
    <tableColumn id="3" xr3:uid="{00000000-0010-0000-C400-000003000000}" name="pos" dataDxfId="823"/>
    <tableColumn id="4" xr3:uid="{00000000-0010-0000-C400-000004000000}" name="g" dataDxfId="822"/>
    <tableColumn id="5" xr3:uid="{00000000-0010-0000-C400-000005000000}" name="p_att" dataDxfId="821"/>
    <tableColumn id="6" xr3:uid="{00000000-0010-0000-C400-000006000000}" name="cmp" dataDxfId="820"/>
    <tableColumn id="7" xr3:uid="{00000000-0010-0000-C400-000007000000}" name="p_yd" dataDxfId="819"/>
    <tableColumn id="8" xr3:uid="{00000000-0010-0000-C400-000008000000}" name="p_td" dataDxfId="818"/>
    <tableColumn id="9" xr3:uid="{00000000-0010-0000-C400-000009000000}" name="int" dataDxfId="817"/>
    <tableColumn id="10" xr3:uid="{00000000-0010-0000-C400-00000A000000}" name="car" dataDxfId="816"/>
    <tableColumn id="11" xr3:uid="{00000000-0010-0000-C400-00000B000000}" name="r_yd" dataDxfId="815"/>
    <tableColumn id="12" xr3:uid="{00000000-0010-0000-C400-00000C000000}" name="r_td" dataDxfId="814"/>
    <tableColumn id="13" xr3:uid="{00000000-0010-0000-C400-00000D000000}" name="tgt" dataDxfId="813"/>
    <tableColumn id="14" xr3:uid="{00000000-0010-0000-C400-00000E000000}" name="rec" dataDxfId="812"/>
    <tableColumn id="15" xr3:uid="{00000000-0010-0000-C400-00000F000000}" name="rec_yd" dataDxfId="811"/>
    <tableColumn id="16" xr3:uid="{00000000-0010-0000-C400-000010000000}" name="rec_td" dataDxfId="810"/>
    <tableColumn id="17" xr3:uid="{00000000-0010-0000-C400-000011000000}" name="fmb" dataDxfId="809"/>
    <tableColumn id="18" xr3:uid="{00000000-0010-0000-C400-000012000000}" name="tp_c" dataDxfId="808"/>
    <tableColumn id="19" xr3:uid="{00000000-0010-0000-C400-000013000000}" name="f_ppr" dataDxfId="807"/>
    <tableColumn id="20" xr3:uid="{00000000-0010-0000-C400-000014000000}" name="tgt_share" dataDxfId="806"/>
    <tableColumn id="21" xr3:uid="{00000000-0010-0000-C400-000015000000}" name="ypc" dataDxfId="805"/>
    <tableColumn id="22" xr3:uid="{00000000-0010-0000-C400-000016000000}" name="ypr" dataDxfId="804"/>
    <tableColumn id="23" xr3:uid="{00000000-0010-0000-C400-000017000000}" name="cmp_pct" dataDxfId="803"/>
    <tableColumn id="24" xr3:uid="{00000000-0010-0000-C400-000018000000}" name="td_rate" dataDxfId="802"/>
  </tableColumns>
  <tableStyleInfo name="TableStyleMedium1" showFirstColumn="0" showLastColumn="0" showRowStripes="1" showColumnStripes="0"/>
</table>
</file>

<file path=xl/tables/table1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0" xr:uid="{00000000-000C-0000-FFFF-FFFFC5000000}" name="SF_Table2" displayName="SF_Table2" ref="A30:L31" totalsRowShown="0" headerRowDxfId="801" dataDxfId="800">
  <autoFilter ref="A30:L31" xr:uid="{00000000-0009-0000-0100-0000C8000000}"/>
  <tableColumns count="12">
    <tableColumn id="1" xr3:uid="{00000000-0010-0000-C500-000001000000}" name="team" dataDxfId="799"/>
    <tableColumn id="2" xr3:uid="{00000000-0010-0000-C500-000002000000}" name="off_yd" dataDxfId="798"/>
    <tableColumn id="3" xr3:uid="{00000000-0010-0000-C500-000003000000}" name="p_yd" dataDxfId="797"/>
    <tableColumn id="4" xr3:uid="{00000000-0010-0000-C500-000004000000}" name="car" dataDxfId="796"/>
    <tableColumn id="5" xr3:uid="{00000000-0010-0000-C500-000005000000}" name="r_yd" dataDxfId="795"/>
    <tableColumn id="6" xr3:uid="{00000000-0010-0000-C500-000006000000}" name="r_td" dataDxfId="794"/>
    <tableColumn id="7" xr3:uid="{00000000-0010-0000-C500-000007000000}" name="p_ff" dataDxfId="793"/>
    <tableColumn id="8" xr3:uid="{00000000-0010-0000-C500-000008000000}" name="p_att" dataDxfId="792"/>
    <tableColumn id="9" xr3:uid="{00000000-0010-0000-C500-000009000000}" name="cmp_pct" dataDxfId="791"/>
    <tableColumn id="10" xr3:uid="{00000000-0010-0000-C500-00000A000000}" name="p_td" dataDxfId="790"/>
    <tableColumn id="11" xr3:uid="{00000000-0010-0000-C500-00000B000000}" name="int" dataDxfId="789"/>
    <tableColumn id="12" xr3:uid="{00000000-0010-0000-C500-00000C000000}" name="fmb" dataDxfId="788"/>
  </tableColumns>
  <tableStyleInfo name="TableStyleMedium1" showFirstColumn="0" showLastColumn="0" showRowStripes="1" showColumnStripes="0"/>
</table>
</file>

<file path=xl/tables/table1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1" xr:uid="{00000000-000C-0000-FFFF-FFFFC6000000}" name="SF_Table3" displayName="SF_Table3" ref="A32:L33" totalsRowShown="0" headerRowDxfId="787" dataDxfId="786">
  <autoFilter ref="A32:L33" xr:uid="{00000000-0009-0000-0100-0000C9000000}"/>
  <tableColumns count="12">
    <tableColumn id="1" xr3:uid="{00000000-0010-0000-C600-000001000000}" name="team" dataDxfId="785">
      <calculatedColumnFormula>A31</calculatedColumnFormula>
    </tableColumn>
    <tableColumn id="2" xr3:uid="{00000000-0010-0000-C600-000002000000}" name="off_yd" dataDxfId="784">
      <calculatedColumnFormula>C33 + E33</calculatedColumnFormula>
    </tableColumn>
    <tableColumn id="3" xr3:uid="{00000000-0010-0000-C600-000003000000}" name="p_yd" dataDxfId="783">
      <calculatedColumnFormula>SUM(INDIRECT(A33 &amp; "_Table4[[#All],[p_yd]]"))</calculatedColumnFormula>
    </tableColumn>
    <tableColumn id="4" xr3:uid="{00000000-0010-0000-C600-000004000000}" name="car" dataDxfId="782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C600-000005000000}" name="r_yd" dataDxfId="781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C600-000006000000}" name="r_td" dataDxfId="780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C600-000007000000}" name="p_ff" dataDxfId="779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C600-000008000000}" name="p_att" dataDxfId="778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C600-000009000000}" name="cmp_pct" dataDxfId="777">
      <calculatedColumnFormula>SUM(INDIRECT(A33 &amp; "_Table4[[#All],[cmp]]"))/H33</calculatedColumnFormula>
    </tableColumn>
    <tableColumn id="10" xr3:uid="{00000000-0010-0000-C600-00000A000000}" name="p_td" dataDxfId="776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C600-00000B000000}" name="int" dataDxfId="775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C600-00000C000000}" name="fmb" dataDxfId="774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</tableColumns>
  <tableStyleInfo name="TableStyleMedium1" showFirstColumn="0" showLastColumn="0" showRowStripes="1" showColumnStripes="0"/>
</table>
</file>

<file path=xl/tables/table2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2" xr:uid="{00000000-000C-0000-FFFF-FFFFC7000000}" name="SF_Table4" displayName="SF_Table4" ref="A35:AB39" totalsRowShown="0" headerRowDxfId="773" dataDxfId="772">
  <autoFilter ref="A35:AB39" xr:uid="{00000000-0009-0000-0100-0000CA000000}"/>
  <tableColumns count="28">
    <tableColumn id="1" xr3:uid="{00000000-0010-0000-C700-000001000000}" name="Name" dataDxfId="771"/>
    <tableColumn id="2" xr3:uid="{00000000-0010-0000-C700-000002000000}" name="POS" dataDxfId="770"/>
    <tableColumn id="3" xr3:uid="{00000000-0010-0000-C700-000003000000}" name="Age" dataDxfId="769"/>
    <tableColumn id="4" xr3:uid="{00000000-0010-0000-C700-000004000000}" name="Exp" dataDxfId="768"/>
    <tableColumn id="5" xr3:uid="{00000000-0010-0000-C700-000005000000}" name="College" dataDxfId="767"/>
    <tableColumn id="6" xr3:uid="{00000000-0010-0000-C700-000006000000}" name="team" dataDxfId="766"/>
    <tableColumn id="7" xr3:uid="{00000000-0010-0000-C700-000007000000}" name="g" dataDxfId="765"/>
    <tableColumn id="8" xr3:uid="{00000000-0010-0000-C700-000008000000}" name="p_att" dataDxfId="764"/>
    <tableColumn id="9" xr3:uid="{00000000-0010-0000-C700-000009000000}" name="cmp" dataDxfId="763"/>
    <tableColumn id="10" xr3:uid="{00000000-0010-0000-C700-00000A000000}" name="p_yd" dataDxfId="762"/>
    <tableColumn id="11" xr3:uid="{00000000-0010-0000-C700-00000B000000}" name="p_td" dataDxfId="761"/>
    <tableColumn id="12" xr3:uid="{00000000-0010-0000-C700-00000C000000}" name="int" dataDxfId="760"/>
    <tableColumn id="13" xr3:uid="{00000000-0010-0000-C700-00000D000000}" name="car" dataDxfId="759"/>
    <tableColumn id="14" xr3:uid="{00000000-0010-0000-C700-00000E000000}" name="r_yd" dataDxfId="758"/>
    <tableColumn id="15" xr3:uid="{00000000-0010-0000-C700-00000F000000}" name="r_td" dataDxfId="757"/>
    <tableColumn id="16" xr3:uid="{00000000-0010-0000-C700-000010000000}" name="tgt" dataDxfId="756"/>
    <tableColumn id="17" xr3:uid="{00000000-0010-0000-C700-000011000000}" name="rec" dataDxfId="755"/>
    <tableColumn id="18" xr3:uid="{00000000-0010-0000-C700-000012000000}" name="rec_yd" dataDxfId="754"/>
    <tableColumn id="19" xr3:uid="{00000000-0010-0000-C700-000013000000}" name="rec_td" dataDxfId="753"/>
    <tableColumn id="20" xr3:uid="{00000000-0010-0000-C700-000014000000}" name="fmb" dataDxfId="752"/>
    <tableColumn id="21" xr3:uid="{00000000-0010-0000-C700-000015000000}" name="tp_c" dataDxfId="751"/>
    <tableColumn id="22" xr3:uid="{00000000-0010-0000-C700-000016000000}" name="f_ppr" dataDxfId="750"/>
    <tableColumn id="23" xr3:uid="{00000000-0010-0000-C700-000017000000}" name="tgt_share" dataDxfId="749"/>
    <tableColumn id="24" xr3:uid="{00000000-0010-0000-C700-000018000000}" name="ypc" dataDxfId="748"/>
    <tableColumn id="25" xr3:uid="{00000000-0010-0000-C700-000019000000}" name="ypr" dataDxfId="747"/>
    <tableColumn id="26" xr3:uid="{00000000-0010-0000-C700-00001A000000}" name="cmp_pct" dataDxfId="746"/>
    <tableColumn id="27" xr3:uid="{00000000-0010-0000-C700-00001B000000}" name="td_rate" dataDxfId="745"/>
    <tableColumn id="28" xr3:uid="{00000000-0010-0000-C700-00001C000000}" name="f_custom" dataDxfId="744"/>
  </tableColumns>
  <tableStyleInfo name="TableStyleMedium1" showFirstColumn="0" showLastColumn="0" showRowStripes="1" showColumnStripes="0"/>
</table>
</file>

<file path=xl/tables/table2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3" xr:uid="{00000000-000C-0000-FFFF-FFFFC8000000}" name="SF_Table5" displayName="SF_Table5" ref="A45:AB51" totalsRowShown="0" headerRowDxfId="743" dataDxfId="742">
  <autoFilter ref="A45:AB51" xr:uid="{00000000-0009-0000-0100-0000CB000000}"/>
  <tableColumns count="28">
    <tableColumn id="1" xr3:uid="{00000000-0010-0000-C800-000001000000}" name="Name" dataDxfId="741"/>
    <tableColumn id="2" xr3:uid="{00000000-0010-0000-C800-000002000000}" name="POS" dataDxfId="740"/>
    <tableColumn id="3" xr3:uid="{00000000-0010-0000-C800-000003000000}" name="Age" dataDxfId="739"/>
    <tableColumn id="4" xr3:uid="{00000000-0010-0000-C800-000004000000}" name="Exp" dataDxfId="738"/>
    <tableColumn id="5" xr3:uid="{00000000-0010-0000-C800-000005000000}" name="College" dataDxfId="737"/>
    <tableColumn id="6" xr3:uid="{00000000-0010-0000-C800-000006000000}" name="team" dataDxfId="736"/>
    <tableColumn id="7" xr3:uid="{00000000-0010-0000-C800-000007000000}" name="g" dataDxfId="735"/>
    <tableColumn id="8" xr3:uid="{00000000-0010-0000-C800-000008000000}" name="p_att" dataDxfId="734"/>
    <tableColumn id="9" xr3:uid="{00000000-0010-0000-C800-000009000000}" name="cmp" dataDxfId="733"/>
    <tableColumn id="10" xr3:uid="{00000000-0010-0000-C800-00000A000000}" name="p_yd" dataDxfId="732"/>
    <tableColumn id="11" xr3:uid="{00000000-0010-0000-C800-00000B000000}" name="p_td" dataDxfId="731"/>
    <tableColumn id="12" xr3:uid="{00000000-0010-0000-C800-00000C000000}" name="int" dataDxfId="730"/>
    <tableColumn id="13" xr3:uid="{00000000-0010-0000-C800-00000D000000}" name="car" dataDxfId="729"/>
    <tableColumn id="14" xr3:uid="{00000000-0010-0000-C800-00000E000000}" name="r_yd" dataDxfId="728"/>
    <tableColumn id="15" xr3:uid="{00000000-0010-0000-C800-00000F000000}" name="r_td" dataDxfId="727"/>
    <tableColumn id="16" xr3:uid="{00000000-0010-0000-C800-000010000000}" name="tgt" dataDxfId="726"/>
    <tableColumn id="17" xr3:uid="{00000000-0010-0000-C800-000011000000}" name="rec" dataDxfId="725"/>
    <tableColumn id="18" xr3:uid="{00000000-0010-0000-C800-000012000000}" name="rec_yd" dataDxfId="724"/>
    <tableColumn id="19" xr3:uid="{00000000-0010-0000-C800-000013000000}" name="rec_td" dataDxfId="723"/>
    <tableColumn id="20" xr3:uid="{00000000-0010-0000-C800-000014000000}" name="fmb" dataDxfId="722"/>
    <tableColumn id="21" xr3:uid="{00000000-0010-0000-C800-000015000000}" name="tp_c" dataDxfId="721"/>
    <tableColumn id="22" xr3:uid="{00000000-0010-0000-C800-000016000000}" name="f_ppr" dataDxfId="720"/>
    <tableColumn id="23" xr3:uid="{00000000-0010-0000-C800-000017000000}" name="tgt_share" dataDxfId="719"/>
    <tableColumn id="24" xr3:uid="{00000000-0010-0000-C800-000018000000}" name="ypc" dataDxfId="718"/>
    <tableColumn id="25" xr3:uid="{00000000-0010-0000-C800-000019000000}" name="ypr" dataDxfId="717"/>
    <tableColumn id="26" xr3:uid="{00000000-0010-0000-C800-00001A000000}" name="cmp_pct" dataDxfId="716"/>
    <tableColumn id="27" xr3:uid="{00000000-0010-0000-C800-00001B000000}" name="td_rate" dataDxfId="715"/>
    <tableColumn id="28" xr3:uid="{00000000-0010-0000-C800-00001C000000}" name="f_custom" dataDxfId="714">
      <calculatedColumnFormula>($J46*Cp_yd)+($K46*Cp_td)+($L46*Cint)+($M46*Ccar)+($N46*Cr_td)+($O46*Cr_yd)+(Q46*Crec)+($R46*Crec_yd)+($S46*Crec_td)+($T46*Cfmb)+($U46*Ctp_c)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2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4" xr:uid="{00000000-000C-0000-FFFF-FFFFC9000000}" name="SF_Table6" displayName="SF_Table6" ref="A60:AB71" totalsRowShown="0" headerRowDxfId="713" dataDxfId="712">
  <autoFilter ref="A60:AB71" xr:uid="{00000000-0009-0000-0100-0000CC000000}"/>
  <tableColumns count="28">
    <tableColumn id="1" xr3:uid="{00000000-0010-0000-C900-000001000000}" name="Name" dataDxfId="711"/>
    <tableColumn id="2" xr3:uid="{00000000-0010-0000-C900-000002000000}" name="POS" dataDxfId="710"/>
    <tableColumn id="3" xr3:uid="{00000000-0010-0000-C900-000003000000}" name="Age" dataDxfId="709"/>
    <tableColumn id="4" xr3:uid="{00000000-0010-0000-C900-000004000000}" name="Exp" dataDxfId="708"/>
    <tableColumn id="5" xr3:uid="{00000000-0010-0000-C900-000005000000}" name="College" dataDxfId="707"/>
    <tableColumn id="6" xr3:uid="{00000000-0010-0000-C900-000006000000}" name="team" dataDxfId="706"/>
    <tableColumn id="7" xr3:uid="{00000000-0010-0000-C900-000007000000}" name="g" dataDxfId="705"/>
    <tableColumn id="8" xr3:uid="{00000000-0010-0000-C900-000008000000}" name="p_att" dataDxfId="704"/>
    <tableColumn id="9" xr3:uid="{00000000-0010-0000-C900-000009000000}" name="cmp" dataDxfId="703"/>
    <tableColumn id="10" xr3:uid="{00000000-0010-0000-C900-00000A000000}" name="p_yd" dataDxfId="702"/>
    <tableColumn id="11" xr3:uid="{00000000-0010-0000-C900-00000B000000}" name="p_td" dataDxfId="701"/>
    <tableColumn id="12" xr3:uid="{00000000-0010-0000-C900-00000C000000}" name="int" dataDxfId="700"/>
    <tableColumn id="13" xr3:uid="{00000000-0010-0000-C900-00000D000000}" name="car" dataDxfId="699"/>
    <tableColumn id="14" xr3:uid="{00000000-0010-0000-C900-00000E000000}" name="r_yd" dataDxfId="698"/>
    <tableColumn id="15" xr3:uid="{00000000-0010-0000-C900-00000F000000}" name="r_td" dataDxfId="697"/>
    <tableColumn id="16" xr3:uid="{00000000-0010-0000-C900-000010000000}" name="tgt" dataDxfId="696"/>
    <tableColumn id="17" xr3:uid="{00000000-0010-0000-C900-000011000000}" name="rec" dataDxfId="695"/>
    <tableColumn id="18" xr3:uid="{00000000-0010-0000-C900-000012000000}" name="rec_yd" dataDxfId="694"/>
    <tableColumn id="19" xr3:uid="{00000000-0010-0000-C900-000013000000}" name="rec_td" dataDxfId="693"/>
    <tableColumn id="20" xr3:uid="{00000000-0010-0000-C900-000014000000}" name="fmb" dataDxfId="692"/>
    <tableColumn id="21" xr3:uid="{00000000-0010-0000-C900-000015000000}" name="tp_c" dataDxfId="691"/>
    <tableColumn id="22" xr3:uid="{00000000-0010-0000-C900-000016000000}" name="f_ppr" dataDxfId="690"/>
    <tableColumn id="23" xr3:uid="{00000000-0010-0000-C900-000017000000}" name="tgt_share" dataDxfId="689"/>
    <tableColumn id="24" xr3:uid="{00000000-0010-0000-C900-000018000000}" name="ypc" dataDxfId="688"/>
    <tableColumn id="25" xr3:uid="{00000000-0010-0000-C900-000019000000}" name="ypr" dataDxfId="687"/>
    <tableColumn id="26" xr3:uid="{00000000-0010-0000-C900-00001A000000}" name="cmp_pct" dataDxfId="686"/>
    <tableColumn id="27" xr3:uid="{00000000-0010-0000-C900-00001B000000}" name="td_rate" dataDxfId="685"/>
    <tableColumn id="28" xr3:uid="{00000000-0010-0000-C900-00001C000000}" name="f_custom" dataDxfId="684"/>
  </tableColumns>
  <tableStyleInfo name="TableStyleMedium1" showFirstColumn="0" showLastColumn="0" showRowStripes="1" showColumnStripes="0"/>
</table>
</file>

<file path=xl/tables/table2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5" xr:uid="{00000000-000C-0000-FFFF-FFFFCA000000}" name="SF_Table7" displayName="SF_Table7" ref="A75:AB81" totalsRowShown="0" headerRowDxfId="683" dataDxfId="682">
  <autoFilter ref="A75:AB81" xr:uid="{00000000-0009-0000-0100-0000CD000000}"/>
  <tableColumns count="28">
    <tableColumn id="1" xr3:uid="{00000000-0010-0000-CA00-000001000000}" name="Name" dataDxfId="681"/>
    <tableColumn id="2" xr3:uid="{00000000-0010-0000-CA00-000002000000}" name="POS" dataDxfId="680"/>
    <tableColumn id="3" xr3:uid="{00000000-0010-0000-CA00-000003000000}" name="Age" dataDxfId="679"/>
    <tableColumn id="4" xr3:uid="{00000000-0010-0000-CA00-000004000000}" name="Exp" dataDxfId="678"/>
    <tableColumn id="5" xr3:uid="{00000000-0010-0000-CA00-000005000000}" name="College" dataDxfId="677"/>
    <tableColumn id="6" xr3:uid="{00000000-0010-0000-CA00-000006000000}" name="team" dataDxfId="676"/>
    <tableColumn id="7" xr3:uid="{00000000-0010-0000-CA00-000007000000}" name="g" dataDxfId="675"/>
    <tableColumn id="8" xr3:uid="{00000000-0010-0000-CA00-000008000000}" name="p_att" dataDxfId="674"/>
    <tableColumn id="9" xr3:uid="{00000000-0010-0000-CA00-000009000000}" name="cmp" dataDxfId="673"/>
    <tableColumn id="10" xr3:uid="{00000000-0010-0000-CA00-00000A000000}" name="p_yd" dataDxfId="672"/>
    <tableColumn id="11" xr3:uid="{00000000-0010-0000-CA00-00000B000000}" name="p_td" dataDxfId="671"/>
    <tableColumn id="12" xr3:uid="{00000000-0010-0000-CA00-00000C000000}" name="int" dataDxfId="670"/>
    <tableColumn id="13" xr3:uid="{00000000-0010-0000-CA00-00000D000000}" name="car" dataDxfId="669"/>
    <tableColumn id="14" xr3:uid="{00000000-0010-0000-CA00-00000E000000}" name="r_yd" dataDxfId="668"/>
    <tableColumn id="15" xr3:uid="{00000000-0010-0000-CA00-00000F000000}" name="r_td" dataDxfId="667"/>
    <tableColumn id="16" xr3:uid="{00000000-0010-0000-CA00-000010000000}" name="tgt" dataDxfId="666"/>
    <tableColumn id="17" xr3:uid="{00000000-0010-0000-CA00-000011000000}" name="rec" dataDxfId="665"/>
    <tableColumn id="18" xr3:uid="{00000000-0010-0000-CA00-000012000000}" name="rec_yd" dataDxfId="664"/>
    <tableColumn id="19" xr3:uid="{00000000-0010-0000-CA00-000013000000}" name="rec_td" dataDxfId="663"/>
    <tableColumn id="20" xr3:uid="{00000000-0010-0000-CA00-000014000000}" name="fmb" dataDxfId="662"/>
    <tableColumn id="21" xr3:uid="{00000000-0010-0000-CA00-000015000000}" name="tp_c" dataDxfId="661"/>
    <tableColumn id="22" xr3:uid="{00000000-0010-0000-CA00-000016000000}" name="f_ppr" dataDxfId="660"/>
    <tableColumn id="23" xr3:uid="{00000000-0010-0000-CA00-000017000000}" name="tgt_share" dataDxfId="659"/>
    <tableColumn id="24" xr3:uid="{00000000-0010-0000-CA00-000018000000}" name="ypc" dataDxfId="658"/>
    <tableColumn id="25" xr3:uid="{00000000-0010-0000-CA00-000019000000}" name="ypr" dataDxfId="657"/>
    <tableColumn id="26" xr3:uid="{00000000-0010-0000-CA00-00001A000000}" name="cmp_pct" dataDxfId="656"/>
    <tableColumn id="27" xr3:uid="{00000000-0010-0000-CA00-00001B000000}" name="td_rate" dataDxfId="655"/>
    <tableColumn id="28" xr3:uid="{00000000-0010-0000-CA00-00001C000000}" name="f_custom" dataDxfId="654"/>
  </tableColumns>
  <tableStyleInfo name="TableStyleMedium1" showFirstColumn="0" showLastColumn="0" showRowStripes="1" showColumnStripes="0"/>
</table>
</file>

<file path=xl/tables/table2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6" xr:uid="{00000000-000C-0000-FFFF-FFFFCB000000}" name="TB_Table1" displayName="TB_Table1" ref="A1:X21" totalsRowShown="0" headerRowDxfId="653" dataDxfId="652">
  <autoFilter ref="A1:X21" xr:uid="{00000000-0009-0000-0100-0000CE000000}"/>
  <tableColumns count="24">
    <tableColumn id="1" xr3:uid="{00000000-0010-0000-CB00-000001000000}" name="player_name" dataDxfId="651"/>
    <tableColumn id="2" xr3:uid="{00000000-0010-0000-CB00-000002000000}" name="recent_team" dataDxfId="650"/>
    <tableColumn id="3" xr3:uid="{00000000-0010-0000-CB00-000003000000}" name="pos" dataDxfId="649"/>
    <tableColumn id="4" xr3:uid="{00000000-0010-0000-CB00-000004000000}" name="g" dataDxfId="648"/>
    <tableColumn id="5" xr3:uid="{00000000-0010-0000-CB00-000005000000}" name="p_att" dataDxfId="647"/>
    <tableColumn id="6" xr3:uid="{00000000-0010-0000-CB00-000006000000}" name="cmp" dataDxfId="646"/>
    <tableColumn id="7" xr3:uid="{00000000-0010-0000-CB00-000007000000}" name="p_yd" dataDxfId="645"/>
    <tableColumn id="8" xr3:uid="{00000000-0010-0000-CB00-000008000000}" name="p_td" dataDxfId="644"/>
    <tableColumn id="9" xr3:uid="{00000000-0010-0000-CB00-000009000000}" name="int" dataDxfId="643"/>
    <tableColumn id="10" xr3:uid="{00000000-0010-0000-CB00-00000A000000}" name="car" dataDxfId="642"/>
    <tableColumn id="11" xr3:uid="{00000000-0010-0000-CB00-00000B000000}" name="r_yd" dataDxfId="641"/>
    <tableColumn id="12" xr3:uid="{00000000-0010-0000-CB00-00000C000000}" name="r_td" dataDxfId="640"/>
    <tableColumn id="13" xr3:uid="{00000000-0010-0000-CB00-00000D000000}" name="tgt" dataDxfId="639"/>
    <tableColumn id="14" xr3:uid="{00000000-0010-0000-CB00-00000E000000}" name="rec" dataDxfId="638"/>
    <tableColumn id="15" xr3:uid="{00000000-0010-0000-CB00-00000F000000}" name="rec_yd" dataDxfId="637"/>
    <tableColumn id="16" xr3:uid="{00000000-0010-0000-CB00-000010000000}" name="rec_td" dataDxfId="636"/>
    <tableColumn id="17" xr3:uid="{00000000-0010-0000-CB00-000011000000}" name="fmb" dataDxfId="635"/>
    <tableColumn id="18" xr3:uid="{00000000-0010-0000-CB00-000012000000}" name="tp_c" dataDxfId="634"/>
    <tableColumn id="19" xr3:uid="{00000000-0010-0000-CB00-000013000000}" name="f_ppr" dataDxfId="633"/>
    <tableColumn id="20" xr3:uid="{00000000-0010-0000-CB00-000014000000}" name="tgt_share" dataDxfId="632"/>
    <tableColumn id="21" xr3:uid="{00000000-0010-0000-CB00-000015000000}" name="ypc" dataDxfId="631"/>
    <tableColumn id="22" xr3:uid="{00000000-0010-0000-CB00-000016000000}" name="ypr" dataDxfId="630"/>
    <tableColumn id="23" xr3:uid="{00000000-0010-0000-CB00-000017000000}" name="cmp_pct" dataDxfId="629"/>
    <tableColumn id="24" xr3:uid="{00000000-0010-0000-CB00-000018000000}" name="td_rate" dataDxfId="628"/>
  </tableColumns>
  <tableStyleInfo name="TableStyleMedium1" showFirstColumn="0" showLastColumn="0" showRowStripes="1" showColumnStripes="0"/>
</table>
</file>

<file path=xl/tables/table2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7" xr:uid="{00000000-000C-0000-FFFF-FFFFCC000000}" name="TB_Table2" displayName="TB_Table2" ref="A30:L31" totalsRowShown="0" headerRowDxfId="627" dataDxfId="626">
  <autoFilter ref="A30:L31" xr:uid="{00000000-0009-0000-0100-0000CF000000}"/>
  <tableColumns count="12">
    <tableColumn id="1" xr3:uid="{00000000-0010-0000-CC00-000001000000}" name="team" dataDxfId="625"/>
    <tableColumn id="2" xr3:uid="{00000000-0010-0000-CC00-000002000000}" name="off_yd" dataDxfId="624"/>
    <tableColumn id="3" xr3:uid="{00000000-0010-0000-CC00-000003000000}" name="p_yd" dataDxfId="623"/>
    <tableColumn id="4" xr3:uid="{00000000-0010-0000-CC00-000004000000}" name="car" dataDxfId="622"/>
    <tableColumn id="5" xr3:uid="{00000000-0010-0000-CC00-000005000000}" name="r_yd" dataDxfId="621"/>
    <tableColumn id="6" xr3:uid="{00000000-0010-0000-CC00-000006000000}" name="r_td" dataDxfId="620"/>
    <tableColumn id="7" xr3:uid="{00000000-0010-0000-CC00-000007000000}" name="p_ff" dataDxfId="619"/>
    <tableColumn id="8" xr3:uid="{00000000-0010-0000-CC00-000008000000}" name="p_att" dataDxfId="618"/>
    <tableColumn id="9" xr3:uid="{00000000-0010-0000-CC00-000009000000}" name="cmp_pct" dataDxfId="617"/>
    <tableColumn id="10" xr3:uid="{00000000-0010-0000-CC00-00000A000000}" name="p_td" dataDxfId="616"/>
    <tableColumn id="11" xr3:uid="{00000000-0010-0000-CC00-00000B000000}" name="int" dataDxfId="615"/>
    <tableColumn id="12" xr3:uid="{00000000-0010-0000-CC00-00000C000000}" name="fmb" dataDxfId="614"/>
  </tableColumns>
  <tableStyleInfo name="TableStyleMedium1" showFirstColumn="0" showLastColumn="0" showRowStripes="1" showColumnStripes="0"/>
</table>
</file>

<file path=xl/tables/table2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8" xr:uid="{00000000-000C-0000-FFFF-FFFFCD000000}" name="TB_Table3" displayName="TB_Table3" ref="A32:L33" totalsRowShown="0" headerRowDxfId="613" dataDxfId="612">
  <autoFilter ref="A32:L33" xr:uid="{00000000-0009-0000-0100-0000D0000000}"/>
  <tableColumns count="12">
    <tableColumn id="1" xr3:uid="{00000000-0010-0000-CD00-000001000000}" name="team" dataDxfId="611">
      <calculatedColumnFormula>A31</calculatedColumnFormula>
    </tableColumn>
    <tableColumn id="2" xr3:uid="{00000000-0010-0000-CD00-000002000000}" name="off_yd" dataDxfId="610">
      <calculatedColumnFormula>C33 + E33</calculatedColumnFormula>
    </tableColumn>
    <tableColumn id="3" xr3:uid="{00000000-0010-0000-CD00-000003000000}" name="p_yd" dataDxfId="609">
      <calculatedColumnFormula>SUM(INDIRECT(A33 &amp; "_Table4[[#All],[p_yd]]"))</calculatedColumnFormula>
    </tableColumn>
    <tableColumn id="4" xr3:uid="{00000000-0010-0000-CD00-000004000000}" name="car" dataDxfId="608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CD00-000005000000}" name="r_yd" dataDxfId="607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CD00-000006000000}" name="r_td" dataDxfId="606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CD00-000007000000}" name="p_ff" dataDxfId="605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CD00-000008000000}" name="p_att" dataDxfId="604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CD00-000009000000}" name="cmp_pct" dataDxfId="603">
      <calculatedColumnFormula>SUM(INDIRECT(A33 &amp; "_Table4[[#All],[cmp]]"))/H33</calculatedColumnFormula>
    </tableColumn>
    <tableColumn id="10" xr3:uid="{00000000-0010-0000-CD00-00000A000000}" name="p_td" dataDxfId="602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CD00-00000B000000}" name="int" dataDxfId="601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CD00-00000C000000}" name="fmb" dataDxfId="600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</tableColumns>
  <tableStyleInfo name="TableStyleMedium1" showFirstColumn="0" showLastColumn="0" showRowStripes="1" showColumnStripes="0"/>
</table>
</file>

<file path=xl/tables/table2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9" xr:uid="{00000000-000C-0000-FFFF-FFFFCE000000}" name="TB_Table4" displayName="TB_Table4" ref="A35:AB38" totalsRowShown="0" headerRowDxfId="599" dataDxfId="598">
  <autoFilter ref="A35:AB38" xr:uid="{00000000-0009-0000-0100-0000D1000000}"/>
  <tableColumns count="28">
    <tableColumn id="1" xr3:uid="{00000000-0010-0000-CE00-000001000000}" name="Name" dataDxfId="597"/>
    <tableColumn id="2" xr3:uid="{00000000-0010-0000-CE00-000002000000}" name="POS" dataDxfId="596"/>
    <tableColumn id="3" xr3:uid="{00000000-0010-0000-CE00-000003000000}" name="Age" dataDxfId="595"/>
    <tableColumn id="4" xr3:uid="{00000000-0010-0000-CE00-000004000000}" name="Exp" dataDxfId="594"/>
    <tableColumn id="5" xr3:uid="{00000000-0010-0000-CE00-000005000000}" name="College" dataDxfId="593"/>
    <tableColumn id="6" xr3:uid="{00000000-0010-0000-CE00-000006000000}" name="team" dataDxfId="592"/>
    <tableColumn id="7" xr3:uid="{00000000-0010-0000-CE00-000007000000}" name="g" dataDxfId="591"/>
    <tableColumn id="8" xr3:uid="{00000000-0010-0000-CE00-000008000000}" name="p_att" dataDxfId="590"/>
    <tableColumn id="9" xr3:uid="{00000000-0010-0000-CE00-000009000000}" name="cmp" dataDxfId="589"/>
    <tableColumn id="10" xr3:uid="{00000000-0010-0000-CE00-00000A000000}" name="p_yd" dataDxfId="588"/>
    <tableColumn id="11" xr3:uid="{00000000-0010-0000-CE00-00000B000000}" name="p_td" dataDxfId="587"/>
    <tableColumn id="12" xr3:uid="{00000000-0010-0000-CE00-00000C000000}" name="int" dataDxfId="586"/>
    <tableColumn id="13" xr3:uid="{00000000-0010-0000-CE00-00000D000000}" name="car" dataDxfId="585"/>
    <tableColumn id="14" xr3:uid="{00000000-0010-0000-CE00-00000E000000}" name="r_yd" dataDxfId="584"/>
    <tableColumn id="15" xr3:uid="{00000000-0010-0000-CE00-00000F000000}" name="r_td" dataDxfId="583"/>
    <tableColumn id="16" xr3:uid="{00000000-0010-0000-CE00-000010000000}" name="tgt" dataDxfId="582"/>
    <tableColumn id="17" xr3:uid="{00000000-0010-0000-CE00-000011000000}" name="rec" dataDxfId="581"/>
    <tableColumn id="18" xr3:uid="{00000000-0010-0000-CE00-000012000000}" name="rec_yd" dataDxfId="580"/>
    <tableColumn id="19" xr3:uid="{00000000-0010-0000-CE00-000013000000}" name="rec_td" dataDxfId="579"/>
    <tableColumn id="20" xr3:uid="{00000000-0010-0000-CE00-000014000000}" name="fmb" dataDxfId="578"/>
    <tableColumn id="21" xr3:uid="{00000000-0010-0000-CE00-000015000000}" name="tp_c" dataDxfId="577"/>
    <tableColumn id="22" xr3:uid="{00000000-0010-0000-CE00-000016000000}" name="f_ppr" dataDxfId="576"/>
    <tableColumn id="23" xr3:uid="{00000000-0010-0000-CE00-000017000000}" name="tgt_share" dataDxfId="575"/>
    <tableColumn id="24" xr3:uid="{00000000-0010-0000-CE00-000018000000}" name="ypc" dataDxfId="574"/>
    <tableColumn id="25" xr3:uid="{00000000-0010-0000-CE00-000019000000}" name="ypr" dataDxfId="573"/>
    <tableColumn id="26" xr3:uid="{00000000-0010-0000-CE00-00001A000000}" name="cmp_pct" dataDxfId="572"/>
    <tableColumn id="27" xr3:uid="{00000000-0010-0000-CE00-00001B000000}" name="td_rate" dataDxfId="571"/>
    <tableColumn id="28" xr3:uid="{00000000-0010-0000-CE00-00001C000000}" name="f_custom" dataDxfId="570"/>
  </tableColumns>
  <tableStyleInfo name="TableStyleMedium1" showFirstColumn="0" showLastColumn="0" showRowStripes="1" showColumnStripes="0"/>
</table>
</file>

<file path=xl/tables/table2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0" xr:uid="{00000000-000C-0000-FFFF-FFFFCF000000}" name="TB_Table5" displayName="TB_Table5" ref="A45:AB51" totalsRowShown="0" headerRowDxfId="569" dataDxfId="568">
  <autoFilter ref="A45:AB51" xr:uid="{00000000-0009-0000-0100-0000D2000000}"/>
  <tableColumns count="28">
    <tableColumn id="1" xr3:uid="{00000000-0010-0000-CF00-000001000000}" name="Name" dataDxfId="567"/>
    <tableColumn id="2" xr3:uid="{00000000-0010-0000-CF00-000002000000}" name="POS" dataDxfId="566"/>
    <tableColumn id="3" xr3:uid="{00000000-0010-0000-CF00-000003000000}" name="Age" dataDxfId="565"/>
    <tableColumn id="4" xr3:uid="{00000000-0010-0000-CF00-000004000000}" name="Exp" dataDxfId="564"/>
    <tableColumn id="5" xr3:uid="{00000000-0010-0000-CF00-000005000000}" name="College" dataDxfId="563"/>
    <tableColumn id="6" xr3:uid="{00000000-0010-0000-CF00-000006000000}" name="team" dataDxfId="562"/>
    <tableColumn id="7" xr3:uid="{00000000-0010-0000-CF00-000007000000}" name="g" dataDxfId="561"/>
    <tableColumn id="8" xr3:uid="{00000000-0010-0000-CF00-000008000000}" name="p_att" dataDxfId="560"/>
    <tableColumn id="9" xr3:uid="{00000000-0010-0000-CF00-000009000000}" name="cmp" dataDxfId="559"/>
    <tableColumn id="10" xr3:uid="{00000000-0010-0000-CF00-00000A000000}" name="p_yd" dataDxfId="558"/>
    <tableColumn id="11" xr3:uid="{00000000-0010-0000-CF00-00000B000000}" name="p_td" dataDxfId="557"/>
    <tableColumn id="12" xr3:uid="{00000000-0010-0000-CF00-00000C000000}" name="int" dataDxfId="556"/>
    <tableColumn id="13" xr3:uid="{00000000-0010-0000-CF00-00000D000000}" name="car" dataDxfId="555"/>
    <tableColumn id="14" xr3:uid="{00000000-0010-0000-CF00-00000E000000}" name="r_yd" dataDxfId="554"/>
    <tableColumn id="15" xr3:uid="{00000000-0010-0000-CF00-00000F000000}" name="r_td" dataDxfId="553"/>
    <tableColumn id="16" xr3:uid="{00000000-0010-0000-CF00-000010000000}" name="tgt" dataDxfId="552"/>
    <tableColumn id="17" xr3:uid="{00000000-0010-0000-CF00-000011000000}" name="rec" dataDxfId="551"/>
    <tableColumn id="18" xr3:uid="{00000000-0010-0000-CF00-000012000000}" name="rec_yd" dataDxfId="550"/>
    <tableColumn id="19" xr3:uid="{00000000-0010-0000-CF00-000013000000}" name="rec_td" dataDxfId="549"/>
    <tableColumn id="20" xr3:uid="{00000000-0010-0000-CF00-000014000000}" name="fmb" dataDxfId="548"/>
    <tableColumn id="21" xr3:uid="{00000000-0010-0000-CF00-000015000000}" name="tp_c" dataDxfId="547"/>
    <tableColumn id="22" xr3:uid="{00000000-0010-0000-CF00-000016000000}" name="f_ppr" dataDxfId="546"/>
    <tableColumn id="23" xr3:uid="{00000000-0010-0000-CF00-000017000000}" name="tgt_share" dataDxfId="545"/>
    <tableColumn id="24" xr3:uid="{00000000-0010-0000-CF00-000018000000}" name="ypc" dataDxfId="544"/>
    <tableColumn id="25" xr3:uid="{00000000-0010-0000-CF00-000019000000}" name="ypr" dataDxfId="543"/>
    <tableColumn id="26" xr3:uid="{00000000-0010-0000-CF00-00001A000000}" name="cmp_pct" dataDxfId="542"/>
    <tableColumn id="27" xr3:uid="{00000000-0010-0000-CF00-00001B000000}" name="td_rate" dataDxfId="541"/>
    <tableColumn id="28" xr3:uid="{00000000-0010-0000-CF00-00001C000000}" name="f_custom" dataDxfId="540">
      <calculatedColumnFormula>($J46*Cp_yd)+($K46*Cp_td)+($L46*Cint)+($M46*Ccar)+($N46*Cr_td)+($O46*Cr_yd)+(Q46*Crec)+($R46*Crec_yd)+($S46*Crec_td)+($T46*Cfmb)+($U46*Ctp_c)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2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1" xr:uid="{00000000-000C-0000-FFFF-FFFFD0000000}" name="TB_Table6" displayName="TB_Table6" ref="A60:AB72" totalsRowShown="0" headerRowDxfId="539" dataDxfId="538">
  <autoFilter ref="A60:AB72" xr:uid="{00000000-0009-0000-0100-0000D3000000}"/>
  <tableColumns count="28">
    <tableColumn id="1" xr3:uid="{00000000-0010-0000-D000-000001000000}" name="Name" dataDxfId="537"/>
    <tableColumn id="2" xr3:uid="{00000000-0010-0000-D000-000002000000}" name="POS" dataDxfId="536"/>
    <tableColumn id="3" xr3:uid="{00000000-0010-0000-D000-000003000000}" name="Age" dataDxfId="535"/>
    <tableColumn id="4" xr3:uid="{00000000-0010-0000-D000-000004000000}" name="Exp" dataDxfId="534"/>
    <tableColumn id="5" xr3:uid="{00000000-0010-0000-D000-000005000000}" name="College" dataDxfId="533"/>
    <tableColumn id="6" xr3:uid="{00000000-0010-0000-D000-000006000000}" name="team" dataDxfId="532"/>
    <tableColumn id="7" xr3:uid="{00000000-0010-0000-D000-000007000000}" name="g" dataDxfId="531"/>
    <tableColumn id="8" xr3:uid="{00000000-0010-0000-D000-000008000000}" name="p_att" dataDxfId="530"/>
    <tableColumn id="9" xr3:uid="{00000000-0010-0000-D000-000009000000}" name="cmp" dataDxfId="529"/>
    <tableColumn id="10" xr3:uid="{00000000-0010-0000-D000-00000A000000}" name="p_yd" dataDxfId="528"/>
    <tableColumn id="11" xr3:uid="{00000000-0010-0000-D000-00000B000000}" name="p_td" dataDxfId="527"/>
    <tableColumn id="12" xr3:uid="{00000000-0010-0000-D000-00000C000000}" name="int" dataDxfId="526"/>
    <tableColumn id="13" xr3:uid="{00000000-0010-0000-D000-00000D000000}" name="car" dataDxfId="525"/>
    <tableColumn id="14" xr3:uid="{00000000-0010-0000-D000-00000E000000}" name="r_yd" dataDxfId="524"/>
    <tableColumn id="15" xr3:uid="{00000000-0010-0000-D000-00000F000000}" name="r_td" dataDxfId="523"/>
    <tableColumn id="16" xr3:uid="{00000000-0010-0000-D000-000010000000}" name="tgt" dataDxfId="522"/>
    <tableColumn id="17" xr3:uid="{00000000-0010-0000-D000-000011000000}" name="rec" dataDxfId="521"/>
    <tableColumn id="18" xr3:uid="{00000000-0010-0000-D000-000012000000}" name="rec_yd" dataDxfId="520"/>
    <tableColumn id="19" xr3:uid="{00000000-0010-0000-D000-000013000000}" name="rec_td" dataDxfId="519"/>
    <tableColumn id="20" xr3:uid="{00000000-0010-0000-D000-000014000000}" name="fmb" dataDxfId="518"/>
    <tableColumn id="21" xr3:uid="{00000000-0010-0000-D000-000015000000}" name="tp_c" dataDxfId="517"/>
    <tableColumn id="22" xr3:uid="{00000000-0010-0000-D000-000016000000}" name="f_ppr" dataDxfId="516"/>
    <tableColumn id="23" xr3:uid="{00000000-0010-0000-D000-000017000000}" name="tgt_share" dataDxfId="515"/>
    <tableColumn id="24" xr3:uid="{00000000-0010-0000-D000-000018000000}" name="ypc" dataDxfId="514"/>
    <tableColumn id="25" xr3:uid="{00000000-0010-0000-D000-000019000000}" name="ypr" dataDxfId="513"/>
    <tableColumn id="26" xr3:uid="{00000000-0010-0000-D000-00001A000000}" name="cmp_pct" dataDxfId="512"/>
    <tableColumn id="27" xr3:uid="{00000000-0010-0000-D000-00001B000000}" name="td_rate" dataDxfId="511"/>
    <tableColumn id="28" xr3:uid="{00000000-0010-0000-D000-00001C000000}" name="f_custom" dataDxfId="510"/>
  </tableColumns>
  <tableStyleInfo name="TableStyleMedium1" showFirstColumn="0" showLastColumn="0" showRowStripes="1" showColumnStripes="0"/>
</table>
</file>

<file path=xl/tables/table2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2" xr:uid="{00000000-000C-0000-FFFF-FFFFD1000000}" name="TB_Table7" displayName="TB_Table7" ref="A75:AB81" totalsRowShown="0" headerRowDxfId="509" dataDxfId="508">
  <autoFilter ref="A75:AB81" xr:uid="{00000000-0009-0000-0100-0000D4000000}"/>
  <tableColumns count="28">
    <tableColumn id="1" xr3:uid="{00000000-0010-0000-D100-000001000000}" name="Name" dataDxfId="507"/>
    <tableColumn id="2" xr3:uid="{00000000-0010-0000-D100-000002000000}" name="POS" dataDxfId="506"/>
    <tableColumn id="3" xr3:uid="{00000000-0010-0000-D100-000003000000}" name="Age" dataDxfId="505"/>
    <tableColumn id="4" xr3:uid="{00000000-0010-0000-D100-000004000000}" name="Exp" dataDxfId="504"/>
    <tableColumn id="5" xr3:uid="{00000000-0010-0000-D100-000005000000}" name="College" dataDxfId="503"/>
    <tableColumn id="6" xr3:uid="{00000000-0010-0000-D100-000006000000}" name="team" dataDxfId="502"/>
    <tableColumn id="7" xr3:uid="{00000000-0010-0000-D100-000007000000}" name="g" dataDxfId="501"/>
    <tableColumn id="8" xr3:uid="{00000000-0010-0000-D100-000008000000}" name="p_att" dataDxfId="500"/>
    <tableColumn id="9" xr3:uid="{00000000-0010-0000-D100-000009000000}" name="cmp" dataDxfId="499"/>
    <tableColumn id="10" xr3:uid="{00000000-0010-0000-D100-00000A000000}" name="p_yd" dataDxfId="498"/>
    <tableColumn id="11" xr3:uid="{00000000-0010-0000-D100-00000B000000}" name="p_td" dataDxfId="497"/>
    <tableColumn id="12" xr3:uid="{00000000-0010-0000-D100-00000C000000}" name="int" dataDxfId="496"/>
    <tableColumn id="13" xr3:uid="{00000000-0010-0000-D100-00000D000000}" name="car" dataDxfId="495"/>
    <tableColumn id="14" xr3:uid="{00000000-0010-0000-D100-00000E000000}" name="r_yd" dataDxfId="494"/>
    <tableColumn id="15" xr3:uid="{00000000-0010-0000-D100-00000F000000}" name="r_td" dataDxfId="493"/>
    <tableColumn id="16" xr3:uid="{00000000-0010-0000-D100-000010000000}" name="tgt" dataDxfId="492"/>
    <tableColumn id="17" xr3:uid="{00000000-0010-0000-D100-000011000000}" name="rec" dataDxfId="491"/>
    <tableColumn id="18" xr3:uid="{00000000-0010-0000-D100-000012000000}" name="rec_yd" dataDxfId="490"/>
    <tableColumn id="19" xr3:uid="{00000000-0010-0000-D100-000013000000}" name="rec_td" dataDxfId="489"/>
    <tableColumn id="20" xr3:uid="{00000000-0010-0000-D100-000014000000}" name="fmb" dataDxfId="488"/>
    <tableColumn id="21" xr3:uid="{00000000-0010-0000-D100-000015000000}" name="tp_c" dataDxfId="487"/>
    <tableColumn id="22" xr3:uid="{00000000-0010-0000-D100-000016000000}" name="f_ppr" dataDxfId="486"/>
    <tableColumn id="23" xr3:uid="{00000000-0010-0000-D100-000017000000}" name="tgt_share" dataDxfId="485"/>
    <tableColumn id="24" xr3:uid="{00000000-0010-0000-D100-000018000000}" name="ypc" dataDxfId="484"/>
    <tableColumn id="25" xr3:uid="{00000000-0010-0000-D100-000019000000}" name="ypr" dataDxfId="483"/>
    <tableColumn id="26" xr3:uid="{00000000-0010-0000-D100-00001A000000}" name="cmp_pct" dataDxfId="482"/>
    <tableColumn id="27" xr3:uid="{00000000-0010-0000-D100-00001B000000}" name="td_rate" dataDxfId="481"/>
    <tableColumn id="28" xr3:uid="{00000000-0010-0000-D100-00001C000000}" name="f_custom" dataDxfId="480"/>
  </tableColumns>
  <tableStyleInfo name="TableStyleMedium1" showFirstColumn="0" showLastColumn="0" showRowStripes="1" showColumnStripes="0"/>
</table>
</file>

<file path=xl/tables/table2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3" xr:uid="{00000000-000C-0000-FFFF-FFFFD2000000}" name="TEN_Table1" displayName="TEN_Table1" ref="A1:X22" totalsRowShown="0" headerRowDxfId="479" dataDxfId="478">
  <autoFilter ref="A1:X22" xr:uid="{00000000-0009-0000-0100-0000D5000000}"/>
  <tableColumns count="24">
    <tableColumn id="1" xr3:uid="{00000000-0010-0000-D200-000001000000}" name="player_name" dataDxfId="477"/>
    <tableColumn id="2" xr3:uid="{00000000-0010-0000-D200-000002000000}" name="recent_team" dataDxfId="476"/>
    <tableColumn id="3" xr3:uid="{00000000-0010-0000-D200-000003000000}" name="pos" dataDxfId="475"/>
    <tableColumn id="4" xr3:uid="{00000000-0010-0000-D200-000004000000}" name="g" dataDxfId="474"/>
    <tableColumn id="5" xr3:uid="{00000000-0010-0000-D200-000005000000}" name="p_att" dataDxfId="473"/>
    <tableColumn id="6" xr3:uid="{00000000-0010-0000-D200-000006000000}" name="cmp" dataDxfId="472"/>
    <tableColumn id="7" xr3:uid="{00000000-0010-0000-D200-000007000000}" name="p_yd" dataDxfId="471"/>
    <tableColumn id="8" xr3:uid="{00000000-0010-0000-D200-000008000000}" name="p_td" dataDxfId="470"/>
    <tableColumn id="9" xr3:uid="{00000000-0010-0000-D200-000009000000}" name="int" dataDxfId="469"/>
    <tableColumn id="10" xr3:uid="{00000000-0010-0000-D200-00000A000000}" name="car" dataDxfId="468"/>
    <tableColumn id="11" xr3:uid="{00000000-0010-0000-D200-00000B000000}" name="r_yd" dataDxfId="467"/>
    <tableColumn id="12" xr3:uid="{00000000-0010-0000-D200-00000C000000}" name="r_td" dataDxfId="466"/>
    <tableColumn id="13" xr3:uid="{00000000-0010-0000-D200-00000D000000}" name="tgt" dataDxfId="465"/>
    <tableColumn id="14" xr3:uid="{00000000-0010-0000-D200-00000E000000}" name="rec" dataDxfId="464"/>
    <tableColumn id="15" xr3:uid="{00000000-0010-0000-D200-00000F000000}" name="rec_yd" dataDxfId="463"/>
    <tableColumn id="16" xr3:uid="{00000000-0010-0000-D200-000010000000}" name="rec_td" dataDxfId="462"/>
    <tableColumn id="17" xr3:uid="{00000000-0010-0000-D200-000011000000}" name="fmb" dataDxfId="461"/>
    <tableColumn id="18" xr3:uid="{00000000-0010-0000-D200-000012000000}" name="tp_c" dataDxfId="460"/>
    <tableColumn id="19" xr3:uid="{00000000-0010-0000-D200-000013000000}" name="f_ppr" dataDxfId="459"/>
    <tableColumn id="20" xr3:uid="{00000000-0010-0000-D200-000014000000}" name="tgt_share" dataDxfId="458"/>
    <tableColumn id="21" xr3:uid="{00000000-0010-0000-D200-000015000000}" name="ypc" dataDxfId="457"/>
    <tableColumn id="22" xr3:uid="{00000000-0010-0000-D200-000016000000}" name="ypr" dataDxfId="456"/>
    <tableColumn id="23" xr3:uid="{00000000-0010-0000-D200-000017000000}" name="cmp_pct" dataDxfId="455"/>
    <tableColumn id="24" xr3:uid="{00000000-0010-0000-D200-000018000000}" name="td_rate" dataDxfId="454"/>
  </tableColumns>
  <tableStyleInfo name="TableStyleMedium1" showFirstColumn="0" showLastColumn="0" showRowStripes="1" showColumnStripes="0"/>
</table>
</file>

<file path=xl/tables/table2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4" xr:uid="{00000000-000C-0000-FFFF-FFFFD3000000}" name="TEN_Table2" displayName="TEN_Table2" ref="A30:L31" totalsRowShown="0" headerRowDxfId="453" dataDxfId="452">
  <autoFilter ref="A30:L31" xr:uid="{00000000-0009-0000-0100-0000D6000000}"/>
  <tableColumns count="12">
    <tableColumn id="1" xr3:uid="{00000000-0010-0000-D300-000001000000}" name="team" dataDxfId="451"/>
    <tableColumn id="2" xr3:uid="{00000000-0010-0000-D300-000002000000}" name="off_yd" dataDxfId="450"/>
    <tableColumn id="3" xr3:uid="{00000000-0010-0000-D300-000003000000}" name="p_yd" dataDxfId="449"/>
    <tableColumn id="4" xr3:uid="{00000000-0010-0000-D300-000004000000}" name="car" dataDxfId="448"/>
    <tableColumn id="5" xr3:uid="{00000000-0010-0000-D300-000005000000}" name="r_yd" dataDxfId="447"/>
    <tableColumn id="6" xr3:uid="{00000000-0010-0000-D300-000006000000}" name="r_td" dataDxfId="446"/>
    <tableColumn id="7" xr3:uid="{00000000-0010-0000-D300-000007000000}" name="p_ff" dataDxfId="445"/>
    <tableColumn id="8" xr3:uid="{00000000-0010-0000-D300-000008000000}" name="p_att" dataDxfId="444"/>
    <tableColumn id="9" xr3:uid="{00000000-0010-0000-D300-000009000000}" name="cmp_pct" dataDxfId="443"/>
    <tableColumn id="10" xr3:uid="{00000000-0010-0000-D300-00000A000000}" name="p_td" dataDxfId="442"/>
    <tableColumn id="11" xr3:uid="{00000000-0010-0000-D300-00000B000000}" name="int" dataDxfId="441"/>
    <tableColumn id="12" xr3:uid="{00000000-0010-0000-D300-00000C000000}" name="fmb" dataDxfId="440"/>
  </tableColumns>
  <tableStyleInfo name="TableStyleMedium1" showFirstColumn="0" showLastColumn="0" showRowStripes="1" showColumnStripes="0"/>
</table>
</file>

<file path=xl/tables/table2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5" xr:uid="{00000000-000C-0000-FFFF-FFFFD4000000}" name="TEN_Table3" displayName="TEN_Table3" ref="A32:L33" totalsRowShown="0" headerRowDxfId="439" dataDxfId="438">
  <autoFilter ref="A32:L33" xr:uid="{00000000-0009-0000-0100-0000D7000000}"/>
  <tableColumns count="12">
    <tableColumn id="1" xr3:uid="{00000000-0010-0000-D400-000001000000}" name="team" dataDxfId="437">
      <calculatedColumnFormula>A31</calculatedColumnFormula>
    </tableColumn>
    <tableColumn id="2" xr3:uid="{00000000-0010-0000-D400-000002000000}" name="off_yd" dataDxfId="436">
      <calculatedColumnFormula>C33 + E33</calculatedColumnFormula>
    </tableColumn>
    <tableColumn id="3" xr3:uid="{00000000-0010-0000-D400-000003000000}" name="p_yd" dataDxfId="435">
      <calculatedColumnFormula>SUM(INDIRECT(A33 &amp; "_Table4[[#All],[p_yd]]"))</calculatedColumnFormula>
    </tableColumn>
    <tableColumn id="4" xr3:uid="{00000000-0010-0000-D400-000004000000}" name="car" dataDxfId="434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D400-000005000000}" name="r_yd" dataDxfId="433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D400-000006000000}" name="r_td" dataDxfId="432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D400-000007000000}" name="p_ff" dataDxfId="431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D400-000008000000}" name="p_att" dataDxfId="430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D400-000009000000}" name="cmp_pct" dataDxfId="429">
      <calculatedColumnFormula>SUM(INDIRECT(A33 &amp; "_Table4[[#All],[cmp]]"))/H33</calculatedColumnFormula>
    </tableColumn>
    <tableColumn id="10" xr3:uid="{00000000-0010-0000-D400-00000A000000}" name="p_td" dataDxfId="428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D400-00000B000000}" name="int" dataDxfId="427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D400-00000C000000}" name="fmb" dataDxfId="426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</tableColumns>
  <tableStyleInfo name="TableStyleMedium1" showFirstColumn="0" showLastColumn="0" showRowStripes="1" showColumnStripes="0"/>
</table>
</file>

<file path=xl/tables/table2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6" xr:uid="{00000000-000C-0000-FFFF-FFFFD5000000}" name="TEN_Table4" displayName="TEN_Table4" ref="A35:AB38" totalsRowShown="0" headerRowDxfId="425" dataDxfId="424">
  <autoFilter ref="A35:AB38" xr:uid="{00000000-0009-0000-0100-0000D8000000}"/>
  <tableColumns count="28">
    <tableColumn id="1" xr3:uid="{00000000-0010-0000-D500-000001000000}" name="Name" dataDxfId="423"/>
    <tableColumn id="2" xr3:uid="{00000000-0010-0000-D500-000002000000}" name="POS" dataDxfId="422"/>
    <tableColumn id="3" xr3:uid="{00000000-0010-0000-D500-000003000000}" name="Age" dataDxfId="421"/>
    <tableColumn id="4" xr3:uid="{00000000-0010-0000-D500-000004000000}" name="Exp" dataDxfId="420"/>
    <tableColumn id="5" xr3:uid="{00000000-0010-0000-D500-000005000000}" name="College" dataDxfId="419"/>
    <tableColumn id="6" xr3:uid="{00000000-0010-0000-D500-000006000000}" name="team" dataDxfId="418"/>
    <tableColumn id="7" xr3:uid="{00000000-0010-0000-D500-000007000000}" name="g" dataDxfId="417"/>
    <tableColumn id="8" xr3:uid="{00000000-0010-0000-D500-000008000000}" name="p_att" dataDxfId="416"/>
    <tableColumn id="9" xr3:uid="{00000000-0010-0000-D500-000009000000}" name="cmp" dataDxfId="415"/>
    <tableColumn id="10" xr3:uid="{00000000-0010-0000-D500-00000A000000}" name="p_yd" dataDxfId="414"/>
    <tableColumn id="11" xr3:uid="{00000000-0010-0000-D500-00000B000000}" name="p_td" dataDxfId="413"/>
    <tableColumn id="12" xr3:uid="{00000000-0010-0000-D500-00000C000000}" name="int" dataDxfId="412"/>
    <tableColumn id="13" xr3:uid="{00000000-0010-0000-D500-00000D000000}" name="car" dataDxfId="411"/>
    <tableColumn id="14" xr3:uid="{00000000-0010-0000-D500-00000E000000}" name="r_yd" dataDxfId="410"/>
    <tableColumn id="15" xr3:uid="{00000000-0010-0000-D500-00000F000000}" name="r_td" dataDxfId="409"/>
    <tableColumn id="16" xr3:uid="{00000000-0010-0000-D500-000010000000}" name="tgt" dataDxfId="408"/>
    <tableColumn id="17" xr3:uid="{00000000-0010-0000-D500-000011000000}" name="rec" dataDxfId="407"/>
    <tableColumn id="18" xr3:uid="{00000000-0010-0000-D500-000012000000}" name="rec_yd" dataDxfId="406"/>
    <tableColumn id="19" xr3:uid="{00000000-0010-0000-D500-000013000000}" name="rec_td" dataDxfId="405"/>
    <tableColumn id="20" xr3:uid="{00000000-0010-0000-D500-000014000000}" name="fmb" dataDxfId="404"/>
    <tableColumn id="21" xr3:uid="{00000000-0010-0000-D500-000015000000}" name="tp_c" dataDxfId="403"/>
    <tableColumn id="22" xr3:uid="{00000000-0010-0000-D500-000016000000}" name="f_ppr" dataDxfId="402"/>
    <tableColumn id="23" xr3:uid="{00000000-0010-0000-D500-000017000000}" name="tgt_share" dataDxfId="401"/>
    <tableColumn id="24" xr3:uid="{00000000-0010-0000-D500-000018000000}" name="ypc" dataDxfId="400"/>
    <tableColumn id="25" xr3:uid="{00000000-0010-0000-D500-000019000000}" name="ypr" dataDxfId="399"/>
    <tableColumn id="26" xr3:uid="{00000000-0010-0000-D500-00001A000000}" name="cmp_pct" dataDxfId="398"/>
    <tableColumn id="27" xr3:uid="{00000000-0010-0000-D500-00001B000000}" name="td_rate" dataDxfId="397"/>
    <tableColumn id="28" xr3:uid="{00000000-0010-0000-D500-00001C000000}" name="f_custom" dataDxfId="396"/>
  </tableColumns>
  <tableStyleInfo name="TableStyleMedium1" showFirstColumn="0" showLastColumn="0" showRowStripes="1" showColumnStripes="0"/>
</table>
</file>

<file path=xl/tables/table2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7" xr:uid="{00000000-000C-0000-FFFF-FFFFD6000000}" name="TEN_Table5" displayName="TEN_Table5" ref="A45:AB51" totalsRowShown="0" headerRowDxfId="395" dataDxfId="394">
  <autoFilter ref="A45:AB51" xr:uid="{00000000-0009-0000-0100-0000D9000000}"/>
  <tableColumns count="28">
    <tableColumn id="1" xr3:uid="{00000000-0010-0000-D600-000001000000}" name="Name" dataDxfId="393"/>
    <tableColumn id="2" xr3:uid="{00000000-0010-0000-D600-000002000000}" name="POS" dataDxfId="392"/>
    <tableColumn id="3" xr3:uid="{00000000-0010-0000-D600-000003000000}" name="Age" dataDxfId="391"/>
    <tableColumn id="4" xr3:uid="{00000000-0010-0000-D600-000004000000}" name="Exp" dataDxfId="390"/>
    <tableColumn id="5" xr3:uid="{00000000-0010-0000-D600-000005000000}" name="College" dataDxfId="389"/>
    <tableColumn id="6" xr3:uid="{00000000-0010-0000-D600-000006000000}" name="team" dataDxfId="388"/>
    <tableColumn id="7" xr3:uid="{00000000-0010-0000-D600-000007000000}" name="g" dataDxfId="387"/>
    <tableColumn id="8" xr3:uid="{00000000-0010-0000-D600-000008000000}" name="p_att" dataDxfId="386"/>
    <tableColumn id="9" xr3:uid="{00000000-0010-0000-D600-000009000000}" name="cmp" dataDxfId="385"/>
    <tableColumn id="10" xr3:uid="{00000000-0010-0000-D600-00000A000000}" name="p_yd" dataDxfId="384"/>
    <tableColumn id="11" xr3:uid="{00000000-0010-0000-D600-00000B000000}" name="p_td" dataDxfId="383"/>
    <tableColumn id="12" xr3:uid="{00000000-0010-0000-D600-00000C000000}" name="int" dataDxfId="382"/>
    <tableColumn id="13" xr3:uid="{00000000-0010-0000-D600-00000D000000}" name="car" dataDxfId="381"/>
    <tableColumn id="14" xr3:uid="{00000000-0010-0000-D600-00000E000000}" name="r_yd" dataDxfId="380"/>
    <tableColumn id="15" xr3:uid="{00000000-0010-0000-D600-00000F000000}" name="r_td" dataDxfId="379"/>
    <tableColumn id="16" xr3:uid="{00000000-0010-0000-D600-000010000000}" name="tgt" dataDxfId="378"/>
    <tableColumn id="17" xr3:uid="{00000000-0010-0000-D600-000011000000}" name="rec" dataDxfId="377"/>
    <tableColumn id="18" xr3:uid="{00000000-0010-0000-D600-000012000000}" name="rec_yd" dataDxfId="376"/>
    <tableColumn id="19" xr3:uid="{00000000-0010-0000-D600-000013000000}" name="rec_td" dataDxfId="375"/>
    <tableColumn id="20" xr3:uid="{00000000-0010-0000-D600-000014000000}" name="fmb" dataDxfId="374"/>
    <tableColumn id="21" xr3:uid="{00000000-0010-0000-D600-000015000000}" name="tp_c" dataDxfId="373"/>
    <tableColumn id="22" xr3:uid="{00000000-0010-0000-D600-000016000000}" name="f_ppr" dataDxfId="372"/>
    <tableColumn id="23" xr3:uid="{00000000-0010-0000-D600-000017000000}" name="tgt_share" dataDxfId="371"/>
    <tableColumn id="24" xr3:uid="{00000000-0010-0000-D600-000018000000}" name="ypc" dataDxfId="370"/>
    <tableColumn id="25" xr3:uid="{00000000-0010-0000-D600-000019000000}" name="ypr" dataDxfId="369"/>
    <tableColumn id="26" xr3:uid="{00000000-0010-0000-D600-00001A000000}" name="cmp_pct" dataDxfId="368"/>
    <tableColumn id="27" xr3:uid="{00000000-0010-0000-D600-00001B000000}" name="td_rate" dataDxfId="367"/>
    <tableColumn id="28" xr3:uid="{00000000-0010-0000-D600-00001C000000}" name="f_custom" dataDxfId="366">
      <calculatedColumnFormula>($J46*Cp_yd)+($K46*Cp_td)+($L46*Cint)+($M46*Ccar)+($N46*Cr_td)+($O46*Cr_yd)+(Q46*Crec)+($R46*Crec_yd)+($S46*Crec_td)+($T46*Cfmb)+($U46*Ctp_c)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2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8" xr:uid="{00000000-000C-0000-FFFF-FFFFD7000000}" name="TEN_Table6" displayName="TEN_Table6" ref="A60:AB72" totalsRowShown="0" headerRowDxfId="365" dataDxfId="364">
  <autoFilter ref="A60:AB72" xr:uid="{00000000-0009-0000-0100-0000DA000000}"/>
  <tableColumns count="28">
    <tableColumn id="1" xr3:uid="{00000000-0010-0000-D700-000001000000}" name="Name" dataDxfId="363"/>
    <tableColumn id="2" xr3:uid="{00000000-0010-0000-D700-000002000000}" name="POS" dataDxfId="362"/>
    <tableColumn id="3" xr3:uid="{00000000-0010-0000-D700-000003000000}" name="Age" dataDxfId="361"/>
    <tableColumn id="4" xr3:uid="{00000000-0010-0000-D700-000004000000}" name="Exp" dataDxfId="360"/>
    <tableColumn id="5" xr3:uid="{00000000-0010-0000-D700-000005000000}" name="College" dataDxfId="359"/>
    <tableColumn id="6" xr3:uid="{00000000-0010-0000-D700-000006000000}" name="team" dataDxfId="358"/>
    <tableColumn id="7" xr3:uid="{00000000-0010-0000-D700-000007000000}" name="g" dataDxfId="357"/>
    <tableColumn id="8" xr3:uid="{00000000-0010-0000-D700-000008000000}" name="p_att" dataDxfId="356"/>
    <tableColumn id="9" xr3:uid="{00000000-0010-0000-D700-000009000000}" name="cmp" dataDxfId="355"/>
    <tableColumn id="10" xr3:uid="{00000000-0010-0000-D700-00000A000000}" name="p_yd" dataDxfId="354"/>
    <tableColumn id="11" xr3:uid="{00000000-0010-0000-D700-00000B000000}" name="p_td" dataDxfId="353"/>
    <tableColumn id="12" xr3:uid="{00000000-0010-0000-D700-00000C000000}" name="int" dataDxfId="352"/>
    <tableColumn id="13" xr3:uid="{00000000-0010-0000-D700-00000D000000}" name="car" dataDxfId="351"/>
    <tableColumn id="14" xr3:uid="{00000000-0010-0000-D700-00000E000000}" name="r_yd" dataDxfId="350"/>
    <tableColumn id="15" xr3:uid="{00000000-0010-0000-D700-00000F000000}" name="r_td" dataDxfId="349"/>
    <tableColumn id="16" xr3:uid="{00000000-0010-0000-D700-000010000000}" name="tgt" dataDxfId="348"/>
    <tableColumn id="17" xr3:uid="{00000000-0010-0000-D700-000011000000}" name="rec" dataDxfId="347"/>
    <tableColumn id="18" xr3:uid="{00000000-0010-0000-D700-000012000000}" name="rec_yd" dataDxfId="346"/>
    <tableColumn id="19" xr3:uid="{00000000-0010-0000-D700-000013000000}" name="rec_td" dataDxfId="345"/>
    <tableColumn id="20" xr3:uid="{00000000-0010-0000-D700-000014000000}" name="fmb" dataDxfId="344"/>
    <tableColumn id="21" xr3:uid="{00000000-0010-0000-D700-000015000000}" name="tp_c" dataDxfId="343"/>
    <tableColumn id="22" xr3:uid="{00000000-0010-0000-D700-000016000000}" name="f_ppr" dataDxfId="342"/>
    <tableColumn id="23" xr3:uid="{00000000-0010-0000-D700-000017000000}" name="tgt_share" dataDxfId="341"/>
    <tableColumn id="24" xr3:uid="{00000000-0010-0000-D700-000018000000}" name="ypc" dataDxfId="340"/>
    <tableColumn id="25" xr3:uid="{00000000-0010-0000-D700-000019000000}" name="ypr" dataDxfId="339"/>
    <tableColumn id="26" xr3:uid="{00000000-0010-0000-D700-00001A000000}" name="cmp_pct" dataDxfId="338"/>
    <tableColumn id="27" xr3:uid="{00000000-0010-0000-D700-00001B000000}" name="td_rate" dataDxfId="337"/>
    <tableColumn id="28" xr3:uid="{00000000-0010-0000-D700-00001C000000}" name="f_custom" dataDxfId="336"/>
  </tableColumns>
  <tableStyleInfo name="TableStyleMedium1" showFirstColumn="0" showLastColumn="0" showRowStripes="1" showColumnStripes="0"/>
</table>
</file>

<file path=xl/tables/table2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9" xr:uid="{00000000-000C-0000-FFFF-FFFFD8000000}" name="TEN_Table7" displayName="TEN_Table7" ref="A75:AB82" totalsRowShown="0" headerRowDxfId="335" dataDxfId="334">
  <autoFilter ref="A75:AB82" xr:uid="{00000000-0009-0000-0100-0000DB000000}"/>
  <tableColumns count="28">
    <tableColumn id="1" xr3:uid="{00000000-0010-0000-D800-000001000000}" name="Name" dataDxfId="333"/>
    <tableColumn id="2" xr3:uid="{00000000-0010-0000-D800-000002000000}" name="POS" dataDxfId="332"/>
    <tableColumn id="3" xr3:uid="{00000000-0010-0000-D800-000003000000}" name="Age" dataDxfId="331"/>
    <tableColumn id="4" xr3:uid="{00000000-0010-0000-D800-000004000000}" name="Exp" dataDxfId="330"/>
    <tableColumn id="5" xr3:uid="{00000000-0010-0000-D800-000005000000}" name="College" dataDxfId="329"/>
    <tableColumn id="6" xr3:uid="{00000000-0010-0000-D800-000006000000}" name="team" dataDxfId="328"/>
    <tableColumn id="7" xr3:uid="{00000000-0010-0000-D800-000007000000}" name="g" dataDxfId="327"/>
    <tableColumn id="8" xr3:uid="{00000000-0010-0000-D800-000008000000}" name="p_att" dataDxfId="326"/>
    <tableColumn id="9" xr3:uid="{00000000-0010-0000-D800-000009000000}" name="cmp" dataDxfId="325"/>
    <tableColumn id="10" xr3:uid="{00000000-0010-0000-D800-00000A000000}" name="p_yd" dataDxfId="324"/>
    <tableColumn id="11" xr3:uid="{00000000-0010-0000-D800-00000B000000}" name="p_td" dataDxfId="323"/>
    <tableColumn id="12" xr3:uid="{00000000-0010-0000-D800-00000C000000}" name="int" dataDxfId="322"/>
    <tableColumn id="13" xr3:uid="{00000000-0010-0000-D800-00000D000000}" name="car" dataDxfId="321"/>
    <tableColumn id="14" xr3:uid="{00000000-0010-0000-D800-00000E000000}" name="r_yd" dataDxfId="320"/>
    <tableColumn id="15" xr3:uid="{00000000-0010-0000-D800-00000F000000}" name="r_td" dataDxfId="319"/>
    <tableColumn id="16" xr3:uid="{00000000-0010-0000-D800-000010000000}" name="tgt" dataDxfId="318"/>
    <tableColumn id="17" xr3:uid="{00000000-0010-0000-D800-000011000000}" name="rec" dataDxfId="317"/>
    <tableColumn id="18" xr3:uid="{00000000-0010-0000-D800-000012000000}" name="rec_yd" dataDxfId="316"/>
    <tableColumn id="19" xr3:uid="{00000000-0010-0000-D800-000013000000}" name="rec_td" dataDxfId="315"/>
    <tableColumn id="20" xr3:uid="{00000000-0010-0000-D800-000014000000}" name="fmb" dataDxfId="314"/>
    <tableColumn id="21" xr3:uid="{00000000-0010-0000-D800-000015000000}" name="tp_c" dataDxfId="313"/>
    <tableColumn id="22" xr3:uid="{00000000-0010-0000-D800-000016000000}" name="f_ppr" dataDxfId="312"/>
    <tableColumn id="23" xr3:uid="{00000000-0010-0000-D800-000017000000}" name="tgt_share" dataDxfId="311"/>
    <tableColumn id="24" xr3:uid="{00000000-0010-0000-D800-000018000000}" name="ypc" dataDxfId="310"/>
    <tableColumn id="25" xr3:uid="{00000000-0010-0000-D800-000019000000}" name="ypr" dataDxfId="309"/>
    <tableColumn id="26" xr3:uid="{00000000-0010-0000-D800-00001A000000}" name="cmp_pct" dataDxfId="308"/>
    <tableColumn id="27" xr3:uid="{00000000-0010-0000-D800-00001B000000}" name="td_rate" dataDxfId="307"/>
    <tableColumn id="28" xr3:uid="{00000000-0010-0000-D800-00001C000000}" name="f_custom" dataDxfId="306"/>
  </tableColumns>
  <tableStyleInfo name="TableStyleMedium1" showFirstColumn="0" showLastColumn="0" showRowStripes="1" showColumnStripes="0"/>
</table>
</file>

<file path=xl/tables/table2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0" xr:uid="{00000000-000C-0000-FFFF-FFFFD9000000}" name="WAS_Table1" displayName="WAS_Table1" ref="A1:X20" totalsRowShown="0" headerRowDxfId="305" dataDxfId="304">
  <autoFilter ref="A1:X20" xr:uid="{00000000-0009-0000-0100-0000DC000000}"/>
  <tableColumns count="24">
    <tableColumn id="1" xr3:uid="{00000000-0010-0000-D900-000001000000}" name="player_name" dataDxfId="303"/>
    <tableColumn id="2" xr3:uid="{00000000-0010-0000-D900-000002000000}" name="recent_team" dataDxfId="302"/>
    <tableColumn id="3" xr3:uid="{00000000-0010-0000-D900-000003000000}" name="pos" dataDxfId="301"/>
    <tableColumn id="4" xr3:uid="{00000000-0010-0000-D900-000004000000}" name="g" dataDxfId="300"/>
    <tableColumn id="5" xr3:uid="{00000000-0010-0000-D900-000005000000}" name="p_att" dataDxfId="299"/>
    <tableColumn id="6" xr3:uid="{00000000-0010-0000-D900-000006000000}" name="cmp" dataDxfId="298"/>
    <tableColumn id="7" xr3:uid="{00000000-0010-0000-D900-000007000000}" name="p_yd" dataDxfId="297"/>
    <tableColumn id="8" xr3:uid="{00000000-0010-0000-D900-000008000000}" name="p_td" dataDxfId="296"/>
    <tableColumn id="9" xr3:uid="{00000000-0010-0000-D900-000009000000}" name="int" dataDxfId="295"/>
    <tableColumn id="10" xr3:uid="{00000000-0010-0000-D900-00000A000000}" name="car" dataDxfId="294"/>
    <tableColumn id="11" xr3:uid="{00000000-0010-0000-D900-00000B000000}" name="r_yd" dataDxfId="293"/>
    <tableColumn id="12" xr3:uid="{00000000-0010-0000-D900-00000C000000}" name="r_td" dataDxfId="292"/>
    <tableColumn id="13" xr3:uid="{00000000-0010-0000-D900-00000D000000}" name="tgt" dataDxfId="291"/>
    <tableColumn id="14" xr3:uid="{00000000-0010-0000-D900-00000E000000}" name="rec" dataDxfId="290"/>
    <tableColumn id="15" xr3:uid="{00000000-0010-0000-D900-00000F000000}" name="rec_yd" dataDxfId="289"/>
    <tableColumn id="16" xr3:uid="{00000000-0010-0000-D900-000010000000}" name="rec_td" dataDxfId="288"/>
    <tableColumn id="17" xr3:uid="{00000000-0010-0000-D900-000011000000}" name="fmb" dataDxfId="287"/>
    <tableColumn id="18" xr3:uid="{00000000-0010-0000-D900-000012000000}" name="tp_c" dataDxfId="286"/>
    <tableColumn id="19" xr3:uid="{00000000-0010-0000-D900-000013000000}" name="f_ppr" dataDxfId="285"/>
    <tableColumn id="20" xr3:uid="{00000000-0010-0000-D900-000014000000}" name="tgt_share" dataDxfId="284"/>
    <tableColumn id="21" xr3:uid="{00000000-0010-0000-D900-000015000000}" name="ypc" dataDxfId="283"/>
    <tableColumn id="22" xr3:uid="{00000000-0010-0000-D900-000016000000}" name="ypr" dataDxfId="282"/>
    <tableColumn id="23" xr3:uid="{00000000-0010-0000-D900-000017000000}" name="cmp_pct" dataDxfId="281"/>
    <tableColumn id="24" xr3:uid="{00000000-0010-0000-D900-000018000000}" name="td_rate" dataDxfId="280"/>
  </tableColumns>
  <tableStyleInfo name="TableStyleMedium1" showFirstColumn="0" showLastColumn="0" showRowStripes="1" showColumnStripes="0"/>
</table>
</file>

<file path=xl/tables/table2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1" xr:uid="{00000000-000C-0000-FFFF-FFFFDA000000}" name="WAS_Table2" displayName="WAS_Table2" ref="A30:L31" totalsRowShown="0" headerRowDxfId="279" dataDxfId="278">
  <autoFilter ref="A30:L31" xr:uid="{00000000-0009-0000-0100-0000DD000000}"/>
  <tableColumns count="12">
    <tableColumn id="1" xr3:uid="{00000000-0010-0000-DA00-000001000000}" name="team" dataDxfId="277"/>
    <tableColumn id="2" xr3:uid="{00000000-0010-0000-DA00-000002000000}" name="off_yd" dataDxfId="276"/>
    <tableColumn id="3" xr3:uid="{00000000-0010-0000-DA00-000003000000}" name="p_yd" dataDxfId="275"/>
    <tableColumn id="4" xr3:uid="{00000000-0010-0000-DA00-000004000000}" name="car" dataDxfId="274"/>
    <tableColumn id="5" xr3:uid="{00000000-0010-0000-DA00-000005000000}" name="r_yd" dataDxfId="273"/>
    <tableColumn id="6" xr3:uid="{00000000-0010-0000-DA00-000006000000}" name="r_td" dataDxfId="272"/>
    <tableColumn id="7" xr3:uid="{00000000-0010-0000-DA00-000007000000}" name="p_ff" dataDxfId="271"/>
    <tableColumn id="8" xr3:uid="{00000000-0010-0000-DA00-000008000000}" name="p_att" dataDxfId="270"/>
    <tableColumn id="9" xr3:uid="{00000000-0010-0000-DA00-000009000000}" name="cmp_pct" dataDxfId="269"/>
    <tableColumn id="10" xr3:uid="{00000000-0010-0000-DA00-00000A000000}" name="p_td" dataDxfId="268"/>
    <tableColumn id="11" xr3:uid="{00000000-0010-0000-DA00-00000B000000}" name="int" dataDxfId="267"/>
    <tableColumn id="12" xr3:uid="{00000000-0010-0000-DA00-00000C000000}" name="fmb" dataDxfId="266"/>
  </tableColumns>
  <tableStyleInfo name="TableStyleMedium1" showFirstColumn="0" showLastColumn="0" showRowStripes="1" showColumnStripes="0"/>
</table>
</file>

<file path=xl/tables/table2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2" xr:uid="{00000000-000C-0000-FFFF-FFFFDB000000}" name="WAS_Table3" displayName="WAS_Table3" ref="A32:L33" totalsRowShown="0" headerRowDxfId="265" dataDxfId="264">
  <autoFilter ref="A32:L33" xr:uid="{00000000-0009-0000-0100-0000DE000000}"/>
  <tableColumns count="12">
    <tableColumn id="1" xr3:uid="{00000000-0010-0000-DB00-000001000000}" name="team" dataDxfId="263">
      <calculatedColumnFormula>A31</calculatedColumnFormula>
    </tableColumn>
    <tableColumn id="2" xr3:uid="{00000000-0010-0000-DB00-000002000000}" name="off_yd" dataDxfId="262">
      <calculatedColumnFormula>C33 + E33</calculatedColumnFormula>
    </tableColumn>
    <tableColumn id="3" xr3:uid="{00000000-0010-0000-DB00-000003000000}" name="p_yd" dataDxfId="261">
      <calculatedColumnFormula>SUM(INDIRECT(A33 &amp; "_Table4[[#All],[p_yd]]"))</calculatedColumnFormula>
    </tableColumn>
    <tableColumn id="4" xr3:uid="{00000000-0010-0000-DB00-000004000000}" name="car" dataDxfId="260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DB00-000005000000}" name="r_yd" dataDxfId="259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DB00-000006000000}" name="r_td" dataDxfId="258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DB00-000007000000}" name="p_ff" dataDxfId="257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DB00-000008000000}" name="p_att" dataDxfId="256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DB00-000009000000}" name="cmp_pct" dataDxfId="255">
      <calculatedColumnFormula>SUM(INDIRECT(A33 &amp; "_Table4[[#All],[cmp]]"))/H33</calculatedColumnFormula>
    </tableColumn>
    <tableColumn id="10" xr3:uid="{00000000-0010-0000-DB00-00000A000000}" name="p_td" dataDxfId="254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DB00-00000B000000}" name="int" dataDxfId="253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DB00-00000C000000}" name="fmb" dataDxfId="252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</tableColumns>
  <tableStyleInfo name="TableStyleMedium1" showFirstColumn="0" showLastColumn="0" showRowStripes="1" showColumnStripes="0"/>
</table>
</file>

<file path=xl/tables/table2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3" xr:uid="{00000000-000C-0000-FFFF-FFFFDC000000}" name="WAS_Table4" displayName="WAS_Table4" ref="A35:AB38" totalsRowShown="0" headerRowDxfId="251" dataDxfId="250">
  <autoFilter ref="A35:AB38" xr:uid="{00000000-0009-0000-0100-0000DF000000}"/>
  <tableColumns count="28">
    <tableColumn id="1" xr3:uid="{00000000-0010-0000-DC00-000001000000}" name="Name" dataDxfId="249"/>
    <tableColumn id="2" xr3:uid="{00000000-0010-0000-DC00-000002000000}" name="POS" dataDxfId="248"/>
    <tableColumn id="3" xr3:uid="{00000000-0010-0000-DC00-000003000000}" name="Age" dataDxfId="247"/>
    <tableColumn id="4" xr3:uid="{00000000-0010-0000-DC00-000004000000}" name="Exp" dataDxfId="246"/>
    <tableColumn id="5" xr3:uid="{00000000-0010-0000-DC00-000005000000}" name="College" dataDxfId="245"/>
    <tableColumn id="6" xr3:uid="{00000000-0010-0000-DC00-000006000000}" name="team" dataDxfId="244"/>
    <tableColumn id="7" xr3:uid="{00000000-0010-0000-DC00-000007000000}" name="g" dataDxfId="243"/>
    <tableColumn id="8" xr3:uid="{00000000-0010-0000-DC00-000008000000}" name="p_att" dataDxfId="242"/>
    <tableColumn id="9" xr3:uid="{00000000-0010-0000-DC00-000009000000}" name="cmp" dataDxfId="241"/>
    <tableColumn id="10" xr3:uid="{00000000-0010-0000-DC00-00000A000000}" name="p_yd" dataDxfId="240"/>
    <tableColumn id="11" xr3:uid="{00000000-0010-0000-DC00-00000B000000}" name="p_td" dataDxfId="239"/>
    <tableColumn id="12" xr3:uid="{00000000-0010-0000-DC00-00000C000000}" name="int" dataDxfId="238"/>
    <tableColumn id="13" xr3:uid="{00000000-0010-0000-DC00-00000D000000}" name="car" dataDxfId="237"/>
    <tableColumn id="14" xr3:uid="{00000000-0010-0000-DC00-00000E000000}" name="r_yd" dataDxfId="236"/>
    <tableColumn id="15" xr3:uid="{00000000-0010-0000-DC00-00000F000000}" name="r_td" dataDxfId="235"/>
    <tableColumn id="16" xr3:uid="{00000000-0010-0000-DC00-000010000000}" name="tgt" dataDxfId="234"/>
    <tableColumn id="17" xr3:uid="{00000000-0010-0000-DC00-000011000000}" name="rec" dataDxfId="233"/>
    <tableColumn id="18" xr3:uid="{00000000-0010-0000-DC00-000012000000}" name="rec_yd" dataDxfId="232"/>
    <tableColumn id="19" xr3:uid="{00000000-0010-0000-DC00-000013000000}" name="rec_td" dataDxfId="231"/>
    <tableColumn id="20" xr3:uid="{00000000-0010-0000-DC00-000014000000}" name="fmb" dataDxfId="230"/>
    <tableColumn id="21" xr3:uid="{00000000-0010-0000-DC00-000015000000}" name="tp_c" dataDxfId="229"/>
    <tableColumn id="22" xr3:uid="{00000000-0010-0000-DC00-000016000000}" name="f_ppr" dataDxfId="228"/>
    <tableColumn id="23" xr3:uid="{00000000-0010-0000-DC00-000017000000}" name="tgt_share" dataDxfId="227"/>
    <tableColumn id="24" xr3:uid="{00000000-0010-0000-DC00-000018000000}" name="ypc" dataDxfId="226"/>
    <tableColumn id="25" xr3:uid="{00000000-0010-0000-DC00-000019000000}" name="ypr" dataDxfId="225"/>
    <tableColumn id="26" xr3:uid="{00000000-0010-0000-DC00-00001A000000}" name="cmp_pct" dataDxfId="224"/>
    <tableColumn id="27" xr3:uid="{00000000-0010-0000-DC00-00001B000000}" name="td_rate" dataDxfId="223"/>
    <tableColumn id="28" xr3:uid="{00000000-0010-0000-DC00-00001C000000}" name="f_custom" dataDxfId="222"/>
  </tableColumns>
  <tableStyleInfo name="TableStyleMedium1" showFirstColumn="0" showLastColumn="0" showRowStripes="1" showColumnStripes="0"/>
</table>
</file>

<file path=xl/tables/table2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4" xr:uid="{00000000-000C-0000-FFFF-FFFFDD000000}" name="WAS_Table5" displayName="WAS_Table5" ref="A45:AB52" totalsRowShown="0" headerRowDxfId="221" dataDxfId="220">
  <autoFilter ref="A45:AB52" xr:uid="{00000000-0009-0000-0100-0000E0000000}"/>
  <tableColumns count="28">
    <tableColumn id="1" xr3:uid="{00000000-0010-0000-DD00-000001000000}" name="Name" dataDxfId="219"/>
    <tableColumn id="2" xr3:uid="{00000000-0010-0000-DD00-000002000000}" name="POS" dataDxfId="218"/>
    <tableColumn id="3" xr3:uid="{00000000-0010-0000-DD00-000003000000}" name="Age" dataDxfId="217"/>
    <tableColumn id="4" xr3:uid="{00000000-0010-0000-DD00-000004000000}" name="Exp" dataDxfId="216"/>
    <tableColumn id="5" xr3:uid="{00000000-0010-0000-DD00-000005000000}" name="College" dataDxfId="215"/>
    <tableColumn id="6" xr3:uid="{00000000-0010-0000-DD00-000006000000}" name="team" dataDxfId="214"/>
    <tableColumn id="7" xr3:uid="{00000000-0010-0000-DD00-000007000000}" name="g" dataDxfId="213"/>
    <tableColumn id="8" xr3:uid="{00000000-0010-0000-DD00-000008000000}" name="p_att" dataDxfId="212"/>
    <tableColumn id="9" xr3:uid="{00000000-0010-0000-DD00-000009000000}" name="cmp" dataDxfId="211"/>
    <tableColumn id="10" xr3:uid="{00000000-0010-0000-DD00-00000A000000}" name="p_yd" dataDxfId="210"/>
    <tableColumn id="11" xr3:uid="{00000000-0010-0000-DD00-00000B000000}" name="p_td" dataDxfId="209"/>
    <tableColumn id="12" xr3:uid="{00000000-0010-0000-DD00-00000C000000}" name="int" dataDxfId="208"/>
    <tableColumn id="13" xr3:uid="{00000000-0010-0000-DD00-00000D000000}" name="car" dataDxfId="207"/>
    <tableColumn id="14" xr3:uid="{00000000-0010-0000-DD00-00000E000000}" name="r_yd" dataDxfId="206"/>
    <tableColumn id="15" xr3:uid="{00000000-0010-0000-DD00-00000F000000}" name="r_td" dataDxfId="205"/>
    <tableColumn id="16" xr3:uid="{00000000-0010-0000-DD00-000010000000}" name="tgt" dataDxfId="204"/>
    <tableColumn id="17" xr3:uid="{00000000-0010-0000-DD00-000011000000}" name="rec" dataDxfId="203"/>
    <tableColumn id="18" xr3:uid="{00000000-0010-0000-DD00-000012000000}" name="rec_yd" dataDxfId="202"/>
    <tableColumn id="19" xr3:uid="{00000000-0010-0000-DD00-000013000000}" name="rec_td" dataDxfId="201"/>
    <tableColumn id="20" xr3:uid="{00000000-0010-0000-DD00-000014000000}" name="fmb" dataDxfId="200"/>
    <tableColumn id="21" xr3:uid="{00000000-0010-0000-DD00-000015000000}" name="tp_c" dataDxfId="199"/>
    <tableColumn id="22" xr3:uid="{00000000-0010-0000-DD00-000016000000}" name="f_ppr" dataDxfId="198"/>
    <tableColumn id="23" xr3:uid="{00000000-0010-0000-DD00-000017000000}" name="tgt_share" dataDxfId="197"/>
    <tableColumn id="24" xr3:uid="{00000000-0010-0000-DD00-000018000000}" name="ypc" dataDxfId="196"/>
    <tableColumn id="25" xr3:uid="{00000000-0010-0000-DD00-000019000000}" name="ypr" dataDxfId="195"/>
    <tableColumn id="26" xr3:uid="{00000000-0010-0000-DD00-00001A000000}" name="cmp_pct" dataDxfId="194"/>
    <tableColumn id="27" xr3:uid="{00000000-0010-0000-DD00-00001B000000}" name="td_rate" dataDxfId="193"/>
    <tableColumn id="28" xr3:uid="{00000000-0010-0000-DD00-00001C000000}" name="f_custom" dataDxfId="192">
      <calculatedColumnFormula>($J46*Cp_yd)+($K46*Cp_td)+($L46*Cint)+($M46*Ccar)+($N46*Cr_td)+($O46*Cr_yd)+(Q46*Crec)+($R46*Crec_yd)+($S46*Crec_td)+($T46*Cfmb)+($U46*Ctp_c)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2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5" xr:uid="{00000000-000C-0000-FFFF-FFFFDE000000}" name="WAS_Table6" displayName="WAS_Table6" ref="A60:AB73" totalsRowShown="0" headerRowDxfId="191" dataDxfId="190">
  <autoFilter ref="A60:AB73" xr:uid="{00000000-0009-0000-0100-0000E1000000}"/>
  <tableColumns count="28">
    <tableColumn id="1" xr3:uid="{00000000-0010-0000-DE00-000001000000}" name="Name" dataDxfId="189"/>
    <tableColumn id="2" xr3:uid="{00000000-0010-0000-DE00-000002000000}" name="POS" dataDxfId="188"/>
    <tableColumn id="3" xr3:uid="{00000000-0010-0000-DE00-000003000000}" name="Age" dataDxfId="187"/>
    <tableColumn id="4" xr3:uid="{00000000-0010-0000-DE00-000004000000}" name="Exp" dataDxfId="186"/>
    <tableColumn id="5" xr3:uid="{00000000-0010-0000-DE00-000005000000}" name="College" dataDxfId="185"/>
    <tableColumn id="6" xr3:uid="{00000000-0010-0000-DE00-000006000000}" name="team" dataDxfId="184"/>
    <tableColumn id="7" xr3:uid="{00000000-0010-0000-DE00-000007000000}" name="g" dataDxfId="183"/>
    <tableColumn id="8" xr3:uid="{00000000-0010-0000-DE00-000008000000}" name="p_att" dataDxfId="182"/>
    <tableColumn id="9" xr3:uid="{00000000-0010-0000-DE00-000009000000}" name="cmp" dataDxfId="181"/>
    <tableColumn id="10" xr3:uid="{00000000-0010-0000-DE00-00000A000000}" name="p_yd" dataDxfId="180"/>
    <tableColumn id="11" xr3:uid="{00000000-0010-0000-DE00-00000B000000}" name="p_td" dataDxfId="179"/>
    <tableColumn id="12" xr3:uid="{00000000-0010-0000-DE00-00000C000000}" name="int" dataDxfId="178"/>
    <tableColumn id="13" xr3:uid="{00000000-0010-0000-DE00-00000D000000}" name="car" dataDxfId="177"/>
    <tableColumn id="14" xr3:uid="{00000000-0010-0000-DE00-00000E000000}" name="r_yd" dataDxfId="176"/>
    <tableColumn id="15" xr3:uid="{00000000-0010-0000-DE00-00000F000000}" name="r_td" dataDxfId="175"/>
    <tableColumn id="16" xr3:uid="{00000000-0010-0000-DE00-000010000000}" name="tgt" dataDxfId="174"/>
    <tableColumn id="17" xr3:uid="{00000000-0010-0000-DE00-000011000000}" name="rec" dataDxfId="173"/>
    <tableColumn id="18" xr3:uid="{00000000-0010-0000-DE00-000012000000}" name="rec_yd" dataDxfId="172"/>
    <tableColumn id="19" xr3:uid="{00000000-0010-0000-DE00-000013000000}" name="rec_td" dataDxfId="171"/>
    <tableColumn id="20" xr3:uid="{00000000-0010-0000-DE00-000014000000}" name="fmb" dataDxfId="170"/>
    <tableColumn id="21" xr3:uid="{00000000-0010-0000-DE00-000015000000}" name="tp_c" dataDxfId="169"/>
    <tableColumn id="22" xr3:uid="{00000000-0010-0000-DE00-000016000000}" name="f_ppr" dataDxfId="168"/>
    <tableColumn id="23" xr3:uid="{00000000-0010-0000-DE00-000017000000}" name="tgt_share" dataDxfId="167"/>
    <tableColumn id="24" xr3:uid="{00000000-0010-0000-DE00-000018000000}" name="ypc" dataDxfId="166"/>
    <tableColumn id="25" xr3:uid="{00000000-0010-0000-DE00-000019000000}" name="ypr" dataDxfId="165"/>
    <tableColumn id="26" xr3:uid="{00000000-0010-0000-DE00-00001A000000}" name="cmp_pct" dataDxfId="164"/>
    <tableColumn id="27" xr3:uid="{00000000-0010-0000-DE00-00001B000000}" name="td_rate" dataDxfId="163"/>
    <tableColumn id="28" xr3:uid="{00000000-0010-0000-DE00-00001C000000}" name="f_custom" dataDxfId="162"/>
  </tableColumns>
  <tableStyleInfo name="TableStyleMedium1" showFirstColumn="0" showLastColumn="0" showRowStripes="1" showColumnStripes="0"/>
</table>
</file>

<file path=xl/tables/table2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6" xr:uid="{00000000-000C-0000-FFFF-FFFFDF000000}" name="WAS_Table7" displayName="WAS_Table7" ref="A75:AB81" totalsRowShown="0" headerRowDxfId="161" dataDxfId="160">
  <autoFilter ref="A75:AB81" xr:uid="{00000000-0009-0000-0100-0000E2000000}"/>
  <tableColumns count="28">
    <tableColumn id="1" xr3:uid="{00000000-0010-0000-DF00-000001000000}" name="Name" dataDxfId="159"/>
    <tableColumn id="2" xr3:uid="{00000000-0010-0000-DF00-000002000000}" name="POS" dataDxfId="158"/>
    <tableColumn id="3" xr3:uid="{00000000-0010-0000-DF00-000003000000}" name="Age" dataDxfId="157"/>
    <tableColumn id="4" xr3:uid="{00000000-0010-0000-DF00-000004000000}" name="Exp" dataDxfId="156"/>
    <tableColumn id="5" xr3:uid="{00000000-0010-0000-DF00-000005000000}" name="College" dataDxfId="155"/>
    <tableColumn id="6" xr3:uid="{00000000-0010-0000-DF00-000006000000}" name="team" dataDxfId="154"/>
    <tableColumn id="7" xr3:uid="{00000000-0010-0000-DF00-000007000000}" name="g" dataDxfId="153"/>
    <tableColumn id="8" xr3:uid="{00000000-0010-0000-DF00-000008000000}" name="p_att" dataDxfId="152"/>
    <tableColumn id="9" xr3:uid="{00000000-0010-0000-DF00-000009000000}" name="cmp" dataDxfId="151"/>
    <tableColumn id="10" xr3:uid="{00000000-0010-0000-DF00-00000A000000}" name="p_yd" dataDxfId="150"/>
    <tableColumn id="11" xr3:uid="{00000000-0010-0000-DF00-00000B000000}" name="p_td" dataDxfId="149"/>
    <tableColumn id="12" xr3:uid="{00000000-0010-0000-DF00-00000C000000}" name="int" dataDxfId="148"/>
    <tableColumn id="13" xr3:uid="{00000000-0010-0000-DF00-00000D000000}" name="car" dataDxfId="147"/>
    <tableColumn id="14" xr3:uid="{00000000-0010-0000-DF00-00000E000000}" name="r_yd" dataDxfId="146"/>
    <tableColumn id="15" xr3:uid="{00000000-0010-0000-DF00-00000F000000}" name="r_td" dataDxfId="145"/>
    <tableColumn id="16" xr3:uid="{00000000-0010-0000-DF00-000010000000}" name="tgt" dataDxfId="144"/>
    <tableColumn id="17" xr3:uid="{00000000-0010-0000-DF00-000011000000}" name="rec" dataDxfId="143"/>
    <tableColumn id="18" xr3:uid="{00000000-0010-0000-DF00-000012000000}" name="rec_yd" dataDxfId="142"/>
    <tableColumn id="19" xr3:uid="{00000000-0010-0000-DF00-000013000000}" name="rec_td" dataDxfId="141"/>
    <tableColumn id="20" xr3:uid="{00000000-0010-0000-DF00-000014000000}" name="fmb" dataDxfId="140"/>
    <tableColumn id="21" xr3:uid="{00000000-0010-0000-DF00-000015000000}" name="tp_c" dataDxfId="139"/>
    <tableColumn id="22" xr3:uid="{00000000-0010-0000-DF00-000016000000}" name="f_ppr" dataDxfId="138"/>
    <tableColumn id="23" xr3:uid="{00000000-0010-0000-DF00-000017000000}" name="tgt_share" dataDxfId="137"/>
    <tableColumn id="24" xr3:uid="{00000000-0010-0000-DF00-000018000000}" name="ypc" dataDxfId="136"/>
    <tableColumn id="25" xr3:uid="{00000000-0010-0000-DF00-000019000000}" name="ypr" dataDxfId="135"/>
    <tableColumn id="26" xr3:uid="{00000000-0010-0000-DF00-00001A000000}" name="cmp_pct" dataDxfId="134"/>
    <tableColumn id="27" xr3:uid="{00000000-0010-0000-DF00-00001B000000}" name="td_rate" dataDxfId="133"/>
    <tableColumn id="28" xr3:uid="{00000000-0010-0000-DF00-00001C000000}" name="f_custom" dataDxfId="132"/>
  </tableColumns>
  <tableStyleInfo name="TableStyleMedium1" showFirstColumn="0" showLastColumn="0" showRowStripes="1" showColumnStripes="0"/>
</table>
</file>

<file path=xl/tables/table2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CF5A910-F460-44C9-84F8-C4B4DF78BED8}" name="ConsolidatedFourthTable" displayName="ConsolidatedFourthTable" ref="A1:AB83" totalsRowShown="0" headerRowDxfId="131" dataDxfId="129" headerRowBorderDxfId="130" tableBorderDxfId="128" totalsRowBorderDxfId="127">
  <autoFilter ref="A1:AB83" xr:uid="{DCF5A910-F460-44C9-84F8-C4B4DF78BED8}"/>
  <tableColumns count="28">
    <tableColumn id="1" xr3:uid="{AA5AAD9C-6B34-4629-B20C-C8CE028F6D42}" name="Name" dataDxfId="126"/>
    <tableColumn id="2" xr3:uid="{DEA23F94-A9FE-4A73-A579-CF740A70BF29}" name="POS" dataDxfId="125"/>
    <tableColumn id="3" xr3:uid="{D2D00C67-7D26-46A5-871B-3D40423ECE4B}" name="Age" dataDxfId="124"/>
    <tableColumn id="4" xr3:uid="{B27DED93-3CEE-4DB1-B45E-BDB307E5B253}" name="Exp" dataDxfId="123"/>
    <tableColumn id="5" xr3:uid="{B285A6C2-24B4-4F7E-8987-E0241A6245BD}" name="College" dataDxfId="122"/>
    <tableColumn id="6" xr3:uid="{31ABD0EC-9FFD-46DA-B3CA-53C865BB2306}" name="team" dataDxfId="121"/>
    <tableColumn id="7" xr3:uid="{B9695293-8728-437B-B4C2-84F81714265E}" name="g" dataDxfId="120"/>
    <tableColumn id="8" xr3:uid="{63E8BD0D-C982-42EF-94BC-C27BBA4BEAB5}" name="p_att" dataDxfId="119"/>
    <tableColumn id="9" xr3:uid="{10BE8735-F3F4-4226-A2DC-19DB6928DE7F}" name="cmp" dataDxfId="118"/>
    <tableColumn id="10" xr3:uid="{B3FB01F7-91E1-4939-920E-E75FEC301F08}" name="p_yd" dataDxfId="117"/>
    <tableColumn id="11" xr3:uid="{277B36C8-C970-4FA6-AA81-BE3DCA7C0D7D}" name="p_td" dataDxfId="116"/>
    <tableColumn id="12" xr3:uid="{0A982198-49EE-44F9-A88A-7E49A5C7A4ED}" name="int" dataDxfId="115"/>
    <tableColumn id="13" xr3:uid="{881FB0E2-D07C-45CD-B20C-B047255B8282}" name="car" dataDxfId="114"/>
    <tableColumn id="14" xr3:uid="{9558499C-52A4-4EEC-A695-29025D639D9D}" name="r_yd" dataDxfId="113"/>
    <tableColumn id="15" xr3:uid="{AC01D42D-E0F6-449F-8E0C-AE5042261CA2}" name="r_td" dataDxfId="112"/>
    <tableColumn id="16" xr3:uid="{67637AAE-369F-499B-B46E-F851398E5F6E}" name="tgt" dataDxfId="111"/>
    <tableColumn id="17" xr3:uid="{D5A6BE54-8D8C-4C68-A921-27FA8DC1421F}" name="rec" dataDxfId="110"/>
    <tableColumn id="18" xr3:uid="{BD83ABD5-F667-4096-9648-754D6E676508}" name="rec_yd" dataDxfId="109"/>
    <tableColumn id="19" xr3:uid="{05F164E3-37A1-485D-9263-6C0AE764C256}" name="rec_td" dataDxfId="108"/>
    <tableColumn id="20" xr3:uid="{7C3B1D30-A537-414A-931A-5FB7E9EF49CF}" name="fmb" dataDxfId="107"/>
    <tableColumn id="21" xr3:uid="{AB58C35D-8C03-44EB-9C56-A7A6A2CC87B6}" name="tp_c" dataDxfId="106"/>
    <tableColumn id="22" xr3:uid="{39F5E7C9-11BE-4A76-BD34-0F528E3DC4DA}" name="f_ppr" dataDxfId="105"/>
    <tableColumn id="23" xr3:uid="{AA999C86-66EA-4F00-8ADE-9CE60FA9A7BC}" name="tgt_share" dataDxfId="104"/>
    <tableColumn id="24" xr3:uid="{BAAC062F-FF19-4FE3-8A13-EE1F6EDEBFA8}" name="ypc" dataDxfId="103"/>
    <tableColumn id="25" xr3:uid="{96C2C9FA-1955-4E4D-B8FB-A45C28503239}" name="ypr" dataDxfId="102"/>
    <tableColumn id="26" xr3:uid="{2B24E416-71C4-4625-BA22-2671F657202B}" name="cmp_pct" dataDxfId="101"/>
    <tableColumn id="27" xr3:uid="{325F1538-BBE2-4F4A-AFA7-3D34787A6F54}" name="td_rate" dataDxfId="100"/>
    <tableColumn id="28" xr3:uid="{E8EE8EA3-03D8-4780-B30F-060A9844EFD3}" name="f_custom" dataDxfId="99"/>
  </tableColumns>
  <tableStyleInfo name="TableStyleMedium2" showFirstColumn="0" showLastColumn="0" showRowStripes="1" showColumnStripes="0"/>
</table>
</file>

<file path=xl/tables/table2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F777CE-C603-45AB-A626-887B881F5D6F}" name="ConsolidatedFifthTable" displayName="ConsolidatedFifthTable" ref="A1:AB167" totalsRowShown="0" headerRowDxfId="98" dataDxfId="96" headerRowBorderDxfId="97" tableBorderDxfId="95" totalsRowBorderDxfId="94">
  <autoFilter ref="A1:AB167" xr:uid="{B8F777CE-C603-45AB-A626-887B881F5D6F}"/>
  <tableColumns count="28">
    <tableColumn id="1" xr3:uid="{49A8ECCD-8D67-4BCB-AAC3-2394B3C086AF}" name="Name" dataDxfId="93"/>
    <tableColumn id="2" xr3:uid="{7F021571-2B39-406B-820E-9AA02942CDD3}" name="POS" dataDxfId="92"/>
    <tableColumn id="3" xr3:uid="{D4D5D1A1-6546-441C-8A86-1CDFE9A6A172}" name="Age" dataDxfId="91"/>
    <tableColumn id="4" xr3:uid="{FF3AD2FA-1535-4A23-9E88-847DC0259528}" name="Exp" dataDxfId="90"/>
    <tableColumn id="5" xr3:uid="{EAF0F53A-85EB-4161-9AA8-DC4D16845F3D}" name="College" dataDxfId="89"/>
    <tableColumn id="6" xr3:uid="{71776C80-5986-4770-B7A2-DF977A4205CC}" name="team" dataDxfId="88"/>
    <tableColumn id="7" xr3:uid="{2EF2AFAF-6B64-45A8-896A-06EF6AC33C25}" name="g" dataDxfId="87"/>
    <tableColumn id="8" xr3:uid="{CCCC4193-AF1D-4241-B212-271893074088}" name="p_att" dataDxfId="86"/>
    <tableColumn id="9" xr3:uid="{34829895-75D6-4AC4-B376-B2256ACEB87B}" name="cmp" dataDxfId="85"/>
    <tableColumn id="10" xr3:uid="{FC81D240-07C6-4180-A4B3-894D49C7A1EC}" name="p_yd" dataDxfId="84"/>
    <tableColumn id="11" xr3:uid="{C00E235B-AD72-499F-AB03-2D563DCAA4B3}" name="p_td" dataDxfId="83"/>
    <tableColumn id="12" xr3:uid="{D8913CF6-9F47-4E27-AC8E-D88F326EE26B}" name="int" dataDxfId="82"/>
    <tableColumn id="13" xr3:uid="{D3FB7D09-A054-422D-AB3F-C13B91559064}" name="car" dataDxfId="81"/>
    <tableColumn id="14" xr3:uid="{36BEBBF4-E690-4116-B3B4-2FA374EF780C}" name="r_yd" dataDxfId="80"/>
    <tableColumn id="15" xr3:uid="{5A58D2D0-7CA3-430E-9601-24B69B250B65}" name="r_td" dataDxfId="79"/>
    <tableColumn id="16" xr3:uid="{3E139661-CE9C-41D7-A87B-B132FE1FB978}" name="tgt" dataDxfId="78"/>
    <tableColumn id="17" xr3:uid="{AA33987A-66F5-4079-8167-5EF6A15FBFF7}" name="rec" dataDxfId="77"/>
    <tableColumn id="18" xr3:uid="{66BABDC2-0E83-4F1C-A62A-717C65521051}" name="rec_yd" dataDxfId="76"/>
    <tableColumn id="19" xr3:uid="{2EE944A0-2EC9-4409-ABD3-1B6820809A15}" name="rec_td" dataDxfId="75"/>
    <tableColumn id="20" xr3:uid="{C149FBCE-07B8-492B-AFBB-7A3573F1DB93}" name="fmb" dataDxfId="74"/>
    <tableColumn id="21" xr3:uid="{9E5ACE0F-8589-4233-AF4F-4EC7A6B368B7}" name="tp_c" dataDxfId="73"/>
    <tableColumn id="22" xr3:uid="{96701C2E-CEB5-4D52-856E-AFF88ED6E8A1}" name="f_ppr" dataDxfId="72"/>
    <tableColumn id="23" xr3:uid="{A4FE687D-EAA4-4BAE-BC1A-BD0D10EC3DF5}" name="tgt_share" dataDxfId="71"/>
    <tableColumn id="24" xr3:uid="{7ADDF74D-03D5-4D06-B595-720D28776D5E}" name="ypc" dataDxfId="70"/>
    <tableColumn id="25" xr3:uid="{63B2CE66-CDA4-4B1C-B24B-530BB9685E2D}" name="ypr" dataDxfId="69"/>
    <tableColumn id="26" xr3:uid="{53476818-720F-4D5B-B59E-4F188C424881}" name="cmp_pct" dataDxfId="68"/>
    <tableColumn id="27" xr3:uid="{281547DF-7050-4D10-B96A-B8544575FBDB}" name="td_rate" dataDxfId="67"/>
    <tableColumn id="28" xr3:uid="{4997620D-268D-4010-B5E3-BEC6162A2054}" name="f_custom" dataDxfId="66">
      <calculatedColumnFormula>($J2*Cp_yd)+($K2*Cp_td)+($L2*Cint)+($M2*Ccar)+($N2*Cr_td)+($O2*Cr_yd)+(Q2*Crec)+($R2*Crec_yd)+($S2*Crec_td)+($T2*Cfmb)+($U2*Ctp_c)</calculatedColumnFormula>
    </tableColumn>
  </tableColumns>
  <tableStyleInfo name="TableStyleMedium2" showFirstColumn="0" showLastColumn="0" showRowStripes="1" showColumnStripes="0"/>
</table>
</file>

<file path=xl/tables/table2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7" xr:uid="{6B791FD4-E3D0-49EF-81D5-D26932B9455B}" name="ConsolidatedSixthTable" displayName="ConsolidatedSixthTable" ref="A1:AB365" totalsRowShown="0" headerRowDxfId="65" dataDxfId="63" headerRowBorderDxfId="64" tableBorderDxfId="62" totalsRowBorderDxfId="61">
  <autoFilter ref="A1:AB365" xr:uid="{6B791FD4-E3D0-49EF-81D5-D26932B9455B}"/>
  <tableColumns count="28">
    <tableColumn id="1" xr3:uid="{81627E77-398B-4386-991A-A1EFDBFFDC6D}" name="Name" dataDxfId="60"/>
    <tableColumn id="2" xr3:uid="{A4B6804D-98E6-49B4-B47F-0432F4D0A8B8}" name="POS" dataDxfId="59"/>
    <tableColumn id="3" xr3:uid="{E13995EB-5040-4E55-8144-9C5300677543}" name="Age" dataDxfId="58"/>
    <tableColumn id="4" xr3:uid="{29BFF577-5D69-41FB-823A-4FC98EE35DE1}" name="Exp" dataDxfId="57"/>
    <tableColumn id="5" xr3:uid="{FEC35C7B-5F68-431A-AA6F-DB1480FE9A00}" name="College" dataDxfId="56"/>
    <tableColumn id="6" xr3:uid="{7219D9AE-03D2-4006-B16F-3EFC451CC8E8}" name="team" dataDxfId="55"/>
    <tableColumn id="7" xr3:uid="{18029BC8-B201-4A53-A40F-8747DCB57CAF}" name="g" dataDxfId="54"/>
    <tableColumn id="8" xr3:uid="{92806B0C-AB99-4318-B2D0-44B275987605}" name="p_att" dataDxfId="53"/>
    <tableColumn id="9" xr3:uid="{87CF9A6F-47AF-4D49-AFDB-976F8CA3F7E2}" name="cmp" dataDxfId="52"/>
    <tableColumn id="10" xr3:uid="{B849B8D9-5D1B-4252-BE01-AC82B65630DE}" name="p_yd" dataDxfId="51"/>
    <tableColumn id="11" xr3:uid="{0B0B88C2-7F0E-4198-A69D-D8F620EF2288}" name="p_td" dataDxfId="50"/>
    <tableColumn id="12" xr3:uid="{4A74772C-C23B-4E46-808D-009AEAAB3E63}" name="int" dataDxfId="49"/>
    <tableColumn id="13" xr3:uid="{C312B88A-8814-4ADD-8C4E-919F7E70BFBC}" name="car" dataDxfId="48"/>
    <tableColumn id="14" xr3:uid="{4B00387B-6874-4693-9AC2-4FF25E67A11C}" name="r_yd" dataDxfId="47"/>
    <tableColumn id="15" xr3:uid="{8352805B-BD05-4653-940A-9B68134FD3F9}" name="r_td" dataDxfId="46"/>
    <tableColumn id="16" xr3:uid="{32BC1B8B-792D-46A8-8698-F975A2400F04}" name="tgt" dataDxfId="45"/>
    <tableColumn id="17" xr3:uid="{B9DC677D-9A07-4619-809A-F207D075190B}" name="rec" dataDxfId="44"/>
    <tableColumn id="18" xr3:uid="{7730A297-ACB5-4757-ABC1-ED6A908D20EB}" name="rec_yd" dataDxfId="43"/>
    <tableColumn id="19" xr3:uid="{EF545A03-ED6B-444B-8489-FBA2652864B5}" name="rec_td" dataDxfId="42"/>
    <tableColumn id="20" xr3:uid="{695AB7EC-C564-42D7-B6ED-6028E1CA197C}" name="fmb" dataDxfId="41"/>
    <tableColumn id="21" xr3:uid="{C01A3C4E-3397-4D36-97C4-AF476A0B2D7F}" name="tp_c" dataDxfId="40"/>
    <tableColumn id="22" xr3:uid="{625A04A2-DE89-4E91-AF1F-DF7DC7493FB1}" name="f_ppr" dataDxfId="39"/>
    <tableColumn id="23" xr3:uid="{CD69B17E-FAE8-4553-8745-6913319CCBE5}" name="tgt_share" dataDxfId="38"/>
    <tableColumn id="24" xr3:uid="{9492C0C6-26F5-483E-946B-CEC7D9CB28F9}" name="ypc" dataDxfId="37"/>
    <tableColumn id="25" xr3:uid="{75190990-F3CE-42B9-AFF3-12EA97D4ABF2}" name="ypr" dataDxfId="36"/>
    <tableColumn id="26" xr3:uid="{55D7C8A8-ACAA-47E4-B796-C82572B2BBE5}" name="cmp_pct" dataDxfId="35"/>
    <tableColumn id="27" xr3:uid="{6F4FA2CC-D663-46D1-94F9-01A31D0E9290}" name="td_rate" dataDxfId="34"/>
    <tableColumn id="28" xr3:uid="{D7A6F311-9F7B-49AB-9B48-E4419863BE61}" name="f_custom" dataDxfId="33"/>
  </tableColumns>
  <tableStyleInfo name="TableStyleMedium2" showFirstColumn="0" showLastColumn="0" showRowStripes="1" showColumnStripes="0"/>
</table>
</file>

<file path=xl/tables/table2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8" xr:uid="{BDA30375-B0AF-4A10-9DA3-A3AAEFAEE6F8}" name="ConsolidatedSeventhTable" displayName="ConsolidatedSeventhTable" ref="A1:AB167" totalsRowShown="0" headerRowDxfId="32" dataDxfId="30" headerRowBorderDxfId="31" tableBorderDxfId="29" totalsRowBorderDxfId="28">
  <autoFilter ref="A1:AB167" xr:uid="{BDA30375-B0AF-4A10-9DA3-A3AAEFAEE6F8}"/>
  <tableColumns count="28">
    <tableColumn id="1" xr3:uid="{04B99CF7-F2B9-44BD-8F5F-AF6B81808955}" name="Name" dataDxfId="27"/>
    <tableColumn id="2" xr3:uid="{3AA8EC4E-DF0D-472D-91C0-47081C4EDA50}" name="POS" dataDxfId="26"/>
    <tableColumn id="3" xr3:uid="{417F8471-237A-4333-9D57-8AE7B3FF5866}" name="Age" dataDxfId="25"/>
    <tableColumn id="4" xr3:uid="{E4AE491B-A472-455F-86D6-CE7D245F9A95}" name="Exp" dataDxfId="24"/>
    <tableColumn id="5" xr3:uid="{0206B6F5-22E9-4FC8-B8D5-EFF63575A93C}" name="College" dataDxfId="23"/>
    <tableColumn id="6" xr3:uid="{D8C60A20-3AB2-49D9-8892-AF4C761501C3}" name="team" dataDxfId="22"/>
    <tableColumn id="7" xr3:uid="{A5AB8D63-CB7B-4BD2-8CA8-1D4421E2344E}" name="g" dataDxfId="21"/>
    <tableColumn id="8" xr3:uid="{7118B35C-725A-44FB-BBB6-12A03535C5C7}" name="p_att" dataDxfId="20"/>
    <tableColumn id="9" xr3:uid="{B57D2211-DA82-4C91-AD57-92F430517EBE}" name="cmp" dataDxfId="19"/>
    <tableColumn id="10" xr3:uid="{EF4DF0F8-980F-4BA6-9A13-1E33560A1145}" name="p_yd" dataDxfId="18"/>
    <tableColumn id="11" xr3:uid="{04941287-F929-4ADE-A21C-F202D1139847}" name="p_td" dataDxfId="17"/>
    <tableColumn id="12" xr3:uid="{7B033CC9-1D24-48BB-A3E2-8A44B5565BDA}" name="int" dataDxfId="16"/>
    <tableColumn id="13" xr3:uid="{EE38980F-5673-42BC-BD49-800A4846C937}" name="car" dataDxfId="15"/>
    <tableColumn id="14" xr3:uid="{693AC816-C743-46D6-9BAE-A0984A37BFC5}" name="r_yd" dataDxfId="14"/>
    <tableColumn id="15" xr3:uid="{5FAC8A8B-AB51-43DF-86C6-6C5CFA0A9DDA}" name="r_td" dataDxfId="13"/>
    <tableColumn id="16" xr3:uid="{D0173B5E-B9E0-44B5-A30F-EA005201B3DB}" name="tgt" dataDxfId="12"/>
    <tableColumn id="17" xr3:uid="{C299737C-1065-40A2-94DC-2082F5F72492}" name="rec" dataDxfId="11"/>
    <tableColumn id="18" xr3:uid="{66D472A7-5FCC-4E46-A7E0-405EED61F3B7}" name="rec_yd" dataDxfId="10"/>
    <tableColumn id="19" xr3:uid="{5579F397-216F-4B62-A9D9-33BEDCA710AB}" name="rec_td" dataDxfId="9"/>
    <tableColumn id="20" xr3:uid="{E0EC1BD4-0958-41D5-BF0B-45BF26562DA9}" name="fmb" dataDxfId="8"/>
    <tableColumn id="21" xr3:uid="{70B6265F-1BFC-4EE4-8148-901F5443BCE6}" name="tp_c" dataDxfId="7"/>
    <tableColumn id="22" xr3:uid="{4EA9BE3E-0EE5-4A4F-8BF8-D9B6F2738171}" name="f_ppr" dataDxfId="6"/>
    <tableColumn id="23" xr3:uid="{4FB97BFE-92F5-42EB-B4D0-D78898C67834}" name="tgt_share" dataDxfId="5"/>
    <tableColumn id="24" xr3:uid="{E9B84563-1046-4DCB-A65B-09046D9AD665}" name="ypc" dataDxfId="4"/>
    <tableColumn id="25" xr3:uid="{46ACBB2B-4522-4A55-93BE-F0664D42D5B2}" name="ypr" dataDxfId="3"/>
    <tableColumn id="26" xr3:uid="{E8012807-0B84-4348-A377-56EDE239B2BE}" name="cmp_pct" dataDxfId="2"/>
    <tableColumn id="27" xr3:uid="{48122671-31EC-4DFA-B0BC-8F98C42313AD}" name="td_rate" dataDxfId="1"/>
    <tableColumn id="28" xr3:uid="{0EA5DFA0-0EB4-40AF-A14F-CEC8DA1D3E85}" name="f_custom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7" Type="http://schemas.openxmlformats.org/officeDocument/2006/relationships/table" Target="../tables/table14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7" Type="http://schemas.openxmlformats.org/officeDocument/2006/relationships/table" Target="../tables/table21.xml"/><Relationship Id="rId2" Type="http://schemas.openxmlformats.org/officeDocument/2006/relationships/table" Target="../tables/table16.xml"/><Relationship Id="rId1" Type="http://schemas.openxmlformats.org/officeDocument/2006/relationships/table" Target="../tables/table15.xml"/><Relationship Id="rId6" Type="http://schemas.openxmlformats.org/officeDocument/2006/relationships/table" Target="../tables/table20.xml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7" Type="http://schemas.openxmlformats.org/officeDocument/2006/relationships/table" Target="../tables/table28.xml"/><Relationship Id="rId2" Type="http://schemas.openxmlformats.org/officeDocument/2006/relationships/table" Target="../tables/table23.xml"/><Relationship Id="rId1" Type="http://schemas.openxmlformats.org/officeDocument/2006/relationships/table" Target="../tables/table22.xml"/><Relationship Id="rId6" Type="http://schemas.openxmlformats.org/officeDocument/2006/relationships/table" Target="../tables/table27.xml"/><Relationship Id="rId5" Type="http://schemas.openxmlformats.org/officeDocument/2006/relationships/table" Target="../tables/table26.xml"/><Relationship Id="rId4" Type="http://schemas.openxmlformats.org/officeDocument/2006/relationships/table" Target="../tables/table2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1.xml"/><Relationship Id="rId7" Type="http://schemas.openxmlformats.org/officeDocument/2006/relationships/table" Target="../tables/table35.xml"/><Relationship Id="rId2" Type="http://schemas.openxmlformats.org/officeDocument/2006/relationships/table" Target="../tables/table30.xml"/><Relationship Id="rId1" Type="http://schemas.openxmlformats.org/officeDocument/2006/relationships/table" Target="../tables/table29.xml"/><Relationship Id="rId6" Type="http://schemas.openxmlformats.org/officeDocument/2006/relationships/table" Target="../tables/table34.xml"/><Relationship Id="rId5" Type="http://schemas.openxmlformats.org/officeDocument/2006/relationships/table" Target="../tables/table33.xml"/><Relationship Id="rId4" Type="http://schemas.openxmlformats.org/officeDocument/2006/relationships/table" Target="../tables/table3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8.xml"/><Relationship Id="rId7" Type="http://schemas.openxmlformats.org/officeDocument/2006/relationships/table" Target="../tables/table42.xml"/><Relationship Id="rId2" Type="http://schemas.openxmlformats.org/officeDocument/2006/relationships/table" Target="../tables/table37.xml"/><Relationship Id="rId1" Type="http://schemas.openxmlformats.org/officeDocument/2006/relationships/table" Target="../tables/table36.xml"/><Relationship Id="rId6" Type="http://schemas.openxmlformats.org/officeDocument/2006/relationships/table" Target="../tables/table41.xml"/><Relationship Id="rId5" Type="http://schemas.openxmlformats.org/officeDocument/2006/relationships/table" Target="../tables/table40.xml"/><Relationship Id="rId4" Type="http://schemas.openxmlformats.org/officeDocument/2006/relationships/table" Target="../tables/table3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5.xml"/><Relationship Id="rId7" Type="http://schemas.openxmlformats.org/officeDocument/2006/relationships/table" Target="../tables/table49.xml"/><Relationship Id="rId2" Type="http://schemas.openxmlformats.org/officeDocument/2006/relationships/table" Target="../tables/table44.xml"/><Relationship Id="rId1" Type="http://schemas.openxmlformats.org/officeDocument/2006/relationships/table" Target="../tables/table43.xml"/><Relationship Id="rId6" Type="http://schemas.openxmlformats.org/officeDocument/2006/relationships/table" Target="../tables/table48.xml"/><Relationship Id="rId5" Type="http://schemas.openxmlformats.org/officeDocument/2006/relationships/table" Target="../tables/table47.xml"/><Relationship Id="rId4" Type="http://schemas.openxmlformats.org/officeDocument/2006/relationships/table" Target="../tables/table4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2.xml"/><Relationship Id="rId7" Type="http://schemas.openxmlformats.org/officeDocument/2006/relationships/table" Target="../tables/table56.xml"/><Relationship Id="rId2" Type="http://schemas.openxmlformats.org/officeDocument/2006/relationships/table" Target="../tables/table51.xml"/><Relationship Id="rId1" Type="http://schemas.openxmlformats.org/officeDocument/2006/relationships/table" Target="../tables/table50.xml"/><Relationship Id="rId6" Type="http://schemas.openxmlformats.org/officeDocument/2006/relationships/table" Target="../tables/table55.xml"/><Relationship Id="rId5" Type="http://schemas.openxmlformats.org/officeDocument/2006/relationships/table" Target="../tables/table54.xml"/><Relationship Id="rId4" Type="http://schemas.openxmlformats.org/officeDocument/2006/relationships/table" Target="../tables/table5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9.xml"/><Relationship Id="rId7" Type="http://schemas.openxmlformats.org/officeDocument/2006/relationships/table" Target="../tables/table63.xml"/><Relationship Id="rId2" Type="http://schemas.openxmlformats.org/officeDocument/2006/relationships/table" Target="../tables/table58.xml"/><Relationship Id="rId1" Type="http://schemas.openxmlformats.org/officeDocument/2006/relationships/table" Target="../tables/table57.xml"/><Relationship Id="rId6" Type="http://schemas.openxmlformats.org/officeDocument/2006/relationships/table" Target="../tables/table62.xml"/><Relationship Id="rId5" Type="http://schemas.openxmlformats.org/officeDocument/2006/relationships/table" Target="../tables/table61.xml"/><Relationship Id="rId4" Type="http://schemas.openxmlformats.org/officeDocument/2006/relationships/table" Target="../tables/table6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6.xml"/><Relationship Id="rId7" Type="http://schemas.openxmlformats.org/officeDocument/2006/relationships/table" Target="../tables/table70.xml"/><Relationship Id="rId2" Type="http://schemas.openxmlformats.org/officeDocument/2006/relationships/table" Target="../tables/table65.xml"/><Relationship Id="rId1" Type="http://schemas.openxmlformats.org/officeDocument/2006/relationships/table" Target="../tables/table64.xml"/><Relationship Id="rId6" Type="http://schemas.openxmlformats.org/officeDocument/2006/relationships/table" Target="../tables/table69.xml"/><Relationship Id="rId5" Type="http://schemas.openxmlformats.org/officeDocument/2006/relationships/table" Target="../tables/table68.xml"/><Relationship Id="rId4" Type="http://schemas.openxmlformats.org/officeDocument/2006/relationships/table" Target="../tables/table6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3.xml"/><Relationship Id="rId7" Type="http://schemas.openxmlformats.org/officeDocument/2006/relationships/table" Target="../tables/table77.xml"/><Relationship Id="rId2" Type="http://schemas.openxmlformats.org/officeDocument/2006/relationships/table" Target="../tables/table72.xml"/><Relationship Id="rId1" Type="http://schemas.openxmlformats.org/officeDocument/2006/relationships/table" Target="../tables/table71.xml"/><Relationship Id="rId6" Type="http://schemas.openxmlformats.org/officeDocument/2006/relationships/table" Target="../tables/table76.xml"/><Relationship Id="rId5" Type="http://schemas.openxmlformats.org/officeDocument/2006/relationships/table" Target="../tables/table75.xml"/><Relationship Id="rId4" Type="http://schemas.openxmlformats.org/officeDocument/2006/relationships/table" Target="../tables/table7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0.xml"/><Relationship Id="rId7" Type="http://schemas.openxmlformats.org/officeDocument/2006/relationships/table" Target="../tables/table84.xml"/><Relationship Id="rId2" Type="http://schemas.openxmlformats.org/officeDocument/2006/relationships/table" Target="../tables/table79.xml"/><Relationship Id="rId1" Type="http://schemas.openxmlformats.org/officeDocument/2006/relationships/table" Target="../tables/table78.xml"/><Relationship Id="rId6" Type="http://schemas.openxmlformats.org/officeDocument/2006/relationships/table" Target="../tables/table83.xml"/><Relationship Id="rId5" Type="http://schemas.openxmlformats.org/officeDocument/2006/relationships/table" Target="../tables/table82.xml"/><Relationship Id="rId4" Type="http://schemas.openxmlformats.org/officeDocument/2006/relationships/table" Target="../tables/table8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7.xml"/><Relationship Id="rId7" Type="http://schemas.openxmlformats.org/officeDocument/2006/relationships/table" Target="../tables/table91.xml"/><Relationship Id="rId2" Type="http://schemas.openxmlformats.org/officeDocument/2006/relationships/table" Target="../tables/table86.xml"/><Relationship Id="rId1" Type="http://schemas.openxmlformats.org/officeDocument/2006/relationships/table" Target="../tables/table85.xml"/><Relationship Id="rId6" Type="http://schemas.openxmlformats.org/officeDocument/2006/relationships/table" Target="../tables/table90.xml"/><Relationship Id="rId5" Type="http://schemas.openxmlformats.org/officeDocument/2006/relationships/table" Target="../tables/table89.xml"/><Relationship Id="rId4" Type="http://schemas.openxmlformats.org/officeDocument/2006/relationships/table" Target="../tables/table8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4.xml"/><Relationship Id="rId7" Type="http://schemas.openxmlformats.org/officeDocument/2006/relationships/table" Target="../tables/table98.xml"/><Relationship Id="rId2" Type="http://schemas.openxmlformats.org/officeDocument/2006/relationships/table" Target="../tables/table93.xml"/><Relationship Id="rId1" Type="http://schemas.openxmlformats.org/officeDocument/2006/relationships/table" Target="../tables/table92.xml"/><Relationship Id="rId6" Type="http://schemas.openxmlformats.org/officeDocument/2006/relationships/table" Target="../tables/table97.xml"/><Relationship Id="rId5" Type="http://schemas.openxmlformats.org/officeDocument/2006/relationships/table" Target="../tables/table96.xml"/><Relationship Id="rId4" Type="http://schemas.openxmlformats.org/officeDocument/2006/relationships/table" Target="../tables/table9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1.xml"/><Relationship Id="rId7" Type="http://schemas.openxmlformats.org/officeDocument/2006/relationships/table" Target="../tables/table105.xml"/><Relationship Id="rId2" Type="http://schemas.openxmlformats.org/officeDocument/2006/relationships/table" Target="../tables/table100.xml"/><Relationship Id="rId1" Type="http://schemas.openxmlformats.org/officeDocument/2006/relationships/table" Target="../tables/table99.xml"/><Relationship Id="rId6" Type="http://schemas.openxmlformats.org/officeDocument/2006/relationships/table" Target="../tables/table104.xml"/><Relationship Id="rId5" Type="http://schemas.openxmlformats.org/officeDocument/2006/relationships/table" Target="../tables/table103.xml"/><Relationship Id="rId4" Type="http://schemas.openxmlformats.org/officeDocument/2006/relationships/table" Target="../tables/table10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8.xml"/><Relationship Id="rId7" Type="http://schemas.openxmlformats.org/officeDocument/2006/relationships/table" Target="../tables/table112.xml"/><Relationship Id="rId2" Type="http://schemas.openxmlformats.org/officeDocument/2006/relationships/table" Target="../tables/table107.xml"/><Relationship Id="rId1" Type="http://schemas.openxmlformats.org/officeDocument/2006/relationships/table" Target="../tables/table106.xml"/><Relationship Id="rId6" Type="http://schemas.openxmlformats.org/officeDocument/2006/relationships/table" Target="../tables/table111.xml"/><Relationship Id="rId5" Type="http://schemas.openxmlformats.org/officeDocument/2006/relationships/table" Target="../tables/table110.xml"/><Relationship Id="rId4" Type="http://schemas.openxmlformats.org/officeDocument/2006/relationships/table" Target="../tables/table10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5.xml"/><Relationship Id="rId7" Type="http://schemas.openxmlformats.org/officeDocument/2006/relationships/table" Target="../tables/table119.xml"/><Relationship Id="rId2" Type="http://schemas.openxmlformats.org/officeDocument/2006/relationships/table" Target="../tables/table114.xml"/><Relationship Id="rId1" Type="http://schemas.openxmlformats.org/officeDocument/2006/relationships/table" Target="../tables/table113.xml"/><Relationship Id="rId6" Type="http://schemas.openxmlformats.org/officeDocument/2006/relationships/table" Target="../tables/table118.xml"/><Relationship Id="rId5" Type="http://schemas.openxmlformats.org/officeDocument/2006/relationships/table" Target="../tables/table117.xml"/><Relationship Id="rId4" Type="http://schemas.openxmlformats.org/officeDocument/2006/relationships/table" Target="../tables/table11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2.xml"/><Relationship Id="rId7" Type="http://schemas.openxmlformats.org/officeDocument/2006/relationships/table" Target="../tables/table126.xml"/><Relationship Id="rId2" Type="http://schemas.openxmlformats.org/officeDocument/2006/relationships/table" Target="../tables/table121.xml"/><Relationship Id="rId1" Type="http://schemas.openxmlformats.org/officeDocument/2006/relationships/table" Target="../tables/table120.xml"/><Relationship Id="rId6" Type="http://schemas.openxmlformats.org/officeDocument/2006/relationships/table" Target="../tables/table125.xml"/><Relationship Id="rId5" Type="http://schemas.openxmlformats.org/officeDocument/2006/relationships/table" Target="../tables/table124.xml"/><Relationship Id="rId4" Type="http://schemas.openxmlformats.org/officeDocument/2006/relationships/table" Target="../tables/table12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9.xml"/><Relationship Id="rId7" Type="http://schemas.openxmlformats.org/officeDocument/2006/relationships/table" Target="../tables/table133.xml"/><Relationship Id="rId2" Type="http://schemas.openxmlformats.org/officeDocument/2006/relationships/table" Target="../tables/table128.xml"/><Relationship Id="rId1" Type="http://schemas.openxmlformats.org/officeDocument/2006/relationships/table" Target="../tables/table127.xml"/><Relationship Id="rId6" Type="http://schemas.openxmlformats.org/officeDocument/2006/relationships/table" Target="../tables/table132.xml"/><Relationship Id="rId5" Type="http://schemas.openxmlformats.org/officeDocument/2006/relationships/table" Target="../tables/table131.xml"/><Relationship Id="rId4" Type="http://schemas.openxmlformats.org/officeDocument/2006/relationships/table" Target="../tables/table13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6.xml"/><Relationship Id="rId7" Type="http://schemas.openxmlformats.org/officeDocument/2006/relationships/table" Target="../tables/table140.xml"/><Relationship Id="rId2" Type="http://schemas.openxmlformats.org/officeDocument/2006/relationships/table" Target="../tables/table135.xml"/><Relationship Id="rId1" Type="http://schemas.openxmlformats.org/officeDocument/2006/relationships/table" Target="../tables/table134.xml"/><Relationship Id="rId6" Type="http://schemas.openxmlformats.org/officeDocument/2006/relationships/table" Target="../tables/table139.xml"/><Relationship Id="rId5" Type="http://schemas.openxmlformats.org/officeDocument/2006/relationships/table" Target="../tables/table138.xml"/><Relationship Id="rId4" Type="http://schemas.openxmlformats.org/officeDocument/2006/relationships/table" Target="../tables/table13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3.xml"/><Relationship Id="rId7" Type="http://schemas.openxmlformats.org/officeDocument/2006/relationships/table" Target="../tables/table147.xml"/><Relationship Id="rId2" Type="http://schemas.openxmlformats.org/officeDocument/2006/relationships/table" Target="../tables/table142.xml"/><Relationship Id="rId1" Type="http://schemas.openxmlformats.org/officeDocument/2006/relationships/table" Target="../tables/table141.xml"/><Relationship Id="rId6" Type="http://schemas.openxmlformats.org/officeDocument/2006/relationships/table" Target="../tables/table146.xml"/><Relationship Id="rId5" Type="http://schemas.openxmlformats.org/officeDocument/2006/relationships/table" Target="../tables/table145.xml"/><Relationship Id="rId4" Type="http://schemas.openxmlformats.org/officeDocument/2006/relationships/table" Target="../tables/table14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0.xml"/><Relationship Id="rId7" Type="http://schemas.openxmlformats.org/officeDocument/2006/relationships/table" Target="../tables/table154.xml"/><Relationship Id="rId2" Type="http://schemas.openxmlformats.org/officeDocument/2006/relationships/table" Target="../tables/table149.xml"/><Relationship Id="rId1" Type="http://schemas.openxmlformats.org/officeDocument/2006/relationships/table" Target="../tables/table148.xml"/><Relationship Id="rId6" Type="http://schemas.openxmlformats.org/officeDocument/2006/relationships/table" Target="../tables/table153.xml"/><Relationship Id="rId5" Type="http://schemas.openxmlformats.org/officeDocument/2006/relationships/table" Target="../tables/table152.xml"/><Relationship Id="rId4" Type="http://schemas.openxmlformats.org/officeDocument/2006/relationships/table" Target="../tables/table15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7.xml"/><Relationship Id="rId7" Type="http://schemas.openxmlformats.org/officeDocument/2006/relationships/table" Target="../tables/table161.xml"/><Relationship Id="rId2" Type="http://schemas.openxmlformats.org/officeDocument/2006/relationships/table" Target="../tables/table156.xml"/><Relationship Id="rId1" Type="http://schemas.openxmlformats.org/officeDocument/2006/relationships/table" Target="../tables/table155.xml"/><Relationship Id="rId6" Type="http://schemas.openxmlformats.org/officeDocument/2006/relationships/table" Target="../tables/table160.xml"/><Relationship Id="rId5" Type="http://schemas.openxmlformats.org/officeDocument/2006/relationships/table" Target="../tables/table159.xml"/><Relationship Id="rId4" Type="http://schemas.openxmlformats.org/officeDocument/2006/relationships/table" Target="../tables/table158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4.xml"/><Relationship Id="rId7" Type="http://schemas.openxmlformats.org/officeDocument/2006/relationships/table" Target="../tables/table168.xml"/><Relationship Id="rId2" Type="http://schemas.openxmlformats.org/officeDocument/2006/relationships/table" Target="../tables/table163.xml"/><Relationship Id="rId1" Type="http://schemas.openxmlformats.org/officeDocument/2006/relationships/table" Target="../tables/table162.xml"/><Relationship Id="rId6" Type="http://schemas.openxmlformats.org/officeDocument/2006/relationships/table" Target="../tables/table167.xml"/><Relationship Id="rId5" Type="http://schemas.openxmlformats.org/officeDocument/2006/relationships/table" Target="../tables/table166.xml"/><Relationship Id="rId4" Type="http://schemas.openxmlformats.org/officeDocument/2006/relationships/table" Target="../tables/table16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1.xml"/><Relationship Id="rId7" Type="http://schemas.openxmlformats.org/officeDocument/2006/relationships/table" Target="../tables/table175.xml"/><Relationship Id="rId2" Type="http://schemas.openxmlformats.org/officeDocument/2006/relationships/table" Target="../tables/table170.xml"/><Relationship Id="rId1" Type="http://schemas.openxmlformats.org/officeDocument/2006/relationships/table" Target="../tables/table169.xml"/><Relationship Id="rId6" Type="http://schemas.openxmlformats.org/officeDocument/2006/relationships/table" Target="../tables/table174.xml"/><Relationship Id="rId5" Type="http://schemas.openxmlformats.org/officeDocument/2006/relationships/table" Target="../tables/table173.xml"/><Relationship Id="rId4" Type="http://schemas.openxmlformats.org/officeDocument/2006/relationships/table" Target="../tables/table172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8.xml"/><Relationship Id="rId7" Type="http://schemas.openxmlformats.org/officeDocument/2006/relationships/table" Target="../tables/table182.xml"/><Relationship Id="rId2" Type="http://schemas.openxmlformats.org/officeDocument/2006/relationships/table" Target="../tables/table177.xml"/><Relationship Id="rId1" Type="http://schemas.openxmlformats.org/officeDocument/2006/relationships/table" Target="../tables/table176.xml"/><Relationship Id="rId6" Type="http://schemas.openxmlformats.org/officeDocument/2006/relationships/table" Target="../tables/table181.xml"/><Relationship Id="rId5" Type="http://schemas.openxmlformats.org/officeDocument/2006/relationships/table" Target="../tables/table180.xml"/><Relationship Id="rId4" Type="http://schemas.openxmlformats.org/officeDocument/2006/relationships/table" Target="../tables/table179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5.xml"/><Relationship Id="rId7" Type="http://schemas.openxmlformats.org/officeDocument/2006/relationships/table" Target="../tables/table189.xml"/><Relationship Id="rId2" Type="http://schemas.openxmlformats.org/officeDocument/2006/relationships/table" Target="../tables/table184.xml"/><Relationship Id="rId1" Type="http://schemas.openxmlformats.org/officeDocument/2006/relationships/table" Target="../tables/table183.xml"/><Relationship Id="rId6" Type="http://schemas.openxmlformats.org/officeDocument/2006/relationships/table" Target="../tables/table188.xml"/><Relationship Id="rId5" Type="http://schemas.openxmlformats.org/officeDocument/2006/relationships/table" Target="../tables/table187.xml"/><Relationship Id="rId4" Type="http://schemas.openxmlformats.org/officeDocument/2006/relationships/table" Target="../tables/table18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2.xml"/><Relationship Id="rId7" Type="http://schemas.openxmlformats.org/officeDocument/2006/relationships/table" Target="../tables/table196.xml"/><Relationship Id="rId2" Type="http://schemas.openxmlformats.org/officeDocument/2006/relationships/table" Target="../tables/table191.xml"/><Relationship Id="rId1" Type="http://schemas.openxmlformats.org/officeDocument/2006/relationships/table" Target="../tables/table190.xml"/><Relationship Id="rId6" Type="http://schemas.openxmlformats.org/officeDocument/2006/relationships/table" Target="../tables/table195.xml"/><Relationship Id="rId5" Type="http://schemas.openxmlformats.org/officeDocument/2006/relationships/table" Target="../tables/table194.xml"/><Relationship Id="rId4" Type="http://schemas.openxmlformats.org/officeDocument/2006/relationships/table" Target="../tables/table193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9.xml"/><Relationship Id="rId7" Type="http://schemas.openxmlformats.org/officeDocument/2006/relationships/table" Target="../tables/table203.xml"/><Relationship Id="rId2" Type="http://schemas.openxmlformats.org/officeDocument/2006/relationships/table" Target="../tables/table198.xml"/><Relationship Id="rId1" Type="http://schemas.openxmlformats.org/officeDocument/2006/relationships/table" Target="../tables/table197.xml"/><Relationship Id="rId6" Type="http://schemas.openxmlformats.org/officeDocument/2006/relationships/table" Target="../tables/table202.xml"/><Relationship Id="rId5" Type="http://schemas.openxmlformats.org/officeDocument/2006/relationships/table" Target="../tables/table201.xml"/><Relationship Id="rId4" Type="http://schemas.openxmlformats.org/officeDocument/2006/relationships/table" Target="../tables/table20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6.xml"/><Relationship Id="rId7" Type="http://schemas.openxmlformats.org/officeDocument/2006/relationships/table" Target="../tables/table210.xml"/><Relationship Id="rId2" Type="http://schemas.openxmlformats.org/officeDocument/2006/relationships/table" Target="../tables/table205.xml"/><Relationship Id="rId1" Type="http://schemas.openxmlformats.org/officeDocument/2006/relationships/table" Target="../tables/table204.xml"/><Relationship Id="rId6" Type="http://schemas.openxmlformats.org/officeDocument/2006/relationships/table" Target="../tables/table209.xml"/><Relationship Id="rId5" Type="http://schemas.openxmlformats.org/officeDocument/2006/relationships/table" Target="../tables/table208.xml"/><Relationship Id="rId4" Type="http://schemas.openxmlformats.org/officeDocument/2006/relationships/table" Target="../tables/table207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3.xml"/><Relationship Id="rId7" Type="http://schemas.openxmlformats.org/officeDocument/2006/relationships/table" Target="../tables/table217.xml"/><Relationship Id="rId2" Type="http://schemas.openxmlformats.org/officeDocument/2006/relationships/table" Target="../tables/table212.xml"/><Relationship Id="rId1" Type="http://schemas.openxmlformats.org/officeDocument/2006/relationships/table" Target="../tables/table211.xml"/><Relationship Id="rId6" Type="http://schemas.openxmlformats.org/officeDocument/2006/relationships/table" Target="../tables/table216.xml"/><Relationship Id="rId5" Type="http://schemas.openxmlformats.org/officeDocument/2006/relationships/table" Target="../tables/table215.xml"/><Relationship Id="rId4" Type="http://schemas.openxmlformats.org/officeDocument/2006/relationships/table" Target="../tables/table21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0.xml"/><Relationship Id="rId7" Type="http://schemas.openxmlformats.org/officeDocument/2006/relationships/table" Target="../tables/table224.xml"/><Relationship Id="rId2" Type="http://schemas.openxmlformats.org/officeDocument/2006/relationships/table" Target="../tables/table219.xml"/><Relationship Id="rId1" Type="http://schemas.openxmlformats.org/officeDocument/2006/relationships/table" Target="../tables/table218.xml"/><Relationship Id="rId6" Type="http://schemas.openxmlformats.org/officeDocument/2006/relationships/table" Target="../tables/table223.xml"/><Relationship Id="rId5" Type="http://schemas.openxmlformats.org/officeDocument/2006/relationships/table" Target="../tables/table222.xml"/><Relationship Id="rId4" Type="http://schemas.openxmlformats.org/officeDocument/2006/relationships/table" Target="../tables/table221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5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6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7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E1F9B-9760-440C-8FE6-7D34D86CD4B4}">
  <sheetPr codeName="Sheet33"/>
  <dimension ref="B2:O13"/>
  <sheetViews>
    <sheetView workbookViewId="0">
      <selection activeCell="H25" sqref="H25"/>
    </sheetView>
  </sheetViews>
  <sheetFormatPr defaultRowHeight="15" x14ac:dyDescent="0.25"/>
  <sheetData>
    <row r="2" spans="2:15" x14ac:dyDescent="0.25">
      <c r="B2" t="s">
        <v>1748</v>
      </c>
      <c r="E2" t="s">
        <v>1751</v>
      </c>
      <c r="G2" t="s">
        <v>1754</v>
      </c>
      <c r="O2" t="s">
        <v>1760</v>
      </c>
    </row>
    <row r="3" spans="2:15" x14ac:dyDescent="0.25">
      <c r="B3" s="1" t="s">
        <v>1749</v>
      </c>
      <c r="C3">
        <v>4</v>
      </c>
      <c r="E3" t="s">
        <v>1752</v>
      </c>
      <c r="G3" t="s">
        <v>1755</v>
      </c>
    </row>
    <row r="4" spans="2:15" x14ac:dyDescent="0.25">
      <c r="B4" t="s">
        <v>1750</v>
      </c>
      <c r="C4">
        <v>0.04</v>
      </c>
      <c r="E4" t="s">
        <v>1753</v>
      </c>
      <c r="G4" t="s">
        <v>1756</v>
      </c>
    </row>
    <row r="5" spans="2:15" x14ac:dyDescent="0.25">
      <c r="B5" s="1" t="s">
        <v>8</v>
      </c>
      <c r="C5">
        <v>-2</v>
      </c>
      <c r="G5" t="s">
        <v>1757</v>
      </c>
    </row>
    <row r="6" spans="2:15" x14ac:dyDescent="0.25">
      <c r="B6" t="s">
        <v>16</v>
      </c>
      <c r="C6">
        <v>-2</v>
      </c>
      <c r="G6" t="s">
        <v>1759</v>
      </c>
    </row>
    <row r="7" spans="2:15" x14ac:dyDescent="0.25">
      <c r="B7" s="1" t="s">
        <v>13</v>
      </c>
      <c r="C7">
        <v>1</v>
      </c>
    </row>
    <row r="8" spans="2:15" x14ac:dyDescent="0.25">
      <c r="B8" t="s">
        <v>9</v>
      </c>
      <c r="C8">
        <v>0</v>
      </c>
      <c r="G8" t="s">
        <v>1758</v>
      </c>
    </row>
    <row r="9" spans="2:15" x14ac:dyDescent="0.25">
      <c r="B9" t="s">
        <v>10</v>
      </c>
      <c r="C9">
        <v>0.1</v>
      </c>
    </row>
    <row r="10" spans="2:15" x14ac:dyDescent="0.25">
      <c r="B10" t="s">
        <v>11</v>
      </c>
      <c r="C10">
        <v>6</v>
      </c>
    </row>
    <row r="11" spans="2:15" x14ac:dyDescent="0.25">
      <c r="B11" t="s">
        <v>14</v>
      </c>
      <c r="C11">
        <v>0.1</v>
      </c>
    </row>
    <row r="12" spans="2:15" x14ac:dyDescent="0.25">
      <c r="B12" t="s">
        <v>15</v>
      </c>
      <c r="C12">
        <v>6</v>
      </c>
    </row>
    <row r="13" spans="2:15" x14ac:dyDescent="0.25">
      <c r="B13" t="s">
        <v>17</v>
      </c>
      <c r="C13"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82"/>
  <sheetViews>
    <sheetView topLeftCell="A37" zoomScale="77" zoomScaleNormal="77" workbookViewId="0">
      <selection activeCell="O27" sqref="O27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24</v>
      </c>
      <c r="B2" s="3" t="s">
        <v>25</v>
      </c>
      <c r="C2" s="3" t="s">
        <v>26</v>
      </c>
      <c r="D2" s="3">
        <v>4</v>
      </c>
      <c r="E2" s="3">
        <v>132</v>
      </c>
      <c r="F2" s="3">
        <v>90</v>
      </c>
      <c r="G2" s="3">
        <v>780</v>
      </c>
      <c r="H2" s="3">
        <v>1</v>
      </c>
      <c r="I2" s="3">
        <v>3</v>
      </c>
      <c r="J2" s="3">
        <v>14</v>
      </c>
      <c r="K2" s="3">
        <v>36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32.799999999999997</v>
      </c>
      <c r="T2" s="3">
        <v>0</v>
      </c>
      <c r="U2" s="3">
        <v>2.5714285714285698</v>
      </c>
      <c r="V2" s="3"/>
      <c r="W2" s="3">
        <v>0.68181818181818199</v>
      </c>
      <c r="X2" s="3">
        <v>7.5757575757575803E-3</v>
      </c>
      <c r="Y2" s="3">
        <f t="shared" ref="Y2:Y24" si="0">($G2*Cp_yd)+($H2*Cp_td)+($I2*Cint)+($J2*Ccar)+($K2*Cr_yd)+($L2*Cr_td)+($N2*Crec)+($O2*Crec_yd)+($P2*Crec_td)+($Q2*Cfmb)+($R2*Ctp_c)</f>
        <v>32.800000000000004</v>
      </c>
    </row>
    <row r="3" spans="1:25" x14ac:dyDescent="0.25">
      <c r="A3" s="4" t="s">
        <v>27</v>
      </c>
      <c r="B3" s="4" t="s">
        <v>25</v>
      </c>
      <c r="C3" s="4" t="s">
        <v>26</v>
      </c>
      <c r="D3" s="4">
        <v>2</v>
      </c>
      <c r="E3" s="4">
        <v>58</v>
      </c>
      <c r="F3" s="4">
        <v>38</v>
      </c>
      <c r="G3" s="4">
        <v>402</v>
      </c>
      <c r="H3" s="4">
        <v>2</v>
      </c>
      <c r="I3" s="4">
        <v>2</v>
      </c>
      <c r="J3" s="4">
        <v>4</v>
      </c>
      <c r="K3" s="4">
        <v>5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1</v>
      </c>
      <c r="R3" s="4">
        <v>0</v>
      </c>
      <c r="S3" s="4">
        <v>18.579999999999998</v>
      </c>
      <c r="T3" s="4">
        <v>0</v>
      </c>
      <c r="U3" s="4">
        <v>1.25</v>
      </c>
      <c r="V3" s="4"/>
      <c r="W3" s="4">
        <v>0.65517241379310298</v>
      </c>
      <c r="X3" s="4">
        <v>3.4482758620689703E-2</v>
      </c>
      <c r="Y3" s="4">
        <f t="shared" si="0"/>
        <v>18.580000000000002</v>
      </c>
    </row>
    <row r="4" spans="1:25" x14ac:dyDescent="0.25">
      <c r="A4" s="3" t="s">
        <v>28</v>
      </c>
      <c r="B4" s="3" t="s">
        <v>25</v>
      </c>
      <c r="C4" s="3" t="s">
        <v>26</v>
      </c>
      <c r="D4" s="3">
        <v>11</v>
      </c>
      <c r="E4" s="3">
        <v>390</v>
      </c>
      <c r="F4" s="3">
        <v>259</v>
      </c>
      <c r="G4" s="3">
        <v>2368</v>
      </c>
      <c r="H4" s="3">
        <v>14</v>
      </c>
      <c r="I4" s="3">
        <v>7</v>
      </c>
      <c r="J4" s="3">
        <v>67</v>
      </c>
      <c r="K4" s="3">
        <v>418</v>
      </c>
      <c r="L4" s="3">
        <v>3</v>
      </c>
      <c r="M4" s="3">
        <v>0</v>
      </c>
      <c r="N4" s="3">
        <v>0</v>
      </c>
      <c r="O4" s="3">
        <v>0</v>
      </c>
      <c r="P4" s="3">
        <v>0</v>
      </c>
      <c r="Q4" s="3">
        <v>2</v>
      </c>
      <c r="R4" s="3">
        <v>4</v>
      </c>
      <c r="S4" s="3">
        <v>200.52</v>
      </c>
      <c r="T4" s="3">
        <v>0</v>
      </c>
      <c r="U4" s="3">
        <v>6.23880597014925</v>
      </c>
      <c r="V4" s="3"/>
      <c r="W4" s="3">
        <v>0.66410256410256396</v>
      </c>
      <c r="X4" s="3">
        <v>3.5897435897435902E-2</v>
      </c>
      <c r="Y4" s="3">
        <f t="shared" si="0"/>
        <v>200.52</v>
      </c>
    </row>
    <row r="5" spans="1:25" x14ac:dyDescent="0.25">
      <c r="A5" s="4" t="s">
        <v>29</v>
      </c>
      <c r="B5" s="4" t="s">
        <v>25</v>
      </c>
      <c r="C5" s="4" t="s">
        <v>26</v>
      </c>
      <c r="D5" s="4">
        <v>5</v>
      </c>
      <c r="E5" s="4">
        <v>83</v>
      </c>
      <c r="F5" s="4">
        <v>45</v>
      </c>
      <c r="G5" s="4">
        <v>412</v>
      </c>
      <c r="H5" s="4">
        <v>0</v>
      </c>
      <c r="I5" s="4">
        <v>5</v>
      </c>
      <c r="J5" s="4">
        <v>15</v>
      </c>
      <c r="K5" s="4">
        <v>61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2</v>
      </c>
      <c r="R5" s="4">
        <v>0</v>
      </c>
      <c r="S5" s="4">
        <v>8.58</v>
      </c>
      <c r="T5" s="4">
        <v>0</v>
      </c>
      <c r="U5" s="4">
        <v>4.06666666666667</v>
      </c>
      <c r="V5" s="4"/>
      <c r="W5" s="4">
        <v>0.54216867469879504</v>
      </c>
      <c r="X5" s="4">
        <v>0</v>
      </c>
      <c r="Y5" s="4">
        <f t="shared" si="0"/>
        <v>8.5800000000000018</v>
      </c>
    </row>
    <row r="6" spans="1:25" x14ac:dyDescent="0.25">
      <c r="A6" s="3" t="s">
        <v>30</v>
      </c>
      <c r="B6" s="3" t="s">
        <v>25</v>
      </c>
      <c r="C6" s="3" t="s">
        <v>31</v>
      </c>
      <c r="D6" s="3">
        <v>4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15</v>
      </c>
      <c r="K6" s="3">
        <v>55</v>
      </c>
      <c r="L6" s="3">
        <v>1</v>
      </c>
      <c r="M6" s="3">
        <v>7</v>
      </c>
      <c r="N6" s="3">
        <v>5</v>
      </c>
      <c r="O6" s="3">
        <v>54</v>
      </c>
      <c r="P6" s="3">
        <v>0</v>
      </c>
      <c r="Q6" s="3">
        <v>0</v>
      </c>
      <c r="R6" s="3">
        <v>0</v>
      </c>
      <c r="S6" s="3">
        <v>21.9</v>
      </c>
      <c r="T6" s="3">
        <v>1.0558069381598799E-2</v>
      </c>
      <c r="U6" s="3">
        <v>3.6666666666666701</v>
      </c>
      <c r="V6" s="3">
        <v>10.8</v>
      </c>
      <c r="W6" s="3"/>
      <c r="X6" s="3"/>
      <c r="Y6" s="3">
        <f t="shared" si="0"/>
        <v>21.9</v>
      </c>
    </row>
    <row r="7" spans="1:25" x14ac:dyDescent="0.25">
      <c r="A7" s="4" t="s">
        <v>32</v>
      </c>
      <c r="B7" s="4" t="s">
        <v>25</v>
      </c>
      <c r="C7" s="4" t="s">
        <v>31</v>
      </c>
      <c r="D7" s="4">
        <v>5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21</v>
      </c>
      <c r="K7" s="4">
        <v>102</v>
      </c>
      <c r="L7" s="4">
        <v>1</v>
      </c>
      <c r="M7" s="4">
        <v>8</v>
      </c>
      <c r="N7" s="4">
        <v>4</v>
      </c>
      <c r="O7" s="4">
        <v>9</v>
      </c>
      <c r="P7" s="4">
        <v>0</v>
      </c>
      <c r="Q7" s="4">
        <v>0</v>
      </c>
      <c r="R7" s="4">
        <v>0</v>
      </c>
      <c r="S7" s="4">
        <v>21.1</v>
      </c>
      <c r="T7" s="4">
        <v>1.2066365007541499E-2</v>
      </c>
      <c r="U7" s="4">
        <v>4.8571428571428603</v>
      </c>
      <c r="V7" s="4">
        <v>2.25</v>
      </c>
      <c r="W7" s="4"/>
      <c r="X7" s="4"/>
      <c r="Y7" s="4">
        <f t="shared" si="0"/>
        <v>21.1</v>
      </c>
    </row>
    <row r="8" spans="1:25" x14ac:dyDescent="0.25">
      <c r="A8" s="3" t="s">
        <v>33</v>
      </c>
      <c r="B8" s="3" t="s">
        <v>25</v>
      </c>
      <c r="C8" s="3" t="s">
        <v>31</v>
      </c>
      <c r="D8" s="3">
        <v>9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70</v>
      </c>
      <c r="K8" s="3">
        <v>299</v>
      </c>
      <c r="L8" s="3">
        <v>2</v>
      </c>
      <c r="M8" s="3">
        <v>33</v>
      </c>
      <c r="N8" s="3">
        <v>24</v>
      </c>
      <c r="O8" s="3">
        <v>184</v>
      </c>
      <c r="P8" s="3">
        <v>0</v>
      </c>
      <c r="Q8" s="3">
        <v>0</v>
      </c>
      <c r="R8" s="3">
        <v>1</v>
      </c>
      <c r="S8" s="3">
        <v>86.3</v>
      </c>
      <c r="T8" s="3">
        <v>4.9773755656108601E-2</v>
      </c>
      <c r="U8" s="3">
        <v>4.2714285714285696</v>
      </c>
      <c r="V8" s="3">
        <v>7.6666666666666696</v>
      </c>
      <c r="W8" s="3"/>
      <c r="X8" s="3"/>
      <c r="Y8" s="3">
        <f t="shared" si="0"/>
        <v>86.300000000000011</v>
      </c>
    </row>
    <row r="9" spans="1:25" x14ac:dyDescent="0.25">
      <c r="A9" s="4" t="s">
        <v>34</v>
      </c>
      <c r="B9" s="4" t="s">
        <v>25</v>
      </c>
      <c r="C9" s="4" t="s">
        <v>31</v>
      </c>
      <c r="D9" s="4">
        <v>13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183</v>
      </c>
      <c r="K9" s="4">
        <v>782</v>
      </c>
      <c r="L9" s="4">
        <v>7</v>
      </c>
      <c r="M9" s="4">
        <v>58</v>
      </c>
      <c r="N9" s="4">
        <v>46</v>
      </c>
      <c r="O9" s="4">
        <v>300</v>
      </c>
      <c r="P9" s="4">
        <v>1</v>
      </c>
      <c r="Q9" s="4">
        <v>1</v>
      </c>
      <c r="R9" s="4">
        <v>0</v>
      </c>
      <c r="S9" s="4">
        <v>200.2</v>
      </c>
      <c r="T9" s="4">
        <v>8.7481146304675697E-2</v>
      </c>
      <c r="U9" s="4">
        <v>4.2732240437158504</v>
      </c>
      <c r="V9" s="4">
        <v>6.5217391304347796</v>
      </c>
      <c r="W9" s="4"/>
      <c r="X9" s="4"/>
      <c r="Y9" s="4">
        <f t="shared" si="0"/>
        <v>200.2</v>
      </c>
    </row>
    <row r="10" spans="1:25" x14ac:dyDescent="0.25">
      <c r="A10" s="3" t="s">
        <v>35</v>
      </c>
      <c r="B10" s="3" t="s">
        <v>25</v>
      </c>
      <c r="C10" s="3" t="s">
        <v>31</v>
      </c>
      <c r="D10" s="3">
        <v>10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27</v>
      </c>
      <c r="K10" s="3">
        <v>60</v>
      </c>
      <c r="L10" s="3">
        <v>1</v>
      </c>
      <c r="M10" s="3">
        <v>5</v>
      </c>
      <c r="N10" s="3">
        <v>4</v>
      </c>
      <c r="O10" s="3">
        <v>21</v>
      </c>
      <c r="P10" s="3">
        <v>0</v>
      </c>
      <c r="Q10" s="3">
        <v>0</v>
      </c>
      <c r="R10" s="3">
        <v>0</v>
      </c>
      <c r="S10" s="3">
        <v>18.100000000000001</v>
      </c>
      <c r="T10" s="3">
        <v>7.5414781297134196E-3</v>
      </c>
      <c r="U10" s="3">
        <v>2.2222222222222201</v>
      </c>
      <c r="V10" s="3">
        <v>5.25</v>
      </c>
      <c r="W10" s="3"/>
      <c r="X10" s="3"/>
      <c r="Y10" s="3">
        <f t="shared" si="0"/>
        <v>18.100000000000001</v>
      </c>
    </row>
    <row r="11" spans="1:25" x14ac:dyDescent="0.25">
      <c r="A11" s="4" t="s">
        <v>36</v>
      </c>
      <c r="B11" s="4" t="s">
        <v>25</v>
      </c>
      <c r="C11" s="4" t="s">
        <v>31</v>
      </c>
      <c r="D11" s="4">
        <v>1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1</v>
      </c>
      <c r="N11" s="4">
        <v>1</v>
      </c>
      <c r="O11" s="4">
        <v>5</v>
      </c>
      <c r="P11" s="4">
        <v>0</v>
      </c>
      <c r="Q11" s="4">
        <v>0</v>
      </c>
      <c r="R11" s="4">
        <v>0</v>
      </c>
      <c r="S11" s="4">
        <v>1.5</v>
      </c>
      <c r="T11" s="4">
        <v>1.5082956259426801E-3</v>
      </c>
      <c r="U11" s="4"/>
      <c r="V11" s="4">
        <v>5</v>
      </c>
      <c r="W11" s="4"/>
      <c r="X11" s="4"/>
      <c r="Y11" s="4">
        <f t="shared" si="0"/>
        <v>1.5</v>
      </c>
    </row>
    <row r="12" spans="1:25" x14ac:dyDescent="0.25">
      <c r="A12" s="3" t="s">
        <v>37</v>
      </c>
      <c r="B12" s="3" t="s">
        <v>25</v>
      </c>
      <c r="C12" s="3" t="s">
        <v>38</v>
      </c>
      <c r="D12" s="3">
        <v>2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3</v>
      </c>
      <c r="N12" s="3">
        <v>3</v>
      </c>
      <c r="O12" s="3">
        <v>18</v>
      </c>
      <c r="P12" s="3">
        <v>0</v>
      </c>
      <c r="Q12" s="3">
        <v>0</v>
      </c>
      <c r="R12" s="3">
        <v>0</v>
      </c>
      <c r="S12" s="3">
        <v>4.8</v>
      </c>
      <c r="T12" s="3">
        <v>4.5248868778280504E-3</v>
      </c>
      <c r="U12" s="3"/>
      <c r="V12" s="3">
        <v>6</v>
      </c>
      <c r="W12" s="3"/>
      <c r="X12" s="3"/>
      <c r="Y12" s="3">
        <f t="shared" si="0"/>
        <v>4.8</v>
      </c>
    </row>
    <row r="13" spans="1:25" x14ac:dyDescent="0.25">
      <c r="A13" s="4" t="s">
        <v>39</v>
      </c>
      <c r="B13" s="4" t="s">
        <v>25</v>
      </c>
      <c r="C13" s="4" t="s">
        <v>38</v>
      </c>
      <c r="D13" s="4">
        <v>5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7</v>
      </c>
      <c r="N13" s="4">
        <v>3</v>
      </c>
      <c r="O13" s="4">
        <v>9</v>
      </c>
      <c r="P13" s="4">
        <v>0</v>
      </c>
      <c r="Q13" s="4">
        <v>0</v>
      </c>
      <c r="R13" s="4">
        <v>0</v>
      </c>
      <c r="S13" s="4">
        <v>3.9</v>
      </c>
      <c r="T13" s="4">
        <v>1.0558069381598799E-2</v>
      </c>
      <c r="U13" s="4"/>
      <c r="V13" s="4">
        <v>3</v>
      </c>
      <c r="W13" s="4"/>
      <c r="X13" s="4"/>
      <c r="Y13" s="4">
        <f t="shared" si="0"/>
        <v>3.9</v>
      </c>
    </row>
    <row r="14" spans="1:25" x14ac:dyDescent="0.25">
      <c r="A14" s="3" t="s">
        <v>40</v>
      </c>
      <c r="B14" s="3" t="s">
        <v>25</v>
      </c>
      <c r="C14" s="3" t="s">
        <v>38</v>
      </c>
      <c r="D14" s="3">
        <v>9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39</v>
      </c>
      <c r="N14" s="3">
        <v>29</v>
      </c>
      <c r="O14" s="3">
        <v>265</v>
      </c>
      <c r="P14" s="3">
        <v>1</v>
      </c>
      <c r="Q14" s="3">
        <v>0</v>
      </c>
      <c r="R14" s="3">
        <v>0</v>
      </c>
      <c r="S14" s="3">
        <v>61.5</v>
      </c>
      <c r="T14" s="3">
        <v>5.8823529411764698E-2</v>
      </c>
      <c r="U14" s="3"/>
      <c r="V14" s="3">
        <v>9.1379310344827598</v>
      </c>
      <c r="W14" s="3"/>
      <c r="X14" s="3"/>
      <c r="Y14" s="3">
        <f t="shared" si="0"/>
        <v>61.5</v>
      </c>
    </row>
    <row r="15" spans="1:25" x14ac:dyDescent="0.25">
      <c r="A15" s="4" t="s">
        <v>41</v>
      </c>
      <c r="B15" s="4" t="s">
        <v>25</v>
      </c>
      <c r="C15" s="4" t="s">
        <v>38</v>
      </c>
      <c r="D15" s="4">
        <v>10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69</v>
      </c>
      <c r="N15" s="4">
        <v>47</v>
      </c>
      <c r="O15" s="4">
        <v>406</v>
      </c>
      <c r="P15" s="4">
        <v>4</v>
      </c>
      <c r="Q15" s="4">
        <v>0</v>
      </c>
      <c r="R15" s="4">
        <v>0</v>
      </c>
      <c r="S15" s="4">
        <v>115.6</v>
      </c>
      <c r="T15" s="4">
        <v>0.104072398190045</v>
      </c>
      <c r="U15" s="4"/>
      <c r="V15" s="4">
        <v>8.6382978723404307</v>
      </c>
      <c r="W15" s="4"/>
      <c r="X15" s="4"/>
      <c r="Y15" s="4">
        <f t="shared" si="0"/>
        <v>111.6</v>
      </c>
    </row>
    <row r="16" spans="1:25" x14ac:dyDescent="0.25">
      <c r="A16" s="3" t="s">
        <v>42</v>
      </c>
      <c r="B16" s="3" t="s">
        <v>25</v>
      </c>
      <c r="C16" s="3" t="s">
        <v>43</v>
      </c>
      <c r="D16" s="3">
        <v>5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10</v>
      </c>
      <c r="N16" s="3">
        <v>7</v>
      </c>
      <c r="O16" s="3">
        <v>45</v>
      </c>
      <c r="P16" s="3">
        <v>0</v>
      </c>
      <c r="Q16" s="3">
        <v>0</v>
      </c>
      <c r="R16" s="3">
        <v>0</v>
      </c>
      <c r="S16" s="3">
        <v>11.5</v>
      </c>
      <c r="T16" s="3">
        <v>1.5082956259426799E-2</v>
      </c>
      <c r="U16" s="3"/>
      <c r="V16" s="3">
        <v>6.4285714285714297</v>
      </c>
      <c r="W16" s="3"/>
      <c r="X16" s="3"/>
      <c r="Y16" s="3">
        <f t="shared" si="0"/>
        <v>11.5</v>
      </c>
    </row>
    <row r="17" spans="1:25" x14ac:dyDescent="0.25">
      <c r="A17" s="4" t="s">
        <v>44</v>
      </c>
      <c r="B17" s="4" t="s">
        <v>25</v>
      </c>
      <c r="C17" s="4" t="s">
        <v>43</v>
      </c>
      <c r="D17" s="4">
        <v>13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47</v>
      </c>
      <c r="N17" s="4">
        <v>24</v>
      </c>
      <c r="O17" s="4">
        <v>236</v>
      </c>
      <c r="P17" s="4">
        <v>2</v>
      </c>
      <c r="Q17" s="4">
        <v>0</v>
      </c>
      <c r="R17" s="4">
        <v>0</v>
      </c>
      <c r="S17" s="4">
        <v>61.6</v>
      </c>
      <c r="T17" s="4">
        <v>7.0889894419306196E-2</v>
      </c>
      <c r="U17" s="4"/>
      <c r="V17" s="4">
        <v>9.8333333333333304</v>
      </c>
      <c r="W17" s="4"/>
      <c r="X17" s="4"/>
      <c r="Y17" s="4">
        <f t="shared" si="0"/>
        <v>59.6</v>
      </c>
    </row>
    <row r="18" spans="1:25" x14ac:dyDescent="0.25">
      <c r="A18" s="3" t="s">
        <v>45</v>
      </c>
      <c r="B18" s="3" t="s">
        <v>25</v>
      </c>
      <c r="C18" s="3" t="s">
        <v>43</v>
      </c>
      <c r="D18" s="3">
        <v>2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5</v>
      </c>
      <c r="N18" s="3">
        <v>2</v>
      </c>
      <c r="O18" s="3">
        <v>21</v>
      </c>
      <c r="P18" s="3">
        <v>0</v>
      </c>
      <c r="Q18" s="3">
        <v>0</v>
      </c>
      <c r="R18" s="3">
        <v>0</v>
      </c>
      <c r="S18" s="3">
        <v>4.0999999999999996</v>
      </c>
      <c r="T18" s="3">
        <v>7.5414781297134196E-3</v>
      </c>
      <c r="U18" s="3"/>
      <c r="V18" s="3">
        <v>10.5</v>
      </c>
      <c r="W18" s="3"/>
      <c r="X18" s="3"/>
      <c r="Y18" s="3">
        <f t="shared" si="0"/>
        <v>4.0999999999999996</v>
      </c>
    </row>
    <row r="19" spans="1:25" x14ac:dyDescent="0.25">
      <c r="A19" s="4" t="s">
        <v>46</v>
      </c>
      <c r="B19" s="4" t="s">
        <v>25</v>
      </c>
      <c r="C19" s="4" t="s">
        <v>43</v>
      </c>
      <c r="D19" s="4">
        <v>9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96</v>
      </c>
      <c r="N19" s="4">
        <v>64</v>
      </c>
      <c r="O19" s="4">
        <v>717</v>
      </c>
      <c r="P19" s="4">
        <v>3</v>
      </c>
      <c r="Q19" s="4">
        <v>0</v>
      </c>
      <c r="R19" s="4">
        <v>0</v>
      </c>
      <c r="S19" s="4">
        <v>151.69999999999999</v>
      </c>
      <c r="T19" s="4">
        <v>0.144796380090498</v>
      </c>
      <c r="U19" s="4"/>
      <c r="V19" s="4">
        <v>11.203125</v>
      </c>
      <c r="W19" s="4"/>
      <c r="X19" s="4"/>
      <c r="Y19" s="4">
        <f t="shared" si="0"/>
        <v>153.69999999999999</v>
      </c>
    </row>
    <row r="20" spans="1:25" x14ac:dyDescent="0.25">
      <c r="A20" s="3" t="s">
        <v>47</v>
      </c>
      <c r="B20" s="3" t="s">
        <v>25</v>
      </c>
      <c r="C20" s="3" t="s">
        <v>43</v>
      </c>
      <c r="D20" s="3">
        <v>11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7</v>
      </c>
      <c r="K20" s="3">
        <v>44</v>
      </c>
      <c r="L20" s="3">
        <v>0</v>
      </c>
      <c r="M20" s="3">
        <v>64</v>
      </c>
      <c r="N20" s="3">
        <v>52</v>
      </c>
      <c r="O20" s="3">
        <v>467</v>
      </c>
      <c r="P20" s="3">
        <v>2</v>
      </c>
      <c r="Q20" s="3">
        <v>0</v>
      </c>
      <c r="R20" s="3">
        <v>0</v>
      </c>
      <c r="S20" s="3">
        <v>115.1</v>
      </c>
      <c r="T20" s="3">
        <v>9.6530920060331801E-2</v>
      </c>
      <c r="U20" s="3">
        <v>6.28571428571429</v>
      </c>
      <c r="V20" s="3">
        <v>8.9807692307692299</v>
      </c>
      <c r="W20" s="3"/>
      <c r="X20" s="3"/>
      <c r="Y20" s="3">
        <f t="shared" si="0"/>
        <v>115.1</v>
      </c>
    </row>
    <row r="21" spans="1:25" x14ac:dyDescent="0.25">
      <c r="A21" s="4" t="s">
        <v>48</v>
      </c>
      <c r="B21" s="4" t="s">
        <v>25</v>
      </c>
      <c r="C21" s="4" t="s">
        <v>43</v>
      </c>
      <c r="D21" s="4">
        <v>12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1</v>
      </c>
      <c r="K21" s="4">
        <v>1</v>
      </c>
      <c r="L21" s="4">
        <v>0</v>
      </c>
      <c r="M21" s="4">
        <v>107</v>
      </c>
      <c r="N21" s="4">
        <v>67</v>
      </c>
      <c r="O21" s="4">
        <v>709</v>
      </c>
      <c r="P21" s="4">
        <v>3</v>
      </c>
      <c r="Q21" s="4">
        <v>0</v>
      </c>
      <c r="R21" s="4">
        <v>0</v>
      </c>
      <c r="S21" s="4">
        <v>156</v>
      </c>
      <c r="T21" s="4">
        <v>0.161387631975867</v>
      </c>
      <c r="U21" s="4">
        <v>1</v>
      </c>
      <c r="V21" s="4">
        <v>10.5820895522388</v>
      </c>
      <c r="W21" s="4"/>
      <c r="X21" s="4"/>
      <c r="Y21" s="4">
        <f t="shared" si="0"/>
        <v>156</v>
      </c>
    </row>
    <row r="22" spans="1:25" x14ac:dyDescent="0.25">
      <c r="A22" s="3" t="s">
        <v>49</v>
      </c>
      <c r="B22" s="3" t="s">
        <v>25</v>
      </c>
      <c r="C22" s="3" t="s">
        <v>43</v>
      </c>
      <c r="D22" s="3">
        <v>2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4</v>
      </c>
      <c r="K22" s="3">
        <v>15</v>
      </c>
      <c r="L22" s="3">
        <v>0</v>
      </c>
      <c r="M22" s="3">
        <v>2</v>
      </c>
      <c r="N22" s="3">
        <v>2</v>
      </c>
      <c r="O22" s="3">
        <v>6</v>
      </c>
      <c r="P22" s="3">
        <v>0</v>
      </c>
      <c r="Q22" s="3">
        <v>0</v>
      </c>
      <c r="R22" s="3">
        <v>0</v>
      </c>
      <c r="S22" s="3">
        <v>4.0999999999999996</v>
      </c>
      <c r="T22" s="3">
        <v>3.0165912518853701E-3</v>
      </c>
      <c r="U22" s="3">
        <v>3.75</v>
      </c>
      <c r="V22" s="3">
        <v>3</v>
      </c>
      <c r="W22" s="3"/>
      <c r="X22" s="3"/>
      <c r="Y22" s="3">
        <f t="shared" si="0"/>
        <v>4.0999999999999996</v>
      </c>
    </row>
    <row r="23" spans="1:25" x14ac:dyDescent="0.25">
      <c r="A23" s="4" t="s">
        <v>50</v>
      </c>
      <c r="B23" s="4" t="s">
        <v>25</v>
      </c>
      <c r="C23" s="4" t="s">
        <v>43</v>
      </c>
      <c r="D23" s="4">
        <v>7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17</v>
      </c>
      <c r="N23" s="4">
        <v>7</v>
      </c>
      <c r="O23" s="4">
        <v>76</v>
      </c>
      <c r="P23" s="4">
        <v>0</v>
      </c>
      <c r="Q23" s="4">
        <v>0</v>
      </c>
      <c r="R23" s="4">
        <v>0</v>
      </c>
      <c r="S23" s="4">
        <v>14.6</v>
      </c>
      <c r="T23" s="4">
        <v>2.5641025641025599E-2</v>
      </c>
      <c r="U23" s="4"/>
      <c r="V23" s="4">
        <v>10.8571428571429</v>
      </c>
      <c r="W23" s="4"/>
      <c r="X23" s="4"/>
      <c r="Y23" s="4">
        <f t="shared" si="0"/>
        <v>14.600000000000001</v>
      </c>
    </row>
    <row r="24" spans="1:25" x14ac:dyDescent="0.25">
      <c r="A24" s="3" t="s">
        <v>51</v>
      </c>
      <c r="B24" s="3" t="s">
        <v>25</v>
      </c>
      <c r="C24" s="3" t="s">
        <v>43</v>
      </c>
      <c r="D24" s="3">
        <v>8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6</v>
      </c>
      <c r="K24" s="3">
        <v>-5</v>
      </c>
      <c r="L24" s="3">
        <v>0</v>
      </c>
      <c r="M24" s="3">
        <v>56</v>
      </c>
      <c r="N24" s="3">
        <v>41</v>
      </c>
      <c r="O24" s="3">
        <v>414</v>
      </c>
      <c r="P24" s="3">
        <v>1</v>
      </c>
      <c r="Q24" s="3">
        <v>0</v>
      </c>
      <c r="R24" s="3">
        <v>0</v>
      </c>
      <c r="S24" s="3">
        <v>87.9</v>
      </c>
      <c r="T24" s="3">
        <v>8.4464555052790394E-2</v>
      </c>
      <c r="U24" s="3">
        <v>-0.83333333333333304</v>
      </c>
      <c r="V24" s="3">
        <v>10.097560975609801</v>
      </c>
      <c r="W24" s="3"/>
      <c r="X24" s="3"/>
      <c r="Y24" s="3">
        <f t="shared" si="0"/>
        <v>87.9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25</v>
      </c>
      <c r="B31" s="3">
        <v>5835</v>
      </c>
      <c r="C31" s="3">
        <v>3962</v>
      </c>
      <c r="D31" s="3">
        <v>434</v>
      </c>
      <c r="E31" s="3">
        <v>1873</v>
      </c>
      <c r="F31" s="3">
        <v>15</v>
      </c>
      <c r="G31" s="3">
        <v>1401.98</v>
      </c>
      <c r="H31" s="3">
        <v>663</v>
      </c>
      <c r="I31" s="3">
        <v>0.65158371040723995</v>
      </c>
      <c r="J31" s="3">
        <v>17</v>
      </c>
      <c r="K31" s="3">
        <v>17</v>
      </c>
      <c r="L31" s="3">
        <v>6</v>
      </c>
      <c r="M31" s="3">
        <f ca="1">SUM(INDIRECT(A33 &amp; "_Table1[[#All],[f_custom]]"))</f>
        <v>1397.9799999999998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ARI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2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61</v>
      </c>
      <c r="B36" s="3" t="s">
        <v>26</v>
      </c>
      <c r="C36" s="3">
        <v>28</v>
      </c>
      <c r="D36" s="3">
        <v>4</v>
      </c>
      <c r="E36" s="3" t="s">
        <v>62</v>
      </c>
      <c r="F36" s="3" t="s">
        <v>25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1</v>
      </c>
      <c r="R36" s="3">
        <v>10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2</v>
      </c>
      <c r="W36" s="3" t="e">
        <f ca="1">$P36/$H$33</f>
        <v>#DIV/0!</v>
      </c>
      <c r="X36" s="3" t="e">
        <f>$N36/$M36</f>
        <v>#DIV/0!</v>
      </c>
      <c r="Y36" s="3">
        <f>$R36/$Q36</f>
        <v>10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($J36*Cp_yd)+($K36*Cp_td)+($L36*Cint)+($M36*Ccar)+($N36*Cr_td)+($O36*Cr_yd)+(Q36*Crec)+($R36*Crec_yd)+($S36*Crec_td)+($T36*Cfmb)+($U36*Ctp_c)</f>
        <v>2</v>
      </c>
    </row>
    <row r="37" spans="1:28" x14ac:dyDescent="0.25">
      <c r="A37" s="4" t="s">
        <v>63</v>
      </c>
      <c r="B37" s="4" t="s">
        <v>26</v>
      </c>
      <c r="C37" s="4">
        <v>30</v>
      </c>
      <c r="D37" s="4">
        <v>8</v>
      </c>
      <c r="E37" s="4" t="s">
        <v>64</v>
      </c>
      <c r="F37" s="4" t="s">
        <v>25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 t="shared" ref="V37:V40" si="1">($J37*0.04)+($K37*4)+($L37*-2)+($N37*0.1)+($O37*6)+($Q37)+($R37*0.1)+($S37*6)+($T37*-2)</f>
        <v>0</v>
      </c>
      <c r="W37" s="4" t="e">
        <f t="shared" ref="W37:W40" ca="1" si="2">$P37/$H$33</f>
        <v>#DIV/0!</v>
      </c>
      <c r="X37" s="4" t="e">
        <f t="shared" ref="X37:X40" si="3">$N37/$M37</f>
        <v>#DIV/0!</v>
      </c>
      <c r="Y37" s="4" t="e">
        <f t="shared" ref="Y37:Y40" si="4">$R37/$Q37</f>
        <v>#DIV/0!</v>
      </c>
      <c r="Z37" s="4" t="e">
        <f t="shared" ref="Z37:Z40" si="5">$I37/$H37</f>
        <v>#DIV/0!</v>
      </c>
      <c r="AA37" s="4" t="e">
        <f t="shared" ref="AA37:AA40" si="6">$J37/$H37</f>
        <v>#DIV/0!</v>
      </c>
      <c r="AB37" s="4">
        <f>($J37*Cp_yd)+($K37*Cp_td)+($L37*Cint)+($M37*Ccar)+($N37*Cr_td)+($O37*Cr_yd)+(Q37*Crec)+($R37*Crec_yd)+($S37*Crec_td)+($T37*Cfmb)+($U37*Ctp_c)</f>
        <v>0</v>
      </c>
    </row>
    <row r="38" spans="1:28" x14ac:dyDescent="0.25">
      <c r="A38" s="3" t="s">
        <v>65</v>
      </c>
      <c r="B38" s="3" t="s">
        <v>26</v>
      </c>
      <c r="C38" s="3">
        <v>36</v>
      </c>
      <c r="D38" s="3">
        <v>14</v>
      </c>
      <c r="E38" s="3" t="s">
        <v>66</v>
      </c>
      <c r="F38" s="3" t="s">
        <v>25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 t="shared" si="1"/>
        <v>0</v>
      </c>
      <c r="W38" s="3" t="e">
        <f t="shared" ca="1" si="2"/>
        <v>#DIV/0!</v>
      </c>
      <c r="X38" s="3" t="e">
        <f t="shared" si="3"/>
        <v>#DIV/0!</v>
      </c>
      <c r="Y38" s="3" t="e">
        <f t="shared" si="4"/>
        <v>#DIV/0!</v>
      </c>
      <c r="Z38" s="3" t="e">
        <f t="shared" si="5"/>
        <v>#DIV/0!</v>
      </c>
      <c r="AA38" s="3" t="e">
        <f t="shared" si="6"/>
        <v>#DIV/0!</v>
      </c>
      <c r="AB38" s="3">
        <f>($J38*Cp_yd)+($K38*Cp_td)+($L38*Cint)+($M38*Ccar)+($N38*Cr_td)+($O38*Cr_yd)+(Q38*Crec)+($R38*Crec_yd)+($S38*Crec_td)+($T38*Cfmb)+($U38*Ctp_c)</f>
        <v>0</v>
      </c>
    </row>
    <row r="39" spans="1:28" x14ac:dyDescent="0.25">
      <c r="A39" s="4" t="s">
        <v>67</v>
      </c>
      <c r="B39" s="4" t="s">
        <v>26</v>
      </c>
      <c r="C39" s="4">
        <v>26</v>
      </c>
      <c r="D39" s="4">
        <v>5</v>
      </c>
      <c r="E39" s="4" t="s">
        <v>68</v>
      </c>
      <c r="F39" s="4" t="s">
        <v>25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 t="shared" si="1"/>
        <v>0</v>
      </c>
      <c r="W39" s="4" t="e">
        <f t="shared" ca="1" si="2"/>
        <v>#DIV/0!</v>
      </c>
      <c r="X39" s="4" t="e">
        <f t="shared" si="3"/>
        <v>#DIV/0!</v>
      </c>
      <c r="Y39" s="4" t="e">
        <f t="shared" si="4"/>
        <v>#DIV/0!</v>
      </c>
      <c r="Z39" s="4" t="e">
        <f t="shared" si="5"/>
        <v>#DIV/0!</v>
      </c>
      <c r="AA39" s="4" t="e">
        <f t="shared" si="6"/>
        <v>#DIV/0!</v>
      </c>
      <c r="AB39" s="4">
        <f>($J39*Cp_yd)+($K39*Cp_td)+($L39*Cint)+($M39*Ccar)+($N39*Cr_td)+($O39*Cr_yd)+(Q39*Crec)+($R39*Crec_yd)+($S39*Crec_td)+($T39*Cfmb)+($U39*Ctp_c)</f>
        <v>0</v>
      </c>
    </row>
    <row r="40" spans="1:28" x14ac:dyDescent="0.25">
      <c r="A40" s="3" t="s">
        <v>69</v>
      </c>
      <c r="B40" s="3" t="s">
        <v>26</v>
      </c>
      <c r="C40" s="3">
        <v>24</v>
      </c>
      <c r="D40" s="3">
        <v>0</v>
      </c>
      <c r="E40" s="3" t="s">
        <v>70</v>
      </c>
      <c r="F40" s="3" t="s">
        <v>25</v>
      </c>
      <c r="G40" s="3">
        <v>0</v>
      </c>
      <c r="H40" s="3">
        <v>0</v>
      </c>
      <c r="I40" s="3">
        <v>0</v>
      </c>
      <c r="J40" s="3">
        <v>0</v>
      </c>
      <c r="K40" s="3">
        <v>0</v>
      </c>
      <c r="L40" s="3">
        <v>0</v>
      </c>
      <c r="M40" s="3">
        <v>0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3">
        <v>0</v>
      </c>
      <c r="T40" s="3">
        <v>0</v>
      </c>
      <c r="U40" s="3">
        <v>0</v>
      </c>
      <c r="V40" s="3">
        <f t="shared" si="1"/>
        <v>0</v>
      </c>
      <c r="W40" s="3" t="e">
        <f t="shared" ca="1" si="2"/>
        <v>#DIV/0!</v>
      </c>
      <c r="X40" s="3" t="e">
        <f t="shared" si="3"/>
        <v>#DIV/0!</v>
      </c>
      <c r="Y40" s="3" t="e">
        <f t="shared" si="4"/>
        <v>#DIV/0!</v>
      </c>
      <c r="Z40" s="3" t="e">
        <f t="shared" si="5"/>
        <v>#DIV/0!</v>
      </c>
      <c r="AA40" s="3" t="e">
        <f t="shared" si="6"/>
        <v>#DIV/0!</v>
      </c>
      <c r="AB40" s="3">
        <f>($J40*Cp_yd)+($K40*Cp_td)+($L40*Cint)+($M40*Ccar)+($N40*Cr_td)+($O40*Cr_yd)+(Q40*Crec)+($R40*Crec_yd)+($S40*Crec_td)+($T40*Cfmb)+($U40*Ctp_c)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71</v>
      </c>
      <c r="B46" s="3" t="s">
        <v>31</v>
      </c>
      <c r="C46" s="3">
        <v>28</v>
      </c>
      <c r="D46" s="3">
        <v>7</v>
      </c>
      <c r="E46" s="3" t="s">
        <v>72</v>
      </c>
      <c r="F46" s="3" t="s">
        <v>25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 t="shared" ref="Z46:Z51" si="7">$R46/$Q46</f>
        <v>#DIV/0!</v>
      </c>
      <c r="AA46" s="3" t="e">
        <f>$J46/$H46</f>
        <v>#DIV/0!</v>
      </c>
      <c r="AB46" s="3">
        <f>($J46*Cp_yd)+($K46*Cp_td)+($L46*Cint)+($M46*Ccar)+($N46*Cr_td)+($O46*Cr_yd)+(Q46*Crec)+($R46*Crec_yd)+($S46*Crec_td)+($T46*Cfmb)+($U46*Ctp_c)</f>
        <v>0</v>
      </c>
    </row>
    <row r="47" spans="1:28" x14ac:dyDescent="0.25">
      <c r="A47" s="4" t="s">
        <v>73</v>
      </c>
      <c r="B47" s="4" t="s">
        <v>31</v>
      </c>
      <c r="C47" s="4">
        <v>28</v>
      </c>
      <c r="D47" s="4">
        <v>7</v>
      </c>
      <c r="E47" s="4" t="s">
        <v>74</v>
      </c>
      <c r="F47" s="4" t="s">
        <v>25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ref="V47:V51" si="8">($J47*0.04)+($K47*4)+($L47*-2)+($N47*0.1)+($O47*6)+($Q47)+($R47*0.1)+($S47*6)+($T47*-2)</f>
        <v>0</v>
      </c>
      <c r="W47" s="4" t="e">
        <f t="shared" ref="W47:W51" ca="1" si="9">$P47/$H$33</f>
        <v>#DIV/0!</v>
      </c>
      <c r="X47" s="4" t="e">
        <f t="shared" ref="X47:X51" si="10">$N47/$M47</f>
        <v>#DIV/0!</v>
      </c>
      <c r="Y47" s="4" t="e">
        <f t="shared" ref="Y47:Y51" si="11">$R47/$Q47</f>
        <v>#DIV/0!</v>
      </c>
      <c r="Z47" s="4" t="e">
        <f t="shared" si="7"/>
        <v>#DIV/0!</v>
      </c>
      <c r="AA47" s="4" t="e">
        <f t="shared" ref="AA47:AA51" si="12">$J47/$H47</f>
        <v>#DIV/0!</v>
      </c>
      <c r="AB47" s="4">
        <f t="shared" ref="AB47:AB51" si="13">($J47*Cp_yd)+($K47*Cp_td)+($L47*Cint)+($M47*Ccar)+($N47*Cr_td)+($O47*Cr_yd)+(Q47*Crec)+($R47*Crec_yd)+($S47*Crec_td)+($T47*Cfmb)+($U47*Ctp_c)</f>
        <v>0</v>
      </c>
    </row>
    <row r="48" spans="1:28" x14ac:dyDescent="0.25">
      <c r="A48" s="3" t="s">
        <v>75</v>
      </c>
      <c r="B48" s="3" t="s">
        <v>31</v>
      </c>
      <c r="C48" s="3">
        <v>24</v>
      </c>
      <c r="D48" s="3">
        <v>0</v>
      </c>
      <c r="E48" s="3" t="s">
        <v>76</v>
      </c>
      <c r="F48" s="3" t="s">
        <v>25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8"/>
        <v>0</v>
      </c>
      <c r="W48" s="3" t="e">
        <f t="shared" ca="1" si="9"/>
        <v>#DIV/0!</v>
      </c>
      <c r="X48" s="3" t="e">
        <f t="shared" si="10"/>
        <v>#DIV/0!</v>
      </c>
      <c r="Y48" s="3" t="e">
        <f t="shared" si="11"/>
        <v>#DIV/0!</v>
      </c>
      <c r="Z48" s="3" t="e">
        <f t="shared" si="7"/>
        <v>#DIV/0!</v>
      </c>
      <c r="AA48" s="3" t="e">
        <f t="shared" si="12"/>
        <v>#DIV/0!</v>
      </c>
      <c r="AB48" s="3">
        <f t="shared" si="13"/>
        <v>0</v>
      </c>
    </row>
    <row r="49" spans="1:28" x14ac:dyDescent="0.25">
      <c r="A49" s="4" t="s">
        <v>77</v>
      </c>
      <c r="B49" s="4" t="s">
        <v>31</v>
      </c>
      <c r="C49" s="4">
        <v>23</v>
      </c>
      <c r="D49" s="4">
        <v>2</v>
      </c>
      <c r="E49" s="4" t="s">
        <v>78</v>
      </c>
      <c r="F49" s="4" t="s">
        <v>25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8"/>
        <v>0</v>
      </c>
      <c r="W49" s="4" t="e">
        <f t="shared" ca="1" si="9"/>
        <v>#DIV/0!</v>
      </c>
      <c r="X49" s="4" t="e">
        <f t="shared" si="10"/>
        <v>#DIV/0!</v>
      </c>
      <c r="Y49" s="4" t="e">
        <f t="shared" si="11"/>
        <v>#DIV/0!</v>
      </c>
      <c r="Z49" s="4" t="e">
        <f t="shared" si="7"/>
        <v>#DIV/0!</v>
      </c>
      <c r="AA49" s="4" t="e">
        <f t="shared" si="12"/>
        <v>#DIV/0!</v>
      </c>
      <c r="AB49" s="4">
        <f t="shared" si="13"/>
        <v>0</v>
      </c>
    </row>
    <row r="50" spans="1:28" x14ac:dyDescent="0.25">
      <c r="A50" s="3" t="s">
        <v>79</v>
      </c>
      <c r="B50" s="3" t="s">
        <v>31</v>
      </c>
      <c r="C50" s="3">
        <v>27</v>
      </c>
      <c r="D50" s="3">
        <v>7</v>
      </c>
      <c r="E50" s="3" t="s">
        <v>80</v>
      </c>
      <c r="F50" s="3" t="s">
        <v>25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8"/>
        <v>0</v>
      </c>
      <c r="W50" s="3" t="e">
        <f t="shared" ca="1" si="9"/>
        <v>#DIV/0!</v>
      </c>
      <c r="X50" s="3" t="e">
        <f t="shared" si="10"/>
        <v>#DIV/0!</v>
      </c>
      <c r="Y50" s="3" t="e">
        <f t="shared" si="11"/>
        <v>#DIV/0!</v>
      </c>
      <c r="Z50" s="3" t="e">
        <f t="shared" si="7"/>
        <v>#DIV/0!</v>
      </c>
      <c r="AA50" s="3" t="e">
        <f t="shared" si="12"/>
        <v>#DIV/0!</v>
      </c>
      <c r="AB50" s="3">
        <f t="shared" si="13"/>
        <v>0</v>
      </c>
    </row>
    <row r="51" spans="1:28" x14ac:dyDescent="0.25">
      <c r="A51" s="4" t="s">
        <v>81</v>
      </c>
      <c r="B51" s="4" t="s">
        <v>31</v>
      </c>
      <c r="C51" s="4">
        <v>26</v>
      </c>
      <c r="D51" s="4">
        <v>2</v>
      </c>
      <c r="E51" s="4" t="s">
        <v>82</v>
      </c>
      <c r="F51" s="4" t="s">
        <v>25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8"/>
        <v>0</v>
      </c>
      <c r="W51" s="4" t="e">
        <f t="shared" ca="1" si="9"/>
        <v>#DIV/0!</v>
      </c>
      <c r="X51" s="4" t="e">
        <f t="shared" si="10"/>
        <v>#DIV/0!</v>
      </c>
      <c r="Y51" s="4" t="e">
        <f t="shared" si="11"/>
        <v>#DIV/0!</v>
      </c>
      <c r="Z51" s="4" t="e">
        <f t="shared" si="7"/>
        <v>#DIV/0!</v>
      </c>
      <c r="AA51" s="4" t="e">
        <f t="shared" si="12"/>
        <v>#DIV/0!</v>
      </c>
      <c r="AB51" s="4">
        <f t="shared" si="13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83</v>
      </c>
      <c r="B61" s="3" t="s">
        <v>43</v>
      </c>
      <c r="C61" s="3">
        <v>24</v>
      </c>
      <c r="D61" s="3">
        <v>0</v>
      </c>
      <c r="E61" s="3" t="s">
        <v>84</v>
      </c>
      <c r="F61" s="3" t="s">
        <v>25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>($J61*0.04)+($K61*4)+($L61*-2)+($N61*0.1)+($O61*6)+($Q61)+($R61*0.1)+($S61*6)+($T61*-2)</f>
        <v>0</v>
      </c>
      <c r="W61" s="3" t="e">
        <f t="shared" ref="W61:W71" ca="1" si="14">$P61/$H$33</f>
        <v>#DIV/0!</v>
      </c>
      <c r="X61" s="3" t="e">
        <f t="shared" ref="X61:X71" si="15">$N61/$M61</f>
        <v>#DIV/0!</v>
      </c>
      <c r="Y61" s="3" t="e">
        <f t="shared" ref="Y61:Z71" si="16">$R61/$Q61</f>
        <v>#DIV/0!</v>
      </c>
      <c r="Z61" s="3" t="e">
        <f t="shared" si="16"/>
        <v>#DIV/0!</v>
      </c>
      <c r="AA61" s="3" t="e">
        <f t="shared" ref="AA61:AA71" si="17">$J61/$H61</f>
        <v>#DIV/0!</v>
      </c>
      <c r="AB61" s="3">
        <f t="shared" ref="AB61:AB71" si="18">($J61*Cp_yd)+($K61*Cp_td)+($L61*Cint)+($M61*Ccar)+($N61*Cr_td)+($O61*Cr_yd)+(Q61*Crec)+($R61*Crec_yd)+($S61*Crec_td)+($T61*Cfmb)+($U61*Ctp_c)</f>
        <v>0</v>
      </c>
    </row>
    <row r="62" spans="1:28" x14ac:dyDescent="0.25">
      <c r="A62" s="4" t="s">
        <v>85</v>
      </c>
      <c r="B62" s="4" t="s">
        <v>43</v>
      </c>
      <c r="C62" s="4">
        <v>26</v>
      </c>
      <c r="D62" s="4">
        <v>2</v>
      </c>
      <c r="E62" s="4" t="s">
        <v>86</v>
      </c>
      <c r="F62" s="4" t="s">
        <v>25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ref="V62:V71" si="19">($J62*0.04)+($K62*4)+($L62*-2)+($N62*0.1)+($O62*6)+($Q62)+($R62*0.1)+($S62*6)+($T62*-2)</f>
        <v>0</v>
      </c>
      <c r="W62" s="4" t="e">
        <f t="shared" ca="1" si="14"/>
        <v>#DIV/0!</v>
      </c>
      <c r="X62" s="4" t="e">
        <f t="shared" si="15"/>
        <v>#DIV/0!</v>
      </c>
      <c r="Y62" s="4" t="e">
        <f t="shared" si="16"/>
        <v>#DIV/0!</v>
      </c>
      <c r="Z62" s="4" t="e">
        <f t="shared" si="16"/>
        <v>#DIV/0!</v>
      </c>
      <c r="AA62" s="4" t="e">
        <f t="shared" si="17"/>
        <v>#DIV/0!</v>
      </c>
      <c r="AB62" s="4">
        <f t="shared" si="18"/>
        <v>0</v>
      </c>
    </row>
    <row r="63" spans="1:28" x14ac:dyDescent="0.25">
      <c r="A63" s="3" t="s">
        <v>87</v>
      </c>
      <c r="B63" s="3" t="s">
        <v>43</v>
      </c>
      <c r="C63" s="3">
        <v>26</v>
      </c>
      <c r="D63" s="3">
        <v>5</v>
      </c>
      <c r="E63" s="3" t="s">
        <v>68</v>
      </c>
      <c r="F63" s="3" t="s">
        <v>25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19"/>
        <v>0</v>
      </c>
      <c r="W63" s="3" t="e">
        <f t="shared" ca="1" si="14"/>
        <v>#DIV/0!</v>
      </c>
      <c r="X63" s="3" t="e">
        <f t="shared" si="15"/>
        <v>#DIV/0!</v>
      </c>
      <c r="Y63" s="3" t="e">
        <f t="shared" si="16"/>
        <v>#DIV/0!</v>
      </c>
      <c r="Z63" s="3" t="e">
        <f t="shared" si="16"/>
        <v>#DIV/0!</v>
      </c>
      <c r="AA63" s="3" t="e">
        <f t="shared" si="17"/>
        <v>#DIV/0!</v>
      </c>
      <c r="AB63" s="3">
        <f t="shared" si="18"/>
        <v>0</v>
      </c>
    </row>
    <row r="64" spans="1:28" x14ac:dyDescent="0.25">
      <c r="A64" s="4" t="s">
        <v>88</v>
      </c>
      <c r="B64" s="4" t="s">
        <v>43</v>
      </c>
      <c r="C64" s="4">
        <v>23</v>
      </c>
      <c r="D64" s="4">
        <v>0</v>
      </c>
      <c r="E64" s="4" t="s">
        <v>89</v>
      </c>
      <c r="F64" s="4" t="s">
        <v>25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19"/>
        <v>0</v>
      </c>
      <c r="W64" s="4" t="e">
        <f t="shared" ca="1" si="14"/>
        <v>#DIV/0!</v>
      </c>
      <c r="X64" s="4" t="e">
        <f t="shared" si="15"/>
        <v>#DIV/0!</v>
      </c>
      <c r="Y64" s="4" t="e">
        <f t="shared" si="16"/>
        <v>#DIV/0!</v>
      </c>
      <c r="Z64" s="4" t="e">
        <f t="shared" si="16"/>
        <v>#DIV/0!</v>
      </c>
      <c r="AA64" s="4" t="e">
        <f t="shared" si="17"/>
        <v>#DIV/0!</v>
      </c>
      <c r="AB64" s="4">
        <f t="shared" si="18"/>
        <v>0</v>
      </c>
    </row>
    <row r="65" spans="1:28" x14ac:dyDescent="0.25">
      <c r="A65" s="3" t="s">
        <v>90</v>
      </c>
      <c r="B65" s="3" t="s">
        <v>43</v>
      </c>
      <c r="C65" s="3">
        <v>26</v>
      </c>
      <c r="D65" s="3">
        <v>2</v>
      </c>
      <c r="E65" s="3" t="s">
        <v>91</v>
      </c>
      <c r="F65" s="3" t="s">
        <v>25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19"/>
        <v>0</v>
      </c>
      <c r="W65" s="3" t="e">
        <f t="shared" ca="1" si="14"/>
        <v>#DIV/0!</v>
      </c>
      <c r="X65" s="3" t="e">
        <f t="shared" si="15"/>
        <v>#DIV/0!</v>
      </c>
      <c r="Y65" s="3" t="e">
        <f t="shared" si="16"/>
        <v>#DIV/0!</v>
      </c>
      <c r="Z65" s="3" t="e">
        <f t="shared" si="16"/>
        <v>#DIV/0!</v>
      </c>
      <c r="AA65" s="3" t="e">
        <f t="shared" si="17"/>
        <v>#DIV/0!</v>
      </c>
      <c r="AB65" s="3">
        <f t="shared" si="18"/>
        <v>0</v>
      </c>
    </row>
    <row r="66" spans="1:28" x14ac:dyDescent="0.25">
      <c r="A66" s="4" t="s">
        <v>92</v>
      </c>
      <c r="B66" s="4" t="s">
        <v>43</v>
      </c>
      <c r="C66" s="4">
        <v>24</v>
      </c>
      <c r="D66" s="4">
        <v>1</v>
      </c>
      <c r="E66" s="4" t="s">
        <v>93</v>
      </c>
      <c r="F66" s="4" t="s">
        <v>25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19"/>
        <v>0</v>
      </c>
      <c r="W66" s="4" t="e">
        <f t="shared" ca="1" si="14"/>
        <v>#DIV/0!</v>
      </c>
      <c r="X66" s="4" t="e">
        <f t="shared" si="15"/>
        <v>#DIV/0!</v>
      </c>
      <c r="Y66" s="4" t="e">
        <f t="shared" si="16"/>
        <v>#DIV/0!</v>
      </c>
      <c r="Z66" s="4" t="e">
        <f t="shared" si="16"/>
        <v>#DIV/0!</v>
      </c>
      <c r="AA66" s="4" t="e">
        <f t="shared" si="17"/>
        <v>#DIV/0!</v>
      </c>
      <c r="AB66" s="4">
        <f t="shared" si="18"/>
        <v>0</v>
      </c>
    </row>
    <row r="67" spans="1:28" x14ac:dyDescent="0.25">
      <c r="A67" s="3" t="s">
        <v>94</v>
      </c>
      <c r="B67" s="3" t="s">
        <v>43</v>
      </c>
      <c r="C67" s="3">
        <v>25</v>
      </c>
      <c r="D67" s="3">
        <v>3</v>
      </c>
      <c r="E67" s="3" t="s">
        <v>95</v>
      </c>
      <c r="F67" s="3" t="s">
        <v>25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19"/>
        <v>0</v>
      </c>
      <c r="W67" s="3" t="e">
        <f t="shared" ca="1" si="14"/>
        <v>#DIV/0!</v>
      </c>
      <c r="X67" s="3" t="e">
        <f t="shared" si="15"/>
        <v>#DIV/0!</v>
      </c>
      <c r="Y67" s="3" t="e">
        <f t="shared" si="16"/>
        <v>#DIV/0!</v>
      </c>
      <c r="Z67" s="3" t="e">
        <f t="shared" si="16"/>
        <v>#DIV/0!</v>
      </c>
      <c r="AA67" s="3" t="e">
        <f t="shared" si="17"/>
        <v>#DIV/0!</v>
      </c>
      <c r="AB67" s="3">
        <f t="shared" si="18"/>
        <v>0</v>
      </c>
    </row>
    <row r="68" spans="1:28" x14ac:dyDescent="0.25">
      <c r="A68" s="4" t="s">
        <v>96</v>
      </c>
      <c r="B68" s="4" t="s">
        <v>43</v>
      </c>
      <c r="C68" s="4">
        <v>23</v>
      </c>
      <c r="D68" s="4">
        <v>3</v>
      </c>
      <c r="E68" s="4" t="s">
        <v>62</v>
      </c>
      <c r="F68" s="4" t="s">
        <v>25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19"/>
        <v>0</v>
      </c>
      <c r="W68" s="4" t="e">
        <f t="shared" ca="1" si="14"/>
        <v>#DIV/0!</v>
      </c>
      <c r="X68" s="4" t="e">
        <f t="shared" si="15"/>
        <v>#DIV/0!</v>
      </c>
      <c r="Y68" s="4" t="e">
        <f t="shared" si="16"/>
        <v>#DIV/0!</v>
      </c>
      <c r="Z68" s="4" t="e">
        <f t="shared" si="16"/>
        <v>#DIV/0!</v>
      </c>
      <c r="AA68" s="4" t="e">
        <f t="shared" si="17"/>
        <v>#DIV/0!</v>
      </c>
      <c r="AB68" s="4">
        <f t="shared" si="18"/>
        <v>0</v>
      </c>
    </row>
    <row r="69" spans="1:28" x14ac:dyDescent="0.25">
      <c r="A69" s="3" t="s">
        <v>97</v>
      </c>
      <c r="B69" s="3" t="s">
        <v>43</v>
      </c>
      <c r="C69" s="3">
        <v>28</v>
      </c>
      <c r="D69" s="3">
        <v>6</v>
      </c>
      <c r="E69" s="3" t="s">
        <v>98</v>
      </c>
      <c r="F69" s="3" t="s">
        <v>25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19"/>
        <v>0</v>
      </c>
      <c r="W69" s="3" t="e">
        <f t="shared" ca="1" si="14"/>
        <v>#DIV/0!</v>
      </c>
      <c r="X69" s="3" t="e">
        <f t="shared" si="15"/>
        <v>#DIV/0!</v>
      </c>
      <c r="Y69" s="3" t="e">
        <f t="shared" si="16"/>
        <v>#DIV/0!</v>
      </c>
      <c r="Z69" s="3" t="e">
        <f t="shared" si="16"/>
        <v>#DIV/0!</v>
      </c>
      <c r="AA69" s="3" t="e">
        <f t="shared" si="17"/>
        <v>#DIV/0!</v>
      </c>
      <c r="AB69" s="3">
        <f t="shared" si="18"/>
        <v>0</v>
      </c>
    </row>
    <row r="70" spans="1:28" x14ac:dyDescent="0.25">
      <c r="A70" s="4" t="s">
        <v>99</v>
      </c>
      <c r="B70" s="4" t="s">
        <v>43</v>
      </c>
      <c r="C70" s="4">
        <v>24</v>
      </c>
      <c r="D70" s="4">
        <v>1</v>
      </c>
      <c r="E70" s="4" t="s">
        <v>100</v>
      </c>
      <c r="F70" s="4" t="s">
        <v>25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19"/>
        <v>0</v>
      </c>
      <c r="W70" s="4" t="e">
        <f t="shared" ca="1" si="14"/>
        <v>#DIV/0!</v>
      </c>
      <c r="X70" s="4" t="e">
        <f t="shared" si="15"/>
        <v>#DIV/0!</v>
      </c>
      <c r="Y70" s="4" t="e">
        <f t="shared" si="16"/>
        <v>#DIV/0!</v>
      </c>
      <c r="Z70" s="4" t="e">
        <f t="shared" si="16"/>
        <v>#DIV/0!</v>
      </c>
      <c r="AA70" s="4" t="e">
        <f t="shared" si="17"/>
        <v>#DIV/0!</v>
      </c>
      <c r="AB70" s="4">
        <f t="shared" si="18"/>
        <v>0</v>
      </c>
    </row>
    <row r="71" spans="1:28" x14ac:dyDescent="0.25">
      <c r="A71" s="3" t="s">
        <v>101</v>
      </c>
      <c r="B71" s="3" t="s">
        <v>43</v>
      </c>
      <c r="C71" s="3">
        <v>23</v>
      </c>
      <c r="D71" s="3">
        <v>0</v>
      </c>
      <c r="E71" s="3" t="s">
        <v>102</v>
      </c>
      <c r="F71" s="3" t="s">
        <v>25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19"/>
        <v>0</v>
      </c>
      <c r="W71" s="3" t="e">
        <f t="shared" ca="1" si="14"/>
        <v>#DIV/0!</v>
      </c>
      <c r="X71" s="3" t="e">
        <f t="shared" si="15"/>
        <v>#DIV/0!</v>
      </c>
      <c r="Y71" s="3" t="e">
        <f t="shared" si="16"/>
        <v>#DIV/0!</v>
      </c>
      <c r="Z71" s="3" t="e">
        <f t="shared" si="16"/>
        <v>#DIV/0!</v>
      </c>
      <c r="AA71" s="3" t="e">
        <f t="shared" si="17"/>
        <v>#DIV/0!</v>
      </c>
      <c r="AB71" s="3">
        <f t="shared" si="18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103</v>
      </c>
      <c r="B76" s="3" t="s">
        <v>38</v>
      </c>
      <c r="C76" s="3">
        <v>32</v>
      </c>
      <c r="D76" s="3">
        <v>11</v>
      </c>
      <c r="E76" s="3" t="s">
        <v>102</v>
      </c>
      <c r="F76" s="3" t="s">
        <v>25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t="shared" ref="W76:W82" ca="1" si="20">$P76/$H$33</f>
        <v>#DIV/0!</v>
      </c>
      <c r="X76" s="3" t="e">
        <f t="shared" ref="X76:X82" si="21">$N76/$M76</f>
        <v>#DIV/0!</v>
      </c>
      <c r="Y76" s="3" t="e">
        <f t="shared" ref="Y76:Z82" si="22">$R76/$Q76</f>
        <v>#DIV/0!</v>
      </c>
      <c r="Z76" s="3" t="e">
        <f t="shared" si="22"/>
        <v>#DIV/0!</v>
      </c>
      <c r="AA76" s="3" t="e">
        <f t="shared" ref="AA76:AA82" si="23">$J76/$H76</f>
        <v>#DIV/0!</v>
      </c>
      <c r="AB76" s="3">
        <f t="shared" ref="AB76:AB82" si="24">($J76*Cp_yd)+($K76*Cp_td)+($L76*Cint)+($M76*Ccar)+($N76*Cr_td)+($O76*Cr_yd)+(Q76*Crec)+($R76*Crec_yd)+($S76*Crec_td)+($T76*Cfmb)+($U76*Ctp_c)</f>
        <v>0</v>
      </c>
    </row>
    <row r="77" spans="1:28" x14ac:dyDescent="0.25">
      <c r="A77" s="4" t="s">
        <v>104</v>
      </c>
      <c r="B77" s="4" t="s">
        <v>38</v>
      </c>
      <c r="C77" s="4">
        <v>25</v>
      </c>
      <c r="D77" s="4">
        <v>0</v>
      </c>
      <c r="E77" s="4" t="s">
        <v>105</v>
      </c>
      <c r="F77" s="4" t="s">
        <v>25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ref="V77:V82" si="25">($J77*0.04)+($K77*4)+($L77*-2)+($N77*0.1)+($O77*6)+($Q77)+($R77*0.1)+($S77*6)+($T77*-2)</f>
        <v>0</v>
      </c>
      <c r="W77" s="4" t="e">
        <f t="shared" ca="1" si="20"/>
        <v>#DIV/0!</v>
      </c>
      <c r="X77" s="4" t="e">
        <f t="shared" si="21"/>
        <v>#DIV/0!</v>
      </c>
      <c r="Y77" s="4" t="e">
        <f t="shared" si="22"/>
        <v>#DIV/0!</v>
      </c>
      <c r="Z77" s="4" t="e">
        <f t="shared" si="22"/>
        <v>#DIV/0!</v>
      </c>
      <c r="AA77" s="4" t="e">
        <f t="shared" si="23"/>
        <v>#DIV/0!</v>
      </c>
      <c r="AB77" s="4">
        <f t="shared" si="24"/>
        <v>0</v>
      </c>
    </row>
    <row r="78" spans="1:28" x14ac:dyDescent="0.25">
      <c r="A78" s="3" t="s">
        <v>106</v>
      </c>
      <c r="B78" s="3" t="s">
        <v>38</v>
      </c>
      <c r="C78" s="3">
        <v>23</v>
      </c>
      <c r="D78" s="3">
        <v>2</v>
      </c>
      <c r="E78" s="3" t="s">
        <v>107</v>
      </c>
      <c r="F78" s="3" t="s">
        <v>25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25"/>
        <v>0</v>
      </c>
      <c r="W78" s="3" t="e">
        <f t="shared" ca="1" si="20"/>
        <v>#DIV/0!</v>
      </c>
      <c r="X78" s="3" t="e">
        <f t="shared" si="21"/>
        <v>#DIV/0!</v>
      </c>
      <c r="Y78" s="3" t="e">
        <f t="shared" si="22"/>
        <v>#DIV/0!</v>
      </c>
      <c r="Z78" s="3" t="e">
        <f t="shared" si="22"/>
        <v>#DIV/0!</v>
      </c>
      <c r="AA78" s="3" t="e">
        <f t="shared" si="23"/>
        <v>#DIV/0!</v>
      </c>
      <c r="AB78" s="3">
        <f t="shared" si="24"/>
        <v>0</v>
      </c>
    </row>
    <row r="79" spans="1:28" x14ac:dyDescent="0.25">
      <c r="A79" s="4" t="s">
        <v>108</v>
      </c>
      <c r="B79" s="4" t="s">
        <v>38</v>
      </c>
      <c r="C79" s="4">
        <v>26</v>
      </c>
      <c r="D79" s="4">
        <v>1</v>
      </c>
      <c r="E79" s="4" t="s">
        <v>93</v>
      </c>
      <c r="F79" s="4" t="s">
        <v>25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25"/>
        <v>0</v>
      </c>
      <c r="W79" s="4" t="e">
        <f t="shared" ca="1" si="20"/>
        <v>#DIV/0!</v>
      </c>
      <c r="X79" s="4" t="e">
        <f t="shared" si="21"/>
        <v>#DIV/0!</v>
      </c>
      <c r="Y79" s="4" t="e">
        <f t="shared" si="22"/>
        <v>#DIV/0!</v>
      </c>
      <c r="Z79" s="4" t="e">
        <f t="shared" si="22"/>
        <v>#DIV/0!</v>
      </c>
      <c r="AA79" s="4" t="e">
        <f t="shared" si="23"/>
        <v>#DIV/0!</v>
      </c>
      <c r="AB79" s="4">
        <f t="shared" si="24"/>
        <v>0</v>
      </c>
    </row>
    <row r="80" spans="1:28" x14ac:dyDescent="0.25">
      <c r="A80" s="3" t="s">
        <v>109</v>
      </c>
      <c r="B80" s="3" t="s">
        <v>38</v>
      </c>
      <c r="C80" s="3">
        <v>29</v>
      </c>
      <c r="D80" s="3">
        <v>9</v>
      </c>
      <c r="E80" s="3" t="s">
        <v>66</v>
      </c>
      <c r="F80" s="3" t="s">
        <v>25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25"/>
        <v>0</v>
      </c>
      <c r="W80" s="3" t="e">
        <f t="shared" ca="1" si="20"/>
        <v>#DIV/0!</v>
      </c>
      <c r="X80" s="3" t="e">
        <f t="shared" si="21"/>
        <v>#DIV/0!</v>
      </c>
      <c r="Y80" s="3" t="e">
        <f t="shared" si="22"/>
        <v>#DIV/0!</v>
      </c>
      <c r="Z80" s="3" t="e">
        <f t="shared" si="22"/>
        <v>#DIV/0!</v>
      </c>
      <c r="AA80" s="3" t="e">
        <f t="shared" si="23"/>
        <v>#DIV/0!</v>
      </c>
      <c r="AB80" s="3">
        <f t="shared" si="24"/>
        <v>0</v>
      </c>
    </row>
    <row r="81" spans="1:28" x14ac:dyDescent="0.25">
      <c r="A81" s="4" t="s">
        <v>110</v>
      </c>
      <c r="B81" s="4" t="s">
        <v>38</v>
      </c>
      <c r="C81" s="4">
        <v>26</v>
      </c>
      <c r="D81" s="4">
        <v>2</v>
      </c>
      <c r="E81" s="4" t="s">
        <v>111</v>
      </c>
      <c r="F81" s="4" t="s">
        <v>25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25"/>
        <v>0</v>
      </c>
      <c r="W81" s="4" t="e">
        <f t="shared" ca="1" si="20"/>
        <v>#DIV/0!</v>
      </c>
      <c r="X81" s="4" t="e">
        <f t="shared" si="21"/>
        <v>#DIV/0!</v>
      </c>
      <c r="Y81" s="4" t="e">
        <f t="shared" si="22"/>
        <v>#DIV/0!</v>
      </c>
      <c r="Z81" s="4" t="e">
        <f t="shared" si="22"/>
        <v>#DIV/0!</v>
      </c>
      <c r="AA81" s="4" t="e">
        <f t="shared" si="23"/>
        <v>#DIV/0!</v>
      </c>
      <c r="AB81" s="4">
        <f t="shared" si="24"/>
        <v>0</v>
      </c>
    </row>
    <row r="82" spans="1:28" x14ac:dyDescent="0.25">
      <c r="A82" s="3" t="s">
        <v>112</v>
      </c>
      <c r="B82" s="3" t="s">
        <v>38</v>
      </c>
      <c r="C82" s="3">
        <v>23</v>
      </c>
      <c r="D82" s="3">
        <v>0</v>
      </c>
      <c r="E82" s="3" t="s">
        <v>95</v>
      </c>
      <c r="F82" s="3" t="s">
        <v>25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f t="shared" si="25"/>
        <v>0</v>
      </c>
      <c r="W82" s="3" t="e">
        <f t="shared" ca="1" si="20"/>
        <v>#DIV/0!</v>
      </c>
      <c r="X82" s="3" t="e">
        <f t="shared" si="21"/>
        <v>#DIV/0!</v>
      </c>
      <c r="Y82" s="3" t="e">
        <f t="shared" si="22"/>
        <v>#DIV/0!</v>
      </c>
      <c r="Z82" s="3" t="e">
        <f t="shared" si="22"/>
        <v>#DIV/0!</v>
      </c>
      <c r="AA82" s="3" t="e">
        <f t="shared" si="23"/>
        <v>#DIV/0!</v>
      </c>
      <c r="AB82" s="3">
        <f t="shared" si="24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B82"/>
  <sheetViews>
    <sheetView zoomScale="70" zoomScaleNormal="70" workbookViewId="0">
      <selection activeCell="O30" sqref="O30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113</v>
      </c>
      <c r="B2" s="3" t="s">
        <v>114</v>
      </c>
      <c r="C2" s="3" t="s">
        <v>115</v>
      </c>
      <c r="D2" s="3">
        <v>2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1</v>
      </c>
      <c r="K2" s="3">
        <v>2</v>
      </c>
      <c r="L2" s="3">
        <v>0</v>
      </c>
      <c r="M2" s="3">
        <v>2</v>
      </c>
      <c r="N2" s="3">
        <v>1</v>
      </c>
      <c r="O2" s="3">
        <v>8</v>
      </c>
      <c r="P2" s="3">
        <v>0</v>
      </c>
      <c r="Q2" s="3">
        <v>0</v>
      </c>
      <c r="R2" s="3">
        <v>0</v>
      </c>
      <c r="S2" s="3">
        <v>2</v>
      </c>
      <c r="T2" s="3">
        <v>3.0165912518853701E-3</v>
      </c>
      <c r="U2" s="3">
        <v>2</v>
      </c>
      <c r="V2" s="3">
        <v>8</v>
      </c>
      <c r="W2" s="3"/>
      <c r="X2" s="3"/>
      <c r="Y2" s="3">
        <f>($G2*Admin!$C$4)+($H2*Admin!$C$3)+($I2*Admin!$C$5)+($K2*Admin!$C$9)+($L2*Admin!$C$10)+($N2*Admin!$C$7)+($O2*Admin!$C$11)+($P2*Admin!$C$12)+($Q2*Admin!$C$6)+($R2*Admin!$C$13)</f>
        <v>2</v>
      </c>
    </row>
    <row r="3" spans="1:25" x14ac:dyDescent="0.25">
      <c r="A3" s="4" t="s">
        <v>116</v>
      </c>
      <c r="B3" s="4" t="s">
        <v>114</v>
      </c>
      <c r="C3" s="4" t="s">
        <v>26</v>
      </c>
      <c r="D3" s="4">
        <v>4</v>
      </c>
      <c r="E3" s="4">
        <v>115</v>
      </c>
      <c r="F3" s="4">
        <v>73</v>
      </c>
      <c r="G3" s="4">
        <v>708</v>
      </c>
      <c r="H3" s="4">
        <v>2</v>
      </c>
      <c r="I3" s="4">
        <v>0</v>
      </c>
      <c r="J3" s="4">
        <v>16</v>
      </c>
      <c r="K3" s="4">
        <v>64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2</v>
      </c>
      <c r="R3" s="4">
        <v>0</v>
      </c>
      <c r="S3" s="4">
        <v>38.72</v>
      </c>
      <c r="T3" s="4">
        <v>0</v>
      </c>
      <c r="U3" s="4">
        <v>4</v>
      </c>
      <c r="V3" s="4"/>
      <c r="W3" s="4">
        <v>0.63478260869565195</v>
      </c>
      <c r="X3" s="4">
        <v>1.7391304347826101E-2</v>
      </c>
      <c r="Y3" s="4">
        <f>($G3*Admin!$C$4)+($H3*Admin!$C$3)+($I3*Admin!$C$5)+($K3*Admin!$C$9)+($L3*Admin!$C$10)+($N3*Admin!$C$7)+($O3*Admin!$C$11)+($P3*Admin!$C$12)+($Q3*Admin!$C$6)+($R3*Admin!$C$13)</f>
        <v>38.72</v>
      </c>
    </row>
    <row r="4" spans="1:25" x14ac:dyDescent="0.25">
      <c r="A4" s="3" t="s">
        <v>117</v>
      </c>
      <c r="B4" s="3" t="s">
        <v>114</v>
      </c>
      <c r="C4" s="3" t="s">
        <v>26</v>
      </c>
      <c r="D4" s="3">
        <v>13</v>
      </c>
      <c r="E4" s="3">
        <v>300</v>
      </c>
      <c r="F4" s="3">
        <v>184</v>
      </c>
      <c r="G4" s="3">
        <v>2219</v>
      </c>
      <c r="H4" s="3">
        <v>15</v>
      </c>
      <c r="I4" s="3">
        <v>9</v>
      </c>
      <c r="J4" s="3">
        <v>85</v>
      </c>
      <c r="K4" s="3">
        <v>438</v>
      </c>
      <c r="L4" s="3">
        <v>4</v>
      </c>
      <c r="M4" s="3">
        <v>0</v>
      </c>
      <c r="N4" s="3">
        <v>0</v>
      </c>
      <c r="O4" s="3">
        <v>0</v>
      </c>
      <c r="P4" s="3">
        <v>0</v>
      </c>
      <c r="Q4" s="3">
        <v>3</v>
      </c>
      <c r="R4" s="3">
        <v>2</v>
      </c>
      <c r="S4" s="3">
        <v>196.56</v>
      </c>
      <c r="T4" s="3">
        <v>0</v>
      </c>
      <c r="U4" s="3">
        <v>5.1529411764705904</v>
      </c>
      <c r="V4" s="3"/>
      <c r="W4" s="3">
        <v>0.61333333333333295</v>
      </c>
      <c r="X4" s="3">
        <v>0.05</v>
      </c>
      <c r="Y4" s="3">
        <f>($G4*Admin!$C$4)+($H4*Admin!$C$3)+($I4*Admin!$C$5)+($K4*Admin!$C$9)+($L4*Admin!$C$10)+($N4*Admin!$C$7)+($O4*Admin!$C$11)+($P4*Admin!$C$12)+($Q4*Admin!$C$6)+($R4*Admin!$C$13)</f>
        <v>196.56</v>
      </c>
    </row>
    <row r="5" spans="1:25" x14ac:dyDescent="0.25">
      <c r="A5" s="4" t="s">
        <v>118</v>
      </c>
      <c r="B5" s="4" t="s">
        <v>114</v>
      </c>
      <c r="C5" s="4" t="s">
        <v>31</v>
      </c>
      <c r="D5" s="4">
        <v>14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22</v>
      </c>
      <c r="K5" s="4">
        <v>109</v>
      </c>
      <c r="L5" s="4">
        <v>1</v>
      </c>
      <c r="M5" s="4">
        <v>14</v>
      </c>
      <c r="N5" s="4">
        <v>13</v>
      </c>
      <c r="O5" s="4">
        <v>61</v>
      </c>
      <c r="P5" s="4">
        <v>0</v>
      </c>
      <c r="Q5" s="4">
        <v>0</v>
      </c>
      <c r="R5" s="4">
        <v>0</v>
      </c>
      <c r="S5" s="4">
        <v>36</v>
      </c>
      <c r="T5" s="4">
        <v>2.1116138763197598E-2</v>
      </c>
      <c r="U5" s="4">
        <v>4.9545454545454497</v>
      </c>
      <c r="V5" s="4">
        <v>4.6923076923076898</v>
      </c>
      <c r="W5" s="4"/>
      <c r="X5" s="4"/>
      <c r="Y5" s="4">
        <f>($G5*Admin!$C$4)+($H5*Admin!$C$3)+($I5*Admin!$C$5)+($K5*Admin!$C$9)+($L5*Admin!$C$10)+($N5*Admin!$C$7)+($O5*Admin!$C$11)+($P5*Admin!$C$12)+($Q5*Admin!$C$6)+($R5*Admin!$C$13)</f>
        <v>36</v>
      </c>
    </row>
    <row r="6" spans="1:25" x14ac:dyDescent="0.25">
      <c r="A6" s="3" t="s">
        <v>119</v>
      </c>
      <c r="B6" s="3" t="s">
        <v>114</v>
      </c>
      <c r="C6" s="3" t="s">
        <v>31</v>
      </c>
      <c r="D6" s="3">
        <v>12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76</v>
      </c>
      <c r="K6" s="3">
        <v>366</v>
      </c>
      <c r="L6" s="3">
        <v>1</v>
      </c>
      <c r="M6" s="3">
        <v>2</v>
      </c>
      <c r="N6" s="3">
        <v>2</v>
      </c>
      <c r="O6" s="3">
        <v>3</v>
      </c>
      <c r="P6" s="3">
        <v>0</v>
      </c>
      <c r="Q6" s="3">
        <v>0</v>
      </c>
      <c r="R6" s="3">
        <v>0</v>
      </c>
      <c r="S6" s="3">
        <v>44.9</v>
      </c>
      <c r="T6" s="3">
        <v>3.0165912518853701E-3</v>
      </c>
      <c r="U6" s="3">
        <v>4.8157894736842097</v>
      </c>
      <c r="V6" s="3">
        <v>1.5</v>
      </c>
      <c r="W6" s="3"/>
      <c r="X6" s="3"/>
      <c r="Y6" s="3">
        <f>($G6*Admin!$C$4)+($H6*Admin!$C$3)+($I6*Admin!$C$5)+($K6*Admin!$C$9)+($L6*Admin!$C$10)+($N6*Admin!$C$7)+($O6*Admin!$C$11)+($P6*Admin!$C$12)+($Q6*Admin!$C$6)+($R6*Admin!$C$13)</f>
        <v>44.9</v>
      </c>
    </row>
    <row r="7" spans="1:25" x14ac:dyDescent="0.25">
      <c r="A7" s="4" t="s">
        <v>120</v>
      </c>
      <c r="B7" s="4" t="s">
        <v>114</v>
      </c>
      <c r="C7" s="4" t="s">
        <v>31</v>
      </c>
      <c r="D7" s="4">
        <v>13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144</v>
      </c>
      <c r="K7" s="4">
        <v>695</v>
      </c>
      <c r="L7" s="4">
        <v>8</v>
      </c>
      <c r="M7" s="4">
        <v>31</v>
      </c>
      <c r="N7" s="4">
        <v>21</v>
      </c>
      <c r="O7" s="4">
        <v>122</v>
      </c>
      <c r="P7" s="4">
        <v>0</v>
      </c>
      <c r="Q7" s="4">
        <v>1</v>
      </c>
      <c r="R7" s="4">
        <v>0</v>
      </c>
      <c r="S7" s="4">
        <v>154.69999999999999</v>
      </c>
      <c r="T7" s="4">
        <v>4.67571644042232E-2</v>
      </c>
      <c r="U7" s="4">
        <v>4.8263888888888902</v>
      </c>
      <c r="V7" s="4">
        <v>5.8095238095238102</v>
      </c>
      <c r="W7" s="4"/>
      <c r="X7" s="4"/>
      <c r="Y7" s="4">
        <f>($G7*Admin!$C$4)+($H7*Admin!$C$3)+($I7*Admin!$C$5)+($K7*Admin!$C$9)+($L7*Admin!$C$10)+($N7*Admin!$C$7)+($O7*Admin!$C$11)+($P7*Admin!$C$12)+($Q7*Admin!$C$6)+($R7*Admin!$C$13)</f>
        <v>148.69999999999999</v>
      </c>
    </row>
    <row r="8" spans="1:25" x14ac:dyDescent="0.25">
      <c r="A8" s="3" t="s">
        <v>32</v>
      </c>
      <c r="B8" s="3" t="s">
        <v>114</v>
      </c>
      <c r="C8" s="3" t="s">
        <v>31</v>
      </c>
      <c r="D8" s="3">
        <v>1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2</v>
      </c>
      <c r="K8" s="3">
        <v>2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0.2</v>
      </c>
      <c r="T8" s="3">
        <v>0</v>
      </c>
      <c r="U8" s="3">
        <v>1</v>
      </c>
      <c r="V8" s="3"/>
      <c r="W8" s="3"/>
      <c r="X8" s="3"/>
      <c r="Y8" s="3">
        <f>($G8*Admin!$C$4)+($H8*Admin!$C$3)+($I8*Admin!$C$5)+($K8*Admin!$C$9)+($L8*Admin!$C$10)+($N8*Admin!$C$7)+($O8*Admin!$C$11)+($P8*Admin!$C$12)+($Q8*Admin!$C$6)+($R8*Admin!$C$13)</f>
        <v>0.2</v>
      </c>
    </row>
    <row r="9" spans="1:25" x14ac:dyDescent="0.25">
      <c r="A9" s="4" t="s">
        <v>121</v>
      </c>
      <c r="B9" s="4" t="s">
        <v>114</v>
      </c>
      <c r="C9" s="4" t="s">
        <v>31</v>
      </c>
      <c r="D9" s="4">
        <v>16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210</v>
      </c>
      <c r="K9" s="4">
        <v>1035</v>
      </c>
      <c r="L9" s="4">
        <v>3</v>
      </c>
      <c r="M9" s="4">
        <v>17</v>
      </c>
      <c r="N9" s="4">
        <v>16</v>
      </c>
      <c r="O9" s="4">
        <v>139</v>
      </c>
      <c r="P9" s="4">
        <v>1</v>
      </c>
      <c r="Q9" s="4">
        <v>0</v>
      </c>
      <c r="R9" s="4">
        <v>1</v>
      </c>
      <c r="S9" s="4">
        <v>159.4</v>
      </c>
      <c r="T9" s="4">
        <v>2.5641025641025599E-2</v>
      </c>
      <c r="U9" s="4">
        <v>4.9285714285714297</v>
      </c>
      <c r="V9" s="4">
        <v>8.6875</v>
      </c>
      <c r="W9" s="4"/>
      <c r="X9" s="4"/>
      <c r="Y9" s="4">
        <f>($G9*Admin!$C$4)+($H9*Admin!$C$3)+($I9*Admin!$C$5)+($K9*Admin!$C$9)+($L9*Admin!$C$10)+($N9*Admin!$C$7)+($O9*Admin!$C$11)+($P9*Admin!$C$12)+($Q9*Admin!$C$6)+($R9*Admin!$C$13)</f>
        <v>159.4</v>
      </c>
    </row>
    <row r="10" spans="1:25" x14ac:dyDescent="0.25">
      <c r="A10" s="3" t="s">
        <v>122</v>
      </c>
      <c r="B10" s="3" t="s">
        <v>114</v>
      </c>
      <c r="C10" s="3" t="s">
        <v>38</v>
      </c>
      <c r="D10" s="3">
        <v>8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13</v>
      </c>
      <c r="N10" s="3">
        <v>9</v>
      </c>
      <c r="O10" s="3">
        <v>100</v>
      </c>
      <c r="P10" s="3">
        <v>0</v>
      </c>
      <c r="Q10" s="3">
        <v>0</v>
      </c>
      <c r="R10" s="3">
        <v>0</v>
      </c>
      <c r="S10" s="3">
        <v>19</v>
      </c>
      <c r="T10" s="3">
        <v>1.9607843137254902E-2</v>
      </c>
      <c r="U10" s="3"/>
      <c r="V10" s="3">
        <v>11.1111111111111</v>
      </c>
      <c r="W10" s="3"/>
      <c r="X10" s="3"/>
      <c r="Y10" s="3">
        <f>($G10*Admin!$C$4)+($H10*Admin!$C$3)+($I10*Admin!$C$5)+($K10*Admin!$C$9)+($L10*Admin!$C$10)+($N10*Admin!$C$7)+($O10*Admin!$C$11)+($P10*Admin!$C$12)+($Q10*Admin!$C$6)+($R10*Admin!$C$13)</f>
        <v>19</v>
      </c>
    </row>
    <row r="11" spans="1:25" x14ac:dyDescent="0.25">
      <c r="A11" s="4" t="s">
        <v>123</v>
      </c>
      <c r="B11" s="4" t="s">
        <v>114</v>
      </c>
      <c r="C11" s="4" t="s">
        <v>38</v>
      </c>
      <c r="D11" s="4">
        <v>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1</v>
      </c>
      <c r="K11" s="4">
        <v>0</v>
      </c>
      <c r="L11" s="4">
        <v>0</v>
      </c>
      <c r="M11" s="4">
        <v>2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3.0165912518853701E-3</v>
      </c>
      <c r="U11" s="4">
        <v>0</v>
      </c>
      <c r="V11" s="4"/>
      <c r="W11" s="4"/>
      <c r="X11" s="4"/>
      <c r="Y11" s="4">
        <f>($G11*Admin!$C$4)+($H11*Admin!$C$3)+($I11*Admin!$C$5)+($K11*Admin!$C$9)+($L11*Admin!$C$10)+($N11*Admin!$C$7)+($O11*Admin!$C$11)+($P11*Admin!$C$12)+($Q11*Admin!$C$6)+($R11*Admin!$C$13)</f>
        <v>0</v>
      </c>
    </row>
    <row r="12" spans="1:25" x14ac:dyDescent="0.25">
      <c r="A12" s="3" t="s">
        <v>124</v>
      </c>
      <c r="B12" s="3" t="s">
        <v>114</v>
      </c>
      <c r="C12" s="3" t="s">
        <v>38</v>
      </c>
      <c r="D12" s="3">
        <v>10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59</v>
      </c>
      <c r="N12" s="3">
        <v>28</v>
      </c>
      <c r="O12" s="3">
        <v>356</v>
      </c>
      <c r="P12" s="3">
        <v>2</v>
      </c>
      <c r="Q12" s="3">
        <v>0</v>
      </c>
      <c r="R12" s="3">
        <v>0</v>
      </c>
      <c r="S12" s="3">
        <v>75.599999999999994</v>
      </c>
      <c r="T12" s="3">
        <v>8.8989441930618404E-2</v>
      </c>
      <c r="U12" s="3"/>
      <c r="V12" s="3">
        <v>12.714285714285699</v>
      </c>
      <c r="W12" s="3"/>
      <c r="X12" s="3"/>
      <c r="Y12" s="3">
        <f>($G12*Admin!$C$4)+($H12*Admin!$C$3)+($I12*Admin!$C$5)+($K12*Admin!$C$9)+($L12*Admin!$C$10)+($N12*Admin!$C$7)+($O12*Admin!$C$11)+($P12*Admin!$C$12)+($Q12*Admin!$C$6)+($R12*Admin!$C$13)</f>
        <v>75.599999999999994</v>
      </c>
    </row>
    <row r="13" spans="1:25" x14ac:dyDescent="0.25">
      <c r="A13" s="4" t="s">
        <v>125</v>
      </c>
      <c r="B13" s="4" t="s">
        <v>114</v>
      </c>
      <c r="C13" s="4" t="s">
        <v>38</v>
      </c>
      <c r="D13" s="4">
        <v>10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21</v>
      </c>
      <c r="N13" s="4">
        <v>16</v>
      </c>
      <c r="O13" s="4">
        <v>150</v>
      </c>
      <c r="P13" s="4">
        <v>4</v>
      </c>
      <c r="Q13" s="4">
        <v>0</v>
      </c>
      <c r="R13" s="4">
        <v>0</v>
      </c>
      <c r="S13" s="4">
        <v>55</v>
      </c>
      <c r="T13" s="4">
        <v>3.1674208144796399E-2</v>
      </c>
      <c r="U13" s="4"/>
      <c r="V13" s="4">
        <v>9.375</v>
      </c>
      <c r="W13" s="4"/>
      <c r="X13" s="4"/>
      <c r="Y13" s="4">
        <f>($G13*Admin!$C$4)+($H13*Admin!$C$3)+($I13*Admin!$C$5)+($K13*Admin!$C$9)+($L13*Admin!$C$10)+($N13*Admin!$C$7)+($O13*Admin!$C$11)+($P13*Admin!$C$12)+($Q13*Admin!$C$6)+($R13*Admin!$C$13)</f>
        <v>55</v>
      </c>
    </row>
    <row r="14" spans="1:25" x14ac:dyDescent="0.25">
      <c r="A14" s="3" t="s">
        <v>126</v>
      </c>
      <c r="B14" s="3" t="s">
        <v>114</v>
      </c>
      <c r="C14" s="3" t="s">
        <v>38</v>
      </c>
      <c r="D14" s="3">
        <v>9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11</v>
      </c>
      <c r="N14" s="3">
        <v>9</v>
      </c>
      <c r="O14" s="3">
        <v>89</v>
      </c>
      <c r="P14" s="3">
        <v>0</v>
      </c>
      <c r="Q14" s="3">
        <v>0</v>
      </c>
      <c r="R14" s="3">
        <v>0</v>
      </c>
      <c r="S14" s="3">
        <v>17.899999999999999</v>
      </c>
      <c r="T14" s="3">
        <v>1.6591251885369501E-2</v>
      </c>
      <c r="U14" s="3"/>
      <c r="V14" s="3">
        <v>9.8888888888888893</v>
      </c>
      <c r="W14" s="3"/>
      <c r="X14" s="3"/>
      <c r="Y14" s="3">
        <f>($G14*Admin!$C$4)+($H14*Admin!$C$3)+($I14*Admin!$C$5)+($K14*Admin!$C$9)+($L14*Admin!$C$10)+($N14*Admin!$C$7)+($O14*Admin!$C$11)+($P14*Admin!$C$12)+($Q14*Admin!$C$6)+($R14*Admin!$C$13)</f>
        <v>17.899999999999999</v>
      </c>
    </row>
    <row r="15" spans="1:25" x14ac:dyDescent="0.25">
      <c r="A15" s="4" t="s">
        <v>127</v>
      </c>
      <c r="B15" s="4" t="s">
        <v>114</v>
      </c>
      <c r="C15" s="4" t="s">
        <v>43</v>
      </c>
      <c r="D15" s="4">
        <v>4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5</v>
      </c>
      <c r="N15" s="4">
        <v>3</v>
      </c>
      <c r="O15" s="4">
        <v>15</v>
      </c>
      <c r="P15" s="4">
        <v>0</v>
      </c>
      <c r="Q15" s="4">
        <v>0</v>
      </c>
      <c r="R15" s="4">
        <v>0</v>
      </c>
      <c r="S15" s="4">
        <v>4.5</v>
      </c>
      <c r="T15" s="4">
        <v>7.5414781297134196E-3</v>
      </c>
      <c r="U15" s="4"/>
      <c r="V15" s="4">
        <v>5</v>
      </c>
      <c r="W15" s="4"/>
      <c r="X15" s="4"/>
      <c r="Y15" s="4">
        <f>($G15*Admin!$C$4)+($H15*Admin!$C$3)+($I15*Admin!$C$5)+($K15*Admin!$C$9)+($L15*Admin!$C$10)+($N15*Admin!$C$7)+($O15*Admin!$C$11)+($P15*Admin!$C$12)+($Q15*Admin!$C$6)+($R15*Admin!$C$13)</f>
        <v>4.5</v>
      </c>
    </row>
    <row r="16" spans="1:25" x14ac:dyDescent="0.25">
      <c r="A16" s="3" t="s">
        <v>128</v>
      </c>
      <c r="B16" s="3" t="s">
        <v>114</v>
      </c>
      <c r="C16" s="3" t="s">
        <v>43</v>
      </c>
      <c r="D16" s="3">
        <v>12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23</v>
      </c>
      <c r="N16" s="3">
        <v>13</v>
      </c>
      <c r="O16" s="3">
        <v>268</v>
      </c>
      <c r="P16" s="3">
        <v>2</v>
      </c>
      <c r="Q16" s="3">
        <v>0</v>
      </c>
      <c r="R16" s="3">
        <v>0</v>
      </c>
      <c r="S16" s="3">
        <v>51.8</v>
      </c>
      <c r="T16" s="3">
        <v>3.46907993966818E-2</v>
      </c>
      <c r="U16" s="3"/>
      <c r="V16" s="3">
        <v>20.615384615384599</v>
      </c>
      <c r="W16" s="3"/>
      <c r="X16" s="3"/>
      <c r="Y16" s="3">
        <f>($G16*Admin!$C$4)+($H16*Admin!$C$3)+($I16*Admin!$C$5)+($K16*Admin!$C$9)+($L16*Admin!$C$10)+($N16*Admin!$C$7)+($O16*Admin!$C$11)+($P16*Admin!$C$12)+($Q16*Admin!$C$6)+($R16*Admin!$C$13)</f>
        <v>51.8</v>
      </c>
    </row>
    <row r="17" spans="1:25" x14ac:dyDescent="0.25">
      <c r="A17" s="4" t="s">
        <v>129</v>
      </c>
      <c r="B17" s="4" t="s">
        <v>114</v>
      </c>
      <c r="C17" s="4" t="s">
        <v>43</v>
      </c>
      <c r="D17" s="4">
        <v>17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117</v>
      </c>
      <c r="N17" s="4">
        <v>72</v>
      </c>
      <c r="O17" s="4">
        <v>866</v>
      </c>
      <c r="P17" s="4">
        <v>4</v>
      </c>
      <c r="Q17" s="4">
        <v>0</v>
      </c>
      <c r="R17" s="4">
        <v>0</v>
      </c>
      <c r="S17" s="4">
        <v>178.6</v>
      </c>
      <c r="T17" s="4">
        <v>0.17647058823529399</v>
      </c>
      <c r="U17" s="4"/>
      <c r="V17" s="4">
        <v>12.0277777777778</v>
      </c>
      <c r="W17" s="4"/>
      <c r="X17" s="4"/>
      <c r="Y17" s="4">
        <f>($G17*Admin!$C$4)+($H17*Admin!$C$3)+($I17*Admin!$C$5)+($K17*Admin!$C$9)+($L17*Admin!$C$10)+($N17*Admin!$C$7)+($O17*Admin!$C$11)+($P17*Admin!$C$12)+($Q17*Admin!$C$6)+($R17*Admin!$C$13)</f>
        <v>182.60000000000002</v>
      </c>
    </row>
    <row r="18" spans="1:25" x14ac:dyDescent="0.25">
      <c r="A18" s="3" t="s">
        <v>130</v>
      </c>
      <c r="B18" s="3" t="s">
        <v>114</v>
      </c>
      <c r="C18" s="3" t="s">
        <v>43</v>
      </c>
      <c r="D18" s="3">
        <v>1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1</v>
      </c>
      <c r="N18" s="3">
        <v>1</v>
      </c>
      <c r="O18" s="3">
        <v>15</v>
      </c>
      <c r="P18" s="3">
        <v>0</v>
      </c>
      <c r="Q18" s="3">
        <v>0</v>
      </c>
      <c r="R18" s="3">
        <v>0</v>
      </c>
      <c r="S18" s="3">
        <v>2.5</v>
      </c>
      <c r="T18" s="3">
        <v>1.5082956259426801E-3</v>
      </c>
      <c r="U18" s="3"/>
      <c r="V18" s="3">
        <v>15</v>
      </c>
      <c r="W18" s="3"/>
      <c r="X18" s="3"/>
      <c r="Y18" s="3">
        <f>($G18*Admin!$C$4)+($H18*Admin!$C$3)+($I18*Admin!$C$5)+($K18*Admin!$C$9)+($L18*Admin!$C$10)+($N18*Admin!$C$7)+($O18*Admin!$C$11)+($P18*Admin!$C$12)+($Q18*Admin!$C$6)+($R18*Admin!$C$13)</f>
        <v>2.5</v>
      </c>
    </row>
    <row r="19" spans="1:25" x14ac:dyDescent="0.25">
      <c r="A19" s="4" t="s">
        <v>131</v>
      </c>
      <c r="B19" s="4" t="s">
        <v>114</v>
      </c>
      <c r="C19" s="4" t="s">
        <v>43</v>
      </c>
      <c r="D19" s="4">
        <v>1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1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1.5082956259426801E-3</v>
      </c>
      <c r="U19" s="4"/>
      <c r="V19" s="4"/>
      <c r="W19" s="4"/>
      <c r="X19" s="4"/>
      <c r="Y19" s="4">
        <f>($G19*Admin!$C$4)+($H19*Admin!$C$3)+($I19*Admin!$C$5)+($K19*Admin!$C$9)+($L19*Admin!$C$10)+($N19*Admin!$C$7)+($O19*Admin!$C$11)+($P19*Admin!$C$12)+($Q19*Admin!$C$6)+($R19*Admin!$C$13)</f>
        <v>0</v>
      </c>
    </row>
    <row r="20" spans="1:25" x14ac:dyDescent="0.25">
      <c r="A20" s="3" t="s">
        <v>132</v>
      </c>
      <c r="B20" s="3" t="s">
        <v>114</v>
      </c>
      <c r="C20" s="3" t="s">
        <v>43</v>
      </c>
      <c r="D20" s="3">
        <v>9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20</v>
      </c>
      <c r="N20" s="3">
        <v>13</v>
      </c>
      <c r="O20" s="3">
        <v>202</v>
      </c>
      <c r="P20" s="3">
        <v>1</v>
      </c>
      <c r="Q20" s="3">
        <v>0</v>
      </c>
      <c r="R20" s="3">
        <v>0</v>
      </c>
      <c r="S20" s="3">
        <v>41.2</v>
      </c>
      <c r="T20" s="3">
        <v>3.0165912518853699E-2</v>
      </c>
      <c r="U20" s="3"/>
      <c r="V20" s="3">
        <v>15.538461538461499</v>
      </c>
      <c r="W20" s="3"/>
      <c r="X20" s="3"/>
      <c r="Y20" s="3">
        <f>($G20*Admin!$C$4)+($H20*Admin!$C$3)+($I20*Admin!$C$5)+($K20*Admin!$C$9)+($L20*Admin!$C$10)+($N20*Admin!$C$7)+($O20*Admin!$C$11)+($P20*Admin!$C$12)+($Q20*Admin!$C$6)+($R20*Admin!$C$13)</f>
        <v>39.200000000000003</v>
      </c>
    </row>
    <row r="21" spans="1:25" x14ac:dyDescent="0.25">
      <c r="A21" s="4" t="s">
        <v>133</v>
      </c>
      <c r="B21" s="4" t="s">
        <v>114</v>
      </c>
      <c r="C21" s="4" t="s">
        <v>43</v>
      </c>
      <c r="D21" s="4">
        <v>16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2</v>
      </c>
      <c r="K21" s="4">
        <v>7</v>
      </c>
      <c r="L21" s="4">
        <v>0</v>
      </c>
      <c r="M21" s="4">
        <v>61</v>
      </c>
      <c r="N21" s="4">
        <v>40</v>
      </c>
      <c r="O21" s="4">
        <v>533</v>
      </c>
      <c r="P21" s="4">
        <v>3</v>
      </c>
      <c r="Q21" s="4">
        <v>0</v>
      </c>
      <c r="R21" s="4">
        <v>0</v>
      </c>
      <c r="S21" s="4">
        <v>110</v>
      </c>
      <c r="T21" s="4">
        <v>9.2006033182503805E-2</v>
      </c>
      <c r="U21" s="4">
        <v>3.5</v>
      </c>
      <c r="V21" s="4">
        <v>13.324999999999999</v>
      </c>
      <c r="W21" s="4"/>
      <c r="X21" s="4"/>
      <c r="Y21" s="4">
        <f>($G21*Admin!$C$4)+($H21*Admin!$C$3)+($I21*Admin!$C$5)+($K21*Admin!$C$9)+($L21*Admin!$C$10)+($N21*Admin!$C$7)+($O21*Admin!$C$11)+($P21*Admin!$C$12)+($Q21*Admin!$C$6)+($R21*Admin!$C$13)</f>
        <v>112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1761</v>
      </c>
    </row>
    <row r="31" spans="1:25" x14ac:dyDescent="0.25">
      <c r="A31" s="3" t="s">
        <v>114</v>
      </c>
      <c r="B31" s="3">
        <v>5645</v>
      </c>
      <c r="C31" s="3">
        <v>2927</v>
      </c>
      <c r="D31" s="3">
        <v>559</v>
      </c>
      <c r="E31" s="3">
        <v>2718</v>
      </c>
      <c r="F31" s="3">
        <v>17</v>
      </c>
      <c r="G31" s="3">
        <v>1188.58</v>
      </c>
      <c r="H31" s="3">
        <v>415</v>
      </c>
      <c r="I31" s="3">
        <v>0.61927710843373496</v>
      </c>
      <c r="J31" s="3">
        <v>17</v>
      </c>
      <c r="K31" s="3">
        <v>9</v>
      </c>
      <c r="L31" s="3">
        <v>6</v>
      </c>
      <c r="M31" s="3"/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1761</v>
      </c>
    </row>
    <row r="33" spans="1:28" x14ac:dyDescent="0.25">
      <c r="A33" s="3" t="str">
        <f>A31</f>
        <v>ATL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4</v>
      </c>
      <c r="I33" s="3">
        <f ca="1">SUM(INDIRECT(A33 &amp; "_Table4[[#All],[cmp]]"))/H33</f>
        <v>0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/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134</v>
      </c>
      <c r="B36" s="3" t="s">
        <v>26</v>
      </c>
      <c r="C36" s="3">
        <v>30</v>
      </c>
      <c r="D36" s="3">
        <v>6</v>
      </c>
      <c r="E36" s="3" t="s">
        <v>98</v>
      </c>
      <c r="F36" s="3" t="s">
        <v>114</v>
      </c>
      <c r="G36" s="3">
        <v>0</v>
      </c>
      <c r="H36" s="3">
        <v>4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">
        <v>0</v>
      </c>
      <c r="X36" s="3">
        <v>0</v>
      </c>
      <c r="Y36" s="3">
        <v>0</v>
      </c>
      <c r="Z36" s="3">
        <v>0</v>
      </c>
      <c r="AA36" s="3">
        <v>0</v>
      </c>
      <c r="AB36" s="3">
        <v>0</v>
      </c>
    </row>
    <row r="37" spans="1:28" x14ac:dyDescent="0.25">
      <c r="A37" s="4" t="s">
        <v>135</v>
      </c>
      <c r="B37" s="4" t="s">
        <v>26</v>
      </c>
      <c r="C37" s="4">
        <v>23</v>
      </c>
      <c r="D37" s="4">
        <v>2</v>
      </c>
      <c r="E37" s="4" t="s">
        <v>136</v>
      </c>
      <c r="F37" s="4" t="s">
        <v>114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</row>
    <row r="38" spans="1:28" x14ac:dyDescent="0.25">
      <c r="A38" s="3" t="s">
        <v>137</v>
      </c>
      <c r="B38" s="3" t="s">
        <v>26</v>
      </c>
      <c r="C38" s="3">
        <v>28</v>
      </c>
      <c r="D38" s="3">
        <v>4</v>
      </c>
      <c r="E38" s="3" t="s">
        <v>138</v>
      </c>
      <c r="F38" s="3" t="s">
        <v>114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v>0</v>
      </c>
      <c r="W38" s="3">
        <v>0</v>
      </c>
      <c r="X38" s="3">
        <v>0</v>
      </c>
      <c r="Y38" s="3">
        <v>0</v>
      </c>
      <c r="Z38" s="3">
        <v>0</v>
      </c>
      <c r="AA38" s="3">
        <v>0</v>
      </c>
      <c r="AB38" s="3"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139</v>
      </c>
      <c r="B46" s="3" t="s">
        <v>31</v>
      </c>
      <c r="C46" s="3">
        <v>23</v>
      </c>
      <c r="D46" s="3">
        <v>2</v>
      </c>
      <c r="E46" s="3" t="s">
        <v>82</v>
      </c>
      <c r="F46" s="3" t="s">
        <v>114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v>0</v>
      </c>
      <c r="W46" s="3">
        <v>0</v>
      </c>
      <c r="X46" s="3">
        <v>0</v>
      </c>
      <c r="Y46" s="3">
        <v>0</v>
      </c>
      <c r="Z46" s="3">
        <v>0</v>
      </c>
      <c r="AA46" s="3">
        <v>0</v>
      </c>
      <c r="AB46" s="3">
        <f t="shared" ref="AB46:AB51" si="0">($J46*Cp_yd)+($K46*Cp_td)+($L46*Cint)+($M46*Ccar)+($N46*Cr_td)+($O46*Cr_yd)+(Q46*Crec)+($R46*Crec_yd)+($S46*Crec_td)+($T46*Cfmb)+($U46*Ctp_c)</f>
        <v>0</v>
      </c>
    </row>
    <row r="47" spans="1:28" x14ac:dyDescent="0.25">
      <c r="A47" s="4" t="s">
        <v>140</v>
      </c>
      <c r="B47" s="4" t="s">
        <v>31</v>
      </c>
      <c r="C47" s="4">
        <v>28</v>
      </c>
      <c r="D47" s="4">
        <v>5</v>
      </c>
      <c r="E47" s="4" t="s">
        <v>141</v>
      </c>
      <c r="F47" s="4" t="s">
        <v>114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f t="shared" si="0"/>
        <v>0</v>
      </c>
    </row>
    <row r="48" spans="1:28" x14ac:dyDescent="0.25">
      <c r="A48" s="3" t="s">
        <v>142</v>
      </c>
      <c r="B48" s="3" t="s">
        <v>31</v>
      </c>
      <c r="C48" s="3">
        <v>32</v>
      </c>
      <c r="D48" s="3">
        <v>11</v>
      </c>
      <c r="E48" s="3" t="s">
        <v>143</v>
      </c>
      <c r="F48" s="3" t="s">
        <v>114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v>0</v>
      </c>
      <c r="W48" s="3">
        <v>0</v>
      </c>
      <c r="X48" s="3">
        <v>0</v>
      </c>
      <c r="Y48" s="3">
        <v>0</v>
      </c>
      <c r="Z48" s="3">
        <v>0</v>
      </c>
      <c r="AA48" s="3">
        <v>0</v>
      </c>
      <c r="AB48" s="3">
        <f t="shared" si="0"/>
        <v>0</v>
      </c>
    </row>
    <row r="49" spans="1:28" x14ac:dyDescent="0.25">
      <c r="A49" s="4" t="s">
        <v>144</v>
      </c>
      <c r="B49" s="4" t="s">
        <v>31</v>
      </c>
      <c r="C49" s="4">
        <v>25</v>
      </c>
      <c r="D49" s="4">
        <v>1</v>
      </c>
      <c r="E49" s="4" t="s">
        <v>145</v>
      </c>
      <c r="F49" s="4" t="s">
        <v>114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B49" s="4">
        <f t="shared" si="0"/>
        <v>0</v>
      </c>
    </row>
    <row r="50" spans="1:28" x14ac:dyDescent="0.25">
      <c r="A50" s="3" t="s">
        <v>146</v>
      </c>
      <c r="B50" s="3" t="s">
        <v>31</v>
      </c>
      <c r="C50" s="3">
        <v>21</v>
      </c>
      <c r="D50" s="3">
        <v>0</v>
      </c>
      <c r="E50" s="3" t="s">
        <v>66</v>
      </c>
      <c r="F50" s="3" t="s">
        <v>114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v>0</v>
      </c>
      <c r="W50" s="3">
        <v>0</v>
      </c>
      <c r="X50" s="3">
        <v>0</v>
      </c>
      <c r="Y50" s="3">
        <v>0</v>
      </c>
      <c r="Z50" s="3">
        <v>0</v>
      </c>
      <c r="AA50" s="3">
        <v>0</v>
      </c>
      <c r="AB50" s="3">
        <f t="shared" si="0"/>
        <v>0</v>
      </c>
    </row>
    <row r="51" spans="1:28" x14ac:dyDescent="0.25">
      <c r="A51" s="4" t="s">
        <v>147</v>
      </c>
      <c r="B51" s="4" t="s">
        <v>31</v>
      </c>
      <c r="C51" s="4">
        <v>24</v>
      </c>
      <c r="D51" s="4">
        <v>0</v>
      </c>
      <c r="E51" s="4" t="s">
        <v>148</v>
      </c>
      <c r="F51" s="4" t="s">
        <v>114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v>0</v>
      </c>
      <c r="W51" s="4">
        <v>0</v>
      </c>
      <c r="X51" s="4">
        <v>0</v>
      </c>
      <c r="Y51" s="4">
        <v>0</v>
      </c>
      <c r="Z51" s="4">
        <v>0</v>
      </c>
      <c r="AA51" s="4">
        <v>0</v>
      </c>
      <c r="AB51" s="4">
        <f t="shared" si="0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149</v>
      </c>
      <c r="B61" s="3" t="s">
        <v>43</v>
      </c>
      <c r="C61" s="3">
        <v>24</v>
      </c>
      <c r="D61" s="3">
        <v>1</v>
      </c>
      <c r="E61" s="3" t="s">
        <v>150</v>
      </c>
      <c r="F61" s="3" t="s">
        <v>114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v>0</v>
      </c>
      <c r="W61" s="3">
        <v>0</v>
      </c>
      <c r="X61" s="3">
        <v>0</v>
      </c>
      <c r="Y61" s="3">
        <v>0</v>
      </c>
      <c r="Z61" s="3">
        <v>0</v>
      </c>
      <c r="AA61" s="3">
        <v>0</v>
      </c>
      <c r="AB61" s="3">
        <v>0</v>
      </c>
    </row>
    <row r="62" spans="1:28" x14ac:dyDescent="0.25">
      <c r="A62" s="4" t="s">
        <v>151</v>
      </c>
      <c r="B62" s="4" t="s">
        <v>43</v>
      </c>
      <c r="C62" s="4">
        <v>26</v>
      </c>
      <c r="D62" s="4">
        <v>4</v>
      </c>
      <c r="E62" s="4" t="s">
        <v>102</v>
      </c>
      <c r="F62" s="4" t="s">
        <v>114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0</v>
      </c>
      <c r="X62" s="4">
        <v>0</v>
      </c>
      <c r="Y62" s="4">
        <v>0</v>
      </c>
      <c r="Z62" s="4">
        <v>0</v>
      </c>
      <c r="AA62" s="4">
        <v>0</v>
      </c>
      <c r="AB62" s="4">
        <v>0</v>
      </c>
    </row>
    <row r="63" spans="1:28" x14ac:dyDescent="0.25">
      <c r="A63" s="3" t="s">
        <v>152</v>
      </c>
      <c r="B63" s="3" t="s">
        <v>43</v>
      </c>
      <c r="C63" s="3">
        <v>24</v>
      </c>
      <c r="D63" s="3">
        <v>2</v>
      </c>
      <c r="E63" s="3" t="s">
        <v>153</v>
      </c>
      <c r="F63" s="3" t="s">
        <v>114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v>0</v>
      </c>
      <c r="W63" s="3">
        <v>0</v>
      </c>
      <c r="X63" s="3">
        <v>0</v>
      </c>
      <c r="Y63" s="3">
        <v>0</v>
      </c>
      <c r="Z63" s="3">
        <v>0</v>
      </c>
      <c r="AA63" s="3">
        <v>0</v>
      </c>
      <c r="AB63" s="3">
        <v>0</v>
      </c>
    </row>
    <row r="64" spans="1:28" x14ac:dyDescent="0.25">
      <c r="A64" s="4" t="s">
        <v>154</v>
      </c>
      <c r="B64" s="4" t="s">
        <v>43</v>
      </c>
      <c r="C64" s="4">
        <v>25</v>
      </c>
      <c r="D64" s="4">
        <v>3</v>
      </c>
      <c r="E64" s="4" t="s">
        <v>155</v>
      </c>
      <c r="F64" s="4" t="s">
        <v>114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</row>
    <row r="65" spans="1:28" x14ac:dyDescent="0.25">
      <c r="A65" s="3" t="s">
        <v>156</v>
      </c>
      <c r="B65" s="3" t="s">
        <v>43</v>
      </c>
      <c r="C65" s="3">
        <v>22</v>
      </c>
      <c r="D65" s="3">
        <v>0</v>
      </c>
      <c r="E65" s="3" t="s">
        <v>157</v>
      </c>
      <c r="F65" s="3" t="s">
        <v>114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v>0</v>
      </c>
      <c r="W65" s="3">
        <v>0</v>
      </c>
      <c r="X65" s="3">
        <v>0</v>
      </c>
      <c r="Y65" s="3">
        <v>0</v>
      </c>
      <c r="Z65" s="3">
        <v>0</v>
      </c>
      <c r="AA65" s="3">
        <v>0</v>
      </c>
      <c r="AB65" s="3">
        <v>0</v>
      </c>
    </row>
    <row r="66" spans="1:28" x14ac:dyDescent="0.25">
      <c r="A66" s="4" t="s">
        <v>158</v>
      </c>
      <c r="B66" s="4" t="s">
        <v>43</v>
      </c>
      <c r="C66" s="4">
        <v>27</v>
      </c>
      <c r="D66" s="4">
        <v>4</v>
      </c>
      <c r="E66" s="4" t="s">
        <v>159</v>
      </c>
      <c r="F66" s="4" t="s">
        <v>114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</row>
    <row r="67" spans="1:28" x14ac:dyDescent="0.25">
      <c r="A67" s="3" t="s">
        <v>160</v>
      </c>
      <c r="B67" s="3" t="s">
        <v>43</v>
      </c>
      <c r="C67" s="3">
        <v>28</v>
      </c>
      <c r="D67" s="3">
        <v>6</v>
      </c>
      <c r="E67" s="3" t="s">
        <v>161</v>
      </c>
      <c r="F67" s="3" t="s">
        <v>114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v>0</v>
      </c>
      <c r="W67" s="3">
        <v>0</v>
      </c>
      <c r="X67" s="3">
        <v>0</v>
      </c>
      <c r="Y67" s="3">
        <v>0</v>
      </c>
      <c r="Z67" s="3">
        <v>0</v>
      </c>
      <c r="AA67" s="3">
        <v>0</v>
      </c>
      <c r="AB67" s="3">
        <v>0</v>
      </c>
    </row>
    <row r="68" spans="1:28" x14ac:dyDescent="0.25">
      <c r="A68" s="4" t="s">
        <v>162</v>
      </c>
      <c r="B68" s="4" t="s">
        <v>43</v>
      </c>
      <c r="C68" s="4">
        <v>29</v>
      </c>
      <c r="D68" s="4">
        <v>7</v>
      </c>
      <c r="E68" s="4" t="s">
        <v>163</v>
      </c>
      <c r="F68" s="4" t="s">
        <v>114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0</v>
      </c>
      <c r="X68" s="4">
        <v>0</v>
      </c>
      <c r="Y68" s="4">
        <v>0</v>
      </c>
      <c r="Z68" s="4">
        <v>0</v>
      </c>
      <c r="AA68" s="4">
        <v>0</v>
      </c>
      <c r="AB68" s="4">
        <v>0</v>
      </c>
    </row>
    <row r="69" spans="1:28" x14ac:dyDescent="0.25">
      <c r="A69" s="3" t="s">
        <v>164</v>
      </c>
      <c r="B69" s="3" t="s">
        <v>43</v>
      </c>
      <c r="C69" s="3">
        <v>22</v>
      </c>
      <c r="D69" s="3">
        <v>2</v>
      </c>
      <c r="E69" s="3" t="s">
        <v>78</v>
      </c>
      <c r="F69" s="3" t="s">
        <v>114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v>0</v>
      </c>
      <c r="W69" s="3">
        <v>0</v>
      </c>
      <c r="X69" s="3">
        <v>0</v>
      </c>
      <c r="Y69" s="3">
        <v>0</v>
      </c>
      <c r="Z69" s="3">
        <v>0</v>
      </c>
      <c r="AA69" s="3">
        <v>0</v>
      </c>
      <c r="AB69" s="3">
        <v>0</v>
      </c>
    </row>
    <row r="70" spans="1:28" x14ac:dyDescent="0.25">
      <c r="A70" s="4" t="s">
        <v>165</v>
      </c>
      <c r="B70" s="4" t="s">
        <v>43</v>
      </c>
      <c r="C70" s="4">
        <v>23</v>
      </c>
      <c r="D70" s="4">
        <v>0</v>
      </c>
      <c r="E70" s="4" t="s">
        <v>166</v>
      </c>
      <c r="F70" s="4" t="s">
        <v>114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0</v>
      </c>
      <c r="X70" s="4">
        <v>0</v>
      </c>
      <c r="Y70" s="4">
        <v>0</v>
      </c>
      <c r="Z70" s="4">
        <v>0</v>
      </c>
      <c r="AA70" s="4">
        <v>0</v>
      </c>
      <c r="AB70" s="4">
        <v>0</v>
      </c>
    </row>
    <row r="71" spans="1:28" x14ac:dyDescent="0.25">
      <c r="A71" s="3" t="s">
        <v>167</v>
      </c>
      <c r="B71" s="3" t="s">
        <v>43</v>
      </c>
      <c r="C71" s="3">
        <v>26</v>
      </c>
      <c r="D71" s="3">
        <v>5</v>
      </c>
      <c r="E71" s="3" t="s">
        <v>168</v>
      </c>
      <c r="F71" s="3" t="s">
        <v>114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v>0</v>
      </c>
      <c r="W71" s="3">
        <v>0</v>
      </c>
      <c r="X71" s="3">
        <v>0</v>
      </c>
      <c r="Y71" s="3">
        <v>0</v>
      </c>
      <c r="Z71" s="3">
        <v>0</v>
      </c>
      <c r="AA71" s="3">
        <v>0</v>
      </c>
      <c r="AB71" s="3">
        <v>0</v>
      </c>
    </row>
    <row r="72" spans="1:28" x14ac:dyDescent="0.25">
      <c r="A72" s="4" t="s">
        <v>169</v>
      </c>
      <c r="B72" s="4" t="s">
        <v>43</v>
      </c>
      <c r="C72" s="4">
        <v>25</v>
      </c>
      <c r="D72" s="4">
        <v>1</v>
      </c>
      <c r="E72" s="4" t="s">
        <v>170</v>
      </c>
      <c r="F72" s="4" t="s">
        <v>114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v>0</v>
      </c>
      <c r="W72" s="4">
        <v>0</v>
      </c>
      <c r="X72" s="4">
        <v>0</v>
      </c>
      <c r="Y72" s="4">
        <v>0</v>
      </c>
      <c r="Z72" s="4">
        <v>0</v>
      </c>
      <c r="AA72" s="4">
        <v>0</v>
      </c>
      <c r="AB72" s="4"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171</v>
      </c>
      <c r="B76" s="3" t="s">
        <v>38</v>
      </c>
      <c r="C76" s="3">
        <v>24</v>
      </c>
      <c r="D76" s="3">
        <v>1</v>
      </c>
      <c r="E76" s="3" t="s">
        <v>102</v>
      </c>
      <c r="F76" s="3" t="s">
        <v>114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v>0</v>
      </c>
      <c r="W76" s="3">
        <v>0</v>
      </c>
      <c r="X76" s="3">
        <v>0</v>
      </c>
      <c r="Y76" s="3">
        <v>0</v>
      </c>
      <c r="Z76" s="3">
        <v>0</v>
      </c>
      <c r="AA76" s="3">
        <v>0</v>
      </c>
      <c r="AB76" s="3">
        <v>0</v>
      </c>
    </row>
    <row r="77" spans="1:28" x14ac:dyDescent="0.25">
      <c r="A77" s="4" t="s">
        <v>172</v>
      </c>
      <c r="B77" s="4" t="s">
        <v>38</v>
      </c>
      <c r="C77" s="4">
        <v>23</v>
      </c>
      <c r="D77" s="4">
        <v>2</v>
      </c>
      <c r="E77" s="4" t="s">
        <v>173</v>
      </c>
      <c r="F77" s="4" t="s">
        <v>114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v>0</v>
      </c>
      <c r="W77" s="4">
        <v>0</v>
      </c>
      <c r="X77" s="4">
        <v>0</v>
      </c>
      <c r="Y77" s="4">
        <v>0</v>
      </c>
      <c r="Z77" s="4">
        <v>0</v>
      </c>
      <c r="AA77" s="4">
        <v>0</v>
      </c>
      <c r="AB77" s="4">
        <v>0</v>
      </c>
    </row>
    <row r="78" spans="1:28" x14ac:dyDescent="0.25">
      <c r="A78" s="3" t="s">
        <v>174</v>
      </c>
      <c r="B78" s="3" t="s">
        <v>38</v>
      </c>
      <c r="C78" s="3">
        <v>25</v>
      </c>
      <c r="D78" s="3">
        <v>3</v>
      </c>
      <c r="E78" s="3" t="s">
        <v>175</v>
      </c>
      <c r="F78" s="3" t="s">
        <v>114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v>0</v>
      </c>
      <c r="W78" s="3">
        <v>0</v>
      </c>
      <c r="X78" s="3">
        <v>0</v>
      </c>
      <c r="Y78" s="3">
        <v>0</v>
      </c>
      <c r="Z78" s="3">
        <v>0</v>
      </c>
      <c r="AA78" s="3">
        <v>0</v>
      </c>
      <c r="AB78" s="3">
        <v>0</v>
      </c>
    </row>
    <row r="79" spans="1:28" x14ac:dyDescent="0.25">
      <c r="A79" s="4" t="s">
        <v>176</v>
      </c>
      <c r="B79" s="4" t="s">
        <v>38</v>
      </c>
      <c r="C79" s="4">
        <v>28</v>
      </c>
      <c r="D79" s="4">
        <v>3</v>
      </c>
      <c r="E79" s="4" t="s">
        <v>100</v>
      </c>
      <c r="F79" s="4" t="s">
        <v>114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v>0</v>
      </c>
      <c r="W79" s="4">
        <v>0</v>
      </c>
      <c r="X79" s="4">
        <v>0</v>
      </c>
      <c r="Y79" s="4">
        <v>0</v>
      </c>
      <c r="Z79" s="4">
        <v>0</v>
      </c>
      <c r="AA79" s="4">
        <v>0</v>
      </c>
      <c r="AB79" s="4">
        <v>0</v>
      </c>
    </row>
    <row r="80" spans="1:28" x14ac:dyDescent="0.25">
      <c r="A80" s="3" t="s">
        <v>177</v>
      </c>
      <c r="B80" s="3" t="s">
        <v>38</v>
      </c>
      <c r="C80" s="3">
        <v>22</v>
      </c>
      <c r="D80" s="3">
        <v>3</v>
      </c>
      <c r="E80" s="3" t="s">
        <v>178</v>
      </c>
      <c r="F80" s="3" t="s">
        <v>114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v>0</v>
      </c>
      <c r="W80" s="3">
        <v>0</v>
      </c>
      <c r="X80" s="3">
        <v>0</v>
      </c>
      <c r="Y80" s="3">
        <v>0</v>
      </c>
      <c r="Z80" s="3">
        <v>0</v>
      </c>
      <c r="AA80" s="3">
        <v>0</v>
      </c>
      <c r="AB80" s="3">
        <v>0</v>
      </c>
    </row>
    <row r="81" spans="1:28" x14ac:dyDescent="0.25">
      <c r="A81" s="4" t="s">
        <v>179</v>
      </c>
      <c r="B81" s="4" t="s">
        <v>38</v>
      </c>
      <c r="C81" s="4">
        <v>31</v>
      </c>
      <c r="D81" s="4">
        <v>8</v>
      </c>
      <c r="E81" s="4" t="s">
        <v>180</v>
      </c>
      <c r="F81" s="4" t="s">
        <v>114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v>0</v>
      </c>
      <c r="W81" s="4">
        <v>0</v>
      </c>
      <c r="X81" s="4">
        <v>0</v>
      </c>
      <c r="Y81" s="4">
        <v>0</v>
      </c>
      <c r="Z81" s="4">
        <v>0</v>
      </c>
      <c r="AA81" s="4">
        <v>0</v>
      </c>
      <c r="AB81" s="4">
        <v>0</v>
      </c>
    </row>
    <row r="82" spans="1:28" x14ac:dyDescent="0.25">
      <c r="A82" s="3" t="s">
        <v>181</v>
      </c>
      <c r="B82" s="3" t="s">
        <v>38</v>
      </c>
      <c r="C82" s="3">
        <v>27</v>
      </c>
      <c r="D82" s="3">
        <v>7</v>
      </c>
      <c r="E82" s="3" t="s">
        <v>182</v>
      </c>
      <c r="F82" s="3" t="s">
        <v>114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v>0</v>
      </c>
      <c r="W82" s="3">
        <v>0</v>
      </c>
      <c r="X82" s="3">
        <v>0</v>
      </c>
      <c r="Y82" s="3">
        <v>0</v>
      </c>
      <c r="Z82" s="3">
        <v>0</v>
      </c>
      <c r="AA82" s="3">
        <v>0</v>
      </c>
      <c r="AB82" s="3">
        <v>0</v>
      </c>
    </row>
  </sheetData>
  <phoneticPr fontId="2" type="noConversion"/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B79"/>
  <sheetViews>
    <sheetView topLeftCell="B13" zoomScale="84" zoomScaleNormal="84" workbookViewId="0">
      <selection activeCell="AB46" sqref="AB46:AB51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183</v>
      </c>
      <c r="B2" s="3" t="s">
        <v>184</v>
      </c>
      <c r="C2" s="3" t="s">
        <v>115</v>
      </c>
      <c r="D2" s="3">
        <v>12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7</v>
      </c>
      <c r="K2" s="3">
        <v>16</v>
      </c>
      <c r="L2" s="3">
        <v>0</v>
      </c>
      <c r="M2" s="3">
        <v>13</v>
      </c>
      <c r="N2" s="3">
        <v>11</v>
      </c>
      <c r="O2" s="3">
        <v>74</v>
      </c>
      <c r="P2" s="3">
        <v>0</v>
      </c>
      <c r="Q2" s="3">
        <v>0</v>
      </c>
      <c r="R2" s="3">
        <v>0</v>
      </c>
      <c r="S2" s="3">
        <v>20</v>
      </c>
      <c r="T2" s="3">
        <v>3.13253012048193E-2</v>
      </c>
      <c r="U2" s="3">
        <v>2.28571428571429</v>
      </c>
      <c r="V2" s="3">
        <v>6.7272727272727302</v>
      </c>
      <c r="W2" s="3"/>
      <c r="X2" s="3"/>
      <c r="Y2" s="3">
        <f>($G2*Admin!$C$4)+($H2*Admin!$C$3)+($I2*Admin!$C$5)+($K2*Admin!$C$9)+($L2*Admin!$C$10)+($N2*Admin!$C$7)+($O2*Admin!$C$11)+($P2*Admin!$C$12)+($Q2*Admin!$C$6)+($R2*Admin!$C$13)</f>
        <v>20</v>
      </c>
    </row>
    <row r="3" spans="1:25" x14ac:dyDescent="0.25">
      <c r="A3" s="4" t="s">
        <v>185</v>
      </c>
      <c r="B3" s="4" t="s">
        <v>184</v>
      </c>
      <c r="C3" s="4" t="s">
        <v>26</v>
      </c>
      <c r="D3" s="4">
        <v>2</v>
      </c>
      <c r="E3" s="4">
        <v>49</v>
      </c>
      <c r="F3" s="4">
        <v>22</v>
      </c>
      <c r="G3" s="4">
        <v>302</v>
      </c>
      <c r="H3" s="4">
        <v>0</v>
      </c>
      <c r="I3" s="4">
        <v>2</v>
      </c>
      <c r="J3" s="4">
        <v>3</v>
      </c>
      <c r="K3" s="4">
        <v>-5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1</v>
      </c>
      <c r="R3" s="4">
        <v>0</v>
      </c>
      <c r="S3" s="4">
        <v>5.58</v>
      </c>
      <c r="T3" s="4">
        <v>0</v>
      </c>
      <c r="U3" s="4">
        <v>-1.6666666666666701</v>
      </c>
      <c r="V3" s="4"/>
      <c r="W3" s="4">
        <v>0.44897959183673503</v>
      </c>
      <c r="X3" s="4">
        <v>0</v>
      </c>
      <c r="Y3" s="4">
        <f>($G3*Admin!$C$4)+($H3*Admin!$C$3)+($I3*Admin!$C$5)+($K3*Admin!$C$9)+($L3*Admin!$C$10)+($N3*Admin!$C$7)+($O3*Admin!$C$11)+($P3*Admin!$C$12)+($Q3*Admin!$C$6)+($R3*Admin!$C$13)</f>
        <v>5.58</v>
      </c>
    </row>
    <row r="4" spans="1:25" x14ac:dyDescent="0.25">
      <c r="A4" s="3" t="s">
        <v>186</v>
      </c>
      <c r="B4" s="3" t="s">
        <v>184</v>
      </c>
      <c r="C4" s="3" t="s">
        <v>26</v>
      </c>
      <c r="D4" s="3">
        <v>12</v>
      </c>
      <c r="E4" s="3">
        <v>326</v>
      </c>
      <c r="F4" s="3">
        <v>203</v>
      </c>
      <c r="G4" s="3">
        <v>2242</v>
      </c>
      <c r="H4" s="3">
        <v>17</v>
      </c>
      <c r="I4" s="3">
        <v>7</v>
      </c>
      <c r="J4" s="3">
        <v>112</v>
      </c>
      <c r="K4" s="3">
        <v>764</v>
      </c>
      <c r="L4" s="3">
        <v>3</v>
      </c>
      <c r="M4" s="3">
        <v>0</v>
      </c>
      <c r="N4" s="3">
        <v>0</v>
      </c>
      <c r="O4" s="3">
        <v>0</v>
      </c>
      <c r="P4" s="3">
        <v>0</v>
      </c>
      <c r="Q4" s="3">
        <v>2</v>
      </c>
      <c r="R4" s="3">
        <v>1</v>
      </c>
      <c r="S4" s="3">
        <v>236.08</v>
      </c>
      <c r="T4" s="3">
        <v>0</v>
      </c>
      <c r="U4" s="3">
        <v>6.8214285714285703</v>
      </c>
      <c r="V4" s="3"/>
      <c r="W4" s="3">
        <v>0.622699386503067</v>
      </c>
      <c r="X4" s="3">
        <v>5.2147239263803699E-2</v>
      </c>
      <c r="Y4" s="3">
        <f>($G4*Admin!$C$4)+($H4*Admin!$C$3)+($I4*Admin!$C$5)+($K4*Admin!$C$9)+($L4*Admin!$C$10)+($N4*Admin!$C$7)+($O4*Admin!$C$11)+($P4*Admin!$C$12)+($Q4*Admin!$C$6)+($R4*Admin!$C$13)</f>
        <v>236.08</v>
      </c>
    </row>
    <row r="5" spans="1:25" x14ac:dyDescent="0.25">
      <c r="A5" s="4" t="s">
        <v>187</v>
      </c>
      <c r="B5" s="4" t="s">
        <v>184</v>
      </c>
      <c r="C5" s="4" t="s">
        <v>26</v>
      </c>
      <c r="D5" s="4">
        <v>5</v>
      </c>
      <c r="E5" s="4">
        <v>112</v>
      </c>
      <c r="F5" s="4">
        <v>75</v>
      </c>
      <c r="G5" s="4">
        <v>658</v>
      </c>
      <c r="H5" s="4">
        <v>2</v>
      </c>
      <c r="I5" s="4">
        <v>3</v>
      </c>
      <c r="J5" s="4">
        <v>43</v>
      </c>
      <c r="K5" s="4">
        <v>137</v>
      </c>
      <c r="L5" s="4">
        <v>1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1</v>
      </c>
      <c r="S5" s="4">
        <v>50.02</v>
      </c>
      <c r="T5" s="4">
        <v>0</v>
      </c>
      <c r="U5" s="4">
        <v>3.18604651162791</v>
      </c>
      <c r="V5" s="4"/>
      <c r="W5" s="4">
        <v>0.66964285714285698</v>
      </c>
      <c r="X5" s="4">
        <v>1.7857142857142901E-2</v>
      </c>
      <c r="Y5" s="4">
        <f>($G5*Admin!$C$4)+($H5*Admin!$C$3)+($I5*Admin!$C$5)+($K5*Admin!$C$9)+($L5*Admin!$C$10)+($N5*Admin!$C$7)+($O5*Admin!$C$11)+($P5*Admin!$C$12)+($Q5*Admin!$C$6)+($R5*Admin!$C$13)</f>
        <v>50.02</v>
      </c>
    </row>
    <row r="6" spans="1:25" x14ac:dyDescent="0.25">
      <c r="A6" s="3" t="s">
        <v>188</v>
      </c>
      <c r="B6" s="3" t="s">
        <v>184</v>
      </c>
      <c r="C6" s="3" t="s">
        <v>31</v>
      </c>
      <c r="D6" s="3">
        <v>9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87</v>
      </c>
      <c r="K6" s="3">
        <v>433</v>
      </c>
      <c r="L6" s="3">
        <v>3</v>
      </c>
      <c r="M6" s="3">
        <v>2</v>
      </c>
      <c r="N6" s="3">
        <v>0</v>
      </c>
      <c r="O6" s="3">
        <v>0</v>
      </c>
      <c r="P6" s="3">
        <v>0</v>
      </c>
      <c r="Q6" s="3">
        <v>1</v>
      </c>
      <c r="R6" s="3">
        <v>0</v>
      </c>
      <c r="S6" s="3">
        <v>59.3</v>
      </c>
      <c r="T6" s="3">
        <v>4.8192771084337397E-3</v>
      </c>
      <c r="U6" s="3">
        <v>4.9770114942528698</v>
      </c>
      <c r="V6" s="3"/>
      <c r="W6" s="3"/>
      <c r="X6" s="3"/>
      <c r="Y6" s="3">
        <f>($G6*Admin!$C$4)+($H6*Admin!$C$3)+($I6*Admin!$C$5)+($K6*Admin!$C$9)+($L6*Admin!$C$10)+($N6*Admin!$C$7)+($O6*Admin!$C$11)+($P6*Admin!$C$12)+($Q6*Admin!$C$6)+($R6*Admin!$C$13)</f>
        <v>59.300000000000004</v>
      </c>
    </row>
    <row r="7" spans="1:25" x14ac:dyDescent="0.25">
      <c r="A7" s="4" t="s">
        <v>189</v>
      </c>
      <c r="B7" s="4" t="s">
        <v>184</v>
      </c>
      <c r="C7" s="4" t="s">
        <v>31</v>
      </c>
      <c r="D7" s="4">
        <v>8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92</v>
      </c>
      <c r="K7" s="4">
        <v>520</v>
      </c>
      <c r="L7" s="4">
        <v>2</v>
      </c>
      <c r="M7" s="4">
        <v>8</v>
      </c>
      <c r="N7" s="4">
        <v>7</v>
      </c>
      <c r="O7" s="4">
        <v>42</v>
      </c>
      <c r="P7" s="4">
        <v>1</v>
      </c>
      <c r="Q7" s="4">
        <v>0</v>
      </c>
      <c r="R7" s="4">
        <v>0</v>
      </c>
      <c r="S7" s="4">
        <v>81.2</v>
      </c>
      <c r="T7" s="4">
        <v>1.92771084337349E-2</v>
      </c>
      <c r="U7" s="4">
        <v>5.6521739130434803</v>
      </c>
      <c r="V7" s="4">
        <v>6</v>
      </c>
      <c r="W7" s="4"/>
      <c r="X7" s="4"/>
      <c r="Y7" s="4">
        <f>($G7*Admin!$C$4)+($H7*Admin!$C$3)+($I7*Admin!$C$5)+($K7*Admin!$C$9)+($L7*Admin!$C$10)+($N7*Admin!$C$7)+($O7*Admin!$C$11)+($P7*Admin!$C$12)+($Q7*Admin!$C$6)+($R7*Admin!$C$13)</f>
        <v>81.2</v>
      </c>
    </row>
    <row r="8" spans="1:25" x14ac:dyDescent="0.25">
      <c r="A8" s="3" t="s">
        <v>190</v>
      </c>
      <c r="B8" s="3" t="s">
        <v>184</v>
      </c>
      <c r="C8" s="3" t="s">
        <v>31</v>
      </c>
      <c r="D8" s="3">
        <v>13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49</v>
      </c>
      <c r="K8" s="3">
        <v>262</v>
      </c>
      <c r="L8" s="3">
        <v>0</v>
      </c>
      <c r="M8" s="3">
        <v>12</v>
      </c>
      <c r="N8" s="3">
        <v>12</v>
      </c>
      <c r="O8" s="3">
        <v>58</v>
      </c>
      <c r="P8" s="3">
        <v>0</v>
      </c>
      <c r="Q8" s="3">
        <v>1</v>
      </c>
      <c r="R8" s="3">
        <v>0</v>
      </c>
      <c r="S8" s="3">
        <v>42</v>
      </c>
      <c r="T8" s="3">
        <v>2.89156626506024E-2</v>
      </c>
      <c r="U8" s="3">
        <v>5.3469387755101998</v>
      </c>
      <c r="V8" s="3">
        <v>4.8333333333333304</v>
      </c>
      <c r="W8" s="3"/>
      <c r="X8" s="3"/>
      <c r="Y8" s="3">
        <f>($G8*Admin!$C$4)+($H8*Admin!$C$3)+($I8*Admin!$C$5)+($K8*Admin!$C$9)+($L8*Admin!$C$10)+($N8*Admin!$C$7)+($O8*Admin!$C$11)+($P8*Admin!$C$12)+($Q8*Admin!$C$6)+($R8*Admin!$C$13)</f>
        <v>42</v>
      </c>
    </row>
    <row r="9" spans="1:25" x14ac:dyDescent="0.25">
      <c r="A9" s="4" t="s">
        <v>191</v>
      </c>
      <c r="B9" s="4" t="s">
        <v>184</v>
      </c>
      <c r="C9" s="4" t="s">
        <v>31</v>
      </c>
      <c r="D9" s="4">
        <v>12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109</v>
      </c>
      <c r="K9" s="4">
        <v>482</v>
      </c>
      <c r="L9" s="4">
        <v>4</v>
      </c>
      <c r="M9" s="4">
        <v>26</v>
      </c>
      <c r="N9" s="4">
        <v>17</v>
      </c>
      <c r="O9" s="4">
        <v>89</v>
      </c>
      <c r="P9" s="4">
        <v>1</v>
      </c>
      <c r="Q9" s="4">
        <v>0</v>
      </c>
      <c r="R9" s="4">
        <v>0</v>
      </c>
      <c r="S9" s="4">
        <v>104.1</v>
      </c>
      <c r="T9" s="4">
        <v>6.26506024096386E-2</v>
      </c>
      <c r="U9" s="4">
        <v>4.4220183486238502</v>
      </c>
      <c r="V9" s="4">
        <v>5.2352941176470598</v>
      </c>
      <c r="W9" s="4"/>
      <c r="X9" s="4"/>
      <c r="Y9" s="4">
        <f>($G9*Admin!$C$4)+($H9*Admin!$C$3)+($I9*Admin!$C$5)+($K9*Admin!$C$9)+($L9*Admin!$C$10)+($N9*Admin!$C$7)+($O9*Admin!$C$11)+($P9*Admin!$C$12)+($Q9*Admin!$C$6)+($R9*Admin!$C$13)</f>
        <v>104.10000000000001</v>
      </c>
    </row>
    <row r="10" spans="1:25" x14ac:dyDescent="0.25">
      <c r="A10" s="3" t="s">
        <v>192</v>
      </c>
      <c r="B10" s="3" t="s">
        <v>184</v>
      </c>
      <c r="C10" s="3" t="s">
        <v>31</v>
      </c>
      <c r="D10" s="3">
        <v>5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8</v>
      </c>
      <c r="K10" s="3">
        <v>18</v>
      </c>
      <c r="L10" s="3">
        <v>0</v>
      </c>
      <c r="M10" s="3">
        <v>2</v>
      </c>
      <c r="N10" s="3">
        <v>2</v>
      </c>
      <c r="O10" s="3">
        <v>4</v>
      </c>
      <c r="P10" s="3">
        <v>0</v>
      </c>
      <c r="Q10" s="3">
        <v>0</v>
      </c>
      <c r="R10" s="3">
        <v>0</v>
      </c>
      <c r="S10" s="3">
        <v>4.2</v>
      </c>
      <c r="T10" s="3">
        <v>4.8192771084337397E-3</v>
      </c>
      <c r="U10" s="3">
        <v>2.25</v>
      </c>
      <c r="V10" s="3">
        <v>2</v>
      </c>
      <c r="W10" s="3"/>
      <c r="X10" s="3"/>
      <c r="Y10" s="3">
        <f>($G10*Admin!$C$4)+($H10*Admin!$C$3)+($I10*Admin!$C$5)+($K10*Admin!$C$9)+($L10*Admin!$C$10)+($N10*Admin!$C$7)+($O10*Admin!$C$11)+($P10*Admin!$C$12)+($Q10*Admin!$C$6)+($R10*Admin!$C$13)</f>
        <v>4.2</v>
      </c>
    </row>
    <row r="11" spans="1:25" x14ac:dyDescent="0.25">
      <c r="A11" s="4" t="s">
        <v>193</v>
      </c>
      <c r="B11" s="4" t="s">
        <v>184</v>
      </c>
      <c r="C11" s="4" t="s">
        <v>38</v>
      </c>
      <c r="D11" s="4">
        <v>1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6</v>
      </c>
      <c r="N11" s="4">
        <v>4</v>
      </c>
      <c r="O11" s="4">
        <v>49</v>
      </c>
      <c r="P11" s="4">
        <v>0</v>
      </c>
      <c r="Q11" s="4">
        <v>0</v>
      </c>
      <c r="R11" s="4">
        <v>0</v>
      </c>
      <c r="S11" s="4">
        <v>8.9</v>
      </c>
      <c r="T11" s="4">
        <v>1.44578313253012E-2</v>
      </c>
      <c r="U11" s="4"/>
      <c r="V11" s="4">
        <v>12.25</v>
      </c>
      <c r="W11" s="4"/>
      <c r="X11" s="4"/>
      <c r="Y11" s="4">
        <f>($G11*Admin!$C$4)+($H11*Admin!$C$3)+($I11*Admin!$C$5)+($K11*Admin!$C$9)+($L11*Admin!$C$10)+($N11*Admin!$C$7)+($O11*Admin!$C$11)+($P11*Admin!$C$12)+($Q11*Admin!$C$6)+($R11*Admin!$C$13)</f>
        <v>8.9</v>
      </c>
    </row>
    <row r="12" spans="1:25" x14ac:dyDescent="0.25">
      <c r="A12" s="3" t="s">
        <v>194</v>
      </c>
      <c r="B12" s="3" t="s">
        <v>184</v>
      </c>
      <c r="C12" s="3" t="s">
        <v>38</v>
      </c>
      <c r="D12" s="3">
        <v>14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60</v>
      </c>
      <c r="N12" s="3">
        <v>36</v>
      </c>
      <c r="O12" s="3">
        <v>373</v>
      </c>
      <c r="P12" s="3">
        <v>3</v>
      </c>
      <c r="Q12" s="3">
        <v>0</v>
      </c>
      <c r="R12" s="3">
        <v>0</v>
      </c>
      <c r="S12" s="3">
        <v>91.3</v>
      </c>
      <c r="T12" s="3">
        <v>0.14457831325301199</v>
      </c>
      <c r="U12" s="3"/>
      <c r="V12" s="3">
        <v>10.3611111111111</v>
      </c>
      <c r="W12" s="3"/>
      <c r="X12" s="3"/>
      <c r="Y12" s="3">
        <f>($G12*Admin!$C$4)+($H12*Admin!$C$3)+($I12*Admin!$C$5)+($K12*Admin!$C$9)+($L12*Admin!$C$10)+($N12*Admin!$C$7)+($O12*Admin!$C$11)+($P12*Admin!$C$12)+($Q12*Admin!$C$6)+($R12*Admin!$C$13)</f>
        <v>91.300000000000011</v>
      </c>
    </row>
    <row r="13" spans="1:25" x14ac:dyDescent="0.25">
      <c r="A13" s="4" t="s">
        <v>195</v>
      </c>
      <c r="B13" s="4" t="s">
        <v>184</v>
      </c>
      <c r="C13" s="4" t="s">
        <v>38</v>
      </c>
      <c r="D13" s="4">
        <v>12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25</v>
      </c>
      <c r="N13" s="4">
        <v>14</v>
      </c>
      <c r="O13" s="4">
        <v>149</v>
      </c>
      <c r="P13" s="4">
        <v>2</v>
      </c>
      <c r="Q13" s="4">
        <v>0</v>
      </c>
      <c r="R13" s="4">
        <v>0</v>
      </c>
      <c r="S13" s="4">
        <v>40.9</v>
      </c>
      <c r="T13" s="4">
        <v>6.02409638554217E-2</v>
      </c>
      <c r="U13" s="4"/>
      <c r="V13" s="4">
        <v>10.6428571428571</v>
      </c>
      <c r="W13" s="4"/>
      <c r="X13" s="4"/>
      <c r="Y13" s="4">
        <f>($G13*Admin!$C$4)+($H13*Admin!$C$3)+($I13*Admin!$C$5)+($K13*Admin!$C$9)+($L13*Admin!$C$10)+($N13*Admin!$C$7)+($O13*Admin!$C$11)+($P13*Admin!$C$12)+($Q13*Admin!$C$6)+($R13*Admin!$C$13)</f>
        <v>40.9</v>
      </c>
    </row>
    <row r="14" spans="1:25" x14ac:dyDescent="0.25">
      <c r="A14" s="3" t="s">
        <v>196</v>
      </c>
      <c r="B14" s="3" t="s">
        <v>184</v>
      </c>
      <c r="C14" s="3" t="s">
        <v>38</v>
      </c>
      <c r="D14" s="3">
        <v>15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3</v>
      </c>
      <c r="K14" s="3">
        <v>8</v>
      </c>
      <c r="L14" s="3">
        <v>0</v>
      </c>
      <c r="M14" s="3">
        <v>113</v>
      </c>
      <c r="N14" s="3">
        <v>73</v>
      </c>
      <c r="O14" s="3">
        <v>847</v>
      </c>
      <c r="P14" s="3">
        <v>5</v>
      </c>
      <c r="Q14" s="3">
        <v>0</v>
      </c>
      <c r="R14" s="3">
        <v>0</v>
      </c>
      <c r="S14" s="3">
        <v>190.5</v>
      </c>
      <c r="T14" s="3">
        <v>0.27228915662650599</v>
      </c>
      <c r="U14" s="3">
        <v>2.6666666666666701</v>
      </c>
      <c r="V14" s="3">
        <v>11.6027397260274</v>
      </c>
      <c r="W14" s="3"/>
      <c r="X14" s="3"/>
      <c r="Y14" s="3">
        <f>($G14*Admin!$C$4)+($H14*Admin!$C$3)+($I14*Admin!$C$5)+($K14*Admin!$C$9)+($L14*Admin!$C$10)+($N14*Admin!$C$7)+($O14*Admin!$C$11)+($P14*Admin!$C$12)+($Q14*Admin!$C$6)+($R14*Admin!$C$13)</f>
        <v>188.5</v>
      </c>
    </row>
    <row r="15" spans="1:25" x14ac:dyDescent="0.25">
      <c r="A15" s="4" t="s">
        <v>45</v>
      </c>
      <c r="B15" s="4" t="s">
        <v>184</v>
      </c>
      <c r="C15" s="4" t="s">
        <v>43</v>
      </c>
      <c r="D15" s="4">
        <v>1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1</v>
      </c>
      <c r="K15" s="4">
        <v>1</v>
      </c>
      <c r="L15" s="4">
        <v>0</v>
      </c>
      <c r="M15" s="4">
        <v>0</v>
      </c>
      <c r="N15" s="4">
        <v>0</v>
      </c>
      <c r="O15" s="4">
        <v>0</v>
      </c>
      <c r="P15" s="4">
        <v>0</v>
      </c>
      <c r="Q15" s="4">
        <v>0</v>
      </c>
      <c r="R15" s="4">
        <v>0</v>
      </c>
      <c r="S15" s="4">
        <v>0.1</v>
      </c>
      <c r="T15" s="4">
        <v>0</v>
      </c>
      <c r="U15" s="4">
        <v>1</v>
      </c>
      <c r="V15" s="4"/>
      <c r="W15" s="4"/>
      <c r="X15" s="4"/>
      <c r="Y15" s="4">
        <f>($G15*Admin!$C$4)+($H15*Admin!$C$3)+($I15*Admin!$C$5)+($K15*Admin!$C$9)+($L15*Admin!$C$10)+($N15*Admin!$C$7)+($O15*Admin!$C$11)+($P15*Admin!$C$12)+($Q15*Admin!$C$6)+($R15*Admin!$C$13)</f>
        <v>0.1</v>
      </c>
    </row>
    <row r="16" spans="1:25" x14ac:dyDescent="0.25">
      <c r="A16" s="3" t="s">
        <v>197</v>
      </c>
      <c r="B16" s="3" t="s">
        <v>184</v>
      </c>
      <c r="C16" s="3" t="s">
        <v>43</v>
      </c>
      <c r="D16" s="3">
        <v>14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12</v>
      </c>
      <c r="K16" s="3">
        <v>84</v>
      </c>
      <c r="L16" s="3">
        <v>1</v>
      </c>
      <c r="M16" s="3">
        <v>49</v>
      </c>
      <c r="N16" s="3">
        <v>37</v>
      </c>
      <c r="O16" s="3">
        <v>407</v>
      </c>
      <c r="P16" s="3">
        <v>3</v>
      </c>
      <c r="Q16" s="3">
        <v>0</v>
      </c>
      <c r="R16" s="3">
        <v>0</v>
      </c>
      <c r="S16" s="3">
        <v>116.1</v>
      </c>
      <c r="T16" s="3">
        <v>0.118072289156627</v>
      </c>
      <c r="U16" s="3">
        <v>7</v>
      </c>
      <c r="V16" s="3">
        <v>11</v>
      </c>
      <c r="W16" s="3"/>
      <c r="X16" s="3"/>
      <c r="Y16" s="3">
        <f>($G16*Admin!$C$4)+($H16*Admin!$C$3)+($I16*Admin!$C$5)+($K16*Admin!$C$9)+($L16*Admin!$C$10)+($N16*Admin!$C$7)+($O16*Admin!$C$11)+($P16*Admin!$C$12)+($Q16*Admin!$C$6)+($R16*Admin!$C$13)</f>
        <v>110.1</v>
      </c>
    </row>
    <row r="17" spans="1:25" x14ac:dyDescent="0.25">
      <c r="A17" s="4" t="s">
        <v>198</v>
      </c>
      <c r="B17" s="4" t="s">
        <v>184</v>
      </c>
      <c r="C17" s="4" t="s">
        <v>43</v>
      </c>
      <c r="D17" s="4">
        <v>7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17</v>
      </c>
      <c r="N17" s="4">
        <v>9</v>
      </c>
      <c r="O17" s="4">
        <v>153</v>
      </c>
      <c r="P17" s="4">
        <v>0</v>
      </c>
      <c r="Q17" s="4">
        <v>0</v>
      </c>
      <c r="R17" s="4">
        <v>0</v>
      </c>
      <c r="S17" s="4">
        <v>24.3</v>
      </c>
      <c r="T17" s="4">
        <v>4.09638554216867E-2</v>
      </c>
      <c r="U17" s="4"/>
      <c r="V17" s="4">
        <v>17</v>
      </c>
      <c r="W17" s="4"/>
      <c r="X17" s="4"/>
      <c r="Y17" s="4">
        <f>($G17*Admin!$C$4)+($H17*Admin!$C$3)+($I17*Admin!$C$5)+($K17*Admin!$C$9)+($L17*Admin!$C$10)+($N17*Admin!$C$7)+($O17*Admin!$C$11)+($P17*Admin!$C$12)+($Q17*Admin!$C$6)+($R17*Admin!$C$13)</f>
        <v>24.3</v>
      </c>
    </row>
    <row r="18" spans="1:25" x14ac:dyDescent="0.25">
      <c r="A18" s="3" t="s">
        <v>199</v>
      </c>
      <c r="B18" s="3" t="s">
        <v>184</v>
      </c>
      <c r="C18" s="3" t="s">
        <v>43</v>
      </c>
      <c r="D18" s="3">
        <v>16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75</v>
      </c>
      <c r="N18" s="3">
        <v>48</v>
      </c>
      <c r="O18" s="3">
        <v>458</v>
      </c>
      <c r="P18" s="3">
        <v>2</v>
      </c>
      <c r="Q18" s="3">
        <v>0</v>
      </c>
      <c r="R18" s="3">
        <v>0</v>
      </c>
      <c r="S18" s="3">
        <v>103.8</v>
      </c>
      <c r="T18" s="3">
        <v>0.180722891566265</v>
      </c>
      <c r="U18" s="3"/>
      <c r="V18" s="3">
        <v>9.5416666666666696</v>
      </c>
      <c r="W18" s="3"/>
      <c r="X18" s="3"/>
      <c r="Y18" s="3">
        <f>($G18*Admin!$C$4)+($H18*Admin!$C$3)+($I18*Admin!$C$5)+($K18*Admin!$C$9)+($L18*Admin!$C$10)+($N18*Admin!$C$7)+($O18*Admin!$C$11)+($P18*Admin!$C$12)+($Q18*Admin!$C$6)+($R18*Admin!$C$13)</f>
        <v>105.80000000000001</v>
      </c>
    </row>
    <row r="19" spans="1:25" x14ac:dyDescent="0.25">
      <c r="A19" s="4" t="s">
        <v>200</v>
      </c>
      <c r="B19" s="4" t="s">
        <v>184</v>
      </c>
      <c r="C19" s="4" t="s">
        <v>43</v>
      </c>
      <c r="D19" s="4">
        <v>7</v>
      </c>
      <c r="E19" s="4">
        <v>1</v>
      </c>
      <c r="F19" s="4">
        <v>0</v>
      </c>
      <c r="G19" s="4">
        <v>0</v>
      </c>
      <c r="H19" s="4">
        <v>0</v>
      </c>
      <c r="I19" s="4">
        <v>1</v>
      </c>
      <c r="J19" s="4">
        <v>0</v>
      </c>
      <c r="K19" s="4">
        <v>0</v>
      </c>
      <c r="L19" s="4">
        <v>0</v>
      </c>
      <c r="M19" s="4">
        <v>17</v>
      </c>
      <c r="N19" s="4">
        <v>8</v>
      </c>
      <c r="O19" s="4">
        <v>62</v>
      </c>
      <c r="P19" s="4">
        <v>0</v>
      </c>
      <c r="Q19" s="4">
        <v>0</v>
      </c>
      <c r="R19" s="4">
        <v>0</v>
      </c>
      <c r="S19" s="4">
        <v>12.2</v>
      </c>
      <c r="T19" s="4">
        <v>4.09638554216867E-2</v>
      </c>
      <c r="U19" s="4"/>
      <c r="V19" s="4">
        <v>7.75</v>
      </c>
      <c r="W19" s="4">
        <v>0</v>
      </c>
      <c r="X19" s="4">
        <v>0</v>
      </c>
      <c r="Y19" s="4">
        <f>($G19*Admin!$C$4)+($H19*Admin!$C$3)+($I19*Admin!$C$5)+($K19*Admin!$C$9)+($L19*Admin!$C$10)+($N19*Admin!$C$7)+($O19*Admin!$C$11)+($P19*Admin!$C$12)+($Q19*Admin!$C$6)+($R19*Admin!$C$13)</f>
        <v>12.2</v>
      </c>
    </row>
    <row r="20" spans="1:25" x14ac:dyDescent="0.25">
      <c r="A20" s="3" t="s">
        <v>201</v>
      </c>
      <c r="B20" s="3" t="s">
        <v>184</v>
      </c>
      <c r="C20" s="3" t="s">
        <v>43</v>
      </c>
      <c r="D20" s="3">
        <v>6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28</v>
      </c>
      <c r="N20" s="3">
        <v>15</v>
      </c>
      <c r="O20" s="3">
        <v>285</v>
      </c>
      <c r="P20" s="3">
        <v>2</v>
      </c>
      <c r="Q20" s="3">
        <v>0</v>
      </c>
      <c r="R20" s="3">
        <v>0</v>
      </c>
      <c r="S20" s="3">
        <v>53.5</v>
      </c>
      <c r="T20" s="3">
        <v>6.7469879518072304E-2</v>
      </c>
      <c r="U20" s="3"/>
      <c r="V20" s="3">
        <v>19</v>
      </c>
      <c r="W20" s="3"/>
      <c r="X20" s="3"/>
      <c r="Y20" s="3">
        <f>($G20*Admin!$C$4)+($H20*Admin!$C$3)+($I20*Admin!$C$5)+($K20*Admin!$C$9)+($L20*Admin!$C$10)+($N20*Admin!$C$7)+($O20*Admin!$C$11)+($P20*Admin!$C$12)+($Q20*Admin!$C$6)+($R20*Admin!$C$13)</f>
        <v>55.5</v>
      </c>
    </row>
    <row r="21" spans="1:25" x14ac:dyDescent="0.25">
      <c r="A21" s="4" t="s">
        <v>202</v>
      </c>
      <c r="B21" s="4" t="s">
        <v>184</v>
      </c>
      <c r="C21" s="4" t="s">
        <v>43</v>
      </c>
      <c r="D21" s="4">
        <v>2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5</v>
      </c>
      <c r="N21" s="4">
        <v>3</v>
      </c>
      <c r="O21" s="4">
        <v>119</v>
      </c>
      <c r="P21" s="4">
        <v>0</v>
      </c>
      <c r="Q21" s="4">
        <v>0</v>
      </c>
      <c r="R21" s="4">
        <v>0</v>
      </c>
      <c r="S21" s="4">
        <v>12.9</v>
      </c>
      <c r="T21" s="4">
        <v>1.20481927710843E-2</v>
      </c>
      <c r="U21" s="4"/>
      <c r="V21" s="4">
        <v>39.6666666666667</v>
      </c>
      <c r="W21" s="4"/>
      <c r="X21" s="4"/>
      <c r="Y21" s="4">
        <f>($G21*Admin!$C$4)+($H21*Admin!$C$3)+($I21*Admin!$C$5)+($K21*Admin!$C$9)+($L21*Admin!$C$10)+($N21*Admin!$C$7)+($O21*Admin!$C$11)+($P21*Admin!$C$12)+($Q21*Admin!$C$6)+($R21*Admin!$C$13)</f>
        <v>14.9</v>
      </c>
    </row>
    <row r="22" spans="1:25" x14ac:dyDescent="0.25">
      <c r="A22" s="3" t="s">
        <v>203</v>
      </c>
      <c r="B22" s="3" t="s">
        <v>184</v>
      </c>
      <c r="C22" s="3" t="s">
        <v>43</v>
      </c>
      <c r="D22" s="3">
        <v>5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M22" s="3">
        <v>7</v>
      </c>
      <c r="N22" s="3">
        <v>4</v>
      </c>
      <c r="O22" s="3">
        <v>33</v>
      </c>
      <c r="P22" s="3">
        <v>0</v>
      </c>
      <c r="Q22" s="3">
        <v>0</v>
      </c>
      <c r="R22" s="3">
        <v>0</v>
      </c>
      <c r="S22" s="3">
        <v>7.3</v>
      </c>
      <c r="T22" s="3">
        <v>1.68674698795181E-2</v>
      </c>
      <c r="U22" s="3"/>
      <c r="V22" s="3">
        <v>8.25</v>
      </c>
      <c r="W22" s="3"/>
      <c r="X22" s="3"/>
      <c r="Y22" s="3">
        <f>($G22*Admin!$C$4)+($H22*Admin!$C$3)+($I22*Admin!$C$5)+($K22*Admin!$C$9)+($L22*Admin!$C$10)+($N22*Admin!$C$7)+($O22*Admin!$C$11)+($P22*Admin!$C$12)+($Q22*Admin!$C$6)+($R22*Admin!$C$13)</f>
        <v>7.3000000000000007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</row>
    <row r="31" spans="1:25" x14ac:dyDescent="0.25">
      <c r="A31" s="3" t="s">
        <v>184</v>
      </c>
      <c r="B31" s="3">
        <v>5922</v>
      </c>
      <c r="C31" s="3">
        <v>3202</v>
      </c>
      <c r="D31" s="3">
        <v>526</v>
      </c>
      <c r="E31" s="3">
        <v>2720</v>
      </c>
      <c r="F31" s="3">
        <v>14</v>
      </c>
      <c r="G31" s="3">
        <v>1264.28</v>
      </c>
      <c r="H31" s="3">
        <v>488</v>
      </c>
      <c r="I31" s="3">
        <v>0.61475409836065598</v>
      </c>
      <c r="J31" s="3">
        <v>19</v>
      </c>
      <c r="K31" s="3">
        <v>13</v>
      </c>
      <c r="L31" s="3">
        <v>5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</row>
    <row r="33" spans="1:28" x14ac:dyDescent="0.25">
      <c r="A33" s="3" t="str">
        <f>A31</f>
        <v>BAL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204</v>
      </c>
      <c r="B36" s="3" t="s">
        <v>26</v>
      </c>
      <c r="C36" s="3">
        <v>25</v>
      </c>
      <c r="D36" s="3">
        <v>1</v>
      </c>
      <c r="E36" s="3" t="s">
        <v>205</v>
      </c>
      <c r="F36" s="3" t="s">
        <v>184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">
        <v>0</v>
      </c>
      <c r="X36" s="3">
        <v>0</v>
      </c>
      <c r="Y36" s="3">
        <v>0</v>
      </c>
      <c r="Z36" s="3">
        <v>0</v>
      </c>
      <c r="AA36" s="3">
        <v>0</v>
      </c>
      <c r="AB36" s="3">
        <v>0</v>
      </c>
    </row>
    <row r="37" spans="1:28" x14ac:dyDescent="0.25">
      <c r="A37" s="4" t="s">
        <v>206</v>
      </c>
      <c r="B37" s="4" t="s">
        <v>26</v>
      </c>
      <c r="C37" s="4">
        <v>25</v>
      </c>
      <c r="D37" s="4">
        <v>4</v>
      </c>
      <c r="E37" s="4" t="s">
        <v>207</v>
      </c>
      <c r="F37" s="4" t="s">
        <v>184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</row>
    <row r="38" spans="1:28" x14ac:dyDescent="0.25">
      <c r="A38" s="3" t="s">
        <v>208</v>
      </c>
      <c r="B38" s="3" t="s">
        <v>26</v>
      </c>
      <c r="C38" s="3">
        <v>26</v>
      </c>
      <c r="D38" s="3">
        <v>6</v>
      </c>
      <c r="E38" s="3" t="s">
        <v>209</v>
      </c>
      <c r="F38" s="3" t="s">
        <v>184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v>0</v>
      </c>
      <c r="W38" s="3">
        <v>0</v>
      </c>
      <c r="X38" s="3">
        <v>0</v>
      </c>
      <c r="Y38" s="3">
        <v>0</v>
      </c>
      <c r="Z38" s="3">
        <v>0</v>
      </c>
      <c r="AA38" s="3">
        <v>0</v>
      </c>
      <c r="AB38" s="3">
        <v>0</v>
      </c>
    </row>
    <row r="39" spans="1:28" x14ac:dyDescent="0.25">
      <c r="A39" s="4" t="s">
        <v>210</v>
      </c>
      <c r="B39" s="4" t="s">
        <v>26</v>
      </c>
      <c r="C39" s="4">
        <v>37</v>
      </c>
      <c r="D39" s="4">
        <v>8</v>
      </c>
      <c r="E39" s="4" t="s">
        <v>211</v>
      </c>
      <c r="F39" s="4" t="s">
        <v>184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  <c r="AB39" s="4"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212</v>
      </c>
      <c r="B46" s="3" t="s">
        <v>31</v>
      </c>
      <c r="C46" s="3">
        <v>24</v>
      </c>
      <c r="D46" s="3">
        <v>4</v>
      </c>
      <c r="E46" s="3" t="s">
        <v>213</v>
      </c>
      <c r="F46" s="3" t="s">
        <v>184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v>0</v>
      </c>
      <c r="W46" s="3">
        <v>0</v>
      </c>
      <c r="X46" s="3">
        <v>0</v>
      </c>
      <c r="Y46" s="3">
        <v>0</v>
      </c>
      <c r="Z46" s="3">
        <v>0</v>
      </c>
      <c r="AA46" s="3">
        <v>0</v>
      </c>
      <c r="AB46" s="3">
        <f t="shared" ref="AB46:AB51" si="0">($J46*Cp_yd)+($K46*Cp_td)+($L46*Cint)+($M46*Ccar)+($N46*Cr_td)+($O46*Cr_yd)+(Q46*Crec)+($R46*Crec_yd)+($S46*Crec_td)+($T46*Cfmb)+($U46*Ctp_c)</f>
        <v>0</v>
      </c>
    </row>
    <row r="47" spans="1:28" x14ac:dyDescent="0.25">
      <c r="A47" s="4" t="s">
        <v>214</v>
      </c>
      <c r="B47" s="4" t="s">
        <v>31</v>
      </c>
      <c r="C47" s="4">
        <v>28</v>
      </c>
      <c r="D47" s="4">
        <v>6</v>
      </c>
      <c r="E47" s="4" t="s">
        <v>215</v>
      </c>
      <c r="F47" s="4" t="s">
        <v>184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f t="shared" si="0"/>
        <v>0</v>
      </c>
    </row>
    <row r="48" spans="1:28" x14ac:dyDescent="0.25">
      <c r="A48" s="3" t="s">
        <v>216</v>
      </c>
      <c r="B48" s="3" t="s">
        <v>31</v>
      </c>
      <c r="C48" s="3">
        <v>30</v>
      </c>
      <c r="D48" s="3">
        <v>9</v>
      </c>
      <c r="E48" s="3" t="s">
        <v>72</v>
      </c>
      <c r="F48" s="3" t="s">
        <v>184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v>0</v>
      </c>
      <c r="W48" s="3">
        <v>0</v>
      </c>
      <c r="X48" s="3">
        <v>0</v>
      </c>
      <c r="Y48" s="3">
        <v>0</v>
      </c>
      <c r="Z48" s="3">
        <v>0</v>
      </c>
      <c r="AA48" s="3">
        <v>0</v>
      </c>
      <c r="AB48" s="3">
        <f t="shared" si="0"/>
        <v>0</v>
      </c>
    </row>
    <row r="49" spans="1:28" x14ac:dyDescent="0.25">
      <c r="A49" s="4" t="s">
        <v>217</v>
      </c>
      <c r="B49" s="4" t="s">
        <v>31</v>
      </c>
      <c r="C49" s="4">
        <v>25</v>
      </c>
      <c r="D49" s="4">
        <v>5</v>
      </c>
      <c r="E49" s="4" t="s">
        <v>218</v>
      </c>
      <c r="F49" s="4" t="s">
        <v>184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B49" s="4">
        <f t="shared" si="0"/>
        <v>0</v>
      </c>
    </row>
    <row r="50" spans="1:28" x14ac:dyDescent="0.25">
      <c r="A50" s="3" t="s">
        <v>219</v>
      </c>
      <c r="B50" s="3" t="s">
        <v>31</v>
      </c>
      <c r="C50" s="3">
        <v>21</v>
      </c>
      <c r="D50" s="3">
        <v>0</v>
      </c>
      <c r="E50" s="3" t="s">
        <v>220</v>
      </c>
      <c r="F50" s="3" t="s">
        <v>184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v>0</v>
      </c>
      <c r="W50" s="3">
        <v>0</v>
      </c>
      <c r="X50" s="3">
        <v>0</v>
      </c>
      <c r="Y50" s="3">
        <v>0</v>
      </c>
      <c r="Z50" s="3">
        <v>0</v>
      </c>
      <c r="AA50" s="3">
        <v>0</v>
      </c>
      <c r="AB50" s="3">
        <f t="shared" si="0"/>
        <v>0</v>
      </c>
    </row>
    <row r="51" spans="1:28" x14ac:dyDescent="0.25">
      <c r="A51" s="4" t="s">
        <v>221</v>
      </c>
      <c r="B51" s="4" t="s">
        <v>31</v>
      </c>
      <c r="C51" s="4">
        <v>24</v>
      </c>
      <c r="D51" s="4">
        <v>0</v>
      </c>
      <c r="E51" s="4" t="s">
        <v>222</v>
      </c>
      <c r="F51" s="4" t="s">
        <v>184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v>0</v>
      </c>
      <c r="W51" s="4">
        <v>0</v>
      </c>
      <c r="X51" s="4">
        <v>0</v>
      </c>
      <c r="Y51" s="4">
        <v>0</v>
      </c>
      <c r="Z51" s="4">
        <v>0</v>
      </c>
      <c r="AA51" s="4">
        <v>0</v>
      </c>
      <c r="AB51" s="4">
        <f t="shared" si="0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223</v>
      </c>
      <c r="B61" s="3" t="s">
        <v>43</v>
      </c>
      <c r="C61" s="3">
        <v>30</v>
      </c>
      <c r="D61" s="3">
        <v>9</v>
      </c>
      <c r="E61" s="3" t="s">
        <v>78</v>
      </c>
      <c r="F61" s="3" t="s">
        <v>184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v>0</v>
      </c>
      <c r="W61" s="3">
        <v>0</v>
      </c>
      <c r="X61" s="3">
        <v>0</v>
      </c>
      <c r="Y61" s="3">
        <v>0</v>
      </c>
      <c r="Z61" s="3">
        <v>0</v>
      </c>
      <c r="AA61" s="3">
        <v>0</v>
      </c>
      <c r="AB61" s="3">
        <v>0</v>
      </c>
    </row>
    <row r="62" spans="1:28" x14ac:dyDescent="0.25">
      <c r="A62" s="4" t="s">
        <v>224</v>
      </c>
      <c r="B62" s="4" t="s">
        <v>43</v>
      </c>
      <c r="C62" s="4">
        <v>23</v>
      </c>
      <c r="D62" s="4">
        <v>3</v>
      </c>
      <c r="E62" s="4" t="s">
        <v>225</v>
      </c>
      <c r="F62" s="4" t="s">
        <v>184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0</v>
      </c>
      <c r="X62" s="4">
        <v>0</v>
      </c>
      <c r="Y62" s="4">
        <v>0</v>
      </c>
      <c r="Z62" s="4">
        <v>0</v>
      </c>
      <c r="AA62" s="4">
        <v>0</v>
      </c>
      <c r="AB62" s="4">
        <v>0</v>
      </c>
    </row>
    <row r="63" spans="1:28" x14ac:dyDescent="0.25">
      <c r="A63" s="3" t="s">
        <v>226</v>
      </c>
      <c r="B63" s="3" t="s">
        <v>43</v>
      </c>
      <c r="C63" s="3">
        <v>30</v>
      </c>
      <c r="D63" s="3">
        <v>9</v>
      </c>
      <c r="E63" s="3" t="s">
        <v>227</v>
      </c>
      <c r="F63" s="3" t="s">
        <v>184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v>0</v>
      </c>
      <c r="W63" s="3">
        <v>0</v>
      </c>
      <c r="X63" s="3">
        <v>0</v>
      </c>
      <c r="Y63" s="3">
        <v>0</v>
      </c>
      <c r="Z63" s="3">
        <v>0</v>
      </c>
      <c r="AA63" s="3">
        <v>0</v>
      </c>
      <c r="AB63" s="3">
        <v>0</v>
      </c>
    </row>
    <row r="64" spans="1:28" x14ac:dyDescent="0.25">
      <c r="A64" s="4" t="s">
        <v>228</v>
      </c>
      <c r="B64" s="4" t="s">
        <v>43</v>
      </c>
      <c r="C64" s="4">
        <v>25</v>
      </c>
      <c r="D64" s="4">
        <v>1</v>
      </c>
      <c r="E64" s="4" t="s">
        <v>66</v>
      </c>
      <c r="F64" s="4" t="s">
        <v>184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</row>
    <row r="65" spans="1:28" x14ac:dyDescent="0.25">
      <c r="A65" s="3" t="s">
        <v>229</v>
      </c>
      <c r="B65" s="3" t="s">
        <v>43</v>
      </c>
      <c r="C65" s="3">
        <v>25</v>
      </c>
      <c r="D65" s="3">
        <v>1</v>
      </c>
      <c r="E65" s="3" t="s">
        <v>230</v>
      </c>
      <c r="F65" s="3" t="s">
        <v>184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v>0</v>
      </c>
      <c r="W65" s="3">
        <v>0</v>
      </c>
      <c r="X65" s="3">
        <v>0</v>
      </c>
      <c r="Y65" s="3">
        <v>0</v>
      </c>
      <c r="Z65" s="3">
        <v>0</v>
      </c>
      <c r="AA65" s="3">
        <v>0</v>
      </c>
      <c r="AB65" s="3">
        <v>0</v>
      </c>
    </row>
    <row r="66" spans="1:28" x14ac:dyDescent="0.25">
      <c r="A66" s="4" t="s">
        <v>231</v>
      </c>
      <c r="B66" s="4" t="s">
        <v>43</v>
      </c>
      <c r="C66" s="4">
        <v>22</v>
      </c>
      <c r="D66" s="4">
        <v>0</v>
      </c>
      <c r="E66" s="4" t="s">
        <v>232</v>
      </c>
      <c r="F66" s="4" t="s">
        <v>184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</row>
    <row r="67" spans="1:28" x14ac:dyDescent="0.25">
      <c r="A67" s="3" t="s">
        <v>233</v>
      </c>
      <c r="B67" s="3" t="s">
        <v>43</v>
      </c>
      <c r="C67" s="3">
        <v>25</v>
      </c>
      <c r="D67" s="3">
        <v>4</v>
      </c>
      <c r="E67" s="3" t="s">
        <v>66</v>
      </c>
      <c r="F67" s="3" t="s">
        <v>184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v>0</v>
      </c>
      <c r="W67" s="3">
        <v>0</v>
      </c>
      <c r="X67" s="3">
        <v>0</v>
      </c>
      <c r="Y67" s="3">
        <v>0</v>
      </c>
      <c r="Z67" s="3">
        <v>0</v>
      </c>
      <c r="AA67" s="3">
        <v>0</v>
      </c>
      <c r="AB67" s="3">
        <v>0</v>
      </c>
    </row>
    <row r="68" spans="1:28" x14ac:dyDescent="0.25">
      <c r="A68" s="4" t="s">
        <v>234</v>
      </c>
      <c r="B68" s="4" t="s">
        <v>43</v>
      </c>
      <c r="C68" s="4">
        <v>22</v>
      </c>
      <c r="D68" s="4">
        <v>0</v>
      </c>
      <c r="E68" s="4" t="s">
        <v>235</v>
      </c>
      <c r="F68" s="4" t="s">
        <v>184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0</v>
      </c>
      <c r="X68" s="4">
        <v>0</v>
      </c>
      <c r="Y68" s="4">
        <v>0</v>
      </c>
      <c r="Z68" s="4">
        <v>0</v>
      </c>
      <c r="AA68" s="4">
        <v>0</v>
      </c>
      <c r="AB68" s="4">
        <v>0</v>
      </c>
    </row>
    <row r="69" spans="1:28" x14ac:dyDescent="0.25">
      <c r="A69" s="3" t="s">
        <v>236</v>
      </c>
      <c r="B69" s="3" t="s">
        <v>43</v>
      </c>
      <c r="C69" s="3">
        <v>26</v>
      </c>
      <c r="D69" s="3">
        <v>4</v>
      </c>
      <c r="E69" s="3" t="s">
        <v>237</v>
      </c>
      <c r="F69" s="3" t="s">
        <v>184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v>0</v>
      </c>
      <c r="W69" s="3">
        <v>0</v>
      </c>
      <c r="X69" s="3">
        <v>0</v>
      </c>
      <c r="Y69" s="3">
        <v>0</v>
      </c>
      <c r="Z69" s="3">
        <v>0</v>
      </c>
      <c r="AA69" s="3">
        <v>0</v>
      </c>
      <c r="AB69" s="3">
        <v>0</v>
      </c>
    </row>
    <row r="70" spans="1:28" x14ac:dyDescent="0.25">
      <c r="A70" s="4" t="s">
        <v>238</v>
      </c>
      <c r="B70" s="4" t="s">
        <v>43</v>
      </c>
      <c r="C70" s="4">
        <v>24</v>
      </c>
      <c r="D70" s="4">
        <v>0</v>
      </c>
      <c r="E70" s="4" t="s">
        <v>215</v>
      </c>
      <c r="F70" s="4" t="s">
        <v>184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0</v>
      </c>
      <c r="X70" s="4">
        <v>0</v>
      </c>
      <c r="Y70" s="4">
        <v>0</v>
      </c>
      <c r="Z70" s="4">
        <v>0</v>
      </c>
      <c r="AA70" s="4">
        <v>0</v>
      </c>
      <c r="AB70" s="4">
        <v>0</v>
      </c>
    </row>
    <row r="71" spans="1:28" x14ac:dyDescent="0.25">
      <c r="A71" s="3" t="s">
        <v>239</v>
      </c>
      <c r="B71" s="3" t="s">
        <v>43</v>
      </c>
      <c r="C71" s="3">
        <v>28</v>
      </c>
      <c r="D71" s="3">
        <v>5</v>
      </c>
      <c r="E71" s="3" t="s">
        <v>240</v>
      </c>
      <c r="F71" s="3" t="s">
        <v>184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v>0</v>
      </c>
      <c r="W71" s="3">
        <v>0</v>
      </c>
      <c r="X71" s="3">
        <v>0</v>
      </c>
      <c r="Y71" s="3">
        <v>0</v>
      </c>
      <c r="Z71" s="3">
        <v>0</v>
      </c>
      <c r="AA71" s="3">
        <v>0</v>
      </c>
      <c r="AB71" s="3">
        <v>0</v>
      </c>
    </row>
    <row r="72" spans="1:28" x14ac:dyDescent="0.25">
      <c r="A72" s="4" t="s">
        <v>241</v>
      </c>
      <c r="B72" s="4" t="s">
        <v>43</v>
      </c>
      <c r="C72" s="4">
        <v>24</v>
      </c>
      <c r="D72" s="4">
        <v>3</v>
      </c>
      <c r="E72" s="4" t="s">
        <v>218</v>
      </c>
      <c r="F72" s="4" t="s">
        <v>184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v>0</v>
      </c>
      <c r="W72" s="4">
        <v>0</v>
      </c>
      <c r="X72" s="4">
        <v>0</v>
      </c>
      <c r="Y72" s="4">
        <v>0</v>
      </c>
      <c r="Z72" s="4">
        <v>0</v>
      </c>
      <c r="AA72" s="4">
        <v>0</v>
      </c>
      <c r="AB72" s="4"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242</v>
      </c>
      <c r="B76" s="3" t="s">
        <v>38</v>
      </c>
      <c r="C76" s="3">
        <v>27</v>
      </c>
      <c r="D76" s="3">
        <v>6</v>
      </c>
      <c r="E76" s="3" t="s">
        <v>68</v>
      </c>
      <c r="F76" s="3" t="s">
        <v>184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v>0</v>
      </c>
      <c r="W76" s="3">
        <v>0</v>
      </c>
      <c r="X76" s="3">
        <v>0</v>
      </c>
      <c r="Y76" s="3">
        <v>0</v>
      </c>
      <c r="Z76" s="3">
        <v>0</v>
      </c>
      <c r="AA76" s="3">
        <v>0</v>
      </c>
      <c r="AB76" s="3">
        <v>0</v>
      </c>
    </row>
    <row r="77" spans="1:28" x14ac:dyDescent="0.25">
      <c r="A77" s="4" t="s">
        <v>243</v>
      </c>
      <c r="B77" s="4" t="s">
        <v>38</v>
      </c>
      <c r="C77" s="4">
        <v>24</v>
      </c>
      <c r="D77" s="4">
        <v>2</v>
      </c>
      <c r="E77" s="4" t="s">
        <v>244</v>
      </c>
      <c r="F77" s="4" t="s">
        <v>184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v>0</v>
      </c>
      <c r="W77" s="4">
        <v>0</v>
      </c>
      <c r="X77" s="4">
        <v>0</v>
      </c>
      <c r="Y77" s="4">
        <v>0</v>
      </c>
      <c r="Z77" s="4">
        <v>0</v>
      </c>
      <c r="AA77" s="4">
        <v>0</v>
      </c>
      <c r="AB77" s="4">
        <v>0</v>
      </c>
    </row>
    <row r="78" spans="1:28" x14ac:dyDescent="0.25">
      <c r="A78" s="3" t="s">
        <v>245</v>
      </c>
      <c r="B78" s="3" t="s">
        <v>38</v>
      </c>
      <c r="C78" s="3">
        <v>23</v>
      </c>
      <c r="D78" s="3">
        <v>2</v>
      </c>
      <c r="E78" s="3" t="s">
        <v>246</v>
      </c>
      <c r="F78" s="3" t="s">
        <v>184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v>0</v>
      </c>
      <c r="W78" s="3">
        <v>0</v>
      </c>
      <c r="X78" s="3">
        <v>0</v>
      </c>
      <c r="Y78" s="3">
        <v>0</v>
      </c>
      <c r="Z78" s="3">
        <v>0</v>
      </c>
      <c r="AA78" s="3">
        <v>0</v>
      </c>
      <c r="AB78" s="3">
        <v>0</v>
      </c>
    </row>
    <row r="79" spans="1:28" x14ac:dyDescent="0.25">
      <c r="A79" s="4" t="s">
        <v>247</v>
      </c>
      <c r="B79" s="4" t="s">
        <v>38</v>
      </c>
      <c r="C79" s="4">
        <v>25</v>
      </c>
      <c r="D79" s="4">
        <v>0</v>
      </c>
      <c r="E79" s="4" t="s">
        <v>248</v>
      </c>
      <c r="F79" s="4" t="s">
        <v>184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v>0</v>
      </c>
      <c r="W79" s="4">
        <v>0</v>
      </c>
      <c r="X79" s="4">
        <v>0</v>
      </c>
      <c r="Y79" s="4">
        <v>0</v>
      </c>
      <c r="Z79" s="4">
        <v>0</v>
      </c>
      <c r="AA79" s="4">
        <v>0</v>
      </c>
      <c r="AB79" s="4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B80"/>
  <sheetViews>
    <sheetView topLeftCell="B13" zoomScale="86" zoomScaleNormal="86" workbookViewId="0">
      <selection activeCell="AB46" sqref="AB46:AB50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249</v>
      </c>
      <c r="B2" s="3" t="s">
        <v>250</v>
      </c>
      <c r="C2" s="3" t="s">
        <v>115</v>
      </c>
      <c r="D2" s="3">
        <v>4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10</v>
      </c>
      <c r="N2" s="3">
        <v>8</v>
      </c>
      <c r="O2" s="3">
        <v>69</v>
      </c>
      <c r="P2" s="3">
        <v>1</v>
      </c>
      <c r="Q2" s="3">
        <v>0</v>
      </c>
      <c r="R2" s="3">
        <v>0</v>
      </c>
      <c r="S2" s="3">
        <v>20.9</v>
      </c>
      <c r="T2" s="3">
        <v>2.0491803278688499E-2</v>
      </c>
      <c r="U2" s="3"/>
      <c r="V2" s="3">
        <v>8.625</v>
      </c>
      <c r="W2" s="3"/>
      <c r="X2" s="3"/>
      <c r="Y2" s="3">
        <f>($G2*Admin!$C$4)+($H2*Admin!$C$3)+($I2*Admin!$C$5)+($K2*Admin!$C$9)+($L2*Admin!$C$10)+($N2*Admin!$C$7)+($O2*Admin!$C$11)+($P2*Admin!$C$12)+($Q2*Admin!$C$6)+($R2*Admin!$C$13)</f>
        <v>20.9</v>
      </c>
    </row>
    <row r="3" spans="1:25" x14ac:dyDescent="0.25">
      <c r="A3" s="4" t="s">
        <v>251</v>
      </c>
      <c r="B3" s="4" t="s">
        <v>250</v>
      </c>
      <c r="C3" s="4" t="s">
        <v>26</v>
      </c>
      <c r="D3" s="4">
        <v>2</v>
      </c>
      <c r="E3" s="4">
        <v>7</v>
      </c>
      <c r="F3" s="4">
        <v>2</v>
      </c>
      <c r="G3" s="4">
        <v>8</v>
      </c>
      <c r="H3" s="4">
        <v>0</v>
      </c>
      <c r="I3" s="4">
        <v>0</v>
      </c>
      <c r="J3" s="4">
        <v>5</v>
      </c>
      <c r="K3" s="4">
        <v>0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0.32</v>
      </c>
      <c r="T3" s="4">
        <v>0</v>
      </c>
      <c r="U3" s="4">
        <v>0</v>
      </c>
      <c r="V3" s="4"/>
      <c r="W3" s="4">
        <v>0.28571428571428598</v>
      </c>
      <c r="X3" s="4">
        <v>0</v>
      </c>
      <c r="Y3" s="4">
        <f>($G3*Admin!$C$4)+($H3*Admin!$C$3)+($I3*Admin!$C$5)+($K3*Admin!$C$9)+($L3*Admin!$C$10)+($N3*Admin!$C$7)+($O3*Admin!$C$11)+($P3*Admin!$C$12)+($Q3*Admin!$C$6)+($R3*Admin!$C$13)</f>
        <v>0.32</v>
      </c>
    </row>
    <row r="4" spans="1:25" x14ac:dyDescent="0.25">
      <c r="A4" s="3" t="s">
        <v>252</v>
      </c>
      <c r="B4" s="3" t="s">
        <v>250</v>
      </c>
      <c r="C4" s="3" t="s">
        <v>26</v>
      </c>
      <c r="D4" s="3">
        <v>16</v>
      </c>
      <c r="E4" s="3">
        <v>567</v>
      </c>
      <c r="F4" s="3">
        <v>359</v>
      </c>
      <c r="G4" s="3">
        <v>4283</v>
      </c>
      <c r="H4" s="3">
        <v>35</v>
      </c>
      <c r="I4" s="3">
        <v>14</v>
      </c>
      <c r="J4" s="3">
        <v>124</v>
      </c>
      <c r="K4" s="3">
        <v>762</v>
      </c>
      <c r="L4" s="3">
        <v>7</v>
      </c>
      <c r="M4" s="3">
        <v>0</v>
      </c>
      <c r="N4" s="3">
        <v>0</v>
      </c>
      <c r="O4" s="3">
        <v>0</v>
      </c>
      <c r="P4" s="3">
        <v>0</v>
      </c>
      <c r="Q4" s="3">
        <v>5</v>
      </c>
      <c r="R4" s="3">
        <v>2</v>
      </c>
      <c r="S4" s="3">
        <v>395.52</v>
      </c>
      <c r="T4" s="3">
        <v>0</v>
      </c>
      <c r="U4" s="3">
        <v>6.1451612903225801</v>
      </c>
      <c r="V4" s="3"/>
      <c r="W4" s="3">
        <v>0.63315696649029996</v>
      </c>
      <c r="X4" s="3">
        <v>6.1728395061728399E-2</v>
      </c>
      <c r="Y4" s="3">
        <f>($G4*Admin!$C$4)+($H4*Admin!$C$3)+($I4*Admin!$C$5)+($K4*Admin!$C$9)+($L4*Admin!$C$10)+($N4*Admin!$C$7)+($O4*Admin!$C$11)+($P4*Admin!$C$12)+($Q4*Admin!$C$6)+($R4*Admin!$C$13)</f>
        <v>395.52</v>
      </c>
    </row>
    <row r="5" spans="1:25" x14ac:dyDescent="0.25">
      <c r="A5" s="4" t="s">
        <v>253</v>
      </c>
      <c r="B5" s="4" t="s">
        <v>250</v>
      </c>
      <c r="C5" s="4" t="s">
        <v>31</v>
      </c>
      <c r="D5" s="4">
        <v>1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2</v>
      </c>
      <c r="K5" s="4">
        <v>4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0.4</v>
      </c>
      <c r="T5" s="4">
        <v>0</v>
      </c>
      <c r="U5" s="4">
        <v>2</v>
      </c>
      <c r="V5" s="4"/>
      <c r="W5" s="4"/>
      <c r="X5" s="4"/>
      <c r="Y5" s="4">
        <f>($G5*Admin!$C$4)+($H5*Admin!$C$3)+($I5*Admin!$C$5)+($K5*Admin!$C$9)+($L5*Admin!$C$10)+($N5*Admin!$C$7)+($O5*Admin!$C$11)+($P5*Admin!$C$12)+($Q5*Admin!$C$6)+($R5*Admin!$C$13)</f>
        <v>0.4</v>
      </c>
    </row>
    <row r="6" spans="1:25" x14ac:dyDescent="0.25">
      <c r="A6" s="3" t="s">
        <v>254</v>
      </c>
      <c r="B6" s="3" t="s">
        <v>250</v>
      </c>
      <c r="C6" s="3" t="s">
        <v>31</v>
      </c>
      <c r="D6" s="3">
        <v>16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177</v>
      </c>
      <c r="K6" s="3">
        <v>819</v>
      </c>
      <c r="L6" s="3">
        <v>5</v>
      </c>
      <c r="M6" s="3">
        <v>52</v>
      </c>
      <c r="N6" s="3">
        <v>38</v>
      </c>
      <c r="O6" s="3">
        <v>280</v>
      </c>
      <c r="P6" s="3">
        <v>1</v>
      </c>
      <c r="Q6" s="3">
        <v>3</v>
      </c>
      <c r="R6" s="3">
        <v>0</v>
      </c>
      <c r="S6" s="3">
        <v>177.9</v>
      </c>
      <c r="T6" s="3">
        <v>0.10655737704918</v>
      </c>
      <c r="U6" s="3">
        <v>4.6271186440678003</v>
      </c>
      <c r="V6" s="3">
        <v>7.3684210526315796</v>
      </c>
      <c r="W6" s="3"/>
      <c r="X6" s="3"/>
      <c r="Y6" s="3">
        <f>($G6*Admin!$C$4)+($H6*Admin!$C$3)+($I6*Admin!$C$5)+($K6*Admin!$C$9)+($L6*Admin!$C$10)+($N6*Admin!$C$7)+($O6*Admin!$C$11)+($P6*Admin!$C$12)+($Q6*Admin!$C$6)+($R6*Admin!$C$13)</f>
        <v>177.9</v>
      </c>
    </row>
    <row r="7" spans="1:25" x14ac:dyDescent="0.25">
      <c r="A7" s="4" t="s">
        <v>255</v>
      </c>
      <c r="B7" s="4" t="s">
        <v>250</v>
      </c>
      <c r="C7" s="4" t="s">
        <v>31</v>
      </c>
      <c r="D7" s="4">
        <v>16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89</v>
      </c>
      <c r="K7" s="4">
        <v>507</v>
      </c>
      <c r="L7" s="4">
        <v>2</v>
      </c>
      <c r="M7" s="4">
        <v>32</v>
      </c>
      <c r="N7" s="4">
        <v>21</v>
      </c>
      <c r="O7" s="4">
        <v>180</v>
      </c>
      <c r="P7" s="4">
        <v>1</v>
      </c>
      <c r="Q7" s="4">
        <v>1</v>
      </c>
      <c r="R7" s="4">
        <v>0</v>
      </c>
      <c r="S7" s="4">
        <v>105.7</v>
      </c>
      <c r="T7" s="4">
        <v>6.5573770491803296E-2</v>
      </c>
      <c r="U7" s="4">
        <v>5.69662921348315</v>
      </c>
      <c r="V7" s="4">
        <v>8.5714285714285694</v>
      </c>
      <c r="W7" s="4"/>
      <c r="X7" s="4"/>
      <c r="Y7" s="4">
        <f>($G7*Admin!$C$4)+($H7*Admin!$C$3)+($I7*Admin!$C$5)+($K7*Admin!$C$9)+($L7*Admin!$C$10)+($N7*Admin!$C$7)+($O7*Admin!$C$11)+($P7*Admin!$C$12)+($Q7*Admin!$C$6)+($R7*Admin!$C$13)</f>
        <v>105.7</v>
      </c>
    </row>
    <row r="8" spans="1:25" x14ac:dyDescent="0.25">
      <c r="A8" s="3" t="s">
        <v>256</v>
      </c>
      <c r="B8" s="3" t="s">
        <v>250</v>
      </c>
      <c r="C8" s="3" t="s">
        <v>31</v>
      </c>
      <c r="D8" s="3">
        <v>9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6</v>
      </c>
      <c r="K8" s="3">
        <v>-3</v>
      </c>
      <c r="L8" s="3">
        <v>0</v>
      </c>
      <c r="M8" s="3">
        <v>9</v>
      </c>
      <c r="N8" s="3">
        <v>5</v>
      </c>
      <c r="O8" s="3">
        <v>53</v>
      </c>
      <c r="P8" s="3">
        <v>1</v>
      </c>
      <c r="Q8" s="3">
        <v>0</v>
      </c>
      <c r="R8" s="3">
        <v>0</v>
      </c>
      <c r="S8" s="3">
        <v>28</v>
      </c>
      <c r="T8" s="3">
        <v>1.84426229508197E-2</v>
      </c>
      <c r="U8" s="3">
        <v>-0.5</v>
      </c>
      <c r="V8" s="3">
        <v>10.6</v>
      </c>
      <c r="W8" s="3"/>
      <c r="X8" s="3"/>
      <c r="Y8" s="3">
        <f>($G8*Admin!$C$4)+($H8*Admin!$C$3)+($I8*Admin!$C$5)+($K8*Admin!$C$9)+($L8*Admin!$C$10)+($N8*Admin!$C$7)+($O8*Admin!$C$11)+($P8*Admin!$C$12)+($Q8*Admin!$C$6)+($R8*Admin!$C$13)</f>
        <v>16</v>
      </c>
    </row>
    <row r="9" spans="1:25" x14ac:dyDescent="0.25">
      <c r="A9" s="4" t="s">
        <v>257</v>
      </c>
      <c r="B9" s="4" t="s">
        <v>250</v>
      </c>
      <c r="C9" s="4" t="s">
        <v>31</v>
      </c>
      <c r="D9" s="4">
        <v>5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17</v>
      </c>
      <c r="K9" s="4">
        <v>91</v>
      </c>
      <c r="L9" s="4">
        <v>0</v>
      </c>
      <c r="M9" s="4">
        <v>8</v>
      </c>
      <c r="N9" s="4">
        <v>7</v>
      </c>
      <c r="O9" s="4">
        <v>27</v>
      </c>
      <c r="P9" s="4">
        <v>0</v>
      </c>
      <c r="Q9" s="4">
        <v>1</v>
      </c>
      <c r="R9" s="4">
        <v>0</v>
      </c>
      <c r="S9" s="4">
        <v>16.8</v>
      </c>
      <c r="T9" s="4">
        <v>1.63934426229508E-2</v>
      </c>
      <c r="U9" s="4">
        <v>5.3529411764705896</v>
      </c>
      <c r="V9" s="4">
        <v>3.8571428571428599</v>
      </c>
      <c r="W9" s="4"/>
      <c r="X9" s="4"/>
      <c r="Y9" s="4">
        <f>($G9*Admin!$C$4)+($H9*Admin!$C$3)+($I9*Admin!$C$5)+($K9*Admin!$C$9)+($L9*Admin!$C$10)+($N9*Admin!$C$7)+($O9*Admin!$C$11)+($P9*Admin!$C$12)+($Q9*Admin!$C$6)+($R9*Admin!$C$13)</f>
        <v>16.8</v>
      </c>
    </row>
    <row r="10" spans="1:25" x14ac:dyDescent="0.25">
      <c r="A10" s="3" t="s">
        <v>258</v>
      </c>
      <c r="B10" s="3" t="s">
        <v>250</v>
      </c>
      <c r="C10" s="3" t="s">
        <v>38</v>
      </c>
      <c r="D10" s="3">
        <v>15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65</v>
      </c>
      <c r="N10" s="3">
        <v>48</v>
      </c>
      <c r="O10" s="3">
        <v>517</v>
      </c>
      <c r="P10" s="3">
        <v>6</v>
      </c>
      <c r="Q10" s="3">
        <v>0</v>
      </c>
      <c r="R10" s="3">
        <v>0</v>
      </c>
      <c r="S10" s="3">
        <v>135.69999999999999</v>
      </c>
      <c r="T10" s="3">
        <v>0.133196721311475</v>
      </c>
      <c r="U10" s="3"/>
      <c r="V10" s="3">
        <v>10.7708333333333</v>
      </c>
      <c r="W10" s="3"/>
      <c r="X10" s="3"/>
      <c r="Y10" s="3">
        <f>($G10*Admin!$C$4)+($H10*Admin!$C$3)+($I10*Admin!$C$5)+($K10*Admin!$C$9)+($L10*Admin!$C$10)+($N10*Admin!$C$7)+($O10*Admin!$C$11)+($P10*Admin!$C$12)+($Q10*Admin!$C$6)+($R10*Admin!$C$13)</f>
        <v>135.69999999999999</v>
      </c>
    </row>
    <row r="11" spans="1:25" x14ac:dyDescent="0.25">
      <c r="A11" s="4" t="s">
        <v>259</v>
      </c>
      <c r="B11" s="4" t="s">
        <v>250</v>
      </c>
      <c r="C11" s="4" t="s">
        <v>38</v>
      </c>
      <c r="D11" s="4">
        <v>6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11</v>
      </c>
      <c r="N11" s="4">
        <v>8</v>
      </c>
      <c r="O11" s="4">
        <v>84</v>
      </c>
      <c r="P11" s="4">
        <v>1</v>
      </c>
      <c r="Q11" s="4">
        <v>0</v>
      </c>
      <c r="R11" s="4">
        <v>0</v>
      </c>
      <c r="S11" s="4">
        <v>20.399999999999999</v>
      </c>
      <c r="T11" s="4">
        <v>2.2540983606557399E-2</v>
      </c>
      <c r="U11" s="4"/>
      <c r="V11" s="4">
        <v>10.5</v>
      </c>
      <c r="W11" s="4"/>
      <c r="X11" s="4"/>
      <c r="Y11" s="4">
        <f>($G11*Admin!$C$4)+($H11*Admin!$C$3)+($I11*Admin!$C$5)+($K11*Admin!$C$9)+($L11*Admin!$C$10)+($N11*Admin!$C$7)+($O11*Admin!$C$11)+($P11*Admin!$C$12)+($Q11*Admin!$C$6)+($R11*Admin!$C$13)</f>
        <v>22.4</v>
      </c>
    </row>
    <row r="12" spans="1:25" x14ac:dyDescent="0.25">
      <c r="A12" s="3" t="s">
        <v>260</v>
      </c>
      <c r="B12" s="3" t="s">
        <v>250</v>
      </c>
      <c r="C12" s="3" t="s">
        <v>38</v>
      </c>
      <c r="D12" s="3">
        <v>1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1</v>
      </c>
      <c r="N12" s="3">
        <v>1</v>
      </c>
      <c r="O12" s="3">
        <v>7</v>
      </c>
      <c r="P12" s="3">
        <v>0</v>
      </c>
      <c r="Q12" s="3">
        <v>0</v>
      </c>
      <c r="R12" s="3">
        <v>0</v>
      </c>
      <c r="S12" s="3">
        <v>1.7</v>
      </c>
      <c r="T12" s="3">
        <v>2.04918032786885E-3</v>
      </c>
      <c r="U12" s="3"/>
      <c r="V12" s="3">
        <v>7</v>
      </c>
      <c r="W12" s="3"/>
      <c r="X12" s="3"/>
      <c r="Y12" s="3">
        <f>($G12*Admin!$C$4)+($H12*Admin!$C$3)+($I12*Admin!$C$5)+($K12*Admin!$C$9)+($L12*Admin!$C$10)+($N12*Admin!$C$7)+($O12*Admin!$C$11)+($P12*Admin!$C$12)+($Q12*Admin!$C$6)+($R12*Admin!$C$13)</f>
        <v>1.7000000000000002</v>
      </c>
    </row>
    <row r="13" spans="1:25" x14ac:dyDescent="0.25">
      <c r="A13" s="4" t="s">
        <v>261</v>
      </c>
      <c r="B13" s="4" t="s">
        <v>250</v>
      </c>
      <c r="C13" s="4" t="s">
        <v>43</v>
      </c>
      <c r="D13" s="4">
        <v>2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2</v>
      </c>
      <c r="N13" s="4">
        <v>2</v>
      </c>
      <c r="O13" s="4">
        <v>18</v>
      </c>
      <c r="P13" s="4">
        <v>0</v>
      </c>
      <c r="Q13" s="4">
        <v>0</v>
      </c>
      <c r="R13" s="4">
        <v>0</v>
      </c>
      <c r="S13" s="4">
        <v>3.8</v>
      </c>
      <c r="T13" s="4">
        <v>4.0983606557377103E-3</v>
      </c>
      <c r="U13" s="4"/>
      <c r="V13" s="4">
        <v>9</v>
      </c>
      <c r="W13" s="4"/>
      <c r="X13" s="4"/>
      <c r="Y13" s="4">
        <f>($G13*Admin!$C$4)+($H13*Admin!$C$3)+($I13*Admin!$C$5)+($K13*Admin!$C$9)+($L13*Admin!$C$10)+($N13*Admin!$C$7)+($O13*Admin!$C$11)+($P13*Admin!$C$12)+($Q13*Admin!$C$6)+($R13*Admin!$C$13)</f>
        <v>3.8</v>
      </c>
    </row>
    <row r="14" spans="1:25" x14ac:dyDescent="0.25">
      <c r="A14" s="3" t="s">
        <v>262</v>
      </c>
      <c r="B14" s="3" t="s">
        <v>250</v>
      </c>
      <c r="C14" s="3" t="s">
        <v>43</v>
      </c>
      <c r="D14" s="3">
        <v>15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93</v>
      </c>
      <c r="N14" s="3">
        <v>48</v>
      </c>
      <c r="O14" s="3">
        <v>836</v>
      </c>
      <c r="P14" s="3">
        <v>7</v>
      </c>
      <c r="Q14" s="3">
        <v>0</v>
      </c>
      <c r="R14" s="3">
        <v>0</v>
      </c>
      <c r="S14" s="3">
        <v>171.6</v>
      </c>
      <c r="T14" s="3">
        <v>0.19057377049180299</v>
      </c>
      <c r="U14" s="3"/>
      <c r="V14" s="3">
        <v>17.4166666666667</v>
      </c>
      <c r="W14" s="3"/>
      <c r="X14" s="3"/>
      <c r="Y14" s="3">
        <f>($G14*Admin!$C$4)+($H14*Admin!$C$3)+($I14*Admin!$C$5)+($K14*Admin!$C$9)+($L14*Admin!$C$10)+($N14*Admin!$C$7)+($O14*Admin!$C$11)+($P14*Admin!$C$12)+($Q14*Admin!$C$6)+($R14*Admin!$C$13)</f>
        <v>173.60000000000002</v>
      </c>
    </row>
    <row r="15" spans="1:25" x14ac:dyDescent="0.25">
      <c r="A15" s="4" t="s">
        <v>263</v>
      </c>
      <c r="B15" s="4" t="s">
        <v>250</v>
      </c>
      <c r="C15" s="4" t="s">
        <v>43</v>
      </c>
      <c r="D15" s="4">
        <v>1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6</v>
      </c>
      <c r="N15" s="4">
        <v>4</v>
      </c>
      <c r="O15" s="4">
        <v>41</v>
      </c>
      <c r="P15" s="4">
        <v>0</v>
      </c>
      <c r="Q15" s="4">
        <v>0</v>
      </c>
      <c r="R15" s="4">
        <v>0</v>
      </c>
      <c r="S15" s="4">
        <v>8.1</v>
      </c>
      <c r="T15" s="4">
        <v>1.2295081967213101E-2</v>
      </c>
      <c r="U15" s="4"/>
      <c r="V15" s="4">
        <v>10.25</v>
      </c>
      <c r="W15" s="4"/>
      <c r="X15" s="4"/>
      <c r="Y15" s="4">
        <f>($G15*Admin!$C$4)+($H15*Admin!$C$3)+($I15*Admin!$C$5)+($K15*Admin!$C$9)+($L15*Admin!$C$10)+($N15*Admin!$C$7)+($O15*Admin!$C$11)+($P15*Admin!$C$12)+($Q15*Admin!$C$6)+($R15*Admin!$C$13)</f>
        <v>8.1000000000000014</v>
      </c>
    </row>
    <row r="16" spans="1:25" x14ac:dyDescent="0.25">
      <c r="A16" s="3" t="s">
        <v>264</v>
      </c>
      <c r="B16" s="3" t="s">
        <v>250</v>
      </c>
      <c r="C16" s="3" t="s">
        <v>43</v>
      </c>
      <c r="D16" s="3">
        <v>15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9</v>
      </c>
      <c r="K16" s="3">
        <v>55</v>
      </c>
      <c r="L16" s="3">
        <v>1</v>
      </c>
      <c r="M16" s="3">
        <v>65</v>
      </c>
      <c r="N16" s="3">
        <v>42</v>
      </c>
      <c r="O16" s="3">
        <v>423</v>
      </c>
      <c r="P16" s="3">
        <v>4</v>
      </c>
      <c r="Q16" s="3">
        <v>0</v>
      </c>
      <c r="R16" s="3">
        <v>0</v>
      </c>
      <c r="S16" s="3">
        <v>119.8</v>
      </c>
      <c r="T16" s="3">
        <v>0.133196721311475</v>
      </c>
      <c r="U16" s="3">
        <v>6.1111111111111098</v>
      </c>
      <c r="V16" s="3">
        <v>10.0714285714286</v>
      </c>
      <c r="W16" s="3"/>
      <c r="X16" s="3"/>
      <c r="Y16" s="3">
        <f>($G16*Admin!$C$4)+($H16*Admin!$C$3)+($I16*Admin!$C$5)+($K16*Admin!$C$9)+($L16*Admin!$C$10)+($N16*Admin!$C$7)+($O16*Admin!$C$11)+($P16*Admin!$C$12)+($Q16*Admin!$C$6)+($R16*Admin!$C$13)</f>
        <v>119.80000000000001</v>
      </c>
    </row>
    <row r="17" spans="1:25" x14ac:dyDescent="0.25">
      <c r="A17" s="4" t="s">
        <v>265</v>
      </c>
      <c r="B17" s="4" t="s">
        <v>250</v>
      </c>
      <c r="C17" s="4" t="s">
        <v>43</v>
      </c>
      <c r="D17" s="4">
        <v>2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2</v>
      </c>
      <c r="N17" s="4">
        <v>1</v>
      </c>
      <c r="O17" s="4">
        <v>42</v>
      </c>
      <c r="P17" s="4">
        <v>1</v>
      </c>
      <c r="Q17" s="4">
        <v>0</v>
      </c>
      <c r="R17" s="4">
        <v>0</v>
      </c>
      <c r="S17" s="4">
        <v>11.2</v>
      </c>
      <c r="T17" s="4">
        <v>4.0983606557377103E-3</v>
      </c>
      <c r="U17" s="4"/>
      <c r="V17" s="4">
        <v>42</v>
      </c>
      <c r="W17" s="4"/>
      <c r="X17" s="4"/>
      <c r="Y17" s="4">
        <f>($G17*Admin!$C$4)+($H17*Admin!$C$3)+($I17*Admin!$C$5)+($K17*Admin!$C$9)+($L17*Admin!$C$10)+($N17*Admin!$C$7)+($O17*Admin!$C$11)+($P17*Admin!$C$12)+($Q17*Admin!$C$6)+($R17*Admin!$C$13)</f>
        <v>11.2</v>
      </c>
    </row>
    <row r="18" spans="1:25" x14ac:dyDescent="0.25">
      <c r="A18" s="3" t="s">
        <v>266</v>
      </c>
      <c r="B18" s="3" t="s">
        <v>250</v>
      </c>
      <c r="C18" s="3" t="s">
        <v>43</v>
      </c>
      <c r="D18" s="3">
        <v>4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13</v>
      </c>
      <c r="N18" s="3">
        <v>6</v>
      </c>
      <c r="O18" s="3">
        <v>60</v>
      </c>
      <c r="P18" s="3">
        <v>0</v>
      </c>
      <c r="Q18" s="3">
        <v>0</v>
      </c>
      <c r="R18" s="3">
        <v>0</v>
      </c>
      <c r="S18" s="3">
        <v>12</v>
      </c>
      <c r="T18" s="3">
        <v>2.6639344262295101E-2</v>
      </c>
      <c r="U18" s="3"/>
      <c r="V18" s="3">
        <v>10</v>
      </c>
      <c r="W18" s="3"/>
      <c r="X18" s="3"/>
      <c r="Y18" s="3">
        <f>($G18*Admin!$C$4)+($H18*Admin!$C$3)+($I18*Admin!$C$5)+($K18*Admin!$C$9)+($L18*Admin!$C$10)+($N18*Admin!$C$7)+($O18*Admin!$C$11)+($P18*Admin!$C$12)+($Q18*Admin!$C$6)+($R18*Admin!$C$13)</f>
        <v>12</v>
      </c>
    </row>
    <row r="19" spans="1:25" x14ac:dyDescent="0.25">
      <c r="A19" s="4" t="s">
        <v>267</v>
      </c>
      <c r="B19" s="4" t="s">
        <v>250</v>
      </c>
      <c r="C19" s="4" t="s">
        <v>43</v>
      </c>
      <c r="D19" s="4">
        <v>4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7</v>
      </c>
      <c r="N19" s="4">
        <v>4</v>
      </c>
      <c r="O19" s="4">
        <v>64</v>
      </c>
      <c r="P19" s="4">
        <v>0</v>
      </c>
      <c r="Q19" s="4">
        <v>0</v>
      </c>
      <c r="R19" s="4">
        <v>0</v>
      </c>
      <c r="S19" s="4">
        <v>10.4</v>
      </c>
      <c r="T19" s="4">
        <v>1.4344262295082E-2</v>
      </c>
      <c r="U19" s="4"/>
      <c r="V19" s="4">
        <v>16</v>
      </c>
      <c r="W19" s="4"/>
      <c r="X19" s="4"/>
      <c r="Y19" s="4">
        <f>($G19*Admin!$C$4)+($H19*Admin!$C$3)+($I19*Admin!$C$5)+($K19*Admin!$C$9)+($L19*Admin!$C$10)+($N19*Admin!$C$7)+($O19*Admin!$C$11)+($P19*Admin!$C$12)+($Q19*Admin!$C$6)+($R19*Admin!$C$13)</f>
        <v>10.4</v>
      </c>
    </row>
    <row r="20" spans="1:25" x14ac:dyDescent="0.25">
      <c r="A20" s="3" t="s">
        <v>268</v>
      </c>
      <c r="B20" s="3" t="s">
        <v>250</v>
      </c>
      <c r="C20" s="3" t="s">
        <v>43</v>
      </c>
      <c r="D20" s="3">
        <v>10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20</v>
      </c>
      <c r="N20" s="3">
        <v>10</v>
      </c>
      <c r="O20" s="3">
        <v>161</v>
      </c>
      <c r="P20" s="3">
        <v>1</v>
      </c>
      <c r="Q20" s="3">
        <v>0</v>
      </c>
      <c r="R20" s="3">
        <v>0</v>
      </c>
      <c r="S20" s="3">
        <v>34.1</v>
      </c>
      <c r="T20" s="3">
        <v>4.0983606557376998E-2</v>
      </c>
      <c r="U20" s="3"/>
      <c r="V20" s="3">
        <v>16.100000000000001</v>
      </c>
      <c r="W20" s="3"/>
      <c r="X20" s="3"/>
      <c r="Y20" s="3">
        <f>($G20*Admin!$C$4)+($H20*Admin!$C$3)+($I20*Admin!$C$5)+($K20*Admin!$C$9)+($L20*Admin!$C$10)+($N20*Admin!$C$7)+($O20*Admin!$C$11)+($P20*Admin!$C$12)+($Q20*Admin!$C$6)+($R20*Admin!$C$13)</f>
        <v>32.1</v>
      </c>
    </row>
    <row r="21" spans="1:25" x14ac:dyDescent="0.25">
      <c r="A21" s="4" t="s">
        <v>269</v>
      </c>
      <c r="B21" s="4" t="s">
        <v>250</v>
      </c>
      <c r="C21" s="4" t="s">
        <v>43</v>
      </c>
      <c r="D21" s="4">
        <v>16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1</v>
      </c>
      <c r="K21" s="4">
        <v>-3</v>
      </c>
      <c r="L21" s="4">
        <v>0</v>
      </c>
      <c r="M21" s="4">
        <v>154</v>
      </c>
      <c r="N21" s="4">
        <v>108</v>
      </c>
      <c r="O21" s="4">
        <v>1429</v>
      </c>
      <c r="P21" s="4">
        <v>11</v>
      </c>
      <c r="Q21" s="4">
        <v>0</v>
      </c>
      <c r="R21" s="4">
        <v>0</v>
      </c>
      <c r="S21" s="4">
        <v>316.60000000000002</v>
      </c>
      <c r="T21" s="4">
        <v>0.31557377049180302</v>
      </c>
      <c r="U21" s="4">
        <v>-3</v>
      </c>
      <c r="V21" s="4">
        <v>13.2314814814815</v>
      </c>
      <c r="W21" s="4"/>
      <c r="X21" s="4"/>
      <c r="Y21" s="4">
        <f>($G21*Admin!$C$4)+($H21*Admin!$C$3)+($I21*Admin!$C$5)+($K21*Admin!$C$9)+($L21*Admin!$C$10)+($N21*Admin!$C$7)+($O21*Admin!$C$11)+($P21*Admin!$C$12)+($Q21*Admin!$C$6)+($R21*Admin!$C$13)</f>
        <v>316.60000000000002</v>
      </c>
    </row>
    <row r="22" spans="1:25" x14ac:dyDescent="0.25">
      <c r="A22" s="3" t="s">
        <v>270</v>
      </c>
      <c r="B22" s="3" t="s">
        <v>250</v>
      </c>
      <c r="C22" s="3" t="s">
        <v>43</v>
      </c>
      <c r="D22" s="3">
        <v>1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M22" s="3">
        <v>1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3">
        <v>0</v>
      </c>
      <c r="T22" s="3">
        <v>2.04918032786885E-3</v>
      </c>
      <c r="U22" s="3"/>
      <c r="V22" s="3"/>
      <c r="W22" s="3"/>
      <c r="X22" s="3"/>
      <c r="Y22" s="3">
        <f>($G22*Admin!$C$4)+($H22*Admin!$C$3)+($I22*Admin!$C$5)+($K22*Admin!$C$9)+($L22*Admin!$C$10)+($N22*Admin!$C$7)+($O22*Admin!$C$11)+($P22*Admin!$C$12)+($Q22*Admin!$C$6)+($R22*Admin!$C$13)</f>
        <v>0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</row>
    <row r="31" spans="1:25" x14ac:dyDescent="0.25">
      <c r="A31" s="3" t="s">
        <v>250</v>
      </c>
      <c r="B31" s="3">
        <v>6523</v>
      </c>
      <c r="C31" s="3">
        <v>4291</v>
      </c>
      <c r="D31" s="3">
        <v>430</v>
      </c>
      <c r="E31" s="3">
        <v>2232</v>
      </c>
      <c r="F31" s="3">
        <v>15</v>
      </c>
      <c r="G31" s="3">
        <v>1590.94</v>
      </c>
      <c r="H31" s="3">
        <v>574</v>
      </c>
      <c r="I31" s="3">
        <v>0.62891986062717797</v>
      </c>
      <c r="J31" s="3">
        <v>35</v>
      </c>
      <c r="K31" s="3">
        <v>14</v>
      </c>
      <c r="L31" s="3">
        <v>10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</row>
    <row r="33" spans="1:28" x14ac:dyDescent="0.25">
      <c r="A33" s="3" t="str">
        <f>A31</f>
        <v>BUF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271</v>
      </c>
      <c r="B36" s="3" t="s">
        <v>26</v>
      </c>
      <c r="C36" s="3">
        <v>27</v>
      </c>
      <c r="D36" s="3">
        <v>6</v>
      </c>
      <c r="E36" s="3" t="s">
        <v>272</v>
      </c>
      <c r="F36" s="3" t="s">
        <v>250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">
        <v>0</v>
      </c>
      <c r="X36" s="3">
        <v>0</v>
      </c>
      <c r="Y36" s="3">
        <v>0</v>
      </c>
      <c r="Z36" s="3">
        <v>0</v>
      </c>
      <c r="AA36" s="3">
        <v>0</v>
      </c>
      <c r="AB36" s="3">
        <v>0</v>
      </c>
    </row>
    <row r="37" spans="1:28" x14ac:dyDescent="0.25">
      <c r="A37" s="4" t="s">
        <v>273</v>
      </c>
      <c r="B37" s="4" t="s">
        <v>26</v>
      </c>
      <c r="C37" s="4">
        <v>27</v>
      </c>
      <c r="D37" s="4">
        <v>5</v>
      </c>
      <c r="E37" s="4" t="s">
        <v>70</v>
      </c>
      <c r="F37" s="4" t="s">
        <v>250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</row>
    <row r="38" spans="1:28" x14ac:dyDescent="0.25">
      <c r="A38" s="3" t="s">
        <v>274</v>
      </c>
      <c r="B38" s="3" t="s">
        <v>26</v>
      </c>
      <c r="C38" s="3">
        <v>32</v>
      </c>
      <c r="D38" s="3">
        <v>10</v>
      </c>
      <c r="E38" s="3" t="s">
        <v>78</v>
      </c>
      <c r="F38" s="3" t="s">
        <v>250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v>0</v>
      </c>
      <c r="W38" s="3">
        <v>0</v>
      </c>
      <c r="X38" s="3">
        <v>0</v>
      </c>
      <c r="Y38" s="3">
        <v>0</v>
      </c>
      <c r="Z38" s="3">
        <v>0</v>
      </c>
      <c r="AA38" s="3">
        <v>0</v>
      </c>
      <c r="AB38" s="3"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275</v>
      </c>
      <c r="B46" s="3" t="s">
        <v>31</v>
      </c>
      <c r="C46" s="3">
        <v>23</v>
      </c>
      <c r="D46" s="3">
        <v>2</v>
      </c>
      <c r="E46" s="3" t="s">
        <v>173</v>
      </c>
      <c r="F46" s="3" t="s">
        <v>250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v>0</v>
      </c>
      <c r="W46" s="3">
        <v>0</v>
      </c>
      <c r="X46" s="3">
        <v>0</v>
      </c>
      <c r="Y46" s="3">
        <v>0</v>
      </c>
      <c r="Z46" s="3">
        <v>0</v>
      </c>
      <c r="AA46" s="3">
        <v>0</v>
      </c>
      <c r="AB46" s="3">
        <f>($J46*Cp_yd)+($K46*Cp_td)+($L46*Cint)+($M46*Ccar)+($N46*Cr_td)+($O46*Cr_yd)+(Q46*Crec)+($R46*Crec_yd)+($S46*Crec_td)+($T46*Cfmb)+($U46*Ctp_c)</f>
        <v>0</v>
      </c>
    </row>
    <row r="47" spans="1:28" x14ac:dyDescent="0.25">
      <c r="A47" s="4" t="s">
        <v>276</v>
      </c>
      <c r="B47" s="4" t="s">
        <v>31</v>
      </c>
      <c r="C47" s="4">
        <v>25</v>
      </c>
      <c r="D47" s="4">
        <v>4</v>
      </c>
      <c r="E47" s="4" t="s">
        <v>277</v>
      </c>
      <c r="F47" s="4" t="s">
        <v>250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f>($J47*Cp_yd)+($K47*Cp_td)+($L47*Cint)+($M47*Ccar)+($N47*Cr_td)+($O47*Cr_yd)+(Q47*Crec)+($R47*Crec_yd)+($S47*Crec_td)+($T47*Cfmb)+($U47*Ctp_c)</f>
        <v>0</v>
      </c>
    </row>
    <row r="48" spans="1:28" x14ac:dyDescent="0.25">
      <c r="A48" s="3" t="s">
        <v>278</v>
      </c>
      <c r="B48" s="3" t="s">
        <v>31</v>
      </c>
      <c r="C48" s="3">
        <v>26</v>
      </c>
      <c r="D48" s="3">
        <v>5</v>
      </c>
      <c r="E48" s="3" t="s">
        <v>153</v>
      </c>
      <c r="F48" s="3" t="s">
        <v>250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v>0</v>
      </c>
      <c r="W48" s="3">
        <v>0</v>
      </c>
      <c r="X48" s="3">
        <v>0</v>
      </c>
      <c r="Y48" s="3">
        <v>0</v>
      </c>
      <c r="Z48" s="3">
        <v>0</v>
      </c>
      <c r="AA48" s="3">
        <v>0</v>
      </c>
      <c r="AB48" s="3">
        <f>($J48*Cp_yd)+($K48*Cp_td)+($L48*Cint)+($M48*Ccar)+($N48*Cr_td)+($O48*Cr_yd)+(Q48*Crec)+($R48*Crec_yd)+($S48*Crec_td)+($T48*Cfmb)+($U48*Ctp_c)</f>
        <v>0</v>
      </c>
    </row>
    <row r="49" spans="1:28" x14ac:dyDescent="0.25">
      <c r="A49" s="4" t="s">
        <v>279</v>
      </c>
      <c r="B49" s="4" t="s">
        <v>31</v>
      </c>
      <c r="C49" s="4">
        <v>24</v>
      </c>
      <c r="D49" s="4">
        <v>0</v>
      </c>
      <c r="E49" s="4" t="s">
        <v>280</v>
      </c>
      <c r="F49" s="4" t="s">
        <v>250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B49" s="4">
        <f>($J49*Cp_yd)+($K49*Cp_td)+($L49*Cint)+($M49*Ccar)+($N49*Cr_td)+($O49*Cr_yd)+(Q49*Crec)+($R49*Crec_yd)+($S49*Crec_td)+($T49*Cfmb)+($U49*Ctp_c)</f>
        <v>0</v>
      </c>
    </row>
    <row r="50" spans="1:28" x14ac:dyDescent="0.25">
      <c r="A50" s="3" t="s">
        <v>281</v>
      </c>
      <c r="B50" s="3" t="s">
        <v>31</v>
      </c>
      <c r="C50" s="3">
        <v>33</v>
      </c>
      <c r="D50" s="3">
        <v>11</v>
      </c>
      <c r="E50" s="3" t="s">
        <v>282</v>
      </c>
      <c r="F50" s="3" t="s">
        <v>250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v>0</v>
      </c>
      <c r="W50" s="3">
        <v>0</v>
      </c>
      <c r="X50" s="3">
        <v>0</v>
      </c>
      <c r="Y50" s="3">
        <v>0</v>
      </c>
      <c r="Z50" s="3">
        <v>0</v>
      </c>
      <c r="AA50" s="3">
        <v>0</v>
      </c>
      <c r="AB50" s="3">
        <f>($J50*Cp_yd)+($K50*Cp_td)+($L50*Cint)+($M50*Ccar)+($N50*Cr_td)+($O50*Cr_yd)+(Q50*Crec)+($R50*Crec_yd)+($S50*Crec_td)+($T50*Cfmb)+($U50*Ctp_c)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283</v>
      </c>
      <c r="B61" s="3" t="s">
        <v>43</v>
      </c>
      <c r="C61" s="3">
        <v>28</v>
      </c>
      <c r="D61" s="3">
        <v>3</v>
      </c>
      <c r="E61" s="3" t="s">
        <v>218</v>
      </c>
      <c r="F61" s="3" t="s">
        <v>250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v>0</v>
      </c>
      <c r="W61" s="3">
        <v>0</v>
      </c>
      <c r="X61" s="3">
        <v>0</v>
      </c>
      <c r="Y61" s="3">
        <v>0</v>
      </c>
      <c r="Z61" s="3">
        <v>0</v>
      </c>
      <c r="AA61" s="3">
        <v>0</v>
      </c>
      <c r="AB61" s="3">
        <v>0</v>
      </c>
    </row>
    <row r="62" spans="1:28" x14ac:dyDescent="0.25">
      <c r="A62" s="4" t="s">
        <v>284</v>
      </c>
      <c r="B62" s="4" t="s">
        <v>43</v>
      </c>
      <c r="C62" s="4">
        <v>24</v>
      </c>
      <c r="D62" s="4">
        <v>2</v>
      </c>
      <c r="E62" s="4" t="s">
        <v>285</v>
      </c>
      <c r="F62" s="4" t="s">
        <v>250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0</v>
      </c>
      <c r="X62" s="4">
        <v>0</v>
      </c>
      <c r="Y62" s="4">
        <v>0</v>
      </c>
      <c r="Z62" s="4">
        <v>0</v>
      </c>
      <c r="AA62" s="4">
        <v>0</v>
      </c>
      <c r="AB62" s="4">
        <v>0</v>
      </c>
    </row>
    <row r="63" spans="1:28" x14ac:dyDescent="0.25">
      <c r="A63" s="3" t="s">
        <v>286</v>
      </c>
      <c r="B63" s="3" t="s">
        <v>43</v>
      </c>
      <c r="C63" s="3">
        <v>24</v>
      </c>
      <c r="D63" s="3">
        <v>4</v>
      </c>
      <c r="E63" s="3" t="s">
        <v>282</v>
      </c>
      <c r="F63" s="3" t="s">
        <v>250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v>0</v>
      </c>
      <c r="W63" s="3">
        <v>0</v>
      </c>
      <c r="X63" s="3">
        <v>0</v>
      </c>
      <c r="Y63" s="3">
        <v>0</v>
      </c>
      <c r="Z63" s="3">
        <v>0</v>
      </c>
      <c r="AA63" s="3">
        <v>0</v>
      </c>
      <c r="AB63" s="3">
        <v>0</v>
      </c>
    </row>
    <row r="64" spans="1:28" x14ac:dyDescent="0.25">
      <c r="A64" s="4" t="s">
        <v>287</v>
      </c>
      <c r="B64" s="4" t="s">
        <v>43</v>
      </c>
      <c r="C64" s="4">
        <v>29</v>
      </c>
      <c r="D64" s="4">
        <v>9</v>
      </c>
      <c r="E64" s="4" t="s">
        <v>232</v>
      </c>
      <c r="F64" s="4" t="s">
        <v>250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</row>
    <row r="65" spans="1:28" x14ac:dyDescent="0.25">
      <c r="A65" s="3" t="s">
        <v>288</v>
      </c>
      <c r="B65" s="3" t="s">
        <v>43</v>
      </c>
      <c r="C65" s="3">
        <v>25</v>
      </c>
      <c r="D65" s="3">
        <v>5</v>
      </c>
      <c r="E65" s="3" t="s">
        <v>289</v>
      </c>
      <c r="F65" s="3" t="s">
        <v>250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v>0</v>
      </c>
      <c r="W65" s="3">
        <v>0</v>
      </c>
      <c r="X65" s="3">
        <v>0</v>
      </c>
      <c r="Y65" s="3">
        <v>0</v>
      </c>
      <c r="Z65" s="3">
        <v>0</v>
      </c>
      <c r="AA65" s="3">
        <v>0</v>
      </c>
      <c r="AB65" s="3">
        <v>0</v>
      </c>
    </row>
    <row r="66" spans="1:28" x14ac:dyDescent="0.25">
      <c r="A66" s="4" t="s">
        <v>290</v>
      </c>
      <c r="B66" s="4" t="s">
        <v>43</v>
      </c>
      <c r="C66" s="4">
        <v>26</v>
      </c>
      <c r="D66" s="4">
        <v>5</v>
      </c>
      <c r="E66" s="4" t="s">
        <v>291</v>
      </c>
      <c r="F66" s="4" t="s">
        <v>250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</row>
    <row r="67" spans="1:28" x14ac:dyDescent="0.25">
      <c r="A67" s="3" t="s">
        <v>292</v>
      </c>
      <c r="B67" s="3" t="s">
        <v>43</v>
      </c>
      <c r="C67" s="3">
        <v>26</v>
      </c>
      <c r="D67" s="3">
        <v>3</v>
      </c>
      <c r="E67" s="3" t="s">
        <v>280</v>
      </c>
      <c r="F67" s="3" t="s">
        <v>250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v>0</v>
      </c>
      <c r="W67" s="3">
        <v>0</v>
      </c>
      <c r="X67" s="3">
        <v>0</v>
      </c>
      <c r="Y67" s="3">
        <v>0</v>
      </c>
      <c r="Z67" s="3">
        <v>0</v>
      </c>
      <c r="AA67" s="3">
        <v>0</v>
      </c>
      <c r="AB67" s="3">
        <v>0</v>
      </c>
    </row>
    <row r="68" spans="1:28" x14ac:dyDescent="0.25">
      <c r="A68" s="4" t="s">
        <v>293</v>
      </c>
      <c r="B68" s="4" t="s">
        <v>43</v>
      </c>
      <c r="C68" s="4">
        <v>25</v>
      </c>
      <c r="D68" s="4">
        <v>3</v>
      </c>
      <c r="E68" s="4" t="s">
        <v>294</v>
      </c>
      <c r="F68" s="4" t="s">
        <v>250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0</v>
      </c>
      <c r="X68" s="4">
        <v>0</v>
      </c>
      <c r="Y68" s="4">
        <v>0</v>
      </c>
      <c r="Z68" s="4">
        <v>0</v>
      </c>
      <c r="AA68" s="4">
        <v>0</v>
      </c>
      <c r="AB68" s="4">
        <v>0</v>
      </c>
    </row>
    <row r="69" spans="1:28" x14ac:dyDescent="0.25">
      <c r="A69" s="3" t="s">
        <v>295</v>
      </c>
      <c r="B69" s="3" t="s">
        <v>43</v>
      </c>
      <c r="C69" s="3">
        <v>23</v>
      </c>
      <c r="D69" s="3">
        <v>2</v>
      </c>
      <c r="E69" s="3" t="s">
        <v>296</v>
      </c>
      <c r="F69" s="3" t="s">
        <v>250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v>0</v>
      </c>
      <c r="W69" s="3">
        <v>0</v>
      </c>
      <c r="X69" s="3">
        <v>0</v>
      </c>
      <c r="Y69" s="3">
        <v>0</v>
      </c>
      <c r="Z69" s="3">
        <v>0</v>
      </c>
      <c r="AA69" s="3">
        <v>0</v>
      </c>
      <c r="AB69" s="3">
        <v>0</v>
      </c>
    </row>
    <row r="70" spans="1:28" x14ac:dyDescent="0.25">
      <c r="A70" s="4" t="s">
        <v>297</v>
      </c>
      <c r="B70" s="4" t="s">
        <v>43</v>
      </c>
      <c r="C70" s="4">
        <v>23</v>
      </c>
      <c r="D70" s="4">
        <v>0</v>
      </c>
      <c r="E70" s="4" t="s">
        <v>298</v>
      </c>
      <c r="F70" s="4" t="s">
        <v>250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0</v>
      </c>
      <c r="X70" s="4">
        <v>0</v>
      </c>
      <c r="Y70" s="4">
        <v>0</v>
      </c>
      <c r="Z70" s="4">
        <v>0</v>
      </c>
      <c r="AA70" s="4">
        <v>0</v>
      </c>
      <c r="AB70" s="4">
        <v>0</v>
      </c>
    </row>
    <row r="71" spans="1:28" x14ac:dyDescent="0.25">
      <c r="A71" s="3" t="s">
        <v>299</v>
      </c>
      <c r="B71" s="3" t="s">
        <v>43</v>
      </c>
      <c r="C71" s="3">
        <v>27</v>
      </c>
      <c r="D71" s="3">
        <v>6</v>
      </c>
      <c r="E71" s="3" t="s">
        <v>300</v>
      </c>
      <c r="F71" s="3" t="s">
        <v>250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v>0</v>
      </c>
      <c r="W71" s="3">
        <v>0</v>
      </c>
      <c r="X71" s="3">
        <v>0</v>
      </c>
      <c r="Y71" s="3">
        <v>0</v>
      </c>
      <c r="Z71" s="3">
        <v>0</v>
      </c>
      <c r="AA71" s="3">
        <v>0</v>
      </c>
      <c r="AB71" s="3">
        <v>0</v>
      </c>
    </row>
    <row r="72" spans="1:28" x14ac:dyDescent="0.25">
      <c r="A72" s="4" t="s">
        <v>301</v>
      </c>
      <c r="B72" s="4" t="s">
        <v>43</v>
      </c>
      <c r="C72" s="4">
        <v>23</v>
      </c>
      <c r="D72" s="4">
        <v>0</v>
      </c>
      <c r="E72" s="4" t="s">
        <v>178</v>
      </c>
      <c r="F72" s="4" t="s">
        <v>250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v>0</v>
      </c>
      <c r="W72" s="4">
        <v>0</v>
      </c>
      <c r="X72" s="4">
        <v>0</v>
      </c>
      <c r="Y72" s="4">
        <v>0</v>
      </c>
      <c r="Z72" s="4">
        <v>0</v>
      </c>
      <c r="AA72" s="4">
        <v>0</v>
      </c>
      <c r="AB72" s="4">
        <v>0</v>
      </c>
    </row>
    <row r="73" spans="1:28" x14ac:dyDescent="0.25">
      <c r="A73" s="3" t="s">
        <v>302</v>
      </c>
      <c r="B73" s="3" t="s">
        <v>43</v>
      </c>
      <c r="C73" s="3">
        <v>24</v>
      </c>
      <c r="D73" s="3">
        <v>0</v>
      </c>
      <c r="E73" s="3" t="s">
        <v>155</v>
      </c>
      <c r="F73" s="3" t="s">
        <v>250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v>0</v>
      </c>
      <c r="W73" s="3">
        <v>0</v>
      </c>
      <c r="X73" s="3">
        <v>0</v>
      </c>
      <c r="Y73" s="3">
        <v>0</v>
      </c>
      <c r="Z73" s="3">
        <v>0</v>
      </c>
      <c r="AA73" s="3">
        <v>0</v>
      </c>
      <c r="AB73" s="3"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303</v>
      </c>
      <c r="B76" s="3" t="s">
        <v>38</v>
      </c>
      <c r="C76" s="3">
        <v>23</v>
      </c>
      <c r="D76" s="3">
        <v>0</v>
      </c>
      <c r="E76" s="3" t="s">
        <v>207</v>
      </c>
      <c r="F76" s="3" t="s">
        <v>250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v>0</v>
      </c>
      <c r="W76" s="3">
        <v>0</v>
      </c>
      <c r="X76" s="3">
        <v>0</v>
      </c>
      <c r="Y76" s="3">
        <v>0</v>
      </c>
      <c r="Z76" s="3">
        <v>0</v>
      </c>
      <c r="AA76" s="3">
        <v>0</v>
      </c>
      <c r="AB76" s="3">
        <v>0</v>
      </c>
    </row>
    <row r="77" spans="1:28" x14ac:dyDescent="0.25">
      <c r="A77" s="4" t="s">
        <v>304</v>
      </c>
      <c r="B77" s="4" t="s">
        <v>38</v>
      </c>
      <c r="C77" s="4">
        <v>26</v>
      </c>
      <c r="D77" s="4">
        <v>5</v>
      </c>
      <c r="E77" s="4" t="s">
        <v>240</v>
      </c>
      <c r="F77" s="4" t="s">
        <v>250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v>0</v>
      </c>
      <c r="W77" s="4">
        <v>0</v>
      </c>
      <c r="X77" s="4">
        <v>0</v>
      </c>
      <c r="Y77" s="4">
        <v>0</v>
      </c>
      <c r="Z77" s="4">
        <v>0</v>
      </c>
      <c r="AA77" s="4">
        <v>0</v>
      </c>
      <c r="AB77" s="4">
        <v>0</v>
      </c>
    </row>
    <row r="78" spans="1:28" x14ac:dyDescent="0.25">
      <c r="A78" s="3" t="s">
        <v>305</v>
      </c>
      <c r="B78" s="3" t="s">
        <v>38</v>
      </c>
      <c r="C78" s="3">
        <v>24</v>
      </c>
      <c r="D78" s="3">
        <v>2</v>
      </c>
      <c r="E78" s="3" t="s">
        <v>168</v>
      </c>
      <c r="F78" s="3" t="s">
        <v>250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v>0</v>
      </c>
      <c r="W78" s="3">
        <v>0</v>
      </c>
      <c r="X78" s="3">
        <v>0</v>
      </c>
      <c r="Y78" s="3">
        <v>0</v>
      </c>
      <c r="Z78" s="3">
        <v>0</v>
      </c>
      <c r="AA78" s="3">
        <v>0</v>
      </c>
      <c r="AB78" s="3">
        <v>0</v>
      </c>
    </row>
    <row r="79" spans="1:28" x14ac:dyDescent="0.25">
      <c r="A79" s="4" t="s">
        <v>306</v>
      </c>
      <c r="B79" s="4" t="s">
        <v>38</v>
      </c>
      <c r="C79" s="4">
        <v>27</v>
      </c>
      <c r="D79" s="4">
        <v>4</v>
      </c>
      <c r="E79" s="4" t="s">
        <v>307</v>
      </c>
      <c r="F79" s="4" t="s">
        <v>250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v>0</v>
      </c>
      <c r="W79" s="4">
        <v>0</v>
      </c>
      <c r="X79" s="4">
        <v>0</v>
      </c>
      <c r="Y79" s="4">
        <v>0</v>
      </c>
      <c r="Z79" s="4">
        <v>0</v>
      </c>
      <c r="AA79" s="4">
        <v>0</v>
      </c>
      <c r="AB79" s="4">
        <v>0</v>
      </c>
    </row>
    <row r="80" spans="1:28" x14ac:dyDescent="0.25">
      <c r="A80" s="3" t="s">
        <v>308</v>
      </c>
      <c r="B80" s="3" t="s">
        <v>38</v>
      </c>
      <c r="C80" s="3">
        <v>23</v>
      </c>
      <c r="D80" s="3">
        <v>0</v>
      </c>
      <c r="E80" s="3" t="s">
        <v>309</v>
      </c>
      <c r="F80" s="3" t="s">
        <v>250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v>0</v>
      </c>
      <c r="W80" s="3">
        <v>0</v>
      </c>
      <c r="X80" s="3">
        <v>0</v>
      </c>
      <c r="Y80" s="3">
        <v>0</v>
      </c>
      <c r="Z80" s="3">
        <v>0</v>
      </c>
      <c r="AA80" s="3">
        <v>0</v>
      </c>
      <c r="AB80" s="3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B80"/>
  <sheetViews>
    <sheetView topLeftCell="C25" zoomScale="87" zoomScaleNormal="87" workbookViewId="0">
      <selection activeCell="AB46" sqref="AB46:AB50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310</v>
      </c>
      <c r="B2" s="3" t="s">
        <v>311</v>
      </c>
      <c r="C2" s="3" t="s">
        <v>26</v>
      </c>
      <c r="D2" s="3">
        <v>7</v>
      </c>
      <c r="E2" s="3">
        <v>206</v>
      </c>
      <c r="F2" s="3">
        <v>119</v>
      </c>
      <c r="G2" s="3">
        <v>1313</v>
      </c>
      <c r="H2" s="3">
        <v>6</v>
      </c>
      <c r="I2" s="3">
        <v>6</v>
      </c>
      <c r="J2" s="3">
        <v>16</v>
      </c>
      <c r="K2" s="3">
        <v>52</v>
      </c>
      <c r="L2" s="3">
        <v>1</v>
      </c>
      <c r="M2" s="3">
        <v>0</v>
      </c>
      <c r="N2" s="3">
        <v>0</v>
      </c>
      <c r="O2" s="3">
        <v>0</v>
      </c>
      <c r="P2" s="3">
        <v>0</v>
      </c>
      <c r="Q2" s="3">
        <v>1</v>
      </c>
      <c r="R2" s="3">
        <v>0</v>
      </c>
      <c r="S2" s="3">
        <v>73.72</v>
      </c>
      <c r="T2" s="3">
        <v>0</v>
      </c>
      <c r="U2" s="3">
        <v>3.25</v>
      </c>
      <c r="V2" s="3"/>
      <c r="W2" s="3">
        <v>0.57766990291262099</v>
      </c>
      <c r="X2" s="3">
        <v>2.9126213592233E-2</v>
      </c>
      <c r="Y2" s="3">
        <f>($G2*Admin!$C$4)+($H2*Admin!$C$3)+($I2*Admin!$C$5)+($K2*Admin!$C$9)+($L2*Admin!$C$10)+($N2*Admin!$C$7)+($O2*Admin!$C$11)+($P2*Admin!$C$12)+($Q2*Admin!$C$6)+($R2*Admin!$C$13)</f>
        <v>73.720000000000013</v>
      </c>
    </row>
    <row r="3" spans="1:25" x14ac:dyDescent="0.25">
      <c r="A3" s="4" t="s">
        <v>312</v>
      </c>
      <c r="B3" s="4" t="s">
        <v>311</v>
      </c>
      <c r="C3" s="4" t="s">
        <v>26</v>
      </c>
      <c r="D3" s="4">
        <v>1</v>
      </c>
      <c r="E3" s="4">
        <v>5</v>
      </c>
      <c r="F3" s="4">
        <v>3</v>
      </c>
      <c r="G3" s="4">
        <v>59</v>
      </c>
      <c r="H3" s="4">
        <v>0</v>
      </c>
      <c r="I3" s="4">
        <v>1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0.36</v>
      </c>
      <c r="T3" s="4">
        <v>0</v>
      </c>
      <c r="U3" s="4"/>
      <c r="V3" s="4"/>
      <c r="W3" s="4">
        <v>0.6</v>
      </c>
      <c r="X3" s="4">
        <v>0</v>
      </c>
      <c r="Y3" s="4">
        <f>($G3*Admin!$C$4)+($H3*Admin!$C$3)+($I3*Admin!$C$5)+($K3*Admin!$C$9)+($L3*Admin!$C$10)+($N3*Admin!$C$7)+($O3*Admin!$C$11)+($P3*Admin!$C$12)+($Q3*Admin!$C$6)+($R3*Admin!$C$13)</f>
        <v>0.35999999999999988</v>
      </c>
    </row>
    <row r="4" spans="1:25" x14ac:dyDescent="0.25">
      <c r="A4" s="3" t="s">
        <v>313</v>
      </c>
      <c r="B4" s="3" t="s">
        <v>311</v>
      </c>
      <c r="C4" s="3" t="s">
        <v>26</v>
      </c>
      <c r="D4" s="3">
        <v>6</v>
      </c>
      <c r="E4" s="3">
        <v>106</v>
      </c>
      <c r="F4" s="3">
        <v>63</v>
      </c>
      <c r="G4" s="3">
        <v>731</v>
      </c>
      <c r="H4" s="3">
        <v>3</v>
      </c>
      <c r="I4" s="3">
        <v>3</v>
      </c>
      <c r="J4" s="3">
        <v>6</v>
      </c>
      <c r="K4" s="3">
        <v>39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39.14</v>
      </c>
      <c r="T4" s="3">
        <v>0</v>
      </c>
      <c r="U4" s="3">
        <v>6.5</v>
      </c>
      <c r="V4" s="3"/>
      <c r="W4" s="3">
        <v>0.59433962264150897</v>
      </c>
      <c r="X4" s="3">
        <v>2.83018867924528E-2</v>
      </c>
      <c r="Y4" s="3">
        <f>($G4*Admin!$C$4)+($H4*Admin!$C$3)+($I4*Admin!$C$5)+($K4*Admin!$C$9)+($L4*Admin!$C$10)+($N4*Admin!$C$7)+($O4*Admin!$C$11)+($P4*Admin!$C$12)+($Q4*Admin!$C$6)+($R4*Admin!$C$13)</f>
        <v>39.14</v>
      </c>
    </row>
    <row r="5" spans="1:25" x14ac:dyDescent="0.25">
      <c r="A5" s="4" t="s">
        <v>314</v>
      </c>
      <c r="B5" s="4" t="s">
        <v>311</v>
      </c>
      <c r="C5" s="4" t="s">
        <v>26</v>
      </c>
      <c r="D5" s="4">
        <v>6</v>
      </c>
      <c r="E5" s="4">
        <v>140</v>
      </c>
      <c r="F5" s="4">
        <v>82</v>
      </c>
      <c r="G5" s="4">
        <v>1143</v>
      </c>
      <c r="H5" s="4">
        <v>7</v>
      </c>
      <c r="I5" s="4">
        <v>3</v>
      </c>
      <c r="J5" s="4">
        <v>26</v>
      </c>
      <c r="K5" s="4">
        <v>106</v>
      </c>
      <c r="L5" s="4">
        <v>2</v>
      </c>
      <c r="M5" s="4">
        <v>0</v>
      </c>
      <c r="N5" s="4">
        <v>0</v>
      </c>
      <c r="O5" s="4">
        <v>0</v>
      </c>
      <c r="P5" s="4">
        <v>0</v>
      </c>
      <c r="Q5" s="4">
        <v>2</v>
      </c>
      <c r="R5" s="4">
        <v>0</v>
      </c>
      <c r="S5" s="4">
        <v>86.32</v>
      </c>
      <c r="T5" s="4">
        <v>0</v>
      </c>
      <c r="U5" s="4">
        <v>4.0769230769230802</v>
      </c>
      <c r="V5" s="4"/>
      <c r="W5" s="4">
        <v>0.58571428571428596</v>
      </c>
      <c r="X5" s="4">
        <v>0.05</v>
      </c>
      <c r="Y5" s="4">
        <f>($G5*Admin!$C$4)+($H5*Admin!$C$3)+($I5*Admin!$C$5)+($K5*Admin!$C$9)+($L5*Admin!$C$10)+($N5*Admin!$C$7)+($O5*Admin!$C$11)+($P5*Admin!$C$12)+($Q5*Admin!$C$6)+($R5*Admin!$C$13)</f>
        <v>86.32</v>
      </c>
    </row>
    <row r="6" spans="1:25" x14ac:dyDescent="0.25">
      <c r="A6" s="3" t="s">
        <v>315</v>
      </c>
      <c r="B6" s="3" t="s">
        <v>311</v>
      </c>
      <c r="C6" s="3" t="s">
        <v>31</v>
      </c>
      <c r="D6" s="3">
        <v>12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95</v>
      </c>
      <c r="K6" s="3">
        <v>466</v>
      </c>
      <c r="L6" s="3">
        <v>2</v>
      </c>
      <c r="M6" s="3">
        <v>17</v>
      </c>
      <c r="N6" s="3">
        <v>14</v>
      </c>
      <c r="O6" s="3">
        <v>171</v>
      </c>
      <c r="P6" s="3">
        <v>0</v>
      </c>
      <c r="Q6" s="3">
        <v>0</v>
      </c>
      <c r="R6" s="3">
        <v>0</v>
      </c>
      <c r="S6" s="3">
        <v>89.7</v>
      </c>
      <c r="T6" s="3">
        <v>2.9616724738675999E-2</v>
      </c>
      <c r="U6" s="3">
        <v>4.9052631578947397</v>
      </c>
      <c r="V6" s="3">
        <v>12.214285714285699</v>
      </c>
      <c r="W6" s="3"/>
      <c r="X6" s="3"/>
      <c r="Y6" s="3">
        <f>($G6*Admin!$C$4)+($H6*Admin!$C$3)+($I6*Admin!$C$5)+($K6*Admin!$C$9)+($L6*Admin!$C$10)+($N6*Admin!$C$7)+($O6*Admin!$C$11)+($P6*Admin!$C$12)+($Q6*Admin!$C$6)+($R6*Admin!$C$13)</f>
        <v>89.699999999999989</v>
      </c>
    </row>
    <row r="7" spans="1:25" x14ac:dyDescent="0.25">
      <c r="A7" s="4" t="s">
        <v>316</v>
      </c>
      <c r="B7" s="4" t="s">
        <v>311</v>
      </c>
      <c r="C7" s="4" t="s">
        <v>31</v>
      </c>
      <c r="D7" s="4">
        <v>6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85</v>
      </c>
      <c r="K7" s="4">
        <v>393</v>
      </c>
      <c r="L7" s="4">
        <v>2</v>
      </c>
      <c r="M7" s="4">
        <v>43</v>
      </c>
      <c r="N7" s="4">
        <v>33</v>
      </c>
      <c r="O7" s="4">
        <v>277</v>
      </c>
      <c r="P7" s="4">
        <v>1</v>
      </c>
      <c r="Q7" s="4">
        <v>0</v>
      </c>
      <c r="R7" s="4">
        <v>0</v>
      </c>
      <c r="S7" s="4">
        <v>118</v>
      </c>
      <c r="T7" s="4">
        <v>7.4912891986062699E-2</v>
      </c>
      <c r="U7" s="4">
        <v>4.6235294117647099</v>
      </c>
      <c r="V7" s="4">
        <v>8.3939393939393891</v>
      </c>
      <c r="W7" s="4"/>
      <c r="X7" s="4"/>
      <c r="Y7" s="4">
        <f>($G7*Admin!$C$4)+($H7*Admin!$C$3)+($I7*Admin!$C$5)+($K7*Admin!$C$9)+($L7*Admin!$C$10)+($N7*Admin!$C$7)+($O7*Admin!$C$11)+($P7*Admin!$C$12)+($Q7*Admin!$C$6)+($R7*Admin!$C$13)</f>
        <v>118.00000000000001</v>
      </c>
    </row>
    <row r="8" spans="1:25" x14ac:dyDescent="0.25">
      <c r="A8" s="3" t="s">
        <v>317</v>
      </c>
      <c r="B8" s="3" t="s">
        <v>311</v>
      </c>
      <c r="C8" s="3" t="s">
        <v>31</v>
      </c>
      <c r="D8" s="3">
        <v>16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203</v>
      </c>
      <c r="K8" s="3">
        <v>914</v>
      </c>
      <c r="L8" s="3">
        <v>5</v>
      </c>
      <c r="M8" s="3">
        <v>9</v>
      </c>
      <c r="N8" s="3">
        <v>5</v>
      </c>
      <c r="O8" s="3">
        <v>26</v>
      </c>
      <c r="P8" s="3">
        <v>0</v>
      </c>
      <c r="Q8" s="3">
        <v>0</v>
      </c>
      <c r="R8" s="3">
        <v>1</v>
      </c>
      <c r="S8" s="3">
        <v>131</v>
      </c>
      <c r="T8" s="3">
        <v>1.5679442508710801E-2</v>
      </c>
      <c r="U8" s="3">
        <v>4.5024630541871904</v>
      </c>
      <c r="V8" s="3">
        <v>5.2</v>
      </c>
      <c r="W8" s="3"/>
      <c r="X8" s="3"/>
      <c r="Y8" s="3">
        <f>($G8*Admin!$C$4)+($H8*Admin!$C$3)+($I8*Admin!$C$5)+($K8*Admin!$C$9)+($L8*Admin!$C$10)+($N8*Admin!$C$7)+($O8*Admin!$C$11)+($P8*Admin!$C$12)+($Q8*Admin!$C$6)+($R8*Admin!$C$13)</f>
        <v>131</v>
      </c>
    </row>
    <row r="9" spans="1:25" x14ac:dyDescent="0.25">
      <c r="A9" s="4" t="s">
        <v>318</v>
      </c>
      <c r="B9" s="4" t="s">
        <v>311</v>
      </c>
      <c r="C9" s="4" t="s">
        <v>31</v>
      </c>
      <c r="D9" s="4">
        <v>10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23</v>
      </c>
      <c r="K9" s="4">
        <v>77</v>
      </c>
      <c r="L9" s="4">
        <v>3</v>
      </c>
      <c r="M9" s="4">
        <v>12</v>
      </c>
      <c r="N9" s="4">
        <v>10</v>
      </c>
      <c r="O9" s="4">
        <v>93</v>
      </c>
      <c r="P9" s="4">
        <v>0</v>
      </c>
      <c r="Q9" s="4">
        <v>0</v>
      </c>
      <c r="R9" s="4">
        <v>0</v>
      </c>
      <c r="S9" s="4">
        <v>45</v>
      </c>
      <c r="T9" s="4">
        <v>2.0905923344947699E-2</v>
      </c>
      <c r="U9" s="4">
        <v>3.3478260869565202</v>
      </c>
      <c r="V9" s="4">
        <v>9.3000000000000007</v>
      </c>
      <c r="W9" s="4"/>
      <c r="X9" s="4"/>
      <c r="Y9" s="4">
        <f>($G9*Admin!$C$4)+($H9*Admin!$C$3)+($I9*Admin!$C$5)+($K9*Admin!$C$9)+($L9*Admin!$C$10)+($N9*Admin!$C$7)+($O9*Admin!$C$11)+($P9*Admin!$C$12)+($Q9*Admin!$C$6)+($R9*Admin!$C$13)</f>
        <v>45</v>
      </c>
    </row>
    <row r="10" spans="1:25" x14ac:dyDescent="0.25">
      <c r="A10" s="3" t="s">
        <v>319</v>
      </c>
      <c r="B10" s="3" t="s">
        <v>311</v>
      </c>
      <c r="C10" s="3" t="s">
        <v>31</v>
      </c>
      <c r="D10" s="3">
        <v>2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9</v>
      </c>
      <c r="K10" s="3">
        <v>43</v>
      </c>
      <c r="L10" s="3">
        <v>0</v>
      </c>
      <c r="M10" s="3">
        <v>4</v>
      </c>
      <c r="N10" s="3">
        <v>2</v>
      </c>
      <c r="O10" s="3">
        <v>10</v>
      </c>
      <c r="P10" s="3">
        <v>0</v>
      </c>
      <c r="Q10" s="3">
        <v>0</v>
      </c>
      <c r="R10" s="3">
        <v>0</v>
      </c>
      <c r="S10" s="3">
        <v>7.3</v>
      </c>
      <c r="T10" s="3">
        <v>6.9686411149825801E-3</v>
      </c>
      <c r="U10" s="3">
        <v>4.7777777777777803</v>
      </c>
      <c r="V10" s="3">
        <v>5</v>
      </c>
      <c r="W10" s="3"/>
      <c r="X10" s="3"/>
      <c r="Y10" s="3">
        <f>($G10*Admin!$C$4)+($H10*Admin!$C$3)+($I10*Admin!$C$5)+($K10*Admin!$C$9)+($L10*Admin!$C$10)+($N10*Admin!$C$7)+($O10*Admin!$C$11)+($P10*Admin!$C$12)+($Q10*Admin!$C$6)+($R10*Admin!$C$13)</f>
        <v>7.3</v>
      </c>
    </row>
    <row r="11" spans="1:25" x14ac:dyDescent="0.25">
      <c r="A11" s="4" t="s">
        <v>320</v>
      </c>
      <c r="B11" s="4" t="s">
        <v>311</v>
      </c>
      <c r="C11" s="4" t="s">
        <v>38</v>
      </c>
      <c r="D11" s="4">
        <v>6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9</v>
      </c>
      <c r="N11" s="4">
        <v>8</v>
      </c>
      <c r="O11" s="4">
        <v>100</v>
      </c>
      <c r="P11" s="4">
        <v>0</v>
      </c>
      <c r="Q11" s="4">
        <v>0</v>
      </c>
      <c r="R11" s="4">
        <v>0</v>
      </c>
      <c r="S11" s="4">
        <v>18</v>
      </c>
      <c r="T11" s="4">
        <v>1.5679442508710801E-2</v>
      </c>
      <c r="U11" s="4"/>
      <c r="V11" s="4">
        <v>12.5</v>
      </c>
      <c r="W11" s="4"/>
      <c r="X11" s="4"/>
      <c r="Y11" s="4">
        <f>($G11*Admin!$C$4)+($H11*Admin!$C$3)+($I11*Admin!$C$5)+($K11*Admin!$C$9)+($L11*Admin!$C$10)+($N11*Admin!$C$7)+($O11*Admin!$C$11)+($P11*Admin!$C$12)+($Q11*Admin!$C$6)+($R11*Admin!$C$13)</f>
        <v>18</v>
      </c>
    </row>
    <row r="12" spans="1:25" x14ac:dyDescent="0.25">
      <c r="A12" s="3" t="s">
        <v>321</v>
      </c>
      <c r="B12" s="3" t="s">
        <v>311</v>
      </c>
      <c r="C12" s="3" t="s">
        <v>38</v>
      </c>
      <c r="D12" s="3">
        <v>13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30</v>
      </c>
      <c r="N12" s="3">
        <v>21</v>
      </c>
      <c r="O12" s="3">
        <v>197</v>
      </c>
      <c r="P12" s="3">
        <v>0</v>
      </c>
      <c r="Q12" s="3">
        <v>0</v>
      </c>
      <c r="R12" s="3">
        <v>0</v>
      </c>
      <c r="S12" s="3">
        <v>40.700000000000003</v>
      </c>
      <c r="T12" s="3">
        <v>5.2264808362369297E-2</v>
      </c>
      <c r="U12" s="3"/>
      <c r="V12" s="3">
        <v>9.3809523809523796</v>
      </c>
      <c r="W12" s="3"/>
      <c r="X12" s="3"/>
      <c r="Y12" s="3">
        <f>($G12*Admin!$C$4)+($H12*Admin!$C$3)+($I12*Admin!$C$5)+($K12*Admin!$C$9)+($L12*Admin!$C$10)+($N12*Admin!$C$7)+($O12*Admin!$C$11)+($P12*Admin!$C$12)+($Q12*Admin!$C$6)+($R12*Admin!$C$13)</f>
        <v>40.700000000000003</v>
      </c>
    </row>
    <row r="13" spans="1:25" x14ac:dyDescent="0.25">
      <c r="A13" s="4" t="s">
        <v>322</v>
      </c>
      <c r="B13" s="4" t="s">
        <v>311</v>
      </c>
      <c r="C13" s="4" t="s">
        <v>38</v>
      </c>
      <c r="D13" s="4">
        <v>4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6</v>
      </c>
      <c r="N13" s="4">
        <v>2</v>
      </c>
      <c r="O13" s="4">
        <v>46</v>
      </c>
      <c r="P13" s="4">
        <v>0</v>
      </c>
      <c r="Q13" s="4">
        <v>0</v>
      </c>
      <c r="R13" s="4">
        <v>0</v>
      </c>
      <c r="S13" s="4">
        <v>6.6</v>
      </c>
      <c r="T13" s="4">
        <v>1.04529616724739E-2</v>
      </c>
      <c r="U13" s="4"/>
      <c r="V13" s="4">
        <v>23</v>
      </c>
      <c r="W13" s="4"/>
      <c r="X13" s="4"/>
      <c r="Y13" s="4">
        <f>($G13*Admin!$C$4)+($H13*Admin!$C$3)+($I13*Admin!$C$5)+($K13*Admin!$C$9)+($L13*Admin!$C$10)+($N13*Admin!$C$7)+($O13*Admin!$C$11)+($P13*Admin!$C$12)+($Q13*Admin!$C$6)+($R13*Admin!$C$13)</f>
        <v>6.6000000000000005</v>
      </c>
    </row>
    <row r="14" spans="1:25" x14ac:dyDescent="0.25">
      <c r="A14" s="3" t="s">
        <v>323</v>
      </c>
      <c r="B14" s="3" t="s">
        <v>311</v>
      </c>
      <c r="C14" s="3" t="s">
        <v>38</v>
      </c>
      <c r="D14" s="3">
        <v>14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32</v>
      </c>
      <c r="N14" s="3">
        <v>19</v>
      </c>
      <c r="O14" s="3">
        <v>174</v>
      </c>
      <c r="P14" s="3">
        <v>3</v>
      </c>
      <c r="Q14" s="3">
        <v>0</v>
      </c>
      <c r="R14" s="3">
        <v>0</v>
      </c>
      <c r="S14" s="3">
        <v>54.4</v>
      </c>
      <c r="T14" s="3">
        <v>5.5749128919860599E-2</v>
      </c>
      <c r="U14" s="3"/>
      <c r="V14" s="3">
        <v>9.1578947368421009</v>
      </c>
      <c r="W14" s="3"/>
      <c r="X14" s="3"/>
      <c r="Y14" s="3">
        <f>($G14*Admin!$C$4)+($H14*Admin!$C$3)+($I14*Admin!$C$5)+($K14*Admin!$C$9)+($L14*Admin!$C$10)+($N14*Admin!$C$7)+($O14*Admin!$C$11)+($P14*Admin!$C$12)+($Q14*Admin!$C$6)+($R14*Admin!$C$13)</f>
        <v>54.400000000000006</v>
      </c>
    </row>
    <row r="15" spans="1:25" x14ac:dyDescent="0.25">
      <c r="A15" s="4" t="s">
        <v>324</v>
      </c>
      <c r="B15" s="4" t="s">
        <v>311</v>
      </c>
      <c r="C15" s="4" t="s">
        <v>43</v>
      </c>
      <c r="D15" s="4">
        <v>17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10</v>
      </c>
      <c r="K15" s="4">
        <v>53</v>
      </c>
      <c r="L15" s="4">
        <v>0</v>
      </c>
      <c r="M15" s="4">
        <v>118</v>
      </c>
      <c r="N15" s="4">
        <v>63</v>
      </c>
      <c r="O15" s="4">
        <v>888</v>
      </c>
      <c r="P15" s="4">
        <v>7</v>
      </c>
      <c r="Q15" s="4">
        <v>0</v>
      </c>
      <c r="R15" s="4">
        <v>0</v>
      </c>
      <c r="S15" s="4">
        <v>199.1</v>
      </c>
      <c r="T15" s="4">
        <v>0.20557491289198601</v>
      </c>
      <c r="U15" s="4">
        <v>5.3</v>
      </c>
      <c r="V15" s="4">
        <v>14.0952380952381</v>
      </c>
      <c r="W15" s="4"/>
      <c r="X15" s="4"/>
      <c r="Y15" s="4">
        <f>($G15*Admin!$C$4)+($H15*Admin!$C$3)+($I15*Admin!$C$5)+($K15*Admin!$C$9)+($L15*Admin!$C$10)+($N15*Admin!$C$7)+($O15*Admin!$C$11)+($P15*Admin!$C$12)+($Q15*Admin!$C$6)+($R15*Admin!$C$13)</f>
        <v>199.10000000000002</v>
      </c>
    </row>
    <row r="16" spans="1:25" x14ac:dyDescent="0.25">
      <c r="A16" s="3" t="s">
        <v>325</v>
      </c>
      <c r="B16" s="3" t="s">
        <v>311</v>
      </c>
      <c r="C16" s="3" t="s">
        <v>43</v>
      </c>
      <c r="D16" s="3">
        <v>13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9</v>
      </c>
      <c r="K16" s="3">
        <v>65</v>
      </c>
      <c r="L16" s="3">
        <v>1</v>
      </c>
      <c r="M16" s="3">
        <v>32</v>
      </c>
      <c r="N16" s="3">
        <v>27</v>
      </c>
      <c r="O16" s="3">
        <v>272</v>
      </c>
      <c r="P16" s="3">
        <v>1</v>
      </c>
      <c r="Q16" s="3">
        <v>0</v>
      </c>
      <c r="R16" s="3">
        <v>0</v>
      </c>
      <c r="S16" s="3">
        <v>72.7</v>
      </c>
      <c r="T16" s="3">
        <v>5.5749128919860599E-2</v>
      </c>
      <c r="U16" s="3">
        <v>7.2222222222222197</v>
      </c>
      <c r="V16" s="3">
        <v>10.074074074074099</v>
      </c>
      <c r="W16" s="3"/>
      <c r="X16" s="3"/>
      <c r="Y16" s="3">
        <f>($G16*Admin!$C$4)+($H16*Admin!$C$3)+($I16*Admin!$C$5)+($K16*Admin!$C$9)+($L16*Admin!$C$10)+($N16*Admin!$C$7)+($O16*Admin!$C$11)+($P16*Admin!$C$12)+($Q16*Admin!$C$6)+($R16*Admin!$C$13)</f>
        <v>72.7</v>
      </c>
    </row>
    <row r="17" spans="1:25" x14ac:dyDescent="0.25">
      <c r="A17" s="4" t="s">
        <v>50</v>
      </c>
      <c r="B17" s="4" t="s">
        <v>311</v>
      </c>
      <c r="C17" s="4" t="s">
        <v>43</v>
      </c>
      <c r="D17" s="4">
        <v>5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27</v>
      </c>
      <c r="N17" s="4">
        <v>13</v>
      </c>
      <c r="O17" s="4">
        <v>206</v>
      </c>
      <c r="P17" s="4">
        <v>1</v>
      </c>
      <c r="Q17" s="4">
        <v>0</v>
      </c>
      <c r="R17" s="4">
        <v>0</v>
      </c>
      <c r="S17" s="4">
        <v>37.6</v>
      </c>
      <c r="T17" s="4">
        <v>4.7038327526132399E-2</v>
      </c>
      <c r="U17" s="4"/>
      <c r="V17" s="4">
        <v>15.846153846153801</v>
      </c>
      <c r="W17" s="4"/>
      <c r="X17" s="4"/>
      <c r="Y17" s="4">
        <f>($G17*Admin!$C$4)+($H17*Admin!$C$3)+($I17*Admin!$C$5)+($K17*Admin!$C$9)+($L17*Admin!$C$10)+($N17*Admin!$C$7)+($O17*Admin!$C$11)+($P17*Admin!$C$12)+($Q17*Admin!$C$6)+($R17*Admin!$C$13)</f>
        <v>39.6</v>
      </c>
    </row>
    <row r="18" spans="1:25" x14ac:dyDescent="0.25">
      <c r="A18" s="3" t="s">
        <v>326</v>
      </c>
      <c r="B18" s="3" t="s">
        <v>311</v>
      </c>
      <c r="C18" s="3" t="s">
        <v>43</v>
      </c>
      <c r="D18" s="3">
        <v>15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41</v>
      </c>
      <c r="N18" s="3">
        <v>22</v>
      </c>
      <c r="O18" s="3">
        <v>296</v>
      </c>
      <c r="P18" s="3">
        <v>2</v>
      </c>
      <c r="Q18" s="3">
        <v>0</v>
      </c>
      <c r="R18" s="3">
        <v>0</v>
      </c>
      <c r="S18" s="3">
        <v>61.6</v>
      </c>
      <c r="T18" s="3">
        <v>7.1428571428571397E-2</v>
      </c>
      <c r="U18" s="3"/>
      <c r="V18" s="3">
        <v>13.454545454545499</v>
      </c>
      <c r="W18" s="3"/>
      <c r="X18" s="3"/>
      <c r="Y18" s="3">
        <f>($G18*Admin!$C$4)+($H18*Admin!$C$3)+($I18*Admin!$C$5)+($K18*Admin!$C$9)+($L18*Admin!$C$10)+($N18*Admin!$C$7)+($O18*Admin!$C$11)+($P18*Admin!$C$12)+($Q18*Admin!$C$6)+($R18*Admin!$C$13)</f>
        <v>63.6</v>
      </c>
    </row>
    <row r="19" spans="1:25" x14ac:dyDescent="0.25">
      <c r="A19" s="4" t="s">
        <v>327</v>
      </c>
      <c r="B19" s="4" t="s">
        <v>311</v>
      </c>
      <c r="C19" s="4" t="s">
        <v>43</v>
      </c>
      <c r="D19" s="4">
        <v>13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47</v>
      </c>
      <c r="N19" s="4">
        <v>28</v>
      </c>
      <c r="O19" s="4">
        <v>490</v>
      </c>
      <c r="P19" s="4">
        <v>1</v>
      </c>
      <c r="Q19" s="4">
        <v>0</v>
      </c>
      <c r="R19" s="4">
        <v>0</v>
      </c>
      <c r="S19" s="4">
        <v>83</v>
      </c>
      <c r="T19" s="4">
        <v>8.1881533101045303E-2</v>
      </c>
      <c r="U19" s="4"/>
      <c r="V19" s="4">
        <v>17.5</v>
      </c>
      <c r="W19" s="4"/>
      <c r="X19" s="4"/>
      <c r="Y19" s="4">
        <f>($G19*Admin!$C$4)+($H19*Admin!$C$3)+($I19*Admin!$C$5)+($K19*Admin!$C$9)+($L19*Admin!$C$10)+($N19*Admin!$C$7)+($O19*Admin!$C$11)+($P19*Admin!$C$12)+($Q19*Admin!$C$6)+($R19*Admin!$C$13)</f>
        <v>83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</row>
    <row r="31" spans="1:25" x14ac:dyDescent="0.25">
      <c r="A31" s="3" t="s">
        <v>311</v>
      </c>
      <c r="B31" s="3">
        <v>5454</v>
      </c>
      <c r="C31" s="3">
        <v>3246</v>
      </c>
      <c r="D31" s="3">
        <v>482</v>
      </c>
      <c r="E31" s="3">
        <v>2208</v>
      </c>
      <c r="F31" s="3">
        <v>16</v>
      </c>
      <c r="G31" s="3">
        <v>1164.24</v>
      </c>
      <c r="H31" s="3">
        <v>457</v>
      </c>
      <c r="I31" s="3">
        <v>0.58424507658643299</v>
      </c>
      <c r="J31" s="3">
        <v>16</v>
      </c>
      <c r="K31" s="3">
        <v>13</v>
      </c>
      <c r="L31" s="3">
        <v>3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</row>
    <row r="33" spans="1:28" x14ac:dyDescent="0.25">
      <c r="A33" s="3" t="str">
        <f>A31</f>
        <v>CAR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328</v>
      </c>
      <c r="B36" s="3" t="s">
        <v>26</v>
      </c>
      <c r="C36" s="3">
        <v>24</v>
      </c>
      <c r="D36" s="3">
        <v>0</v>
      </c>
      <c r="E36" s="3" t="s">
        <v>240</v>
      </c>
      <c r="F36" s="3" t="s">
        <v>311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">
        <v>0</v>
      </c>
      <c r="X36" s="3">
        <v>0</v>
      </c>
      <c r="Y36" s="3">
        <v>0</v>
      </c>
      <c r="Z36" s="3">
        <v>0</v>
      </c>
      <c r="AA36" s="3">
        <v>0</v>
      </c>
      <c r="AB36" s="3">
        <v>0</v>
      </c>
    </row>
    <row r="37" spans="1:28" x14ac:dyDescent="0.25">
      <c r="A37" s="4" t="s">
        <v>329</v>
      </c>
      <c r="B37" s="4" t="s">
        <v>26</v>
      </c>
      <c r="C37" s="4">
        <v>35</v>
      </c>
      <c r="D37" s="4">
        <v>12</v>
      </c>
      <c r="E37" s="4" t="s">
        <v>76</v>
      </c>
      <c r="F37" s="4" t="s">
        <v>311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</row>
    <row r="38" spans="1:28" x14ac:dyDescent="0.25">
      <c r="A38" s="3" t="s">
        <v>330</v>
      </c>
      <c r="B38" s="3" t="s">
        <v>26</v>
      </c>
      <c r="C38" s="3">
        <v>27</v>
      </c>
      <c r="D38" s="3">
        <v>3</v>
      </c>
      <c r="E38" s="3" t="s">
        <v>111</v>
      </c>
      <c r="F38" s="3" t="s">
        <v>311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v>0</v>
      </c>
      <c r="W38" s="3">
        <v>0</v>
      </c>
      <c r="X38" s="3">
        <v>0</v>
      </c>
      <c r="Y38" s="3">
        <v>0</v>
      </c>
      <c r="Z38" s="3">
        <v>0</v>
      </c>
      <c r="AA38" s="3">
        <v>0</v>
      </c>
      <c r="AB38" s="3">
        <v>0</v>
      </c>
    </row>
    <row r="39" spans="1:28" x14ac:dyDescent="0.25">
      <c r="A39" s="4" t="s">
        <v>331</v>
      </c>
      <c r="B39" s="4" t="s">
        <v>26</v>
      </c>
      <c r="C39" s="4">
        <v>22</v>
      </c>
      <c r="D39" s="4">
        <v>0</v>
      </c>
      <c r="E39" s="4" t="s">
        <v>153</v>
      </c>
      <c r="F39" s="4" t="s">
        <v>311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  <c r="AB39" s="4"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332</v>
      </c>
      <c r="B46" s="3" t="s">
        <v>31</v>
      </c>
      <c r="C46" s="3">
        <v>25</v>
      </c>
      <c r="D46" s="3">
        <v>2</v>
      </c>
      <c r="E46" s="3" t="s">
        <v>333</v>
      </c>
      <c r="F46" s="3" t="s">
        <v>311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v>0</v>
      </c>
      <c r="W46" s="3">
        <v>0</v>
      </c>
      <c r="X46" s="3">
        <v>0</v>
      </c>
      <c r="Y46" s="3">
        <v>0</v>
      </c>
      <c r="Z46" s="3">
        <v>0</v>
      </c>
      <c r="AA46" s="3">
        <v>0</v>
      </c>
      <c r="AB46" s="3">
        <f>($J46*Cp_yd)+($K46*Cp_td)+($L46*Cint)+($M46*Ccar)+($N46*Cr_td)+($O46*Cr_yd)+(Q46*Crec)+($R46*Crec_yd)+($S46*Crec_td)+($T46*Cfmb)+($U46*Ctp_c)</f>
        <v>0</v>
      </c>
    </row>
    <row r="47" spans="1:28" x14ac:dyDescent="0.25">
      <c r="A47" s="4" t="s">
        <v>334</v>
      </c>
      <c r="B47" s="4" t="s">
        <v>31</v>
      </c>
      <c r="C47" s="4">
        <v>24</v>
      </c>
      <c r="D47" s="4">
        <v>1</v>
      </c>
      <c r="E47" s="4" t="s">
        <v>335</v>
      </c>
      <c r="F47" s="4" t="s">
        <v>311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f>($J47*Cp_yd)+($K47*Cp_td)+($L47*Cint)+($M47*Ccar)+($N47*Cr_td)+($O47*Cr_yd)+(Q47*Crec)+($R47*Crec_yd)+($S47*Crec_td)+($T47*Cfmb)+($U47*Ctp_c)</f>
        <v>0</v>
      </c>
    </row>
    <row r="48" spans="1:28" x14ac:dyDescent="0.25">
      <c r="A48" s="3" t="s">
        <v>336</v>
      </c>
      <c r="B48" s="3" t="s">
        <v>31</v>
      </c>
      <c r="C48" s="3">
        <v>24</v>
      </c>
      <c r="D48" s="3">
        <v>3</v>
      </c>
      <c r="E48" s="3" t="s">
        <v>218</v>
      </c>
      <c r="F48" s="3" t="s">
        <v>311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v>0</v>
      </c>
      <c r="W48" s="3">
        <v>0</v>
      </c>
      <c r="X48" s="3">
        <v>0</v>
      </c>
      <c r="Y48" s="3">
        <v>0</v>
      </c>
      <c r="Z48" s="3">
        <v>0</v>
      </c>
      <c r="AA48" s="3">
        <v>0</v>
      </c>
      <c r="AB48" s="3">
        <f>($J48*Cp_yd)+($K48*Cp_td)+($L48*Cint)+($M48*Ccar)+($N48*Cr_td)+($O48*Cr_yd)+(Q48*Crec)+($R48*Crec_yd)+($S48*Crec_td)+($T48*Cfmb)+($U48*Ctp_c)</f>
        <v>0</v>
      </c>
    </row>
    <row r="49" spans="1:28" x14ac:dyDescent="0.25">
      <c r="A49" s="4" t="s">
        <v>337</v>
      </c>
      <c r="B49" s="4" t="s">
        <v>31</v>
      </c>
      <c r="C49" s="4">
        <v>23</v>
      </c>
      <c r="D49" s="4">
        <v>0</v>
      </c>
      <c r="E49" s="4" t="s">
        <v>277</v>
      </c>
      <c r="F49" s="4" t="s">
        <v>311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B49" s="4">
        <f>($J49*Cp_yd)+($K49*Cp_td)+($L49*Cint)+($M49*Ccar)+($N49*Cr_td)+($O49*Cr_yd)+(Q49*Crec)+($R49*Crec_yd)+($S49*Crec_td)+($T49*Cfmb)+($U49*Ctp_c)</f>
        <v>0</v>
      </c>
    </row>
    <row r="50" spans="1:28" x14ac:dyDescent="0.25">
      <c r="A50" s="3" t="s">
        <v>338</v>
      </c>
      <c r="B50" s="3" t="s">
        <v>31</v>
      </c>
      <c r="C50" s="3">
        <v>26</v>
      </c>
      <c r="D50" s="3">
        <v>5</v>
      </c>
      <c r="E50" s="3" t="s">
        <v>339</v>
      </c>
      <c r="F50" s="3" t="s">
        <v>311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v>0</v>
      </c>
      <c r="W50" s="3">
        <v>0</v>
      </c>
      <c r="X50" s="3">
        <v>0</v>
      </c>
      <c r="Y50" s="3">
        <v>0</v>
      </c>
      <c r="Z50" s="3">
        <v>0</v>
      </c>
      <c r="AA50" s="3">
        <v>0</v>
      </c>
      <c r="AB50" s="3">
        <f>($J50*Cp_yd)+($K50*Cp_td)+($L50*Cint)+($M50*Ccar)+($N50*Cr_td)+($O50*Cr_yd)+(Q50*Crec)+($R50*Crec_yd)+($S50*Crec_td)+($T50*Cfmb)+($U50*Ctp_c)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340</v>
      </c>
      <c r="B61" s="3" t="s">
        <v>43</v>
      </c>
      <c r="C61" s="3">
        <v>30</v>
      </c>
      <c r="D61" s="3">
        <v>7</v>
      </c>
      <c r="E61" s="3" t="s">
        <v>341</v>
      </c>
      <c r="F61" s="3" t="s">
        <v>311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v>0</v>
      </c>
      <c r="W61" s="3">
        <v>0</v>
      </c>
      <c r="X61" s="3">
        <v>0</v>
      </c>
      <c r="Y61" s="3">
        <v>0</v>
      </c>
      <c r="Z61" s="3">
        <v>0</v>
      </c>
      <c r="AA61" s="3">
        <v>0</v>
      </c>
      <c r="AB61" s="3">
        <v>0</v>
      </c>
    </row>
    <row r="62" spans="1:28" x14ac:dyDescent="0.25">
      <c r="A62" s="4" t="s">
        <v>342</v>
      </c>
      <c r="B62" s="4" t="s">
        <v>43</v>
      </c>
      <c r="C62" s="4">
        <v>26</v>
      </c>
      <c r="D62" s="4">
        <v>6</v>
      </c>
      <c r="E62" s="4" t="s">
        <v>227</v>
      </c>
      <c r="F62" s="4" t="s">
        <v>311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0</v>
      </c>
      <c r="X62" s="4">
        <v>0</v>
      </c>
      <c r="Y62" s="4">
        <v>0</v>
      </c>
      <c r="Z62" s="4">
        <v>0</v>
      </c>
      <c r="AA62" s="4">
        <v>0</v>
      </c>
      <c r="AB62" s="4">
        <v>0</v>
      </c>
    </row>
    <row r="63" spans="1:28" x14ac:dyDescent="0.25">
      <c r="A63" s="3" t="s">
        <v>343</v>
      </c>
      <c r="B63" s="3" t="s">
        <v>43</v>
      </c>
      <c r="C63" s="3">
        <v>26</v>
      </c>
      <c r="D63" s="3">
        <v>2</v>
      </c>
      <c r="E63" s="3" t="s">
        <v>344</v>
      </c>
      <c r="F63" s="3" t="s">
        <v>311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v>0</v>
      </c>
      <c r="W63" s="3">
        <v>0</v>
      </c>
      <c r="X63" s="3">
        <v>0</v>
      </c>
      <c r="Y63" s="3">
        <v>0</v>
      </c>
      <c r="Z63" s="3">
        <v>0</v>
      </c>
      <c r="AA63" s="3">
        <v>0</v>
      </c>
      <c r="AB63" s="3">
        <v>0</v>
      </c>
    </row>
    <row r="64" spans="1:28" x14ac:dyDescent="0.25">
      <c r="A64" s="4" t="s">
        <v>345</v>
      </c>
      <c r="B64" s="4" t="s">
        <v>43</v>
      </c>
      <c r="C64" s="4">
        <v>23</v>
      </c>
      <c r="D64" s="4">
        <v>3</v>
      </c>
      <c r="E64" s="4" t="s">
        <v>227</v>
      </c>
      <c r="F64" s="4" t="s">
        <v>311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</row>
    <row r="65" spans="1:28" x14ac:dyDescent="0.25">
      <c r="A65" s="3" t="s">
        <v>346</v>
      </c>
      <c r="B65" s="3" t="s">
        <v>43</v>
      </c>
      <c r="C65" s="3">
        <v>22</v>
      </c>
      <c r="D65" s="3">
        <v>0</v>
      </c>
      <c r="E65" s="3" t="s">
        <v>240</v>
      </c>
      <c r="F65" s="3" t="s">
        <v>311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v>0</v>
      </c>
      <c r="W65" s="3">
        <v>0</v>
      </c>
      <c r="X65" s="3">
        <v>0</v>
      </c>
      <c r="Y65" s="3">
        <v>0</v>
      </c>
      <c r="Z65" s="3">
        <v>0</v>
      </c>
      <c r="AA65" s="3">
        <v>0</v>
      </c>
      <c r="AB65" s="3">
        <v>0</v>
      </c>
    </row>
    <row r="66" spans="1:28" x14ac:dyDescent="0.25">
      <c r="A66" s="4" t="s">
        <v>347</v>
      </c>
      <c r="B66" s="4" t="s">
        <v>43</v>
      </c>
      <c r="C66" s="4">
        <v>26</v>
      </c>
      <c r="D66" s="4">
        <v>1</v>
      </c>
      <c r="E66" s="4" t="s">
        <v>213</v>
      </c>
      <c r="F66" s="4" t="s">
        <v>311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</row>
    <row r="67" spans="1:28" x14ac:dyDescent="0.25">
      <c r="A67" s="3" t="s">
        <v>348</v>
      </c>
      <c r="B67" s="3" t="s">
        <v>43</v>
      </c>
      <c r="C67" s="3">
        <v>24</v>
      </c>
      <c r="D67" s="3">
        <v>4</v>
      </c>
      <c r="E67" s="3" t="s">
        <v>84</v>
      </c>
      <c r="F67" s="3" t="s">
        <v>311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v>0</v>
      </c>
      <c r="W67" s="3">
        <v>0</v>
      </c>
      <c r="X67" s="3">
        <v>0</v>
      </c>
      <c r="Y67" s="3">
        <v>0</v>
      </c>
      <c r="Z67" s="3">
        <v>0</v>
      </c>
      <c r="AA67" s="3">
        <v>0</v>
      </c>
      <c r="AB67" s="3">
        <v>0</v>
      </c>
    </row>
    <row r="68" spans="1:28" x14ac:dyDescent="0.25">
      <c r="A68" s="4" t="s">
        <v>349</v>
      </c>
      <c r="B68" s="4" t="s">
        <v>43</v>
      </c>
      <c r="C68" s="4">
        <v>24</v>
      </c>
      <c r="D68" s="4">
        <v>3</v>
      </c>
      <c r="E68" s="4" t="s">
        <v>341</v>
      </c>
      <c r="F68" s="4" t="s">
        <v>311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0</v>
      </c>
      <c r="X68" s="4">
        <v>0</v>
      </c>
      <c r="Y68" s="4">
        <v>0</v>
      </c>
      <c r="Z68" s="4">
        <v>0</v>
      </c>
      <c r="AA68" s="4">
        <v>0</v>
      </c>
      <c r="AB68" s="4">
        <v>0</v>
      </c>
    </row>
    <row r="69" spans="1:28" x14ac:dyDescent="0.25">
      <c r="A69" s="3" t="s">
        <v>350</v>
      </c>
      <c r="B69" s="3" t="s">
        <v>43</v>
      </c>
      <c r="C69" s="3">
        <v>32</v>
      </c>
      <c r="D69" s="3">
        <v>10</v>
      </c>
      <c r="E69" s="3" t="s">
        <v>351</v>
      </c>
      <c r="F69" s="3" t="s">
        <v>311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v>0</v>
      </c>
      <c r="W69" s="3">
        <v>0</v>
      </c>
      <c r="X69" s="3">
        <v>0</v>
      </c>
      <c r="Y69" s="3">
        <v>0</v>
      </c>
      <c r="Z69" s="3">
        <v>0</v>
      </c>
      <c r="AA69" s="3">
        <v>0</v>
      </c>
      <c r="AB69" s="3">
        <v>0</v>
      </c>
    </row>
    <row r="70" spans="1:28" x14ac:dyDescent="0.25">
      <c r="A70" s="4" t="s">
        <v>352</v>
      </c>
      <c r="B70" s="4" t="s">
        <v>43</v>
      </c>
      <c r="C70" s="4">
        <v>23</v>
      </c>
      <c r="D70" s="4">
        <v>0</v>
      </c>
      <c r="E70" s="4" t="s">
        <v>341</v>
      </c>
      <c r="F70" s="4" t="s">
        <v>311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0</v>
      </c>
      <c r="X70" s="4">
        <v>0</v>
      </c>
      <c r="Y70" s="4">
        <v>0</v>
      </c>
      <c r="Z70" s="4">
        <v>0</v>
      </c>
      <c r="AA70" s="4">
        <v>0</v>
      </c>
      <c r="AB70" s="4">
        <v>0</v>
      </c>
    </row>
    <row r="71" spans="1:28" x14ac:dyDescent="0.25">
      <c r="A71" s="3" t="s">
        <v>353</v>
      </c>
      <c r="B71" s="3" t="s">
        <v>43</v>
      </c>
      <c r="C71" s="3">
        <v>28</v>
      </c>
      <c r="D71" s="3">
        <v>4</v>
      </c>
      <c r="E71" s="3" t="s">
        <v>173</v>
      </c>
      <c r="F71" s="3" t="s">
        <v>311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v>0</v>
      </c>
      <c r="W71" s="3">
        <v>0</v>
      </c>
      <c r="X71" s="3">
        <v>0</v>
      </c>
      <c r="Y71" s="3">
        <v>0</v>
      </c>
      <c r="Z71" s="3">
        <v>0</v>
      </c>
      <c r="AA71" s="3">
        <v>0</v>
      </c>
      <c r="AB71" s="3">
        <v>0</v>
      </c>
    </row>
    <row r="72" spans="1:28" x14ac:dyDescent="0.25">
      <c r="A72" s="4" t="s">
        <v>354</v>
      </c>
      <c r="B72" s="4" t="s">
        <v>43</v>
      </c>
      <c r="C72" s="4">
        <v>25</v>
      </c>
      <c r="D72" s="4">
        <v>1</v>
      </c>
      <c r="E72" s="4" t="s">
        <v>89</v>
      </c>
      <c r="F72" s="4" t="s">
        <v>311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v>0</v>
      </c>
      <c r="W72" s="4">
        <v>0</v>
      </c>
      <c r="X72" s="4">
        <v>0</v>
      </c>
      <c r="Y72" s="4">
        <v>0</v>
      </c>
      <c r="Z72" s="4">
        <v>0</v>
      </c>
      <c r="AA72" s="4">
        <v>0</v>
      </c>
      <c r="AB72" s="4"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355</v>
      </c>
      <c r="B76" s="3" t="s">
        <v>38</v>
      </c>
      <c r="C76" s="3">
        <v>29</v>
      </c>
      <c r="D76" s="3">
        <v>6</v>
      </c>
      <c r="E76" s="3" t="s">
        <v>341</v>
      </c>
      <c r="F76" s="3" t="s">
        <v>311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v>0</v>
      </c>
      <c r="W76" s="3">
        <v>0</v>
      </c>
      <c r="X76" s="3">
        <v>0</v>
      </c>
      <c r="Y76" s="3">
        <v>0</v>
      </c>
      <c r="Z76" s="3">
        <v>0</v>
      </c>
      <c r="AA76" s="3">
        <v>0</v>
      </c>
      <c r="AB76" s="3">
        <v>0</v>
      </c>
    </row>
    <row r="77" spans="1:28" x14ac:dyDescent="0.25">
      <c r="A77" s="4" t="s">
        <v>356</v>
      </c>
      <c r="B77" s="4" t="s">
        <v>38</v>
      </c>
      <c r="C77" s="4">
        <v>26</v>
      </c>
      <c r="D77" s="4">
        <v>3</v>
      </c>
      <c r="E77" s="4" t="s">
        <v>357</v>
      </c>
      <c r="F77" s="4" t="s">
        <v>311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v>0</v>
      </c>
      <c r="W77" s="4">
        <v>0</v>
      </c>
      <c r="X77" s="4">
        <v>0</v>
      </c>
      <c r="Y77" s="4">
        <v>0</v>
      </c>
      <c r="Z77" s="4">
        <v>0</v>
      </c>
      <c r="AA77" s="4">
        <v>0</v>
      </c>
      <c r="AB77" s="4">
        <v>0</v>
      </c>
    </row>
    <row r="78" spans="1:28" x14ac:dyDescent="0.25">
      <c r="A78" s="3" t="s">
        <v>358</v>
      </c>
      <c r="B78" s="3" t="s">
        <v>38</v>
      </c>
      <c r="C78" s="3">
        <v>26</v>
      </c>
      <c r="D78" s="3">
        <v>2</v>
      </c>
      <c r="E78" s="3" t="s">
        <v>227</v>
      </c>
      <c r="F78" s="3" t="s">
        <v>311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v>0</v>
      </c>
      <c r="W78" s="3">
        <v>0</v>
      </c>
      <c r="X78" s="3">
        <v>0</v>
      </c>
      <c r="Y78" s="3">
        <v>0</v>
      </c>
      <c r="Z78" s="3">
        <v>0</v>
      </c>
      <c r="AA78" s="3">
        <v>0</v>
      </c>
      <c r="AB78" s="3">
        <v>0</v>
      </c>
    </row>
    <row r="79" spans="1:28" x14ac:dyDescent="0.25">
      <c r="A79" s="4" t="s">
        <v>359</v>
      </c>
      <c r="B79" s="4" t="s">
        <v>38</v>
      </c>
      <c r="C79" s="4">
        <v>27</v>
      </c>
      <c r="D79" s="4">
        <v>6</v>
      </c>
      <c r="E79" s="4" t="s">
        <v>360</v>
      </c>
      <c r="F79" s="4" t="s">
        <v>311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v>0</v>
      </c>
      <c r="W79" s="4">
        <v>0</v>
      </c>
      <c r="X79" s="4">
        <v>0</v>
      </c>
      <c r="Y79" s="4">
        <v>0</v>
      </c>
      <c r="Z79" s="4">
        <v>0</v>
      </c>
      <c r="AA79" s="4">
        <v>0</v>
      </c>
      <c r="AB79" s="4">
        <v>0</v>
      </c>
    </row>
    <row r="80" spans="1:28" x14ac:dyDescent="0.25">
      <c r="A80" s="3" t="s">
        <v>361</v>
      </c>
      <c r="B80" s="3" t="s">
        <v>38</v>
      </c>
      <c r="C80" s="3">
        <v>23</v>
      </c>
      <c r="D80" s="3">
        <v>3</v>
      </c>
      <c r="E80" s="3" t="s">
        <v>362</v>
      </c>
      <c r="F80" s="3" t="s">
        <v>311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v>0</v>
      </c>
      <c r="W80" s="3">
        <v>0</v>
      </c>
      <c r="X80" s="3">
        <v>0</v>
      </c>
      <c r="Y80" s="3">
        <v>0</v>
      </c>
      <c r="Z80" s="3">
        <v>0</v>
      </c>
      <c r="AA80" s="3">
        <v>0</v>
      </c>
      <c r="AB80" s="3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B81"/>
  <sheetViews>
    <sheetView topLeftCell="F16" workbookViewId="0">
      <selection activeCell="AB46" sqref="AB46:AB50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363</v>
      </c>
      <c r="B2" s="3" t="s">
        <v>364</v>
      </c>
      <c r="C2" s="3" t="s">
        <v>115</v>
      </c>
      <c r="D2" s="3">
        <v>1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1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0</v>
      </c>
      <c r="T2" s="3">
        <v>2.1881838074398201E-3</v>
      </c>
      <c r="U2" s="3"/>
      <c r="V2" s="3"/>
      <c r="W2" s="3"/>
      <c r="X2" s="3"/>
      <c r="Y2" s="3">
        <f>($G2*Admin!$C$4)+($H2*Admin!$C$3)+($I2*Admin!$C$5)+($K2*Admin!$C$9)+($L2*Admin!$C$10)+($N2*Admin!$C$7)+($O2*Admin!$C$11)+($P2*Admin!$C$12)+($Q2*Admin!$C$6)+($R2*Admin!$C$13)</f>
        <v>0</v>
      </c>
    </row>
    <row r="3" spans="1:25" x14ac:dyDescent="0.25">
      <c r="A3" s="4" t="s">
        <v>365</v>
      </c>
      <c r="B3" s="4" t="s">
        <v>364</v>
      </c>
      <c r="C3" s="4" t="s">
        <v>26</v>
      </c>
      <c r="D3" s="4">
        <v>15</v>
      </c>
      <c r="E3" s="4">
        <v>318</v>
      </c>
      <c r="F3" s="4">
        <v>192</v>
      </c>
      <c r="G3" s="4">
        <v>2242</v>
      </c>
      <c r="H3" s="4">
        <v>17</v>
      </c>
      <c r="I3" s="4">
        <v>11</v>
      </c>
      <c r="J3" s="4">
        <v>160</v>
      </c>
      <c r="K3" s="4">
        <v>1143</v>
      </c>
      <c r="L3" s="4">
        <v>8</v>
      </c>
      <c r="M3" s="4">
        <v>0</v>
      </c>
      <c r="N3" s="4">
        <v>0</v>
      </c>
      <c r="O3" s="4">
        <v>0</v>
      </c>
      <c r="P3" s="4">
        <v>0</v>
      </c>
      <c r="Q3" s="4">
        <v>2</v>
      </c>
      <c r="R3" s="4">
        <v>1</v>
      </c>
      <c r="S3" s="4">
        <v>295.98</v>
      </c>
      <c r="T3" s="4">
        <v>0</v>
      </c>
      <c r="U3" s="4">
        <v>7.1437499999999998</v>
      </c>
      <c r="V3" s="4"/>
      <c r="W3" s="4">
        <v>0.60377358490566002</v>
      </c>
      <c r="X3" s="4">
        <v>5.3459119496855299E-2</v>
      </c>
      <c r="Y3" s="4">
        <f>($G3*Admin!$C$4)+($H3*Admin!$C$3)+($I3*Admin!$C$5)+($K3*Admin!$C$9)+($L3*Admin!$C$10)+($N3*Admin!$C$7)+($O3*Admin!$C$11)+($P3*Admin!$C$12)+($Q3*Admin!$C$6)+($R3*Admin!$C$13)</f>
        <v>295.98</v>
      </c>
    </row>
    <row r="4" spans="1:25" x14ac:dyDescent="0.25">
      <c r="A4" s="3" t="s">
        <v>366</v>
      </c>
      <c r="B4" s="3" t="s">
        <v>364</v>
      </c>
      <c r="C4" s="3" t="s">
        <v>26</v>
      </c>
      <c r="D4" s="3">
        <v>3</v>
      </c>
      <c r="E4" s="3">
        <v>25</v>
      </c>
      <c r="F4" s="3">
        <v>14</v>
      </c>
      <c r="G4" s="3">
        <v>139</v>
      </c>
      <c r="H4" s="3">
        <v>1</v>
      </c>
      <c r="I4" s="3">
        <v>1</v>
      </c>
      <c r="J4" s="3">
        <v>2</v>
      </c>
      <c r="K4" s="3">
        <v>7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8.26</v>
      </c>
      <c r="T4" s="3">
        <v>0</v>
      </c>
      <c r="U4" s="3">
        <v>3.5</v>
      </c>
      <c r="V4" s="3"/>
      <c r="W4" s="3">
        <v>0.56000000000000005</v>
      </c>
      <c r="X4" s="3">
        <v>0.04</v>
      </c>
      <c r="Y4" s="3">
        <f>($G4*Admin!$C$4)+($H4*Admin!$C$3)+($I4*Admin!$C$5)+($K4*Admin!$C$9)+($L4*Admin!$C$10)+($N4*Admin!$C$7)+($O4*Admin!$C$11)+($P4*Admin!$C$12)+($Q4*Admin!$C$6)+($R4*Admin!$C$13)</f>
        <v>8.26</v>
      </c>
    </row>
    <row r="5" spans="1:25" x14ac:dyDescent="0.25">
      <c r="A5" s="4" t="s">
        <v>367</v>
      </c>
      <c r="B5" s="4" t="s">
        <v>364</v>
      </c>
      <c r="C5" s="4" t="s">
        <v>26</v>
      </c>
      <c r="D5" s="4">
        <v>1</v>
      </c>
      <c r="E5" s="4">
        <v>8</v>
      </c>
      <c r="F5" s="4">
        <v>2</v>
      </c>
      <c r="G5" s="4">
        <v>33</v>
      </c>
      <c r="H5" s="4">
        <v>0</v>
      </c>
      <c r="I5" s="4">
        <v>2</v>
      </c>
      <c r="J5" s="4">
        <v>2</v>
      </c>
      <c r="K5" s="4">
        <v>-2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-2.88</v>
      </c>
      <c r="T5" s="4">
        <v>0</v>
      </c>
      <c r="U5" s="4">
        <v>-1</v>
      </c>
      <c r="V5" s="4"/>
      <c r="W5" s="4">
        <v>0.25</v>
      </c>
      <c r="X5" s="4">
        <v>0</v>
      </c>
      <c r="Y5" s="4">
        <f>($G5*Admin!$C$4)+($H5*Admin!$C$3)+($I5*Admin!$C$5)+($K5*Admin!$C$9)+($L5*Admin!$C$10)+($N5*Admin!$C$7)+($O5*Admin!$C$11)+($P5*Admin!$C$12)+($Q5*Admin!$C$6)+($R5*Admin!$C$13)</f>
        <v>-2.88</v>
      </c>
    </row>
    <row r="6" spans="1:25" x14ac:dyDescent="0.25">
      <c r="A6" s="3" t="s">
        <v>368</v>
      </c>
      <c r="B6" s="3" t="s">
        <v>364</v>
      </c>
      <c r="C6" s="3" t="s">
        <v>26</v>
      </c>
      <c r="D6" s="3">
        <v>2</v>
      </c>
      <c r="E6" s="3">
        <v>26</v>
      </c>
      <c r="F6" s="3">
        <v>15</v>
      </c>
      <c r="G6" s="3">
        <v>184</v>
      </c>
      <c r="H6" s="3">
        <v>1</v>
      </c>
      <c r="I6" s="3">
        <v>1</v>
      </c>
      <c r="J6" s="3">
        <v>4</v>
      </c>
      <c r="K6" s="3">
        <v>8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10.16</v>
      </c>
      <c r="T6" s="3">
        <v>0</v>
      </c>
      <c r="U6" s="3">
        <v>2</v>
      </c>
      <c r="V6" s="3"/>
      <c r="W6" s="3">
        <v>0.57692307692307698</v>
      </c>
      <c r="X6" s="3">
        <v>3.8461538461538498E-2</v>
      </c>
      <c r="Y6" s="3">
        <f>($G6*Admin!$C$4)+($H6*Admin!$C$3)+($I6*Admin!$C$5)+($K6*Admin!$C$9)+($L6*Admin!$C$10)+($N6*Admin!$C$7)+($O6*Admin!$C$11)+($P6*Admin!$C$12)+($Q6*Admin!$C$6)+($R6*Admin!$C$13)</f>
        <v>10.16</v>
      </c>
    </row>
    <row r="7" spans="1:25" x14ac:dyDescent="0.25">
      <c r="A7" s="4" t="s">
        <v>369</v>
      </c>
      <c r="B7" s="4" t="s">
        <v>364</v>
      </c>
      <c r="C7" s="4" t="s">
        <v>31</v>
      </c>
      <c r="D7" s="4">
        <v>3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14</v>
      </c>
      <c r="K7" s="4">
        <v>64</v>
      </c>
      <c r="L7" s="4">
        <v>0</v>
      </c>
      <c r="M7" s="4">
        <v>1</v>
      </c>
      <c r="N7" s="4">
        <v>1</v>
      </c>
      <c r="O7" s="4">
        <v>33</v>
      </c>
      <c r="P7" s="4">
        <v>0</v>
      </c>
      <c r="Q7" s="4">
        <v>0</v>
      </c>
      <c r="R7" s="4">
        <v>0</v>
      </c>
      <c r="S7" s="4">
        <v>10.7</v>
      </c>
      <c r="T7" s="4">
        <v>2.1881838074398201E-3</v>
      </c>
      <c r="U7" s="4">
        <v>4.5714285714285703</v>
      </c>
      <c r="V7" s="4">
        <v>33</v>
      </c>
      <c r="W7" s="4"/>
      <c r="X7" s="4"/>
      <c r="Y7" s="4">
        <f>($G7*Admin!$C$4)+($H7*Admin!$C$3)+($I7*Admin!$C$5)+($K7*Admin!$C$9)+($L7*Admin!$C$10)+($N7*Admin!$C$7)+($O7*Admin!$C$11)+($P7*Admin!$C$12)+($Q7*Admin!$C$6)+($R7*Admin!$C$13)</f>
        <v>10.700000000000001</v>
      </c>
    </row>
    <row r="8" spans="1:25" x14ac:dyDescent="0.25">
      <c r="A8" s="3" t="s">
        <v>370</v>
      </c>
      <c r="B8" s="3" t="s">
        <v>364</v>
      </c>
      <c r="C8" s="3" t="s">
        <v>31</v>
      </c>
      <c r="D8" s="3">
        <v>16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201</v>
      </c>
      <c r="K8" s="3">
        <v>801</v>
      </c>
      <c r="L8" s="3">
        <v>5</v>
      </c>
      <c r="M8" s="3">
        <v>40</v>
      </c>
      <c r="N8" s="3">
        <v>34</v>
      </c>
      <c r="O8" s="3">
        <v>316</v>
      </c>
      <c r="P8" s="3">
        <v>1</v>
      </c>
      <c r="Q8" s="3">
        <v>1</v>
      </c>
      <c r="R8" s="3">
        <v>0</v>
      </c>
      <c r="S8" s="3">
        <v>177.7</v>
      </c>
      <c r="T8" s="3">
        <v>8.7527352297592995E-2</v>
      </c>
      <c r="U8" s="3">
        <v>3.98507462686567</v>
      </c>
      <c r="V8" s="3">
        <v>9.2941176470588207</v>
      </c>
      <c r="W8" s="3"/>
      <c r="X8" s="3"/>
      <c r="Y8" s="3">
        <f>($G8*Admin!$C$4)+($H8*Admin!$C$3)+($I8*Admin!$C$5)+($K8*Admin!$C$9)+($L8*Admin!$C$10)+($N8*Admin!$C$7)+($O8*Admin!$C$11)+($P8*Admin!$C$12)+($Q8*Admin!$C$6)+($R8*Admin!$C$13)</f>
        <v>179.70000000000002</v>
      </c>
    </row>
    <row r="9" spans="1:25" x14ac:dyDescent="0.25">
      <c r="A9" s="4" t="s">
        <v>371</v>
      </c>
      <c r="B9" s="4" t="s">
        <v>364</v>
      </c>
      <c r="C9" s="4" t="s">
        <v>31</v>
      </c>
      <c r="D9" s="4">
        <v>13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129</v>
      </c>
      <c r="K9" s="4">
        <v>731</v>
      </c>
      <c r="L9" s="4">
        <v>4</v>
      </c>
      <c r="M9" s="4">
        <v>12</v>
      </c>
      <c r="N9" s="4">
        <v>9</v>
      </c>
      <c r="O9" s="4">
        <v>57</v>
      </c>
      <c r="P9" s="4">
        <v>1</v>
      </c>
      <c r="Q9" s="4">
        <v>0</v>
      </c>
      <c r="R9" s="4">
        <v>0</v>
      </c>
      <c r="S9" s="4">
        <v>117.8</v>
      </c>
      <c r="T9" s="4">
        <v>2.6258205689277898E-2</v>
      </c>
      <c r="U9" s="4">
        <v>5.6666666666666696</v>
      </c>
      <c r="V9" s="4">
        <v>6.3333333333333304</v>
      </c>
      <c r="W9" s="4"/>
      <c r="X9" s="4"/>
      <c r="Y9" s="4">
        <f>($G9*Admin!$C$4)+($H9*Admin!$C$3)+($I9*Admin!$C$5)+($K9*Admin!$C$9)+($L9*Admin!$C$10)+($N9*Admin!$C$7)+($O9*Admin!$C$11)+($P9*Admin!$C$12)+($Q9*Admin!$C$6)+($R9*Admin!$C$13)</f>
        <v>117.80000000000001</v>
      </c>
    </row>
    <row r="10" spans="1:25" x14ac:dyDescent="0.25">
      <c r="A10" s="3" t="s">
        <v>372</v>
      </c>
      <c r="B10" s="3" t="s">
        <v>364</v>
      </c>
      <c r="C10" s="3" t="s">
        <v>31</v>
      </c>
      <c r="D10" s="3">
        <v>7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24</v>
      </c>
      <c r="K10" s="3">
        <v>54</v>
      </c>
      <c r="L10" s="3">
        <v>0</v>
      </c>
      <c r="M10" s="3">
        <v>7</v>
      </c>
      <c r="N10" s="3">
        <v>1</v>
      </c>
      <c r="O10" s="3">
        <v>6</v>
      </c>
      <c r="P10" s="3">
        <v>0</v>
      </c>
      <c r="Q10" s="3">
        <v>0</v>
      </c>
      <c r="R10" s="3">
        <v>0</v>
      </c>
      <c r="S10" s="3">
        <v>7</v>
      </c>
      <c r="T10" s="3">
        <v>1.53172866520788E-2</v>
      </c>
      <c r="U10" s="3">
        <v>2.25</v>
      </c>
      <c r="V10" s="3">
        <v>6</v>
      </c>
      <c r="W10" s="3"/>
      <c r="X10" s="3"/>
      <c r="Y10" s="3">
        <f>($G10*Admin!$C$4)+($H10*Admin!$C$3)+($I10*Admin!$C$5)+($K10*Admin!$C$9)+($L10*Admin!$C$10)+($N10*Admin!$C$7)+($O10*Admin!$C$11)+($P10*Admin!$C$12)+($Q10*Admin!$C$6)+($R10*Admin!$C$13)</f>
        <v>7</v>
      </c>
    </row>
    <row r="11" spans="1:25" x14ac:dyDescent="0.25">
      <c r="A11" s="4" t="s">
        <v>373</v>
      </c>
      <c r="B11" s="4" t="s">
        <v>364</v>
      </c>
      <c r="C11" s="4" t="s">
        <v>38</v>
      </c>
      <c r="D11" s="4">
        <v>17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2</v>
      </c>
      <c r="K11" s="4">
        <v>9</v>
      </c>
      <c r="L11" s="4">
        <v>0</v>
      </c>
      <c r="M11" s="4">
        <v>69</v>
      </c>
      <c r="N11" s="4">
        <v>50</v>
      </c>
      <c r="O11" s="4">
        <v>544</v>
      </c>
      <c r="P11" s="4">
        <v>7</v>
      </c>
      <c r="Q11" s="4">
        <v>0</v>
      </c>
      <c r="R11" s="4">
        <v>0</v>
      </c>
      <c r="S11" s="4">
        <v>147.30000000000001</v>
      </c>
      <c r="T11" s="4">
        <v>0.150984682713348</v>
      </c>
      <c r="U11" s="4">
        <v>4.5</v>
      </c>
      <c r="V11" s="4">
        <v>10.88</v>
      </c>
      <c r="W11" s="4"/>
      <c r="X11" s="4"/>
      <c r="Y11" s="4">
        <f>($G11*Admin!$C$4)+($H11*Admin!$C$3)+($I11*Admin!$C$5)+($K11*Admin!$C$9)+($L11*Admin!$C$10)+($N11*Admin!$C$7)+($O11*Admin!$C$11)+($P11*Admin!$C$12)+($Q11*Admin!$C$6)+($R11*Admin!$C$13)</f>
        <v>147.30000000000001</v>
      </c>
    </row>
    <row r="12" spans="1:25" x14ac:dyDescent="0.25">
      <c r="A12" s="3" t="s">
        <v>374</v>
      </c>
      <c r="B12" s="3" t="s">
        <v>364</v>
      </c>
      <c r="C12" s="3" t="s">
        <v>38</v>
      </c>
      <c r="D12" s="3">
        <v>1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1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3">
        <v>0</v>
      </c>
      <c r="T12" s="3">
        <v>2.1881838074398201E-3</v>
      </c>
      <c r="U12" s="3"/>
      <c r="V12" s="3"/>
      <c r="W12" s="3"/>
      <c r="X12" s="3"/>
      <c r="Y12" s="3">
        <f>($G12*Admin!$C$4)+($H12*Admin!$C$3)+($I12*Admin!$C$5)+($K12*Admin!$C$9)+($L12*Admin!$C$10)+($N12*Admin!$C$7)+($O12*Admin!$C$11)+($P12*Admin!$C$12)+($Q12*Admin!$C$6)+($R12*Admin!$C$13)</f>
        <v>0</v>
      </c>
    </row>
    <row r="13" spans="1:25" x14ac:dyDescent="0.25">
      <c r="A13" s="4" t="s">
        <v>375</v>
      </c>
      <c r="B13" s="4" t="s">
        <v>364</v>
      </c>
      <c r="C13" s="4" t="s">
        <v>38</v>
      </c>
      <c r="D13" s="4">
        <v>7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8</v>
      </c>
      <c r="N13" s="4">
        <v>4</v>
      </c>
      <c r="O13" s="4">
        <v>26</v>
      </c>
      <c r="P13" s="4">
        <v>0</v>
      </c>
      <c r="Q13" s="4">
        <v>0</v>
      </c>
      <c r="R13" s="4">
        <v>0</v>
      </c>
      <c r="S13" s="4">
        <v>6.6</v>
      </c>
      <c r="T13" s="4">
        <v>1.7505470459518599E-2</v>
      </c>
      <c r="U13" s="4"/>
      <c r="V13" s="4">
        <v>6.5</v>
      </c>
      <c r="W13" s="4"/>
      <c r="X13" s="4"/>
      <c r="Y13" s="4">
        <f>($G13*Admin!$C$4)+($H13*Admin!$C$3)+($I13*Admin!$C$5)+($K13*Admin!$C$9)+($L13*Admin!$C$10)+($N13*Admin!$C$7)+($O13*Admin!$C$11)+($P13*Admin!$C$12)+($Q13*Admin!$C$6)+($R13*Admin!$C$13)</f>
        <v>6.6</v>
      </c>
    </row>
    <row r="14" spans="1:25" x14ac:dyDescent="0.25">
      <c r="A14" s="3" t="s">
        <v>376</v>
      </c>
      <c r="B14" s="3" t="s">
        <v>364</v>
      </c>
      <c r="C14" s="3" t="s">
        <v>38</v>
      </c>
      <c r="D14" s="3">
        <v>4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4</v>
      </c>
      <c r="N14" s="3">
        <v>2</v>
      </c>
      <c r="O14" s="3">
        <v>26</v>
      </c>
      <c r="P14" s="3">
        <v>0</v>
      </c>
      <c r="Q14" s="3">
        <v>0</v>
      </c>
      <c r="R14" s="3">
        <v>0</v>
      </c>
      <c r="S14" s="3">
        <v>6.6</v>
      </c>
      <c r="T14" s="3">
        <v>8.7527352297592995E-3</v>
      </c>
      <c r="U14" s="3"/>
      <c r="V14" s="3">
        <v>13</v>
      </c>
      <c r="W14" s="3"/>
      <c r="X14" s="3"/>
      <c r="Y14" s="3">
        <f>($G14*Admin!$C$4)+($H14*Admin!$C$3)+($I14*Admin!$C$5)+($K14*Admin!$C$9)+($L14*Admin!$C$10)+($N14*Admin!$C$7)+($O14*Admin!$C$11)+($P14*Admin!$C$12)+($Q14*Admin!$C$6)+($R14*Admin!$C$13)</f>
        <v>4.5999999999999996</v>
      </c>
    </row>
    <row r="15" spans="1:25" x14ac:dyDescent="0.25">
      <c r="A15" s="4" t="s">
        <v>377</v>
      </c>
      <c r="B15" s="4" t="s">
        <v>364</v>
      </c>
      <c r="C15" s="4" t="s">
        <v>43</v>
      </c>
      <c r="D15" s="4">
        <v>8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16</v>
      </c>
      <c r="N15" s="4">
        <v>10</v>
      </c>
      <c r="O15" s="4">
        <v>135</v>
      </c>
      <c r="P15" s="4">
        <v>2</v>
      </c>
      <c r="Q15" s="4">
        <v>0</v>
      </c>
      <c r="R15" s="4">
        <v>0</v>
      </c>
      <c r="S15" s="4">
        <v>35.5</v>
      </c>
      <c r="T15" s="4">
        <v>3.5010940919037198E-2</v>
      </c>
      <c r="U15" s="4"/>
      <c r="V15" s="4">
        <v>13.5</v>
      </c>
      <c r="W15" s="4"/>
      <c r="X15" s="4"/>
      <c r="Y15" s="4">
        <f>($G15*Admin!$C$4)+($H15*Admin!$C$3)+($I15*Admin!$C$5)+($K15*Admin!$C$9)+($L15*Admin!$C$10)+($N15*Admin!$C$7)+($O15*Admin!$C$11)+($P15*Admin!$C$12)+($Q15*Admin!$C$6)+($R15*Admin!$C$13)</f>
        <v>35.5</v>
      </c>
    </row>
    <row r="16" spans="1:25" x14ac:dyDescent="0.25">
      <c r="A16" s="3" t="s">
        <v>378</v>
      </c>
      <c r="B16" s="3" t="s">
        <v>364</v>
      </c>
      <c r="C16" s="3" t="s">
        <v>43</v>
      </c>
      <c r="D16" s="3">
        <v>7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1</v>
      </c>
      <c r="K16" s="3">
        <v>4</v>
      </c>
      <c r="L16" s="3">
        <v>0</v>
      </c>
      <c r="M16" s="3">
        <v>29</v>
      </c>
      <c r="N16" s="3">
        <v>14</v>
      </c>
      <c r="O16" s="3">
        <v>140</v>
      </c>
      <c r="P16" s="3">
        <v>0</v>
      </c>
      <c r="Q16" s="3">
        <v>0</v>
      </c>
      <c r="R16" s="3">
        <v>0</v>
      </c>
      <c r="S16" s="3">
        <v>26.4</v>
      </c>
      <c r="T16" s="3">
        <v>6.3457330415754895E-2</v>
      </c>
      <c r="U16" s="3">
        <v>4</v>
      </c>
      <c r="V16" s="3">
        <v>10</v>
      </c>
      <c r="W16" s="3"/>
      <c r="X16" s="3"/>
      <c r="Y16" s="3">
        <f>($G16*Admin!$C$4)+($H16*Admin!$C$3)+($I16*Admin!$C$5)+($K16*Admin!$C$9)+($L16*Admin!$C$10)+($N16*Admin!$C$7)+($O16*Admin!$C$11)+($P16*Admin!$C$12)+($Q16*Admin!$C$6)+($R16*Admin!$C$13)</f>
        <v>28.4</v>
      </c>
    </row>
    <row r="17" spans="1:25" x14ac:dyDescent="0.25">
      <c r="A17" s="4" t="s">
        <v>379</v>
      </c>
      <c r="B17" s="4" t="s">
        <v>364</v>
      </c>
      <c r="C17" s="4" t="s">
        <v>43</v>
      </c>
      <c r="D17" s="4">
        <v>11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1</v>
      </c>
      <c r="K17" s="4">
        <v>2</v>
      </c>
      <c r="L17" s="4">
        <v>0</v>
      </c>
      <c r="M17" s="4">
        <v>61</v>
      </c>
      <c r="N17" s="4">
        <v>40</v>
      </c>
      <c r="O17" s="4">
        <v>493</v>
      </c>
      <c r="P17" s="4">
        <v>2</v>
      </c>
      <c r="Q17" s="4">
        <v>0</v>
      </c>
      <c r="R17" s="4">
        <v>0</v>
      </c>
      <c r="S17" s="4">
        <v>101.5</v>
      </c>
      <c r="T17" s="4">
        <v>0.133479212253829</v>
      </c>
      <c r="U17" s="4">
        <v>2</v>
      </c>
      <c r="V17" s="4">
        <v>12.324999999999999</v>
      </c>
      <c r="W17" s="4"/>
      <c r="X17" s="4"/>
      <c r="Y17" s="4">
        <f>($G17*Admin!$C$4)+($H17*Admin!$C$3)+($I17*Admin!$C$5)+($K17*Admin!$C$9)+($L17*Admin!$C$10)+($N17*Admin!$C$7)+($O17*Admin!$C$11)+($P17*Admin!$C$12)+($Q17*Admin!$C$6)+($R17*Admin!$C$13)</f>
        <v>101.5</v>
      </c>
    </row>
    <row r="18" spans="1:25" x14ac:dyDescent="0.25">
      <c r="A18" s="3" t="s">
        <v>380</v>
      </c>
      <c r="B18" s="3" t="s">
        <v>364</v>
      </c>
      <c r="C18" s="3" t="s">
        <v>43</v>
      </c>
      <c r="D18" s="3">
        <v>14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2</v>
      </c>
      <c r="K18" s="3">
        <v>37</v>
      </c>
      <c r="L18" s="3">
        <v>0</v>
      </c>
      <c r="M18" s="3">
        <v>41</v>
      </c>
      <c r="N18" s="3">
        <v>19</v>
      </c>
      <c r="O18" s="3">
        <v>245</v>
      </c>
      <c r="P18" s="3">
        <v>3</v>
      </c>
      <c r="Q18" s="3">
        <v>0</v>
      </c>
      <c r="R18" s="3">
        <v>0</v>
      </c>
      <c r="S18" s="3">
        <v>65.2</v>
      </c>
      <c r="T18" s="3">
        <v>8.97155361050328E-2</v>
      </c>
      <c r="U18" s="3">
        <v>18.5</v>
      </c>
      <c r="V18" s="3">
        <v>12.894736842105299</v>
      </c>
      <c r="W18" s="3"/>
      <c r="X18" s="3"/>
      <c r="Y18" s="3">
        <f>($G18*Admin!$C$4)+($H18*Admin!$C$3)+($I18*Admin!$C$5)+($K18*Admin!$C$9)+($L18*Admin!$C$10)+($N18*Admin!$C$7)+($O18*Admin!$C$11)+($P18*Admin!$C$12)+($Q18*Admin!$C$6)+($R18*Admin!$C$13)</f>
        <v>65.2</v>
      </c>
    </row>
    <row r="19" spans="1:25" x14ac:dyDescent="0.25">
      <c r="A19" s="4" t="s">
        <v>381</v>
      </c>
      <c r="B19" s="4" t="s">
        <v>364</v>
      </c>
      <c r="C19" s="4" t="s">
        <v>43</v>
      </c>
      <c r="D19" s="4">
        <v>16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6</v>
      </c>
      <c r="K19" s="4">
        <v>54</v>
      </c>
      <c r="L19" s="4">
        <v>0</v>
      </c>
      <c r="M19" s="4">
        <v>39</v>
      </c>
      <c r="N19" s="4">
        <v>22</v>
      </c>
      <c r="O19" s="4">
        <v>325</v>
      </c>
      <c r="P19" s="4">
        <v>1</v>
      </c>
      <c r="Q19" s="4">
        <v>0</v>
      </c>
      <c r="R19" s="4">
        <v>0</v>
      </c>
      <c r="S19" s="4">
        <v>63.9</v>
      </c>
      <c r="T19" s="4">
        <v>8.5339168490153203E-2</v>
      </c>
      <c r="U19" s="4">
        <v>9</v>
      </c>
      <c r="V19" s="4">
        <v>14.7727272727273</v>
      </c>
      <c r="W19" s="4"/>
      <c r="X19" s="4"/>
      <c r="Y19" s="4">
        <f>($G19*Admin!$C$4)+($H19*Admin!$C$3)+($I19*Admin!$C$5)+($K19*Admin!$C$9)+($L19*Admin!$C$10)+($N19*Admin!$C$7)+($O19*Admin!$C$11)+($P19*Admin!$C$12)+($Q19*Admin!$C$6)+($R19*Admin!$C$13)</f>
        <v>65.900000000000006</v>
      </c>
    </row>
    <row r="20" spans="1:25" x14ac:dyDescent="0.25">
      <c r="A20" s="3" t="s">
        <v>382</v>
      </c>
      <c r="B20" s="3" t="s">
        <v>364</v>
      </c>
      <c r="C20" s="3" t="s">
        <v>43</v>
      </c>
      <c r="D20" s="3">
        <v>3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1</v>
      </c>
      <c r="K20" s="3">
        <v>-1</v>
      </c>
      <c r="L20" s="3">
        <v>0</v>
      </c>
      <c r="M20" s="3">
        <v>4</v>
      </c>
      <c r="N20" s="3">
        <v>1</v>
      </c>
      <c r="O20" s="3">
        <v>15</v>
      </c>
      <c r="P20" s="3">
        <v>0</v>
      </c>
      <c r="Q20" s="3">
        <v>0</v>
      </c>
      <c r="R20" s="3">
        <v>0</v>
      </c>
      <c r="S20" s="3">
        <v>0.4</v>
      </c>
      <c r="T20" s="3">
        <v>8.7527352297592995E-3</v>
      </c>
      <c r="U20" s="3">
        <v>-1</v>
      </c>
      <c r="V20" s="3">
        <v>15</v>
      </c>
      <c r="W20" s="3"/>
      <c r="X20" s="3"/>
      <c r="Y20" s="3">
        <f>($G20*Admin!$C$4)+($H20*Admin!$C$3)+($I20*Admin!$C$5)+($K20*Admin!$C$9)+($L20*Admin!$C$10)+($N20*Admin!$C$7)+($O20*Admin!$C$11)+($P20*Admin!$C$12)+($Q20*Admin!$C$6)+($R20*Admin!$C$13)</f>
        <v>2.4</v>
      </c>
    </row>
    <row r="21" spans="1:25" x14ac:dyDescent="0.25">
      <c r="A21" s="4" t="s">
        <v>383</v>
      </c>
      <c r="B21" s="4" t="s">
        <v>364</v>
      </c>
      <c r="C21" s="4" t="s">
        <v>43</v>
      </c>
      <c r="D21" s="4">
        <v>6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9</v>
      </c>
      <c r="N21" s="4">
        <v>7</v>
      </c>
      <c r="O21" s="4">
        <v>116</v>
      </c>
      <c r="P21" s="4">
        <v>1</v>
      </c>
      <c r="Q21" s="4">
        <v>0</v>
      </c>
      <c r="R21" s="4">
        <v>0</v>
      </c>
      <c r="S21" s="4">
        <v>24.6</v>
      </c>
      <c r="T21" s="4">
        <v>1.9693654266958401E-2</v>
      </c>
      <c r="U21" s="4"/>
      <c r="V21" s="4">
        <v>16.571428571428601</v>
      </c>
      <c r="W21" s="4"/>
      <c r="X21" s="4"/>
      <c r="Y21" s="4">
        <f>($G21*Admin!$C$4)+($H21*Admin!$C$3)+($I21*Admin!$C$5)+($K21*Admin!$C$9)+($L21*Admin!$C$10)+($N21*Admin!$C$7)+($O21*Admin!$C$11)+($P21*Admin!$C$12)+($Q21*Admin!$C$6)+($R21*Admin!$C$13)</f>
        <v>24.6</v>
      </c>
    </row>
    <row r="22" spans="1:25" x14ac:dyDescent="0.25">
      <c r="A22" s="3" t="s">
        <v>384</v>
      </c>
      <c r="B22" s="3" t="s">
        <v>364</v>
      </c>
      <c r="C22" s="3" t="s">
        <v>43</v>
      </c>
      <c r="D22" s="3">
        <v>1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M22" s="3">
        <v>3</v>
      </c>
      <c r="N22" s="3">
        <v>2</v>
      </c>
      <c r="O22" s="3">
        <v>14</v>
      </c>
      <c r="P22" s="3">
        <v>0</v>
      </c>
      <c r="Q22" s="3">
        <v>0</v>
      </c>
      <c r="R22" s="3">
        <v>0</v>
      </c>
      <c r="S22" s="3">
        <v>3.4</v>
      </c>
      <c r="T22" s="3">
        <v>6.5645514223194703E-3</v>
      </c>
      <c r="U22" s="3"/>
      <c r="V22" s="3">
        <v>7</v>
      </c>
      <c r="W22" s="3"/>
      <c r="X22" s="3"/>
      <c r="Y22" s="3">
        <f>($G22*Admin!$C$4)+($H22*Admin!$C$3)+($I22*Admin!$C$5)+($K22*Admin!$C$9)+($L22*Admin!$C$10)+($N22*Admin!$C$7)+($O22*Admin!$C$11)+($P22*Admin!$C$12)+($Q22*Admin!$C$6)+($R22*Admin!$C$13)</f>
        <v>3.4000000000000004</v>
      </c>
    </row>
    <row r="23" spans="1:25" x14ac:dyDescent="0.25">
      <c r="A23" s="4" t="s">
        <v>385</v>
      </c>
      <c r="B23" s="4" t="s">
        <v>364</v>
      </c>
      <c r="C23" s="4" t="s">
        <v>43</v>
      </c>
      <c r="D23" s="4">
        <v>9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9</v>
      </c>
      <c r="K23" s="4">
        <v>103</v>
      </c>
      <c r="L23" s="4">
        <v>1</v>
      </c>
      <c r="M23" s="4">
        <v>14</v>
      </c>
      <c r="N23" s="4">
        <v>7</v>
      </c>
      <c r="O23" s="4">
        <v>107</v>
      </c>
      <c r="P23" s="4">
        <v>1</v>
      </c>
      <c r="Q23" s="4">
        <v>1</v>
      </c>
      <c r="R23" s="4">
        <v>0</v>
      </c>
      <c r="S23" s="4">
        <v>38</v>
      </c>
      <c r="T23" s="4">
        <v>3.06345733041575E-2</v>
      </c>
      <c r="U23" s="4">
        <v>11.4444444444444</v>
      </c>
      <c r="V23" s="4">
        <v>15.285714285714301</v>
      </c>
      <c r="W23" s="4"/>
      <c r="X23" s="4"/>
      <c r="Y23" s="4">
        <f>($G23*Admin!$C$4)+($H23*Admin!$C$3)+($I23*Admin!$C$5)+($K23*Admin!$C$9)+($L23*Admin!$C$10)+($N23*Admin!$C$7)+($O23*Admin!$C$11)+($P23*Admin!$C$12)+($Q23*Admin!$C$6)+($R23*Admin!$C$13)</f>
        <v>38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</row>
    <row r="31" spans="1:25" x14ac:dyDescent="0.25">
      <c r="A31" s="3" t="s">
        <v>364</v>
      </c>
      <c r="B31" s="3">
        <v>5612</v>
      </c>
      <c r="C31" s="3">
        <v>2598</v>
      </c>
      <c r="D31" s="3">
        <v>558</v>
      </c>
      <c r="E31" s="3">
        <v>3014</v>
      </c>
      <c r="F31" s="3">
        <v>18</v>
      </c>
      <c r="G31" s="3">
        <v>1144.1199999999999</v>
      </c>
      <c r="H31" s="3">
        <v>377</v>
      </c>
      <c r="I31" s="3">
        <v>0.59151193633952304</v>
      </c>
      <c r="J31" s="3">
        <v>19</v>
      </c>
      <c r="K31" s="3">
        <v>15</v>
      </c>
      <c r="L31" s="3">
        <v>4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</row>
    <row r="33" spans="1:28" x14ac:dyDescent="0.25">
      <c r="A33" s="3" t="str">
        <f>A31</f>
        <v>CHI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386</v>
      </c>
      <c r="B36" s="3" t="s">
        <v>26</v>
      </c>
      <c r="C36" s="3">
        <v>23</v>
      </c>
      <c r="D36" s="3">
        <v>0</v>
      </c>
      <c r="E36" s="3" t="s">
        <v>387</v>
      </c>
      <c r="F36" s="3" t="s">
        <v>364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">
        <v>0</v>
      </c>
      <c r="X36" s="3">
        <v>0</v>
      </c>
      <c r="Y36" s="3">
        <v>0</v>
      </c>
      <c r="Z36" s="3">
        <v>0</v>
      </c>
      <c r="AA36" s="3">
        <v>0</v>
      </c>
      <c r="AB36" s="3">
        <v>0</v>
      </c>
    </row>
    <row r="37" spans="1:28" x14ac:dyDescent="0.25">
      <c r="A37" s="4" t="s">
        <v>388</v>
      </c>
      <c r="B37" s="4" t="s">
        <v>26</v>
      </c>
      <c r="C37" s="4">
        <v>24</v>
      </c>
      <c r="D37" s="4">
        <v>3</v>
      </c>
      <c r="E37" s="4" t="s">
        <v>213</v>
      </c>
      <c r="F37" s="4" t="s">
        <v>364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</row>
    <row r="38" spans="1:28" x14ac:dyDescent="0.25">
      <c r="A38" s="3" t="s">
        <v>389</v>
      </c>
      <c r="B38" s="3" t="s">
        <v>26</v>
      </c>
      <c r="C38" s="3">
        <v>29</v>
      </c>
      <c r="D38" s="3">
        <v>7</v>
      </c>
      <c r="E38" s="3" t="s">
        <v>74</v>
      </c>
      <c r="F38" s="3" t="s">
        <v>364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v>0</v>
      </c>
      <c r="W38" s="3">
        <v>0</v>
      </c>
      <c r="X38" s="3">
        <v>0</v>
      </c>
      <c r="Y38" s="3">
        <v>0</v>
      </c>
      <c r="Z38" s="3">
        <v>0</v>
      </c>
      <c r="AA38" s="3">
        <v>0</v>
      </c>
      <c r="AB38" s="3">
        <v>0</v>
      </c>
    </row>
    <row r="39" spans="1:28" x14ac:dyDescent="0.25">
      <c r="A39" s="4" t="s">
        <v>390</v>
      </c>
      <c r="B39" s="4" t="s">
        <v>26</v>
      </c>
      <c r="C39" s="4">
        <v>28</v>
      </c>
      <c r="D39" s="4">
        <v>4</v>
      </c>
      <c r="E39" s="4" t="s">
        <v>391</v>
      </c>
      <c r="F39" s="4" t="s">
        <v>364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  <c r="AB39" s="4"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392</v>
      </c>
      <c r="B46" s="3" t="s">
        <v>31</v>
      </c>
      <c r="C46" s="3">
        <v>24</v>
      </c>
      <c r="D46" s="3">
        <v>2</v>
      </c>
      <c r="E46" s="3" t="s">
        <v>393</v>
      </c>
      <c r="F46" s="3" t="s">
        <v>364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v>0</v>
      </c>
      <c r="W46" s="3">
        <v>0</v>
      </c>
      <c r="X46" s="3">
        <v>0</v>
      </c>
      <c r="Y46" s="3">
        <v>0</v>
      </c>
      <c r="Z46" s="3">
        <v>0</v>
      </c>
      <c r="AA46" s="3">
        <v>0</v>
      </c>
      <c r="AB46" s="3">
        <f>($J46*Cp_yd)+($K46*Cp_td)+($L46*Cint)+($M46*Ccar)+($N46*Cr_td)+($O46*Cr_yd)+(Q46*Crec)+($R46*Crec_yd)+($S46*Crec_td)+($T46*Cfmb)+($U46*Ctp_c)</f>
        <v>0</v>
      </c>
    </row>
    <row r="47" spans="1:28" x14ac:dyDescent="0.25">
      <c r="A47" s="4" t="s">
        <v>394</v>
      </c>
      <c r="B47" s="4" t="s">
        <v>31</v>
      </c>
      <c r="C47" s="4">
        <v>27</v>
      </c>
      <c r="D47" s="4">
        <v>6</v>
      </c>
      <c r="E47" s="4" t="s">
        <v>66</v>
      </c>
      <c r="F47" s="4" t="s">
        <v>364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f>($J47*Cp_yd)+($K47*Cp_td)+($L47*Cint)+($M47*Ccar)+($N47*Cr_td)+($O47*Cr_yd)+(Q47*Crec)+($R47*Crec_yd)+($S47*Crec_td)+($T47*Cfmb)+($U47*Ctp_c)</f>
        <v>0</v>
      </c>
    </row>
    <row r="48" spans="1:28" x14ac:dyDescent="0.25">
      <c r="A48" s="3" t="s">
        <v>395</v>
      </c>
      <c r="B48" s="3" t="s">
        <v>31</v>
      </c>
      <c r="C48" s="3">
        <v>25</v>
      </c>
      <c r="D48" s="3">
        <v>3</v>
      </c>
      <c r="E48" s="3" t="s">
        <v>333</v>
      </c>
      <c r="F48" s="3" t="s">
        <v>364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v>0</v>
      </c>
      <c r="W48" s="3">
        <v>0</v>
      </c>
      <c r="X48" s="3">
        <v>0</v>
      </c>
      <c r="Y48" s="3">
        <v>0</v>
      </c>
      <c r="Z48" s="3">
        <v>0</v>
      </c>
      <c r="AA48" s="3">
        <v>0</v>
      </c>
      <c r="AB48" s="3">
        <f>($J48*Cp_yd)+($K48*Cp_td)+($L48*Cint)+($M48*Ccar)+($N48*Cr_td)+($O48*Cr_yd)+(Q48*Crec)+($R48*Crec_yd)+($S48*Crec_td)+($T48*Cfmb)+($U48*Ctp_c)</f>
        <v>0</v>
      </c>
    </row>
    <row r="49" spans="1:28" x14ac:dyDescent="0.25">
      <c r="A49" s="4" t="s">
        <v>396</v>
      </c>
      <c r="B49" s="4" t="s">
        <v>31</v>
      </c>
      <c r="C49" s="4">
        <v>25</v>
      </c>
      <c r="D49" s="4">
        <v>5</v>
      </c>
      <c r="E49" s="4" t="s">
        <v>397</v>
      </c>
      <c r="F49" s="4" t="s">
        <v>364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B49" s="4">
        <f>($J49*Cp_yd)+($K49*Cp_td)+($L49*Cint)+($M49*Ccar)+($N49*Cr_td)+($O49*Cr_yd)+(Q49*Crec)+($R49*Crec_yd)+($S49*Crec_td)+($T49*Cfmb)+($U49*Ctp_c)</f>
        <v>0</v>
      </c>
    </row>
    <row r="50" spans="1:28" x14ac:dyDescent="0.25">
      <c r="A50" s="3" t="s">
        <v>398</v>
      </c>
      <c r="B50" s="3" t="s">
        <v>31</v>
      </c>
      <c r="C50" s="3">
        <v>22</v>
      </c>
      <c r="D50" s="3">
        <v>0</v>
      </c>
      <c r="E50" s="3" t="s">
        <v>66</v>
      </c>
      <c r="F50" s="3" t="s">
        <v>364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v>0</v>
      </c>
      <c r="W50" s="3">
        <v>0</v>
      </c>
      <c r="X50" s="3">
        <v>0</v>
      </c>
      <c r="Y50" s="3">
        <v>0</v>
      </c>
      <c r="Z50" s="3">
        <v>0</v>
      </c>
      <c r="AA50" s="3">
        <v>0</v>
      </c>
      <c r="AB50" s="3">
        <f>($J50*Cp_yd)+($K50*Cp_td)+($L50*Cint)+($M50*Ccar)+($N50*Cr_td)+($O50*Cr_yd)+(Q50*Crec)+($R50*Crec_yd)+($S50*Crec_td)+($T50*Cfmb)+($U50*Ctp_c)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399</v>
      </c>
      <c r="B61" s="3" t="s">
        <v>43</v>
      </c>
      <c r="C61" s="3">
        <v>25</v>
      </c>
      <c r="D61" s="3">
        <v>4</v>
      </c>
      <c r="E61" s="3" t="s">
        <v>362</v>
      </c>
      <c r="F61" s="3" t="s">
        <v>364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v>0</v>
      </c>
      <c r="W61" s="3">
        <v>0</v>
      </c>
      <c r="X61" s="3">
        <v>0</v>
      </c>
      <c r="Y61" s="3">
        <v>0</v>
      </c>
      <c r="Z61" s="3">
        <v>0</v>
      </c>
      <c r="AA61" s="3">
        <v>0</v>
      </c>
      <c r="AB61" s="3">
        <v>0</v>
      </c>
    </row>
    <row r="62" spans="1:28" x14ac:dyDescent="0.25">
      <c r="A62" s="4" t="s">
        <v>400</v>
      </c>
      <c r="B62" s="4" t="s">
        <v>43</v>
      </c>
      <c r="C62" s="4">
        <v>27</v>
      </c>
      <c r="D62" s="4">
        <v>5</v>
      </c>
      <c r="E62" s="4" t="s">
        <v>333</v>
      </c>
      <c r="F62" s="4" t="s">
        <v>364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0</v>
      </c>
      <c r="X62" s="4">
        <v>0</v>
      </c>
      <c r="Y62" s="4">
        <v>0</v>
      </c>
      <c r="Z62" s="4">
        <v>0</v>
      </c>
      <c r="AA62" s="4">
        <v>0</v>
      </c>
      <c r="AB62" s="4">
        <v>0</v>
      </c>
    </row>
    <row r="63" spans="1:28" x14ac:dyDescent="0.25">
      <c r="A63" s="3" t="s">
        <v>401</v>
      </c>
      <c r="B63" s="3" t="s">
        <v>43</v>
      </c>
      <c r="C63" s="3">
        <v>27</v>
      </c>
      <c r="D63" s="3">
        <v>4</v>
      </c>
      <c r="E63" s="3" t="s">
        <v>402</v>
      </c>
      <c r="F63" s="3" t="s">
        <v>364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v>0</v>
      </c>
      <c r="W63" s="3">
        <v>0</v>
      </c>
      <c r="X63" s="3">
        <v>0</v>
      </c>
      <c r="Y63" s="3">
        <v>0</v>
      </c>
      <c r="Z63" s="3">
        <v>0</v>
      </c>
      <c r="AA63" s="3">
        <v>0</v>
      </c>
      <c r="AB63" s="3">
        <v>0</v>
      </c>
    </row>
    <row r="64" spans="1:28" x14ac:dyDescent="0.25">
      <c r="A64" s="4" t="s">
        <v>403</v>
      </c>
      <c r="B64" s="4" t="s">
        <v>43</v>
      </c>
      <c r="C64" s="4">
        <v>26</v>
      </c>
      <c r="D64" s="4">
        <v>2</v>
      </c>
      <c r="E64" s="4" t="s">
        <v>143</v>
      </c>
      <c r="F64" s="4" t="s">
        <v>364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</row>
    <row r="65" spans="1:28" x14ac:dyDescent="0.25">
      <c r="A65" s="3" t="s">
        <v>404</v>
      </c>
      <c r="B65" s="3" t="s">
        <v>43</v>
      </c>
      <c r="C65" s="3">
        <v>25</v>
      </c>
      <c r="D65" s="3">
        <v>4</v>
      </c>
      <c r="E65" s="3" t="s">
        <v>405</v>
      </c>
      <c r="F65" s="3" t="s">
        <v>364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v>0</v>
      </c>
      <c r="W65" s="3">
        <v>0</v>
      </c>
      <c r="X65" s="3">
        <v>0</v>
      </c>
      <c r="Y65" s="3">
        <v>0</v>
      </c>
      <c r="Z65" s="3">
        <v>0</v>
      </c>
      <c r="AA65" s="3">
        <v>0</v>
      </c>
      <c r="AB65" s="3">
        <v>0</v>
      </c>
    </row>
    <row r="66" spans="1:28" x14ac:dyDescent="0.25">
      <c r="A66" s="4" t="s">
        <v>406</v>
      </c>
      <c r="B66" s="4" t="s">
        <v>43</v>
      </c>
      <c r="C66" s="4">
        <v>26</v>
      </c>
      <c r="D66" s="4">
        <v>6</v>
      </c>
      <c r="E66" s="4" t="s">
        <v>232</v>
      </c>
      <c r="F66" s="4" t="s">
        <v>364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</row>
    <row r="67" spans="1:28" x14ac:dyDescent="0.25">
      <c r="A67" s="3" t="s">
        <v>407</v>
      </c>
      <c r="B67" s="3" t="s">
        <v>43</v>
      </c>
      <c r="C67" s="3">
        <v>27</v>
      </c>
      <c r="D67" s="3">
        <v>6</v>
      </c>
      <c r="E67" s="3" t="s">
        <v>86</v>
      </c>
      <c r="F67" s="3" t="s">
        <v>364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v>0</v>
      </c>
      <c r="W67" s="3">
        <v>0</v>
      </c>
      <c r="X67" s="3">
        <v>0</v>
      </c>
      <c r="Y67" s="3">
        <v>0</v>
      </c>
      <c r="Z67" s="3">
        <v>0</v>
      </c>
      <c r="AA67" s="3">
        <v>0</v>
      </c>
      <c r="AB67" s="3">
        <v>0</v>
      </c>
    </row>
    <row r="68" spans="1:28" x14ac:dyDescent="0.25">
      <c r="A68" s="4" t="s">
        <v>408</v>
      </c>
      <c r="B68" s="4" t="s">
        <v>43</v>
      </c>
      <c r="C68" s="4">
        <v>25</v>
      </c>
      <c r="D68" s="4">
        <v>2</v>
      </c>
      <c r="E68" s="4" t="s">
        <v>409</v>
      </c>
      <c r="F68" s="4" t="s">
        <v>364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0</v>
      </c>
      <c r="X68" s="4">
        <v>0</v>
      </c>
      <c r="Y68" s="4">
        <v>0</v>
      </c>
      <c r="Z68" s="4">
        <v>0</v>
      </c>
      <c r="AA68" s="4">
        <v>0</v>
      </c>
      <c r="AB68" s="4">
        <v>0</v>
      </c>
    </row>
    <row r="69" spans="1:28" x14ac:dyDescent="0.25">
      <c r="A69" s="3" t="s">
        <v>410</v>
      </c>
      <c r="B69" s="3" t="s">
        <v>43</v>
      </c>
      <c r="C69" s="3">
        <v>21</v>
      </c>
      <c r="D69" s="3">
        <v>0</v>
      </c>
      <c r="E69" s="3" t="s">
        <v>136</v>
      </c>
      <c r="F69" s="3" t="s">
        <v>364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v>0</v>
      </c>
      <c r="W69" s="3">
        <v>0</v>
      </c>
      <c r="X69" s="3">
        <v>0</v>
      </c>
      <c r="Y69" s="3">
        <v>0</v>
      </c>
      <c r="Z69" s="3">
        <v>0</v>
      </c>
      <c r="AA69" s="3">
        <v>0</v>
      </c>
      <c r="AB69" s="3">
        <v>0</v>
      </c>
    </row>
    <row r="70" spans="1:28" x14ac:dyDescent="0.25">
      <c r="A70" s="4" t="s">
        <v>411</v>
      </c>
      <c r="B70" s="4" t="s">
        <v>43</v>
      </c>
      <c r="C70" s="4">
        <v>26</v>
      </c>
      <c r="D70" s="4">
        <v>6</v>
      </c>
      <c r="E70" s="4" t="s">
        <v>362</v>
      </c>
      <c r="F70" s="4" t="s">
        <v>364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0</v>
      </c>
      <c r="X70" s="4">
        <v>0</v>
      </c>
      <c r="Y70" s="4">
        <v>0</v>
      </c>
      <c r="Z70" s="4">
        <v>0</v>
      </c>
      <c r="AA70" s="4">
        <v>0</v>
      </c>
      <c r="AB70" s="4">
        <v>0</v>
      </c>
    </row>
    <row r="71" spans="1:28" x14ac:dyDescent="0.25">
      <c r="A71" s="3" t="s">
        <v>412</v>
      </c>
      <c r="B71" s="3" t="s">
        <v>43</v>
      </c>
      <c r="C71" s="3">
        <v>27</v>
      </c>
      <c r="D71" s="3">
        <v>4</v>
      </c>
      <c r="E71" s="3" t="s">
        <v>413</v>
      </c>
      <c r="F71" s="3" t="s">
        <v>364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v>0</v>
      </c>
      <c r="W71" s="3">
        <v>0</v>
      </c>
      <c r="X71" s="3">
        <v>0</v>
      </c>
      <c r="Y71" s="3">
        <v>0</v>
      </c>
      <c r="Z71" s="3">
        <v>0</v>
      </c>
      <c r="AA71" s="3">
        <v>0</v>
      </c>
      <c r="AB71" s="3"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414</v>
      </c>
      <c r="B76" s="3" t="s">
        <v>38</v>
      </c>
      <c r="C76" s="3">
        <v>26</v>
      </c>
      <c r="D76" s="3">
        <v>4</v>
      </c>
      <c r="E76" s="3" t="s">
        <v>415</v>
      </c>
      <c r="F76" s="3" t="s">
        <v>364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v>0</v>
      </c>
      <c r="W76" s="3">
        <v>0</v>
      </c>
      <c r="X76" s="3">
        <v>0</v>
      </c>
      <c r="Y76" s="3">
        <v>0</v>
      </c>
      <c r="Z76" s="3">
        <v>0</v>
      </c>
      <c r="AA76" s="3">
        <v>0</v>
      </c>
      <c r="AB76" s="3">
        <v>0</v>
      </c>
    </row>
    <row r="77" spans="1:28" x14ac:dyDescent="0.25">
      <c r="A77" s="4" t="s">
        <v>416</v>
      </c>
      <c r="B77" s="4" t="s">
        <v>38</v>
      </c>
      <c r="C77" s="4">
        <v>24</v>
      </c>
      <c r="D77" s="4">
        <v>4</v>
      </c>
      <c r="E77" s="4" t="s">
        <v>362</v>
      </c>
      <c r="F77" s="4" t="s">
        <v>364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v>0</v>
      </c>
      <c r="W77" s="4">
        <v>0</v>
      </c>
      <c r="X77" s="4">
        <v>0</v>
      </c>
      <c r="Y77" s="4">
        <v>0</v>
      </c>
      <c r="Z77" s="4">
        <v>0</v>
      </c>
      <c r="AA77" s="4">
        <v>0</v>
      </c>
      <c r="AB77" s="4">
        <v>0</v>
      </c>
    </row>
    <row r="78" spans="1:28" x14ac:dyDescent="0.25">
      <c r="A78" s="3" t="s">
        <v>417</v>
      </c>
      <c r="B78" s="3" t="s">
        <v>38</v>
      </c>
      <c r="C78" s="3">
        <v>39</v>
      </c>
      <c r="D78" s="3">
        <v>18</v>
      </c>
      <c r="E78" s="3" t="s">
        <v>418</v>
      </c>
      <c r="F78" s="3" t="s">
        <v>364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v>0</v>
      </c>
      <c r="W78" s="3">
        <v>0</v>
      </c>
      <c r="X78" s="3">
        <v>0</v>
      </c>
      <c r="Y78" s="3">
        <v>0</v>
      </c>
      <c r="Z78" s="3">
        <v>0</v>
      </c>
      <c r="AA78" s="3">
        <v>0</v>
      </c>
      <c r="AB78" s="3">
        <v>0</v>
      </c>
    </row>
    <row r="79" spans="1:28" x14ac:dyDescent="0.25">
      <c r="A79" s="4" t="s">
        <v>419</v>
      </c>
      <c r="B79" s="4" t="s">
        <v>38</v>
      </c>
      <c r="C79" s="4">
        <v>25</v>
      </c>
      <c r="D79" s="4">
        <v>4</v>
      </c>
      <c r="E79" s="4" t="s">
        <v>300</v>
      </c>
      <c r="F79" s="4" t="s">
        <v>364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v>0</v>
      </c>
      <c r="W79" s="4">
        <v>0</v>
      </c>
      <c r="X79" s="4">
        <v>0</v>
      </c>
      <c r="Y79" s="4">
        <v>0</v>
      </c>
      <c r="Z79" s="4">
        <v>0</v>
      </c>
      <c r="AA79" s="4">
        <v>0</v>
      </c>
      <c r="AB79" s="4">
        <v>0</v>
      </c>
    </row>
    <row r="80" spans="1:28" x14ac:dyDescent="0.25">
      <c r="A80" s="3" t="s">
        <v>420</v>
      </c>
      <c r="B80" s="3" t="s">
        <v>38</v>
      </c>
      <c r="C80" s="3"/>
      <c r="D80" s="3">
        <v>0</v>
      </c>
      <c r="E80" s="3" t="s">
        <v>421</v>
      </c>
      <c r="F80" s="3" t="s">
        <v>364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v>0</v>
      </c>
      <c r="W80" s="3">
        <v>0</v>
      </c>
      <c r="X80" s="3">
        <v>0</v>
      </c>
      <c r="Y80" s="3">
        <v>0</v>
      </c>
      <c r="Z80" s="3">
        <v>0</v>
      </c>
      <c r="AA80" s="3">
        <v>0</v>
      </c>
      <c r="AB80" s="3">
        <v>0</v>
      </c>
    </row>
    <row r="81" spans="1:28" x14ac:dyDescent="0.25">
      <c r="A81" s="4" t="s">
        <v>422</v>
      </c>
      <c r="B81" s="4" t="s">
        <v>38</v>
      </c>
      <c r="C81" s="4">
        <v>29</v>
      </c>
      <c r="D81" s="4">
        <v>6</v>
      </c>
      <c r="E81" s="4" t="s">
        <v>423</v>
      </c>
      <c r="F81" s="4" t="s">
        <v>364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v>0</v>
      </c>
      <c r="W81" s="4">
        <v>0</v>
      </c>
      <c r="X81" s="4">
        <v>0</v>
      </c>
      <c r="Y81" s="4">
        <v>0</v>
      </c>
      <c r="Z81" s="4">
        <v>0</v>
      </c>
      <c r="AA81" s="4">
        <v>0</v>
      </c>
      <c r="AB81" s="4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B82"/>
  <sheetViews>
    <sheetView topLeftCell="G22" workbookViewId="0">
      <selection activeCell="AB46" sqref="AB46:AB51"/>
    </sheetView>
  </sheetViews>
  <sheetFormatPr defaultColWidth="11.42578125" defaultRowHeight="15" x14ac:dyDescent="0.25"/>
  <sheetData>
    <row r="1" spans="1:24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</row>
    <row r="2" spans="1:24" x14ac:dyDescent="0.25">
      <c r="A2" s="3" t="s">
        <v>424</v>
      </c>
      <c r="B2" s="3" t="s">
        <v>425</v>
      </c>
      <c r="C2" s="3" t="s">
        <v>26</v>
      </c>
      <c r="D2" s="3">
        <v>1</v>
      </c>
      <c r="E2" s="3">
        <v>3</v>
      </c>
      <c r="F2" s="3">
        <v>3</v>
      </c>
      <c r="G2" s="3">
        <v>22</v>
      </c>
      <c r="H2" s="3">
        <v>0</v>
      </c>
      <c r="I2" s="3">
        <v>0</v>
      </c>
      <c r="J2" s="3">
        <v>3</v>
      </c>
      <c r="K2" s="3">
        <v>-1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0.78</v>
      </c>
      <c r="T2" s="3">
        <v>0</v>
      </c>
      <c r="U2" s="3">
        <v>-0.33333333333333298</v>
      </c>
      <c r="V2" s="3"/>
      <c r="W2" s="3">
        <v>1</v>
      </c>
      <c r="X2" s="3">
        <v>0</v>
      </c>
    </row>
    <row r="3" spans="1:24" x14ac:dyDescent="0.25">
      <c r="A3" s="4" t="s">
        <v>426</v>
      </c>
      <c r="B3" s="4" t="s">
        <v>425</v>
      </c>
      <c r="C3" s="4" t="s">
        <v>26</v>
      </c>
      <c r="D3" s="4">
        <v>16</v>
      </c>
      <c r="E3" s="4">
        <v>606</v>
      </c>
      <c r="F3" s="4">
        <v>414</v>
      </c>
      <c r="G3" s="4">
        <v>4475</v>
      </c>
      <c r="H3" s="4">
        <v>35</v>
      </c>
      <c r="I3" s="4">
        <v>12</v>
      </c>
      <c r="J3" s="4">
        <v>75</v>
      </c>
      <c r="K3" s="4">
        <v>257</v>
      </c>
      <c r="L3" s="4">
        <v>5</v>
      </c>
      <c r="M3" s="4">
        <v>0</v>
      </c>
      <c r="N3" s="4">
        <v>0</v>
      </c>
      <c r="O3" s="4">
        <v>0</v>
      </c>
      <c r="P3" s="4">
        <v>0</v>
      </c>
      <c r="Q3" s="4">
        <v>3</v>
      </c>
      <c r="R3" s="4">
        <v>3</v>
      </c>
      <c r="S3" s="4">
        <v>350.7</v>
      </c>
      <c r="T3" s="4">
        <v>0</v>
      </c>
      <c r="U3" s="4">
        <v>3.4266666666666699</v>
      </c>
      <c r="V3" s="4"/>
      <c r="W3" s="4">
        <v>0.683168316831683</v>
      </c>
      <c r="X3" s="4">
        <v>5.7755775577557802E-2</v>
      </c>
    </row>
    <row r="4" spans="1:24" x14ac:dyDescent="0.25">
      <c r="A4" s="3" t="s">
        <v>427</v>
      </c>
      <c r="B4" s="3" t="s">
        <v>425</v>
      </c>
      <c r="C4" s="3" t="s">
        <v>31</v>
      </c>
      <c r="D4" s="3">
        <v>4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4</v>
      </c>
      <c r="N4" s="3">
        <v>3</v>
      </c>
      <c r="O4" s="3">
        <v>38</v>
      </c>
      <c r="P4" s="3">
        <v>1</v>
      </c>
      <c r="Q4" s="3">
        <v>0</v>
      </c>
      <c r="R4" s="3">
        <v>0</v>
      </c>
      <c r="S4" s="3">
        <v>12.8</v>
      </c>
      <c r="T4" s="3">
        <v>1.0610079575596801E-2</v>
      </c>
      <c r="U4" s="3"/>
      <c r="V4" s="3">
        <v>12.6666666666667</v>
      </c>
      <c r="W4" s="3"/>
      <c r="X4" s="3"/>
    </row>
    <row r="5" spans="1:24" x14ac:dyDescent="0.25">
      <c r="A5" s="4" t="s">
        <v>428</v>
      </c>
      <c r="B5" s="4" t="s">
        <v>425</v>
      </c>
      <c r="C5" s="4" t="s">
        <v>31</v>
      </c>
      <c r="D5" s="4">
        <v>14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210</v>
      </c>
      <c r="K5" s="4">
        <v>814</v>
      </c>
      <c r="L5" s="4">
        <v>7</v>
      </c>
      <c r="M5" s="4">
        <v>75</v>
      </c>
      <c r="N5" s="4">
        <v>60</v>
      </c>
      <c r="O5" s="4">
        <v>441</v>
      </c>
      <c r="P5" s="4">
        <v>2</v>
      </c>
      <c r="Q5" s="4">
        <v>0</v>
      </c>
      <c r="R5" s="4">
        <v>0</v>
      </c>
      <c r="S5" s="4">
        <v>239.5</v>
      </c>
      <c r="T5" s="4">
        <v>0.19893899204244</v>
      </c>
      <c r="U5" s="4">
        <v>3.8761904761904802</v>
      </c>
      <c r="V5" s="4">
        <v>7.35</v>
      </c>
      <c r="W5" s="4"/>
      <c r="X5" s="4"/>
    </row>
    <row r="6" spans="1:24" x14ac:dyDescent="0.25">
      <c r="A6" s="3" t="s">
        <v>429</v>
      </c>
      <c r="B6" s="3" t="s">
        <v>425</v>
      </c>
      <c r="C6" s="3" t="s">
        <v>31</v>
      </c>
      <c r="D6" s="3">
        <v>16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95</v>
      </c>
      <c r="K6" s="3">
        <v>394</v>
      </c>
      <c r="L6" s="3">
        <v>2</v>
      </c>
      <c r="M6" s="3">
        <v>51</v>
      </c>
      <c r="N6" s="3">
        <v>38</v>
      </c>
      <c r="O6" s="3">
        <v>287</v>
      </c>
      <c r="P6" s="3">
        <v>4</v>
      </c>
      <c r="Q6" s="3">
        <v>0</v>
      </c>
      <c r="R6" s="3">
        <v>0</v>
      </c>
      <c r="S6" s="3">
        <v>142.1</v>
      </c>
      <c r="T6" s="3">
        <v>0.13527851458885901</v>
      </c>
      <c r="U6" s="3">
        <v>4.1473684210526303</v>
      </c>
      <c r="V6" s="3">
        <v>7.5526315789473699</v>
      </c>
      <c r="W6" s="3"/>
      <c r="X6" s="3"/>
    </row>
    <row r="7" spans="1:24" x14ac:dyDescent="0.25">
      <c r="A7" s="4" t="s">
        <v>36</v>
      </c>
      <c r="B7" s="4" t="s">
        <v>425</v>
      </c>
      <c r="C7" s="4" t="s">
        <v>31</v>
      </c>
      <c r="D7" s="4">
        <v>4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6</v>
      </c>
      <c r="K7" s="4">
        <v>30</v>
      </c>
      <c r="L7" s="4">
        <v>0</v>
      </c>
      <c r="M7" s="4">
        <v>3</v>
      </c>
      <c r="N7" s="4">
        <v>2</v>
      </c>
      <c r="O7" s="4">
        <v>30</v>
      </c>
      <c r="P7" s="4">
        <v>0</v>
      </c>
      <c r="Q7" s="4">
        <v>0</v>
      </c>
      <c r="R7" s="4">
        <v>0</v>
      </c>
      <c r="S7" s="4">
        <v>8</v>
      </c>
      <c r="T7" s="4">
        <v>7.9575596816976093E-3</v>
      </c>
      <c r="U7" s="4">
        <v>5</v>
      </c>
      <c r="V7" s="4">
        <v>15</v>
      </c>
      <c r="W7" s="4"/>
      <c r="X7" s="4"/>
    </row>
    <row r="8" spans="1:24" x14ac:dyDescent="0.25">
      <c r="A8" s="3" t="s">
        <v>430</v>
      </c>
      <c r="B8" s="3" t="s">
        <v>425</v>
      </c>
      <c r="C8" s="3" t="s">
        <v>38</v>
      </c>
      <c r="D8" s="3">
        <v>3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4</v>
      </c>
      <c r="N8" s="3">
        <v>2</v>
      </c>
      <c r="O8" s="3">
        <v>5</v>
      </c>
      <c r="P8" s="3">
        <v>0</v>
      </c>
      <c r="Q8" s="3">
        <v>0</v>
      </c>
      <c r="R8" s="3">
        <v>0</v>
      </c>
      <c r="S8" s="3">
        <v>2.5</v>
      </c>
      <c r="T8" s="3">
        <v>1.0610079575596801E-2</v>
      </c>
      <c r="U8" s="3"/>
      <c r="V8" s="3">
        <v>2.5</v>
      </c>
      <c r="W8" s="3"/>
      <c r="X8" s="3"/>
    </row>
    <row r="9" spans="1:24" x14ac:dyDescent="0.25">
      <c r="A9" s="4" t="s">
        <v>431</v>
      </c>
      <c r="B9" s="4" t="s">
        <v>425</v>
      </c>
      <c r="C9" s="4" t="s">
        <v>38</v>
      </c>
      <c r="D9" s="4">
        <v>2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2</v>
      </c>
      <c r="N9" s="4">
        <v>2</v>
      </c>
      <c r="O9" s="4">
        <v>-2</v>
      </c>
      <c r="P9" s="4">
        <v>0</v>
      </c>
      <c r="Q9" s="4">
        <v>0</v>
      </c>
      <c r="R9" s="4">
        <v>0</v>
      </c>
      <c r="S9" s="4">
        <v>1.8</v>
      </c>
      <c r="T9" s="4">
        <v>5.3050397877984099E-3</v>
      </c>
      <c r="U9" s="4"/>
      <c r="V9" s="4">
        <v>-1</v>
      </c>
      <c r="W9" s="4"/>
      <c r="X9" s="4"/>
    </row>
    <row r="10" spans="1:24" x14ac:dyDescent="0.25">
      <c r="A10" s="3" t="s">
        <v>432</v>
      </c>
      <c r="B10" s="3" t="s">
        <v>425</v>
      </c>
      <c r="C10" s="3" t="s">
        <v>38</v>
      </c>
      <c r="D10" s="3">
        <v>13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68</v>
      </c>
      <c r="N10" s="3">
        <v>52</v>
      </c>
      <c r="O10" s="3">
        <v>414</v>
      </c>
      <c r="P10" s="3">
        <v>2</v>
      </c>
      <c r="Q10" s="3">
        <v>0</v>
      </c>
      <c r="R10" s="3">
        <v>0</v>
      </c>
      <c r="S10" s="3">
        <v>105.4</v>
      </c>
      <c r="T10" s="3">
        <v>0.18037135278514599</v>
      </c>
      <c r="U10" s="3"/>
      <c r="V10" s="3">
        <v>7.9615384615384599</v>
      </c>
      <c r="W10" s="3"/>
      <c r="X10" s="3"/>
    </row>
    <row r="11" spans="1:24" x14ac:dyDescent="0.25">
      <c r="A11" s="4" t="s">
        <v>433</v>
      </c>
      <c r="B11" s="4" t="s">
        <v>425</v>
      </c>
      <c r="C11" s="4" t="s">
        <v>38</v>
      </c>
      <c r="D11" s="4">
        <v>9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18</v>
      </c>
      <c r="N11" s="4">
        <v>17</v>
      </c>
      <c r="O11" s="4">
        <v>139</v>
      </c>
      <c r="P11" s="4">
        <v>1</v>
      </c>
      <c r="Q11" s="4">
        <v>0</v>
      </c>
      <c r="R11" s="4">
        <v>0</v>
      </c>
      <c r="S11" s="4">
        <v>36.9</v>
      </c>
      <c r="T11" s="4">
        <v>4.7745358090185701E-2</v>
      </c>
      <c r="U11" s="4"/>
      <c r="V11" s="4">
        <v>8.1764705882352899</v>
      </c>
      <c r="W11" s="4"/>
      <c r="X11" s="4"/>
    </row>
    <row r="12" spans="1:24" x14ac:dyDescent="0.25">
      <c r="A12" s="3" t="s">
        <v>434</v>
      </c>
      <c r="B12" s="3" t="s">
        <v>425</v>
      </c>
      <c r="C12" s="3" t="s">
        <v>43</v>
      </c>
      <c r="D12" s="3">
        <v>12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5</v>
      </c>
      <c r="K12" s="3">
        <v>8</v>
      </c>
      <c r="L12" s="3">
        <v>0</v>
      </c>
      <c r="M12" s="3">
        <v>134</v>
      </c>
      <c r="N12" s="3">
        <v>87</v>
      </c>
      <c r="O12" s="3">
        <v>1046</v>
      </c>
      <c r="P12" s="3">
        <v>9</v>
      </c>
      <c r="Q12" s="3">
        <v>0</v>
      </c>
      <c r="R12" s="3">
        <v>0</v>
      </c>
      <c r="S12" s="3">
        <v>242.4</v>
      </c>
      <c r="T12" s="3">
        <v>0.35543766578249297</v>
      </c>
      <c r="U12" s="3">
        <v>1.6</v>
      </c>
      <c r="V12" s="3">
        <v>12.022988505747101</v>
      </c>
      <c r="W12" s="3"/>
      <c r="X12" s="3"/>
    </row>
    <row r="13" spans="1:24" x14ac:dyDescent="0.25">
      <c r="A13" s="4" t="s">
        <v>435</v>
      </c>
      <c r="B13" s="4" t="s">
        <v>425</v>
      </c>
      <c r="C13" s="4" t="s">
        <v>43</v>
      </c>
      <c r="D13" s="4">
        <v>4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10</v>
      </c>
      <c r="N13" s="4">
        <v>2</v>
      </c>
      <c r="O13" s="4">
        <v>38</v>
      </c>
      <c r="P13" s="4">
        <v>0</v>
      </c>
      <c r="Q13" s="4">
        <v>0</v>
      </c>
      <c r="R13" s="4">
        <v>0</v>
      </c>
      <c r="S13" s="4">
        <v>7.8</v>
      </c>
      <c r="T13" s="4">
        <v>2.6525198938991999E-2</v>
      </c>
      <c r="U13" s="4"/>
      <c r="V13" s="4">
        <v>19</v>
      </c>
      <c r="W13" s="4"/>
      <c r="X13" s="4"/>
    </row>
    <row r="14" spans="1:24" x14ac:dyDescent="0.25">
      <c r="A14" s="3" t="s">
        <v>436</v>
      </c>
      <c r="B14" s="3" t="s">
        <v>425</v>
      </c>
      <c r="C14" s="3" t="s">
        <v>43</v>
      </c>
      <c r="D14" s="3">
        <v>1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3">
        <v>0</v>
      </c>
      <c r="T14" s="3">
        <v>2.6525198938992002E-3</v>
      </c>
      <c r="U14" s="3"/>
      <c r="V14" s="3"/>
      <c r="W14" s="3"/>
      <c r="X14" s="3"/>
    </row>
    <row r="15" spans="1:24" x14ac:dyDescent="0.25">
      <c r="A15" s="4" t="s">
        <v>437</v>
      </c>
      <c r="B15" s="4" t="s">
        <v>425</v>
      </c>
      <c r="C15" s="4" t="s">
        <v>43</v>
      </c>
      <c r="D15" s="4">
        <v>16</v>
      </c>
      <c r="E15" s="4">
        <v>1</v>
      </c>
      <c r="F15" s="4">
        <v>1</v>
      </c>
      <c r="G15" s="4">
        <v>23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82</v>
      </c>
      <c r="N15" s="4">
        <v>58</v>
      </c>
      <c r="O15" s="4">
        <v>762</v>
      </c>
      <c r="P15" s="4">
        <v>5</v>
      </c>
      <c r="Q15" s="4">
        <v>0</v>
      </c>
      <c r="R15" s="4">
        <v>0</v>
      </c>
      <c r="S15" s="4">
        <v>167.12</v>
      </c>
      <c r="T15" s="4">
        <v>0.21750663129973499</v>
      </c>
      <c r="U15" s="4"/>
      <c r="V15" s="4">
        <v>13.137931034482801</v>
      </c>
      <c r="W15" s="4">
        <v>1</v>
      </c>
      <c r="X15" s="4">
        <v>0</v>
      </c>
    </row>
    <row r="16" spans="1:24" x14ac:dyDescent="0.25">
      <c r="A16" s="3" t="s">
        <v>438</v>
      </c>
      <c r="B16" s="3" t="s">
        <v>425</v>
      </c>
      <c r="C16" s="3" t="s">
        <v>43</v>
      </c>
      <c r="D16" s="3">
        <v>14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109</v>
      </c>
      <c r="N16" s="3">
        <v>74</v>
      </c>
      <c r="O16" s="3">
        <v>1029</v>
      </c>
      <c r="P16" s="3">
        <v>7</v>
      </c>
      <c r="Q16" s="3">
        <v>0</v>
      </c>
      <c r="R16" s="3">
        <v>0</v>
      </c>
      <c r="S16" s="3">
        <v>220.9</v>
      </c>
      <c r="T16" s="3">
        <v>0.289124668435013</v>
      </c>
      <c r="U16" s="3"/>
      <c r="V16" s="3">
        <v>13.9054054054054</v>
      </c>
      <c r="W16" s="3"/>
      <c r="X16" s="3"/>
    </row>
    <row r="17" spans="1:24" x14ac:dyDescent="0.25">
      <c r="A17" s="4" t="s">
        <v>439</v>
      </c>
      <c r="B17" s="4" t="s">
        <v>425</v>
      </c>
      <c r="C17" s="4" t="s">
        <v>43</v>
      </c>
      <c r="D17" s="4">
        <v>9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1</v>
      </c>
      <c r="K17" s="4">
        <v>11</v>
      </c>
      <c r="L17" s="4">
        <v>0</v>
      </c>
      <c r="M17" s="4">
        <v>23</v>
      </c>
      <c r="N17" s="4">
        <v>15</v>
      </c>
      <c r="O17" s="4">
        <v>231</v>
      </c>
      <c r="P17" s="4">
        <v>4</v>
      </c>
      <c r="Q17" s="4">
        <v>0</v>
      </c>
      <c r="R17" s="4">
        <v>0</v>
      </c>
      <c r="S17" s="4">
        <v>63.2</v>
      </c>
      <c r="T17" s="4">
        <v>6.1007957559681698E-2</v>
      </c>
      <c r="U17" s="4">
        <v>11</v>
      </c>
      <c r="V17" s="4">
        <v>15.4</v>
      </c>
      <c r="W17" s="4"/>
      <c r="X17" s="4"/>
    </row>
    <row r="18" spans="1:24" x14ac:dyDescent="0.25">
      <c r="A18" s="3" t="s">
        <v>440</v>
      </c>
      <c r="B18" s="3" t="s">
        <v>425</v>
      </c>
      <c r="C18" s="3" t="s">
        <v>43</v>
      </c>
      <c r="D18" s="3">
        <v>6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4</v>
      </c>
      <c r="K18" s="3">
        <v>15</v>
      </c>
      <c r="L18" s="3">
        <v>0</v>
      </c>
      <c r="M18" s="3">
        <v>10</v>
      </c>
      <c r="N18" s="3">
        <v>6</v>
      </c>
      <c r="O18" s="3">
        <v>62</v>
      </c>
      <c r="P18" s="3">
        <v>0</v>
      </c>
      <c r="Q18" s="3">
        <v>0</v>
      </c>
      <c r="R18" s="3">
        <v>0</v>
      </c>
      <c r="S18" s="3">
        <v>13.7</v>
      </c>
      <c r="T18" s="3">
        <v>2.6525198938991999E-2</v>
      </c>
      <c r="U18" s="3">
        <v>3.75</v>
      </c>
      <c r="V18" s="3">
        <v>10.3333333333333</v>
      </c>
      <c r="W18" s="3"/>
      <c r="X18" s="3"/>
    </row>
    <row r="30" spans="1:24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</row>
    <row r="31" spans="1:24" x14ac:dyDescent="0.25">
      <c r="A31" s="3" t="s">
        <v>425</v>
      </c>
      <c r="B31" s="3">
        <v>6048</v>
      </c>
      <c r="C31" s="3">
        <v>4520</v>
      </c>
      <c r="D31" s="3">
        <v>399</v>
      </c>
      <c r="E31" s="3">
        <v>1528</v>
      </c>
      <c r="F31" s="3">
        <v>14</v>
      </c>
      <c r="G31" s="3">
        <v>1615.6</v>
      </c>
      <c r="H31" s="3">
        <v>610</v>
      </c>
      <c r="I31" s="3">
        <v>0.68524590163934396</v>
      </c>
      <c r="J31" s="3">
        <v>35</v>
      </c>
      <c r="K31" s="3">
        <v>12</v>
      </c>
      <c r="L31" s="3">
        <v>3</v>
      </c>
    </row>
    <row r="32" spans="1:24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</row>
    <row r="33" spans="1:28" x14ac:dyDescent="0.25">
      <c r="A33" s="3" t="str">
        <f>A31</f>
        <v>CIN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441</v>
      </c>
      <c r="B36" s="3" t="s">
        <v>26</v>
      </c>
      <c r="C36" s="3">
        <v>27</v>
      </c>
      <c r="D36" s="3">
        <v>1</v>
      </c>
      <c r="E36" s="3" t="s">
        <v>86</v>
      </c>
      <c r="F36" s="3" t="s">
        <v>425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">
        <v>0</v>
      </c>
      <c r="X36" s="3">
        <v>0</v>
      </c>
      <c r="Y36" s="3">
        <v>0</v>
      </c>
      <c r="Z36" s="3">
        <v>0</v>
      </c>
      <c r="AA36" s="3">
        <v>0</v>
      </c>
      <c r="AB36" s="3">
        <v>0</v>
      </c>
    </row>
    <row r="37" spans="1:28" x14ac:dyDescent="0.25">
      <c r="A37" s="4" t="s">
        <v>442</v>
      </c>
      <c r="B37" s="4" t="s">
        <v>26</v>
      </c>
      <c r="C37" s="4">
        <v>26</v>
      </c>
      <c r="D37" s="4">
        <v>4</v>
      </c>
      <c r="E37" s="4" t="s">
        <v>227</v>
      </c>
      <c r="F37" s="4" t="s">
        <v>425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</row>
    <row r="38" spans="1:28" x14ac:dyDescent="0.25">
      <c r="A38" s="3" t="s">
        <v>443</v>
      </c>
      <c r="B38" s="3" t="s">
        <v>26</v>
      </c>
      <c r="C38" s="3">
        <v>31</v>
      </c>
      <c r="D38" s="3">
        <v>8</v>
      </c>
      <c r="E38" s="3" t="s">
        <v>141</v>
      </c>
      <c r="F38" s="3" t="s">
        <v>425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v>0</v>
      </c>
      <c r="W38" s="3">
        <v>0</v>
      </c>
      <c r="X38" s="3">
        <v>0</v>
      </c>
      <c r="Y38" s="3">
        <v>0</v>
      </c>
      <c r="Z38" s="3">
        <v>0</v>
      </c>
      <c r="AA38" s="3">
        <v>0</v>
      </c>
      <c r="AB38" s="3">
        <v>0</v>
      </c>
    </row>
    <row r="39" spans="1:28" x14ac:dyDescent="0.25">
      <c r="A39" s="4" t="s">
        <v>444</v>
      </c>
      <c r="B39" s="4" t="s">
        <v>26</v>
      </c>
      <c r="C39" s="4">
        <v>26</v>
      </c>
      <c r="D39" s="4">
        <v>2</v>
      </c>
      <c r="E39" s="4" t="s">
        <v>211</v>
      </c>
      <c r="F39" s="4" t="s">
        <v>425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  <c r="AB39" s="4"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445</v>
      </c>
      <c r="B46" s="3" t="s">
        <v>31</v>
      </c>
      <c r="C46" s="3">
        <v>23</v>
      </c>
      <c r="D46" s="3">
        <v>0</v>
      </c>
      <c r="E46" s="3" t="s">
        <v>446</v>
      </c>
      <c r="F46" s="3" t="s">
        <v>425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v>0</v>
      </c>
      <c r="W46" s="3">
        <v>0</v>
      </c>
      <c r="X46" s="3">
        <v>0</v>
      </c>
      <c r="Y46" s="3">
        <v>0</v>
      </c>
      <c r="Z46" s="3">
        <v>0</v>
      </c>
      <c r="AA46" s="3">
        <v>0</v>
      </c>
      <c r="AB46" s="3">
        <f t="shared" ref="AB46:AB51" si="0">($J46*Cp_yd)+($K46*Cp_td)+($L46*Cint)+($M46*Ccar)+($N46*Cr_td)+($O46*Cr_yd)+(Q46*Crec)+($R46*Crec_yd)+($S46*Crec_td)+($T46*Cfmb)+($U46*Ctp_c)</f>
        <v>0</v>
      </c>
    </row>
    <row r="47" spans="1:28" x14ac:dyDescent="0.25">
      <c r="A47" s="4" t="s">
        <v>447</v>
      </c>
      <c r="B47" s="4" t="s">
        <v>31</v>
      </c>
      <c r="C47" s="4">
        <v>25</v>
      </c>
      <c r="D47" s="4">
        <v>3</v>
      </c>
      <c r="E47" s="4" t="s">
        <v>105</v>
      </c>
      <c r="F47" s="4" t="s">
        <v>425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f t="shared" si="0"/>
        <v>0</v>
      </c>
    </row>
    <row r="48" spans="1:28" x14ac:dyDescent="0.25">
      <c r="A48" s="3" t="s">
        <v>448</v>
      </c>
      <c r="B48" s="3" t="s">
        <v>31</v>
      </c>
      <c r="C48" s="3">
        <v>27</v>
      </c>
      <c r="D48" s="3">
        <v>7</v>
      </c>
      <c r="E48" s="3" t="s">
        <v>68</v>
      </c>
      <c r="F48" s="3" t="s">
        <v>425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v>0</v>
      </c>
      <c r="W48" s="3">
        <v>0</v>
      </c>
      <c r="X48" s="3">
        <v>0</v>
      </c>
      <c r="Y48" s="3">
        <v>0</v>
      </c>
      <c r="Z48" s="3">
        <v>0</v>
      </c>
      <c r="AA48" s="3">
        <v>0</v>
      </c>
      <c r="AB48" s="3">
        <f t="shared" si="0"/>
        <v>0</v>
      </c>
    </row>
    <row r="49" spans="1:28" x14ac:dyDescent="0.25">
      <c r="A49" s="4" t="s">
        <v>449</v>
      </c>
      <c r="B49" s="4" t="s">
        <v>31</v>
      </c>
      <c r="C49" s="4">
        <v>23</v>
      </c>
      <c r="D49" s="4">
        <v>0</v>
      </c>
      <c r="E49" s="4" t="s">
        <v>450</v>
      </c>
      <c r="F49" s="4" t="s">
        <v>425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B49" s="4">
        <f t="shared" si="0"/>
        <v>0</v>
      </c>
    </row>
    <row r="50" spans="1:28" x14ac:dyDescent="0.25">
      <c r="A50" s="3" t="s">
        <v>451</v>
      </c>
      <c r="B50" s="3" t="s">
        <v>31</v>
      </c>
      <c r="C50" s="3">
        <v>24</v>
      </c>
      <c r="D50" s="3">
        <v>0</v>
      </c>
      <c r="E50" s="3" t="s">
        <v>89</v>
      </c>
      <c r="F50" s="3" t="s">
        <v>425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v>0</v>
      </c>
      <c r="W50" s="3">
        <v>0</v>
      </c>
      <c r="X50" s="3">
        <v>0</v>
      </c>
      <c r="Y50" s="3">
        <v>0</v>
      </c>
      <c r="Z50" s="3">
        <v>0</v>
      </c>
      <c r="AA50" s="3">
        <v>0</v>
      </c>
      <c r="AB50" s="3">
        <f t="shared" si="0"/>
        <v>0</v>
      </c>
    </row>
    <row r="51" spans="1:28" x14ac:dyDescent="0.25">
      <c r="A51" s="4" t="s">
        <v>452</v>
      </c>
      <c r="B51" s="4" t="s">
        <v>31</v>
      </c>
      <c r="C51" s="4">
        <v>25</v>
      </c>
      <c r="D51" s="4">
        <v>5</v>
      </c>
      <c r="E51" s="4" t="s">
        <v>307</v>
      </c>
      <c r="F51" s="4" t="s">
        <v>425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v>0</v>
      </c>
      <c r="W51" s="4">
        <v>0</v>
      </c>
      <c r="X51" s="4">
        <v>0</v>
      </c>
      <c r="Y51" s="4">
        <v>0</v>
      </c>
      <c r="Z51" s="4">
        <v>0</v>
      </c>
      <c r="AA51" s="4">
        <v>0</v>
      </c>
      <c r="AB51" s="4">
        <f t="shared" si="0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453</v>
      </c>
      <c r="B61" s="3" t="s">
        <v>43</v>
      </c>
      <c r="C61" s="3">
        <v>29</v>
      </c>
      <c r="D61" s="3">
        <v>8</v>
      </c>
      <c r="E61" s="3" t="s">
        <v>74</v>
      </c>
      <c r="F61" s="3" t="s">
        <v>425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v>0</v>
      </c>
      <c r="W61" s="3">
        <v>0</v>
      </c>
      <c r="X61" s="3">
        <v>0</v>
      </c>
      <c r="Y61" s="3">
        <v>0</v>
      </c>
      <c r="Z61" s="3">
        <v>0</v>
      </c>
      <c r="AA61" s="3">
        <v>0</v>
      </c>
      <c r="AB61" s="3">
        <v>0</v>
      </c>
    </row>
    <row r="62" spans="1:28" x14ac:dyDescent="0.25">
      <c r="A62" s="4" t="s">
        <v>454</v>
      </c>
      <c r="B62" s="4" t="s">
        <v>43</v>
      </c>
      <c r="C62" s="4">
        <v>23</v>
      </c>
      <c r="D62" s="4">
        <v>0</v>
      </c>
      <c r="E62" s="4" t="s">
        <v>455</v>
      </c>
      <c r="F62" s="4" t="s">
        <v>425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0</v>
      </c>
      <c r="X62" s="4">
        <v>0</v>
      </c>
      <c r="Y62" s="4">
        <v>0</v>
      </c>
      <c r="Z62" s="4">
        <v>0</v>
      </c>
      <c r="AA62" s="4">
        <v>0</v>
      </c>
      <c r="AB62" s="4">
        <v>0</v>
      </c>
    </row>
    <row r="63" spans="1:28" x14ac:dyDescent="0.25">
      <c r="A63" s="3" t="s">
        <v>456</v>
      </c>
      <c r="B63" s="3" t="s">
        <v>43</v>
      </c>
      <c r="C63" s="3">
        <v>23</v>
      </c>
      <c r="D63" s="3">
        <v>3</v>
      </c>
      <c r="E63" s="3" t="s">
        <v>227</v>
      </c>
      <c r="F63" s="3" t="s">
        <v>425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v>0</v>
      </c>
      <c r="W63" s="3">
        <v>0</v>
      </c>
      <c r="X63" s="3">
        <v>0</v>
      </c>
      <c r="Y63" s="3">
        <v>0</v>
      </c>
      <c r="Z63" s="3">
        <v>0</v>
      </c>
      <c r="AA63" s="3">
        <v>0</v>
      </c>
      <c r="AB63" s="3">
        <v>0</v>
      </c>
    </row>
    <row r="64" spans="1:28" x14ac:dyDescent="0.25">
      <c r="A64" s="4" t="s">
        <v>457</v>
      </c>
      <c r="B64" s="4" t="s">
        <v>43</v>
      </c>
      <c r="C64" s="4">
        <v>24</v>
      </c>
      <c r="D64" s="4">
        <v>4</v>
      </c>
      <c r="E64" s="4" t="s">
        <v>458</v>
      </c>
      <c r="F64" s="4" t="s">
        <v>425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</row>
    <row r="65" spans="1:28" x14ac:dyDescent="0.25">
      <c r="A65" s="3" t="s">
        <v>459</v>
      </c>
      <c r="B65" s="3" t="s">
        <v>43</v>
      </c>
      <c r="C65" s="3">
        <v>24</v>
      </c>
      <c r="D65" s="3">
        <v>0</v>
      </c>
      <c r="E65" s="3" t="s">
        <v>460</v>
      </c>
      <c r="F65" s="3" t="s">
        <v>425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v>0</v>
      </c>
      <c r="W65" s="3">
        <v>0</v>
      </c>
      <c r="X65" s="3">
        <v>0</v>
      </c>
      <c r="Y65" s="3">
        <v>0</v>
      </c>
      <c r="Z65" s="3">
        <v>0</v>
      </c>
      <c r="AA65" s="3">
        <v>0</v>
      </c>
      <c r="AB65" s="3">
        <v>0</v>
      </c>
    </row>
    <row r="66" spans="1:28" x14ac:dyDescent="0.25">
      <c r="A66" s="4" t="s">
        <v>461</v>
      </c>
      <c r="B66" s="4" t="s">
        <v>43</v>
      </c>
      <c r="C66" s="4">
        <v>23</v>
      </c>
      <c r="D66" s="4">
        <v>0</v>
      </c>
      <c r="E66" s="4" t="s">
        <v>415</v>
      </c>
      <c r="F66" s="4" t="s">
        <v>425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</row>
    <row r="67" spans="1:28" x14ac:dyDescent="0.25">
      <c r="A67" s="3" t="s">
        <v>462</v>
      </c>
      <c r="B67" s="3" t="s">
        <v>43</v>
      </c>
      <c r="C67" s="3">
        <v>27</v>
      </c>
      <c r="D67" s="3">
        <v>3</v>
      </c>
      <c r="E67" s="3" t="s">
        <v>102</v>
      </c>
      <c r="F67" s="3" t="s">
        <v>425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v>0</v>
      </c>
      <c r="W67" s="3">
        <v>0</v>
      </c>
      <c r="X67" s="3">
        <v>0</v>
      </c>
      <c r="Y67" s="3">
        <v>0</v>
      </c>
      <c r="Z67" s="3">
        <v>0</v>
      </c>
      <c r="AA67" s="3">
        <v>0</v>
      </c>
      <c r="AB67" s="3">
        <v>0</v>
      </c>
    </row>
    <row r="68" spans="1:28" x14ac:dyDescent="0.25">
      <c r="A68" s="4" t="s">
        <v>463</v>
      </c>
      <c r="B68" s="4" t="s">
        <v>43</v>
      </c>
      <c r="C68" s="4">
        <v>23</v>
      </c>
      <c r="D68" s="4">
        <v>0</v>
      </c>
      <c r="E68" s="4" t="s">
        <v>464</v>
      </c>
      <c r="F68" s="4" t="s">
        <v>425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0</v>
      </c>
      <c r="X68" s="4">
        <v>0</v>
      </c>
      <c r="Y68" s="4">
        <v>0</v>
      </c>
      <c r="Z68" s="4">
        <v>0</v>
      </c>
      <c r="AA68" s="4">
        <v>0</v>
      </c>
      <c r="AB68" s="4">
        <v>0</v>
      </c>
    </row>
    <row r="69" spans="1:28" x14ac:dyDescent="0.25">
      <c r="A69" s="3" t="s">
        <v>465</v>
      </c>
      <c r="B69" s="3" t="s">
        <v>43</v>
      </c>
      <c r="C69" s="3">
        <v>24</v>
      </c>
      <c r="D69" s="3">
        <v>0</v>
      </c>
      <c r="E69" s="3" t="s">
        <v>62</v>
      </c>
      <c r="F69" s="3" t="s">
        <v>425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v>0</v>
      </c>
      <c r="W69" s="3">
        <v>0</v>
      </c>
      <c r="X69" s="3">
        <v>0</v>
      </c>
      <c r="Y69" s="3">
        <v>0</v>
      </c>
      <c r="Z69" s="3">
        <v>0</v>
      </c>
      <c r="AA69" s="3">
        <v>0</v>
      </c>
      <c r="AB69" s="3">
        <v>0</v>
      </c>
    </row>
    <row r="70" spans="1:28" x14ac:dyDescent="0.25">
      <c r="A70" s="4" t="s">
        <v>466</v>
      </c>
      <c r="B70" s="4" t="s">
        <v>43</v>
      </c>
      <c r="C70" s="4">
        <v>25</v>
      </c>
      <c r="D70" s="4">
        <v>1</v>
      </c>
      <c r="E70" s="4" t="s">
        <v>467</v>
      </c>
      <c r="F70" s="4" t="s">
        <v>425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0</v>
      </c>
      <c r="X70" s="4">
        <v>0</v>
      </c>
      <c r="Y70" s="4">
        <v>0</v>
      </c>
      <c r="Z70" s="4">
        <v>0</v>
      </c>
      <c r="AA70" s="4">
        <v>0</v>
      </c>
      <c r="AB70" s="4">
        <v>0</v>
      </c>
    </row>
    <row r="71" spans="1:28" x14ac:dyDescent="0.25">
      <c r="A71" s="3" t="s">
        <v>468</v>
      </c>
      <c r="B71" s="3" t="s">
        <v>43</v>
      </c>
      <c r="C71" s="3">
        <v>26</v>
      </c>
      <c r="D71" s="3">
        <v>5</v>
      </c>
      <c r="E71" s="3" t="s">
        <v>248</v>
      </c>
      <c r="F71" s="3" t="s">
        <v>425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v>0</v>
      </c>
      <c r="W71" s="3">
        <v>0</v>
      </c>
      <c r="X71" s="3">
        <v>0</v>
      </c>
      <c r="Y71" s="3">
        <v>0</v>
      </c>
      <c r="Z71" s="3">
        <v>0</v>
      </c>
      <c r="AA71" s="3">
        <v>0</v>
      </c>
      <c r="AB71" s="3">
        <v>0</v>
      </c>
    </row>
    <row r="72" spans="1:28" x14ac:dyDescent="0.25">
      <c r="A72" s="4" t="s">
        <v>469</v>
      </c>
      <c r="B72" s="4" t="s">
        <v>43</v>
      </c>
      <c r="C72" s="4">
        <v>29</v>
      </c>
      <c r="D72" s="4">
        <v>6</v>
      </c>
      <c r="E72" s="4" t="s">
        <v>64</v>
      </c>
      <c r="F72" s="4" t="s">
        <v>425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v>0</v>
      </c>
      <c r="W72" s="4">
        <v>0</v>
      </c>
      <c r="X72" s="4">
        <v>0</v>
      </c>
      <c r="Y72" s="4">
        <v>0</v>
      </c>
      <c r="Z72" s="4">
        <v>0</v>
      </c>
      <c r="AA72" s="4">
        <v>0</v>
      </c>
      <c r="AB72" s="4"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470</v>
      </c>
      <c r="B76" s="3" t="s">
        <v>38</v>
      </c>
      <c r="C76" s="3">
        <v>26</v>
      </c>
      <c r="D76" s="3">
        <v>4</v>
      </c>
      <c r="E76" s="3" t="s">
        <v>418</v>
      </c>
      <c r="F76" s="3" t="s">
        <v>425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v>0</v>
      </c>
      <c r="W76" s="3">
        <v>0</v>
      </c>
      <c r="X76" s="3">
        <v>0</v>
      </c>
      <c r="Y76" s="3">
        <v>0</v>
      </c>
      <c r="Z76" s="3">
        <v>0</v>
      </c>
      <c r="AA76" s="3">
        <v>0</v>
      </c>
      <c r="AB76" s="3">
        <v>0</v>
      </c>
    </row>
    <row r="77" spans="1:28" x14ac:dyDescent="0.25">
      <c r="A77" s="4" t="s">
        <v>471</v>
      </c>
      <c r="B77" s="4" t="s">
        <v>38</v>
      </c>
      <c r="C77" s="4">
        <v>27</v>
      </c>
      <c r="D77" s="4">
        <v>2</v>
      </c>
      <c r="E77" s="4" t="s">
        <v>339</v>
      </c>
      <c r="F77" s="4" t="s">
        <v>425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v>0</v>
      </c>
      <c r="W77" s="4">
        <v>0</v>
      </c>
      <c r="X77" s="4">
        <v>0</v>
      </c>
      <c r="Y77" s="4">
        <v>0</v>
      </c>
      <c r="Z77" s="4">
        <v>0</v>
      </c>
      <c r="AA77" s="4">
        <v>0</v>
      </c>
      <c r="AB77" s="4">
        <v>0</v>
      </c>
    </row>
    <row r="78" spans="1:28" x14ac:dyDescent="0.25">
      <c r="A78" s="3" t="s">
        <v>472</v>
      </c>
      <c r="B78" s="3" t="s">
        <v>38</v>
      </c>
      <c r="C78" s="3">
        <v>28</v>
      </c>
      <c r="D78" s="3">
        <v>4</v>
      </c>
      <c r="E78" s="3" t="s">
        <v>473</v>
      </c>
      <c r="F78" s="3" t="s">
        <v>425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v>0</v>
      </c>
      <c r="W78" s="3">
        <v>0</v>
      </c>
      <c r="X78" s="3">
        <v>0</v>
      </c>
      <c r="Y78" s="3">
        <v>0</v>
      </c>
      <c r="Z78" s="3">
        <v>0</v>
      </c>
      <c r="AA78" s="3">
        <v>0</v>
      </c>
      <c r="AB78" s="3">
        <v>0</v>
      </c>
    </row>
    <row r="79" spans="1:28" x14ac:dyDescent="0.25">
      <c r="A79" s="4" t="s">
        <v>474</v>
      </c>
      <c r="B79" s="4" t="s">
        <v>38</v>
      </c>
      <c r="C79" s="4">
        <v>27</v>
      </c>
      <c r="D79" s="4">
        <v>5</v>
      </c>
      <c r="E79" s="4" t="s">
        <v>86</v>
      </c>
      <c r="F79" s="4" t="s">
        <v>425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v>0</v>
      </c>
      <c r="W79" s="4">
        <v>0</v>
      </c>
      <c r="X79" s="4">
        <v>0</v>
      </c>
      <c r="Y79" s="4">
        <v>0</v>
      </c>
      <c r="Z79" s="4">
        <v>0</v>
      </c>
      <c r="AA79" s="4">
        <v>0</v>
      </c>
      <c r="AB79" s="4">
        <v>0</v>
      </c>
    </row>
    <row r="80" spans="1:28" x14ac:dyDescent="0.25">
      <c r="A80" s="3" t="s">
        <v>475</v>
      </c>
      <c r="B80" s="3" t="s">
        <v>38</v>
      </c>
      <c r="C80" s="3">
        <v>25</v>
      </c>
      <c r="D80" s="3">
        <v>5</v>
      </c>
      <c r="E80" s="3" t="s">
        <v>153</v>
      </c>
      <c r="F80" s="3" t="s">
        <v>425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v>0</v>
      </c>
      <c r="W80" s="3">
        <v>0</v>
      </c>
      <c r="X80" s="3">
        <v>0</v>
      </c>
      <c r="Y80" s="3">
        <v>0</v>
      </c>
      <c r="Z80" s="3">
        <v>0</v>
      </c>
      <c r="AA80" s="3">
        <v>0</v>
      </c>
      <c r="AB80" s="3">
        <v>0</v>
      </c>
    </row>
    <row r="81" spans="1:28" x14ac:dyDescent="0.25">
      <c r="A81" s="4" t="s">
        <v>476</v>
      </c>
      <c r="B81" s="4" t="s">
        <v>38</v>
      </c>
      <c r="C81" s="4">
        <v>24</v>
      </c>
      <c r="D81" s="4">
        <v>0</v>
      </c>
      <c r="E81" s="4" t="s">
        <v>70</v>
      </c>
      <c r="F81" s="4" t="s">
        <v>425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v>0</v>
      </c>
      <c r="W81" s="4">
        <v>0</v>
      </c>
      <c r="X81" s="4">
        <v>0</v>
      </c>
      <c r="Y81" s="4">
        <v>0</v>
      </c>
      <c r="Z81" s="4">
        <v>0</v>
      </c>
      <c r="AA81" s="4">
        <v>0</v>
      </c>
      <c r="AB81" s="4">
        <v>0</v>
      </c>
    </row>
    <row r="82" spans="1:28" x14ac:dyDescent="0.25">
      <c r="A82" s="3" t="s">
        <v>477</v>
      </c>
      <c r="B82" s="3" t="s">
        <v>38</v>
      </c>
      <c r="C82" s="3">
        <v>26</v>
      </c>
      <c r="D82" s="3">
        <v>4</v>
      </c>
      <c r="E82" s="3" t="s">
        <v>80</v>
      </c>
      <c r="F82" s="3" t="s">
        <v>425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v>0</v>
      </c>
      <c r="W82" s="3">
        <v>0</v>
      </c>
      <c r="X82" s="3">
        <v>0</v>
      </c>
      <c r="Y82" s="3">
        <v>0</v>
      </c>
      <c r="Z82" s="3">
        <v>0</v>
      </c>
      <c r="AA82" s="3">
        <v>0</v>
      </c>
      <c r="AB82" s="3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B81"/>
  <sheetViews>
    <sheetView topLeftCell="G19" workbookViewId="0">
      <selection activeCell="AB46" sqref="AB46:AB51"/>
    </sheetView>
  </sheetViews>
  <sheetFormatPr defaultColWidth="11.42578125" defaultRowHeight="15" x14ac:dyDescent="0.25"/>
  <sheetData>
    <row r="1" spans="1:24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</row>
    <row r="2" spans="1:24" x14ac:dyDescent="0.25">
      <c r="A2" s="3" t="s">
        <v>478</v>
      </c>
      <c r="B2" s="3" t="s">
        <v>479</v>
      </c>
      <c r="C2" s="3" t="s">
        <v>26</v>
      </c>
      <c r="D2" s="3">
        <v>6</v>
      </c>
      <c r="E2" s="3">
        <v>170</v>
      </c>
      <c r="F2" s="3">
        <v>99</v>
      </c>
      <c r="G2" s="3">
        <v>1102</v>
      </c>
      <c r="H2" s="3">
        <v>7</v>
      </c>
      <c r="I2" s="3">
        <v>5</v>
      </c>
      <c r="J2" s="3">
        <v>36</v>
      </c>
      <c r="K2" s="3">
        <v>175</v>
      </c>
      <c r="L2" s="3">
        <v>1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85.58</v>
      </c>
      <c r="T2" s="3">
        <v>0</v>
      </c>
      <c r="U2" s="3">
        <v>4.8611111111111098</v>
      </c>
      <c r="V2" s="3"/>
      <c r="W2" s="3">
        <v>0.58235294117647096</v>
      </c>
      <c r="X2" s="3">
        <v>4.11764705882353E-2</v>
      </c>
    </row>
    <row r="3" spans="1:24" x14ac:dyDescent="0.25">
      <c r="A3" s="4" t="s">
        <v>480</v>
      </c>
      <c r="B3" s="4" t="s">
        <v>479</v>
      </c>
      <c r="C3" s="4" t="s">
        <v>26</v>
      </c>
      <c r="D3" s="4">
        <v>14</v>
      </c>
      <c r="E3" s="4">
        <v>369</v>
      </c>
      <c r="F3" s="4">
        <v>236</v>
      </c>
      <c r="G3" s="4">
        <v>2608</v>
      </c>
      <c r="H3" s="4">
        <v>12</v>
      </c>
      <c r="I3" s="4">
        <v>6</v>
      </c>
      <c r="J3" s="4">
        <v>49</v>
      </c>
      <c r="K3" s="4">
        <v>243</v>
      </c>
      <c r="L3" s="4">
        <v>2</v>
      </c>
      <c r="M3" s="4">
        <v>0</v>
      </c>
      <c r="N3" s="4">
        <v>0</v>
      </c>
      <c r="O3" s="4">
        <v>0</v>
      </c>
      <c r="P3" s="4">
        <v>0</v>
      </c>
      <c r="Q3" s="4">
        <v>4</v>
      </c>
      <c r="R3" s="4">
        <v>0</v>
      </c>
      <c r="S3" s="4">
        <v>168.62</v>
      </c>
      <c r="T3" s="4">
        <v>0</v>
      </c>
      <c r="U3" s="4">
        <v>4.9591836734693899</v>
      </c>
      <c r="V3" s="4"/>
      <c r="W3" s="4">
        <v>0.63956639566395701</v>
      </c>
      <c r="X3" s="4">
        <v>3.2520325203252001E-2</v>
      </c>
    </row>
    <row r="4" spans="1:24" x14ac:dyDescent="0.25">
      <c r="A4" s="3" t="s">
        <v>481</v>
      </c>
      <c r="B4" s="3" t="s">
        <v>479</v>
      </c>
      <c r="C4" s="3" t="s">
        <v>31</v>
      </c>
      <c r="D4" s="3">
        <v>4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1</v>
      </c>
      <c r="K4" s="3">
        <v>-4</v>
      </c>
      <c r="L4" s="3">
        <v>0</v>
      </c>
      <c r="M4" s="3">
        <v>4</v>
      </c>
      <c r="N4" s="3">
        <v>2</v>
      </c>
      <c r="O4" s="3">
        <v>8</v>
      </c>
      <c r="P4" s="3">
        <v>0</v>
      </c>
      <c r="Q4" s="3">
        <v>0</v>
      </c>
      <c r="R4" s="3">
        <v>0</v>
      </c>
      <c r="S4" s="3">
        <v>2.4</v>
      </c>
      <c r="T4" s="3">
        <v>6.5573770491803296E-3</v>
      </c>
      <c r="U4" s="3">
        <v>-4</v>
      </c>
      <c r="V4" s="3">
        <v>4</v>
      </c>
      <c r="W4" s="3"/>
      <c r="X4" s="3"/>
    </row>
    <row r="5" spans="1:24" x14ac:dyDescent="0.25">
      <c r="A5" s="4" t="s">
        <v>253</v>
      </c>
      <c r="B5" s="4" t="s">
        <v>479</v>
      </c>
      <c r="C5" s="4" t="s">
        <v>31</v>
      </c>
      <c r="D5" s="4">
        <v>3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4</v>
      </c>
      <c r="K5" s="4">
        <v>17</v>
      </c>
      <c r="L5" s="4">
        <v>0</v>
      </c>
      <c r="M5" s="4">
        <v>3</v>
      </c>
      <c r="N5" s="4">
        <v>3</v>
      </c>
      <c r="O5" s="4">
        <v>7</v>
      </c>
      <c r="P5" s="4">
        <v>0</v>
      </c>
      <c r="Q5" s="4">
        <v>0</v>
      </c>
      <c r="R5" s="4">
        <v>0</v>
      </c>
      <c r="S5" s="4">
        <v>5.4</v>
      </c>
      <c r="T5" s="4">
        <v>4.9180327868852498E-3</v>
      </c>
      <c r="U5" s="4">
        <v>4.25</v>
      </c>
      <c r="V5" s="4">
        <v>2.3333333333333299</v>
      </c>
      <c r="W5" s="4"/>
      <c r="X5" s="4"/>
    </row>
    <row r="6" spans="1:24" x14ac:dyDescent="0.25">
      <c r="A6" s="3" t="s">
        <v>482</v>
      </c>
      <c r="B6" s="3" t="s">
        <v>479</v>
      </c>
      <c r="C6" s="3" t="s">
        <v>31</v>
      </c>
      <c r="D6" s="3">
        <v>2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8</v>
      </c>
      <c r="K6" s="3">
        <v>12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1.2</v>
      </c>
      <c r="T6" s="3">
        <v>0</v>
      </c>
      <c r="U6" s="3">
        <v>1.5</v>
      </c>
      <c r="V6" s="3"/>
      <c r="W6" s="3"/>
      <c r="X6" s="3"/>
    </row>
    <row r="7" spans="1:24" x14ac:dyDescent="0.25">
      <c r="A7" s="4" t="s">
        <v>483</v>
      </c>
      <c r="B7" s="4" t="s">
        <v>479</v>
      </c>
      <c r="C7" s="4" t="s">
        <v>31</v>
      </c>
      <c r="D7" s="4">
        <v>17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123</v>
      </c>
      <c r="K7" s="4">
        <v>468</v>
      </c>
      <c r="L7" s="4">
        <v>3</v>
      </c>
      <c r="M7" s="4">
        <v>44</v>
      </c>
      <c r="N7" s="4">
        <v>35</v>
      </c>
      <c r="O7" s="4">
        <v>210</v>
      </c>
      <c r="P7" s="4">
        <v>1</v>
      </c>
      <c r="Q7" s="4">
        <v>0</v>
      </c>
      <c r="R7" s="4">
        <v>0</v>
      </c>
      <c r="S7" s="4">
        <v>126.8</v>
      </c>
      <c r="T7" s="4">
        <v>7.2131147540983598E-2</v>
      </c>
      <c r="U7" s="4">
        <v>3.8048780487804899</v>
      </c>
      <c r="V7" s="4">
        <v>6</v>
      </c>
      <c r="W7" s="4"/>
      <c r="X7" s="4"/>
    </row>
    <row r="8" spans="1:24" x14ac:dyDescent="0.25">
      <c r="A8" s="3" t="s">
        <v>484</v>
      </c>
      <c r="B8" s="3" t="s">
        <v>479</v>
      </c>
      <c r="C8" s="3" t="s">
        <v>31</v>
      </c>
      <c r="D8" s="3">
        <v>17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302</v>
      </c>
      <c r="K8" s="3">
        <v>1525</v>
      </c>
      <c r="L8" s="3">
        <v>12</v>
      </c>
      <c r="M8" s="3">
        <v>37</v>
      </c>
      <c r="N8" s="3">
        <v>27</v>
      </c>
      <c r="O8" s="3">
        <v>239</v>
      </c>
      <c r="P8" s="3">
        <v>1</v>
      </c>
      <c r="Q8" s="3">
        <v>1</v>
      </c>
      <c r="R8" s="3">
        <v>1</v>
      </c>
      <c r="S8" s="3">
        <v>281.39999999999998</v>
      </c>
      <c r="T8" s="3">
        <v>6.0655737704918E-2</v>
      </c>
      <c r="U8" s="3">
        <v>5.0496688741721902</v>
      </c>
      <c r="V8" s="3">
        <v>8.8518518518518494</v>
      </c>
      <c r="W8" s="3"/>
      <c r="X8" s="3"/>
    </row>
    <row r="9" spans="1:24" x14ac:dyDescent="0.25">
      <c r="A9" s="4" t="s">
        <v>485</v>
      </c>
      <c r="B9" s="4" t="s">
        <v>479</v>
      </c>
      <c r="C9" s="4" t="s">
        <v>38</v>
      </c>
      <c r="D9" s="4">
        <v>14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2</v>
      </c>
      <c r="K9" s="4">
        <v>-8</v>
      </c>
      <c r="L9" s="4">
        <v>0</v>
      </c>
      <c r="M9" s="4">
        <v>80</v>
      </c>
      <c r="N9" s="4">
        <v>58</v>
      </c>
      <c r="O9" s="4">
        <v>628</v>
      </c>
      <c r="P9" s="4">
        <v>4</v>
      </c>
      <c r="Q9" s="4">
        <v>0</v>
      </c>
      <c r="R9" s="4">
        <v>0</v>
      </c>
      <c r="S9" s="4">
        <v>142</v>
      </c>
      <c r="T9" s="4">
        <v>0.13114754098360701</v>
      </c>
      <c r="U9" s="4">
        <v>-4</v>
      </c>
      <c r="V9" s="4">
        <v>10.8275862068966</v>
      </c>
      <c r="W9" s="4"/>
      <c r="X9" s="4"/>
    </row>
    <row r="10" spans="1:24" x14ac:dyDescent="0.25">
      <c r="A10" s="3" t="s">
        <v>486</v>
      </c>
      <c r="B10" s="3" t="s">
        <v>479</v>
      </c>
      <c r="C10" s="3" t="s">
        <v>38</v>
      </c>
      <c r="D10" s="3">
        <v>14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1</v>
      </c>
      <c r="K10" s="3">
        <v>8</v>
      </c>
      <c r="L10" s="3">
        <v>0</v>
      </c>
      <c r="M10" s="3">
        <v>42</v>
      </c>
      <c r="N10" s="3">
        <v>31</v>
      </c>
      <c r="O10" s="3">
        <v>239</v>
      </c>
      <c r="P10" s="3">
        <v>1</v>
      </c>
      <c r="Q10" s="3">
        <v>0</v>
      </c>
      <c r="R10" s="3">
        <v>0</v>
      </c>
      <c r="S10" s="3">
        <v>61.7</v>
      </c>
      <c r="T10" s="3">
        <v>6.8852459016393405E-2</v>
      </c>
      <c r="U10" s="3">
        <v>8</v>
      </c>
      <c r="V10" s="3">
        <v>7.7096774193548399</v>
      </c>
      <c r="W10" s="3"/>
      <c r="X10" s="3"/>
    </row>
    <row r="11" spans="1:24" x14ac:dyDescent="0.25">
      <c r="A11" s="4" t="s">
        <v>487</v>
      </c>
      <c r="B11" s="4" t="s">
        <v>479</v>
      </c>
      <c r="C11" s="4" t="s">
        <v>38</v>
      </c>
      <c r="D11" s="4">
        <v>1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1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1.63934426229508E-3</v>
      </c>
      <c r="U11" s="4"/>
      <c r="V11" s="4"/>
      <c r="W11" s="4"/>
      <c r="X11" s="4"/>
    </row>
    <row r="12" spans="1:24" x14ac:dyDescent="0.25">
      <c r="A12" s="3" t="s">
        <v>488</v>
      </c>
      <c r="B12" s="3" t="s">
        <v>479</v>
      </c>
      <c r="C12" s="3" t="s">
        <v>38</v>
      </c>
      <c r="D12" s="3">
        <v>4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10</v>
      </c>
      <c r="N12" s="3">
        <v>5</v>
      </c>
      <c r="O12" s="3">
        <v>45</v>
      </c>
      <c r="P12" s="3">
        <v>0</v>
      </c>
      <c r="Q12" s="3">
        <v>0</v>
      </c>
      <c r="R12" s="3">
        <v>0</v>
      </c>
      <c r="S12" s="3">
        <v>9.5</v>
      </c>
      <c r="T12" s="3">
        <v>1.63934426229508E-2</v>
      </c>
      <c r="U12" s="3"/>
      <c r="V12" s="3">
        <v>9</v>
      </c>
      <c r="W12" s="3"/>
      <c r="X12" s="3"/>
    </row>
    <row r="13" spans="1:24" x14ac:dyDescent="0.25">
      <c r="A13" s="4" t="s">
        <v>489</v>
      </c>
      <c r="B13" s="4" t="s">
        <v>479</v>
      </c>
      <c r="C13" s="4" t="s">
        <v>43</v>
      </c>
      <c r="D13" s="4">
        <v>17</v>
      </c>
      <c r="E13" s="4">
        <v>1</v>
      </c>
      <c r="F13" s="4">
        <v>0</v>
      </c>
      <c r="G13" s="4">
        <v>0</v>
      </c>
      <c r="H13" s="4">
        <v>0</v>
      </c>
      <c r="I13" s="4">
        <v>1</v>
      </c>
      <c r="J13" s="4">
        <v>0</v>
      </c>
      <c r="K13" s="4">
        <v>0</v>
      </c>
      <c r="L13" s="4">
        <v>0</v>
      </c>
      <c r="M13" s="4">
        <v>132</v>
      </c>
      <c r="N13" s="4">
        <v>78</v>
      </c>
      <c r="O13" s="4">
        <v>1160</v>
      </c>
      <c r="P13" s="4">
        <v>9</v>
      </c>
      <c r="Q13" s="4">
        <v>0</v>
      </c>
      <c r="R13" s="4">
        <v>0</v>
      </c>
      <c r="S13" s="4">
        <v>246</v>
      </c>
      <c r="T13" s="4">
        <v>0.21639344262295099</v>
      </c>
      <c r="U13" s="4"/>
      <c r="V13" s="4">
        <v>14.871794871794901</v>
      </c>
      <c r="W13" s="4">
        <v>0</v>
      </c>
      <c r="X13" s="4">
        <v>0</v>
      </c>
    </row>
    <row r="14" spans="1:24" x14ac:dyDescent="0.25">
      <c r="A14" s="3" t="s">
        <v>490</v>
      </c>
      <c r="B14" s="3" t="s">
        <v>479</v>
      </c>
      <c r="C14" s="3" t="s">
        <v>43</v>
      </c>
      <c r="D14" s="3">
        <v>6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4</v>
      </c>
      <c r="K14" s="3">
        <v>57</v>
      </c>
      <c r="L14" s="3">
        <v>1</v>
      </c>
      <c r="M14" s="3">
        <v>10</v>
      </c>
      <c r="N14" s="3">
        <v>4</v>
      </c>
      <c r="O14" s="3">
        <v>51</v>
      </c>
      <c r="P14" s="3">
        <v>0</v>
      </c>
      <c r="Q14" s="3">
        <v>0</v>
      </c>
      <c r="R14" s="3">
        <v>0</v>
      </c>
      <c r="S14" s="3">
        <v>18.8</v>
      </c>
      <c r="T14" s="3">
        <v>1.63934426229508E-2</v>
      </c>
      <c r="U14" s="3">
        <v>14.25</v>
      </c>
      <c r="V14" s="3">
        <v>12.75</v>
      </c>
      <c r="W14" s="3"/>
      <c r="X14" s="3"/>
    </row>
    <row r="15" spans="1:24" x14ac:dyDescent="0.25">
      <c r="A15" s="4" t="s">
        <v>491</v>
      </c>
      <c r="B15" s="4" t="s">
        <v>479</v>
      </c>
      <c r="C15" s="4" t="s">
        <v>43</v>
      </c>
      <c r="D15" s="4">
        <v>1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2</v>
      </c>
      <c r="N15" s="4">
        <v>2</v>
      </c>
      <c r="O15" s="4">
        <v>25</v>
      </c>
      <c r="P15" s="4">
        <v>0</v>
      </c>
      <c r="Q15" s="4">
        <v>0</v>
      </c>
      <c r="R15" s="4">
        <v>0</v>
      </c>
      <c r="S15" s="4">
        <v>4.5</v>
      </c>
      <c r="T15" s="4">
        <v>3.27868852459016E-3</v>
      </c>
      <c r="U15" s="4"/>
      <c r="V15" s="4">
        <v>12.5</v>
      </c>
      <c r="W15" s="4"/>
      <c r="X15" s="4"/>
    </row>
    <row r="16" spans="1:24" x14ac:dyDescent="0.25">
      <c r="A16" s="3" t="s">
        <v>492</v>
      </c>
      <c r="B16" s="3" t="s">
        <v>479</v>
      </c>
      <c r="C16" s="3" t="s">
        <v>43</v>
      </c>
      <c r="D16" s="3">
        <v>14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35</v>
      </c>
      <c r="N16" s="3">
        <v>24</v>
      </c>
      <c r="O16" s="3">
        <v>214</v>
      </c>
      <c r="P16" s="3">
        <v>0</v>
      </c>
      <c r="Q16" s="3">
        <v>0</v>
      </c>
      <c r="R16" s="3">
        <v>0</v>
      </c>
      <c r="S16" s="3">
        <v>45.4</v>
      </c>
      <c r="T16" s="3">
        <v>5.7377049180327898E-2</v>
      </c>
      <c r="U16" s="3"/>
      <c r="V16" s="3">
        <v>8.9166666666666696</v>
      </c>
      <c r="W16" s="3"/>
      <c r="X16" s="3"/>
    </row>
    <row r="17" spans="1:24" x14ac:dyDescent="0.25">
      <c r="A17" s="4" t="s">
        <v>493</v>
      </c>
      <c r="B17" s="4" t="s">
        <v>479</v>
      </c>
      <c r="C17" s="4" t="s">
        <v>43</v>
      </c>
      <c r="D17" s="4">
        <v>17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1</v>
      </c>
      <c r="K17" s="4">
        <v>2</v>
      </c>
      <c r="L17" s="4">
        <v>0</v>
      </c>
      <c r="M17" s="4">
        <v>96</v>
      </c>
      <c r="N17" s="4">
        <v>61</v>
      </c>
      <c r="O17" s="4">
        <v>839</v>
      </c>
      <c r="P17" s="4">
        <v>3</v>
      </c>
      <c r="Q17" s="4">
        <v>0</v>
      </c>
      <c r="R17" s="4">
        <v>0</v>
      </c>
      <c r="S17" s="4">
        <v>167.1</v>
      </c>
      <c r="T17" s="4">
        <v>0.15737704918032799</v>
      </c>
      <c r="U17" s="4">
        <v>2</v>
      </c>
      <c r="V17" s="4">
        <v>13.7540983606557</v>
      </c>
      <c r="W17" s="4"/>
      <c r="X17" s="4"/>
    </row>
    <row r="18" spans="1:24" x14ac:dyDescent="0.25">
      <c r="A18" s="3" t="s">
        <v>494</v>
      </c>
      <c r="B18" s="3" t="s">
        <v>479</v>
      </c>
      <c r="C18" s="3" t="s">
        <v>43</v>
      </c>
      <c r="D18" s="3">
        <v>6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1</v>
      </c>
      <c r="K18" s="3">
        <v>-5</v>
      </c>
      <c r="L18" s="3">
        <v>0</v>
      </c>
      <c r="M18" s="3">
        <v>10</v>
      </c>
      <c r="N18" s="3">
        <v>5</v>
      </c>
      <c r="O18" s="3">
        <v>45</v>
      </c>
      <c r="P18" s="3">
        <v>0</v>
      </c>
      <c r="Q18" s="3">
        <v>0</v>
      </c>
      <c r="R18" s="3">
        <v>0</v>
      </c>
      <c r="S18" s="3">
        <v>9</v>
      </c>
      <c r="T18" s="3">
        <v>1.63934426229508E-2</v>
      </c>
      <c r="U18" s="3">
        <v>-5</v>
      </c>
      <c r="V18" s="3">
        <v>9</v>
      </c>
      <c r="W18" s="3"/>
      <c r="X18" s="3"/>
    </row>
    <row r="30" spans="1:24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</row>
    <row r="31" spans="1:24" x14ac:dyDescent="0.25">
      <c r="A31" s="3" t="s">
        <v>479</v>
      </c>
      <c r="B31" s="3">
        <v>6200</v>
      </c>
      <c r="C31" s="3">
        <v>3710</v>
      </c>
      <c r="D31" s="3">
        <v>532</v>
      </c>
      <c r="E31" s="3">
        <v>2490</v>
      </c>
      <c r="F31" s="3">
        <v>19</v>
      </c>
      <c r="G31" s="3">
        <v>1375.4</v>
      </c>
      <c r="H31" s="3">
        <v>540</v>
      </c>
      <c r="I31" s="3">
        <v>0.62037037037037002</v>
      </c>
      <c r="J31" s="3">
        <v>19</v>
      </c>
      <c r="K31" s="3">
        <v>12</v>
      </c>
      <c r="L31" s="3">
        <v>5</v>
      </c>
    </row>
    <row r="32" spans="1:24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</row>
    <row r="33" spans="1:28" x14ac:dyDescent="0.25">
      <c r="A33" s="3" t="str">
        <f>A31</f>
        <v>CLE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495</v>
      </c>
      <c r="B36" s="3" t="s">
        <v>26</v>
      </c>
      <c r="C36" s="3">
        <v>28</v>
      </c>
      <c r="D36" s="3">
        <v>7</v>
      </c>
      <c r="E36" s="3" t="s">
        <v>143</v>
      </c>
      <c r="F36" s="3" t="s">
        <v>479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">
        <v>0</v>
      </c>
      <c r="X36" s="3">
        <v>0</v>
      </c>
      <c r="Y36" s="3">
        <v>0</v>
      </c>
      <c r="Z36" s="3">
        <v>0</v>
      </c>
      <c r="AA36" s="3">
        <v>0</v>
      </c>
      <c r="AB36" s="3">
        <v>0</v>
      </c>
    </row>
    <row r="37" spans="1:28" x14ac:dyDescent="0.25">
      <c r="A37" s="4" t="s">
        <v>496</v>
      </c>
      <c r="B37" s="4" t="s">
        <v>26</v>
      </c>
      <c r="C37" s="4">
        <v>24</v>
      </c>
      <c r="D37" s="4">
        <v>3</v>
      </c>
      <c r="E37" s="4" t="s">
        <v>307</v>
      </c>
      <c r="F37" s="4" t="s">
        <v>479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</row>
    <row r="38" spans="1:28" x14ac:dyDescent="0.25">
      <c r="A38" s="3" t="s">
        <v>497</v>
      </c>
      <c r="B38" s="3" t="s">
        <v>26</v>
      </c>
      <c r="C38" s="3">
        <v>23</v>
      </c>
      <c r="D38" s="3">
        <v>0</v>
      </c>
      <c r="E38" s="3" t="s">
        <v>418</v>
      </c>
      <c r="F38" s="3" t="s">
        <v>479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v>0</v>
      </c>
      <c r="W38" s="3">
        <v>0</v>
      </c>
      <c r="X38" s="3">
        <v>0</v>
      </c>
      <c r="Y38" s="3">
        <v>0</v>
      </c>
      <c r="Z38" s="3">
        <v>0</v>
      </c>
      <c r="AA38" s="3">
        <v>0</v>
      </c>
      <c r="AB38" s="3">
        <v>0</v>
      </c>
    </row>
    <row r="39" spans="1:28" x14ac:dyDescent="0.25">
      <c r="A39" s="4" t="s">
        <v>498</v>
      </c>
      <c r="B39" s="4" t="s">
        <v>26</v>
      </c>
      <c r="C39" s="4">
        <v>27</v>
      </c>
      <c r="D39" s="4">
        <v>7</v>
      </c>
      <c r="E39" s="4" t="s">
        <v>458</v>
      </c>
      <c r="F39" s="4" t="s">
        <v>479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  <c r="AB39" s="4"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499</v>
      </c>
      <c r="B46" s="3" t="s">
        <v>31</v>
      </c>
      <c r="C46" s="3">
        <v>27</v>
      </c>
      <c r="D46" s="3">
        <v>6</v>
      </c>
      <c r="E46" s="3" t="s">
        <v>173</v>
      </c>
      <c r="F46" s="3" t="s">
        <v>479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v>0</v>
      </c>
      <c r="W46" s="3">
        <v>0</v>
      </c>
      <c r="X46" s="3">
        <v>0</v>
      </c>
      <c r="Y46" s="3">
        <v>0</v>
      </c>
      <c r="Z46" s="3">
        <v>0</v>
      </c>
      <c r="AA46" s="3">
        <v>0</v>
      </c>
      <c r="AB46" s="3">
        <f t="shared" ref="AB46:AB51" si="0">($J46*Cp_yd)+($K46*Cp_td)+($L46*Cint)+($M46*Ccar)+($N46*Cr_td)+($O46*Cr_yd)+(Q46*Crec)+($R46*Crec_yd)+($S46*Crec_td)+($T46*Cfmb)+($U46*Ctp_c)</f>
        <v>0</v>
      </c>
    </row>
    <row r="47" spans="1:28" x14ac:dyDescent="0.25">
      <c r="A47" s="4" t="s">
        <v>500</v>
      </c>
      <c r="B47" s="4" t="s">
        <v>31</v>
      </c>
      <c r="C47" s="4">
        <v>25</v>
      </c>
      <c r="D47" s="4">
        <v>3</v>
      </c>
      <c r="E47" s="4" t="s">
        <v>418</v>
      </c>
      <c r="F47" s="4" t="s">
        <v>479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f t="shared" si="0"/>
        <v>0</v>
      </c>
    </row>
    <row r="48" spans="1:28" x14ac:dyDescent="0.25">
      <c r="A48" s="3" t="s">
        <v>501</v>
      </c>
      <c r="B48" s="3" t="s">
        <v>31</v>
      </c>
      <c r="C48" s="3">
        <v>23</v>
      </c>
      <c r="D48" s="3">
        <v>2</v>
      </c>
      <c r="E48" s="3" t="s">
        <v>136</v>
      </c>
      <c r="F48" s="3" t="s">
        <v>479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v>0</v>
      </c>
      <c r="W48" s="3">
        <v>0</v>
      </c>
      <c r="X48" s="3">
        <v>0</v>
      </c>
      <c r="Y48" s="3">
        <v>0</v>
      </c>
      <c r="Z48" s="3">
        <v>0</v>
      </c>
      <c r="AA48" s="3">
        <v>0</v>
      </c>
      <c r="AB48" s="3">
        <f t="shared" si="0"/>
        <v>0</v>
      </c>
    </row>
    <row r="49" spans="1:28" x14ac:dyDescent="0.25">
      <c r="A49" s="4" t="s">
        <v>502</v>
      </c>
      <c r="B49" s="4" t="s">
        <v>31</v>
      </c>
      <c r="C49" s="4">
        <v>22</v>
      </c>
      <c r="D49" s="4">
        <v>0</v>
      </c>
      <c r="E49" s="4" t="s">
        <v>455</v>
      </c>
      <c r="F49" s="4" t="s">
        <v>479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B49" s="4">
        <f t="shared" si="0"/>
        <v>0</v>
      </c>
    </row>
    <row r="50" spans="1:28" x14ac:dyDescent="0.25">
      <c r="A50" s="3" t="s">
        <v>503</v>
      </c>
      <c r="B50" s="3" t="s">
        <v>31</v>
      </c>
      <c r="C50" s="3">
        <v>26</v>
      </c>
      <c r="D50" s="3">
        <v>2</v>
      </c>
      <c r="E50" s="3" t="s">
        <v>143</v>
      </c>
      <c r="F50" s="3" t="s">
        <v>479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v>0</v>
      </c>
      <c r="W50" s="3">
        <v>0</v>
      </c>
      <c r="X50" s="3">
        <v>0</v>
      </c>
      <c r="Y50" s="3">
        <v>0</v>
      </c>
      <c r="Z50" s="3">
        <v>0</v>
      </c>
      <c r="AA50" s="3">
        <v>0</v>
      </c>
      <c r="AB50" s="3">
        <f t="shared" si="0"/>
        <v>0</v>
      </c>
    </row>
    <row r="51" spans="1:28" x14ac:dyDescent="0.25">
      <c r="A51" s="4" t="s">
        <v>504</v>
      </c>
      <c r="B51" s="4" t="s">
        <v>31</v>
      </c>
      <c r="C51" s="4">
        <v>29</v>
      </c>
      <c r="D51" s="4">
        <v>5</v>
      </c>
      <c r="E51" s="4" t="s">
        <v>240</v>
      </c>
      <c r="F51" s="4" t="s">
        <v>479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v>0</v>
      </c>
      <c r="W51" s="4">
        <v>0</v>
      </c>
      <c r="X51" s="4">
        <v>0</v>
      </c>
      <c r="Y51" s="4">
        <v>0</v>
      </c>
      <c r="Z51" s="4">
        <v>0</v>
      </c>
      <c r="AA51" s="4">
        <v>0</v>
      </c>
      <c r="AB51" s="4">
        <f t="shared" si="0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505</v>
      </c>
      <c r="B61" s="3" t="s">
        <v>43</v>
      </c>
      <c r="C61" s="3">
        <v>22</v>
      </c>
      <c r="D61" s="3">
        <v>2</v>
      </c>
      <c r="E61" s="3" t="s">
        <v>62</v>
      </c>
      <c r="F61" s="3" t="s">
        <v>479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v>0</v>
      </c>
      <c r="W61" s="3">
        <v>0</v>
      </c>
      <c r="X61" s="3">
        <v>0</v>
      </c>
      <c r="Y61" s="3">
        <v>0</v>
      </c>
      <c r="Z61" s="3">
        <v>0</v>
      </c>
      <c r="AA61" s="3">
        <v>0</v>
      </c>
      <c r="AB61" s="3">
        <v>0</v>
      </c>
    </row>
    <row r="62" spans="1:28" x14ac:dyDescent="0.25">
      <c r="A62" s="4" t="s">
        <v>506</v>
      </c>
      <c r="B62" s="4" t="s">
        <v>43</v>
      </c>
      <c r="C62" s="4">
        <v>29</v>
      </c>
      <c r="D62" s="4">
        <v>9</v>
      </c>
      <c r="E62" s="4" t="s">
        <v>153</v>
      </c>
      <c r="F62" s="4" t="s">
        <v>479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0</v>
      </c>
      <c r="X62" s="4">
        <v>0</v>
      </c>
      <c r="Y62" s="4">
        <v>0</v>
      </c>
      <c r="Z62" s="4">
        <v>0</v>
      </c>
      <c r="AA62" s="4">
        <v>0</v>
      </c>
      <c r="AB62" s="4">
        <v>0</v>
      </c>
    </row>
    <row r="63" spans="1:28" x14ac:dyDescent="0.25">
      <c r="A63" s="3" t="s">
        <v>507</v>
      </c>
      <c r="B63" s="3" t="s">
        <v>43</v>
      </c>
      <c r="C63" s="3">
        <v>24</v>
      </c>
      <c r="D63" s="3">
        <v>3</v>
      </c>
      <c r="E63" s="3" t="s">
        <v>508</v>
      </c>
      <c r="F63" s="3" t="s">
        <v>479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v>0</v>
      </c>
      <c r="W63" s="3">
        <v>0</v>
      </c>
      <c r="X63" s="3">
        <v>0</v>
      </c>
      <c r="Y63" s="3">
        <v>0</v>
      </c>
      <c r="Z63" s="3">
        <v>0</v>
      </c>
      <c r="AA63" s="3">
        <v>0</v>
      </c>
      <c r="AB63" s="3">
        <v>0</v>
      </c>
    </row>
    <row r="64" spans="1:28" x14ac:dyDescent="0.25">
      <c r="A64" s="4" t="s">
        <v>509</v>
      </c>
      <c r="B64" s="4" t="s">
        <v>43</v>
      </c>
      <c r="C64" s="4">
        <v>32</v>
      </c>
      <c r="D64" s="4">
        <v>10</v>
      </c>
      <c r="E64" s="4" t="s">
        <v>66</v>
      </c>
      <c r="F64" s="4" t="s">
        <v>479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</row>
    <row r="65" spans="1:28" x14ac:dyDescent="0.25">
      <c r="A65" s="3" t="s">
        <v>510</v>
      </c>
      <c r="B65" s="3" t="s">
        <v>43</v>
      </c>
      <c r="C65" s="3">
        <v>30</v>
      </c>
      <c r="D65" s="3">
        <v>8</v>
      </c>
      <c r="E65" s="3" t="s">
        <v>511</v>
      </c>
      <c r="F65" s="3" t="s">
        <v>479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v>0</v>
      </c>
      <c r="W65" s="3">
        <v>0</v>
      </c>
      <c r="X65" s="3">
        <v>0</v>
      </c>
      <c r="Y65" s="3">
        <v>0</v>
      </c>
      <c r="Z65" s="3">
        <v>0</v>
      </c>
      <c r="AA65" s="3">
        <v>0</v>
      </c>
      <c r="AB65" s="3">
        <v>0</v>
      </c>
    </row>
    <row r="66" spans="1:28" x14ac:dyDescent="0.25">
      <c r="A66" s="4" t="s">
        <v>512</v>
      </c>
      <c r="B66" s="4" t="s">
        <v>43</v>
      </c>
      <c r="C66" s="4">
        <v>25</v>
      </c>
      <c r="D66" s="4">
        <v>1</v>
      </c>
      <c r="E66" s="4" t="s">
        <v>397</v>
      </c>
      <c r="F66" s="4" t="s">
        <v>479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</row>
    <row r="67" spans="1:28" x14ac:dyDescent="0.25">
      <c r="A67" s="3" t="s">
        <v>513</v>
      </c>
      <c r="B67" s="3" t="s">
        <v>43</v>
      </c>
      <c r="C67" s="3">
        <v>23</v>
      </c>
      <c r="D67" s="3">
        <v>3</v>
      </c>
      <c r="E67" s="3" t="s">
        <v>240</v>
      </c>
      <c r="F67" s="3" t="s">
        <v>479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v>0</v>
      </c>
      <c r="W67" s="3">
        <v>0</v>
      </c>
      <c r="X67" s="3">
        <v>0</v>
      </c>
      <c r="Y67" s="3">
        <v>0</v>
      </c>
      <c r="Z67" s="3">
        <v>0</v>
      </c>
      <c r="AA67" s="3">
        <v>0</v>
      </c>
      <c r="AB67" s="3">
        <v>0</v>
      </c>
    </row>
    <row r="68" spans="1:28" x14ac:dyDescent="0.25">
      <c r="A68" s="4" t="s">
        <v>514</v>
      </c>
      <c r="B68" s="4" t="s">
        <v>43</v>
      </c>
      <c r="C68" s="4">
        <v>24</v>
      </c>
      <c r="D68" s="4">
        <v>4</v>
      </c>
      <c r="E68" s="4" t="s">
        <v>105</v>
      </c>
      <c r="F68" s="4" t="s">
        <v>479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0</v>
      </c>
      <c r="X68" s="4">
        <v>0</v>
      </c>
      <c r="Y68" s="4">
        <v>0</v>
      </c>
      <c r="Z68" s="4">
        <v>0</v>
      </c>
      <c r="AA68" s="4">
        <v>0</v>
      </c>
      <c r="AB68" s="4">
        <v>0</v>
      </c>
    </row>
    <row r="69" spans="1:28" x14ac:dyDescent="0.25">
      <c r="A69" s="3" t="s">
        <v>515</v>
      </c>
      <c r="B69" s="3" t="s">
        <v>43</v>
      </c>
      <c r="C69" s="3">
        <v>22</v>
      </c>
      <c r="D69" s="3">
        <v>3</v>
      </c>
      <c r="E69" s="3" t="s">
        <v>464</v>
      </c>
      <c r="F69" s="3" t="s">
        <v>479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v>0</v>
      </c>
      <c r="W69" s="3">
        <v>0</v>
      </c>
      <c r="X69" s="3">
        <v>0</v>
      </c>
      <c r="Y69" s="3">
        <v>0</v>
      </c>
      <c r="Z69" s="3">
        <v>0</v>
      </c>
      <c r="AA69" s="3">
        <v>0</v>
      </c>
      <c r="AB69" s="3">
        <v>0</v>
      </c>
    </row>
    <row r="70" spans="1:28" x14ac:dyDescent="0.25">
      <c r="A70" s="4" t="s">
        <v>516</v>
      </c>
      <c r="B70" s="4" t="s">
        <v>43</v>
      </c>
      <c r="C70" s="4">
        <v>23</v>
      </c>
      <c r="D70" s="4">
        <v>0</v>
      </c>
      <c r="E70" s="4" t="s">
        <v>143</v>
      </c>
      <c r="F70" s="4" t="s">
        <v>479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0</v>
      </c>
      <c r="X70" s="4">
        <v>0</v>
      </c>
      <c r="Y70" s="4">
        <v>0</v>
      </c>
      <c r="Z70" s="4">
        <v>0</v>
      </c>
      <c r="AA70" s="4">
        <v>0</v>
      </c>
      <c r="AB70" s="4">
        <v>0</v>
      </c>
    </row>
    <row r="71" spans="1:28" x14ac:dyDescent="0.25">
      <c r="A71" s="3" t="s">
        <v>517</v>
      </c>
      <c r="B71" s="3" t="s">
        <v>43</v>
      </c>
      <c r="C71" s="3">
        <v>25</v>
      </c>
      <c r="D71" s="3">
        <v>1</v>
      </c>
      <c r="E71" s="3" t="s">
        <v>335</v>
      </c>
      <c r="F71" s="3" t="s">
        <v>479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v>0</v>
      </c>
      <c r="W71" s="3">
        <v>0</v>
      </c>
      <c r="X71" s="3">
        <v>0</v>
      </c>
      <c r="Y71" s="3">
        <v>0</v>
      </c>
      <c r="Z71" s="3">
        <v>0</v>
      </c>
      <c r="AA71" s="3">
        <v>0</v>
      </c>
      <c r="AB71" s="3">
        <v>0</v>
      </c>
    </row>
    <row r="72" spans="1:28" x14ac:dyDescent="0.25">
      <c r="A72" s="4" t="s">
        <v>518</v>
      </c>
      <c r="B72" s="4" t="s">
        <v>43</v>
      </c>
      <c r="C72" s="4">
        <v>24</v>
      </c>
      <c r="D72" s="4">
        <v>1</v>
      </c>
      <c r="E72" s="4" t="s">
        <v>519</v>
      </c>
      <c r="F72" s="4" t="s">
        <v>479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v>0</v>
      </c>
      <c r="W72" s="4">
        <v>0</v>
      </c>
      <c r="X72" s="4">
        <v>0</v>
      </c>
      <c r="Y72" s="4">
        <v>0</v>
      </c>
      <c r="Z72" s="4">
        <v>0</v>
      </c>
      <c r="AA72" s="4">
        <v>0</v>
      </c>
      <c r="AB72" s="4">
        <v>0</v>
      </c>
    </row>
    <row r="73" spans="1:28" x14ac:dyDescent="0.25">
      <c r="A73" s="3" t="s">
        <v>520</v>
      </c>
      <c r="B73" s="3" t="s">
        <v>43</v>
      </c>
      <c r="C73" s="3">
        <v>23</v>
      </c>
      <c r="D73" s="3">
        <v>2</v>
      </c>
      <c r="E73" s="3" t="s">
        <v>68</v>
      </c>
      <c r="F73" s="3" t="s">
        <v>479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v>0</v>
      </c>
      <c r="W73" s="3">
        <v>0</v>
      </c>
      <c r="X73" s="3">
        <v>0</v>
      </c>
      <c r="Y73" s="3">
        <v>0</v>
      </c>
      <c r="Z73" s="3">
        <v>0</v>
      </c>
      <c r="AA73" s="3">
        <v>0</v>
      </c>
      <c r="AB73" s="3"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521</v>
      </c>
      <c r="B76" s="3" t="s">
        <v>38</v>
      </c>
      <c r="C76" s="3">
        <v>31</v>
      </c>
      <c r="D76" s="3">
        <v>6</v>
      </c>
      <c r="E76" s="3" t="s">
        <v>282</v>
      </c>
      <c r="F76" s="3" t="s">
        <v>479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v>0</v>
      </c>
      <c r="W76" s="3">
        <v>0</v>
      </c>
      <c r="X76" s="3">
        <v>0</v>
      </c>
      <c r="Y76" s="3">
        <v>0</v>
      </c>
      <c r="Z76" s="3">
        <v>0</v>
      </c>
      <c r="AA76" s="3">
        <v>0</v>
      </c>
      <c r="AB76" s="3">
        <v>0</v>
      </c>
    </row>
    <row r="77" spans="1:28" x14ac:dyDescent="0.25">
      <c r="A77" s="4" t="s">
        <v>522</v>
      </c>
      <c r="B77" s="4" t="s">
        <v>38</v>
      </c>
      <c r="C77" s="4">
        <v>25</v>
      </c>
      <c r="D77" s="4">
        <v>4</v>
      </c>
      <c r="E77" s="4" t="s">
        <v>523</v>
      </c>
      <c r="F77" s="4" t="s">
        <v>479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v>0</v>
      </c>
      <c r="W77" s="4">
        <v>0</v>
      </c>
      <c r="X77" s="4">
        <v>0</v>
      </c>
      <c r="Y77" s="4">
        <v>0</v>
      </c>
      <c r="Z77" s="4">
        <v>0</v>
      </c>
      <c r="AA77" s="4">
        <v>0</v>
      </c>
      <c r="AB77" s="4">
        <v>0</v>
      </c>
    </row>
    <row r="78" spans="1:28" x14ac:dyDescent="0.25">
      <c r="A78" s="3" t="s">
        <v>524</v>
      </c>
      <c r="B78" s="3" t="s">
        <v>38</v>
      </c>
      <c r="C78" s="3">
        <v>25</v>
      </c>
      <c r="D78" s="3">
        <v>3</v>
      </c>
      <c r="E78" s="3" t="s">
        <v>153</v>
      </c>
      <c r="F78" s="3" t="s">
        <v>479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v>0</v>
      </c>
      <c r="W78" s="3">
        <v>0</v>
      </c>
      <c r="X78" s="3">
        <v>0</v>
      </c>
      <c r="Y78" s="3">
        <v>0</v>
      </c>
      <c r="Z78" s="3">
        <v>0</v>
      </c>
      <c r="AA78" s="3">
        <v>0</v>
      </c>
      <c r="AB78" s="3">
        <v>0</v>
      </c>
    </row>
    <row r="79" spans="1:28" x14ac:dyDescent="0.25">
      <c r="A79" s="4" t="s">
        <v>525</v>
      </c>
      <c r="B79" s="4" t="s">
        <v>38</v>
      </c>
      <c r="C79" s="4">
        <v>25</v>
      </c>
      <c r="D79" s="4">
        <v>0</v>
      </c>
      <c r="E79" s="4" t="s">
        <v>526</v>
      </c>
      <c r="F79" s="4" t="s">
        <v>479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v>0</v>
      </c>
      <c r="W79" s="4">
        <v>0</v>
      </c>
      <c r="X79" s="4">
        <v>0</v>
      </c>
      <c r="Y79" s="4">
        <v>0</v>
      </c>
      <c r="Z79" s="4">
        <v>0</v>
      </c>
      <c r="AA79" s="4">
        <v>0</v>
      </c>
      <c r="AB79" s="4">
        <v>0</v>
      </c>
    </row>
    <row r="80" spans="1:28" x14ac:dyDescent="0.25">
      <c r="A80" s="3" t="s">
        <v>527</v>
      </c>
      <c r="B80" s="3" t="s">
        <v>38</v>
      </c>
      <c r="C80" s="3">
        <v>23</v>
      </c>
      <c r="D80" s="3">
        <v>1</v>
      </c>
      <c r="E80" s="3" t="s">
        <v>523</v>
      </c>
      <c r="F80" s="3" t="s">
        <v>479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v>0</v>
      </c>
      <c r="W80" s="3">
        <v>0</v>
      </c>
      <c r="X80" s="3">
        <v>0</v>
      </c>
      <c r="Y80" s="3">
        <v>0</v>
      </c>
      <c r="Z80" s="3">
        <v>0</v>
      </c>
      <c r="AA80" s="3">
        <v>0</v>
      </c>
      <c r="AB80" s="3">
        <v>0</v>
      </c>
    </row>
    <row r="81" spans="1:28" x14ac:dyDescent="0.25">
      <c r="A81" s="4" t="s">
        <v>528</v>
      </c>
      <c r="B81" s="4" t="s">
        <v>38</v>
      </c>
      <c r="C81" s="4">
        <v>27</v>
      </c>
      <c r="D81" s="4">
        <v>7</v>
      </c>
      <c r="E81" s="4" t="s">
        <v>397</v>
      </c>
      <c r="F81" s="4" t="s">
        <v>479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v>0</v>
      </c>
      <c r="W81" s="4">
        <v>0</v>
      </c>
      <c r="X81" s="4">
        <v>0</v>
      </c>
      <c r="Y81" s="4">
        <v>0</v>
      </c>
      <c r="Z81" s="4">
        <v>0</v>
      </c>
      <c r="AA81" s="4">
        <v>0</v>
      </c>
      <c r="AB81" s="4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B81"/>
  <sheetViews>
    <sheetView topLeftCell="G16" workbookViewId="0">
      <selection activeCell="AB46" sqref="AB46:AB51"/>
    </sheetView>
  </sheetViews>
  <sheetFormatPr defaultColWidth="11.42578125" defaultRowHeight="15" x14ac:dyDescent="0.25"/>
  <sheetData>
    <row r="1" spans="1:24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</row>
    <row r="2" spans="1:24" x14ac:dyDescent="0.25">
      <c r="A2" s="3" t="s">
        <v>529</v>
      </c>
      <c r="B2" s="3" t="s">
        <v>530</v>
      </c>
      <c r="C2" s="3" t="s">
        <v>26</v>
      </c>
      <c r="D2" s="3">
        <v>8</v>
      </c>
      <c r="E2" s="3">
        <v>162</v>
      </c>
      <c r="F2" s="3">
        <v>94</v>
      </c>
      <c r="G2" s="3">
        <v>1051</v>
      </c>
      <c r="H2" s="3">
        <v>5</v>
      </c>
      <c r="I2" s="3">
        <v>3</v>
      </c>
      <c r="J2" s="3">
        <v>9</v>
      </c>
      <c r="K2" s="3">
        <v>6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56.64</v>
      </c>
      <c r="T2" s="3">
        <v>0</v>
      </c>
      <c r="U2" s="3">
        <v>0.66666666666666696</v>
      </c>
      <c r="V2" s="3"/>
      <c r="W2" s="3">
        <v>0.58024691358024705</v>
      </c>
      <c r="X2" s="3">
        <v>3.0864197530864199E-2</v>
      </c>
    </row>
    <row r="3" spans="1:24" x14ac:dyDescent="0.25">
      <c r="A3" s="4" t="s">
        <v>531</v>
      </c>
      <c r="B3" s="4" t="s">
        <v>530</v>
      </c>
      <c r="C3" s="4" t="s">
        <v>26</v>
      </c>
      <c r="D3" s="4">
        <v>12</v>
      </c>
      <c r="E3" s="4">
        <v>394</v>
      </c>
      <c r="F3" s="4">
        <v>261</v>
      </c>
      <c r="G3" s="4">
        <v>2860</v>
      </c>
      <c r="H3" s="4">
        <v>23</v>
      </c>
      <c r="I3" s="4">
        <v>15</v>
      </c>
      <c r="J3" s="4">
        <v>45</v>
      </c>
      <c r="K3" s="4">
        <v>182</v>
      </c>
      <c r="L3" s="4">
        <v>1</v>
      </c>
      <c r="M3" s="4">
        <v>0</v>
      </c>
      <c r="N3" s="4">
        <v>0</v>
      </c>
      <c r="O3" s="4">
        <v>0</v>
      </c>
      <c r="P3" s="4">
        <v>0</v>
      </c>
      <c r="Q3" s="4">
        <v>1</v>
      </c>
      <c r="R3" s="4">
        <v>0</v>
      </c>
      <c r="S3" s="4">
        <v>198.6</v>
      </c>
      <c r="T3" s="4">
        <v>0</v>
      </c>
      <c r="U3" s="4">
        <v>4.0444444444444398</v>
      </c>
      <c r="V3" s="4"/>
      <c r="W3" s="4">
        <v>0.66243654822334996</v>
      </c>
      <c r="X3" s="4">
        <v>5.8375634517766499E-2</v>
      </c>
    </row>
    <row r="4" spans="1:24" x14ac:dyDescent="0.25">
      <c r="A4" s="3" t="s">
        <v>532</v>
      </c>
      <c r="B4" s="3" t="s">
        <v>530</v>
      </c>
      <c r="C4" s="3" t="s">
        <v>31</v>
      </c>
      <c r="D4" s="3">
        <v>15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231</v>
      </c>
      <c r="K4" s="3">
        <v>876</v>
      </c>
      <c r="L4" s="3">
        <v>12</v>
      </c>
      <c r="M4" s="3">
        <v>23</v>
      </c>
      <c r="N4" s="3">
        <v>17</v>
      </c>
      <c r="O4" s="3">
        <v>92</v>
      </c>
      <c r="P4" s="3">
        <v>0</v>
      </c>
      <c r="Q4" s="3">
        <v>0</v>
      </c>
      <c r="R4" s="3">
        <v>0</v>
      </c>
      <c r="S4" s="3">
        <v>185.8</v>
      </c>
      <c r="T4" s="3">
        <v>4.2592592592592599E-2</v>
      </c>
      <c r="U4" s="3">
        <v>3.7922077922077899</v>
      </c>
      <c r="V4" s="3">
        <v>5.4117647058823497</v>
      </c>
      <c r="W4" s="3"/>
      <c r="X4" s="3"/>
    </row>
    <row r="5" spans="1:24" x14ac:dyDescent="0.25">
      <c r="A5" s="4" t="s">
        <v>192</v>
      </c>
      <c r="B5" s="4" t="s">
        <v>530</v>
      </c>
      <c r="C5" s="4" t="s">
        <v>31</v>
      </c>
      <c r="D5" s="4">
        <v>6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38</v>
      </c>
      <c r="K5" s="4">
        <v>161</v>
      </c>
      <c r="L5" s="4">
        <v>1</v>
      </c>
      <c r="M5" s="4">
        <v>7</v>
      </c>
      <c r="N5" s="4">
        <v>6</v>
      </c>
      <c r="O5" s="4">
        <v>63</v>
      </c>
      <c r="P5" s="4">
        <v>0</v>
      </c>
      <c r="Q5" s="4">
        <v>0</v>
      </c>
      <c r="R5" s="4">
        <v>0</v>
      </c>
      <c r="S5" s="4">
        <v>34.4</v>
      </c>
      <c r="T5" s="4">
        <v>1.2962962962963001E-2</v>
      </c>
      <c r="U5" s="4">
        <v>4.2368421052631602</v>
      </c>
      <c r="V5" s="4">
        <v>10.5</v>
      </c>
      <c r="W5" s="4"/>
      <c r="X5" s="4"/>
    </row>
    <row r="6" spans="1:24" x14ac:dyDescent="0.25">
      <c r="A6" s="3" t="s">
        <v>533</v>
      </c>
      <c r="B6" s="3" t="s">
        <v>530</v>
      </c>
      <c r="C6" s="3" t="s">
        <v>31</v>
      </c>
      <c r="D6" s="3">
        <v>16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193</v>
      </c>
      <c r="K6" s="3">
        <v>1007</v>
      </c>
      <c r="L6" s="3">
        <v>9</v>
      </c>
      <c r="M6" s="3">
        <v>55</v>
      </c>
      <c r="N6" s="3">
        <v>39</v>
      </c>
      <c r="O6" s="3">
        <v>371</v>
      </c>
      <c r="P6" s="3">
        <v>3</v>
      </c>
      <c r="Q6" s="3">
        <v>0</v>
      </c>
      <c r="R6" s="3">
        <v>0</v>
      </c>
      <c r="S6" s="3">
        <v>248.8</v>
      </c>
      <c r="T6" s="3">
        <v>0.101851851851852</v>
      </c>
      <c r="U6" s="3">
        <v>5.2176165803108798</v>
      </c>
      <c r="V6" s="3">
        <v>9.5128205128205092</v>
      </c>
      <c r="W6" s="3"/>
      <c r="X6" s="3"/>
    </row>
    <row r="7" spans="1:24" x14ac:dyDescent="0.25">
      <c r="A7" s="4" t="s">
        <v>534</v>
      </c>
      <c r="B7" s="4" t="s">
        <v>530</v>
      </c>
      <c r="C7" s="4" t="s">
        <v>38</v>
      </c>
      <c r="D7" s="4">
        <v>15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89</v>
      </c>
      <c r="N7" s="4">
        <v>57</v>
      </c>
      <c r="O7" s="4">
        <v>577</v>
      </c>
      <c r="P7" s="4">
        <v>5</v>
      </c>
      <c r="Q7" s="4">
        <v>0</v>
      </c>
      <c r="R7" s="4">
        <v>0</v>
      </c>
      <c r="S7" s="4">
        <v>142.69999999999999</v>
      </c>
      <c r="T7" s="4">
        <v>0.164814814814815</v>
      </c>
      <c r="U7" s="4"/>
      <c r="V7" s="4">
        <v>10.1228070175439</v>
      </c>
      <c r="W7" s="4"/>
      <c r="X7" s="4"/>
    </row>
    <row r="8" spans="1:24" x14ac:dyDescent="0.25">
      <c r="A8" s="3" t="s">
        <v>535</v>
      </c>
      <c r="B8" s="3" t="s">
        <v>530</v>
      </c>
      <c r="C8" s="3" t="s">
        <v>38</v>
      </c>
      <c r="D8" s="3">
        <v>11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22</v>
      </c>
      <c r="N8" s="3">
        <v>19</v>
      </c>
      <c r="O8" s="3">
        <v>174</v>
      </c>
      <c r="P8" s="3">
        <v>2</v>
      </c>
      <c r="Q8" s="3">
        <v>0</v>
      </c>
      <c r="R8" s="3">
        <v>0</v>
      </c>
      <c r="S8" s="3">
        <v>48.4</v>
      </c>
      <c r="T8" s="3">
        <v>4.0740740740740702E-2</v>
      </c>
      <c r="U8" s="3"/>
      <c r="V8" s="3">
        <v>9.1578947368421009</v>
      </c>
      <c r="W8" s="3"/>
      <c r="X8" s="3"/>
    </row>
    <row r="9" spans="1:24" x14ac:dyDescent="0.25">
      <c r="A9" s="4" t="s">
        <v>536</v>
      </c>
      <c r="B9" s="4" t="s">
        <v>530</v>
      </c>
      <c r="C9" s="4" t="s">
        <v>38</v>
      </c>
      <c r="D9" s="4">
        <v>9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1</v>
      </c>
      <c r="K9" s="4">
        <v>2</v>
      </c>
      <c r="L9" s="4">
        <v>1</v>
      </c>
      <c r="M9" s="4">
        <v>16</v>
      </c>
      <c r="N9" s="4">
        <v>11</v>
      </c>
      <c r="O9" s="4">
        <v>103</v>
      </c>
      <c r="P9" s="4">
        <v>2</v>
      </c>
      <c r="Q9" s="4">
        <v>0</v>
      </c>
      <c r="R9" s="4">
        <v>0</v>
      </c>
      <c r="S9" s="4">
        <v>39.5</v>
      </c>
      <c r="T9" s="4">
        <v>2.96296296296296E-2</v>
      </c>
      <c r="U9" s="4">
        <v>2</v>
      </c>
      <c r="V9" s="4">
        <v>9.3636363636363598</v>
      </c>
      <c r="W9" s="4"/>
      <c r="X9" s="4"/>
    </row>
    <row r="10" spans="1:24" x14ac:dyDescent="0.25">
      <c r="A10" s="3" t="s">
        <v>537</v>
      </c>
      <c r="B10" s="3" t="s">
        <v>530</v>
      </c>
      <c r="C10" s="3" t="s">
        <v>38</v>
      </c>
      <c r="D10" s="3">
        <v>2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3</v>
      </c>
      <c r="N10" s="3">
        <v>2</v>
      </c>
      <c r="O10" s="3">
        <v>11</v>
      </c>
      <c r="P10" s="3">
        <v>0</v>
      </c>
      <c r="Q10" s="3">
        <v>0</v>
      </c>
      <c r="R10" s="3">
        <v>0</v>
      </c>
      <c r="S10" s="3">
        <v>3.1</v>
      </c>
      <c r="T10" s="3">
        <v>5.5555555555555601E-3</v>
      </c>
      <c r="U10" s="3"/>
      <c r="V10" s="3">
        <v>5.5</v>
      </c>
      <c r="W10" s="3"/>
      <c r="X10" s="3"/>
    </row>
    <row r="11" spans="1:24" x14ac:dyDescent="0.25">
      <c r="A11" s="4" t="s">
        <v>538</v>
      </c>
      <c r="B11" s="4" t="s">
        <v>530</v>
      </c>
      <c r="C11" s="4" t="s">
        <v>43</v>
      </c>
      <c r="D11" s="4">
        <v>17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10</v>
      </c>
      <c r="K11" s="4">
        <v>47</v>
      </c>
      <c r="L11" s="4">
        <v>0</v>
      </c>
      <c r="M11" s="4">
        <v>156</v>
      </c>
      <c r="N11" s="4">
        <v>107</v>
      </c>
      <c r="O11" s="4">
        <v>1359</v>
      </c>
      <c r="P11" s="4">
        <v>9</v>
      </c>
      <c r="Q11" s="4">
        <v>0</v>
      </c>
      <c r="R11" s="4">
        <v>0</v>
      </c>
      <c r="S11" s="4">
        <v>301.60000000000002</v>
      </c>
      <c r="T11" s="4">
        <v>0.28888888888888897</v>
      </c>
      <c r="U11" s="4">
        <v>4.7</v>
      </c>
      <c r="V11" s="4">
        <v>12.7009345794393</v>
      </c>
      <c r="W11" s="4"/>
      <c r="X11" s="4"/>
    </row>
    <row r="12" spans="1:24" x14ac:dyDescent="0.25">
      <c r="A12" s="3" t="s">
        <v>539</v>
      </c>
      <c r="B12" s="3" t="s">
        <v>530</v>
      </c>
      <c r="C12" s="3" t="s">
        <v>43</v>
      </c>
      <c r="D12" s="3">
        <v>2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6</v>
      </c>
      <c r="N12" s="3">
        <v>2</v>
      </c>
      <c r="O12" s="3">
        <v>16</v>
      </c>
      <c r="P12" s="3">
        <v>0</v>
      </c>
      <c r="Q12" s="3">
        <v>0</v>
      </c>
      <c r="R12" s="3">
        <v>0</v>
      </c>
      <c r="S12" s="3">
        <v>3.6</v>
      </c>
      <c r="T12" s="3">
        <v>1.1111111111111099E-2</v>
      </c>
      <c r="U12" s="3"/>
      <c r="V12" s="3">
        <v>8</v>
      </c>
      <c r="W12" s="3"/>
      <c r="X12" s="3"/>
    </row>
    <row r="13" spans="1:24" x14ac:dyDescent="0.25">
      <c r="A13" s="4" t="s">
        <v>540</v>
      </c>
      <c r="B13" s="4" t="s">
        <v>530</v>
      </c>
      <c r="C13" s="4" t="s">
        <v>43</v>
      </c>
      <c r="D13" s="4">
        <v>2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3</v>
      </c>
      <c r="N13" s="4">
        <v>2</v>
      </c>
      <c r="O13" s="4">
        <v>12</v>
      </c>
      <c r="P13" s="4">
        <v>0</v>
      </c>
      <c r="Q13" s="4">
        <v>0</v>
      </c>
      <c r="R13" s="4">
        <v>0</v>
      </c>
      <c r="S13" s="4">
        <v>3.2</v>
      </c>
      <c r="T13" s="4">
        <v>5.5555555555555601E-3</v>
      </c>
      <c r="U13" s="4"/>
      <c r="V13" s="4">
        <v>6</v>
      </c>
      <c r="W13" s="4"/>
      <c r="X13" s="4"/>
    </row>
    <row r="14" spans="1:24" x14ac:dyDescent="0.25">
      <c r="A14" s="3" t="s">
        <v>541</v>
      </c>
      <c r="B14" s="3" t="s">
        <v>530</v>
      </c>
      <c r="C14" s="3" t="s">
        <v>43</v>
      </c>
      <c r="D14" s="3">
        <v>1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3">
        <v>0</v>
      </c>
      <c r="T14" s="3">
        <v>1.85185185185185E-3</v>
      </c>
      <c r="U14" s="3"/>
      <c r="V14" s="3"/>
      <c r="W14" s="3"/>
      <c r="X14" s="3"/>
    </row>
    <row r="15" spans="1:24" x14ac:dyDescent="0.25">
      <c r="A15" s="4" t="s">
        <v>542</v>
      </c>
      <c r="B15" s="4" t="s">
        <v>530</v>
      </c>
      <c r="C15" s="4" t="s">
        <v>43</v>
      </c>
      <c r="D15" s="4">
        <v>5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3</v>
      </c>
      <c r="K15" s="4">
        <v>17</v>
      </c>
      <c r="L15" s="4">
        <v>0</v>
      </c>
      <c r="M15" s="4">
        <v>2</v>
      </c>
      <c r="N15" s="4">
        <v>1</v>
      </c>
      <c r="O15" s="4">
        <v>9</v>
      </c>
      <c r="P15" s="4">
        <v>0</v>
      </c>
      <c r="Q15" s="4">
        <v>0</v>
      </c>
      <c r="R15" s="4">
        <v>0</v>
      </c>
      <c r="S15" s="4">
        <v>3.6</v>
      </c>
      <c r="T15" s="4">
        <v>3.7037037037036999E-3</v>
      </c>
      <c r="U15" s="4">
        <v>5.6666666666666696</v>
      </c>
      <c r="V15" s="4">
        <v>9</v>
      </c>
      <c r="W15" s="4"/>
      <c r="X15" s="4"/>
    </row>
    <row r="16" spans="1:24" x14ac:dyDescent="0.25">
      <c r="A16" s="3" t="s">
        <v>543</v>
      </c>
      <c r="B16" s="3" t="s">
        <v>530</v>
      </c>
      <c r="C16" s="3" t="s">
        <v>43</v>
      </c>
      <c r="D16" s="3">
        <v>14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74</v>
      </c>
      <c r="N16" s="3">
        <v>39</v>
      </c>
      <c r="O16" s="3">
        <v>424</v>
      </c>
      <c r="P16" s="3">
        <v>4</v>
      </c>
      <c r="Q16" s="3">
        <v>0</v>
      </c>
      <c r="R16" s="3">
        <v>0</v>
      </c>
      <c r="S16" s="3">
        <v>105.4</v>
      </c>
      <c r="T16" s="3">
        <v>0.13703703703703701</v>
      </c>
      <c r="U16" s="3"/>
      <c r="V16" s="3">
        <v>10.871794871794901</v>
      </c>
      <c r="W16" s="3"/>
      <c r="X16" s="3"/>
    </row>
    <row r="17" spans="1:24" x14ac:dyDescent="0.25">
      <c r="A17" s="4" t="s">
        <v>544</v>
      </c>
      <c r="B17" s="4" t="s">
        <v>530</v>
      </c>
      <c r="C17" s="4" t="s">
        <v>43</v>
      </c>
      <c r="D17" s="4">
        <v>15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74</v>
      </c>
      <c r="N17" s="4">
        <v>43</v>
      </c>
      <c r="O17" s="4">
        <v>555</v>
      </c>
      <c r="P17" s="4">
        <v>3</v>
      </c>
      <c r="Q17" s="4">
        <v>0</v>
      </c>
      <c r="R17" s="4">
        <v>0</v>
      </c>
      <c r="S17" s="4">
        <v>114.5</v>
      </c>
      <c r="T17" s="4">
        <v>0.13703703703703701</v>
      </c>
      <c r="U17" s="4"/>
      <c r="V17" s="4">
        <v>12.906976744186</v>
      </c>
      <c r="W17" s="4"/>
      <c r="X17" s="4"/>
    </row>
    <row r="18" spans="1:24" x14ac:dyDescent="0.25">
      <c r="A18" s="3" t="s">
        <v>545</v>
      </c>
      <c r="B18" s="3" t="s">
        <v>530</v>
      </c>
      <c r="C18" s="3" t="s">
        <v>43</v>
      </c>
      <c r="D18" s="3">
        <v>2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4</v>
      </c>
      <c r="N18" s="3">
        <v>3</v>
      </c>
      <c r="O18" s="3">
        <v>24</v>
      </c>
      <c r="P18" s="3">
        <v>0</v>
      </c>
      <c r="Q18" s="3">
        <v>0</v>
      </c>
      <c r="R18" s="3">
        <v>0</v>
      </c>
      <c r="S18" s="3">
        <v>5.4</v>
      </c>
      <c r="T18" s="3">
        <v>7.4074074074074103E-3</v>
      </c>
      <c r="U18" s="3"/>
      <c r="V18" s="3">
        <v>8</v>
      </c>
      <c r="W18" s="3"/>
      <c r="X18" s="3"/>
    </row>
    <row r="19" spans="1:24" x14ac:dyDescent="0.25">
      <c r="A19" s="4" t="s">
        <v>546</v>
      </c>
      <c r="B19" s="4" t="s">
        <v>530</v>
      </c>
      <c r="C19" s="4" t="s">
        <v>43</v>
      </c>
      <c r="D19" s="4">
        <v>3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10</v>
      </c>
      <c r="N19" s="4">
        <v>7</v>
      </c>
      <c r="O19" s="4">
        <v>121</v>
      </c>
      <c r="P19" s="4">
        <v>0</v>
      </c>
      <c r="Q19" s="4">
        <v>0</v>
      </c>
      <c r="R19" s="4">
        <v>0</v>
      </c>
      <c r="S19" s="4">
        <v>19.100000000000001</v>
      </c>
      <c r="T19" s="4">
        <v>1.85185185185185E-2</v>
      </c>
      <c r="U19" s="4"/>
      <c r="V19" s="4">
        <v>17.285714285714299</v>
      </c>
      <c r="W19" s="4"/>
      <c r="X19" s="4"/>
    </row>
    <row r="30" spans="1:24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</row>
    <row r="31" spans="1:24" x14ac:dyDescent="0.25">
      <c r="A31" s="3" t="s">
        <v>530</v>
      </c>
      <c r="B31" s="3">
        <v>6209</v>
      </c>
      <c r="C31" s="3">
        <v>3911</v>
      </c>
      <c r="D31" s="3">
        <v>530</v>
      </c>
      <c r="E31" s="3">
        <v>2298</v>
      </c>
      <c r="F31" s="3">
        <v>24</v>
      </c>
      <c r="G31" s="3">
        <v>1514.34</v>
      </c>
      <c r="H31" s="3">
        <v>556</v>
      </c>
      <c r="I31" s="3">
        <v>0.638489208633094</v>
      </c>
      <c r="J31" s="3">
        <v>28</v>
      </c>
      <c r="K31" s="3">
        <v>18</v>
      </c>
      <c r="L31" s="3">
        <v>1</v>
      </c>
    </row>
    <row r="32" spans="1:24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</row>
    <row r="33" spans="1:28" x14ac:dyDescent="0.25">
      <c r="A33" s="3" t="str">
        <f>A31</f>
        <v>DAL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547</v>
      </c>
      <c r="B36" s="3" t="s">
        <v>26</v>
      </c>
      <c r="C36" s="3">
        <v>28</v>
      </c>
      <c r="D36" s="3">
        <v>5</v>
      </c>
      <c r="E36" s="3" t="s">
        <v>344</v>
      </c>
      <c r="F36" s="3" t="s">
        <v>530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">
        <v>0</v>
      </c>
      <c r="X36" s="3">
        <v>0</v>
      </c>
      <c r="Y36" s="3">
        <v>0</v>
      </c>
      <c r="Z36" s="3">
        <v>0</v>
      </c>
      <c r="AA36" s="3">
        <v>0</v>
      </c>
      <c r="AB36" s="3">
        <v>0</v>
      </c>
    </row>
    <row r="37" spans="1:28" x14ac:dyDescent="0.25">
      <c r="A37" s="4" t="s">
        <v>548</v>
      </c>
      <c r="B37" s="4" t="s">
        <v>26</v>
      </c>
      <c r="C37" s="4">
        <v>30</v>
      </c>
      <c r="D37" s="4">
        <v>8</v>
      </c>
      <c r="E37" s="4" t="s">
        <v>549</v>
      </c>
      <c r="F37" s="4" t="s">
        <v>530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</row>
    <row r="38" spans="1:28" x14ac:dyDescent="0.25">
      <c r="A38" s="3" t="s">
        <v>550</v>
      </c>
      <c r="B38" s="3" t="s">
        <v>26</v>
      </c>
      <c r="C38" s="3">
        <v>29</v>
      </c>
      <c r="D38" s="3">
        <v>6</v>
      </c>
      <c r="E38" s="3" t="s">
        <v>309</v>
      </c>
      <c r="F38" s="3" t="s">
        <v>530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v>0</v>
      </c>
      <c r="W38" s="3">
        <v>0</v>
      </c>
      <c r="X38" s="3">
        <v>0</v>
      </c>
      <c r="Y38" s="3">
        <v>0</v>
      </c>
      <c r="Z38" s="3">
        <v>0</v>
      </c>
      <c r="AA38" s="3">
        <v>0</v>
      </c>
      <c r="AB38" s="3"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551</v>
      </c>
      <c r="B46" s="3" t="s">
        <v>31</v>
      </c>
      <c r="C46" s="3">
        <v>24</v>
      </c>
      <c r="D46" s="3">
        <v>2</v>
      </c>
      <c r="E46" s="3" t="s">
        <v>178</v>
      </c>
      <c r="F46" s="3" t="s">
        <v>530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v>0</v>
      </c>
      <c r="W46" s="3">
        <v>0</v>
      </c>
      <c r="X46" s="3">
        <v>0</v>
      </c>
      <c r="Y46" s="3">
        <v>0</v>
      </c>
      <c r="Z46" s="3">
        <v>0</v>
      </c>
      <c r="AA46" s="3">
        <v>0</v>
      </c>
      <c r="AB46" s="3">
        <f t="shared" ref="AB46:AB51" si="0">($J46*Cp_yd)+($K46*Cp_td)+($L46*Cint)+($M46*Ccar)+($N46*Cr_td)+($O46*Cr_yd)+(Q46*Crec)+($R46*Crec_yd)+($S46*Crec_td)+($T46*Cfmb)+($U46*Ctp_c)</f>
        <v>0</v>
      </c>
    </row>
    <row r="47" spans="1:28" x14ac:dyDescent="0.25">
      <c r="A47" s="4" t="s">
        <v>552</v>
      </c>
      <c r="B47" s="4" t="s">
        <v>31</v>
      </c>
      <c r="C47" s="4">
        <v>25</v>
      </c>
      <c r="D47" s="4">
        <v>4</v>
      </c>
      <c r="E47" s="4" t="s">
        <v>341</v>
      </c>
      <c r="F47" s="4" t="s">
        <v>530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f t="shared" si="0"/>
        <v>0</v>
      </c>
    </row>
    <row r="48" spans="1:28" x14ac:dyDescent="0.25">
      <c r="A48" s="3" t="s">
        <v>553</v>
      </c>
      <c r="B48" s="3" t="s">
        <v>31</v>
      </c>
      <c r="C48" s="3">
        <v>26</v>
      </c>
      <c r="D48" s="3">
        <v>6</v>
      </c>
      <c r="E48" s="3" t="s">
        <v>78</v>
      </c>
      <c r="F48" s="3" t="s">
        <v>530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v>0</v>
      </c>
      <c r="W48" s="3">
        <v>0</v>
      </c>
      <c r="X48" s="3">
        <v>0</v>
      </c>
      <c r="Y48" s="3">
        <v>0</v>
      </c>
      <c r="Z48" s="3">
        <v>0</v>
      </c>
      <c r="AA48" s="3">
        <v>0</v>
      </c>
      <c r="AB48" s="3">
        <f t="shared" si="0"/>
        <v>0</v>
      </c>
    </row>
    <row r="49" spans="1:28" x14ac:dyDescent="0.25">
      <c r="A49" s="4" t="s">
        <v>554</v>
      </c>
      <c r="B49" s="4" t="s">
        <v>31</v>
      </c>
      <c r="C49" s="4">
        <v>23</v>
      </c>
      <c r="D49" s="4">
        <v>0</v>
      </c>
      <c r="E49" s="4" t="s">
        <v>555</v>
      </c>
      <c r="F49" s="4" t="s">
        <v>530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B49" s="4">
        <f t="shared" si="0"/>
        <v>0</v>
      </c>
    </row>
    <row r="50" spans="1:28" x14ac:dyDescent="0.25">
      <c r="A50" s="3" t="s">
        <v>556</v>
      </c>
      <c r="B50" s="3" t="s">
        <v>31</v>
      </c>
      <c r="C50" s="3">
        <v>26</v>
      </c>
      <c r="D50" s="3">
        <v>5</v>
      </c>
      <c r="E50" s="3" t="s">
        <v>557</v>
      </c>
      <c r="F50" s="3" t="s">
        <v>530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v>0</v>
      </c>
      <c r="W50" s="3">
        <v>0</v>
      </c>
      <c r="X50" s="3">
        <v>0</v>
      </c>
      <c r="Y50" s="3">
        <v>0</v>
      </c>
      <c r="Z50" s="3">
        <v>0</v>
      </c>
      <c r="AA50" s="3">
        <v>0</v>
      </c>
      <c r="AB50" s="3">
        <f t="shared" si="0"/>
        <v>0</v>
      </c>
    </row>
    <row r="51" spans="1:28" x14ac:dyDescent="0.25">
      <c r="A51" s="4" t="s">
        <v>558</v>
      </c>
      <c r="B51" s="4" t="s">
        <v>31</v>
      </c>
      <c r="C51" s="4">
        <v>21</v>
      </c>
      <c r="D51" s="4">
        <v>0</v>
      </c>
      <c r="E51" s="4" t="s">
        <v>559</v>
      </c>
      <c r="F51" s="4" t="s">
        <v>530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v>0</v>
      </c>
      <c r="W51" s="4">
        <v>0</v>
      </c>
      <c r="X51" s="4">
        <v>0</v>
      </c>
      <c r="Y51" s="4">
        <v>0</v>
      </c>
      <c r="Z51" s="4">
        <v>0</v>
      </c>
      <c r="AA51" s="4">
        <v>0</v>
      </c>
      <c r="AB51" s="4">
        <f t="shared" si="0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560</v>
      </c>
      <c r="B61" s="3" t="s">
        <v>43</v>
      </c>
      <c r="C61" s="3">
        <v>23</v>
      </c>
      <c r="D61" s="3">
        <v>0</v>
      </c>
      <c r="E61" s="3" t="s">
        <v>391</v>
      </c>
      <c r="F61" s="3" t="s">
        <v>530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v>0</v>
      </c>
      <c r="W61" s="3">
        <v>0</v>
      </c>
      <c r="X61" s="3">
        <v>0</v>
      </c>
      <c r="Y61" s="3">
        <v>0</v>
      </c>
      <c r="Z61" s="3">
        <v>0</v>
      </c>
      <c r="AA61" s="3">
        <v>0</v>
      </c>
      <c r="AB61" s="3">
        <v>0</v>
      </c>
    </row>
    <row r="62" spans="1:28" x14ac:dyDescent="0.25">
      <c r="A62" s="4" t="s">
        <v>561</v>
      </c>
      <c r="B62" s="4" t="s">
        <v>43</v>
      </c>
      <c r="C62" s="4">
        <v>23</v>
      </c>
      <c r="D62" s="4">
        <v>0</v>
      </c>
      <c r="E62" s="4" t="s">
        <v>341</v>
      </c>
      <c r="F62" s="4" t="s">
        <v>530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0</v>
      </c>
      <c r="X62" s="4">
        <v>0</v>
      </c>
      <c r="Y62" s="4">
        <v>0</v>
      </c>
      <c r="Z62" s="4">
        <v>0</v>
      </c>
      <c r="AA62" s="4">
        <v>0</v>
      </c>
      <c r="AB62" s="4">
        <v>0</v>
      </c>
    </row>
    <row r="63" spans="1:28" x14ac:dyDescent="0.25">
      <c r="A63" s="3" t="s">
        <v>562</v>
      </c>
      <c r="B63" s="3" t="s">
        <v>43</v>
      </c>
      <c r="C63" s="3">
        <v>29</v>
      </c>
      <c r="D63" s="3">
        <v>10</v>
      </c>
      <c r="E63" s="3" t="s">
        <v>111</v>
      </c>
      <c r="F63" s="3" t="s">
        <v>530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v>0</v>
      </c>
      <c r="W63" s="3">
        <v>0</v>
      </c>
      <c r="X63" s="3">
        <v>0</v>
      </c>
      <c r="Y63" s="3">
        <v>0</v>
      </c>
      <c r="Z63" s="3">
        <v>0</v>
      </c>
      <c r="AA63" s="3">
        <v>0</v>
      </c>
      <c r="AB63" s="3">
        <v>0</v>
      </c>
    </row>
    <row r="64" spans="1:28" x14ac:dyDescent="0.25">
      <c r="A64" s="4" t="s">
        <v>563</v>
      </c>
      <c r="B64" s="4" t="s">
        <v>43</v>
      </c>
      <c r="C64" s="4">
        <v>25</v>
      </c>
      <c r="D64" s="4">
        <v>1</v>
      </c>
      <c r="E64" s="4" t="s">
        <v>240</v>
      </c>
      <c r="F64" s="4" t="s">
        <v>530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</row>
    <row r="65" spans="1:28" x14ac:dyDescent="0.25">
      <c r="A65" s="3" t="s">
        <v>564</v>
      </c>
      <c r="B65" s="3" t="s">
        <v>43</v>
      </c>
      <c r="C65" s="3">
        <v>24</v>
      </c>
      <c r="D65" s="3">
        <v>0</v>
      </c>
      <c r="E65" s="3" t="s">
        <v>565</v>
      </c>
      <c r="F65" s="3" t="s">
        <v>530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v>0</v>
      </c>
      <c r="W65" s="3">
        <v>0</v>
      </c>
      <c r="X65" s="3">
        <v>0</v>
      </c>
      <c r="Y65" s="3">
        <v>0</v>
      </c>
      <c r="Z65" s="3">
        <v>0</v>
      </c>
      <c r="AA65" s="3">
        <v>0</v>
      </c>
      <c r="AB65" s="3">
        <v>0</v>
      </c>
    </row>
    <row r="66" spans="1:28" x14ac:dyDescent="0.25">
      <c r="A66" s="4" t="s">
        <v>566</v>
      </c>
      <c r="B66" s="4" t="s">
        <v>43</v>
      </c>
      <c r="C66" s="4">
        <v>25</v>
      </c>
      <c r="D66" s="4">
        <v>3</v>
      </c>
      <c r="E66" s="4" t="s">
        <v>102</v>
      </c>
      <c r="F66" s="4" t="s">
        <v>530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</row>
    <row r="67" spans="1:28" x14ac:dyDescent="0.25">
      <c r="A67" s="3" t="s">
        <v>567</v>
      </c>
      <c r="B67" s="3" t="s">
        <v>43</v>
      </c>
      <c r="C67" s="3">
        <v>27</v>
      </c>
      <c r="D67" s="3">
        <v>6</v>
      </c>
      <c r="E67" s="3" t="s">
        <v>107</v>
      </c>
      <c r="F67" s="3" t="s">
        <v>530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v>0</v>
      </c>
      <c r="W67" s="3">
        <v>0</v>
      </c>
      <c r="X67" s="3">
        <v>0</v>
      </c>
      <c r="Y67" s="3">
        <v>0</v>
      </c>
      <c r="Z67" s="3">
        <v>0</v>
      </c>
      <c r="AA67" s="3">
        <v>0</v>
      </c>
      <c r="AB67" s="3">
        <v>0</v>
      </c>
    </row>
    <row r="68" spans="1:28" x14ac:dyDescent="0.25">
      <c r="A68" s="4" t="s">
        <v>568</v>
      </c>
      <c r="B68" s="4" t="s">
        <v>43</v>
      </c>
      <c r="C68" s="4">
        <v>24</v>
      </c>
      <c r="D68" s="4">
        <v>1</v>
      </c>
      <c r="E68" s="4" t="s">
        <v>569</v>
      </c>
      <c r="F68" s="4" t="s">
        <v>530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0</v>
      </c>
      <c r="X68" s="4">
        <v>0</v>
      </c>
      <c r="Y68" s="4">
        <v>0</v>
      </c>
      <c r="Z68" s="4">
        <v>0</v>
      </c>
      <c r="AA68" s="4">
        <v>0</v>
      </c>
      <c r="AB68" s="4">
        <v>0</v>
      </c>
    </row>
    <row r="69" spans="1:28" x14ac:dyDescent="0.25">
      <c r="A69" s="3" t="s">
        <v>570</v>
      </c>
      <c r="B69" s="3" t="s">
        <v>43</v>
      </c>
      <c r="C69" s="3">
        <v>27</v>
      </c>
      <c r="D69" s="3">
        <v>4</v>
      </c>
      <c r="E69" s="3" t="s">
        <v>218</v>
      </c>
      <c r="F69" s="3" t="s">
        <v>530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v>0</v>
      </c>
      <c r="W69" s="3">
        <v>0</v>
      </c>
      <c r="X69" s="3">
        <v>0</v>
      </c>
      <c r="Y69" s="3">
        <v>0</v>
      </c>
      <c r="Z69" s="3">
        <v>0</v>
      </c>
      <c r="AA69" s="3">
        <v>0</v>
      </c>
      <c r="AB69" s="3">
        <v>0</v>
      </c>
    </row>
    <row r="70" spans="1:28" x14ac:dyDescent="0.25">
      <c r="A70" s="4" t="s">
        <v>571</v>
      </c>
      <c r="B70" s="4" t="s">
        <v>43</v>
      </c>
      <c r="C70" s="4">
        <v>24</v>
      </c>
      <c r="D70" s="4">
        <v>4</v>
      </c>
      <c r="E70" s="4" t="s">
        <v>68</v>
      </c>
      <c r="F70" s="4" t="s">
        <v>530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0</v>
      </c>
      <c r="X70" s="4">
        <v>0</v>
      </c>
      <c r="Y70" s="4">
        <v>0</v>
      </c>
      <c r="Z70" s="4">
        <v>0</v>
      </c>
      <c r="AA70" s="4">
        <v>0</v>
      </c>
      <c r="AB70" s="4">
        <v>0</v>
      </c>
    </row>
    <row r="71" spans="1:28" x14ac:dyDescent="0.25">
      <c r="A71" s="3" t="s">
        <v>572</v>
      </c>
      <c r="B71" s="3" t="s">
        <v>43</v>
      </c>
      <c r="C71" s="3">
        <v>22</v>
      </c>
      <c r="D71" s="3">
        <v>0</v>
      </c>
      <c r="E71" s="3" t="s">
        <v>280</v>
      </c>
      <c r="F71" s="3" t="s">
        <v>530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v>0</v>
      </c>
      <c r="W71" s="3">
        <v>0</v>
      </c>
      <c r="X71" s="3">
        <v>0</v>
      </c>
      <c r="Y71" s="3">
        <v>0</v>
      </c>
      <c r="Z71" s="3">
        <v>0</v>
      </c>
      <c r="AA71" s="3">
        <v>0</v>
      </c>
      <c r="AB71" s="3">
        <v>0</v>
      </c>
    </row>
    <row r="72" spans="1:28" x14ac:dyDescent="0.25">
      <c r="A72" s="4" t="s">
        <v>573</v>
      </c>
      <c r="B72" s="4" t="s">
        <v>43</v>
      </c>
      <c r="C72" s="4">
        <v>23</v>
      </c>
      <c r="D72" s="4">
        <v>0</v>
      </c>
      <c r="E72" s="4" t="s">
        <v>574</v>
      </c>
      <c r="F72" s="4" t="s">
        <v>530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v>0</v>
      </c>
      <c r="W72" s="4">
        <v>0</v>
      </c>
      <c r="X72" s="4">
        <v>0</v>
      </c>
      <c r="Y72" s="4">
        <v>0</v>
      </c>
      <c r="Z72" s="4">
        <v>0</v>
      </c>
      <c r="AA72" s="4">
        <v>0</v>
      </c>
      <c r="AB72" s="4">
        <v>0</v>
      </c>
    </row>
    <row r="73" spans="1:28" x14ac:dyDescent="0.25">
      <c r="A73" s="3" t="s">
        <v>575</v>
      </c>
      <c r="B73" s="3" t="s">
        <v>43</v>
      </c>
      <c r="C73" s="3">
        <v>24</v>
      </c>
      <c r="D73" s="3">
        <v>2</v>
      </c>
      <c r="E73" s="3" t="s">
        <v>519</v>
      </c>
      <c r="F73" s="3" t="s">
        <v>530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v>0</v>
      </c>
      <c r="W73" s="3">
        <v>0</v>
      </c>
      <c r="X73" s="3">
        <v>0</v>
      </c>
      <c r="Y73" s="3">
        <v>0</v>
      </c>
      <c r="Z73" s="3">
        <v>0</v>
      </c>
      <c r="AA73" s="3">
        <v>0</v>
      </c>
      <c r="AB73" s="3">
        <v>0</v>
      </c>
    </row>
    <row r="74" spans="1:28" x14ac:dyDescent="0.25">
      <c r="A74" s="4" t="s">
        <v>576</v>
      </c>
      <c r="B74" s="4" t="s">
        <v>43</v>
      </c>
      <c r="C74" s="4">
        <v>27</v>
      </c>
      <c r="D74" s="4">
        <v>2</v>
      </c>
      <c r="E74" s="4" t="s">
        <v>76</v>
      </c>
      <c r="F74" s="4" t="s">
        <v>530</v>
      </c>
      <c r="G74" s="4">
        <v>0</v>
      </c>
      <c r="H74" s="4">
        <v>0</v>
      </c>
      <c r="I74" s="4">
        <v>0</v>
      </c>
      <c r="J74" s="4">
        <v>0</v>
      </c>
      <c r="K74" s="4">
        <v>0</v>
      </c>
      <c r="L74" s="4">
        <v>0</v>
      </c>
      <c r="M74" s="4">
        <v>0</v>
      </c>
      <c r="N74" s="4">
        <v>0</v>
      </c>
      <c r="O74" s="4">
        <v>0</v>
      </c>
      <c r="P74" s="4">
        <v>0</v>
      </c>
      <c r="Q74" s="4">
        <v>0</v>
      </c>
      <c r="R74" s="4">
        <v>0</v>
      </c>
      <c r="S74" s="4">
        <v>0</v>
      </c>
      <c r="T74" s="4">
        <v>0</v>
      </c>
      <c r="U74" s="4">
        <v>0</v>
      </c>
      <c r="V74" s="4">
        <v>0</v>
      </c>
      <c r="W74" s="4">
        <v>0</v>
      </c>
      <c r="X74" s="4">
        <v>0</v>
      </c>
      <c r="Y74" s="4">
        <v>0</v>
      </c>
      <c r="Z74" s="4">
        <v>0</v>
      </c>
      <c r="AA74" s="4">
        <v>0</v>
      </c>
      <c r="AB74" s="4"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577</v>
      </c>
      <c r="B76" s="3" t="s">
        <v>38</v>
      </c>
      <c r="C76" s="3">
        <v>24</v>
      </c>
      <c r="D76" s="3">
        <v>0</v>
      </c>
      <c r="E76" s="3" t="s">
        <v>143</v>
      </c>
      <c r="F76" s="3" t="s">
        <v>530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v>0</v>
      </c>
      <c r="W76" s="3">
        <v>0</v>
      </c>
      <c r="X76" s="3">
        <v>0</v>
      </c>
      <c r="Y76" s="3">
        <v>0</v>
      </c>
      <c r="Z76" s="3">
        <v>0</v>
      </c>
      <c r="AA76" s="3">
        <v>0</v>
      </c>
      <c r="AB76" s="3">
        <v>0</v>
      </c>
    </row>
    <row r="77" spans="1:28" x14ac:dyDescent="0.25">
      <c r="A77" s="4" t="s">
        <v>578</v>
      </c>
      <c r="B77" s="4" t="s">
        <v>38</v>
      </c>
      <c r="C77" s="4">
        <v>24</v>
      </c>
      <c r="D77" s="4">
        <v>2</v>
      </c>
      <c r="E77" s="4" t="s">
        <v>72</v>
      </c>
      <c r="F77" s="4" t="s">
        <v>530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v>0</v>
      </c>
      <c r="W77" s="4">
        <v>0</v>
      </c>
      <c r="X77" s="4">
        <v>0</v>
      </c>
      <c r="Y77" s="4">
        <v>0</v>
      </c>
      <c r="Z77" s="4">
        <v>0</v>
      </c>
      <c r="AA77" s="4">
        <v>0</v>
      </c>
      <c r="AB77" s="4">
        <v>0</v>
      </c>
    </row>
    <row r="78" spans="1:28" x14ac:dyDescent="0.25">
      <c r="A78" s="3" t="s">
        <v>579</v>
      </c>
      <c r="B78" s="3" t="s">
        <v>38</v>
      </c>
      <c r="C78" s="3">
        <v>25</v>
      </c>
      <c r="D78" s="3">
        <v>1</v>
      </c>
      <c r="E78" s="3" t="s">
        <v>70</v>
      </c>
      <c r="F78" s="3" t="s">
        <v>530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v>0</v>
      </c>
      <c r="W78" s="3">
        <v>0</v>
      </c>
      <c r="X78" s="3">
        <v>0</v>
      </c>
      <c r="Y78" s="3">
        <v>0</v>
      </c>
      <c r="Z78" s="3">
        <v>0</v>
      </c>
      <c r="AA78" s="3">
        <v>0</v>
      </c>
      <c r="AB78" s="3">
        <v>0</v>
      </c>
    </row>
    <row r="79" spans="1:28" x14ac:dyDescent="0.25">
      <c r="A79" s="4" t="s">
        <v>580</v>
      </c>
      <c r="B79" s="4" t="s">
        <v>38</v>
      </c>
      <c r="C79" s="4">
        <v>24</v>
      </c>
      <c r="D79" s="4">
        <v>2</v>
      </c>
      <c r="E79" s="4" t="s">
        <v>360</v>
      </c>
      <c r="F79" s="4" t="s">
        <v>530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v>0</v>
      </c>
      <c r="W79" s="4">
        <v>0</v>
      </c>
      <c r="X79" s="4">
        <v>0</v>
      </c>
      <c r="Y79" s="4">
        <v>0</v>
      </c>
      <c r="Z79" s="4">
        <v>0</v>
      </c>
      <c r="AA79" s="4">
        <v>0</v>
      </c>
      <c r="AB79" s="4">
        <v>0</v>
      </c>
    </row>
    <row r="80" spans="1:28" x14ac:dyDescent="0.25">
      <c r="A80" s="3" t="s">
        <v>581</v>
      </c>
      <c r="B80" s="3" t="s">
        <v>38</v>
      </c>
      <c r="C80" s="3">
        <v>25</v>
      </c>
      <c r="D80" s="3">
        <v>4</v>
      </c>
      <c r="E80" s="3" t="s">
        <v>105</v>
      </c>
      <c r="F80" s="3" t="s">
        <v>530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v>0</v>
      </c>
      <c r="W80" s="3">
        <v>0</v>
      </c>
      <c r="X80" s="3">
        <v>0</v>
      </c>
      <c r="Y80" s="3">
        <v>0</v>
      </c>
      <c r="Z80" s="3">
        <v>0</v>
      </c>
      <c r="AA80" s="3">
        <v>0</v>
      </c>
      <c r="AB80" s="3">
        <v>0</v>
      </c>
    </row>
    <row r="81" spans="1:28" x14ac:dyDescent="0.25">
      <c r="A81" s="4" t="s">
        <v>582</v>
      </c>
      <c r="B81" s="4" t="s">
        <v>38</v>
      </c>
      <c r="C81" s="4">
        <v>24</v>
      </c>
      <c r="D81" s="4">
        <v>0</v>
      </c>
      <c r="E81" s="4" t="s">
        <v>105</v>
      </c>
      <c r="F81" s="4" t="s">
        <v>530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v>0</v>
      </c>
      <c r="W81" s="4">
        <v>0</v>
      </c>
      <c r="X81" s="4">
        <v>0</v>
      </c>
      <c r="Y81" s="4">
        <v>0</v>
      </c>
      <c r="Z81" s="4">
        <v>0</v>
      </c>
      <c r="AA81" s="4">
        <v>0</v>
      </c>
      <c r="AB81" s="4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AB81"/>
  <sheetViews>
    <sheetView topLeftCell="H19" workbookViewId="0">
      <selection activeCell="AB46" sqref="AB46:AB51"/>
    </sheetView>
  </sheetViews>
  <sheetFormatPr defaultColWidth="11.42578125" defaultRowHeight="15" x14ac:dyDescent="0.25"/>
  <sheetData>
    <row r="1" spans="1:24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</row>
    <row r="2" spans="1:24" x14ac:dyDescent="0.25">
      <c r="A2" s="3" t="s">
        <v>583</v>
      </c>
      <c r="B2" s="3" t="s">
        <v>584</v>
      </c>
      <c r="C2" s="3" t="s">
        <v>26</v>
      </c>
      <c r="D2" s="3">
        <v>4</v>
      </c>
      <c r="E2" s="3">
        <v>88</v>
      </c>
      <c r="F2" s="3">
        <v>53</v>
      </c>
      <c r="G2" s="3">
        <v>483</v>
      </c>
      <c r="H2" s="3">
        <v>2</v>
      </c>
      <c r="I2" s="3">
        <v>4</v>
      </c>
      <c r="J2" s="3">
        <v>6</v>
      </c>
      <c r="K2" s="3">
        <v>7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1</v>
      </c>
      <c r="R2" s="3">
        <v>0</v>
      </c>
      <c r="S2" s="3">
        <v>18.02</v>
      </c>
      <c r="T2" s="3">
        <v>0</v>
      </c>
      <c r="U2" s="3">
        <v>1.1666666666666701</v>
      </c>
      <c r="V2" s="3"/>
      <c r="W2" s="3">
        <v>0.60227272727272696</v>
      </c>
      <c r="X2" s="3">
        <v>2.27272727272727E-2</v>
      </c>
    </row>
    <row r="3" spans="1:24" x14ac:dyDescent="0.25">
      <c r="A3" s="4" t="s">
        <v>585</v>
      </c>
      <c r="B3" s="4" t="s">
        <v>584</v>
      </c>
      <c r="C3" s="4" t="s">
        <v>26</v>
      </c>
      <c r="D3" s="4">
        <v>15</v>
      </c>
      <c r="E3" s="4">
        <v>483</v>
      </c>
      <c r="F3" s="4">
        <v>292</v>
      </c>
      <c r="G3" s="4">
        <v>3524</v>
      </c>
      <c r="H3" s="4">
        <v>16</v>
      </c>
      <c r="I3" s="4">
        <v>11</v>
      </c>
      <c r="J3" s="4">
        <v>55</v>
      </c>
      <c r="K3" s="4">
        <v>277</v>
      </c>
      <c r="L3" s="4">
        <v>3</v>
      </c>
      <c r="M3" s="4">
        <v>1</v>
      </c>
      <c r="N3" s="4">
        <v>1</v>
      </c>
      <c r="O3" s="4">
        <v>1</v>
      </c>
      <c r="P3" s="4">
        <v>0</v>
      </c>
      <c r="Q3" s="4">
        <v>2</v>
      </c>
      <c r="R3" s="4">
        <v>0</v>
      </c>
      <c r="S3" s="4">
        <v>225.76</v>
      </c>
      <c r="T3" s="4">
        <v>1.79856115107914E-3</v>
      </c>
      <c r="U3" s="4">
        <v>5.0363636363636397</v>
      </c>
      <c r="V3" s="4">
        <v>1</v>
      </c>
      <c r="W3" s="4">
        <v>0.60455486542443104</v>
      </c>
      <c r="X3" s="4">
        <v>3.3126293995859202E-2</v>
      </c>
    </row>
    <row r="4" spans="1:24" x14ac:dyDescent="0.25">
      <c r="A4" s="3" t="s">
        <v>586</v>
      </c>
      <c r="B4" s="3" t="s">
        <v>584</v>
      </c>
      <c r="C4" s="3" t="s">
        <v>31</v>
      </c>
      <c r="D4" s="3">
        <v>5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26</v>
      </c>
      <c r="K4" s="3">
        <v>125</v>
      </c>
      <c r="L4" s="3">
        <v>0</v>
      </c>
      <c r="M4" s="3">
        <v>7</v>
      </c>
      <c r="N4" s="3">
        <v>6</v>
      </c>
      <c r="O4" s="3">
        <v>61</v>
      </c>
      <c r="P4" s="3">
        <v>0</v>
      </c>
      <c r="Q4" s="3">
        <v>0</v>
      </c>
      <c r="R4" s="3">
        <v>0</v>
      </c>
      <c r="S4" s="3">
        <v>24.6</v>
      </c>
      <c r="T4" s="3">
        <v>1.2589928057554E-2</v>
      </c>
      <c r="U4" s="3">
        <v>4.8076923076923102</v>
      </c>
      <c r="V4" s="3">
        <v>10.1666666666667</v>
      </c>
      <c r="W4" s="3"/>
      <c r="X4" s="3"/>
    </row>
    <row r="5" spans="1:24" x14ac:dyDescent="0.25">
      <c r="A5" s="4" t="s">
        <v>587</v>
      </c>
      <c r="B5" s="4" t="s">
        <v>584</v>
      </c>
      <c r="C5" s="4" t="s">
        <v>31</v>
      </c>
      <c r="D5" s="4">
        <v>3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3</v>
      </c>
      <c r="K5" s="4">
        <v>4</v>
      </c>
      <c r="L5" s="4">
        <v>0</v>
      </c>
      <c r="M5" s="4">
        <v>1</v>
      </c>
      <c r="N5" s="4">
        <v>1</v>
      </c>
      <c r="O5" s="4">
        <v>3</v>
      </c>
      <c r="P5" s="4">
        <v>0</v>
      </c>
      <c r="Q5" s="4">
        <v>0</v>
      </c>
      <c r="R5" s="4">
        <v>0</v>
      </c>
      <c r="S5" s="4">
        <v>1.7</v>
      </c>
      <c r="T5" s="4">
        <v>1.79856115107914E-3</v>
      </c>
      <c r="U5" s="4">
        <v>1.3333333333333299</v>
      </c>
      <c r="V5" s="4">
        <v>3</v>
      </c>
      <c r="W5" s="4"/>
      <c r="X5" s="4"/>
    </row>
    <row r="6" spans="1:24" x14ac:dyDescent="0.25">
      <c r="A6" s="3" t="s">
        <v>588</v>
      </c>
      <c r="B6" s="3" t="s">
        <v>584</v>
      </c>
      <c r="C6" s="3" t="s">
        <v>31</v>
      </c>
      <c r="D6" s="3">
        <v>4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47</v>
      </c>
      <c r="K6" s="3">
        <v>204</v>
      </c>
      <c r="L6" s="3">
        <v>0</v>
      </c>
      <c r="M6" s="3">
        <v>22</v>
      </c>
      <c r="N6" s="3">
        <v>16</v>
      </c>
      <c r="O6" s="3">
        <v>76</v>
      </c>
      <c r="P6" s="3">
        <v>0</v>
      </c>
      <c r="Q6" s="3">
        <v>1</v>
      </c>
      <c r="R6" s="3">
        <v>0</v>
      </c>
      <c r="S6" s="3">
        <v>42</v>
      </c>
      <c r="T6" s="3">
        <v>3.9568345323740997E-2</v>
      </c>
      <c r="U6" s="3">
        <v>4.3404255319148897</v>
      </c>
      <c r="V6" s="3">
        <v>4.75</v>
      </c>
      <c r="W6" s="3"/>
      <c r="X6" s="3"/>
    </row>
    <row r="7" spans="1:24" x14ac:dyDescent="0.25">
      <c r="A7" s="4" t="s">
        <v>589</v>
      </c>
      <c r="B7" s="4" t="s">
        <v>584</v>
      </c>
      <c r="C7" s="4" t="s">
        <v>31</v>
      </c>
      <c r="D7" s="4">
        <v>12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160</v>
      </c>
      <c r="K7" s="4">
        <v>703</v>
      </c>
      <c r="L7" s="4">
        <v>5</v>
      </c>
      <c r="M7" s="4">
        <v>34</v>
      </c>
      <c r="N7" s="4">
        <v>26</v>
      </c>
      <c r="O7" s="4">
        <v>124</v>
      </c>
      <c r="P7" s="4">
        <v>0</v>
      </c>
      <c r="Q7" s="4">
        <v>0</v>
      </c>
      <c r="R7" s="4">
        <v>1</v>
      </c>
      <c r="S7" s="4">
        <v>140.69999999999999</v>
      </c>
      <c r="T7" s="4">
        <v>6.11510791366906E-2</v>
      </c>
      <c r="U7" s="4">
        <v>4.3937499999999998</v>
      </c>
      <c r="V7" s="4">
        <v>4.7692307692307701</v>
      </c>
      <c r="W7" s="4"/>
      <c r="X7" s="4"/>
    </row>
    <row r="8" spans="1:24" x14ac:dyDescent="0.25">
      <c r="A8" s="3" t="s">
        <v>590</v>
      </c>
      <c r="B8" s="3" t="s">
        <v>584</v>
      </c>
      <c r="C8" s="3" t="s">
        <v>31</v>
      </c>
      <c r="D8" s="3">
        <v>8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24</v>
      </c>
      <c r="K8" s="3">
        <v>102</v>
      </c>
      <c r="L8" s="3">
        <v>0</v>
      </c>
      <c r="M8" s="3">
        <v>15</v>
      </c>
      <c r="N8" s="3">
        <v>9</v>
      </c>
      <c r="O8" s="3">
        <v>96</v>
      </c>
      <c r="P8" s="3">
        <v>0</v>
      </c>
      <c r="Q8" s="3">
        <v>0</v>
      </c>
      <c r="R8" s="3">
        <v>0</v>
      </c>
      <c r="S8" s="3">
        <v>28.8</v>
      </c>
      <c r="T8" s="3">
        <v>2.6978417266187001E-2</v>
      </c>
      <c r="U8" s="3">
        <v>4.25</v>
      </c>
      <c r="V8" s="3">
        <v>10.6666666666667</v>
      </c>
      <c r="W8" s="3"/>
      <c r="X8" s="3"/>
    </row>
    <row r="9" spans="1:24" x14ac:dyDescent="0.25">
      <c r="A9" s="4" t="s">
        <v>591</v>
      </c>
      <c r="B9" s="4" t="s">
        <v>584</v>
      </c>
      <c r="C9" s="4" t="s">
        <v>31</v>
      </c>
      <c r="D9" s="4">
        <v>10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90</v>
      </c>
      <c r="K9" s="4">
        <v>318</v>
      </c>
      <c r="L9" s="4">
        <v>2</v>
      </c>
      <c r="M9" s="4">
        <v>32</v>
      </c>
      <c r="N9" s="4">
        <v>25</v>
      </c>
      <c r="O9" s="4">
        <v>223</v>
      </c>
      <c r="P9" s="4">
        <v>0</v>
      </c>
      <c r="Q9" s="4">
        <v>2</v>
      </c>
      <c r="R9" s="4">
        <v>0</v>
      </c>
      <c r="S9" s="4">
        <v>87.1</v>
      </c>
      <c r="T9" s="4">
        <v>5.7553956834532398E-2</v>
      </c>
      <c r="U9" s="4">
        <v>3.5333333333333301</v>
      </c>
      <c r="V9" s="4">
        <v>8.92</v>
      </c>
      <c r="W9" s="4"/>
      <c r="X9" s="4"/>
    </row>
    <row r="10" spans="1:24" x14ac:dyDescent="0.25">
      <c r="A10" s="3" t="s">
        <v>592</v>
      </c>
      <c r="B10" s="3" t="s">
        <v>584</v>
      </c>
      <c r="C10" s="3" t="s">
        <v>31</v>
      </c>
      <c r="D10" s="3">
        <v>5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16</v>
      </c>
      <c r="K10" s="3">
        <v>84</v>
      </c>
      <c r="L10" s="3">
        <v>1</v>
      </c>
      <c r="M10" s="3">
        <v>10</v>
      </c>
      <c r="N10" s="3">
        <v>8</v>
      </c>
      <c r="O10" s="3">
        <v>99</v>
      </c>
      <c r="P10" s="3">
        <v>1</v>
      </c>
      <c r="Q10" s="3">
        <v>0</v>
      </c>
      <c r="R10" s="3">
        <v>0</v>
      </c>
      <c r="S10" s="3">
        <v>38.299999999999997</v>
      </c>
      <c r="T10" s="3">
        <v>1.7985611510791401E-2</v>
      </c>
      <c r="U10" s="3">
        <v>5.25</v>
      </c>
      <c r="V10" s="3">
        <v>12.375</v>
      </c>
      <c r="W10" s="3"/>
      <c r="X10" s="3"/>
    </row>
    <row r="11" spans="1:24" x14ac:dyDescent="0.25">
      <c r="A11" s="4" t="s">
        <v>593</v>
      </c>
      <c r="B11" s="4" t="s">
        <v>584</v>
      </c>
      <c r="C11" s="4" t="s">
        <v>31</v>
      </c>
      <c r="D11" s="4">
        <v>1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1</v>
      </c>
      <c r="K11" s="4">
        <v>0</v>
      </c>
      <c r="L11" s="4">
        <v>0</v>
      </c>
      <c r="M11" s="4">
        <v>1</v>
      </c>
      <c r="N11" s="4">
        <v>1</v>
      </c>
      <c r="O11" s="4">
        <v>24</v>
      </c>
      <c r="P11" s="4">
        <v>1</v>
      </c>
      <c r="Q11" s="4">
        <v>0</v>
      </c>
      <c r="R11" s="4">
        <v>0</v>
      </c>
      <c r="S11" s="4">
        <v>9.4</v>
      </c>
      <c r="T11" s="4">
        <v>1.79856115107914E-3</v>
      </c>
      <c r="U11" s="4">
        <v>0</v>
      </c>
      <c r="V11" s="4">
        <v>24</v>
      </c>
      <c r="W11" s="4"/>
      <c r="X11" s="4"/>
    </row>
    <row r="12" spans="1:24" x14ac:dyDescent="0.25">
      <c r="A12" s="3" t="s">
        <v>594</v>
      </c>
      <c r="B12" s="3" t="s">
        <v>584</v>
      </c>
      <c r="C12" s="3" t="s">
        <v>38</v>
      </c>
      <c r="D12" s="3">
        <v>8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2</v>
      </c>
      <c r="K12" s="3">
        <v>0</v>
      </c>
      <c r="L12" s="3">
        <v>0</v>
      </c>
      <c r="M12" s="3">
        <v>11</v>
      </c>
      <c r="N12" s="3">
        <v>5</v>
      </c>
      <c r="O12" s="3">
        <v>69</v>
      </c>
      <c r="P12" s="3">
        <v>0</v>
      </c>
      <c r="Q12" s="3">
        <v>0</v>
      </c>
      <c r="R12" s="3">
        <v>0</v>
      </c>
      <c r="S12" s="3">
        <v>11.9</v>
      </c>
      <c r="T12" s="3">
        <v>1.9784172661870499E-2</v>
      </c>
      <c r="U12" s="3">
        <v>0</v>
      </c>
      <c r="V12" s="3">
        <v>13.8</v>
      </c>
      <c r="W12" s="3"/>
      <c r="X12" s="3"/>
    </row>
    <row r="13" spans="1:24" x14ac:dyDescent="0.25">
      <c r="A13" s="4" t="s">
        <v>595</v>
      </c>
      <c r="B13" s="4" t="s">
        <v>584</v>
      </c>
      <c r="C13" s="4" t="s">
        <v>38</v>
      </c>
      <c r="D13" s="4">
        <v>6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18</v>
      </c>
      <c r="N13" s="4">
        <v>10</v>
      </c>
      <c r="O13" s="4">
        <v>95</v>
      </c>
      <c r="P13" s="4">
        <v>1</v>
      </c>
      <c r="Q13" s="4">
        <v>0</v>
      </c>
      <c r="R13" s="4">
        <v>0</v>
      </c>
      <c r="S13" s="4">
        <v>25.5</v>
      </c>
      <c r="T13" s="4">
        <v>3.2374100719424502E-2</v>
      </c>
      <c r="U13" s="4"/>
      <c r="V13" s="4">
        <v>9.5</v>
      </c>
      <c r="W13" s="4"/>
      <c r="X13" s="4"/>
    </row>
    <row r="14" spans="1:24" x14ac:dyDescent="0.25">
      <c r="A14" s="3" t="s">
        <v>596</v>
      </c>
      <c r="B14" s="3" t="s">
        <v>584</v>
      </c>
      <c r="C14" s="3" t="s">
        <v>38</v>
      </c>
      <c r="D14" s="3">
        <v>11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24</v>
      </c>
      <c r="N14" s="3">
        <v>15</v>
      </c>
      <c r="O14" s="3">
        <v>148</v>
      </c>
      <c r="P14" s="3">
        <v>1</v>
      </c>
      <c r="Q14" s="3">
        <v>0</v>
      </c>
      <c r="R14" s="3">
        <v>0</v>
      </c>
      <c r="S14" s="3">
        <v>35.799999999999997</v>
      </c>
      <c r="T14" s="3">
        <v>4.3165467625899297E-2</v>
      </c>
      <c r="U14" s="3"/>
      <c r="V14" s="3">
        <v>9.8666666666666707</v>
      </c>
      <c r="W14" s="3"/>
      <c r="X14" s="3"/>
    </row>
    <row r="15" spans="1:24" x14ac:dyDescent="0.25">
      <c r="A15" s="4" t="s">
        <v>597</v>
      </c>
      <c r="B15" s="4" t="s">
        <v>584</v>
      </c>
      <c r="C15" s="4" t="s">
        <v>38</v>
      </c>
      <c r="D15" s="4">
        <v>8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13</v>
      </c>
      <c r="N15" s="4">
        <v>9</v>
      </c>
      <c r="O15" s="4">
        <v>79</v>
      </c>
      <c r="P15" s="4">
        <v>2</v>
      </c>
      <c r="Q15" s="4">
        <v>0</v>
      </c>
      <c r="R15" s="4">
        <v>0</v>
      </c>
      <c r="S15" s="4">
        <v>28.9</v>
      </c>
      <c r="T15" s="4">
        <v>2.3381294964028802E-2</v>
      </c>
      <c r="U15" s="4"/>
      <c r="V15" s="4">
        <v>8.7777777777777803</v>
      </c>
      <c r="W15" s="4"/>
      <c r="X15" s="4"/>
    </row>
    <row r="16" spans="1:24" x14ac:dyDescent="0.25">
      <c r="A16" s="3" t="s">
        <v>598</v>
      </c>
      <c r="B16" s="3" t="s">
        <v>584</v>
      </c>
      <c r="C16" s="3" t="s">
        <v>38</v>
      </c>
      <c r="D16" s="3">
        <v>10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55</v>
      </c>
      <c r="N16" s="3">
        <v>33</v>
      </c>
      <c r="O16" s="3">
        <v>411</v>
      </c>
      <c r="P16" s="3">
        <v>2</v>
      </c>
      <c r="Q16" s="3">
        <v>0</v>
      </c>
      <c r="R16" s="3">
        <v>0</v>
      </c>
      <c r="S16" s="3">
        <v>86.1</v>
      </c>
      <c r="T16" s="3">
        <v>9.89208633093525E-2</v>
      </c>
      <c r="U16" s="3"/>
      <c r="V16" s="3">
        <v>12.454545454545499</v>
      </c>
      <c r="W16" s="3"/>
      <c r="X16" s="3"/>
    </row>
    <row r="17" spans="1:24" x14ac:dyDescent="0.25">
      <c r="A17" s="4" t="s">
        <v>599</v>
      </c>
      <c r="B17" s="4" t="s">
        <v>584</v>
      </c>
      <c r="C17" s="4" t="s">
        <v>43</v>
      </c>
      <c r="D17" s="4">
        <v>4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14</v>
      </c>
      <c r="N17" s="4">
        <v>6</v>
      </c>
      <c r="O17" s="4">
        <v>42</v>
      </c>
      <c r="P17" s="4">
        <v>1</v>
      </c>
      <c r="Q17" s="4">
        <v>0</v>
      </c>
      <c r="R17" s="4">
        <v>0</v>
      </c>
      <c r="S17" s="4">
        <v>16.2</v>
      </c>
      <c r="T17" s="4">
        <v>2.5179856115107899E-2</v>
      </c>
      <c r="U17" s="4"/>
      <c r="V17" s="4">
        <v>7</v>
      </c>
      <c r="W17" s="4"/>
      <c r="X17" s="4"/>
    </row>
    <row r="18" spans="1:24" x14ac:dyDescent="0.25">
      <c r="A18" s="3" t="s">
        <v>600</v>
      </c>
      <c r="B18" s="3" t="s">
        <v>584</v>
      </c>
      <c r="C18" s="3" t="s">
        <v>43</v>
      </c>
      <c r="D18" s="3">
        <v>15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1</v>
      </c>
      <c r="K18" s="3">
        <v>5</v>
      </c>
      <c r="L18" s="3">
        <v>0</v>
      </c>
      <c r="M18" s="3">
        <v>109</v>
      </c>
      <c r="N18" s="3">
        <v>64</v>
      </c>
      <c r="O18" s="3">
        <v>829</v>
      </c>
      <c r="P18" s="3">
        <v>2</v>
      </c>
      <c r="Q18" s="3">
        <v>0</v>
      </c>
      <c r="R18" s="3">
        <v>0</v>
      </c>
      <c r="S18" s="3">
        <v>159.4</v>
      </c>
      <c r="T18" s="3">
        <v>0.19604316546762601</v>
      </c>
      <c r="U18" s="3">
        <v>5</v>
      </c>
      <c r="V18" s="3">
        <v>12.953125</v>
      </c>
      <c r="W18" s="3"/>
      <c r="X18" s="3"/>
    </row>
    <row r="19" spans="1:24" x14ac:dyDescent="0.25">
      <c r="A19" s="4" t="s">
        <v>601</v>
      </c>
      <c r="B19" s="4" t="s">
        <v>584</v>
      </c>
      <c r="C19" s="4" t="s">
        <v>43</v>
      </c>
      <c r="D19" s="4">
        <v>3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6</v>
      </c>
      <c r="N19" s="4">
        <v>4</v>
      </c>
      <c r="O19" s="4">
        <v>74</v>
      </c>
      <c r="P19" s="4">
        <v>0</v>
      </c>
      <c r="Q19" s="4">
        <v>0</v>
      </c>
      <c r="R19" s="4">
        <v>0</v>
      </c>
      <c r="S19" s="4">
        <v>11.4</v>
      </c>
      <c r="T19" s="4">
        <v>1.07913669064748E-2</v>
      </c>
      <c r="U19" s="4"/>
      <c r="V19" s="4">
        <v>18.5</v>
      </c>
      <c r="W19" s="4"/>
      <c r="X19" s="4"/>
    </row>
    <row r="20" spans="1:24" x14ac:dyDescent="0.25">
      <c r="A20" s="3" t="s">
        <v>602</v>
      </c>
      <c r="B20" s="3" t="s">
        <v>584</v>
      </c>
      <c r="C20" s="3" t="s">
        <v>43</v>
      </c>
      <c r="D20" s="3">
        <v>15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4</v>
      </c>
      <c r="K20" s="3">
        <v>40</v>
      </c>
      <c r="L20" s="3">
        <v>0</v>
      </c>
      <c r="M20" s="3">
        <v>100</v>
      </c>
      <c r="N20" s="3">
        <v>67</v>
      </c>
      <c r="O20" s="3">
        <v>972</v>
      </c>
      <c r="P20" s="3">
        <v>6</v>
      </c>
      <c r="Q20" s="3">
        <v>0</v>
      </c>
      <c r="R20" s="3">
        <v>0</v>
      </c>
      <c r="S20" s="3">
        <v>204.2</v>
      </c>
      <c r="T20" s="3">
        <v>0.17985611510791399</v>
      </c>
      <c r="U20" s="3">
        <v>10</v>
      </c>
      <c r="V20" s="3">
        <v>14.5074626865672</v>
      </c>
      <c r="W20" s="3"/>
      <c r="X20" s="3"/>
    </row>
    <row r="21" spans="1:24" x14ac:dyDescent="0.25">
      <c r="A21" s="4" t="s">
        <v>603</v>
      </c>
      <c r="B21" s="4" t="s">
        <v>584</v>
      </c>
      <c r="C21" s="4" t="s">
        <v>43</v>
      </c>
      <c r="D21" s="4">
        <v>4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5</v>
      </c>
      <c r="N21" s="4">
        <v>2</v>
      </c>
      <c r="O21" s="4">
        <v>75</v>
      </c>
      <c r="P21" s="4">
        <v>1</v>
      </c>
      <c r="Q21" s="4">
        <v>0</v>
      </c>
      <c r="R21" s="4">
        <v>0</v>
      </c>
      <c r="S21" s="4">
        <v>15.5</v>
      </c>
      <c r="T21" s="4">
        <v>8.9928057553956796E-3</v>
      </c>
      <c r="U21" s="4"/>
      <c r="V21" s="4">
        <v>37.5</v>
      </c>
      <c r="W21" s="4"/>
      <c r="X21" s="4"/>
    </row>
    <row r="22" spans="1:24" x14ac:dyDescent="0.25">
      <c r="A22" s="3" t="s">
        <v>604</v>
      </c>
      <c r="B22" s="3" t="s">
        <v>584</v>
      </c>
      <c r="C22" s="3" t="s">
        <v>43</v>
      </c>
      <c r="D22" s="3">
        <v>6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2</v>
      </c>
      <c r="K22" s="3">
        <v>23</v>
      </c>
      <c r="L22" s="3">
        <v>0</v>
      </c>
      <c r="M22" s="3">
        <v>14</v>
      </c>
      <c r="N22" s="3">
        <v>7</v>
      </c>
      <c r="O22" s="3">
        <v>165</v>
      </c>
      <c r="P22" s="3">
        <v>0</v>
      </c>
      <c r="Q22" s="3">
        <v>0</v>
      </c>
      <c r="R22" s="3">
        <v>0</v>
      </c>
      <c r="S22" s="3">
        <v>25.8</v>
      </c>
      <c r="T22" s="3">
        <v>2.5179856115107899E-2</v>
      </c>
      <c r="U22" s="3">
        <v>11.5</v>
      </c>
      <c r="V22" s="3">
        <v>23.571428571428601</v>
      </c>
      <c r="W22" s="3"/>
      <c r="X22" s="3"/>
    </row>
    <row r="23" spans="1:24" x14ac:dyDescent="0.25">
      <c r="A23" s="4" t="s">
        <v>605</v>
      </c>
      <c r="B23" s="4" t="s">
        <v>584</v>
      </c>
      <c r="C23" s="4" t="s">
        <v>43</v>
      </c>
      <c r="D23" s="4">
        <v>11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2</v>
      </c>
      <c r="K23" s="4">
        <v>13</v>
      </c>
      <c r="L23" s="4">
        <v>0</v>
      </c>
      <c r="M23" s="4">
        <v>33</v>
      </c>
      <c r="N23" s="4">
        <v>24</v>
      </c>
      <c r="O23" s="4">
        <v>311</v>
      </c>
      <c r="P23" s="4">
        <v>0</v>
      </c>
      <c r="Q23" s="4">
        <v>0</v>
      </c>
      <c r="R23" s="4">
        <v>0</v>
      </c>
      <c r="S23" s="4">
        <v>56.4</v>
      </c>
      <c r="T23" s="4">
        <v>5.9352517985611503E-2</v>
      </c>
      <c r="U23" s="4">
        <v>6.5</v>
      </c>
      <c r="V23" s="4">
        <v>12.9583333333333</v>
      </c>
      <c r="W23" s="4"/>
      <c r="X23" s="4"/>
    </row>
    <row r="24" spans="1:24" x14ac:dyDescent="0.25">
      <c r="A24" s="3" t="s">
        <v>606</v>
      </c>
      <c r="B24" s="3" t="s">
        <v>584</v>
      </c>
      <c r="C24" s="3" t="s">
        <v>43</v>
      </c>
      <c r="D24" s="3">
        <v>9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5</v>
      </c>
      <c r="K24" s="3">
        <v>30</v>
      </c>
      <c r="L24" s="3">
        <v>0</v>
      </c>
      <c r="M24" s="3">
        <v>9</v>
      </c>
      <c r="N24" s="3">
        <v>4</v>
      </c>
      <c r="O24" s="3">
        <v>2</v>
      </c>
      <c r="P24" s="3">
        <v>0</v>
      </c>
      <c r="Q24" s="3">
        <v>0</v>
      </c>
      <c r="R24" s="3">
        <v>0</v>
      </c>
      <c r="S24" s="3">
        <v>7.2</v>
      </c>
      <c r="T24" s="3">
        <v>1.6187050359712199E-2</v>
      </c>
      <c r="U24" s="3">
        <v>6</v>
      </c>
      <c r="V24" s="3">
        <v>0.5</v>
      </c>
      <c r="W24" s="3"/>
      <c r="X24" s="3"/>
    </row>
    <row r="25" spans="1:24" x14ac:dyDescent="0.25">
      <c r="A25" s="4" t="s">
        <v>607</v>
      </c>
      <c r="B25" s="4" t="s">
        <v>584</v>
      </c>
      <c r="C25" s="4" t="s">
        <v>43</v>
      </c>
      <c r="D25" s="4">
        <v>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7</v>
      </c>
      <c r="N25" s="4">
        <v>2</v>
      </c>
      <c r="O25" s="4">
        <v>28</v>
      </c>
      <c r="P25" s="4">
        <v>0</v>
      </c>
      <c r="Q25" s="4">
        <v>0</v>
      </c>
      <c r="R25" s="4">
        <v>0</v>
      </c>
      <c r="S25" s="4">
        <v>4.8</v>
      </c>
      <c r="T25" s="4">
        <v>1.2589928057554E-2</v>
      </c>
      <c r="U25" s="4"/>
      <c r="V25" s="4">
        <v>14</v>
      </c>
      <c r="W25" s="4"/>
      <c r="X25" s="4"/>
    </row>
    <row r="30" spans="1:24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</row>
    <row r="31" spans="1:24" x14ac:dyDescent="0.25">
      <c r="A31" s="3" t="s">
        <v>584</v>
      </c>
      <c r="B31" s="3">
        <v>5942</v>
      </c>
      <c r="C31" s="3">
        <v>4007</v>
      </c>
      <c r="D31" s="3">
        <v>444</v>
      </c>
      <c r="E31" s="3">
        <v>1935</v>
      </c>
      <c r="F31" s="3">
        <v>11</v>
      </c>
      <c r="G31" s="3">
        <v>1305.48</v>
      </c>
      <c r="H31" s="3">
        <v>571</v>
      </c>
      <c r="I31" s="3">
        <v>0.60420315236427302</v>
      </c>
      <c r="J31" s="3">
        <v>18</v>
      </c>
      <c r="K31" s="3">
        <v>15</v>
      </c>
      <c r="L31" s="3">
        <v>6</v>
      </c>
    </row>
    <row r="32" spans="1:24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</row>
    <row r="33" spans="1:28" x14ac:dyDescent="0.25">
      <c r="A33" s="3" t="str">
        <f>A31</f>
        <v>DEN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608</v>
      </c>
      <c r="B36" s="3" t="s">
        <v>26</v>
      </c>
      <c r="C36" s="3">
        <v>26</v>
      </c>
      <c r="D36" s="3">
        <v>2</v>
      </c>
      <c r="E36" s="3" t="s">
        <v>609</v>
      </c>
      <c r="F36" s="3" t="s">
        <v>584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">
        <v>0</v>
      </c>
      <c r="X36" s="3">
        <v>0</v>
      </c>
      <c r="Y36" s="3">
        <v>0</v>
      </c>
      <c r="Z36" s="3">
        <v>0</v>
      </c>
      <c r="AA36" s="3">
        <v>0</v>
      </c>
      <c r="AB36" s="3">
        <v>0</v>
      </c>
    </row>
    <row r="37" spans="1:28" x14ac:dyDescent="0.25">
      <c r="A37" s="4" t="s">
        <v>610</v>
      </c>
      <c r="B37" s="4" t="s">
        <v>26</v>
      </c>
      <c r="C37" s="4">
        <v>27</v>
      </c>
      <c r="D37" s="4">
        <v>4</v>
      </c>
      <c r="E37" s="4" t="s">
        <v>464</v>
      </c>
      <c r="F37" s="4" t="s">
        <v>584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</row>
    <row r="38" spans="1:28" x14ac:dyDescent="0.25">
      <c r="A38" s="3" t="s">
        <v>611</v>
      </c>
      <c r="B38" s="3" t="s">
        <v>26</v>
      </c>
      <c r="C38" s="3">
        <v>34</v>
      </c>
      <c r="D38" s="3">
        <v>12</v>
      </c>
      <c r="E38" s="3" t="s">
        <v>72</v>
      </c>
      <c r="F38" s="3" t="s">
        <v>584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v>0</v>
      </c>
      <c r="W38" s="3">
        <v>0</v>
      </c>
      <c r="X38" s="3">
        <v>0</v>
      </c>
      <c r="Y38" s="3">
        <v>0</v>
      </c>
      <c r="Z38" s="3">
        <v>0</v>
      </c>
      <c r="AA38" s="3">
        <v>0</v>
      </c>
      <c r="AB38" s="3"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612</v>
      </c>
      <c r="B46" s="3" t="s">
        <v>31</v>
      </c>
      <c r="C46" s="3">
        <v>23</v>
      </c>
      <c r="D46" s="3">
        <v>1</v>
      </c>
      <c r="E46" s="3" t="s">
        <v>613</v>
      </c>
      <c r="F46" s="3" t="s">
        <v>584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v>0</v>
      </c>
      <c r="W46" s="3">
        <v>0</v>
      </c>
      <c r="X46" s="3">
        <v>0</v>
      </c>
      <c r="Y46" s="3">
        <v>0</v>
      </c>
      <c r="Z46" s="3">
        <v>0</v>
      </c>
      <c r="AA46" s="3">
        <v>0</v>
      </c>
      <c r="AB46" s="3">
        <f t="shared" ref="AB46:AB51" si="0">($J46*Cp_yd)+($K46*Cp_td)+($L46*Cint)+($M46*Ccar)+($N46*Cr_td)+($O46*Cr_yd)+(Q46*Crec)+($R46*Crec_yd)+($S46*Crec_td)+($T46*Cfmb)+($U46*Ctp_c)</f>
        <v>0</v>
      </c>
    </row>
    <row r="47" spans="1:28" x14ac:dyDescent="0.25">
      <c r="A47" s="4" t="s">
        <v>614</v>
      </c>
      <c r="B47" s="4" t="s">
        <v>31</v>
      </c>
      <c r="C47" s="4">
        <v>25</v>
      </c>
      <c r="D47" s="4">
        <v>3</v>
      </c>
      <c r="E47" s="4" t="s">
        <v>362</v>
      </c>
      <c r="F47" s="4" t="s">
        <v>584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f t="shared" si="0"/>
        <v>0</v>
      </c>
    </row>
    <row r="48" spans="1:28" x14ac:dyDescent="0.25">
      <c r="A48" s="3" t="s">
        <v>615</v>
      </c>
      <c r="B48" s="3" t="s">
        <v>31</v>
      </c>
      <c r="C48" s="3">
        <v>22</v>
      </c>
      <c r="D48" s="3">
        <v>0</v>
      </c>
      <c r="E48" s="3" t="s">
        <v>616</v>
      </c>
      <c r="F48" s="3" t="s">
        <v>584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v>0</v>
      </c>
      <c r="W48" s="3">
        <v>0</v>
      </c>
      <c r="X48" s="3">
        <v>0</v>
      </c>
      <c r="Y48" s="3">
        <v>0</v>
      </c>
      <c r="Z48" s="3">
        <v>0</v>
      </c>
      <c r="AA48" s="3">
        <v>0</v>
      </c>
      <c r="AB48" s="3">
        <f t="shared" si="0"/>
        <v>0</v>
      </c>
    </row>
    <row r="49" spans="1:28" x14ac:dyDescent="0.25">
      <c r="A49" s="4" t="s">
        <v>617</v>
      </c>
      <c r="B49" s="4" t="s">
        <v>31</v>
      </c>
      <c r="C49" s="4">
        <v>27</v>
      </c>
      <c r="D49" s="4">
        <v>7</v>
      </c>
      <c r="E49" s="4" t="s">
        <v>68</v>
      </c>
      <c r="F49" s="4" t="s">
        <v>584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B49" s="4">
        <f t="shared" si="0"/>
        <v>0</v>
      </c>
    </row>
    <row r="50" spans="1:28" x14ac:dyDescent="0.25">
      <c r="A50" s="3" t="s">
        <v>618</v>
      </c>
      <c r="B50" s="3" t="s">
        <v>31</v>
      </c>
      <c r="C50" s="3">
        <v>29</v>
      </c>
      <c r="D50" s="3">
        <v>8</v>
      </c>
      <c r="E50" s="3" t="s">
        <v>86</v>
      </c>
      <c r="F50" s="3" t="s">
        <v>584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v>0</v>
      </c>
      <c r="W50" s="3">
        <v>0</v>
      </c>
      <c r="X50" s="3">
        <v>0</v>
      </c>
      <c r="Y50" s="3">
        <v>0</v>
      </c>
      <c r="Z50" s="3">
        <v>0</v>
      </c>
      <c r="AA50" s="3">
        <v>0</v>
      </c>
      <c r="AB50" s="3">
        <f t="shared" si="0"/>
        <v>0</v>
      </c>
    </row>
    <row r="51" spans="1:28" x14ac:dyDescent="0.25">
      <c r="A51" s="4" t="s">
        <v>619</v>
      </c>
      <c r="B51" s="4" t="s">
        <v>31</v>
      </c>
      <c r="C51" s="4">
        <v>23</v>
      </c>
      <c r="D51" s="4">
        <v>3</v>
      </c>
      <c r="E51" s="4" t="s">
        <v>163</v>
      </c>
      <c r="F51" s="4" t="s">
        <v>584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v>0</v>
      </c>
      <c r="W51" s="4">
        <v>0</v>
      </c>
      <c r="X51" s="4">
        <v>0</v>
      </c>
      <c r="Y51" s="4">
        <v>0</v>
      </c>
      <c r="Z51" s="4">
        <v>0</v>
      </c>
      <c r="AA51" s="4">
        <v>0</v>
      </c>
      <c r="AB51" s="4">
        <f t="shared" si="0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620</v>
      </c>
      <c r="B61" s="3" t="s">
        <v>43</v>
      </c>
      <c r="C61" s="3">
        <v>25</v>
      </c>
      <c r="D61" s="3">
        <v>2</v>
      </c>
      <c r="E61" s="3" t="s">
        <v>211</v>
      </c>
      <c r="F61" s="3" t="s">
        <v>584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v>0</v>
      </c>
      <c r="W61" s="3">
        <v>0</v>
      </c>
      <c r="X61" s="3">
        <v>0</v>
      </c>
      <c r="Y61" s="3">
        <v>0</v>
      </c>
      <c r="Z61" s="3">
        <v>0</v>
      </c>
      <c r="AA61" s="3">
        <v>0</v>
      </c>
      <c r="AB61" s="3">
        <v>0</v>
      </c>
    </row>
    <row r="62" spans="1:28" x14ac:dyDescent="0.25">
      <c r="A62" s="4" t="s">
        <v>621</v>
      </c>
      <c r="B62" s="4" t="s">
        <v>43</v>
      </c>
      <c r="C62" s="4">
        <v>25</v>
      </c>
      <c r="D62" s="4">
        <v>4</v>
      </c>
      <c r="E62" s="4" t="s">
        <v>143</v>
      </c>
      <c r="F62" s="4" t="s">
        <v>584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0</v>
      </c>
      <c r="X62" s="4">
        <v>0</v>
      </c>
      <c r="Y62" s="4">
        <v>0</v>
      </c>
      <c r="Z62" s="4">
        <v>0</v>
      </c>
      <c r="AA62" s="4">
        <v>0</v>
      </c>
      <c r="AB62" s="4">
        <v>0</v>
      </c>
    </row>
    <row r="63" spans="1:28" x14ac:dyDescent="0.25">
      <c r="A63" s="3" t="s">
        <v>622</v>
      </c>
      <c r="B63" s="3" t="s">
        <v>43</v>
      </c>
      <c r="C63" s="3">
        <v>23</v>
      </c>
      <c r="D63" s="3">
        <v>0</v>
      </c>
      <c r="E63" s="3" t="s">
        <v>623</v>
      </c>
      <c r="F63" s="3" t="s">
        <v>584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v>0</v>
      </c>
      <c r="W63" s="3">
        <v>0</v>
      </c>
      <c r="X63" s="3">
        <v>0</v>
      </c>
      <c r="Y63" s="3">
        <v>0</v>
      </c>
      <c r="Z63" s="3">
        <v>0</v>
      </c>
      <c r="AA63" s="3">
        <v>0</v>
      </c>
      <c r="AB63" s="3">
        <v>0</v>
      </c>
    </row>
    <row r="64" spans="1:28" x14ac:dyDescent="0.25">
      <c r="A64" s="4" t="s">
        <v>624</v>
      </c>
      <c r="B64" s="4" t="s">
        <v>43</v>
      </c>
      <c r="C64" s="4">
        <v>26</v>
      </c>
      <c r="D64" s="4">
        <v>3</v>
      </c>
      <c r="E64" s="4" t="s">
        <v>95</v>
      </c>
      <c r="F64" s="4" t="s">
        <v>584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</row>
    <row r="65" spans="1:28" x14ac:dyDescent="0.25">
      <c r="A65" s="3" t="s">
        <v>625</v>
      </c>
      <c r="B65" s="3" t="s">
        <v>43</v>
      </c>
      <c r="C65" s="3">
        <v>25</v>
      </c>
      <c r="D65" s="3">
        <v>4</v>
      </c>
      <c r="E65" s="3" t="s">
        <v>66</v>
      </c>
      <c r="F65" s="3" t="s">
        <v>584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v>0</v>
      </c>
      <c r="W65" s="3">
        <v>0</v>
      </c>
      <c r="X65" s="3">
        <v>0</v>
      </c>
      <c r="Y65" s="3">
        <v>0</v>
      </c>
      <c r="Z65" s="3">
        <v>0</v>
      </c>
      <c r="AA65" s="3">
        <v>0</v>
      </c>
      <c r="AB65" s="3">
        <v>0</v>
      </c>
    </row>
    <row r="66" spans="1:28" x14ac:dyDescent="0.25">
      <c r="A66" s="4" t="s">
        <v>626</v>
      </c>
      <c r="B66" s="4" t="s">
        <v>43</v>
      </c>
      <c r="C66" s="4">
        <v>24</v>
      </c>
      <c r="D66" s="4">
        <v>4</v>
      </c>
      <c r="E66" s="4" t="s">
        <v>153</v>
      </c>
      <c r="F66" s="4" t="s">
        <v>584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</row>
    <row r="67" spans="1:28" x14ac:dyDescent="0.25">
      <c r="A67" s="3" t="s">
        <v>627</v>
      </c>
      <c r="B67" s="3" t="s">
        <v>43</v>
      </c>
      <c r="C67" s="3">
        <v>25</v>
      </c>
      <c r="D67" s="3">
        <v>2</v>
      </c>
      <c r="E67" s="3" t="s">
        <v>282</v>
      </c>
      <c r="F67" s="3" t="s">
        <v>584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v>0</v>
      </c>
      <c r="W67" s="3">
        <v>0</v>
      </c>
      <c r="X67" s="3">
        <v>0</v>
      </c>
      <c r="Y67" s="3">
        <v>0</v>
      </c>
      <c r="Z67" s="3">
        <v>0</v>
      </c>
      <c r="AA67" s="3">
        <v>0</v>
      </c>
      <c r="AB67" s="3">
        <v>0</v>
      </c>
    </row>
    <row r="68" spans="1:28" x14ac:dyDescent="0.25">
      <c r="A68" s="4" t="s">
        <v>628</v>
      </c>
      <c r="B68" s="4" t="s">
        <v>43</v>
      </c>
      <c r="C68" s="4">
        <v>26</v>
      </c>
      <c r="D68" s="4">
        <v>2</v>
      </c>
      <c r="E68" s="4" t="s">
        <v>629</v>
      </c>
      <c r="F68" s="4" t="s">
        <v>584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0</v>
      </c>
      <c r="X68" s="4">
        <v>0</v>
      </c>
      <c r="Y68" s="4">
        <v>0</v>
      </c>
      <c r="Z68" s="4">
        <v>0</v>
      </c>
      <c r="AA68" s="4">
        <v>0</v>
      </c>
      <c r="AB68" s="4">
        <v>0</v>
      </c>
    </row>
    <row r="69" spans="1:28" x14ac:dyDescent="0.25">
      <c r="A69" s="3" t="s">
        <v>630</v>
      </c>
      <c r="B69" s="3" t="s">
        <v>43</v>
      </c>
      <c r="C69" s="3">
        <v>21</v>
      </c>
      <c r="D69" s="3">
        <v>0</v>
      </c>
      <c r="E69" s="3" t="s">
        <v>68</v>
      </c>
      <c r="F69" s="3" t="s">
        <v>584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v>0</v>
      </c>
      <c r="W69" s="3">
        <v>0</v>
      </c>
      <c r="X69" s="3">
        <v>0</v>
      </c>
      <c r="Y69" s="3">
        <v>0</v>
      </c>
      <c r="Z69" s="3">
        <v>0</v>
      </c>
      <c r="AA69" s="3">
        <v>0</v>
      </c>
      <c r="AB69" s="3">
        <v>0</v>
      </c>
    </row>
    <row r="70" spans="1:28" x14ac:dyDescent="0.25">
      <c r="A70" s="4" t="s">
        <v>631</v>
      </c>
      <c r="B70" s="4" t="s">
        <v>43</v>
      </c>
      <c r="C70" s="4">
        <v>29</v>
      </c>
      <c r="D70" s="4">
        <v>6</v>
      </c>
      <c r="E70" s="4" t="s">
        <v>207</v>
      </c>
      <c r="F70" s="4" t="s">
        <v>584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0</v>
      </c>
      <c r="X70" s="4">
        <v>0</v>
      </c>
      <c r="Y70" s="4">
        <v>0</v>
      </c>
      <c r="Z70" s="4">
        <v>0</v>
      </c>
      <c r="AA70" s="4">
        <v>0</v>
      </c>
      <c r="AB70" s="4">
        <v>0</v>
      </c>
    </row>
    <row r="71" spans="1:28" x14ac:dyDescent="0.25">
      <c r="A71" s="3" t="s">
        <v>632</v>
      </c>
      <c r="B71" s="3" t="s">
        <v>43</v>
      </c>
      <c r="C71" s="3">
        <v>27</v>
      </c>
      <c r="D71" s="3">
        <v>6</v>
      </c>
      <c r="E71" s="3" t="s">
        <v>237</v>
      </c>
      <c r="F71" s="3" t="s">
        <v>584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v>0</v>
      </c>
      <c r="W71" s="3">
        <v>0</v>
      </c>
      <c r="X71" s="3">
        <v>0</v>
      </c>
      <c r="Y71" s="3">
        <v>0</v>
      </c>
      <c r="Z71" s="3">
        <v>0</v>
      </c>
      <c r="AA71" s="3">
        <v>0</v>
      </c>
      <c r="AB71" s="3">
        <v>0</v>
      </c>
    </row>
    <row r="72" spans="1:28" x14ac:dyDescent="0.25">
      <c r="A72" s="4" t="s">
        <v>633</v>
      </c>
      <c r="B72" s="4" t="s">
        <v>43</v>
      </c>
      <c r="C72" s="4">
        <v>25</v>
      </c>
      <c r="D72" s="4">
        <v>2</v>
      </c>
      <c r="E72" s="4" t="s">
        <v>277</v>
      </c>
      <c r="F72" s="4" t="s">
        <v>584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v>0</v>
      </c>
      <c r="W72" s="4">
        <v>0</v>
      </c>
      <c r="X72" s="4">
        <v>0</v>
      </c>
      <c r="Y72" s="4">
        <v>0</v>
      </c>
      <c r="Z72" s="4">
        <v>0</v>
      </c>
      <c r="AA72" s="4">
        <v>0</v>
      </c>
      <c r="AB72" s="4">
        <v>0</v>
      </c>
    </row>
    <row r="73" spans="1:28" x14ac:dyDescent="0.25">
      <c r="A73" s="3" t="s">
        <v>634</v>
      </c>
      <c r="B73" s="3" t="s">
        <v>43</v>
      </c>
      <c r="C73" s="3">
        <v>24</v>
      </c>
      <c r="D73" s="3">
        <v>2</v>
      </c>
      <c r="E73" s="3" t="s">
        <v>635</v>
      </c>
      <c r="F73" s="3" t="s">
        <v>584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v>0</v>
      </c>
      <c r="W73" s="3">
        <v>0</v>
      </c>
      <c r="X73" s="3">
        <v>0</v>
      </c>
      <c r="Y73" s="3">
        <v>0</v>
      </c>
      <c r="Z73" s="3">
        <v>0</v>
      </c>
      <c r="AA73" s="3">
        <v>0</v>
      </c>
      <c r="AB73" s="3">
        <v>0</v>
      </c>
    </row>
    <row r="74" spans="1:28" x14ac:dyDescent="0.25">
      <c r="A74" s="4" t="s">
        <v>636</v>
      </c>
      <c r="B74" s="4" t="s">
        <v>43</v>
      </c>
      <c r="C74" s="4"/>
      <c r="D74" s="4">
        <v>0</v>
      </c>
      <c r="E74" s="4" t="s">
        <v>637</v>
      </c>
      <c r="F74" s="4" t="s">
        <v>584</v>
      </c>
      <c r="G74" s="4">
        <v>0</v>
      </c>
      <c r="H74" s="4">
        <v>0</v>
      </c>
      <c r="I74" s="4">
        <v>0</v>
      </c>
      <c r="J74" s="4">
        <v>0</v>
      </c>
      <c r="K74" s="4">
        <v>0</v>
      </c>
      <c r="L74" s="4">
        <v>0</v>
      </c>
      <c r="M74" s="4">
        <v>0</v>
      </c>
      <c r="N74" s="4">
        <v>0</v>
      </c>
      <c r="O74" s="4">
        <v>0</v>
      </c>
      <c r="P74" s="4">
        <v>0</v>
      </c>
      <c r="Q74" s="4">
        <v>0</v>
      </c>
      <c r="R74" s="4">
        <v>0</v>
      </c>
      <c r="S74" s="4">
        <v>0</v>
      </c>
      <c r="T74" s="4">
        <v>0</v>
      </c>
      <c r="U74" s="4">
        <v>0</v>
      </c>
      <c r="V74" s="4">
        <v>0</v>
      </c>
      <c r="W74" s="4">
        <v>0</v>
      </c>
      <c r="X74" s="4">
        <v>0</v>
      </c>
      <c r="Y74" s="4">
        <v>0</v>
      </c>
      <c r="Z74" s="4">
        <v>0</v>
      </c>
      <c r="AA74" s="4">
        <v>0</v>
      </c>
      <c r="AB74" s="4"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638</v>
      </c>
      <c r="B76" s="3" t="s">
        <v>38</v>
      </c>
      <c r="C76" s="3">
        <v>24</v>
      </c>
      <c r="D76" s="3">
        <v>0</v>
      </c>
      <c r="E76" s="3" t="s">
        <v>341</v>
      </c>
      <c r="F76" s="3" t="s">
        <v>584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v>0</v>
      </c>
      <c r="W76" s="3">
        <v>0</v>
      </c>
      <c r="X76" s="3">
        <v>0</v>
      </c>
      <c r="Y76" s="3">
        <v>0</v>
      </c>
      <c r="Z76" s="3">
        <v>0</v>
      </c>
      <c r="AA76" s="3">
        <v>0</v>
      </c>
      <c r="AB76" s="3">
        <v>0</v>
      </c>
    </row>
    <row r="77" spans="1:28" x14ac:dyDescent="0.25">
      <c r="A77" s="4" t="s">
        <v>639</v>
      </c>
      <c r="B77" s="4" t="s">
        <v>38</v>
      </c>
      <c r="C77" s="4">
        <v>23</v>
      </c>
      <c r="D77" s="4">
        <v>2</v>
      </c>
      <c r="E77" s="4" t="s">
        <v>418</v>
      </c>
      <c r="F77" s="4" t="s">
        <v>584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v>0</v>
      </c>
      <c r="W77" s="4">
        <v>0</v>
      </c>
      <c r="X77" s="4">
        <v>0</v>
      </c>
      <c r="Y77" s="4">
        <v>0</v>
      </c>
      <c r="Z77" s="4">
        <v>0</v>
      </c>
      <c r="AA77" s="4">
        <v>0</v>
      </c>
      <c r="AB77" s="4">
        <v>0</v>
      </c>
    </row>
    <row r="78" spans="1:28" x14ac:dyDescent="0.25">
      <c r="A78" s="3" t="s">
        <v>640</v>
      </c>
      <c r="B78" s="3" t="s">
        <v>38</v>
      </c>
      <c r="C78" s="3">
        <v>26</v>
      </c>
      <c r="D78" s="3">
        <v>2</v>
      </c>
      <c r="E78" s="3" t="s">
        <v>155</v>
      </c>
      <c r="F78" s="3" t="s">
        <v>584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v>0</v>
      </c>
      <c r="W78" s="3">
        <v>0</v>
      </c>
      <c r="X78" s="3">
        <v>0</v>
      </c>
      <c r="Y78" s="3">
        <v>0</v>
      </c>
      <c r="Z78" s="3">
        <v>0</v>
      </c>
      <c r="AA78" s="3">
        <v>0</v>
      </c>
      <c r="AB78" s="3">
        <v>0</v>
      </c>
    </row>
    <row r="79" spans="1:28" x14ac:dyDescent="0.25">
      <c r="A79" s="4" t="s">
        <v>641</v>
      </c>
      <c r="B79" s="4" t="s">
        <v>38</v>
      </c>
      <c r="C79" s="4">
        <v>31</v>
      </c>
      <c r="D79" s="4">
        <v>8</v>
      </c>
      <c r="E79" s="4" t="s">
        <v>642</v>
      </c>
      <c r="F79" s="4" t="s">
        <v>584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v>0</v>
      </c>
      <c r="W79" s="4">
        <v>0</v>
      </c>
      <c r="X79" s="4">
        <v>0</v>
      </c>
      <c r="Y79" s="4">
        <v>0</v>
      </c>
      <c r="Z79" s="4">
        <v>0</v>
      </c>
      <c r="AA79" s="4">
        <v>0</v>
      </c>
      <c r="AB79" s="4">
        <v>0</v>
      </c>
    </row>
    <row r="80" spans="1:28" x14ac:dyDescent="0.25">
      <c r="A80" s="3" t="s">
        <v>643</v>
      </c>
      <c r="B80" s="3" t="s">
        <v>38</v>
      </c>
      <c r="C80" s="3">
        <v>25</v>
      </c>
      <c r="D80" s="3">
        <v>4</v>
      </c>
      <c r="E80" s="3" t="s">
        <v>613</v>
      </c>
      <c r="F80" s="3" t="s">
        <v>584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v>0</v>
      </c>
      <c r="W80" s="3">
        <v>0</v>
      </c>
      <c r="X80" s="3">
        <v>0</v>
      </c>
      <c r="Y80" s="3">
        <v>0</v>
      </c>
      <c r="Z80" s="3">
        <v>0</v>
      </c>
      <c r="AA80" s="3">
        <v>0</v>
      </c>
      <c r="AB80" s="3">
        <v>0</v>
      </c>
    </row>
    <row r="81" spans="1:28" x14ac:dyDescent="0.25">
      <c r="A81" s="4" t="s">
        <v>644</v>
      </c>
      <c r="B81" s="4" t="s">
        <v>38</v>
      </c>
      <c r="C81" s="4">
        <v>26</v>
      </c>
      <c r="D81" s="4">
        <v>4</v>
      </c>
      <c r="E81" s="4" t="s">
        <v>645</v>
      </c>
      <c r="F81" s="4" t="s">
        <v>584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v>0</v>
      </c>
      <c r="W81" s="4">
        <v>0</v>
      </c>
      <c r="X81" s="4">
        <v>0</v>
      </c>
      <c r="Y81" s="4">
        <v>0</v>
      </c>
      <c r="Z81" s="4">
        <v>0</v>
      </c>
      <c r="AA81" s="4">
        <v>0</v>
      </c>
      <c r="AB81" s="4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AB81"/>
  <sheetViews>
    <sheetView topLeftCell="G19" workbookViewId="0">
      <selection activeCell="AB46" sqref="AB46:AB53"/>
    </sheetView>
  </sheetViews>
  <sheetFormatPr defaultColWidth="11.42578125" defaultRowHeight="15" x14ac:dyDescent="0.25"/>
  <sheetData>
    <row r="1" spans="1:24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</row>
    <row r="2" spans="1:24" x14ac:dyDescent="0.25">
      <c r="A2" s="3" t="s">
        <v>646</v>
      </c>
      <c r="B2" s="3" t="s">
        <v>647</v>
      </c>
      <c r="C2" s="3" t="s">
        <v>115</v>
      </c>
      <c r="D2" s="3">
        <v>4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1</v>
      </c>
      <c r="K2" s="3">
        <v>4</v>
      </c>
      <c r="L2" s="3">
        <v>0</v>
      </c>
      <c r="M2" s="3">
        <v>4</v>
      </c>
      <c r="N2" s="3">
        <v>1</v>
      </c>
      <c r="O2" s="3">
        <v>5</v>
      </c>
      <c r="P2" s="3">
        <v>0</v>
      </c>
      <c r="Q2" s="3">
        <v>0</v>
      </c>
      <c r="R2" s="3">
        <v>0</v>
      </c>
      <c r="S2" s="3">
        <v>1.9</v>
      </c>
      <c r="T2" s="3">
        <v>7.0052539404553398E-3</v>
      </c>
      <c r="U2" s="3">
        <v>4</v>
      </c>
      <c r="V2" s="3">
        <v>5</v>
      </c>
      <c r="W2" s="3"/>
      <c r="X2" s="3"/>
    </row>
    <row r="3" spans="1:24" x14ac:dyDescent="0.25">
      <c r="A3" s="4" t="s">
        <v>648</v>
      </c>
      <c r="B3" s="4" t="s">
        <v>647</v>
      </c>
      <c r="C3" s="4" t="s">
        <v>26</v>
      </c>
      <c r="D3" s="4">
        <v>17</v>
      </c>
      <c r="E3" s="4">
        <v>587</v>
      </c>
      <c r="F3" s="4">
        <v>382</v>
      </c>
      <c r="G3" s="4">
        <v>4438</v>
      </c>
      <c r="H3" s="4">
        <v>29</v>
      </c>
      <c r="I3" s="4">
        <v>7</v>
      </c>
      <c r="J3" s="4">
        <v>29</v>
      </c>
      <c r="K3" s="4">
        <v>73</v>
      </c>
      <c r="L3" s="4">
        <v>0</v>
      </c>
      <c r="M3" s="4">
        <v>1</v>
      </c>
      <c r="N3" s="4">
        <v>1</v>
      </c>
      <c r="O3" s="4">
        <v>5</v>
      </c>
      <c r="P3" s="4">
        <v>0</v>
      </c>
      <c r="Q3" s="4">
        <v>4</v>
      </c>
      <c r="R3" s="4">
        <v>2</v>
      </c>
      <c r="S3" s="4">
        <v>284.32</v>
      </c>
      <c r="T3" s="4">
        <v>1.7513134851138399E-3</v>
      </c>
      <c r="U3" s="4">
        <v>2.5172413793103399</v>
      </c>
      <c r="V3" s="4">
        <v>5</v>
      </c>
      <c r="W3" s="4">
        <v>0.65076660988074997</v>
      </c>
      <c r="X3" s="4">
        <v>4.9403747870528099E-2</v>
      </c>
    </row>
    <row r="4" spans="1:24" x14ac:dyDescent="0.25">
      <c r="A4" s="3" t="s">
        <v>649</v>
      </c>
      <c r="B4" s="3" t="s">
        <v>647</v>
      </c>
      <c r="C4" s="3" t="s">
        <v>26</v>
      </c>
      <c r="D4" s="3">
        <v>2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5</v>
      </c>
      <c r="K4" s="3">
        <v>-4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-0.4</v>
      </c>
      <c r="T4" s="3">
        <v>0</v>
      </c>
      <c r="U4" s="3">
        <v>-0.8</v>
      </c>
      <c r="V4" s="3"/>
      <c r="W4" s="3"/>
      <c r="X4" s="3"/>
    </row>
    <row r="5" spans="1:24" x14ac:dyDescent="0.25">
      <c r="A5" s="4" t="s">
        <v>650</v>
      </c>
      <c r="B5" s="4" t="s">
        <v>647</v>
      </c>
      <c r="C5" s="4" t="s">
        <v>31</v>
      </c>
      <c r="D5" s="4">
        <v>6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23</v>
      </c>
      <c r="K5" s="4">
        <v>102</v>
      </c>
      <c r="L5" s="4">
        <v>0</v>
      </c>
      <c r="M5" s="4">
        <v>10</v>
      </c>
      <c r="N5" s="4">
        <v>9</v>
      </c>
      <c r="O5" s="4">
        <v>116</v>
      </c>
      <c r="P5" s="4">
        <v>0</v>
      </c>
      <c r="Q5" s="4">
        <v>0</v>
      </c>
      <c r="R5" s="4">
        <v>0</v>
      </c>
      <c r="S5" s="4">
        <v>30.8</v>
      </c>
      <c r="T5" s="4">
        <v>1.7513134851138399E-2</v>
      </c>
      <c r="U5" s="4">
        <v>4.4347826086956497</v>
      </c>
      <c r="V5" s="4">
        <v>12.8888888888889</v>
      </c>
      <c r="W5" s="4"/>
      <c r="X5" s="4"/>
    </row>
    <row r="6" spans="1:24" x14ac:dyDescent="0.25">
      <c r="A6" s="3" t="s">
        <v>651</v>
      </c>
      <c r="B6" s="3" t="s">
        <v>647</v>
      </c>
      <c r="C6" s="3" t="s">
        <v>31</v>
      </c>
      <c r="D6" s="3">
        <v>14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99</v>
      </c>
      <c r="K6" s="3">
        <v>542</v>
      </c>
      <c r="L6" s="3">
        <v>5</v>
      </c>
      <c r="M6" s="3">
        <v>70</v>
      </c>
      <c r="N6" s="3">
        <v>48</v>
      </c>
      <c r="O6" s="3">
        <v>389</v>
      </c>
      <c r="P6" s="3">
        <v>3</v>
      </c>
      <c r="Q6" s="3">
        <v>0</v>
      </c>
      <c r="R6" s="3">
        <v>1</v>
      </c>
      <c r="S6" s="3">
        <v>191.1</v>
      </c>
      <c r="T6" s="3">
        <v>0.12259194395796801</v>
      </c>
      <c r="U6" s="3">
        <v>5.4747474747474696</v>
      </c>
      <c r="V6" s="3">
        <v>8.1041666666666696</v>
      </c>
      <c r="W6" s="3"/>
      <c r="X6" s="3"/>
    </row>
    <row r="7" spans="1:24" x14ac:dyDescent="0.25">
      <c r="A7" s="4" t="s">
        <v>652</v>
      </c>
      <c r="B7" s="4" t="s">
        <v>647</v>
      </c>
      <c r="C7" s="4" t="s">
        <v>31</v>
      </c>
      <c r="D7" s="4">
        <v>12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42</v>
      </c>
      <c r="K7" s="4">
        <v>170</v>
      </c>
      <c r="L7" s="4">
        <v>1</v>
      </c>
      <c r="M7" s="4">
        <v>19</v>
      </c>
      <c r="N7" s="4">
        <v>12</v>
      </c>
      <c r="O7" s="4">
        <v>101</v>
      </c>
      <c r="P7" s="4">
        <v>1</v>
      </c>
      <c r="Q7" s="4">
        <v>0</v>
      </c>
      <c r="R7" s="4">
        <v>0</v>
      </c>
      <c r="S7" s="4">
        <v>51.1</v>
      </c>
      <c r="T7" s="4">
        <v>3.32749562171629E-2</v>
      </c>
      <c r="U7" s="4">
        <v>4.0476190476190501</v>
      </c>
      <c r="V7" s="4">
        <v>8.4166666666666696</v>
      </c>
      <c r="W7" s="4"/>
      <c r="X7" s="4"/>
    </row>
    <row r="8" spans="1:24" x14ac:dyDescent="0.25">
      <c r="A8" s="3" t="s">
        <v>588</v>
      </c>
      <c r="B8" s="3" t="s">
        <v>647</v>
      </c>
      <c r="C8" s="3" t="s">
        <v>31</v>
      </c>
      <c r="D8" s="3">
        <v>17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262</v>
      </c>
      <c r="K8" s="3">
        <v>1066</v>
      </c>
      <c r="L8" s="3">
        <v>17</v>
      </c>
      <c r="M8" s="3">
        <v>16</v>
      </c>
      <c r="N8" s="3">
        <v>12</v>
      </c>
      <c r="O8" s="3">
        <v>73</v>
      </c>
      <c r="P8" s="3">
        <v>0</v>
      </c>
      <c r="Q8" s="3">
        <v>2</v>
      </c>
      <c r="R8" s="3">
        <v>1</v>
      </c>
      <c r="S8" s="3">
        <v>225.9</v>
      </c>
      <c r="T8" s="3">
        <v>2.8021015761821401E-2</v>
      </c>
      <c r="U8" s="3">
        <v>4.0687022900763399</v>
      </c>
      <c r="V8" s="3">
        <v>6.0833333333333304</v>
      </c>
      <c r="W8" s="3"/>
      <c r="X8" s="3"/>
    </row>
    <row r="9" spans="1:24" x14ac:dyDescent="0.25">
      <c r="A9" s="4" t="s">
        <v>653</v>
      </c>
      <c r="B9" s="4" t="s">
        <v>647</v>
      </c>
      <c r="C9" s="4" t="s">
        <v>38</v>
      </c>
      <c r="D9" s="4">
        <v>13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24</v>
      </c>
      <c r="N9" s="4">
        <v>18</v>
      </c>
      <c r="O9" s="4">
        <v>216</v>
      </c>
      <c r="P9" s="4">
        <v>4</v>
      </c>
      <c r="Q9" s="4">
        <v>0</v>
      </c>
      <c r="R9" s="4">
        <v>0</v>
      </c>
      <c r="S9" s="4">
        <v>63.6</v>
      </c>
      <c r="T9" s="4">
        <v>4.2031523642732001E-2</v>
      </c>
      <c r="U9" s="4"/>
      <c r="V9" s="4">
        <v>12</v>
      </c>
      <c r="W9" s="4"/>
      <c r="X9" s="4"/>
    </row>
    <row r="10" spans="1:24" x14ac:dyDescent="0.25">
      <c r="A10" s="3" t="s">
        <v>654</v>
      </c>
      <c r="B10" s="3" t="s">
        <v>647</v>
      </c>
      <c r="C10" s="3" t="s">
        <v>38</v>
      </c>
      <c r="D10" s="3">
        <v>8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11</v>
      </c>
      <c r="N10" s="3">
        <v>11</v>
      </c>
      <c r="O10" s="3">
        <v>113</v>
      </c>
      <c r="P10" s="3">
        <v>1</v>
      </c>
      <c r="Q10" s="3">
        <v>0</v>
      </c>
      <c r="R10" s="3">
        <v>0</v>
      </c>
      <c r="S10" s="3">
        <v>28.3</v>
      </c>
      <c r="T10" s="3">
        <v>1.92644483362522E-2</v>
      </c>
      <c r="U10" s="3"/>
      <c r="V10" s="3">
        <v>10.2727272727273</v>
      </c>
      <c r="W10" s="3"/>
      <c r="X10" s="3"/>
    </row>
    <row r="11" spans="1:24" x14ac:dyDescent="0.25">
      <c r="A11" s="4" t="s">
        <v>655</v>
      </c>
      <c r="B11" s="4" t="s">
        <v>647</v>
      </c>
      <c r="C11" s="4" t="s">
        <v>38</v>
      </c>
      <c r="D11" s="4">
        <v>8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15</v>
      </c>
      <c r="N11" s="4">
        <v>11</v>
      </c>
      <c r="O11" s="4">
        <v>60</v>
      </c>
      <c r="P11" s="4">
        <v>4</v>
      </c>
      <c r="Q11" s="4">
        <v>0</v>
      </c>
      <c r="R11" s="4">
        <v>0</v>
      </c>
      <c r="S11" s="4">
        <v>41</v>
      </c>
      <c r="T11" s="4">
        <v>2.62697022767075E-2</v>
      </c>
      <c r="U11" s="4"/>
      <c r="V11" s="4">
        <v>5.4545454545454497</v>
      </c>
      <c r="W11" s="4"/>
      <c r="X11" s="4"/>
    </row>
    <row r="12" spans="1:24" x14ac:dyDescent="0.25">
      <c r="A12" s="3" t="s">
        <v>656</v>
      </c>
      <c r="B12" s="3" t="s">
        <v>647</v>
      </c>
      <c r="C12" s="3" t="s">
        <v>38</v>
      </c>
      <c r="D12" s="3">
        <v>7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43</v>
      </c>
      <c r="N12" s="3">
        <v>26</v>
      </c>
      <c r="O12" s="3">
        <v>395</v>
      </c>
      <c r="P12" s="3">
        <v>3</v>
      </c>
      <c r="Q12" s="3">
        <v>0</v>
      </c>
      <c r="R12" s="3">
        <v>0</v>
      </c>
      <c r="S12" s="3">
        <v>85.5</v>
      </c>
      <c r="T12" s="3">
        <v>7.5306479859894901E-2</v>
      </c>
      <c r="U12" s="3"/>
      <c r="V12" s="3">
        <v>15.192307692307701</v>
      </c>
      <c r="W12" s="3"/>
      <c r="X12" s="3"/>
    </row>
    <row r="13" spans="1:24" x14ac:dyDescent="0.25">
      <c r="A13" s="4" t="s">
        <v>657</v>
      </c>
      <c r="B13" s="4" t="s">
        <v>647</v>
      </c>
      <c r="C13" s="4" t="s">
        <v>43</v>
      </c>
      <c r="D13" s="4">
        <v>16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9</v>
      </c>
      <c r="K13" s="4">
        <v>95</v>
      </c>
      <c r="L13" s="4">
        <v>0</v>
      </c>
      <c r="M13" s="4">
        <v>146</v>
      </c>
      <c r="N13" s="4">
        <v>106</v>
      </c>
      <c r="O13" s="4">
        <v>1161</v>
      </c>
      <c r="P13" s="4">
        <v>6</v>
      </c>
      <c r="Q13" s="4">
        <v>0</v>
      </c>
      <c r="R13" s="4">
        <v>0</v>
      </c>
      <c r="S13" s="4">
        <v>267.60000000000002</v>
      </c>
      <c r="T13" s="4">
        <v>0.25569176882661998</v>
      </c>
      <c r="U13" s="4">
        <v>10.5555555555556</v>
      </c>
      <c r="V13" s="4">
        <v>10.952830188679201</v>
      </c>
      <c r="W13" s="4"/>
      <c r="X13" s="4"/>
    </row>
    <row r="14" spans="1:24" x14ac:dyDescent="0.25">
      <c r="A14" s="3" t="s">
        <v>658</v>
      </c>
      <c r="B14" s="3" t="s">
        <v>647</v>
      </c>
      <c r="C14" s="3" t="s">
        <v>43</v>
      </c>
      <c r="D14" s="3">
        <v>11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52</v>
      </c>
      <c r="N14" s="3">
        <v>30</v>
      </c>
      <c r="O14" s="3">
        <v>502</v>
      </c>
      <c r="P14" s="3">
        <v>3</v>
      </c>
      <c r="Q14" s="3">
        <v>0</v>
      </c>
      <c r="R14" s="3">
        <v>0</v>
      </c>
      <c r="S14" s="3">
        <v>98.2</v>
      </c>
      <c r="T14" s="3">
        <v>9.1068301225919399E-2</v>
      </c>
      <c r="U14" s="3"/>
      <c r="V14" s="3">
        <v>16.733333333333299</v>
      </c>
      <c r="W14" s="3"/>
      <c r="X14" s="3"/>
    </row>
    <row r="15" spans="1:24" x14ac:dyDescent="0.25">
      <c r="A15" s="4" t="s">
        <v>659</v>
      </c>
      <c r="B15" s="4" t="s">
        <v>647</v>
      </c>
      <c r="C15" s="4" t="s">
        <v>43</v>
      </c>
      <c r="D15" s="4">
        <v>12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59</v>
      </c>
      <c r="N15" s="4">
        <v>38</v>
      </c>
      <c r="O15" s="4">
        <v>479</v>
      </c>
      <c r="P15" s="4">
        <v>3</v>
      </c>
      <c r="Q15" s="4">
        <v>0</v>
      </c>
      <c r="R15" s="4">
        <v>0</v>
      </c>
      <c r="S15" s="4">
        <v>103.9</v>
      </c>
      <c r="T15" s="4">
        <v>0.103327495621716</v>
      </c>
      <c r="U15" s="4"/>
      <c r="V15" s="4">
        <v>12.605263157894701</v>
      </c>
      <c r="W15" s="4"/>
      <c r="X15" s="4"/>
    </row>
    <row r="16" spans="1:24" x14ac:dyDescent="0.25">
      <c r="A16" s="3" t="s">
        <v>588</v>
      </c>
      <c r="B16" s="3" t="s">
        <v>647</v>
      </c>
      <c r="C16" s="3" t="s">
        <v>43</v>
      </c>
      <c r="D16" s="3">
        <v>6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1</v>
      </c>
      <c r="K16" s="3">
        <v>40</v>
      </c>
      <c r="L16" s="3">
        <v>0</v>
      </c>
      <c r="M16" s="3">
        <v>9</v>
      </c>
      <c r="N16" s="3">
        <v>1</v>
      </c>
      <c r="O16" s="3">
        <v>41</v>
      </c>
      <c r="P16" s="3">
        <v>1</v>
      </c>
      <c r="Q16" s="3">
        <v>0</v>
      </c>
      <c r="R16" s="3">
        <v>0</v>
      </c>
      <c r="S16" s="3">
        <v>15.1</v>
      </c>
      <c r="T16" s="3">
        <v>1.5761821366024501E-2</v>
      </c>
      <c r="U16" s="3">
        <v>40</v>
      </c>
      <c r="V16" s="3">
        <v>41</v>
      </c>
      <c r="W16" s="3"/>
      <c r="X16" s="3"/>
    </row>
    <row r="17" spans="1:24" x14ac:dyDescent="0.25">
      <c r="A17" s="4" t="s">
        <v>660</v>
      </c>
      <c r="B17" s="4" t="s">
        <v>647</v>
      </c>
      <c r="C17" s="4" t="s">
        <v>43</v>
      </c>
      <c r="D17" s="4">
        <v>16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7</v>
      </c>
      <c r="K17" s="4">
        <v>36</v>
      </c>
      <c r="L17" s="4">
        <v>0</v>
      </c>
      <c r="M17" s="4">
        <v>64</v>
      </c>
      <c r="N17" s="4">
        <v>47</v>
      </c>
      <c r="O17" s="4">
        <v>616</v>
      </c>
      <c r="P17" s="4">
        <v>0</v>
      </c>
      <c r="Q17" s="4">
        <v>0</v>
      </c>
      <c r="R17" s="4">
        <v>0</v>
      </c>
      <c r="S17" s="4">
        <v>116.2</v>
      </c>
      <c r="T17" s="4">
        <v>0.11208406304728501</v>
      </c>
      <c r="U17" s="4">
        <v>5.1428571428571397</v>
      </c>
      <c r="V17" s="4">
        <v>13.106382978723399</v>
      </c>
      <c r="W17" s="4"/>
      <c r="X17" s="4"/>
    </row>
    <row r="18" spans="1:24" x14ac:dyDescent="0.25">
      <c r="A18" s="3" t="s">
        <v>661</v>
      </c>
      <c r="B18" s="3" t="s">
        <v>647</v>
      </c>
      <c r="C18" s="3" t="s">
        <v>43</v>
      </c>
      <c r="D18" s="3">
        <v>1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1</v>
      </c>
      <c r="N18" s="3">
        <v>1</v>
      </c>
      <c r="O18" s="3">
        <v>7</v>
      </c>
      <c r="P18" s="3">
        <v>0</v>
      </c>
      <c r="Q18" s="3">
        <v>0</v>
      </c>
      <c r="R18" s="3">
        <v>0</v>
      </c>
      <c r="S18" s="3">
        <v>1.7</v>
      </c>
      <c r="T18" s="3">
        <v>1.7513134851138399E-3</v>
      </c>
      <c r="U18" s="3"/>
      <c r="V18" s="3">
        <v>7</v>
      </c>
      <c r="W18" s="3"/>
      <c r="X18" s="3"/>
    </row>
    <row r="19" spans="1:24" x14ac:dyDescent="0.25">
      <c r="A19" s="4" t="s">
        <v>662</v>
      </c>
      <c r="B19" s="4" t="s">
        <v>647</v>
      </c>
      <c r="C19" s="4" t="s">
        <v>43</v>
      </c>
      <c r="D19" s="4">
        <v>1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3</v>
      </c>
      <c r="N19" s="4">
        <v>2</v>
      </c>
      <c r="O19" s="4">
        <v>15</v>
      </c>
      <c r="P19" s="4">
        <v>0</v>
      </c>
      <c r="Q19" s="4">
        <v>0</v>
      </c>
      <c r="R19" s="4">
        <v>0</v>
      </c>
      <c r="S19" s="4">
        <v>3.5</v>
      </c>
      <c r="T19" s="4">
        <v>5.2539404553415096E-3</v>
      </c>
      <c r="U19" s="4"/>
      <c r="V19" s="4">
        <v>7.5</v>
      </c>
      <c r="W19" s="4"/>
      <c r="X19" s="4"/>
    </row>
    <row r="20" spans="1:24" x14ac:dyDescent="0.25">
      <c r="A20" s="3" t="s">
        <v>663</v>
      </c>
      <c r="B20" s="3" t="s">
        <v>647</v>
      </c>
      <c r="C20" s="3" t="s">
        <v>43</v>
      </c>
      <c r="D20" s="3">
        <v>5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15</v>
      </c>
      <c r="N20" s="3">
        <v>8</v>
      </c>
      <c r="O20" s="3">
        <v>141</v>
      </c>
      <c r="P20" s="3">
        <v>0</v>
      </c>
      <c r="Q20" s="3">
        <v>0</v>
      </c>
      <c r="R20" s="3">
        <v>0</v>
      </c>
      <c r="S20" s="3">
        <v>22.1</v>
      </c>
      <c r="T20" s="3">
        <v>2.62697022767075E-2</v>
      </c>
      <c r="U20" s="3"/>
      <c r="V20" s="3">
        <v>17.625</v>
      </c>
      <c r="W20" s="3"/>
      <c r="X20" s="3"/>
    </row>
    <row r="30" spans="1:24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</row>
    <row r="31" spans="1:24" x14ac:dyDescent="0.25">
      <c r="A31" s="3" t="s">
        <v>647</v>
      </c>
      <c r="B31" s="3">
        <v>6562</v>
      </c>
      <c r="C31" s="3">
        <v>4438</v>
      </c>
      <c r="D31" s="3">
        <v>478</v>
      </c>
      <c r="E31" s="3">
        <v>2124</v>
      </c>
      <c r="F31" s="3">
        <v>23</v>
      </c>
      <c r="G31" s="3">
        <v>1631.42</v>
      </c>
      <c r="H31" s="3">
        <v>587</v>
      </c>
      <c r="I31" s="3">
        <v>0.65076660988074997</v>
      </c>
      <c r="J31" s="3">
        <v>29</v>
      </c>
      <c r="K31" s="3">
        <v>7</v>
      </c>
      <c r="L31" s="3">
        <v>6</v>
      </c>
    </row>
    <row r="32" spans="1:24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</row>
    <row r="33" spans="1:28" x14ac:dyDescent="0.25">
      <c r="A33" s="3" t="str">
        <f>A31</f>
        <v>DET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664</v>
      </c>
      <c r="B36" s="3" t="s">
        <v>26</v>
      </c>
      <c r="C36" s="3">
        <v>30</v>
      </c>
      <c r="D36" s="3">
        <v>10</v>
      </c>
      <c r="E36" s="3" t="s">
        <v>209</v>
      </c>
      <c r="F36" s="3" t="s">
        <v>647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">
        <v>0</v>
      </c>
      <c r="X36" s="3">
        <v>0</v>
      </c>
      <c r="Y36" s="3">
        <v>0</v>
      </c>
      <c r="Z36" s="3">
        <v>0</v>
      </c>
      <c r="AA36" s="3">
        <v>0</v>
      </c>
      <c r="AB36" s="3">
        <v>0</v>
      </c>
    </row>
    <row r="37" spans="1:28" x14ac:dyDescent="0.25">
      <c r="A37" s="4" t="s">
        <v>665</v>
      </c>
      <c r="B37" s="4" t="s">
        <v>26</v>
      </c>
      <c r="C37" s="4">
        <v>28</v>
      </c>
      <c r="D37" s="4">
        <v>8</v>
      </c>
      <c r="E37" s="4" t="s">
        <v>666</v>
      </c>
      <c r="F37" s="4" t="s">
        <v>647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</row>
    <row r="38" spans="1:28" x14ac:dyDescent="0.25">
      <c r="A38" s="3" t="s">
        <v>667</v>
      </c>
      <c r="B38" s="3" t="s">
        <v>26</v>
      </c>
      <c r="C38" s="3">
        <v>25</v>
      </c>
      <c r="D38" s="3">
        <v>0</v>
      </c>
      <c r="E38" s="3" t="s">
        <v>143</v>
      </c>
      <c r="F38" s="3" t="s">
        <v>647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v>0</v>
      </c>
      <c r="W38" s="3">
        <v>0</v>
      </c>
      <c r="X38" s="3">
        <v>0</v>
      </c>
      <c r="Y38" s="3">
        <v>0</v>
      </c>
      <c r="Z38" s="3">
        <v>0</v>
      </c>
      <c r="AA38" s="3">
        <v>0</v>
      </c>
      <c r="AB38" s="3">
        <v>0</v>
      </c>
    </row>
    <row r="39" spans="1:28" x14ac:dyDescent="0.25">
      <c r="A39" s="4" t="s">
        <v>668</v>
      </c>
      <c r="B39" s="4" t="s">
        <v>26</v>
      </c>
      <c r="C39" s="4">
        <v>23</v>
      </c>
      <c r="D39" s="4">
        <v>0</v>
      </c>
      <c r="E39" s="4" t="s">
        <v>559</v>
      </c>
      <c r="F39" s="4" t="s">
        <v>647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  <c r="AB39" s="4">
        <v>0</v>
      </c>
    </row>
    <row r="40" spans="1:28" x14ac:dyDescent="0.25">
      <c r="A40" s="3" t="s">
        <v>669</v>
      </c>
      <c r="B40" s="3" t="s">
        <v>26</v>
      </c>
      <c r="C40" s="3">
        <v>29</v>
      </c>
      <c r="D40" s="3">
        <v>7</v>
      </c>
      <c r="E40" s="3" t="s">
        <v>360</v>
      </c>
      <c r="F40" s="3" t="s">
        <v>647</v>
      </c>
      <c r="G40" s="3">
        <v>0</v>
      </c>
      <c r="H40" s="3">
        <v>0</v>
      </c>
      <c r="I40" s="3">
        <v>0</v>
      </c>
      <c r="J40" s="3">
        <v>0</v>
      </c>
      <c r="K40" s="3">
        <v>0</v>
      </c>
      <c r="L40" s="3">
        <v>0</v>
      </c>
      <c r="M40" s="3">
        <v>0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3">
        <v>0</v>
      </c>
      <c r="T40" s="3">
        <v>0</v>
      </c>
      <c r="U40" s="3">
        <v>0</v>
      </c>
      <c r="V40" s="3">
        <v>0</v>
      </c>
      <c r="W40" s="3">
        <v>0</v>
      </c>
      <c r="X40" s="3">
        <v>0</v>
      </c>
      <c r="Y40" s="3">
        <v>0</v>
      </c>
      <c r="Z40" s="3">
        <v>0</v>
      </c>
      <c r="AA40" s="3">
        <v>0</v>
      </c>
      <c r="AB40" s="3"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670</v>
      </c>
      <c r="B46" s="3" t="s">
        <v>31</v>
      </c>
      <c r="C46" s="3">
        <v>21</v>
      </c>
      <c r="D46" s="3">
        <v>0</v>
      </c>
      <c r="E46" s="3" t="s">
        <v>153</v>
      </c>
      <c r="F46" s="3" t="s">
        <v>647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v>0</v>
      </c>
      <c r="W46" s="3">
        <v>0</v>
      </c>
      <c r="X46" s="3">
        <v>0</v>
      </c>
      <c r="Y46" s="3">
        <v>0</v>
      </c>
      <c r="Z46" s="3">
        <v>0</v>
      </c>
      <c r="AA46" s="3">
        <v>0</v>
      </c>
      <c r="AB46" s="3">
        <f t="shared" ref="AB46:AB53" si="0">($J46*Cp_yd)+($K46*Cp_td)+($L46*Cint)+($M46*Ccar)+($N46*Cr_td)+($O46*Cr_yd)+(Q46*Crec)+($R46*Crec_yd)+($S46*Crec_td)+($T46*Cfmb)+($U46*Ctp_c)</f>
        <v>0</v>
      </c>
    </row>
    <row r="47" spans="1:28" x14ac:dyDescent="0.25">
      <c r="A47" s="4" t="s">
        <v>671</v>
      </c>
      <c r="B47" s="4" t="s">
        <v>31</v>
      </c>
      <c r="C47" s="4">
        <v>23</v>
      </c>
      <c r="D47" s="4">
        <v>0</v>
      </c>
      <c r="E47" s="4" t="s">
        <v>225</v>
      </c>
      <c r="F47" s="4" t="s">
        <v>647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f t="shared" si="0"/>
        <v>0</v>
      </c>
    </row>
    <row r="48" spans="1:28" x14ac:dyDescent="0.25">
      <c r="A48" s="3" t="s">
        <v>672</v>
      </c>
      <c r="B48" s="3" t="s">
        <v>31</v>
      </c>
      <c r="C48" s="3">
        <v>27</v>
      </c>
      <c r="D48" s="3">
        <v>6</v>
      </c>
      <c r="E48" s="3" t="s">
        <v>141</v>
      </c>
      <c r="F48" s="3" t="s">
        <v>647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v>0</v>
      </c>
      <c r="W48" s="3">
        <v>0</v>
      </c>
      <c r="X48" s="3">
        <v>0</v>
      </c>
      <c r="Y48" s="3">
        <v>0</v>
      </c>
      <c r="Z48" s="3">
        <v>0</v>
      </c>
      <c r="AA48" s="3">
        <v>0</v>
      </c>
      <c r="AB48" s="3">
        <f t="shared" si="0"/>
        <v>0</v>
      </c>
    </row>
    <row r="49" spans="1:28" x14ac:dyDescent="0.25">
      <c r="A49" s="4" t="s">
        <v>673</v>
      </c>
      <c r="B49" s="4" t="s">
        <v>31</v>
      </c>
      <c r="C49" s="4">
        <v>23</v>
      </c>
      <c r="D49" s="4">
        <v>2</v>
      </c>
      <c r="E49" s="4" t="s">
        <v>111</v>
      </c>
      <c r="F49" s="4" t="s">
        <v>647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B49" s="4">
        <f t="shared" si="0"/>
        <v>0</v>
      </c>
    </row>
    <row r="50" spans="1:28" x14ac:dyDescent="0.25">
      <c r="A50" s="3" t="s">
        <v>674</v>
      </c>
      <c r="B50" s="3" t="s">
        <v>31</v>
      </c>
      <c r="C50" s="3">
        <v>26</v>
      </c>
      <c r="D50" s="3">
        <v>5</v>
      </c>
      <c r="E50" s="3" t="s">
        <v>244</v>
      </c>
      <c r="F50" s="3" t="s">
        <v>647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v>0</v>
      </c>
      <c r="W50" s="3">
        <v>0</v>
      </c>
      <c r="X50" s="3">
        <v>0</v>
      </c>
      <c r="Y50" s="3">
        <v>0</v>
      </c>
      <c r="Z50" s="3">
        <v>0</v>
      </c>
      <c r="AA50" s="3">
        <v>0</v>
      </c>
      <c r="AB50" s="3">
        <f t="shared" si="0"/>
        <v>0</v>
      </c>
    </row>
    <row r="51" spans="1:28" x14ac:dyDescent="0.25">
      <c r="A51" s="4" t="s">
        <v>675</v>
      </c>
      <c r="B51" s="4" t="s">
        <v>31</v>
      </c>
      <c r="C51" s="4">
        <v>26</v>
      </c>
      <c r="D51" s="4">
        <v>4</v>
      </c>
      <c r="E51" s="4" t="s">
        <v>248</v>
      </c>
      <c r="F51" s="4" t="s">
        <v>647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v>0</v>
      </c>
      <c r="W51" s="4">
        <v>0</v>
      </c>
      <c r="X51" s="4">
        <v>0</v>
      </c>
      <c r="Y51" s="4">
        <v>0</v>
      </c>
      <c r="Z51" s="4">
        <v>0</v>
      </c>
      <c r="AA51" s="4">
        <v>0</v>
      </c>
      <c r="AB51" s="4">
        <f t="shared" si="0"/>
        <v>0</v>
      </c>
    </row>
    <row r="52" spans="1:28" x14ac:dyDescent="0.25">
      <c r="A52" s="3" t="s">
        <v>676</v>
      </c>
      <c r="B52" s="3" t="s">
        <v>31</v>
      </c>
      <c r="C52" s="3">
        <v>27</v>
      </c>
      <c r="D52" s="3">
        <v>2</v>
      </c>
      <c r="E52" s="3" t="s">
        <v>677</v>
      </c>
      <c r="F52" s="3" t="s">
        <v>647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v>0</v>
      </c>
      <c r="W52" s="3">
        <v>0</v>
      </c>
      <c r="X52" s="3">
        <v>0</v>
      </c>
      <c r="Y52" s="3">
        <v>0</v>
      </c>
      <c r="Z52" s="3">
        <v>0</v>
      </c>
      <c r="AA52" s="3">
        <v>0</v>
      </c>
      <c r="AB52" s="3">
        <f t="shared" si="0"/>
        <v>0</v>
      </c>
    </row>
    <row r="53" spans="1:28" x14ac:dyDescent="0.25">
      <c r="A53" s="4" t="s">
        <v>678</v>
      </c>
      <c r="B53" s="4" t="s">
        <v>31</v>
      </c>
      <c r="C53" s="4">
        <v>25</v>
      </c>
      <c r="D53" s="4">
        <v>5</v>
      </c>
      <c r="E53" s="4" t="s">
        <v>150</v>
      </c>
      <c r="F53" s="4" t="s">
        <v>647</v>
      </c>
      <c r="G53" s="4">
        <v>0</v>
      </c>
      <c r="H53" s="4">
        <v>0</v>
      </c>
      <c r="I53" s="4">
        <v>0</v>
      </c>
      <c r="J53" s="4">
        <v>0</v>
      </c>
      <c r="K53" s="4">
        <v>0</v>
      </c>
      <c r="L53" s="4">
        <v>0</v>
      </c>
      <c r="M53" s="4">
        <v>0</v>
      </c>
      <c r="N53" s="4">
        <v>0</v>
      </c>
      <c r="O53" s="4">
        <v>0</v>
      </c>
      <c r="P53" s="4">
        <v>0</v>
      </c>
      <c r="Q53" s="4">
        <v>0</v>
      </c>
      <c r="R53" s="4">
        <v>0</v>
      </c>
      <c r="S53" s="4">
        <v>0</v>
      </c>
      <c r="T53" s="4">
        <v>0</v>
      </c>
      <c r="U53" s="4">
        <v>0</v>
      </c>
      <c r="V53" s="4">
        <v>0</v>
      </c>
      <c r="W53" s="4">
        <v>0</v>
      </c>
      <c r="X53" s="4">
        <v>0</v>
      </c>
      <c r="Y53" s="4">
        <v>0</v>
      </c>
      <c r="Z53" s="4">
        <v>0</v>
      </c>
      <c r="AA53" s="4">
        <v>0</v>
      </c>
      <c r="AB53" s="4">
        <f t="shared" si="0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679</v>
      </c>
      <c r="B61" s="3" t="s">
        <v>43</v>
      </c>
      <c r="C61" s="3">
        <v>26</v>
      </c>
      <c r="D61" s="3">
        <v>1</v>
      </c>
      <c r="E61" s="3" t="s">
        <v>182</v>
      </c>
      <c r="F61" s="3" t="s">
        <v>647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v>0</v>
      </c>
      <c r="W61" s="3">
        <v>0</v>
      </c>
      <c r="X61" s="3">
        <v>0</v>
      </c>
      <c r="Y61" s="3">
        <v>0</v>
      </c>
      <c r="Z61" s="3">
        <v>0</v>
      </c>
      <c r="AA61" s="3">
        <v>0</v>
      </c>
      <c r="AB61" s="3">
        <v>0</v>
      </c>
    </row>
    <row r="62" spans="1:28" x14ac:dyDescent="0.25">
      <c r="A62" s="4" t="s">
        <v>680</v>
      </c>
      <c r="B62" s="4" t="s">
        <v>43</v>
      </c>
      <c r="C62" s="4">
        <v>26</v>
      </c>
      <c r="D62" s="4">
        <v>3</v>
      </c>
      <c r="E62" s="4" t="s">
        <v>681</v>
      </c>
      <c r="F62" s="4" t="s">
        <v>647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0</v>
      </c>
      <c r="X62" s="4">
        <v>0</v>
      </c>
      <c r="Y62" s="4">
        <v>0</v>
      </c>
      <c r="Z62" s="4">
        <v>0</v>
      </c>
      <c r="AA62" s="4">
        <v>0</v>
      </c>
      <c r="AB62" s="4">
        <v>0</v>
      </c>
    </row>
    <row r="63" spans="1:28" x14ac:dyDescent="0.25">
      <c r="A63" s="3" t="s">
        <v>682</v>
      </c>
      <c r="B63" s="3" t="s">
        <v>43</v>
      </c>
      <c r="C63" s="3">
        <v>23</v>
      </c>
      <c r="D63" s="3">
        <v>0</v>
      </c>
      <c r="E63" s="3" t="s">
        <v>205</v>
      </c>
      <c r="F63" s="3" t="s">
        <v>647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v>0</v>
      </c>
      <c r="W63" s="3">
        <v>0</v>
      </c>
      <c r="X63" s="3">
        <v>0</v>
      </c>
      <c r="Y63" s="3">
        <v>0</v>
      </c>
      <c r="Z63" s="3">
        <v>0</v>
      </c>
      <c r="AA63" s="3">
        <v>0</v>
      </c>
      <c r="AB63" s="3">
        <v>0</v>
      </c>
    </row>
    <row r="64" spans="1:28" x14ac:dyDescent="0.25">
      <c r="A64" s="4" t="s">
        <v>683</v>
      </c>
      <c r="B64" s="4" t="s">
        <v>43</v>
      </c>
      <c r="C64" s="4"/>
      <c r="D64" s="4">
        <v>0</v>
      </c>
      <c r="E64" s="4" t="s">
        <v>362</v>
      </c>
      <c r="F64" s="4" t="s">
        <v>647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</row>
    <row r="65" spans="1:28" x14ac:dyDescent="0.25">
      <c r="A65" s="3" t="s">
        <v>684</v>
      </c>
      <c r="B65" s="3" t="s">
        <v>43</v>
      </c>
      <c r="C65" s="3">
        <v>23</v>
      </c>
      <c r="D65" s="3">
        <v>0</v>
      </c>
      <c r="E65" s="3" t="s">
        <v>170</v>
      </c>
      <c r="F65" s="3" t="s">
        <v>647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v>0</v>
      </c>
      <c r="W65" s="3">
        <v>0</v>
      </c>
      <c r="X65" s="3">
        <v>0</v>
      </c>
      <c r="Y65" s="3">
        <v>0</v>
      </c>
      <c r="Z65" s="3">
        <v>0</v>
      </c>
      <c r="AA65" s="3">
        <v>0</v>
      </c>
      <c r="AB65" s="3">
        <v>0</v>
      </c>
    </row>
    <row r="66" spans="1:28" x14ac:dyDescent="0.25">
      <c r="A66" s="4" t="s">
        <v>685</v>
      </c>
      <c r="B66" s="4" t="s">
        <v>43</v>
      </c>
      <c r="C66" s="4">
        <v>23</v>
      </c>
      <c r="D66" s="4">
        <v>0</v>
      </c>
      <c r="E66" s="4" t="s">
        <v>163</v>
      </c>
      <c r="F66" s="4" t="s">
        <v>647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</row>
    <row r="67" spans="1:28" x14ac:dyDescent="0.25">
      <c r="A67" s="3" t="s">
        <v>686</v>
      </c>
      <c r="B67" s="3" t="s">
        <v>43</v>
      </c>
      <c r="C67" s="3">
        <v>33</v>
      </c>
      <c r="D67" s="3">
        <v>12</v>
      </c>
      <c r="E67" s="3" t="s">
        <v>666</v>
      </c>
      <c r="F67" s="3" t="s">
        <v>647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v>0</v>
      </c>
      <c r="W67" s="3">
        <v>0</v>
      </c>
      <c r="X67" s="3">
        <v>0</v>
      </c>
      <c r="Y67" s="3">
        <v>0</v>
      </c>
      <c r="Z67" s="3">
        <v>0</v>
      </c>
      <c r="AA67" s="3">
        <v>0</v>
      </c>
      <c r="AB67" s="3">
        <v>0</v>
      </c>
    </row>
    <row r="68" spans="1:28" x14ac:dyDescent="0.25">
      <c r="A68" s="4" t="s">
        <v>687</v>
      </c>
      <c r="B68" s="4" t="s">
        <v>43</v>
      </c>
      <c r="C68" s="4">
        <v>27</v>
      </c>
      <c r="D68" s="4">
        <v>3</v>
      </c>
      <c r="E68" s="4" t="s">
        <v>688</v>
      </c>
      <c r="F68" s="4" t="s">
        <v>647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0</v>
      </c>
      <c r="X68" s="4">
        <v>0</v>
      </c>
      <c r="Y68" s="4">
        <v>0</v>
      </c>
      <c r="Z68" s="4">
        <v>0</v>
      </c>
      <c r="AA68" s="4">
        <v>0</v>
      </c>
      <c r="AB68" s="4">
        <v>0</v>
      </c>
    </row>
    <row r="69" spans="1:28" x14ac:dyDescent="0.25">
      <c r="A69" s="3" t="s">
        <v>689</v>
      </c>
      <c r="B69" s="3" t="s">
        <v>43</v>
      </c>
      <c r="C69" s="3">
        <v>25</v>
      </c>
      <c r="D69" s="3">
        <v>4</v>
      </c>
      <c r="E69" s="3" t="s">
        <v>393</v>
      </c>
      <c r="F69" s="3" t="s">
        <v>647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v>0</v>
      </c>
      <c r="W69" s="3">
        <v>0</v>
      </c>
      <c r="X69" s="3">
        <v>0</v>
      </c>
      <c r="Y69" s="3">
        <v>0</v>
      </c>
      <c r="Z69" s="3">
        <v>0</v>
      </c>
      <c r="AA69" s="3">
        <v>0</v>
      </c>
      <c r="AB69" s="3">
        <v>0</v>
      </c>
    </row>
    <row r="70" spans="1:28" x14ac:dyDescent="0.25">
      <c r="A70" s="4" t="s">
        <v>690</v>
      </c>
      <c r="B70" s="4" t="s">
        <v>43</v>
      </c>
      <c r="C70" s="4">
        <v>29</v>
      </c>
      <c r="D70" s="4">
        <v>7</v>
      </c>
      <c r="E70" s="4" t="s">
        <v>691</v>
      </c>
      <c r="F70" s="4" t="s">
        <v>647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0</v>
      </c>
      <c r="X70" s="4">
        <v>0</v>
      </c>
      <c r="Y70" s="4">
        <v>0</v>
      </c>
      <c r="Z70" s="4">
        <v>0</v>
      </c>
      <c r="AA70" s="4">
        <v>0</v>
      </c>
      <c r="AB70" s="4">
        <v>0</v>
      </c>
    </row>
    <row r="71" spans="1:28" x14ac:dyDescent="0.25">
      <c r="A71" s="3" t="s">
        <v>692</v>
      </c>
      <c r="B71" s="3" t="s">
        <v>43</v>
      </c>
      <c r="C71" s="3">
        <v>28</v>
      </c>
      <c r="D71" s="3">
        <v>7</v>
      </c>
      <c r="E71" s="3" t="s">
        <v>307</v>
      </c>
      <c r="F71" s="3" t="s">
        <v>647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v>0</v>
      </c>
      <c r="W71" s="3">
        <v>0</v>
      </c>
      <c r="X71" s="3">
        <v>0</v>
      </c>
      <c r="Y71" s="3">
        <v>0</v>
      </c>
      <c r="Z71" s="3">
        <v>0</v>
      </c>
      <c r="AA71" s="3">
        <v>0</v>
      </c>
      <c r="AB71" s="3">
        <v>0</v>
      </c>
    </row>
    <row r="72" spans="1:28" x14ac:dyDescent="0.25">
      <c r="A72" s="4" t="s">
        <v>693</v>
      </c>
      <c r="B72" s="4" t="s">
        <v>43</v>
      </c>
      <c r="C72" s="4">
        <v>23</v>
      </c>
      <c r="D72" s="4">
        <v>3</v>
      </c>
      <c r="E72" s="4" t="s">
        <v>78</v>
      </c>
      <c r="F72" s="4" t="s">
        <v>647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v>0</v>
      </c>
      <c r="W72" s="4">
        <v>0</v>
      </c>
      <c r="X72" s="4">
        <v>0</v>
      </c>
      <c r="Y72" s="4">
        <v>0</v>
      </c>
      <c r="Z72" s="4">
        <v>0</v>
      </c>
      <c r="AA72" s="4">
        <v>0</v>
      </c>
      <c r="AB72" s="4">
        <v>0</v>
      </c>
    </row>
    <row r="73" spans="1:28" x14ac:dyDescent="0.25">
      <c r="A73" s="3" t="s">
        <v>694</v>
      </c>
      <c r="B73" s="3" t="s">
        <v>43</v>
      </c>
      <c r="C73" s="3">
        <v>22</v>
      </c>
      <c r="D73" s="3">
        <v>2</v>
      </c>
      <c r="E73" s="3" t="s">
        <v>153</v>
      </c>
      <c r="F73" s="3" t="s">
        <v>647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v>0</v>
      </c>
      <c r="W73" s="3">
        <v>0</v>
      </c>
      <c r="X73" s="3">
        <v>0</v>
      </c>
      <c r="Y73" s="3">
        <v>0</v>
      </c>
      <c r="Z73" s="3">
        <v>0</v>
      </c>
      <c r="AA73" s="3">
        <v>0</v>
      </c>
      <c r="AB73" s="3"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695</v>
      </c>
      <c r="B76" s="3" t="s">
        <v>38</v>
      </c>
      <c r="C76" s="3">
        <v>28</v>
      </c>
      <c r="D76" s="3">
        <v>6</v>
      </c>
      <c r="E76" s="3" t="s">
        <v>86</v>
      </c>
      <c r="F76" s="3" t="s">
        <v>647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v>0</v>
      </c>
      <c r="W76" s="3">
        <v>0</v>
      </c>
      <c r="X76" s="3">
        <v>0</v>
      </c>
      <c r="Y76" s="3">
        <v>0</v>
      </c>
      <c r="Z76" s="3">
        <v>0</v>
      </c>
      <c r="AA76" s="3">
        <v>0</v>
      </c>
      <c r="AB76" s="3">
        <v>0</v>
      </c>
    </row>
    <row r="77" spans="1:28" x14ac:dyDescent="0.25">
      <c r="A77" s="4" t="s">
        <v>696</v>
      </c>
      <c r="B77" s="4" t="s">
        <v>38</v>
      </c>
      <c r="C77" s="4">
        <v>28</v>
      </c>
      <c r="D77" s="4">
        <v>3</v>
      </c>
      <c r="E77" s="4" t="s">
        <v>697</v>
      </c>
      <c r="F77" s="4" t="s">
        <v>647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v>0</v>
      </c>
      <c r="W77" s="4">
        <v>0</v>
      </c>
      <c r="X77" s="4">
        <v>0</v>
      </c>
      <c r="Y77" s="4">
        <v>0</v>
      </c>
      <c r="Z77" s="4">
        <v>0</v>
      </c>
      <c r="AA77" s="4">
        <v>0</v>
      </c>
      <c r="AB77" s="4">
        <v>0</v>
      </c>
    </row>
    <row r="78" spans="1:28" x14ac:dyDescent="0.25">
      <c r="A78" s="3" t="s">
        <v>698</v>
      </c>
      <c r="B78" s="3" t="s">
        <v>38</v>
      </c>
      <c r="C78" s="3">
        <v>22</v>
      </c>
      <c r="D78" s="3">
        <v>0</v>
      </c>
      <c r="E78" s="3" t="s">
        <v>100</v>
      </c>
      <c r="F78" s="3" t="s">
        <v>647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v>0</v>
      </c>
      <c r="W78" s="3">
        <v>0</v>
      </c>
      <c r="X78" s="3">
        <v>0</v>
      </c>
      <c r="Y78" s="3">
        <v>0</v>
      </c>
      <c r="Z78" s="3">
        <v>0</v>
      </c>
      <c r="AA78" s="3">
        <v>0</v>
      </c>
      <c r="AB78" s="3">
        <v>0</v>
      </c>
    </row>
    <row r="79" spans="1:28" x14ac:dyDescent="0.25">
      <c r="A79" s="4" t="s">
        <v>699</v>
      </c>
      <c r="B79" s="4" t="s">
        <v>38</v>
      </c>
      <c r="C79" s="4">
        <v>24</v>
      </c>
      <c r="D79" s="4">
        <v>2</v>
      </c>
      <c r="E79" s="4" t="s">
        <v>333</v>
      </c>
      <c r="F79" s="4" t="s">
        <v>647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v>0</v>
      </c>
      <c r="W79" s="4">
        <v>0</v>
      </c>
      <c r="X79" s="4">
        <v>0</v>
      </c>
      <c r="Y79" s="4">
        <v>0</v>
      </c>
      <c r="Z79" s="4">
        <v>0</v>
      </c>
      <c r="AA79" s="4">
        <v>0</v>
      </c>
      <c r="AB79" s="4">
        <v>0</v>
      </c>
    </row>
    <row r="80" spans="1:28" x14ac:dyDescent="0.25">
      <c r="A80" s="3" t="s">
        <v>700</v>
      </c>
      <c r="B80" s="3" t="s">
        <v>38</v>
      </c>
      <c r="C80" s="3">
        <v>24</v>
      </c>
      <c r="D80" s="3">
        <v>3</v>
      </c>
      <c r="E80" s="3" t="s">
        <v>362</v>
      </c>
      <c r="F80" s="3" t="s">
        <v>647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v>0</v>
      </c>
      <c r="W80" s="3">
        <v>0</v>
      </c>
      <c r="X80" s="3">
        <v>0</v>
      </c>
      <c r="Y80" s="3">
        <v>0</v>
      </c>
      <c r="Z80" s="3">
        <v>0</v>
      </c>
      <c r="AA80" s="3">
        <v>0</v>
      </c>
      <c r="AB80" s="3">
        <v>0</v>
      </c>
    </row>
    <row r="81" spans="1:28" x14ac:dyDescent="0.25">
      <c r="A81" s="4" t="s">
        <v>701</v>
      </c>
      <c r="B81" s="4" t="s">
        <v>38</v>
      </c>
      <c r="C81" s="4">
        <v>26</v>
      </c>
      <c r="D81" s="4">
        <v>2</v>
      </c>
      <c r="E81" s="4" t="s">
        <v>702</v>
      </c>
      <c r="F81" s="4" t="s">
        <v>647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v>0</v>
      </c>
      <c r="W81" s="4">
        <v>0</v>
      </c>
      <c r="X81" s="4">
        <v>0</v>
      </c>
      <c r="Y81" s="4">
        <v>0</v>
      </c>
      <c r="Z81" s="4">
        <v>0</v>
      </c>
      <c r="AA81" s="4">
        <v>0</v>
      </c>
      <c r="AB81" s="4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AB80"/>
  <sheetViews>
    <sheetView topLeftCell="H19" workbookViewId="0">
      <selection activeCell="AB46" sqref="AB46:AB52"/>
    </sheetView>
  </sheetViews>
  <sheetFormatPr defaultColWidth="11.42578125" defaultRowHeight="15" x14ac:dyDescent="0.25"/>
  <sheetData>
    <row r="1" spans="1:24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</row>
    <row r="2" spans="1:24" x14ac:dyDescent="0.25">
      <c r="A2" s="3" t="s">
        <v>703</v>
      </c>
      <c r="B2" s="3" t="s">
        <v>704</v>
      </c>
      <c r="C2" s="3" t="s">
        <v>26</v>
      </c>
      <c r="D2" s="3">
        <v>17</v>
      </c>
      <c r="E2" s="3">
        <v>542</v>
      </c>
      <c r="F2" s="3">
        <v>350</v>
      </c>
      <c r="G2" s="3">
        <v>3695</v>
      </c>
      <c r="H2" s="3">
        <v>26</v>
      </c>
      <c r="I2" s="3">
        <v>12</v>
      </c>
      <c r="J2" s="3">
        <v>34</v>
      </c>
      <c r="K2" s="3">
        <v>94</v>
      </c>
      <c r="L2" s="3">
        <v>1</v>
      </c>
      <c r="M2" s="3">
        <v>0</v>
      </c>
      <c r="N2" s="3">
        <v>0</v>
      </c>
      <c r="O2" s="3">
        <v>0</v>
      </c>
      <c r="P2" s="3">
        <v>0</v>
      </c>
      <c r="Q2" s="3">
        <v>4</v>
      </c>
      <c r="R2" s="3">
        <v>2</v>
      </c>
      <c r="S2" s="3">
        <v>239.2</v>
      </c>
      <c r="T2" s="3">
        <v>0</v>
      </c>
      <c r="U2" s="3">
        <v>2.7647058823529398</v>
      </c>
      <c r="V2" s="3"/>
      <c r="W2" s="3">
        <v>0.645756457564576</v>
      </c>
      <c r="X2" s="3">
        <v>4.7970479704797099E-2</v>
      </c>
    </row>
    <row r="3" spans="1:24" x14ac:dyDescent="0.25">
      <c r="A3" s="4" t="s">
        <v>705</v>
      </c>
      <c r="B3" s="4" t="s">
        <v>704</v>
      </c>
      <c r="C3" s="4" t="s">
        <v>26</v>
      </c>
      <c r="D3" s="4">
        <v>4</v>
      </c>
      <c r="E3" s="4">
        <v>21</v>
      </c>
      <c r="F3" s="4">
        <v>14</v>
      </c>
      <c r="G3" s="4">
        <v>195</v>
      </c>
      <c r="H3" s="4">
        <v>1</v>
      </c>
      <c r="I3" s="4">
        <v>0</v>
      </c>
      <c r="J3" s="4">
        <v>1</v>
      </c>
      <c r="K3" s="4">
        <v>-1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11.7</v>
      </c>
      <c r="T3" s="4">
        <v>0</v>
      </c>
      <c r="U3" s="4">
        <v>-1</v>
      </c>
      <c r="V3" s="4"/>
      <c r="W3" s="4">
        <v>0.66666666666666696</v>
      </c>
      <c r="X3" s="4">
        <v>4.7619047619047603E-2</v>
      </c>
    </row>
    <row r="4" spans="1:24" x14ac:dyDescent="0.25">
      <c r="A4" s="3" t="s">
        <v>706</v>
      </c>
      <c r="B4" s="3" t="s">
        <v>704</v>
      </c>
      <c r="C4" s="3" t="s">
        <v>31</v>
      </c>
      <c r="D4" s="3">
        <v>17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186</v>
      </c>
      <c r="K4" s="3">
        <v>770</v>
      </c>
      <c r="L4" s="3">
        <v>7</v>
      </c>
      <c r="M4" s="3">
        <v>43</v>
      </c>
      <c r="N4" s="3">
        <v>28</v>
      </c>
      <c r="O4" s="3">
        <v>206</v>
      </c>
      <c r="P4" s="3">
        <v>0</v>
      </c>
      <c r="Q4" s="3">
        <v>0</v>
      </c>
      <c r="R4" s="3">
        <v>0</v>
      </c>
      <c r="S4" s="3">
        <v>167.6</v>
      </c>
      <c r="T4" s="3">
        <v>7.3253833049403694E-2</v>
      </c>
      <c r="U4" s="3">
        <v>4.1397849462365599</v>
      </c>
      <c r="V4" s="3">
        <v>7.3571428571428603</v>
      </c>
      <c r="W4" s="3"/>
      <c r="X4" s="3"/>
    </row>
    <row r="5" spans="1:24" x14ac:dyDescent="0.25">
      <c r="A5" s="4" t="s">
        <v>707</v>
      </c>
      <c r="B5" s="4" t="s">
        <v>704</v>
      </c>
      <c r="C5" s="4" t="s">
        <v>31</v>
      </c>
      <c r="D5" s="4">
        <v>17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213</v>
      </c>
      <c r="K5" s="4">
        <v>1121</v>
      </c>
      <c r="L5" s="4">
        <v>2</v>
      </c>
      <c r="M5" s="4">
        <v>72</v>
      </c>
      <c r="N5" s="4">
        <v>59</v>
      </c>
      <c r="O5" s="4">
        <v>395</v>
      </c>
      <c r="P5" s="4">
        <v>5</v>
      </c>
      <c r="Q5" s="4">
        <v>1</v>
      </c>
      <c r="R5" s="4">
        <v>0</v>
      </c>
      <c r="S5" s="4">
        <v>248.6</v>
      </c>
      <c r="T5" s="4">
        <v>0.12265758091993199</v>
      </c>
      <c r="U5" s="4">
        <v>5.2629107981220704</v>
      </c>
      <c r="V5" s="4">
        <v>6.6949152542372898</v>
      </c>
      <c r="W5" s="4"/>
      <c r="X5" s="4"/>
    </row>
    <row r="6" spans="1:24" x14ac:dyDescent="0.25">
      <c r="A6" s="3" t="s">
        <v>708</v>
      </c>
      <c r="B6" s="3" t="s">
        <v>704</v>
      </c>
      <c r="C6" s="3" t="s">
        <v>31</v>
      </c>
      <c r="D6" s="3">
        <v>1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</v>
      </c>
      <c r="K6" s="3">
        <v>7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0.7</v>
      </c>
      <c r="T6" s="3">
        <v>0</v>
      </c>
      <c r="U6" s="3">
        <v>7</v>
      </c>
      <c r="V6" s="3"/>
      <c r="W6" s="3"/>
      <c r="X6" s="3"/>
    </row>
    <row r="7" spans="1:24" x14ac:dyDescent="0.25">
      <c r="A7" s="4" t="s">
        <v>709</v>
      </c>
      <c r="B7" s="4" t="s">
        <v>704</v>
      </c>
      <c r="C7" s="4" t="s">
        <v>31</v>
      </c>
      <c r="D7" s="4">
        <v>4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10</v>
      </c>
      <c r="K7" s="4">
        <v>31</v>
      </c>
      <c r="L7" s="4">
        <v>0</v>
      </c>
      <c r="M7" s="4">
        <v>1</v>
      </c>
      <c r="N7" s="4">
        <v>1</v>
      </c>
      <c r="O7" s="4">
        <v>17</v>
      </c>
      <c r="P7" s="4">
        <v>0</v>
      </c>
      <c r="Q7" s="4">
        <v>0</v>
      </c>
      <c r="R7" s="4">
        <v>0</v>
      </c>
      <c r="S7" s="4">
        <v>5.8</v>
      </c>
      <c r="T7" s="4">
        <v>1.7035775127768301E-3</v>
      </c>
      <c r="U7" s="4">
        <v>3.1</v>
      </c>
      <c r="V7" s="4">
        <v>17</v>
      </c>
      <c r="W7" s="4"/>
      <c r="X7" s="4"/>
    </row>
    <row r="8" spans="1:24" x14ac:dyDescent="0.25">
      <c r="A8" s="3" t="s">
        <v>710</v>
      </c>
      <c r="B8" s="3" t="s">
        <v>704</v>
      </c>
      <c r="C8" s="3" t="s">
        <v>38</v>
      </c>
      <c r="D8" s="3">
        <v>9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15</v>
      </c>
      <c r="N8" s="3">
        <v>13</v>
      </c>
      <c r="O8" s="3">
        <v>114</v>
      </c>
      <c r="P8" s="3">
        <v>0</v>
      </c>
      <c r="Q8" s="3">
        <v>0</v>
      </c>
      <c r="R8" s="3">
        <v>0</v>
      </c>
      <c r="S8" s="3">
        <v>24.4</v>
      </c>
      <c r="T8" s="3">
        <v>2.55536626916525E-2</v>
      </c>
      <c r="U8" s="3"/>
      <c r="V8" s="3">
        <v>8.7692307692307701</v>
      </c>
      <c r="W8" s="3"/>
      <c r="X8" s="3"/>
    </row>
    <row r="9" spans="1:24" x14ac:dyDescent="0.25">
      <c r="A9" s="4" t="s">
        <v>711</v>
      </c>
      <c r="B9" s="4" t="s">
        <v>704</v>
      </c>
      <c r="C9" s="4" t="s">
        <v>38</v>
      </c>
      <c r="D9" s="4">
        <v>6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7</v>
      </c>
      <c r="N9" s="4">
        <v>6</v>
      </c>
      <c r="O9" s="4">
        <v>66</v>
      </c>
      <c r="P9" s="4">
        <v>2</v>
      </c>
      <c r="Q9" s="4">
        <v>0</v>
      </c>
      <c r="R9" s="4">
        <v>0</v>
      </c>
      <c r="S9" s="4">
        <v>26.6</v>
      </c>
      <c r="T9" s="4">
        <v>1.1925042589437799E-2</v>
      </c>
      <c r="U9" s="4"/>
      <c r="V9" s="4">
        <v>11</v>
      </c>
      <c r="W9" s="4"/>
      <c r="X9" s="4"/>
    </row>
    <row r="10" spans="1:24" x14ac:dyDescent="0.25">
      <c r="A10" s="3" t="s">
        <v>712</v>
      </c>
      <c r="B10" s="3" t="s">
        <v>704</v>
      </c>
      <c r="C10" s="3" t="s">
        <v>38</v>
      </c>
      <c r="D10" s="3">
        <v>17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67</v>
      </c>
      <c r="N10" s="3">
        <v>53</v>
      </c>
      <c r="O10" s="3">
        <v>470</v>
      </c>
      <c r="P10" s="3">
        <v>2</v>
      </c>
      <c r="Q10" s="3">
        <v>0</v>
      </c>
      <c r="R10" s="3">
        <v>0</v>
      </c>
      <c r="S10" s="3">
        <v>112</v>
      </c>
      <c r="T10" s="3">
        <v>0.114139693356048</v>
      </c>
      <c r="U10" s="3"/>
      <c r="V10" s="3">
        <v>8.8679245283018897</v>
      </c>
      <c r="W10" s="3"/>
      <c r="X10" s="3"/>
    </row>
    <row r="11" spans="1:24" x14ac:dyDescent="0.25">
      <c r="A11" s="4" t="s">
        <v>713</v>
      </c>
      <c r="B11" s="4" t="s">
        <v>704</v>
      </c>
      <c r="C11" s="4" t="s">
        <v>38</v>
      </c>
      <c r="D11" s="4">
        <v>5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7</v>
      </c>
      <c r="N11" s="4">
        <v>4</v>
      </c>
      <c r="O11" s="4">
        <v>26</v>
      </c>
      <c r="P11" s="4">
        <v>0</v>
      </c>
      <c r="Q11" s="4">
        <v>0</v>
      </c>
      <c r="R11" s="4">
        <v>0</v>
      </c>
      <c r="S11" s="4">
        <v>6.6</v>
      </c>
      <c r="T11" s="4">
        <v>1.1925042589437799E-2</v>
      </c>
      <c r="U11" s="4"/>
      <c r="V11" s="4">
        <v>6.5</v>
      </c>
      <c r="W11" s="4"/>
      <c r="X11" s="4"/>
    </row>
    <row r="12" spans="1:24" x14ac:dyDescent="0.25">
      <c r="A12" s="3" t="s">
        <v>714</v>
      </c>
      <c r="B12" s="3" t="s">
        <v>704</v>
      </c>
      <c r="C12" s="3" t="s">
        <v>43</v>
      </c>
      <c r="D12" s="3">
        <v>15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2</v>
      </c>
      <c r="K12" s="3">
        <v>0</v>
      </c>
      <c r="L12" s="3">
        <v>0</v>
      </c>
      <c r="M12" s="3">
        <v>100</v>
      </c>
      <c r="N12" s="3">
        <v>60</v>
      </c>
      <c r="O12" s="3">
        <v>788</v>
      </c>
      <c r="P12" s="3">
        <v>6</v>
      </c>
      <c r="Q12" s="3">
        <v>0</v>
      </c>
      <c r="R12" s="3">
        <v>0</v>
      </c>
      <c r="S12" s="3">
        <v>174.8</v>
      </c>
      <c r="T12" s="3">
        <v>0.17035775127768299</v>
      </c>
      <c r="U12" s="3">
        <v>0</v>
      </c>
      <c r="V12" s="3">
        <v>13.133333333333301</v>
      </c>
      <c r="W12" s="3"/>
      <c r="X12" s="3"/>
    </row>
    <row r="13" spans="1:24" x14ac:dyDescent="0.25">
      <c r="A13" s="4" t="s">
        <v>703</v>
      </c>
      <c r="B13" s="4" t="s">
        <v>704</v>
      </c>
      <c r="C13" s="4" t="s">
        <v>43</v>
      </c>
      <c r="D13" s="4">
        <v>4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8</v>
      </c>
      <c r="N13" s="4">
        <v>4</v>
      </c>
      <c r="O13" s="4">
        <v>50</v>
      </c>
      <c r="P13" s="4">
        <v>0</v>
      </c>
      <c r="Q13" s="4">
        <v>0</v>
      </c>
      <c r="R13" s="4">
        <v>0</v>
      </c>
      <c r="S13" s="4">
        <v>9</v>
      </c>
      <c r="T13" s="4">
        <v>1.36286201022147E-2</v>
      </c>
      <c r="U13" s="4"/>
      <c r="V13" s="4">
        <v>12.5</v>
      </c>
      <c r="W13" s="4"/>
      <c r="X13" s="4"/>
    </row>
    <row r="14" spans="1:24" x14ac:dyDescent="0.25">
      <c r="A14" s="3" t="s">
        <v>715</v>
      </c>
      <c r="B14" s="3" t="s">
        <v>704</v>
      </c>
      <c r="C14" s="3" t="s">
        <v>43</v>
      </c>
      <c r="D14" s="3">
        <v>14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7</v>
      </c>
      <c r="K14" s="3">
        <v>80</v>
      </c>
      <c r="L14" s="3">
        <v>2</v>
      </c>
      <c r="M14" s="3">
        <v>66</v>
      </c>
      <c r="N14" s="3">
        <v>41</v>
      </c>
      <c r="O14" s="3">
        <v>611</v>
      </c>
      <c r="P14" s="3">
        <v>7</v>
      </c>
      <c r="Q14" s="3">
        <v>0</v>
      </c>
      <c r="R14" s="3">
        <v>0</v>
      </c>
      <c r="S14" s="3">
        <v>164.1</v>
      </c>
      <c r="T14" s="3">
        <v>0.112436115843271</v>
      </c>
      <c r="U14" s="3">
        <v>11.4285714285714</v>
      </c>
      <c r="V14" s="3">
        <v>14.902439024390199</v>
      </c>
      <c r="W14" s="3"/>
      <c r="X14" s="3"/>
    </row>
    <row r="15" spans="1:24" x14ac:dyDescent="0.25">
      <c r="A15" s="4" t="s">
        <v>716</v>
      </c>
      <c r="B15" s="4" t="s">
        <v>704</v>
      </c>
      <c r="C15" s="4" t="s">
        <v>43</v>
      </c>
      <c r="D15" s="4">
        <v>3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4</v>
      </c>
      <c r="N15" s="4">
        <v>1</v>
      </c>
      <c r="O15" s="4">
        <v>17</v>
      </c>
      <c r="P15" s="4">
        <v>0</v>
      </c>
      <c r="Q15" s="4">
        <v>0</v>
      </c>
      <c r="R15" s="4">
        <v>0</v>
      </c>
      <c r="S15" s="4">
        <v>2.7</v>
      </c>
      <c r="T15" s="4">
        <v>6.8143100511073298E-3</v>
      </c>
      <c r="U15" s="4"/>
      <c r="V15" s="4">
        <v>17</v>
      </c>
      <c r="W15" s="4"/>
      <c r="X15" s="4"/>
    </row>
    <row r="16" spans="1:24" x14ac:dyDescent="0.25">
      <c r="A16" s="3" t="s">
        <v>717</v>
      </c>
      <c r="B16" s="3" t="s">
        <v>704</v>
      </c>
      <c r="C16" s="3" t="s">
        <v>43</v>
      </c>
      <c r="D16" s="3">
        <v>13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50</v>
      </c>
      <c r="N16" s="3">
        <v>34</v>
      </c>
      <c r="O16" s="3">
        <v>417</v>
      </c>
      <c r="P16" s="3">
        <v>1</v>
      </c>
      <c r="Q16" s="3">
        <v>0</v>
      </c>
      <c r="R16" s="3">
        <v>0</v>
      </c>
      <c r="S16" s="3">
        <v>81.7</v>
      </c>
      <c r="T16" s="3">
        <v>8.5178875638841606E-2</v>
      </c>
      <c r="U16" s="3"/>
      <c r="V16" s="3">
        <v>12.264705882352899</v>
      </c>
      <c r="W16" s="3"/>
      <c r="X16" s="3"/>
    </row>
    <row r="17" spans="1:24" x14ac:dyDescent="0.25">
      <c r="A17" s="4" t="s">
        <v>718</v>
      </c>
      <c r="B17" s="4" t="s">
        <v>704</v>
      </c>
      <c r="C17" s="4" t="s">
        <v>43</v>
      </c>
      <c r="D17" s="4">
        <v>13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1</v>
      </c>
      <c r="K17" s="4">
        <v>11</v>
      </c>
      <c r="L17" s="4">
        <v>0</v>
      </c>
      <c r="M17" s="4">
        <v>67</v>
      </c>
      <c r="N17" s="4">
        <v>42</v>
      </c>
      <c r="O17" s="4">
        <v>425</v>
      </c>
      <c r="P17" s="4">
        <v>3</v>
      </c>
      <c r="Q17" s="4">
        <v>0</v>
      </c>
      <c r="R17" s="4">
        <v>0</v>
      </c>
      <c r="S17" s="4">
        <v>101.6</v>
      </c>
      <c r="T17" s="4">
        <v>0.114139693356048</v>
      </c>
      <c r="U17" s="4">
        <v>11</v>
      </c>
      <c r="V17" s="4">
        <v>10.119047619047601</v>
      </c>
      <c r="W17" s="4"/>
      <c r="X17" s="4"/>
    </row>
    <row r="18" spans="1:24" x14ac:dyDescent="0.25">
      <c r="A18" s="3" t="s">
        <v>719</v>
      </c>
      <c r="B18" s="3" t="s">
        <v>704</v>
      </c>
      <c r="C18" s="3" t="s">
        <v>43</v>
      </c>
      <c r="D18" s="3">
        <v>4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10</v>
      </c>
      <c r="N18" s="3">
        <v>5</v>
      </c>
      <c r="O18" s="3">
        <v>82</v>
      </c>
      <c r="P18" s="3">
        <v>1</v>
      </c>
      <c r="Q18" s="3">
        <v>0</v>
      </c>
      <c r="R18" s="3">
        <v>0</v>
      </c>
      <c r="S18" s="3">
        <v>19.2</v>
      </c>
      <c r="T18" s="3">
        <v>1.7035775127768299E-2</v>
      </c>
      <c r="U18" s="3"/>
      <c r="V18" s="3">
        <v>16.399999999999999</v>
      </c>
      <c r="W18" s="3"/>
      <c r="X18" s="3"/>
    </row>
    <row r="19" spans="1:24" x14ac:dyDescent="0.25">
      <c r="A19" s="4" t="s">
        <v>202</v>
      </c>
      <c r="B19" s="4" t="s">
        <v>704</v>
      </c>
      <c r="C19" s="4" t="s">
        <v>43</v>
      </c>
      <c r="D19" s="4">
        <v>7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22</v>
      </c>
      <c r="N19" s="4">
        <v>13</v>
      </c>
      <c r="O19" s="4">
        <v>206</v>
      </c>
      <c r="P19" s="4">
        <v>0</v>
      </c>
      <c r="Q19" s="4">
        <v>0</v>
      </c>
      <c r="R19" s="4">
        <v>0</v>
      </c>
      <c r="S19" s="4">
        <v>33.6</v>
      </c>
      <c r="T19" s="4">
        <v>3.7478705281090298E-2</v>
      </c>
      <c r="U19" s="4"/>
      <c r="V19" s="4">
        <v>15.846153846153801</v>
      </c>
      <c r="W19" s="4"/>
      <c r="X19" s="4"/>
    </row>
    <row r="30" spans="1:24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</row>
    <row r="31" spans="1:24" x14ac:dyDescent="0.25">
      <c r="A31" s="3" t="s">
        <v>704</v>
      </c>
      <c r="B31" s="3">
        <v>6003</v>
      </c>
      <c r="C31" s="3">
        <v>3890</v>
      </c>
      <c r="D31" s="3">
        <v>455</v>
      </c>
      <c r="E31" s="3">
        <v>2113</v>
      </c>
      <c r="F31" s="3">
        <v>12</v>
      </c>
      <c r="G31" s="3">
        <v>1429.9</v>
      </c>
      <c r="H31" s="3">
        <v>563</v>
      </c>
      <c r="I31" s="3">
        <v>0.64653641207815304</v>
      </c>
      <c r="J31" s="3">
        <v>27</v>
      </c>
      <c r="K31" s="3">
        <v>12</v>
      </c>
      <c r="L31" s="3">
        <v>5</v>
      </c>
    </row>
    <row r="32" spans="1:24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</row>
    <row r="33" spans="1:28" x14ac:dyDescent="0.25">
      <c r="A33" s="3" t="str">
        <f>A31</f>
        <v>GB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720</v>
      </c>
      <c r="B36" s="3" t="s">
        <v>26</v>
      </c>
      <c r="C36" s="3">
        <v>25</v>
      </c>
      <c r="D36" s="3">
        <v>0</v>
      </c>
      <c r="E36" s="3" t="s">
        <v>339</v>
      </c>
      <c r="F36" s="3" t="s">
        <v>704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">
        <v>0</v>
      </c>
      <c r="X36" s="3">
        <v>0</v>
      </c>
      <c r="Y36" s="3">
        <v>0</v>
      </c>
      <c r="Z36" s="3">
        <v>0</v>
      </c>
      <c r="AA36" s="3">
        <v>0</v>
      </c>
      <c r="AB36" s="3">
        <v>0</v>
      </c>
    </row>
    <row r="37" spans="1:28" x14ac:dyDescent="0.25">
      <c r="A37" s="4" t="s">
        <v>721</v>
      </c>
      <c r="B37" s="4" t="s">
        <v>26</v>
      </c>
      <c r="C37" s="4">
        <v>24</v>
      </c>
      <c r="D37" s="4">
        <v>4</v>
      </c>
      <c r="E37" s="4" t="s">
        <v>89</v>
      </c>
      <c r="F37" s="4" t="s">
        <v>704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</row>
    <row r="38" spans="1:28" x14ac:dyDescent="0.25">
      <c r="A38" s="3" t="s">
        <v>722</v>
      </c>
      <c r="B38" s="3" t="s">
        <v>26</v>
      </c>
      <c r="C38" s="3">
        <v>27</v>
      </c>
      <c r="D38" s="3">
        <v>1</v>
      </c>
      <c r="E38" s="3" t="s">
        <v>182</v>
      </c>
      <c r="F38" s="3" t="s">
        <v>704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v>0</v>
      </c>
      <c r="W38" s="3">
        <v>0</v>
      </c>
      <c r="X38" s="3">
        <v>0</v>
      </c>
      <c r="Y38" s="3">
        <v>0</v>
      </c>
      <c r="Z38" s="3">
        <v>0</v>
      </c>
      <c r="AA38" s="3">
        <v>0</v>
      </c>
      <c r="AB38" s="3"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723</v>
      </c>
      <c r="B46" s="3" t="s">
        <v>31</v>
      </c>
      <c r="C46" s="3">
        <v>25</v>
      </c>
      <c r="D46" s="3">
        <v>4</v>
      </c>
      <c r="E46" s="3" t="s">
        <v>235</v>
      </c>
      <c r="F46" s="3" t="s">
        <v>704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v>0</v>
      </c>
      <c r="W46" s="3">
        <v>0</v>
      </c>
      <c r="X46" s="3">
        <v>0</v>
      </c>
      <c r="Y46" s="3">
        <v>0</v>
      </c>
      <c r="Z46" s="3">
        <v>0</v>
      </c>
      <c r="AA46" s="3">
        <v>0</v>
      </c>
      <c r="AB46" s="3">
        <f t="shared" ref="AB46:AB52" si="0">($J46*Cp_yd)+($K46*Cp_td)+($L46*Cint)+($M46*Ccar)+($N46*Cr_td)+($O46*Cr_yd)+(Q46*Crec)+($R46*Crec_yd)+($S46*Crec_td)+($T46*Cfmb)+($U46*Ctp_c)</f>
        <v>0</v>
      </c>
    </row>
    <row r="47" spans="1:28" x14ac:dyDescent="0.25">
      <c r="A47" s="4" t="s">
        <v>724</v>
      </c>
      <c r="B47" s="4" t="s">
        <v>31</v>
      </c>
      <c r="C47" s="4">
        <v>22</v>
      </c>
      <c r="D47" s="4">
        <v>1</v>
      </c>
      <c r="E47" s="4" t="s">
        <v>100</v>
      </c>
      <c r="F47" s="4" t="s">
        <v>704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f t="shared" si="0"/>
        <v>0</v>
      </c>
    </row>
    <row r="48" spans="1:28" x14ac:dyDescent="0.25">
      <c r="A48" s="3" t="s">
        <v>725</v>
      </c>
      <c r="B48" s="3" t="s">
        <v>31</v>
      </c>
      <c r="C48" s="3">
        <v>28</v>
      </c>
      <c r="D48" s="3">
        <v>7</v>
      </c>
      <c r="E48" s="3" t="s">
        <v>726</v>
      </c>
      <c r="F48" s="3" t="s">
        <v>704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v>0</v>
      </c>
      <c r="W48" s="3">
        <v>0</v>
      </c>
      <c r="X48" s="3">
        <v>0</v>
      </c>
      <c r="Y48" s="3">
        <v>0</v>
      </c>
      <c r="Z48" s="3">
        <v>0</v>
      </c>
      <c r="AA48" s="3">
        <v>0</v>
      </c>
      <c r="AB48" s="3">
        <f t="shared" si="0"/>
        <v>0</v>
      </c>
    </row>
    <row r="49" spans="1:28" x14ac:dyDescent="0.25">
      <c r="A49" s="4" t="s">
        <v>727</v>
      </c>
      <c r="B49" s="4" t="s">
        <v>31</v>
      </c>
      <c r="C49" s="4">
        <v>24</v>
      </c>
      <c r="D49" s="4">
        <v>1</v>
      </c>
      <c r="E49" s="4" t="s">
        <v>728</v>
      </c>
      <c r="F49" s="4" t="s">
        <v>704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B49" s="4">
        <f t="shared" si="0"/>
        <v>0</v>
      </c>
    </row>
    <row r="50" spans="1:28" x14ac:dyDescent="0.25">
      <c r="A50" s="3" t="s">
        <v>729</v>
      </c>
      <c r="B50" s="3" t="s">
        <v>31</v>
      </c>
      <c r="C50" s="3">
        <v>22</v>
      </c>
      <c r="D50" s="3">
        <v>0</v>
      </c>
      <c r="E50" s="3" t="s">
        <v>309</v>
      </c>
      <c r="F50" s="3" t="s">
        <v>704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v>0</v>
      </c>
      <c r="W50" s="3">
        <v>0</v>
      </c>
      <c r="X50" s="3">
        <v>0</v>
      </c>
      <c r="Y50" s="3">
        <v>0</v>
      </c>
      <c r="Z50" s="3">
        <v>0</v>
      </c>
      <c r="AA50" s="3">
        <v>0</v>
      </c>
      <c r="AB50" s="3">
        <f t="shared" si="0"/>
        <v>0</v>
      </c>
    </row>
    <row r="51" spans="1:28" x14ac:dyDescent="0.25">
      <c r="A51" s="4" t="s">
        <v>730</v>
      </c>
      <c r="B51" s="4" t="s">
        <v>31</v>
      </c>
      <c r="C51" s="4">
        <v>25</v>
      </c>
      <c r="D51" s="4">
        <v>3</v>
      </c>
      <c r="E51" s="4" t="s">
        <v>557</v>
      </c>
      <c r="F51" s="4" t="s">
        <v>704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v>0</v>
      </c>
      <c r="W51" s="4">
        <v>0</v>
      </c>
      <c r="X51" s="4">
        <v>0</v>
      </c>
      <c r="Y51" s="4">
        <v>0</v>
      </c>
      <c r="Z51" s="4">
        <v>0</v>
      </c>
      <c r="AA51" s="4">
        <v>0</v>
      </c>
      <c r="AB51" s="4">
        <f t="shared" si="0"/>
        <v>0</v>
      </c>
    </row>
    <row r="52" spans="1:28" x14ac:dyDescent="0.25">
      <c r="A52" s="3" t="s">
        <v>731</v>
      </c>
      <c r="B52" s="3" t="s">
        <v>31</v>
      </c>
      <c r="C52" s="3">
        <v>24</v>
      </c>
      <c r="D52" s="3">
        <v>0</v>
      </c>
      <c r="E52" s="3" t="s">
        <v>93</v>
      </c>
      <c r="F52" s="3" t="s">
        <v>704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v>0</v>
      </c>
      <c r="W52" s="3">
        <v>0</v>
      </c>
      <c r="X52" s="3">
        <v>0</v>
      </c>
      <c r="Y52" s="3">
        <v>0</v>
      </c>
      <c r="Z52" s="3">
        <v>0</v>
      </c>
      <c r="AA52" s="3">
        <v>0</v>
      </c>
      <c r="AB52" s="3">
        <f t="shared" si="0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732</v>
      </c>
      <c r="B61" s="3" t="s">
        <v>43</v>
      </c>
      <c r="C61" s="3">
        <v>23</v>
      </c>
      <c r="D61" s="3">
        <v>0</v>
      </c>
      <c r="E61" s="3" t="s">
        <v>733</v>
      </c>
      <c r="F61" s="3" t="s">
        <v>704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v>0</v>
      </c>
      <c r="W61" s="3">
        <v>0</v>
      </c>
      <c r="X61" s="3">
        <v>0</v>
      </c>
      <c r="Y61" s="3">
        <v>0</v>
      </c>
      <c r="Z61" s="3">
        <v>0</v>
      </c>
      <c r="AA61" s="3">
        <v>0</v>
      </c>
      <c r="AB61" s="3">
        <v>0</v>
      </c>
    </row>
    <row r="62" spans="1:28" x14ac:dyDescent="0.25">
      <c r="A62" s="4" t="s">
        <v>734</v>
      </c>
      <c r="B62" s="4" t="s">
        <v>43</v>
      </c>
      <c r="C62" s="4"/>
      <c r="D62" s="4">
        <v>0</v>
      </c>
      <c r="E62" s="4" t="s">
        <v>91</v>
      </c>
      <c r="F62" s="4" t="s">
        <v>704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0</v>
      </c>
      <c r="X62" s="4">
        <v>0</v>
      </c>
      <c r="Y62" s="4">
        <v>0</v>
      </c>
      <c r="Z62" s="4">
        <v>0</v>
      </c>
      <c r="AA62" s="4">
        <v>0</v>
      </c>
      <c r="AB62" s="4">
        <v>0</v>
      </c>
    </row>
    <row r="63" spans="1:28" x14ac:dyDescent="0.25">
      <c r="A63" s="3" t="s">
        <v>735</v>
      </c>
      <c r="B63" s="3" t="s">
        <v>43</v>
      </c>
      <c r="C63" s="3">
        <v>23</v>
      </c>
      <c r="D63" s="3">
        <v>2</v>
      </c>
      <c r="E63" s="3" t="s">
        <v>736</v>
      </c>
      <c r="F63" s="3" t="s">
        <v>704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v>0</v>
      </c>
      <c r="W63" s="3">
        <v>0</v>
      </c>
      <c r="X63" s="3">
        <v>0</v>
      </c>
      <c r="Y63" s="3">
        <v>0</v>
      </c>
      <c r="Z63" s="3">
        <v>0</v>
      </c>
      <c r="AA63" s="3">
        <v>0</v>
      </c>
      <c r="AB63" s="3">
        <v>0</v>
      </c>
    </row>
    <row r="64" spans="1:28" x14ac:dyDescent="0.25">
      <c r="A64" s="4" t="s">
        <v>737</v>
      </c>
      <c r="B64" s="4" t="s">
        <v>43</v>
      </c>
      <c r="C64" s="4">
        <v>22</v>
      </c>
      <c r="D64" s="4">
        <v>0</v>
      </c>
      <c r="E64" s="4" t="s">
        <v>738</v>
      </c>
      <c r="F64" s="4" t="s">
        <v>704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</row>
    <row r="65" spans="1:28" x14ac:dyDescent="0.25">
      <c r="A65" s="3" t="s">
        <v>739</v>
      </c>
      <c r="B65" s="3" t="s">
        <v>43</v>
      </c>
      <c r="C65" s="3">
        <v>23</v>
      </c>
      <c r="D65" s="3">
        <v>0</v>
      </c>
      <c r="E65" s="3" t="s">
        <v>240</v>
      </c>
      <c r="F65" s="3" t="s">
        <v>704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v>0</v>
      </c>
      <c r="W65" s="3">
        <v>0</v>
      </c>
      <c r="X65" s="3">
        <v>0</v>
      </c>
      <c r="Y65" s="3">
        <v>0</v>
      </c>
      <c r="Z65" s="3">
        <v>0</v>
      </c>
      <c r="AA65" s="3">
        <v>0</v>
      </c>
      <c r="AB65" s="3">
        <v>0</v>
      </c>
    </row>
    <row r="66" spans="1:28" x14ac:dyDescent="0.25">
      <c r="A66" s="4" t="s">
        <v>740</v>
      </c>
      <c r="B66" s="4" t="s">
        <v>43</v>
      </c>
      <c r="C66" s="4">
        <v>24</v>
      </c>
      <c r="D66" s="4">
        <v>1</v>
      </c>
      <c r="E66" s="4" t="s">
        <v>215</v>
      </c>
      <c r="F66" s="4" t="s">
        <v>704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</row>
    <row r="67" spans="1:28" x14ac:dyDescent="0.25">
      <c r="A67" s="3" t="s">
        <v>741</v>
      </c>
      <c r="B67" s="3" t="s">
        <v>43</v>
      </c>
      <c r="C67" s="3">
        <v>25</v>
      </c>
      <c r="D67" s="3">
        <v>1</v>
      </c>
      <c r="E67" s="3" t="s">
        <v>742</v>
      </c>
      <c r="F67" s="3" t="s">
        <v>704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v>0</v>
      </c>
      <c r="W67" s="3">
        <v>0</v>
      </c>
      <c r="X67" s="3">
        <v>0</v>
      </c>
      <c r="Y67" s="3">
        <v>0</v>
      </c>
      <c r="Z67" s="3">
        <v>0</v>
      </c>
      <c r="AA67" s="3">
        <v>0</v>
      </c>
      <c r="AB67" s="3">
        <v>0</v>
      </c>
    </row>
    <row r="68" spans="1:28" x14ac:dyDescent="0.25">
      <c r="A68" s="4" t="s">
        <v>743</v>
      </c>
      <c r="B68" s="4" t="s">
        <v>43</v>
      </c>
      <c r="C68" s="4">
        <v>23</v>
      </c>
      <c r="D68" s="4">
        <v>0</v>
      </c>
      <c r="E68" s="4" t="s">
        <v>744</v>
      </c>
      <c r="F68" s="4" t="s">
        <v>704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0</v>
      </c>
      <c r="X68" s="4">
        <v>0</v>
      </c>
      <c r="Y68" s="4">
        <v>0</v>
      </c>
      <c r="Z68" s="4">
        <v>0</v>
      </c>
      <c r="AA68" s="4">
        <v>0</v>
      </c>
      <c r="AB68" s="4">
        <v>0</v>
      </c>
    </row>
    <row r="69" spans="1:28" x14ac:dyDescent="0.25">
      <c r="A69" s="3" t="s">
        <v>745</v>
      </c>
      <c r="B69" s="3" t="s">
        <v>43</v>
      </c>
      <c r="C69" s="3">
        <v>25</v>
      </c>
      <c r="D69" s="3">
        <v>2</v>
      </c>
      <c r="E69" s="3" t="s">
        <v>248</v>
      </c>
      <c r="F69" s="3" t="s">
        <v>704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v>0</v>
      </c>
      <c r="W69" s="3">
        <v>0</v>
      </c>
      <c r="X69" s="3">
        <v>0</v>
      </c>
      <c r="Y69" s="3">
        <v>0</v>
      </c>
      <c r="Z69" s="3">
        <v>0</v>
      </c>
      <c r="AA69" s="3">
        <v>0</v>
      </c>
      <c r="AB69" s="3">
        <v>0</v>
      </c>
    </row>
    <row r="70" spans="1:28" x14ac:dyDescent="0.25">
      <c r="A70" s="4" t="s">
        <v>746</v>
      </c>
      <c r="B70" s="4" t="s">
        <v>43</v>
      </c>
      <c r="C70" s="4">
        <v>24</v>
      </c>
      <c r="D70" s="4">
        <v>2</v>
      </c>
      <c r="E70" s="4" t="s">
        <v>555</v>
      </c>
      <c r="F70" s="4" t="s">
        <v>704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0</v>
      </c>
      <c r="X70" s="4">
        <v>0</v>
      </c>
      <c r="Y70" s="4">
        <v>0</v>
      </c>
      <c r="Z70" s="4">
        <v>0</v>
      </c>
      <c r="AA70" s="4">
        <v>0</v>
      </c>
      <c r="AB70" s="4">
        <v>0</v>
      </c>
    </row>
    <row r="71" spans="1:28" x14ac:dyDescent="0.25">
      <c r="A71" s="3" t="s">
        <v>747</v>
      </c>
      <c r="B71" s="3" t="s">
        <v>43</v>
      </c>
      <c r="C71" s="3">
        <v>23</v>
      </c>
      <c r="D71" s="3">
        <v>0</v>
      </c>
      <c r="E71" s="3" t="s">
        <v>405</v>
      </c>
      <c r="F71" s="3" t="s">
        <v>704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v>0</v>
      </c>
      <c r="W71" s="3">
        <v>0</v>
      </c>
      <c r="X71" s="3">
        <v>0</v>
      </c>
      <c r="Y71" s="3">
        <v>0</v>
      </c>
      <c r="Z71" s="3">
        <v>0</v>
      </c>
      <c r="AA71" s="3">
        <v>0</v>
      </c>
      <c r="AB71" s="3">
        <v>0</v>
      </c>
    </row>
    <row r="72" spans="1:28" x14ac:dyDescent="0.25">
      <c r="A72" s="4" t="s">
        <v>748</v>
      </c>
      <c r="B72" s="4" t="s">
        <v>43</v>
      </c>
      <c r="C72" s="4">
        <v>22</v>
      </c>
      <c r="D72" s="4">
        <v>0</v>
      </c>
      <c r="E72" s="4" t="s">
        <v>409</v>
      </c>
      <c r="F72" s="4" t="s">
        <v>704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v>0</v>
      </c>
      <c r="W72" s="4">
        <v>0</v>
      </c>
      <c r="X72" s="4">
        <v>0</v>
      </c>
      <c r="Y72" s="4">
        <v>0</v>
      </c>
      <c r="Z72" s="4">
        <v>0</v>
      </c>
      <c r="AA72" s="4">
        <v>0</v>
      </c>
      <c r="AB72" s="4"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749</v>
      </c>
      <c r="B76" s="3" t="s">
        <v>38</v>
      </c>
      <c r="C76" s="3">
        <v>24</v>
      </c>
      <c r="D76" s="3">
        <v>1</v>
      </c>
      <c r="E76" s="3" t="s">
        <v>248</v>
      </c>
      <c r="F76" s="3" t="s">
        <v>704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v>0</v>
      </c>
      <c r="W76" s="3">
        <v>0</v>
      </c>
      <c r="X76" s="3">
        <v>0</v>
      </c>
      <c r="Y76" s="3">
        <v>0</v>
      </c>
      <c r="Z76" s="3">
        <v>0</v>
      </c>
      <c r="AA76" s="3">
        <v>0</v>
      </c>
      <c r="AB76" s="3">
        <v>0</v>
      </c>
    </row>
    <row r="77" spans="1:28" x14ac:dyDescent="0.25">
      <c r="A77" s="4" t="s">
        <v>750</v>
      </c>
      <c r="B77" s="4" t="s">
        <v>38</v>
      </c>
      <c r="C77" s="4">
        <v>26</v>
      </c>
      <c r="D77" s="4">
        <v>4</v>
      </c>
      <c r="E77" s="4" t="s">
        <v>455</v>
      </c>
      <c r="F77" s="4" t="s">
        <v>704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v>0</v>
      </c>
      <c r="W77" s="4">
        <v>0</v>
      </c>
      <c r="X77" s="4">
        <v>0</v>
      </c>
      <c r="Y77" s="4">
        <v>0</v>
      </c>
      <c r="Z77" s="4">
        <v>0</v>
      </c>
      <c r="AA77" s="4">
        <v>0</v>
      </c>
      <c r="AB77" s="4">
        <v>0</v>
      </c>
    </row>
    <row r="78" spans="1:28" x14ac:dyDescent="0.25">
      <c r="A78" s="3" t="s">
        <v>751</v>
      </c>
      <c r="B78" s="3" t="s">
        <v>38</v>
      </c>
      <c r="C78" s="3">
        <v>26</v>
      </c>
      <c r="D78" s="3">
        <v>4</v>
      </c>
      <c r="E78" s="3" t="s">
        <v>136</v>
      </c>
      <c r="F78" s="3" t="s">
        <v>704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v>0</v>
      </c>
      <c r="W78" s="3">
        <v>0</v>
      </c>
      <c r="X78" s="3">
        <v>0</v>
      </c>
      <c r="Y78" s="3">
        <v>0</v>
      </c>
      <c r="Z78" s="3">
        <v>0</v>
      </c>
      <c r="AA78" s="3">
        <v>0</v>
      </c>
      <c r="AB78" s="3">
        <v>0</v>
      </c>
    </row>
    <row r="79" spans="1:28" x14ac:dyDescent="0.25">
      <c r="A79" s="4" t="s">
        <v>752</v>
      </c>
      <c r="B79" s="4" t="s">
        <v>38</v>
      </c>
      <c r="C79" s="4">
        <v>22</v>
      </c>
      <c r="D79" s="4">
        <v>0</v>
      </c>
      <c r="E79" s="4" t="s">
        <v>753</v>
      </c>
      <c r="F79" s="4" t="s">
        <v>704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v>0</v>
      </c>
      <c r="W79" s="4">
        <v>0</v>
      </c>
      <c r="X79" s="4">
        <v>0</v>
      </c>
      <c r="Y79" s="4">
        <v>0</v>
      </c>
      <c r="Z79" s="4">
        <v>0</v>
      </c>
      <c r="AA79" s="4">
        <v>0</v>
      </c>
      <c r="AB79" s="4">
        <v>0</v>
      </c>
    </row>
    <row r="80" spans="1:28" x14ac:dyDescent="0.25">
      <c r="A80" s="3" t="s">
        <v>754</v>
      </c>
      <c r="B80" s="3" t="s">
        <v>38</v>
      </c>
      <c r="C80" s="3">
        <v>22</v>
      </c>
      <c r="D80" s="3">
        <v>0</v>
      </c>
      <c r="E80" s="3" t="s">
        <v>111</v>
      </c>
      <c r="F80" s="3" t="s">
        <v>704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v>0</v>
      </c>
      <c r="W80" s="3">
        <v>0</v>
      </c>
      <c r="X80" s="3">
        <v>0</v>
      </c>
      <c r="Y80" s="3">
        <v>0</v>
      </c>
      <c r="Z80" s="3">
        <v>0</v>
      </c>
      <c r="AA80" s="3">
        <v>0</v>
      </c>
      <c r="AB80" s="3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AB83"/>
  <sheetViews>
    <sheetView topLeftCell="I1" workbookViewId="0">
      <selection activeCell="AB46" sqref="AB46:AB50"/>
    </sheetView>
  </sheetViews>
  <sheetFormatPr defaultColWidth="11.42578125" defaultRowHeight="15" x14ac:dyDescent="0.25"/>
  <sheetData>
    <row r="1" spans="1:24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</row>
    <row r="2" spans="1:24" x14ac:dyDescent="0.25">
      <c r="A2" s="3" t="s">
        <v>755</v>
      </c>
      <c r="B2" s="3" t="s">
        <v>756</v>
      </c>
      <c r="C2" s="3" t="s">
        <v>115</v>
      </c>
      <c r="D2" s="3">
        <v>7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8</v>
      </c>
      <c r="N2" s="3">
        <v>5</v>
      </c>
      <c r="O2" s="3">
        <v>19</v>
      </c>
      <c r="P2" s="3">
        <v>0</v>
      </c>
      <c r="Q2" s="3">
        <v>0</v>
      </c>
      <c r="R2" s="3">
        <v>0</v>
      </c>
      <c r="S2" s="3">
        <v>6.9</v>
      </c>
      <c r="T2" s="3">
        <v>1.42095914742451E-2</v>
      </c>
      <c r="U2" s="3"/>
      <c r="V2" s="3">
        <v>3.8</v>
      </c>
      <c r="W2" s="3"/>
      <c r="X2" s="3"/>
    </row>
    <row r="3" spans="1:24" x14ac:dyDescent="0.25">
      <c r="A3" s="4" t="s">
        <v>757</v>
      </c>
      <c r="B3" s="4" t="s">
        <v>756</v>
      </c>
      <c r="C3" s="4" t="s">
        <v>26</v>
      </c>
      <c r="D3" s="4">
        <v>15</v>
      </c>
      <c r="E3" s="4">
        <v>479</v>
      </c>
      <c r="F3" s="4">
        <v>292</v>
      </c>
      <c r="G3" s="4">
        <v>3118</v>
      </c>
      <c r="H3" s="4">
        <v>17</v>
      </c>
      <c r="I3" s="4">
        <v>15</v>
      </c>
      <c r="J3" s="4">
        <v>32</v>
      </c>
      <c r="K3" s="4">
        <v>108</v>
      </c>
      <c r="L3" s="4">
        <v>2</v>
      </c>
      <c r="M3" s="4">
        <v>0</v>
      </c>
      <c r="N3" s="4">
        <v>0</v>
      </c>
      <c r="O3" s="4">
        <v>0</v>
      </c>
      <c r="P3" s="4">
        <v>0</v>
      </c>
      <c r="Q3" s="4">
        <v>3</v>
      </c>
      <c r="R3" s="4">
        <v>1</v>
      </c>
      <c r="S3" s="4">
        <v>181.52</v>
      </c>
      <c r="T3" s="4">
        <v>0</v>
      </c>
      <c r="U3" s="4">
        <v>3.375</v>
      </c>
      <c r="V3" s="4"/>
      <c r="W3" s="4">
        <v>0.60960334029227603</v>
      </c>
      <c r="X3" s="4">
        <v>3.54906054279749E-2</v>
      </c>
    </row>
    <row r="4" spans="1:24" x14ac:dyDescent="0.25">
      <c r="A4" s="3" t="s">
        <v>758</v>
      </c>
      <c r="B4" s="3" t="s">
        <v>756</v>
      </c>
      <c r="C4" s="3" t="s">
        <v>26</v>
      </c>
      <c r="D4" s="3">
        <v>7</v>
      </c>
      <c r="E4" s="3">
        <v>20</v>
      </c>
      <c r="F4" s="3">
        <v>14</v>
      </c>
      <c r="G4" s="3">
        <v>108</v>
      </c>
      <c r="H4" s="3">
        <v>1</v>
      </c>
      <c r="I4" s="3">
        <v>0</v>
      </c>
      <c r="J4" s="3">
        <v>20</v>
      </c>
      <c r="K4" s="3">
        <v>75</v>
      </c>
      <c r="L4" s="3">
        <v>0</v>
      </c>
      <c r="M4" s="3">
        <v>1</v>
      </c>
      <c r="N4" s="3">
        <v>1</v>
      </c>
      <c r="O4" s="3">
        <v>4</v>
      </c>
      <c r="P4" s="3">
        <v>0</v>
      </c>
      <c r="Q4" s="3">
        <v>0</v>
      </c>
      <c r="R4" s="3">
        <v>0</v>
      </c>
      <c r="S4" s="3">
        <v>17.22</v>
      </c>
      <c r="T4" s="3">
        <v>1.7761989342806399E-3</v>
      </c>
      <c r="U4" s="3">
        <v>3.75</v>
      </c>
      <c r="V4" s="3">
        <v>4</v>
      </c>
      <c r="W4" s="3">
        <v>0.7</v>
      </c>
      <c r="X4" s="3">
        <v>0.05</v>
      </c>
    </row>
    <row r="5" spans="1:24" x14ac:dyDescent="0.25">
      <c r="A5" s="4" t="s">
        <v>759</v>
      </c>
      <c r="B5" s="4" t="s">
        <v>756</v>
      </c>
      <c r="C5" s="4" t="s">
        <v>26</v>
      </c>
      <c r="D5" s="4">
        <v>2</v>
      </c>
      <c r="E5" s="4">
        <v>78</v>
      </c>
      <c r="F5" s="4">
        <v>46</v>
      </c>
      <c r="G5" s="4">
        <v>416</v>
      </c>
      <c r="H5" s="4">
        <v>2</v>
      </c>
      <c r="I5" s="4">
        <v>4</v>
      </c>
      <c r="J5" s="4">
        <v>6</v>
      </c>
      <c r="K5" s="4">
        <v>13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1</v>
      </c>
      <c r="R5" s="4">
        <v>0</v>
      </c>
      <c r="S5" s="4">
        <v>15.94</v>
      </c>
      <c r="T5" s="4">
        <v>0</v>
      </c>
      <c r="U5" s="4">
        <v>2.1666666666666701</v>
      </c>
      <c r="V5" s="4"/>
      <c r="W5" s="4">
        <v>0.58974358974358998</v>
      </c>
      <c r="X5" s="4">
        <v>2.5641025641025599E-2</v>
      </c>
    </row>
    <row r="6" spans="1:24" x14ac:dyDescent="0.25">
      <c r="A6" s="3" t="s">
        <v>760</v>
      </c>
      <c r="B6" s="3" t="s">
        <v>756</v>
      </c>
      <c r="C6" s="3" t="s">
        <v>31</v>
      </c>
      <c r="D6" s="3">
        <v>11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42</v>
      </c>
      <c r="K6" s="3">
        <v>123</v>
      </c>
      <c r="L6" s="3">
        <v>1</v>
      </c>
      <c r="M6" s="3">
        <v>26</v>
      </c>
      <c r="N6" s="3">
        <v>20</v>
      </c>
      <c r="O6" s="3">
        <v>104</v>
      </c>
      <c r="P6" s="3">
        <v>0</v>
      </c>
      <c r="Q6" s="3">
        <v>0</v>
      </c>
      <c r="R6" s="3">
        <v>0</v>
      </c>
      <c r="S6" s="3">
        <v>48.7</v>
      </c>
      <c r="T6" s="3">
        <v>4.6181172291296597E-2</v>
      </c>
      <c r="U6" s="3">
        <v>2.9285714285714302</v>
      </c>
      <c r="V6" s="3">
        <v>5.2</v>
      </c>
      <c r="W6" s="3"/>
      <c r="X6" s="3"/>
    </row>
    <row r="7" spans="1:24" x14ac:dyDescent="0.25">
      <c r="A7" s="4" t="s">
        <v>761</v>
      </c>
      <c r="B7" s="4" t="s">
        <v>756</v>
      </c>
      <c r="C7" s="4" t="s">
        <v>31</v>
      </c>
      <c r="D7" s="4">
        <v>13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220</v>
      </c>
      <c r="K7" s="4">
        <v>939</v>
      </c>
      <c r="L7" s="4">
        <v>4</v>
      </c>
      <c r="M7" s="4">
        <v>39</v>
      </c>
      <c r="N7" s="4">
        <v>30</v>
      </c>
      <c r="O7" s="4">
        <v>165</v>
      </c>
      <c r="P7" s="4">
        <v>1</v>
      </c>
      <c r="Q7" s="4">
        <v>2</v>
      </c>
      <c r="R7" s="4">
        <v>0</v>
      </c>
      <c r="S7" s="4">
        <v>166.4</v>
      </c>
      <c r="T7" s="4">
        <v>6.92717584369449E-2</v>
      </c>
      <c r="U7" s="4">
        <v>4.2681818181818203</v>
      </c>
      <c r="V7" s="4">
        <v>5.5</v>
      </c>
      <c r="W7" s="4"/>
      <c r="X7" s="4"/>
    </row>
    <row r="8" spans="1:24" x14ac:dyDescent="0.25">
      <c r="A8" s="3" t="s">
        <v>33</v>
      </c>
      <c r="B8" s="3" t="s">
        <v>756</v>
      </c>
      <c r="C8" s="3" t="s">
        <v>31</v>
      </c>
      <c r="D8" s="3">
        <v>1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3</v>
      </c>
      <c r="K8" s="3">
        <v>1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0.1</v>
      </c>
      <c r="T8" s="3">
        <v>0</v>
      </c>
      <c r="U8" s="3">
        <v>0.33333333333333298</v>
      </c>
      <c r="V8" s="3"/>
      <c r="W8" s="3"/>
      <c r="X8" s="3"/>
    </row>
    <row r="9" spans="1:24" x14ac:dyDescent="0.25">
      <c r="A9" s="4" t="s">
        <v>762</v>
      </c>
      <c r="B9" s="4" t="s">
        <v>756</v>
      </c>
      <c r="C9" s="4" t="s">
        <v>31</v>
      </c>
      <c r="D9" s="4">
        <v>15</v>
      </c>
      <c r="E9" s="4">
        <v>1</v>
      </c>
      <c r="F9" s="4">
        <v>0</v>
      </c>
      <c r="G9" s="4">
        <v>0</v>
      </c>
      <c r="H9" s="4">
        <v>0</v>
      </c>
      <c r="I9" s="4">
        <v>0</v>
      </c>
      <c r="J9" s="4">
        <v>26</v>
      </c>
      <c r="K9" s="4">
        <v>80</v>
      </c>
      <c r="L9" s="4">
        <v>0</v>
      </c>
      <c r="M9" s="4">
        <v>51</v>
      </c>
      <c r="N9" s="4">
        <v>37</v>
      </c>
      <c r="O9" s="4">
        <v>204</v>
      </c>
      <c r="P9" s="4">
        <v>1</v>
      </c>
      <c r="Q9" s="4">
        <v>0</v>
      </c>
      <c r="R9" s="4">
        <v>0</v>
      </c>
      <c r="S9" s="4">
        <v>71.400000000000006</v>
      </c>
      <c r="T9" s="4">
        <v>9.0586145648312605E-2</v>
      </c>
      <c r="U9" s="4">
        <v>3.0769230769230802</v>
      </c>
      <c r="V9" s="4">
        <v>5.5135135135135096</v>
      </c>
      <c r="W9" s="4">
        <v>0</v>
      </c>
      <c r="X9" s="4">
        <v>0</v>
      </c>
    </row>
    <row r="10" spans="1:24" x14ac:dyDescent="0.25">
      <c r="A10" s="3" t="s">
        <v>763</v>
      </c>
      <c r="B10" s="3" t="s">
        <v>756</v>
      </c>
      <c r="C10" s="3" t="s">
        <v>31</v>
      </c>
      <c r="D10" s="3">
        <v>4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41</v>
      </c>
      <c r="K10" s="3">
        <v>117</v>
      </c>
      <c r="L10" s="3">
        <v>0</v>
      </c>
      <c r="M10" s="3">
        <v>8</v>
      </c>
      <c r="N10" s="3">
        <v>6</v>
      </c>
      <c r="O10" s="3">
        <v>33</v>
      </c>
      <c r="P10" s="3">
        <v>0</v>
      </c>
      <c r="Q10" s="3">
        <v>1</v>
      </c>
      <c r="R10" s="3">
        <v>0</v>
      </c>
      <c r="S10" s="3">
        <v>19</v>
      </c>
      <c r="T10" s="3">
        <v>1.42095914742451E-2</v>
      </c>
      <c r="U10" s="3">
        <v>2.8536585365853702</v>
      </c>
      <c r="V10" s="3">
        <v>5.5</v>
      </c>
      <c r="W10" s="3"/>
      <c r="X10" s="3"/>
    </row>
    <row r="11" spans="1:24" x14ac:dyDescent="0.25">
      <c r="A11" s="4" t="s">
        <v>764</v>
      </c>
      <c r="B11" s="4" t="s">
        <v>756</v>
      </c>
      <c r="C11" s="4" t="s">
        <v>38</v>
      </c>
      <c r="D11" s="4">
        <v>9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28</v>
      </c>
      <c r="N11" s="4">
        <v>14</v>
      </c>
      <c r="O11" s="4">
        <v>128</v>
      </c>
      <c r="P11" s="4">
        <v>0</v>
      </c>
      <c r="Q11" s="4">
        <v>0</v>
      </c>
      <c r="R11" s="4">
        <v>0</v>
      </c>
      <c r="S11" s="4">
        <v>26.8</v>
      </c>
      <c r="T11" s="4">
        <v>4.9733570159857902E-2</v>
      </c>
      <c r="U11" s="4"/>
      <c r="V11" s="4">
        <v>9.1428571428571406</v>
      </c>
      <c r="W11" s="4"/>
      <c r="X11" s="4"/>
    </row>
    <row r="12" spans="1:24" x14ac:dyDescent="0.25">
      <c r="A12" s="3" t="s">
        <v>765</v>
      </c>
      <c r="B12" s="3" t="s">
        <v>756</v>
      </c>
      <c r="C12" s="3" t="s">
        <v>38</v>
      </c>
      <c r="D12" s="3">
        <v>15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54</v>
      </c>
      <c r="N12" s="3">
        <v>37</v>
      </c>
      <c r="O12" s="3">
        <v>495</v>
      </c>
      <c r="P12" s="3">
        <v>5</v>
      </c>
      <c r="Q12" s="3">
        <v>0</v>
      </c>
      <c r="R12" s="3">
        <v>0</v>
      </c>
      <c r="S12" s="3">
        <v>116.5</v>
      </c>
      <c r="T12" s="3">
        <v>9.59147424511545E-2</v>
      </c>
      <c r="U12" s="3"/>
      <c r="V12" s="3">
        <v>13.3783783783784</v>
      </c>
      <c r="W12" s="3"/>
      <c r="X12" s="3"/>
    </row>
    <row r="13" spans="1:24" x14ac:dyDescent="0.25">
      <c r="A13" s="4" t="s">
        <v>766</v>
      </c>
      <c r="B13" s="4" t="s">
        <v>756</v>
      </c>
      <c r="C13" s="4" t="s">
        <v>38</v>
      </c>
      <c r="D13" s="4">
        <v>2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2</v>
      </c>
      <c r="N13" s="4">
        <v>2</v>
      </c>
      <c r="O13" s="4">
        <v>6</v>
      </c>
      <c r="P13" s="4">
        <v>0</v>
      </c>
      <c r="Q13" s="4">
        <v>0</v>
      </c>
      <c r="R13" s="4">
        <v>0</v>
      </c>
      <c r="S13" s="4">
        <v>2.6</v>
      </c>
      <c r="T13" s="4">
        <v>3.5523978685612799E-3</v>
      </c>
      <c r="U13" s="4"/>
      <c r="V13" s="4">
        <v>3</v>
      </c>
      <c r="W13" s="4"/>
      <c r="X13" s="4"/>
    </row>
    <row r="14" spans="1:24" x14ac:dyDescent="0.25">
      <c r="A14" s="3" t="s">
        <v>767</v>
      </c>
      <c r="B14" s="3" t="s">
        <v>756</v>
      </c>
      <c r="C14" s="3" t="s">
        <v>38</v>
      </c>
      <c r="D14" s="3">
        <v>11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23</v>
      </c>
      <c r="N14" s="3">
        <v>10</v>
      </c>
      <c r="O14" s="3">
        <v>145</v>
      </c>
      <c r="P14" s="3">
        <v>2</v>
      </c>
      <c r="Q14" s="3">
        <v>0</v>
      </c>
      <c r="R14" s="3">
        <v>0</v>
      </c>
      <c r="S14" s="3">
        <v>36.5</v>
      </c>
      <c r="T14" s="3">
        <v>4.0852575488454702E-2</v>
      </c>
      <c r="U14" s="3"/>
      <c r="V14" s="3">
        <v>14.5</v>
      </c>
      <c r="W14" s="3"/>
      <c r="X14" s="3"/>
    </row>
    <row r="15" spans="1:24" x14ac:dyDescent="0.25">
      <c r="A15" s="4" t="s">
        <v>488</v>
      </c>
      <c r="B15" s="4" t="s">
        <v>756</v>
      </c>
      <c r="C15" s="4" t="s">
        <v>38</v>
      </c>
      <c r="D15" s="4">
        <v>3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10</v>
      </c>
      <c r="N15" s="4">
        <v>7</v>
      </c>
      <c r="O15" s="4">
        <v>72</v>
      </c>
      <c r="P15" s="4">
        <v>0</v>
      </c>
      <c r="Q15" s="4">
        <v>0</v>
      </c>
      <c r="R15" s="4">
        <v>0</v>
      </c>
      <c r="S15" s="4">
        <v>14.2</v>
      </c>
      <c r="T15" s="4">
        <v>1.77619893428064E-2</v>
      </c>
      <c r="U15" s="4"/>
      <c r="V15" s="4">
        <v>10.285714285714301</v>
      </c>
      <c r="W15" s="4"/>
      <c r="X15" s="4"/>
    </row>
    <row r="16" spans="1:24" x14ac:dyDescent="0.25">
      <c r="A16" s="3" t="s">
        <v>768</v>
      </c>
      <c r="B16" s="3" t="s">
        <v>756</v>
      </c>
      <c r="C16" s="3" t="s">
        <v>38</v>
      </c>
      <c r="D16" s="3">
        <v>7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14</v>
      </c>
      <c r="N16" s="3">
        <v>7</v>
      </c>
      <c r="O16" s="3">
        <v>113</v>
      </c>
      <c r="P16" s="3">
        <v>2</v>
      </c>
      <c r="Q16" s="3">
        <v>0</v>
      </c>
      <c r="R16" s="3">
        <v>0</v>
      </c>
      <c r="S16" s="3">
        <v>30.3</v>
      </c>
      <c r="T16" s="3">
        <v>2.4866785079929E-2</v>
      </c>
      <c r="U16" s="3"/>
      <c r="V16" s="3">
        <v>16.1428571428571</v>
      </c>
      <c r="W16" s="3"/>
      <c r="X16" s="3"/>
    </row>
    <row r="17" spans="1:24" x14ac:dyDescent="0.25">
      <c r="A17" s="4" t="s">
        <v>703</v>
      </c>
      <c r="B17" s="4" t="s">
        <v>756</v>
      </c>
      <c r="C17" s="4" t="s">
        <v>43</v>
      </c>
      <c r="D17" s="4">
        <v>5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2</v>
      </c>
      <c r="K17" s="4">
        <v>7</v>
      </c>
      <c r="L17" s="4">
        <v>0</v>
      </c>
      <c r="M17" s="4">
        <v>17</v>
      </c>
      <c r="N17" s="4">
        <v>12</v>
      </c>
      <c r="O17" s="4">
        <v>154</v>
      </c>
      <c r="P17" s="4">
        <v>1</v>
      </c>
      <c r="Q17" s="4">
        <v>0</v>
      </c>
      <c r="R17" s="4">
        <v>0</v>
      </c>
      <c r="S17" s="4">
        <v>34.1</v>
      </c>
      <c r="T17" s="4">
        <v>3.0195381882770898E-2</v>
      </c>
      <c r="U17" s="4">
        <v>3.5</v>
      </c>
      <c r="V17" s="4">
        <v>12.8333333333333</v>
      </c>
      <c r="W17" s="4"/>
      <c r="X17" s="4"/>
    </row>
    <row r="18" spans="1:24" x14ac:dyDescent="0.25">
      <c r="A18" s="3" t="s">
        <v>769</v>
      </c>
      <c r="B18" s="3" t="s">
        <v>756</v>
      </c>
      <c r="C18" s="3" t="s">
        <v>43</v>
      </c>
      <c r="D18" s="3">
        <v>13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2</v>
      </c>
      <c r="K18" s="3">
        <v>7</v>
      </c>
      <c r="L18" s="3">
        <v>0</v>
      </c>
      <c r="M18" s="3">
        <v>93</v>
      </c>
      <c r="N18" s="3">
        <v>57</v>
      </c>
      <c r="O18" s="3">
        <v>699</v>
      </c>
      <c r="P18" s="3">
        <v>3</v>
      </c>
      <c r="Q18" s="3">
        <v>0</v>
      </c>
      <c r="R18" s="3">
        <v>0</v>
      </c>
      <c r="S18" s="3">
        <v>145.6</v>
      </c>
      <c r="T18" s="3">
        <v>0.165186500888099</v>
      </c>
      <c r="U18" s="3">
        <v>3.5</v>
      </c>
      <c r="V18" s="3">
        <v>12.2631578947368</v>
      </c>
      <c r="W18" s="3"/>
      <c r="X18" s="3"/>
    </row>
    <row r="19" spans="1:24" x14ac:dyDescent="0.25">
      <c r="A19" s="4" t="s">
        <v>770</v>
      </c>
      <c r="B19" s="4" t="s">
        <v>756</v>
      </c>
      <c r="C19" s="4" t="s">
        <v>43</v>
      </c>
      <c r="D19" s="4">
        <v>1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2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3.5523978685612799E-3</v>
      </c>
      <c r="U19" s="4"/>
      <c r="V19" s="4"/>
      <c r="W19" s="4"/>
      <c r="X19" s="4"/>
    </row>
    <row r="20" spans="1:24" x14ac:dyDescent="0.25">
      <c r="A20" s="3" t="s">
        <v>771</v>
      </c>
      <c r="B20" s="3" t="s">
        <v>756</v>
      </c>
      <c r="C20" s="3" t="s">
        <v>43</v>
      </c>
      <c r="D20" s="3">
        <v>15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3</v>
      </c>
      <c r="K20" s="3">
        <v>3</v>
      </c>
      <c r="L20" s="3">
        <v>0</v>
      </c>
      <c r="M20" s="3">
        <v>74</v>
      </c>
      <c r="N20" s="3">
        <v>48</v>
      </c>
      <c r="O20" s="3">
        <v>548</v>
      </c>
      <c r="P20" s="3">
        <v>2</v>
      </c>
      <c r="Q20" s="3">
        <v>0</v>
      </c>
      <c r="R20" s="3">
        <v>0</v>
      </c>
      <c r="S20" s="3">
        <v>115.1</v>
      </c>
      <c r="T20" s="3">
        <v>0.13143872113676699</v>
      </c>
      <c r="U20" s="3">
        <v>1</v>
      </c>
      <c r="V20" s="3">
        <v>11.4166666666667</v>
      </c>
      <c r="W20" s="3"/>
      <c r="X20" s="3"/>
    </row>
    <row r="21" spans="1:24" x14ac:dyDescent="0.25">
      <c r="A21" s="4" t="s">
        <v>772</v>
      </c>
      <c r="B21" s="4" t="s">
        <v>756</v>
      </c>
      <c r="C21" s="4" t="s">
        <v>43</v>
      </c>
      <c r="D21" s="4">
        <v>1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1</v>
      </c>
      <c r="N21" s="4">
        <v>1</v>
      </c>
      <c r="O21" s="4">
        <v>7</v>
      </c>
      <c r="P21" s="4">
        <v>0</v>
      </c>
      <c r="Q21" s="4">
        <v>0</v>
      </c>
      <c r="R21" s="4">
        <v>0</v>
      </c>
      <c r="S21" s="4">
        <v>1.7</v>
      </c>
      <c r="T21" s="4">
        <v>1.7761989342806399E-3</v>
      </c>
      <c r="U21" s="4"/>
      <c r="V21" s="4">
        <v>7</v>
      </c>
      <c r="W21" s="4"/>
      <c r="X21" s="4"/>
    </row>
    <row r="22" spans="1:24" x14ac:dyDescent="0.25">
      <c r="A22" s="3" t="s">
        <v>773</v>
      </c>
      <c r="B22" s="3" t="s">
        <v>756</v>
      </c>
      <c r="C22" s="3" t="s">
        <v>43</v>
      </c>
      <c r="D22" s="3">
        <v>10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M22" s="3">
        <v>66</v>
      </c>
      <c r="N22" s="3">
        <v>37</v>
      </c>
      <c r="O22" s="3">
        <v>481</v>
      </c>
      <c r="P22" s="3">
        <v>2</v>
      </c>
      <c r="Q22" s="3">
        <v>0</v>
      </c>
      <c r="R22" s="3">
        <v>0</v>
      </c>
      <c r="S22" s="3">
        <v>97.1</v>
      </c>
      <c r="T22" s="3">
        <v>0.117229129662522</v>
      </c>
      <c r="U22" s="3"/>
      <c r="V22" s="3">
        <v>13</v>
      </c>
      <c r="W22" s="3"/>
      <c r="X22" s="3"/>
    </row>
    <row r="23" spans="1:24" x14ac:dyDescent="0.25">
      <c r="A23" s="4" t="s">
        <v>774</v>
      </c>
      <c r="B23" s="4" t="s">
        <v>756</v>
      </c>
      <c r="C23" s="4" t="s">
        <v>43</v>
      </c>
      <c r="D23" s="4">
        <v>14</v>
      </c>
      <c r="E23" s="4">
        <v>1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40</v>
      </c>
      <c r="N23" s="4">
        <v>20</v>
      </c>
      <c r="O23" s="4">
        <v>257</v>
      </c>
      <c r="P23" s="4">
        <v>1</v>
      </c>
      <c r="Q23" s="4">
        <v>0</v>
      </c>
      <c r="R23" s="4">
        <v>0</v>
      </c>
      <c r="S23" s="4">
        <v>51.7</v>
      </c>
      <c r="T23" s="4">
        <v>7.1047957371225601E-2</v>
      </c>
      <c r="U23" s="4"/>
      <c r="V23" s="4">
        <v>12.85</v>
      </c>
      <c r="W23" s="4">
        <v>0</v>
      </c>
      <c r="X23" s="4">
        <v>0</v>
      </c>
    </row>
    <row r="24" spans="1:24" x14ac:dyDescent="0.25">
      <c r="A24" s="3" t="s">
        <v>775</v>
      </c>
      <c r="B24" s="3" t="s">
        <v>756</v>
      </c>
      <c r="C24" s="3" t="s">
        <v>43</v>
      </c>
      <c r="D24" s="3">
        <v>1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>
        <v>0</v>
      </c>
      <c r="L24" s="3">
        <v>0</v>
      </c>
      <c r="M24" s="3">
        <v>1</v>
      </c>
      <c r="N24" s="3">
        <v>1</v>
      </c>
      <c r="O24" s="3">
        <v>8</v>
      </c>
      <c r="P24" s="3">
        <v>0</v>
      </c>
      <c r="Q24" s="3">
        <v>0</v>
      </c>
      <c r="R24" s="3">
        <v>0</v>
      </c>
      <c r="S24" s="3">
        <v>1.8</v>
      </c>
      <c r="T24" s="3">
        <v>1.7761989342806399E-3</v>
      </c>
      <c r="U24" s="3"/>
      <c r="V24" s="3">
        <v>8</v>
      </c>
      <c r="W24" s="3"/>
      <c r="X24" s="3"/>
    </row>
    <row r="30" spans="1:24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</row>
    <row r="31" spans="1:24" x14ac:dyDescent="0.25">
      <c r="A31" s="3" t="s">
        <v>756</v>
      </c>
      <c r="B31" s="3">
        <v>5115</v>
      </c>
      <c r="C31" s="3">
        <v>3642</v>
      </c>
      <c r="D31" s="3">
        <v>397</v>
      </c>
      <c r="E31" s="3">
        <v>1473</v>
      </c>
      <c r="F31" s="3">
        <v>7</v>
      </c>
      <c r="G31" s="3">
        <v>1201.18</v>
      </c>
      <c r="H31" s="3">
        <v>579</v>
      </c>
      <c r="I31" s="3">
        <v>0.60794473229706403</v>
      </c>
      <c r="J31" s="3">
        <v>20</v>
      </c>
      <c r="K31" s="3">
        <v>19</v>
      </c>
      <c r="L31" s="3">
        <v>7</v>
      </c>
    </row>
    <row r="32" spans="1:24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</row>
    <row r="33" spans="1:28" x14ac:dyDescent="0.25">
      <c r="A33" s="3" t="str">
        <f>A31</f>
        <v>HOU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776</v>
      </c>
      <c r="B36" s="3" t="s">
        <v>26</v>
      </c>
      <c r="C36" s="3">
        <v>35</v>
      </c>
      <c r="D36" s="3">
        <v>11</v>
      </c>
      <c r="E36" s="3" t="s">
        <v>70</v>
      </c>
      <c r="F36" s="3" t="s">
        <v>756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">
        <v>0</v>
      </c>
      <c r="X36" s="3">
        <v>0</v>
      </c>
      <c r="Y36" s="3">
        <v>0</v>
      </c>
      <c r="Z36" s="3">
        <v>0</v>
      </c>
      <c r="AA36" s="3">
        <v>0</v>
      </c>
      <c r="AB36" s="3">
        <v>0</v>
      </c>
    </row>
    <row r="37" spans="1:28" x14ac:dyDescent="0.25">
      <c r="A37" s="4" t="s">
        <v>777</v>
      </c>
      <c r="B37" s="4" t="s">
        <v>26</v>
      </c>
      <c r="C37" s="4">
        <v>24</v>
      </c>
      <c r="D37" s="4">
        <v>3</v>
      </c>
      <c r="E37" s="4" t="s">
        <v>102</v>
      </c>
      <c r="F37" s="4" t="s">
        <v>756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</row>
    <row r="38" spans="1:28" x14ac:dyDescent="0.25">
      <c r="A38" s="3" t="s">
        <v>778</v>
      </c>
      <c r="B38" s="3" t="s">
        <v>26</v>
      </c>
      <c r="C38" s="3">
        <v>25</v>
      </c>
      <c r="D38" s="3">
        <v>1</v>
      </c>
      <c r="E38" s="3" t="s">
        <v>779</v>
      </c>
      <c r="F38" s="3" t="s">
        <v>756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v>0</v>
      </c>
      <c r="W38" s="3">
        <v>0</v>
      </c>
      <c r="X38" s="3">
        <v>0</v>
      </c>
      <c r="Y38" s="3">
        <v>0</v>
      </c>
      <c r="Z38" s="3">
        <v>0</v>
      </c>
      <c r="AA38" s="3">
        <v>0</v>
      </c>
      <c r="AB38" s="3">
        <v>0</v>
      </c>
    </row>
    <row r="39" spans="1:28" x14ac:dyDescent="0.25">
      <c r="A39" s="4" t="s">
        <v>780</v>
      </c>
      <c r="B39" s="4" t="s">
        <v>26</v>
      </c>
      <c r="C39" s="4">
        <v>21</v>
      </c>
      <c r="D39" s="4">
        <v>0</v>
      </c>
      <c r="E39" s="4" t="s">
        <v>213</v>
      </c>
      <c r="F39" s="4" t="s">
        <v>756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  <c r="AB39" s="4"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781</v>
      </c>
      <c r="B46" s="3" t="s">
        <v>31</v>
      </c>
      <c r="C46" s="3">
        <v>28</v>
      </c>
      <c r="D46" s="3">
        <v>6</v>
      </c>
      <c r="E46" s="3" t="s">
        <v>136</v>
      </c>
      <c r="F46" s="3" t="s">
        <v>756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v>0</v>
      </c>
      <c r="W46" s="3">
        <v>0</v>
      </c>
      <c r="X46" s="3">
        <v>0</v>
      </c>
      <c r="Y46" s="3">
        <v>0</v>
      </c>
      <c r="Z46" s="3">
        <v>0</v>
      </c>
      <c r="AA46" s="3">
        <v>0</v>
      </c>
      <c r="AB46" s="3">
        <f>($J46*Cp_yd)+($K46*Cp_td)+($L46*Cint)+($M46*Ccar)+($N46*Cr_td)+($O46*Cr_yd)+(Q46*Crec)+($R46*Crec_yd)+($S46*Crec_td)+($T46*Cfmb)+($U46*Ctp_c)</f>
        <v>0</v>
      </c>
    </row>
    <row r="47" spans="1:28" x14ac:dyDescent="0.25">
      <c r="A47" s="4" t="s">
        <v>782</v>
      </c>
      <c r="B47" s="4" t="s">
        <v>31</v>
      </c>
      <c r="C47" s="4">
        <v>25</v>
      </c>
      <c r="D47" s="4">
        <v>1</v>
      </c>
      <c r="E47" s="4" t="s">
        <v>136</v>
      </c>
      <c r="F47" s="4" t="s">
        <v>756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f>($J47*Cp_yd)+($K47*Cp_td)+($L47*Cint)+($M47*Ccar)+($N47*Cr_td)+($O47*Cr_yd)+(Q47*Crec)+($R47*Crec_yd)+($S47*Crec_td)+($T47*Cfmb)+($U47*Ctp_c)</f>
        <v>0</v>
      </c>
    </row>
    <row r="48" spans="1:28" x14ac:dyDescent="0.25">
      <c r="A48" s="3" t="s">
        <v>783</v>
      </c>
      <c r="B48" s="3" t="s">
        <v>31</v>
      </c>
      <c r="C48" s="3">
        <v>29</v>
      </c>
      <c r="D48" s="3">
        <v>5</v>
      </c>
      <c r="E48" s="3" t="s">
        <v>72</v>
      </c>
      <c r="F48" s="3" t="s">
        <v>756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v>0</v>
      </c>
      <c r="W48" s="3">
        <v>0</v>
      </c>
      <c r="X48" s="3">
        <v>0</v>
      </c>
      <c r="Y48" s="3">
        <v>0</v>
      </c>
      <c r="Z48" s="3">
        <v>0</v>
      </c>
      <c r="AA48" s="3">
        <v>0</v>
      </c>
      <c r="AB48" s="3">
        <f>($J48*Cp_yd)+($K48*Cp_td)+($L48*Cint)+($M48*Ccar)+($N48*Cr_td)+($O48*Cr_yd)+(Q48*Crec)+($R48*Crec_yd)+($S48*Crec_td)+($T48*Cfmb)+($U48*Ctp_c)</f>
        <v>0</v>
      </c>
    </row>
    <row r="49" spans="1:28" x14ac:dyDescent="0.25">
      <c r="A49" s="4" t="s">
        <v>784</v>
      </c>
      <c r="B49" s="4" t="s">
        <v>31</v>
      </c>
      <c r="C49" s="4">
        <v>23</v>
      </c>
      <c r="D49" s="4">
        <v>2</v>
      </c>
      <c r="E49" s="4" t="s">
        <v>178</v>
      </c>
      <c r="F49" s="4" t="s">
        <v>756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B49" s="4">
        <f>($J49*Cp_yd)+($K49*Cp_td)+($L49*Cint)+($M49*Ccar)+($N49*Cr_td)+($O49*Cr_yd)+(Q49*Crec)+($R49*Crec_yd)+($S49*Crec_td)+($T49*Cfmb)+($U49*Ctp_c)</f>
        <v>0</v>
      </c>
    </row>
    <row r="50" spans="1:28" x14ac:dyDescent="0.25">
      <c r="A50" s="3" t="s">
        <v>785</v>
      </c>
      <c r="B50" s="3" t="s">
        <v>31</v>
      </c>
      <c r="C50" s="3">
        <v>25</v>
      </c>
      <c r="D50" s="3">
        <v>5</v>
      </c>
      <c r="E50" s="3" t="s">
        <v>523</v>
      </c>
      <c r="F50" s="3" t="s">
        <v>756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v>0</v>
      </c>
      <c r="W50" s="3">
        <v>0</v>
      </c>
      <c r="X50" s="3">
        <v>0</v>
      </c>
      <c r="Y50" s="3">
        <v>0</v>
      </c>
      <c r="Z50" s="3">
        <v>0</v>
      </c>
      <c r="AA50" s="3">
        <v>0</v>
      </c>
      <c r="AB50" s="3">
        <f>($J50*Cp_yd)+($K50*Cp_td)+($L50*Cint)+($M50*Ccar)+($N50*Cr_td)+($O50*Cr_yd)+(Q50*Crec)+($R50*Crec_yd)+($S50*Crec_td)+($T50*Cfmb)+($U50*Ctp_c)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786</v>
      </c>
      <c r="B61" s="3" t="s">
        <v>43</v>
      </c>
      <c r="C61" s="3">
        <v>27</v>
      </c>
      <c r="D61" s="3">
        <v>1</v>
      </c>
      <c r="E61" s="3" t="s">
        <v>95</v>
      </c>
      <c r="F61" s="3" t="s">
        <v>756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v>0</v>
      </c>
      <c r="W61" s="3">
        <v>0</v>
      </c>
      <c r="X61" s="3">
        <v>0</v>
      </c>
      <c r="Y61" s="3">
        <v>0</v>
      </c>
      <c r="Z61" s="3">
        <v>0</v>
      </c>
      <c r="AA61" s="3">
        <v>0</v>
      </c>
      <c r="AB61" s="3">
        <v>0</v>
      </c>
    </row>
    <row r="62" spans="1:28" x14ac:dyDescent="0.25">
      <c r="A62" s="4" t="s">
        <v>787</v>
      </c>
      <c r="B62" s="4" t="s">
        <v>43</v>
      </c>
      <c r="C62" s="4">
        <v>27</v>
      </c>
      <c r="D62" s="4">
        <v>7</v>
      </c>
      <c r="E62" s="4" t="s">
        <v>213</v>
      </c>
      <c r="F62" s="4" t="s">
        <v>756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0</v>
      </c>
      <c r="X62" s="4">
        <v>0</v>
      </c>
      <c r="Y62" s="4">
        <v>0</v>
      </c>
      <c r="Z62" s="4">
        <v>0</v>
      </c>
      <c r="AA62" s="4">
        <v>0</v>
      </c>
      <c r="AB62" s="4">
        <v>0</v>
      </c>
    </row>
    <row r="63" spans="1:28" x14ac:dyDescent="0.25">
      <c r="A63" s="3" t="s">
        <v>788</v>
      </c>
      <c r="B63" s="3" t="s">
        <v>43</v>
      </c>
      <c r="C63" s="3">
        <v>25</v>
      </c>
      <c r="D63" s="3">
        <v>1</v>
      </c>
      <c r="E63" s="3" t="s">
        <v>455</v>
      </c>
      <c r="F63" s="3" t="s">
        <v>756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v>0</v>
      </c>
      <c r="W63" s="3">
        <v>0</v>
      </c>
      <c r="X63" s="3">
        <v>0</v>
      </c>
      <c r="Y63" s="3">
        <v>0</v>
      </c>
      <c r="Z63" s="3">
        <v>0</v>
      </c>
      <c r="AA63" s="3">
        <v>0</v>
      </c>
      <c r="AB63" s="3">
        <v>0</v>
      </c>
    </row>
    <row r="64" spans="1:28" x14ac:dyDescent="0.25">
      <c r="A64" s="4" t="s">
        <v>789</v>
      </c>
      <c r="B64" s="4" t="s">
        <v>43</v>
      </c>
      <c r="C64" s="4">
        <v>24</v>
      </c>
      <c r="D64" s="4">
        <v>3</v>
      </c>
      <c r="E64" s="4" t="s">
        <v>105</v>
      </c>
      <c r="F64" s="4" t="s">
        <v>756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</row>
    <row r="65" spans="1:28" x14ac:dyDescent="0.25">
      <c r="A65" s="3" t="s">
        <v>790</v>
      </c>
      <c r="B65" s="3" t="s">
        <v>43</v>
      </c>
      <c r="C65" s="3">
        <v>23</v>
      </c>
      <c r="D65" s="3">
        <v>0</v>
      </c>
      <c r="E65" s="3" t="s">
        <v>70</v>
      </c>
      <c r="F65" s="3" t="s">
        <v>756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v>0</v>
      </c>
      <c r="W65" s="3">
        <v>0</v>
      </c>
      <c r="X65" s="3">
        <v>0</v>
      </c>
      <c r="Y65" s="3">
        <v>0</v>
      </c>
      <c r="Z65" s="3">
        <v>0</v>
      </c>
      <c r="AA65" s="3">
        <v>0</v>
      </c>
      <c r="AB65" s="3">
        <v>0</v>
      </c>
    </row>
    <row r="66" spans="1:28" x14ac:dyDescent="0.25">
      <c r="A66" s="4" t="s">
        <v>791</v>
      </c>
      <c r="B66" s="4" t="s">
        <v>43</v>
      </c>
      <c r="C66" s="4">
        <v>30</v>
      </c>
      <c r="D66" s="4">
        <v>8</v>
      </c>
      <c r="E66" s="4" t="s">
        <v>458</v>
      </c>
      <c r="F66" s="4" t="s">
        <v>756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</row>
    <row r="67" spans="1:28" x14ac:dyDescent="0.25">
      <c r="A67" s="3" t="s">
        <v>792</v>
      </c>
      <c r="B67" s="3" t="s">
        <v>43</v>
      </c>
      <c r="C67" s="3">
        <v>23</v>
      </c>
      <c r="D67" s="3">
        <v>0</v>
      </c>
      <c r="E67" s="3" t="s">
        <v>244</v>
      </c>
      <c r="F67" s="3" t="s">
        <v>756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v>0</v>
      </c>
      <c r="W67" s="3">
        <v>0</v>
      </c>
      <c r="X67" s="3">
        <v>0</v>
      </c>
      <c r="Y67" s="3">
        <v>0</v>
      </c>
      <c r="Z67" s="3">
        <v>0</v>
      </c>
      <c r="AA67" s="3">
        <v>0</v>
      </c>
      <c r="AB67" s="3">
        <v>0</v>
      </c>
    </row>
    <row r="68" spans="1:28" x14ac:dyDescent="0.25">
      <c r="A68" s="4" t="s">
        <v>793</v>
      </c>
      <c r="B68" s="4" t="s">
        <v>43</v>
      </c>
      <c r="C68" s="4">
        <v>24</v>
      </c>
      <c r="D68" s="4">
        <v>1</v>
      </c>
      <c r="E68" s="4" t="s">
        <v>205</v>
      </c>
      <c r="F68" s="4" t="s">
        <v>756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0</v>
      </c>
      <c r="X68" s="4">
        <v>0</v>
      </c>
      <c r="Y68" s="4">
        <v>0</v>
      </c>
      <c r="Z68" s="4">
        <v>0</v>
      </c>
      <c r="AA68" s="4">
        <v>0</v>
      </c>
      <c r="AB68" s="4">
        <v>0</v>
      </c>
    </row>
    <row r="69" spans="1:28" x14ac:dyDescent="0.25">
      <c r="A69" s="3" t="s">
        <v>794</v>
      </c>
      <c r="B69" s="3" t="s">
        <v>43</v>
      </c>
      <c r="C69" s="3">
        <v>24</v>
      </c>
      <c r="D69" s="3">
        <v>0</v>
      </c>
      <c r="E69" s="3" t="s">
        <v>795</v>
      </c>
      <c r="F69" s="3" t="s">
        <v>756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v>0</v>
      </c>
      <c r="W69" s="3">
        <v>0</v>
      </c>
      <c r="X69" s="3">
        <v>0</v>
      </c>
      <c r="Y69" s="3">
        <v>0</v>
      </c>
      <c r="Z69" s="3">
        <v>0</v>
      </c>
      <c r="AA69" s="3">
        <v>0</v>
      </c>
      <c r="AB69" s="3">
        <v>0</v>
      </c>
    </row>
    <row r="70" spans="1:28" x14ac:dyDescent="0.25">
      <c r="A70" s="4" t="s">
        <v>796</v>
      </c>
      <c r="B70" s="4" t="s">
        <v>43</v>
      </c>
      <c r="C70" s="4">
        <v>23</v>
      </c>
      <c r="D70" s="4">
        <v>1</v>
      </c>
      <c r="E70" s="4" t="s">
        <v>153</v>
      </c>
      <c r="F70" s="4" t="s">
        <v>756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0</v>
      </c>
      <c r="X70" s="4">
        <v>0</v>
      </c>
      <c r="Y70" s="4">
        <v>0</v>
      </c>
      <c r="Z70" s="4">
        <v>0</v>
      </c>
      <c r="AA70" s="4">
        <v>0</v>
      </c>
      <c r="AB70" s="4">
        <v>0</v>
      </c>
    </row>
    <row r="71" spans="1:28" x14ac:dyDescent="0.25">
      <c r="A71" s="3" t="s">
        <v>797</v>
      </c>
      <c r="B71" s="3" t="s">
        <v>43</v>
      </c>
      <c r="C71" s="3">
        <v>26</v>
      </c>
      <c r="D71" s="3">
        <v>4</v>
      </c>
      <c r="E71" s="3" t="s">
        <v>467</v>
      </c>
      <c r="F71" s="3" t="s">
        <v>756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v>0</v>
      </c>
      <c r="W71" s="3">
        <v>0</v>
      </c>
      <c r="X71" s="3">
        <v>0</v>
      </c>
      <c r="Y71" s="3">
        <v>0</v>
      </c>
      <c r="Z71" s="3">
        <v>0</v>
      </c>
      <c r="AA71" s="3">
        <v>0</v>
      </c>
      <c r="AB71" s="3">
        <v>0</v>
      </c>
    </row>
    <row r="72" spans="1:28" x14ac:dyDescent="0.25">
      <c r="A72" s="4" t="s">
        <v>798</v>
      </c>
      <c r="B72" s="4" t="s">
        <v>43</v>
      </c>
      <c r="C72" s="4">
        <v>22</v>
      </c>
      <c r="D72" s="4">
        <v>0</v>
      </c>
      <c r="E72" s="4" t="s">
        <v>74</v>
      </c>
      <c r="F72" s="4" t="s">
        <v>756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v>0</v>
      </c>
      <c r="W72" s="4">
        <v>0</v>
      </c>
      <c r="X72" s="4">
        <v>0</v>
      </c>
      <c r="Y72" s="4">
        <v>0</v>
      </c>
      <c r="Z72" s="4">
        <v>0</v>
      </c>
      <c r="AA72" s="4">
        <v>0</v>
      </c>
      <c r="AB72" s="4">
        <v>0</v>
      </c>
    </row>
    <row r="73" spans="1:28" x14ac:dyDescent="0.25">
      <c r="A73" s="3" t="s">
        <v>799</v>
      </c>
      <c r="B73" s="3" t="s">
        <v>43</v>
      </c>
      <c r="C73" s="3">
        <v>31</v>
      </c>
      <c r="D73" s="3">
        <v>11</v>
      </c>
      <c r="E73" s="3" t="s">
        <v>78</v>
      </c>
      <c r="F73" s="3" t="s">
        <v>756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v>0</v>
      </c>
      <c r="W73" s="3">
        <v>0</v>
      </c>
      <c r="X73" s="3">
        <v>0</v>
      </c>
      <c r="Y73" s="3">
        <v>0</v>
      </c>
      <c r="Z73" s="3">
        <v>0</v>
      </c>
      <c r="AA73" s="3">
        <v>0</v>
      </c>
      <c r="AB73" s="3"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800</v>
      </c>
      <c r="B76" s="3" t="s">
        <v>38</v>
      </c>
      <c r="C76" s="3">
        <v>23</v>
      </c>
      <c r="D76" s="3">
        <v>3</v>
      </c>
      <c r="E76" s="3" t="s">
        <v>397</v>
      </c>
      <c r="F76" s="3" t="s">
        <v>756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v>0</v>
      </c>
      <c r="W76" s="3">
        <v>0</v>
      </c>
      <c r="X76" s="3">
        <v>0</v>
      </c>
      <c r="Y76" s="3">
        <v>0</v>
      </c>
      <c r="Z76" s="3">
        <v>0</v>
      </c>
      <c r="AA76" s="3">
        <v>0</v>
      </c>
      <c r="AB76" s="3">
        <v>0</v>
      </c>
    </row>
    <row r="77" spans="1:28" x14ac:dyDescent="0.25">
      <c r="A77" s="4" t="s">
        <v>801</v>
      </c>
      <c r="B77" s="4" t="s">
        <v>38</v>
      </c>
      <c r="C77" s="4">
        <v>24</v>
      </c>
      <c r="D77" s="4">
        <v>2</v>
      </c>
      <c r="E77" s="4" t="s">
        <v>333</v>
      </c>
      <c r="F77" s="4" t="s">
        <v>756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v>0</v>
      </c>
      <c r="W77" s="4">
        <v>0</v>
      </c>
      <c r="X77" s="4">
        <v>0</v>
      </c>
      <c r="Y77" s="4">
        <v>0</v>
      </c>
      <c r="Z77" s="4">
        <v>0</v>
      </c>
      <c r="AA77" s="4">
        <v>0</v>
      </c>
      <c r="AB77" s="4">
        <v>0</v>
      </c>
    </row>
    <row r="78" spans="1:28" x14ac:dyDescent="0.25">
      <c r="A78" s="3" t="s">
        <v>802</v>
      </c>
      <c r="B78" s="3" t="s">
        <v>38</v>
      </c>
      <c r="C78" s="3">
        <v>23</v>
      </c>
      <c r="D78" s="3">
        <v>0</v>
      </c>
      <c r="E78" s="3" t="s">
        <v>803</v>
      </c>
      <c r="F78" s="3" t="s">
        <v>756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v>0</v>
      </c>
      <c r="W78" s="3">
        <v>0</v>
      </c>
      <c r="X78" s="3">
        <v>0</v>
      </c>
      <c r="Y78" s="3">
        <v>0</v>
      </c>
      <c r="Z78" s="3">
        <v>0</v>
      </c>
      <c r="AA78" s="3">
        <v>0</v>
      </c>
      <c r="AB78" s="3">
        <v>0</v>
      </c>
    </row>
    <row r="79" spans="1:28" x14ac:dyDescent="0.25">
      <c r="A79" s="4" t="s">
        <v>804</v>
      </c>
      <c r="B79" s="4" t="s">
        <v>38</v>
      </c>
      <c r="C79" s="4">
        <v>23</v>
      </c>
      <c r="D79" s="4">
        <v>2</v>
      </c>
      <c r="E79" s="4" t="s">
        <v>111</v>
      </c>
      <c r="F79" s="4" t="s">
        <v>756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v>0</v>
      </c>
      <c r="W79" s="4">
        <v>0</v>
      </c>
      <c r="X79" s="4">
        <v>0</v>
      </c>
      <c r="Y79" s="4">
        <v>0</v>
      </c>
      <c r="Z79" s="4">
        <v>0</v>
      </c>
      <c r="AA79" s="4">
        <v>0</v>
      </c>
      <c r="AB79" s="4">
        <v>0</v>
      </c>
    </row>
    <row r="80" spans="1:28" x14ac:dyDescent="0.25">
      <c r="A80" s="3" t="s">
        <v>805</v>
      </c>
      <c r="B80" s="3" t="s">
        <v>38</v>
      </c>
      <c r="C80" s="3">
        <v>29</v>
      </c>
      <c r="D80" s="3">
        <v>4</v>
      </c>
      <c r="E80" s="3" t="s">
        <v>806</v>
      </c>
      <c r="F80" s="3" t="s">
        <v>756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v>0</v>
      </c>
      <c r="W80" s="3">
        <v>0</v>
      </c>
      <c r="X80" s="3">
        <v>0</v>
      </c>
      <c r="Y80" s="3">
        <v>0</v>
      </c>
      <c r="Z80" s="3">
        <v>0</v>
      </c>
      <c r="AA80" s="3">
        <v>0</v>
      </c>
      <c r="AB80" s="3">
        <v>0</v>
      </c>
    </row>
    <row r="81" spans="1:28" x14ac:dyDescent="0.25">
      <c r="A81" s="4" t="s">
        <v>807</v>
      </c>
      <c r="B81" s="4" t="s">
        <v>38</v>
      </c>
      <c r="C81" s="4">
        <v>27</v>
      </c>
      <c r="D81" s="4">
        <v>6</v>
      </c>
      <c r="E81" s="4" t="s">
        <v>102</v>
      </c>
      <c r="F81" s="4" t="s">
        <v>756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v>0</v>
      </c>
      <c r="W81" s="4">
        <v>0</v>
      </c>
      <c r="X81" s="4">
        <v>0</v>
      </c>
      <c r="Y81" s="4">
        <v>0</v>
      </c>
      <c r="Z81" s="4">
        <v>0</v>
      </c>
      <c r="AA81" s="4">
        <v>0</v>
      </c>
      <c r="AB81" s="4">
        <v>0</v>
      </c>
    </row>
    <row r="82" spans="1:28" x14ac:dyDescent="0.25">
      <c r="A82" s="3" t="s">
        <v>808</v>
      </c>
      <c r="B82" s="3" t="s">
        <v>38</v>
      </c>
      <c r="C82" s="3">
        <v>31</v>
      </c>
      <c r="D82" s="3">
        <v>8</v>
      </c>
      <c r="E82" s="3" t="s">
        <v>726</v>
      </c>
      <c r="F82" s="3" t="s">
        <v>756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v>0</v>
      </c>
      <c r="W82" s="3">
        <v>0</v>
      </c>
      <c r="X82" s="3">
        <v>0</v>
      </c>
      <c r="Y82" s="3">
        <v>0</v>
      </c>
      <c r="Z82" s="3">
        <v>0</v>
      </c>
      <c r="AA82" s="3">
        <v>0</v>
      </c>
      <c r="AB82" s="3">
        <v>0</v>
      </c>
    </row>
    <row r="83" spans="1:28" x14ac:dyDescent="0.25">
      <c r="A83" s="4" t="s">
        <v>809</v>
      </c>
      <c r="B83" s="4" t="s">
        <v>38</v>
      </c>
      <c r="C83" s="4">
        <v>30</v>
      </c>
      <c r="D83" s="4">
        <v>8</v>
      </c>
      <c r="E83" s="4" t="s">
        <v>213</v>
      </c>
      <c r="F83" s="4" t="s">
        <v>756</v>
      </c>
      <c r="G83" s="4">
        <v>0</v>
      </c>
      <c r="H83" s="4">
        <v>0</v>
      </c>
      <c r="I83" s="4">
        <v>0</v>
      </c>
      <c r="J83" s="4">
        <v>0</v>
      </c>
      <c r="K83" s="4">
        <v>0</v>
      </c>
      <c r="L83" s="4">
        <v>0</v>
      </c>
      <c r="M83" s="4">
        <v>0</v>
      </c>
      <c r="N83" s="4">
        <v>0</v>
      </c>
      <c r="O83" s="4">
        <v>0</v>
      </c>
      <c r="P83" s="4">
        <v>0</v>
      </c>
      <c r="Q83" s="4">
        <v>0</v>
      </c>
      <c r="R83" s="4">
        <v>0</v>
      </c>
      <c r="S83" s="4">
        <v>0</v>
      </c>
      <c r="T83" s="4">
        <v>0</v>
      </c>
      <c r="U83" s="4">
        <v>0</v>
      </c>
      <c r="V83" s="4">
        <v>0</v>
      </c>
      <c r="W83" s="4">
        <v>0</v>
      </c>
      <c r="X83" s="4">
        <v>0</v>
      </c>
      <c r="Y83" s="4">
        <v>0</v>
      </c>
      <c r="Z83" s="4">
        <v>0</v>
      </c>
      <c r="AA83" s="4">
        <v>0</v>
      </c>
      <c r="AB83" s="4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AB84"/>
  <sheetViews>
    <sheetView topLeftCell="G22" workbookViewId="0">
      <selection activeCell="AB46" sqref="AB46:AB52"/>
    </sheetView>
  </sheetViews>
  <sheetFormatPr defaultColWidth="11.42578125" defaultRowHeight="15" x14ac:dyDescent="0.25"/>
  <sheetData>
    <row r="1" spans="1:24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</row>
    <row r="2" spans="1:24" x14ac:dyDescent="0.25">
      <c r="A2" s="3" t="s">
        <v>810</v>
      </c>
      <c r="B2" s="3" t="s">
        <v>811</v>
      </c>
      <c r="C2" s="3" t="s">
        <v>26</v>
      </c>
      <c r="D2" s="3">
        <v>12</v>
      </c>
      <c r="E2" s="3">
        <v>461</v>
      </c>
      <c r="F2" s="3">
        <v>309</v>
      </c>
      <c r="G2" s="3">
        <v>3057</v>
      </c>
      <c r="H2" s="3">
        <v>14</v>
      </c>
      <c r="I2" s="3">
        <v>13</v>
      </c>
      <c r="J2" s="3">
        <v>27</v>
      </c>
      <c r="K2" s="3">
        <v>70</v>
      </c>
      <c r="L2" s="3">
        <v>1</v>
      </c>
      <c r="M2" s="3">
        <v>0</v>
      </c>
      <c r="N2" s="3">
        <v>0</v>
      </c>
      <c r="O2" s="3">
        <v>0</v>
      </c>
      <c r="P2" s="3">
        <v>0</v>
      </c>
      <c r="Q2" s="3">
        <v>5</v>
      </c>
      <c r="R2" s="3">
        <v>0</v>
      </c>
      <c r="S2" s="3">
        <v>155.28</v>
      </c>
      <c r="T2" s="3">
        <v>0</v>
      </c>
      <c r="U2" s="3">
        <v>2.5925925925925899</v>
      </c>
      <c r="V2" s="3"/>
      <c r="W2" s="3">
        <v>0.67028199566160496</v>
      </c>
      <c r="X2" s="3">
        <v>3.0368763557483702E-2</v>
      </c>
    </row>
    <row r="3" spans="1:24" x14ac:dyDescent="0.25">
      <c r="A3" s="4" t="s">
        <v>812</v>
      </c>
      <c r="B3" s="4" t="s">
        <v>811</v>
      </c>
      <c r="C3" s="4" t="s">
        <v>26</v>
      </c>
      <c r="D3" s="4">
        <v>2</v>
      </c>
      <c r="E3" s="4">
        <v>42</v>
      </c>
      <c r="F3" s="4">
        <v>25</v>
      </c>
      <c r="G3" s="4">
        <v>224</v>
      </c>
      <c r="H3" s="4">
        <v>0</v>
      </c>
      <c r="I3" s="4">
        <v>4</v>
      </c>
      <c r="J3" s="4">
        <v>2</v>
      </c>
      <c r="K3" s="4">
        <v>8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1.76</v>
      </c>
      <c r="T3" s="4">
        <v>0</v>
      </c>
      <c r="U3" s="4">
        <v>4</v>
      </c>
      <c r="V3" s="4"/>
      <c r="W3" s="4">
        <v>0.59523809523809501</v>
      </c>
      <c r="X3" s="4">
        <v>0</v>
      </c>
    </row>
    <row r="4" spans="1:24" x14ac:dyDescent="0.25">
      <c r="A4" s="3" t="s">
        <v>813</v>
      </c>
      <c r="B4" s="3" t="s">
        <v>811</v>
      </c>
      <c r="C4" s="3" t="s">
        <v>26</v>
      </c>
      <c r="D4" s="3">
        <v>4</v>
      </c>
      <c r="E4" s="3">
        <v>101</v>
      </c>
      <c r="F4" s="3">
        <v>64</v>
      </c>
      <c r="G4" s="3">
        <v>573</v>
      </c>
      <c r="H4" s="3">
        <v>3</v>
      </c>
      <c r="I4" s="3">
        <v>3</v>
      </c>
      <c r="J4" s="3">
        <v>17</v>
      </c>
      <c r="K4" s="3">
        <v>87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1</v>
      </c>
      <c r="R4" s="3">
        <v>0</v>
      </c>
      <c r="S4" s="3">
        <v>35.619999999999997</v>
      </c>
      <c r="T4" s="3">
        <v>0</v>
      </c>
      <c r="U4" s="3">
        <v>5.1176470588235299</v>
      </c>
      <c r="V4" s="3"/>
      <c r="W4" s="3">
        <v>0.633663366336634</v>
      </c>
      <c r="X4" s="3">
        <v>2.9702970297029702E-2</v>
      </c>
    </row>
    <row r="5" spans="1:24" x14ac:dyDescent="0.25">
      <c r="A5" s="4" t="s">
        <v>198</v>
      </c>
      <c r="B5" s="4" t="s">
        <v>811</v>
      </c>
      <c r="C5" s="4" t="s">
        <v>31</v>
      </c>
      <c r="D5" s="4">
        <v>12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68</v>
      </c>
      <c r="K5" s="4">
        <v>236</v>
      </c>
      <c r="L5" s="4">
        <v>1</v>
      </c>
      <c r="M5" s="4">
        <v>34</v>
      </c>
      <c r="N5" s="4">
        <v>30</v>
      </c>
      <c r="O5" s="4">
        <v>209</v>
      </c>
      <c r="P5" s="4">
        <v>1</v>
      </c>
      <c r="Q5" s="4">
        <v>1</v>
      </c>
      <c r="R5" s="4">
        <v>0</v>
      </c>
      <c r="S5" s="4">
        <v>84.5</v>
      </c>
      <c r="T5" s="4">
        <v>5.8721934369602803E-2</v>
      </c>
      <c r="U5" s="4">
        <v>3.47058823529412</v>
      </c>
      <c r="V5" s="4">
        <v>6.9666666666666703</v>
      </c>
      <c r="W5" s="4"/>
      <c r="X5" s="4"/>
    </row>
    <row r="6" spans="1:24" x14ac:dyDescent="0.25">
      <c r="A6" s="3" t="s">
        <v>814</v>
      </c>
      <c r="B6" s="3" t="s">
        <v>811</v>
      </c>
      <c r="C6" s="3" t="s">
        <v>31</v>
      </c>
      <c r="D6" s="3">
        <v>11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192</v>
      </c>
      <c r="K6" s="3">
        <v>861</v>
      </c>
      <c r="L6" s="3">
        <v>4</v>
      </c>
      <c r="M6" s="3">
        <v>40</v>
      </c>
      <c r="N6" s="3">
        <v>28</v>
      </c>
      <c r="O6" s="3">
        <v>143</v>
      </c>
      <c r="P6" s="3">
        <v>0</v>
      </c>
      <c r="Q6" s="3">
        <v>3</v>
      </c>
      <c r="R6" s="3">
        <v>0</v>
      </c>
      <c r="S6" s="3">
        <v>146.4</v>
      </c>
      <c r="T6" s="3">
        <v>6.9084628670120898E-2</v>
      </c>
      <c r="U6" s="3">
        <v>4.484375</v>
      </c>
      <c r="V6" s="3">
        <v>5.1071428571428603</v>
      </c>
      <c r="W6" s="3"/>
      <c r="X6" s="3"/>
    </row>
    <row r="7" spans="1:24" x14ac:dyDescent="0.25">
      <c r="A7" s="4" t="s">
        <v>815</v>
      </c>
      <c r="B7" s="4" t="s">
        <v>811</v>
      </c>
      <c r="C7" s="4" t="s">
        <v>31</v>
      </c>
      <c r="D7" s="4">
        <v>4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13</v>
      </c>
      <c r="K7" s="4">
        <v>58</v>
      </c>
      <c r="L7" s="4">
        <v>0</v>
      </c>
      <c r="M7" s="4">
        <v>8</v>
      </c>
      <c r="N7" s="4">
        <v>6</v>
      </c>
      <c r="O7" s="4">
        <v>29</v>
      </c>
      <c r="P7" s="4">
        <v>0</v>
      </c>
      <c r="Q7" s="4">
        <v>0</v>
      </c>
      <c r="R7" s="4">
        <v>0</v>
      </c>
      <c r="S7" s="4">
        <v>14.7</v>
      </c>
      <c r="T7" s="4">
        <v>1.38169257340242E-2</v>
      </c>
      <c r="U7" s="4">
        <v>4.4615384615384599</v>
      </c>
      <c r="V7" s="4">
        <v>4.8333333333333304</v>
      </c>
      <c r="W7" s="4"/>
      <c r="X7" s="4"/>
    </row>
    <row r="8" spans="1:24" x14ac:dyDescent="0.25">
      <c r="A8" s="3" t="s">
        <v>256</v>
      </c>
      <c r="B8" s="3" t="s">
        <v>811</v>
      </c>
      <c r="C8" s="3" t="s">
        <v>31</v>
      </c>
      <c r="D8" s="3">
        <v>7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18</v>
      </c>
      <c r="K8" s="3">
        <v>36</v>
      </c>
      <c r="L8" s="3">
        <v>1</v>
      </c>
      <c r="M8" s="3">
        <v>28</v>
      </c>
      <c r="N8" s="3">
        <v>25</v>
      </c>
      <c r="O8" s="3">
        <v>188</v>
      </c>
      <c r="P8" s="3">
        <v>0</v>
      </c>
      <c r="Q8" s="3">
        <v>0</v>
      </c>
      <c r="R8" s="3">
        <v>0</v>
      </c>
      <c r="S8" s="3">
        <v>53.4</v>
      </c>
      <c r="T8" s="3">
        <v>4.8359240069084597E-2</v>
      </c>
      <c r="U8" s="3">
        <v>2</v>
      </c>
      <c r="V8" s="3">
        <v>7.52</v>
      </c>
      <c r="W8" s="3"/>
      <c r="X8" s="3"/>
    </row>
    <row r="9" spans="1:24" x14ac:dyDescent="0.25">
      <c r="A9" s="4" t="s">
        <v>816</v>
      </c>
      <c r="B9" s="4" t="s">
        <v>811</v>
      </c>
      <c r="C9" s="4" t="s">
        <v>31</v>
      </c>
      <c r="D9" s="4">
        <v>3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15</v>
      </c>
      <c r="K9" s="4">
        <v>49</v>
      </c>
      <c r="L9" s="4">
        <v>0</v>
      </c>
      <c r="M9" s="4">
        <v>8</v>
      </c>
      <c r="N9" s="4">
        <v>6</v>
      </c>
      <c r="O9" s="4">
        <v>19</v>
      </c>
      <c r="P9" s="4">
        <v>0</v>
      </c>
      <c r="Q9" s="4">
        <v>0</v>
      </c>
      <c r="R9" s="4">
        <v>1</v>
      </c>
      <c r="S9" s="4">
        <v>14.8</v>
      </c>
      <c r="T9" s="4">
        <v>1.38169257340242E-2</v>
      </c>
      <c r="U9" s="4">
        <v>3.2666666666666702</v>
      </c>
      <c r="V9" s="4">
        <v>3.1666666666666701</v>
      </c>
      <c r="W9" s="4"/>
      <c r="X9" s="4"/>
    </row>
    <row r="10" spans="1:24" x14ac:dyDescent="0.25">
      <c r="A10" s="3" t="s">
        <v>257</v>
      </c>
      <c r="B10" s="3" t="s">
        <v>811</v>
      </c>
      <c r="C10" s="3" t="s">
        <v>31</v>
      </c>
      <c r="D10" s="3">
        <v>8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76</v>
      </c>
      <c r="K10" s="3">
        <v>365</v>
      </c>
      <c r="L10" s="3">
        <v>1</v>
      </c>
      <c r="M10" s="3">
        <v>5</v>
      </c>
      <c r="N10" s="3">
        <v>4</v>
      </c>
      <c r="O10" s="3">
        <v>12</v>
      </c>
      <c r="P10" s="3">
        <v>0</v>
      </c>
      <c r="Q10" s="3">
        <v>0</v>
      </c>
      <c r="R10" s="3">
        <v>0</v>
      </c>
      <c r="S10" s="3">
        <v>47.7</v>
      </c>
      <c r="T10" s="3">
        <v>8.6355785837651106E-3</v>
      </c>
      <c r="U10" s="3">
        <v>4.8026315789473699</v>
      </c>
      <c r="V10" s="3">
        <v>3</v>
      </c>
      <c r="W10" s="3"/>
      <c r="X10" s="3"/>
    </row>
    <row r="11" spans="1:24" x14ac:dyDescent="0.25">
      <c r="A11" s="4" t="s">
        <v>817</v>
      </c>
      <c r="B11" s="4" t="s">
        <v>811</v>
      </c>
      <c r="C11" s="4" t="s">
        <v>38</v>
      </c>
      <c r="D11" s="4">
        <v>12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40</v>
      </c>
      <c r="N11" s="4">
        <v>25</v>
      </c>
      <c r="O11" s="4">
        <v>312</v>
      </c>
      <c r="P11" s="4">
        <v>3</v>
      </c>
      <c r="Q11" s="4">
        <v>0</v>
      </c>
      <c r="R11" s="4">
        <v>0</v>
      </c>
      <c r="S11" s="4">
        <v>74.2</v>
      </c>
      <c r="T11" s="4">
        <v>6.9084628670120898E-2</v>
      </c>
      <c r="U11" s="4"/>
      <c r="V11" s="4">
        <v>12.48</v>
      </c>
      <c r="W11" s="4"/>
      <c r="X11" s="4"/>
    </row>
    <row r="12" spans="1:24" x14ac:dyDescent="0.25">
      <c r="A12" s="3" t="s">
        <v>818</v>
      </c>
      <c r="B12" s="3" t="s">
        <v>811</v>
      </c>
      <c r="C12" s="3" t="s">
        <v>38</v>
      </c>
      <c r="D12" s="3">
        <v>13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1</v>
      </c>
      <c r="K12" s="3">
        <v>0</v>
      </c>
      <c r="L12" s="3">
        <v>0</v>
      </c>
      <c r="M12" s="3">
        <v>40</v>
      </c>
      <c r="N12" s="3">
        <v>31</v>
      </c>
      <c r="O12" s="3">
        <v>302</v>
      </c>
      <c r="P12" s="3">
        <v>0</v>
      </c>
      <c r="Q12" s="3">
        <v>0</v>
      </c>
      <c r="R12" s="3">
        <v>0</v>
      </c>
      <c r="S12" s="3">
        <v>61.2</v>
      </c>
      <c r="T12" s="3">
        <v>6.9084628670120898E-2</v>
      </c>
      <c r="U12" s="3">
        <v>0</v>
      </c>
      <c r="V12" s="3">
        <v>9.7419354838709697</v>
      </c>
      <c r="W12" s="3"/>
      <c r="X12" s="3"/>
    </row>
    <row r="13" spans="1:24" x14ac:dyDescent="0.25">
      <c r="A13" s="4" t="s">
        <v>819</v>
      </c>
      <c r="B13" s="4" t="s">
        <v>811</v>
      </c>
      <c r="C13" s="4" t="s">
        <v>38</v>
      </c>
      <c r="D13" s="4">
        <v>14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28</v>
      </c>
      <c r="N13" s="4">
        <v>19</v>
      </c>
      <c r="O13" s="4">
        <v>189</v>
      </c>
      <c r="P13" s="4">
        <v>3</v>
      </c>
      <c r="Q13" s="4">
        <v>0</v>
      </c>
      <c r="R13" s="4">
        <v>0</v>
      </c>
      <c r="S13" s="4">
        <v>53.9</v>
      </c>
      <c r="T13" s="4">
        <v>4.8359240069084597E-2</v>
      </c>
      <c r="U13" s="4"/>
      <c r="V13" s="4">
        <v>9.9473684210526301</v>
      </c>
      <c r="W13" s="4"/>
      <c r="X13" s="4"/>
    </row>
    <row r="14" spans="1:24" x14ac:dyDescent="0.25">
      <c r="A14" s="3" t="s">
        <v>820</v>
      </c>
      <c r="B14" s="3" t="s">
        <v>811</v>
      </c>
      <c r="C14" s="3" t="s">
        <v>43</v>
      </c>
      <c r="D14" s="3">
        <v>7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2</v>
      </c>
      <c r="K14" s="3">
        <v>8</v>
      </c>
      <c r="L14" s="3">
        <v>0</v>
      </c>
      <c r="M14" s="3">
        <v>22</v>
      </c>
      <c r="N14" s="3">
        <v>15</v>
      </c>
      <c r="O14" s="3">
        <v>207</v>
      </c>
      <c r="P14" s="3">
        <v>1</v>
      </c>
      <c r="Q14" s="3">
        <v>0</v>
      </c>
      <c r="R14" s="3">
        <v>0</v>
      </c>
      <c r="S14" s="3">
        <v>42.5</v>
      </c>
      <c r="T14" s="3">
        <v>3.7996545768566502E-2</v>
      </c>
      <c r="U14" s="3">
        <v>4</v>
      </c>
      <c r="V14" s="3">
        <v>13.8</v>
      </c>
      <c r="W14" s="3"/>
      <c r="X14" s="3"/>
    </row>
    <row r="15" spans="1:24" x14ac:dyDescent="0.25">
      <c r="A15" s="4" t="s">
        <v>821</v>
      </c>
      <c r="B15" s="4" t="s">
        <v>811</v>
      </c>
      <c r="C15" s="4" t="s">
        <v>43</v>
      </c>
      <c r="D15" s="4">
        <v>16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78</v>
      </c>
      <c r="N15" s="4">
        <v>41</v>
      </c>
      <c r="O15" s="4">
        <v>593</v>
      </c>
      <c r="P15" s="4">
        <v>2</v>
      </c>
      <c r="Q15" s="4">
        <v>0</v>
      </c>
      <c r="R15" s="4">
        <v>0</v>
      </c>
      <c r="S15" s="4">
        <v>112.3</v>
      </c>
      <c r="T15" s="4">
        <v>0.13471502590673601</v>
      </c>
      <c r="U15" s="4"/>
      <c r="V15" s="4">
        <v>14.4634146341463</v>
      </c>
      <c r="W15" s="4"/>
      <c r="X15" s="4"/>
    </row>
    <row r="16" spans="1:24" x14ac:dyDescent="0.25">
      <c r="A16" s="3" t="s">
        <v>822</v>
      </c>
      <c r="B16" s="3" t="s">
        <v>811</v>
      </c>
      <c r="C16" s="3" t="s">
        <v>43</v>
      </c>
      <c r="D16" s="3">
        <v>1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6</v>
      </c>
      <c r="N16" s="3">
        <v>2</v>
      </c>
      <c r="O16" s="3">
        <v>24</v>
      </c>
      <c r="P16" s="3">
        <v>0</v>
      </c>
      <c r="Q16" s="3">
        <v>0</v>
      </c>
      <c r="R16" s="3">
        <v>0</v>
      </c>
      <c r="S16" s="3">
        <v>4.4000000000000004</v>
      </c>
      <c r="T16" s="3">
        <v>1.03626943005181E-2</v>
      </c>
      <c r="U16" s="3"/>
      <c r="V16" s="3">
        <v>12</v>
      </c>
      <c r="W16" s="3"/>
      <c r="X16" s="3"/>
    </row>
    <row r="17" spans="1:24" x14ac:dyDescent="0.25">
      <c r="A17" s="4" t="s">
        <v>823</v>
      </c>
      <c r="B17" s="4" t="s">
        <v>811</v>
      </c>
      <c r="C17" s="4" t="s">
        <v>43</v>
      </c>
      <c r="D17" s="4">
        <v>1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1</v>
      </c>
      <c r="N17" s="4">
        <v>1</v>
      </c>
      <c r="O17" s="4">
        <v>20</v>
      </c>
      <c r="P17" s="4">
        <v>0</v>
      </c>
      <c r="Q17" s="4">
        <v>0</v>
      </c>
      <c r="R17" s="4">
        <v>0</v>
      </c>
      <c r="S17" s="4">
        <v>1</v>
      </c>
      <c r="T17" s="4">
        <v>1.72711571675302E-3</v>
      </c>
      <c r="U17" s="4"/>
      <c r="V17" s="4">
        <v>20</v>
      </c>
      <c r="W17" s="4"/>
      <c r="X17" s="4"/>
    </row>
    <row r="18" spans="1:24" x14ac:dyDescent="0.25">
      <c r="A18" s="3" t="s">
        <v>824</v>
      </c>
      <c r="B18" s="3" t="s">
        <v>811</v>
      </c>
      <c r="C18" s="3" t="s">
        <v>43</v>
      </c>
      <c r="D18" s="3">
        <v>16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3</v>
      </c>
      <c r="K18" s="3">
        <v>30</v>
      </c>
      <c r="L18" s="3">
        <v>0</v>
      </c>
      <c r="M18" s="3">
        <v>141</v>
      </c>
      <c r="N18" s="3">
        <v>99</v>
      </c>
      <c r="O18" s="3">
        <v>925</v>
      </c>
      <c r="P18" s="3">
        <v>4</v>
      </c>
      <c r="Q18" s="3">
        <v>0</v>
      </c>
      <c r="R18" s="3">
        <v>0</v>
      </c>
      <c r="S18" s="3">
        <v>216.5</v>
      </c>
      <c r="T18" s="3">
        <v>0.243523316062176</v>
      </c>
      <c r="U18" s="3">
        <v>10</v>
      </c>
      <c r="V18" s="3">
        <v>9.3434343434343408</v>
      </c>
      <c r="W18" s="3"/>
      <c r="X18" s="3"/>
    </row>
    <row r="19" spans="1:24" x14ac:dyDescent="0.25">
      <c r="A19" s="4" t="s">
        <v>825</v>
      </c>
      <c r="B19" s="4" t="s">
        <v>811</v>
      </c>
      <c r="C19" s="4" t="s">
        <v>43</v>
      </c>
      <c r="D19" s="4">
        <v>5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9</v>
      </c>
      <c r="N19" s="4">
        <v>3</v>
      </c>
      <c r="O19" s="4">
        <v>59</v>
      </c>
      <c r="P19" s="4">
        <v>0</v>
      </c>
      <c r="Q19" s="4">
        <v>0</v>
      </c>
      <c r="R19" s="4">
        <v>0</v>
      </c>
      <c r="S19" s="4">
        <v>8.9</v>
      </c>
      <c r="T19" s="4">
        <v>1.55440414507772E-2</v>
      </c>
      <c r="U19" s="4"/>
      <c r="V19" s="4">
        <v>19.6666666666667</v>
      </c>
      <c r="W19" s="4"/>
      <c r="X19" s="4"/>
    </row>
    <row r="20" spans="1:24" x14ac:dyDescent="0.25">
      <c r="A20" s="3" t="s">
        <v>826</v>
      </c>
      <c r="B20" s="3" t="s">
        <v>811</v>
      </c>
      <c r="C20" s="3" t="s">
        <v>43</v>
      </c>
      <c r="D20" s="3">
        <v>17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5</v>
      </c>
      <c r="K20" s="3">
        <v>58</v>
      </c>
      <c r="L20" s="3">
        <v>0</v>
      </c>
      <c r="M20" s="3">
        <v>91</v>
      </c>
      <c r="N20" s="3">
        <v>63</v>
      </c>
      <c r="O20" s="3">
        <v>623</v>
      </c>
      <c r="P20" s="3">
        <v>3</v>
      </c>
      <c r="Q20" s="3">
        <v>0</v>
      </c>
      <c r="R20" s="3">
        <v>0</v>
      </c>
      <c r="S20" s="3">
        <v>149.1</v>
      </c>
      <c r="T20" s="3">
        <v>0.15716753022452501</v>
      </c>
      <c r="U20" s="3">
        <v>11.6</v>
      </c>
      <c r="V20" s="3">
        <v>9.8888888888888893</v>
      </c>
      <c r="W20" s="3"/>
      <c r="X20" s="3"/>
    </row>
    <row r="30" spans="1:24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</row>
    <row r="31" spans="1:24" x14ac:dyDescent="0.25">
      <c r="A31" s="3" t="s">
        <v>811</v>
      </c>
      <c r="B31" s="3">
        <v>5720</v>
      </c>
      <c r="C31" s="3">
        <v>3854</v>
      </c>
      <c r="D31" s="3">
        <v>439</v>
      </c>
      <c r="E31" s="3">
        <v>1866</v>
      </c>
      <c r="F31" s="3">
        <v>8</v>
      </c>
      <c r="G31" s="3">
        <v>1278.1600000000001</v>
      </c>
      <c r="H31" s="3">
        <v>604</v>
      </c>
      <c r="I31" s="3">
        <v>0.65894039735099297</v>
      </c>
      <c r="J31" s="3">
        <v>17</v>
      </c>
      <c r="K31" s="3">
        <v>20</v>
      </c>
      <c r="L31" s="3">
        <v>10</v>
      </c>
    </row>
    <row r="32" spans="1:24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</row>
    <row r="33" spans="1:28" x14ac:dyDescent="0.25">
      <c r="A33" s="3" t="str">
        <f>A31</f>
        <v>IND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827</v>
      </c>
      <c r="B36" s="3" t="s">
        <v>26</v>
      </c>
      <c r="C36" s="3">
        <v>24</v>
      </c>
      <c r="D36" s="3">
        <v>3</v>
      </c>
      <c r="E36" s="3" t="s">
        <v>66</v>
      </c>
      <c r="F36" s="3" t="s">
        <v>811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">
        <v>0</v>
      </c>
      <c r="X36" s="3">
        <v>0</v>
      </c>
      <c r="Y36" s="3">
        <v>0</v>
      </c>
      <c r="Z36" s="3">
        <v>0</v>
      </c>
      <c r="AA36" s="3">
        <v>0</v>
      </c>
      <c r="AB36" s="3">
        <v>0</v>
      </c>
    </row>
    <row r="37" spans="1:28" x14ac:dyDescent="0.25">
      <c r="A37" s="4" t="s">
        <v>828</v>
      </c>
      <c r="B37" s="4" t="s">
        <v>26</v>
      </c>
      <c r="C37" s="4">
        <v>27</v>
      </c>
      <c r="D37" s="4">
        <v>5</v>
      </c>
      <c r="E37" s="4" t="s">
        <v>294</v>
      </c>
      <c r="F37" s="4" t="s">
        <v>811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</row>
    <row r="38" spans="1:28" x14ac:dyDescent="0.25">
      <c r="A38" s="3" t="s">
        <v>829</v>
      </c>
      <c r="B38" s="3" t="s">
        <v>26</v>
      </c>
      <c r="C38" s="3">
        <v>21</v>
      </c>
      <c r="D38" s="3">
        <v>0</v>
      </c>
      <c r="E38" s="3" t="s">
        <v>178</v>
      </c>
      <c r="F38" s="3" t="s">
        <v>811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v>0</v>
      </c>
      <c r="W38" s="3">
        <v>0</v>
      </c>
      <c r="X38" s="3">
        <v>0</v>
      </c>
      <c r="Y38" s="3">
        <v>0</v>
      </c>
      <c r="Z38" s="3">
        <v>0</v>
      </c>
      <c r="AA38" s="3">
        <v>0</v>
      </c>
      <c r="AB38" s="3"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830</v>
      </c>
      <c r="B46" s="3" t="s">
        <v>31</v>
      </c>
      <c r="C46" s="3">
        <v>29</v>
      </c>
      <c r="D46" s="3">
        <v>8</v>
      </c>
      <c r="E46" s="3" t="s">
        <v>153</v>
      </c>
      <c r="F46" s="3" t="s">
        <v>811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v>0</v>
      </c>
      <c r="W46" s="3">
        <v>0</v>
      </c>
      <c r="X46" s="3">
        <v>0</v>
      </c>
      <c r="Y46" s="3">
        <v>0</v>
      </c>
      <c r="Z46" s="3">
        <v>0</v>
      </c>
      <c r="AA46" s="3">
        <v>0</v>
      </c>
      <c r="AB46" s="3">
        <f t="shared" ref="AB46:AB52" si="0">($J46*Cp_yd)+($K46*Cp_td)+($L46*Cint)+($M46*Ccar)+($N46*Cr_td)+($O46*Cr_yd)+(Q46*Crec)+($R46*Crec_yd)+($S46*Crec_td)+($T46*Cfmb)+($U46*Ctp_c)</f>
        <v>0</v>
      </c>
    </row>
    <row r="47" spans="1:28" x14ac:dyDescent="0.25">
      <c r="A47" s="4" t="s">
        <v>831</v>
      </c>
      <c r="B47" s="4" t="s">
        <v>31</v>
      </c>
      <c r="C47" s="4">
        <v>25</v>
      </c>
      <c r="D47" s="4">
        <v>3</v>
      </c>
      <c r="E47" s="4" t="s">
        <v>232</v>
      </c>
      <c r="F47" s="4" t="s">
        <v>811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f t="shared" si="0"/>
        <v>0</v>
      </c>
    </row>
    <row r="48" spans="1:28" x14ac:dyDescent="0.25">
      <c r="A48" s="3" t="s">
        <v>832</v>
      </c>
      <c r="B48" s="3" t="s">
        <v>31</v>
      </c>
      <c r="C48" s="3">
        <v>22</v>
      </c>
      <c r="D48" s="3">
        <v>0</v>
      </c>
      <c r="E48" s="3" t="s">
        <v>141</v>
      </c>
      <c r="F48" s="3" t="s">
        <v>811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v>0</v>
      </c>
      <c r="W48" s="3">
        <v>0</v>
      </c>
      <c r="X48" s="3">
        <v>0</v>
      </c>
      <c r="Y48" s="3">
        <v>0</v>
      </c>
      <c r="Z48" s="3">
        <v>0</v>
      </c>
      <c r="AA48" s="3">
        <v>0</v>
      </c>
      <c r="AB48" s="3">
        <f t="shared" si="0"/>
        <v>0</v>
      </c>
    </row>
    <row r="49" spans="1:28" x14ac:dyDescent="0.25">
      <c r="A49" s="4" t="s">
        <v>833</v>
      </c>
      <c r="B49" s="4" t="s">
        <v>31</v>
      </c>
      <c r="C49" s="4">
        <v>25</v>
      </c>
      <c r="D49" s="4">
        <v>2</v>
      </c>
      <c r="E49" s="4" t="s">
        <v>834</v>
      </c>
      <c r="F49" s="4" t="s">
        <v>811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B49" s="4">
        <f t="shared" si="0"/>
        <v>0</v>
      </c>
    </row>
    <row r="50" spans="1:28" x14ac:dyDescent="0.25">
      <c r="A50" s="3" t="s">
        <v>835</v>
      </c>
      <c r="B50" s="3" t="s">
        <v>31</v>
      </c>
      <c r="C50" s="3">
        <v>24</v>
      </c>
      <c r="D50" s="3">
        <v>3</v>
      </c>
      <c r="E50" s="3" t="s">
        <v>697</v>
      </c>
      <c r="F50" s="3" t="s">
        <v>811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v>0</v>
      </c>
      <c r="W50" s="3">
        <v>0</v>
      </c>
      <c r="X50" s="3">
        <v>0</v>
      </c>
      <c r="Y50" s="3">
        <v>0</v>
      </c>
      <c r="Z50" s="3">
        <v>0</v>
      </c>
      <c r="AA50" s="3">
        <v>0</v>
      </c>
      <c r="AB50" s="3">
        <f t="shared" si="0"/>
        <v>0</v>
      </c>
    </row>
    <row r="51" spans="1:28" x14ac:dyDescent="0.25">
      <c r="A51" s="4" t="s">
        <v>836</v>
      </c>
      <c r="B51" s="4" t="s">
        <v>31</v>
      </c>
      <c r="C51" s="4">
        <v>25</v>
      </c>
      <c r="D51" s="4">
        <v>4</v>
      </c>
      <c r="E51" s="4" t="s">
        <v>207</v>
      </c>
      <c r="F51" s="4" t="s">
        <v>811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v>0</v>
      </c>
      <c r="W51" s="4">
        <v>0</v>
      </c>
      <c r="X51" s="4">
        <v>0</v>
      </c>
      <c r="Y51" s="4">
        <v>0</v>
      </c>
      <c r="Z51" s="4">
        <v>0</v>
      </c>
      <c r="AA51" s="4">
        <v>0</v>
      </c>
      <c r="AB51" s="4">
        <f t="shared" si="0"/>
        <v>0</v>
      </c>
    </row>
    <row r="52" spans="1:28" x14ac:dyDescent="0.25">
      <c r="A52" s="3" t="s">
        <v>837</v>
      </c>
      <c r="B52" s="3" t="s">
        <v>31</v>
      </c>
      <c r="C52" s="3">
        <v>24</v>
      </c>
      <c r="D52" s="3">
        <v>4</v>
      </c>
      <c r="E52" s="3" t="s">
        <v>72</v>
      </c>
      <c r="F52" s="3" t="s">
        <v>811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v>0</v>
      </c>
      <c r="W52" s="3">
        <v>0</v>
      </c>
      <c r="X52" s="3">
        <v>0</v>
      </c>
      <c r="Y52" s="3">
        <v>0</v>
      </c>
      <c r="Z52" s="3">
        <v>0</v>
      </c>
      <c r="AA52" s="3">
        <v>0</v>
      </c>
      <c r="AB52" s="3">
        <f t="shared" si="0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838</v>
      </c>
      <c r="B61" s="3" t="s">
        <v>43</v>
      </c>
      <c r="C61" s="3"/>
      <c r="D61" s="3">
        <v>0</v>
      </c>
      <c r="E61" s="3" t="s">
        <v>839</v>
      </c>
      <c r="F61" s="3" t="s">
        <v>811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v>0</v>
      </c>
      <c r="W61" s="3">
        <v>0</v>
      </c>
      <c r="X61" s="3">
        <v>0</v>
      </c>
      <c r="Y61" s="3">
        <v>0</v>
      </c>
      <c r="Z61" s="3">
        <v>0</v>
      </c>
      <c r="AA61" s="3">
        <v>0</v>
      </c>
      <c r="AB61" s="3">
        <v>0</v>
      </c>
    </row>
    <row r="62" spans="1:28" x14ac:dyDescent="0.25">
      <c r="A62" s="4" t="s">
        <v>840</v>
      </c>
      <c r="B62" s="4" t="s">
        <v>43</v>
      </c>
      <c r="C62" s="4">
        <v>24</v>
      </c>
      <c r="D62" s="4">
        <v>0</v>
      </c>
      <c r="E62" s="4" t="s">
        <v>446</v>
      </c>
      <c r="F62" s="4" t="s">
        <v>811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0</v>
      </c>
      <c r="X62" s="4">
        <v>0</v>
      </c>
      <c r="Y62" s="4">
        <v>0</v>
      </c>
      <c r="Z62" s="4">
        <v>0</v>
      </c>
      <c r="AA62" s="4">
        <v>0</v>
      </c>
      <c r="AB62" s="4">
        <v>0</v>
      </c>
    </row>
    <row r="63" spans="1:28" x14ac:dyDescent="0.25">
      <c r="A63" s="3" t="s">
        <v>841</v>
      </c>
      <c r="B63" s="3" t="s">
        <v>43</v>
      </c>
      <c r="C63" s="3">
        <v>22</v>
      </c>
      <c r="D63" s="3">
        <v>0</v>
      </c>
      <c r="E63" s="3" t="s">
        <v>163</v>
      </c>
      <c r="F63" s="3" t="s">
        <v>811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v>0</v>
      </c>
      <c r="W63" s="3">
        <v>0</v>
      </c>
      <c r="X63" s="3">
        <v>0</v>
      </c>
      <c r="Y63" s="3">
        <v>0</v>
      </c>
      <c r="Z63" s="3">
        <v>0</v>
      </c>
      <c r="AA63" s="3">
        <v>0</v>
      </c>
      <c r="AB63" s="3">
        <v>0</v>
      </c>
    </row>
    <row r="64" spans="1:28" x14ac:dyDescent="0.25">
      <c r="A64" s="4" t="s">
        <v>842</v>
      </c>
      <c r="B64" s="4" t="s">
        <v>43</v>
      </c>
      <c r="C64" s="4">
        <v>26</v>
      </c>
      <c r="D64" s="4">
        <v>5</v>
      </c>
      <c r="E64" s="4" t="s">
        <v>843</v>
      </c>
      <c r="F64" s="4" t="s">
        <v>811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</row>
    <row r="65" spans="1:28" x14ac:dyDescent="0.25">
      <c r="A65" s="3" t="s">
        <v>844</v>
      </c>
      <c r="B65" s="3" t="s">
        <v>43</v>
      </c>
      <c r="C65" s="3">
        <v>28</v>
      </c>
      <c r="D65" s="3">
        <v>7</v>
      </c>
      <c r="E65" s="3" t="s">
        <v>173</v>
      </c>
      <c r="F65" s="3" t="s">
        <v>811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v>0</v>
      </c>
      <c r="W65" s="3">
        <v>0</v>
      </c>
      <c r="X65" s="3">
        <v>0</v>
      </c>
      <c r="Y65" s="3">
        <v>0</v>
      </c>
      <c r="Z65" s="3">
        <v>0</v>
      </c>
      <c r="AA65" s="3">
        <v>0</v>
      </c>
      <c r="AB65" s="3">
        <v>0</v>
      </c>
    </row>
    <row r="66" spans="1:28" x14ac:dyDescent="0.25">
      <c r="A66" s="4" t="s">
        <v>845</v>
      </c>
      <c r="B66" s="4" t="s">
        <v>43</v>
      </c>
      <c r="C66" s="4">
        <v>29</v>
      </c>
      <c r="D66" s="4">
        <v>9</v>
      </c>
      <c r="E66" s="4" t="s">
        <v>282</v>
      </c>
      <c r="F66" s="4" t="s">
        <v>811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</row>
    <row r="67" spans="1:28" x14ac:dyDescent="0.25">
      <c r="A67" s="3" t="s">
        <v>846</v>
      </c>
      <c r="B67" s="3" t="s">
        <v>43</v>
      </c>
      <c r="C67" s="3">
        <v>23</v>
      </c>
      <c r="D67" s="3">
        <v>2</v>
      </c>
      <c r="E67" s="3" t="s">
        <v>136</v>
      </c>
      <c r="F67" s="3" t="s">
        <v>811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v>0</v>
      </c>
      <c r="W67" s="3">
        <v>0</v>
      </c>
      <c r="X67" s="3">
        <v>0</v>
      </c>
      <c r="Y67" s="3">
        <v>0</v>
      </c>
      <c r="Z67" s="3">
        <v>0</v>
      </c>
      <c r="AA67" s="3">
        <v>0</v>
      </c>
      <c r="AB67" s="3">
        <v>0</v>
      </c>
    </row>
    <row r="68" spans="1:28" x14ac:dyDescent="0.25">
      <c r="A68" s="4" t="s">
        <v>847</v>
      </c>
      <c r="B68" s="4" t="s">
        <v>43</v>
      </c>
      <c r="C68" s="4">
        <v>25</v>
      </c>
      <c r="D68" s="4">
        <v>4</v>
      </c>
      <c r="E68" s="4" t="s">
        <v>78</v>
      </c>
      <c r="F68" s="4" t="s">
        <v>811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0</v>
      </c>
      <c r="X68" s="4">
        <v>0</v>
      </c>
      <c r="Y68" s="4">
        <v>0</v>
      </c>
      <c r="Z68" s="4">
        <v>0</v>
      </c>
      <c r="AA68" s="4">
        <v>0</v>
      </c>
      <c r="AB68" s="4">
        <v>0</v>
      </c>
    </row>
    <row r="69" spans="1:28" x14ac:dyDescent="0.25">
      <c r="A69" s="3" t="s">
        <v>848</v>
      </c>
      <c r="B69" s="3" t="s">
        <v>43</v>
      </c>
      <c r="C69" s="3">
        <v>23</v>
      </c>
      <c r="D69" s="3">
        <v>3</v>
      </c>
      <c r="E69" s="3" t="s">
        <v>458</v>
      </c>
      <c r="F69" s="3" t="s">
        <v>811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v>0</v>
      </c>
      <c r="W69" s="3">
        <v>0</v>
      </c>
      <c r="X69" s="3">
        <v>0</v>
      </c>
      <c r="Y69" s="3">
        <v>0</v>
      </c>
      <c r="Z69" s="3">
        <v>0</v>
      </c>
      <c r="AA69" s="3">
        <v>0</v>
      </c>
      <c r="AB69" s="3">
        <v>0</v>
      </c>
    </row>
    <row r="70" spans="1:28" x14ac:dyDescent="0.25">
      <c r="A70" s="4" t="s">
        <v>849</v>
      </c>
      <c r="B70" s="4" t="s">
        <v>43</v>
      </c>
      <c r="C70" s="4">
        <v>27</v>
      </c>
      <c r="D70" s="4">
        <v>4</v>
      </c>
      <c r="E70" s="4" t="s">
        <v>850</v>
      </c>
      <c r="F70" s="4" t="s">
        <v>811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0</v>
      </c>
      <c r="X70" s="4">
        <v>0</v>
      </c>
      <c r="Y70" s="4">
        <v>0</v>
      </c>
      <c r="Z70" s="4">
        <v>0</v>
      </c>
      <c r="AA70" s="4">
        <v>0</v>
      </c>
      <c r="AB70" s="4">
        <v>0</v>
      </c>
    </row>
    <row r="71" spans="1:28" x14ac:dyDescent="0.25">
      <c r="A71" s="3" t="s">
        <v>851</v>
      </c>
      <c r="B71" s="3" t="s">
        <v>43</v>
      </c>
      <c r="C71" s="3">
        <v>26</v>
      </c>
      <c r="D71" s="3">
        <v>3</v>
      </c>
      <c r="E71" s="3" t="s">
        <v>852</v>
      </c>
      <c r="F71" s="3" t="s">
        <v>811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v>0</v>
      </c>
      <c r="W71" s="3">
        <v>0</v>
      </c>
      <c r="X71" s="3">
        <v>0</v>
      </c>
      <c r="Y71" s="3">
        <v>0</v>
      </c>
      <c r="Z71" s="3">
        <v>0</v>
      </c>
      <c r="AA71" s="3">
        <v>0</v>
      </c>
      <c r="AB71" s="3">
        <v>0</v>
      </c>
    </row>
    <row r="72" spans="1:28" x14ac:dyDescent="0.25">
      <c r="A72" s="4" t="s">
        <v>853</v>
      </c>
      <c r="B72" s="4" t="s">
        <v>43</v>
      </c>
      <c r="C72" s="4">
        <v>27</v>
      </c>
      <c r="D72" s="4">
        <v>5</v>
      </c>
      <c r="E72" s="4" t="s">
        <v>446</v>
      </c>
      <c r="F72" s="4" t="s">
        <v>811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v>0</v>
      </c>
      <c r="W72" s="4">
        <v>0</v>
      </c>
      <c r="X72" s="4">
        <v>0</v>
      </c>
      <c r="Y72" s="4">
        <v>0</v>
      </c>
      <c r="Z72" s="4">
        <v>0</v>
      </c>
      <c r="AA72" s="4">
        <v>0</v>
      </c>
      <c r="AB72" s="4">
        <v>0</v>
      </c>
    </row>
    <row r="73" spans="1:28" x14ac:dyDescent="0.25">
      <c r="A73" s="3" t="s">
        <v>854</v>
      </c>
      <c r="B73" s="3" t="s">
        <v>43</v>
      </c>
      <c r="C73" s="3">
        <v>26</v>
      </c>
      <c r="D73" s="3">
        <v>3</v>
      </c>
      <c r="E73" s="3" t="s">
        <v>84</v>
      </c>
      <c r="F73" s="3" t="s">
        <v>811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v>0</v>
      </c>
      <c r="W73" s="3">
        <v>0</v>
      </c>
      <c r="X73" s="3">
        <v>0</v>
      </c>
      <c r="Y73" s="3">
        <v>0</v>
      </c>
      <c r="Z73" s="3">
        <v>0</v>
      </c>
      <c r="AA73" s="3">
        <v>0</v>
      </c>
      <c r="AB73" s="3"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855</v>
      </c>
      <c r="B76" s="3" t="s">
        <v>38</v>
      </c>
      <c r="C76" s="3">
        <v>29</v>
      </c>
      <c r="D76" s="3">
        <v>6</v>
      </c>
      <c r="E76" s="3" t="s">
        <v>856</v>
      </c>
      <c r="F76" s="3" t="s">
        <v>811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v>0</v>
      </c>
      <c r="W76" s="3">
        <v>0</v>
      </c>
      <c r="X76" s="3">
        <v>0</v>
      </c>
      <c r="Y76" s="3">
        <v>0</v>
      </c>
      <c r="Z76" s="3">
        <v>0</v>
      </c>
      <c r="AA76" s="3">
        <v>0</v>
      </c>
      <c r="AB76" s="3">
        <v>0</v>
      </c>
    </row>
    <row r="77" spans="1:28" x14ac:dyDescent="0.25">
      <c r="A77" s="4" t="s">
        <v>857</v>
      </c>
      <c r="B77" s="4" t="s">
        <v>38</v>
      </c>
      <c r="C77" s="4">
        <v>29</v>
      </c>
      <c r="D77" s="4">
        <v>6</v>
      </c>
      <c r="E77" s="4" t="s">
        <v>205</v>
      </c>
      <c r="F77" s="4" t="s">
        <v>811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v>0</v>
      </c>
      <c r="W77" s="4">
        <v>0</v>
      </c>
      <c r="X77" s="4">
        <v>0</v>
      </c>
      <c r="Y77" s="4">
        <v>0</v>
      </c>
      <c r="Z77" s="4">
        <v>0</v>
      </c>
      <c r="AA77" s="4">
        <v>0</v>
      </c>
      <c r="AB77" s="4">
        <v>0</v>
      </c>
    </row>
    <row r="78" spans="1:28" x14ac:dyDescent="0.25">
      <c r="A78" s="3" t="s">
        <v>858</v>
      </c>
      <c r="B78" s="3" t="s">
        <v>38</v>
      </c>
      <c r="C78" s="3">
        <v>26</v>
      </c>
      <c r="D78" s="3">
        <v>2</v>
      </c>
      <c r="E78" s="3" t="s">
        <v>105</v>
      </c>
      <c r="F78" s="3" t="s">
        <v>811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v>0</v>
      </c>
      <c r="W78" s="3">
        <v>0</v>
      </c>
      <c r="X78" s="3">
        <v>0</v>
      </c>
      <c r="Y78" s="3">
        <v>0</v>
      </c>
      <c r="Z78" s="3">
        <v>0</v>
      </c>
      <c r="AA78" s="3">
        <v>0</v>
      </c>
      <c r="AB78" s="3">
        <v>0</v>
      </c>
    </row>
    <row r="79" spans="1:28" x14ac:dyDescent="0.25">
      <c r="A79" s="4" t="s">
        <v>859</v>
      </c>
      <c r="B79" s="4" t="s">
        <v>38</v>
      </c>
      <c r="C79" s="4">
        <v>25</v>
      </c>
      <c r="D79" s="4">
        <v>3</v>
      </c>
      <c r="E79" s="4" t="s">
        <v>237</v>
      </c>
      <c r="F79" s="4" t="s">
        <v>811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v>0</v>
      </c>
      <c r="W79" s="4">
        <v>0</v>
      </c>
      <c r="X79" s="4">
        <v>0</v>
      </c>
      <c r="Y79" s="4">
        <v>0</v>
      </c>
      <c r="Z79" s="4">
        <v>0</v>
      </c>
      <c r="AA79" s="4">
        <v>0</v>
      </c>
      <c r="AB79" s="4">
        <v>0</v>
      </c>
    </row>
    <row r="80" spans="1:28" x14ac:dyDescent="0.25">
      <c r="A80" s="3" t="s">
        <v>860</v>
      </c>
      <c r="B80" s="3" t="s">
        <v>38</v>
      </c>
      <c r="C80" s="3">
        <v>26</v>
      </c>
      <c r="D80" s="3">
        <v>1</v>
      </c>
      <c r="E80" s="3" t="s">
        <v>244</v>
      </c>
      <c r="F80" s="3" t="s">
        <v>811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v>0</v>
      </c>
      <c r="W80" s="3">
        <v>0</v>
      </c>
      <c r="X80" s="3">
        <v>0</v>
      </c>
      <c r="Y80" s="3">
        <v>0</v>
      </c>
      <c r="Z80" s="3">
        <v>0</v>
      </c>
      <c r="AA80" s="3">
        <v>0</v>
      </c>
      <c r="AB80" s="3">
        <v>0</v>
      </c>
    </row>
    <row r="81" spans="1:28" x14ac:dyDescent="0.25">
      <c r="A81" s="4" t="s">
        <v>861</v>
      </c>
      <c r="B81" s="4" t="s">
        <v>38</v>
      </c>
      <c r="C81" s="4">
        <v>24</v>
      </c>
      <c r="D81" s="4">
        <v>0</v>
      </c>
      <c r="E81" s="4" t="s">
        <v>397</v>
      </c>
      <c r="F81" s="4" t="s">
        <v>811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v>0</v>
      </c>
      <c r="W81" s="4">
        <v>0</v>
      </c>
      <c r="X81" s="4">
        <v>0</v>
      </c>
      <c r="Y81" s="4">
        <v>0</v>
      </c>
      <c r="Z81" s="4">
        <v>0</v>
      </c>
      <c r="AA81" s="4">
        <v>0</v>
      </c>
      <c r="AB81" s="4">
        <v>0</v>
      </c>
    </row>
    <row r="82" spans="1:28" x14ac:dyDescent="0.25">
      <c r="A82" s="3" t="s">
        <v>862</v>
      </c>
      <c r="B82" s="3" t="s">
        <v>38</v>
      </c>
      <c r="C82" s="3">
        <v>25</v>
      </c>
      <c r="D82" s="3">
        <v>2</v>
      </c>
      <c r="E82" s="3" t="s">
        <v>616</v>
      </c>
      <c r="F82" s="3" t="s">
        <v>811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v>0</v>
      </c>
      <c r="W82" s="3">
        <v>0</v>
      </c>
      <c r="X82" s="3">
        <v>0</v>
      </c>
      <c r="Y82" s="3">
        <v>0</v>
      </c>
      <c r="Z82" s="3">
        <v>0</v>
      </c>
      <c r="AA82" s="3">
        <v>0</v>
      </c>
      <c r="AB82" s="3">
        <v>0</v>
      </c>
    </row>
    <row r="83" spans="1:28" x14ac:dyDescent="0.25">
      <c r="A83" s="4" t="s">
        <v>863</v>
      </c>
      <c r="B83" s="4" t="s">
        <v>38</v>
      </c>
      <c r="C83" s="4">
        <v>28</v>
      </c>
      <c r="D83" s="4">
        <v>6</v>
      </c>
      <c r="E83" s="4" t="s">
        <v>307</v>
      </c>
      <c r="F83" s="4" t="s">
        <v>811</v>
      </c>
      <c r="G83" s="4">
        <v>0</v>
      </c>
      <c r="H83" s="4">
        <v>0</v>
      </c>
      <c r="I83" s="4">
        <v>0</v>
      </c>
      <c r="J83" s="4">
        <v>0</v>
      </c>
      <c r="K83" s="4">
        <v>0</v>
      </c>
      <c r="L83" s="4">
        <v>0</v>
      </c>
      <c r="M83" s="4">
        <v>0</v>
      </c>
      <c r="N83" s="4">
        <v>0</v>
      </c>
      <c r="O83" s="4">
        <v>0</v>
      </c>
      <c r="P83" s="4">
        <v>0</v>
      </c>
      <c r="Q83" s="4">
        <v>0</v>
      </c>
      <c r="R83" s="4">
        <v>0</v>
      </c>
      <c r="S83" s="4">
        <v>0</v>
      </c>
      <c r="T83" s="4">
        <v>0</v>
      </c>
      <c r="U83" s="4">
        <v>0</v>
      </c>
      <c r="V83" s="4">
        <v>0</v>
      </c>
      <c r="W83" s="4">
        <v>0</v>
      </c>
      <c r="X83" s="4">
        <v>0</v>
      </c>
      <c r="Y83" s="4">
        <v>0</v>
      </c>
      <c r="Z83" s="4">
        <v>0</v>
      </c>
      <c r="AA83" s="4">
        <v>0</v>
      </c>
      <c r="AB83" s="4">
        <v>0</v>
      </c>
    </row>
    <row r="84" spans="1:28" x14ac:dyDescent="0.25">
      <c r="A84" s="3" t="s">
        <v>864</v>
      </c>
      <c r="B84" s="3" t="s">
        <v>38</v>
      </c>
      <c r="C84" s="3">
        <v>24</v>
      </c>
      <c r="D84" s="3">
        <v>2</v>
      </c>
      <c r="E84" s="3" t="s">
        <v>409</v>
      </c>
      <c r="F84" s="3" t="s">
        <v>811</v>
      </c>
      <c r="G84" s="3">
        <v>0</v>
      </c>
      <c r="H84" s="3">
        <v>0</v>
      </c>
      <c r="I84" s="3">
        <v>0</v>
      </c>
      <c r="J84" s="3">
        <v>0</v>
      </c>
      <c r="K84" s="3">
        <v>0</v>
      </c>
      <c r="L84" s="3">
        <v>0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3">
        <v>0</v>
      </c>
      <c r="T84" s="3">
        <v>0</v>
      </c>
      <c r="U84" s="3">
        <v>0</v>
      </c>
      <c r="V84" s="3">
        <v>0</v>
      </c>
      <c r="W84" s="3">
        <v>0</v>
      </c>
      <c r="X84" s="3">
        <v>0</v>
      </c>
      <c r="Y84" s="3">
        <v>0</v>
      </c>
      <c r="Z84" s="3">
        <v>0</v>
      </c>
      <c r="AA84" s="3">
        <v>0</v>
      </c>
      <c r="AB84" s="3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AB82"/>
  <sheetViews>
    <sheetView topLeftCell="H16" workbookViewId="0">
      <selection activeCell="AB46" sqref="AB46:AB51"/>
    </sheetView>
  </sheetViews>
  <sheetFormatPr defaultColWidth="11.42578125" defaultRowHeight="15" x14ac:dyDescent="0.25"/>
  <sheetData>
    <row r="1" spans="1:24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</row>
    <row r="2" spans="1:24" x14ac:dyDescent="0.25">
      <c r="A2" s="3" t="s">
        <v>865</v>
      </c>
      <c r="B2" s="3" t="s">
        <v>866</v>
      </c>
      <c r="C2" s="3" t="s">
        <v>26</v>
      </c>
      <c r="D2" s="3">
        <v>4</v>
      </c>
      <c r="E2" s="3">
        <v>11</v>
      </c>
      <c r="F2" s="3">
        <v>7</v>
      </c>
      <c r="G2" s="3">
        <v>35</v>
      </c>
      <c r="H2" s="3">
        <v>0</v>
      </c>
      <c r="I2" s="3">
        <v>1</v>
      </c>
      <c r="J2" s="3">
        <v>4</v>
      </c>
      <c r="K2" s="3">
        <v>-4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-1</v>
      </c>
      <c r="T2" s="3">
        <v>0</v>
      </c>
      <c r="U2" s="3">
        <v>-1</v>
      </c>
      <c r="V2" s="3"/>
      <c r="W2" s="3">
        <v>0.63636363636363602</v>
      </c>
      <c r="X2" s="3">
        <v>0</v>
      </c>
    </row>
    <row r="3" spans="1:24" x14ac:dyDescent="0.25">
      <c r="A3" s="4" t="s">
        <v>867</v>
      </c>
      <c r="B3" s="4" t="s">
        <v>866</v>
      </c>
      <c r="C3" s="4" t="s">
        <v>26</v>
      </c>
      <c r="D3" s="4">
        <v>17</v>
      </c>
      <c r="E3" s="4">
        <v>584</v>
      </c>
      <c r="F3" s="4">
        <v>387</v>
      </c>
      <c r="G3" s="4">
        <v>4113</v>
      </c>
      <c r="H3" s="4">
        <v>25</v>
      </c>
      <c r="I3" s="4">
        <v>8</v>
      </c>
      <c r="J3" s="4">
        <v>62</v>
      </c>
      <c r="K3" s="4">
        <v>291</v>
      </c>
      <c r="L3" s="4">
        <v>5</v>
      </c>
      <c r="M3" s="4">
        <v>0</v>
      </c>
      <c r="N3" s="4">
        <v>0</v>
      </c>
      <c r="O3" s="4">
        <v>0</v>
      </c>
      <c r="P3" s="4">
        <v>0</v>
      </c>
      <c r="Q3" s="4">
        <v>9</v>
      </c>
      <c r="R3" s="4">
        <v>3</v>
      </c>
      <c r="S3" s="4">
        <v>295.62</v>
      </c>
      <c r="T3" s="4">
        <v>0</v>
      </c>
      <c r="U3" s="4">
        <v>4.6935483870967696</v>
      </c>
      <c r="V3" s="4"/>
      <c r="W3" s="4">
        <v>0.66267123287671204</v>
      </c>
      <c r="X3" s="4">
        <v>4.2808219178082203E-2</v>
      </c>
    </row>
    <row r="4" spans="1:24" x14ac:dyDescent="0.25">
      <c r="A4" s="3" t="s">
        <v>868</v>
      </c>
      <c r="B4" s="3" t="s">
        <v>866</v>
      </c>
      <c r="C4" s="3" t="s">
        <v>31</v>
      </c>
      <c r="D4" s="3">
        <v>14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46</v>
      </c>
      <c r="K4" s="3">
        <v>194</v>
      </c>
      <c r="L4" s="3">
        <v>2</v>
      </c>
      <c r="M4" s="3">
        <v>26</v>
      </c>
      <c r="N4" s="3">
        <v>20</v>
      </c>
      <c r="O4" s="3">
        <v>126</v>
      </c>
      <c r="P4" s="3">
        <v>1</v>
      </c>
      <c r="Q4" s="3">
        <v>0</v>
      </c>
      <c r="R4" s="3">
        <v>0</v>
      </c>
      <c r="S4" s="3">
        <v>70</v>
      </c>
      <c r="T4" s="3">
        <v>4.3046357615894003E-2</v>
      </c>
      <c r="U4" s="3">
        <v>4.2173913043478297</v>
      </c>
      <c r="V4" s="3">
        <v>6.3</v>
      </c>
      <c r="W4" s="3"/>
      <c r="X4" s="3"/>
    </row>
    <row r="5" spans="1:24" x14ac:dyDescent="0.25">
      <c r="A5" s="4" t="s">
        <v>869</v>
      </c>
      <c r="B5" s="4" t="s">
        <v>866</v>
      </c>
      <c r="C5" s="4" t="s">
        <v>31</v>
      </c>
      <c r="D5" s="4">
        <v>7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81</v>
      </c>
      <c r="K5" s="4">
        <v>340</v>
      </c>
      <c r="L5" s="4">
        <v>3</v>
      </c>
      <c r="M5" s="4">
        <v>11</v>
      </c>
      <c r="N5" s="4">
        <v>9</v>
      </c>
      <c r="O5" s="4">
        <v>46</v>
      </c>
      <c r="P5" s="4">
        <v>1</v>
      </c>
      <c r="Q5" s="4">
        <v>0</v>
      </c>
      <c r="R5" s="4">
        <v>0</v>
      </c>
      <c r="S5" s="4">
        <v>71.599999999999994</v>
      </c>
      <c r="T5" s="4">
        <v>1.82119205298013E-2</v>
      </c>
      <c r="U5" s="4">
        <v>4.19753086419753</v>
      </c>
      <c r="V5" s="4">
        <v>5.1111111111111098</v>
      </c>
      <c r="W5" s="4"/>
      <c r="X5" s="4"/>
    </row>
    <row r="6" spans="1:24" x14ac:dyDescent="0.25">
      <c r="A6" s="3" t="s">
        <v>870</v>
      </c>
      <c r="B6" s="3" t="s">
        <v>866</v>
      </c>
      <c r="C6" s="3" t="s">
        <v>31</v>
      </c>
      <c r="D6" s="3">
        <v>5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12</v>
      </c>
      <c r="K6" s="3">
        <v>42</v>
      </c>
      <c r="L6" s="3">
        <v>1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10.199999999999999</v>
      </c>
      <c r="T6" s="3">
        <v>0</v>
      </c>
      <c r="U6" s="3">
        <v>3.5</v>
      </c>
      <c r="V6" s="3"/>
      <c r="W6" s="3"/>
      <c r="X6" s="3"/>
    </row>
    <row r="7" spans="1:24" x14ac:dyDescent="0.25">
      <c r="A7" s="4" t="s">
        <v>871</v>
      </c>
      <c r="B7" s="4" t="s">
        <v>866</v>
      </c>
      <c r="C7" s="4" t="s">
        <v>31</v>
      </c>
      <c r="D7" s="4">
        <v>17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220</v>
      </c>
      <c r="K7" s="4">
        <v>1125</v>
      </c>
      <c r="L7" s="4">
        <v>5</v>
      </c>
      <c r="M7" s="4">
        <v>45</v>
      </c>
      <c r="N7" s="4">
        <v>35</v>
      </c>
      <c r="O7" s="4">
        <v>316</v>
      </c>
      <c r="P7" s="4">
        <v>0</v>
      </c>
      <c r="Q7" s="4">
        <v>3</v>
      </c>
      <c r="R7" s="4">
        <v>1</v>
      </c>
      <c r="S7" s="4">
        <v>203.1</v>
      </c>
      <c r="T7" s="4">
        <v>7.4503311258278193E-2</v>
      </c>
      <c r="U7" s="4">
        <v>5.1136363636363598</v>
      </c>
      <c r="V7" s="4">
        <v>9.0285714285714302</v>
      </c>
      <c r="W7" s="4"/>
      <c r="X7" s="4"/>
    </row>
    <row r="8" spans="1:24" x14ac:dyDescent="0.25">
      <c r="A8" s="3" t="s">
        <v>872</v>
      </c>
      <c r="B8" s="3" t="s">
        <v>866</v>
      </c>
      <c r="C8" s="3" t="s">
        <v>38</v>
      </c>
      <c r="D8" s="3">
        <v>6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8</v>
      </c>
      <c r="N8" s="3">
        <v>6</v>
      </c>
      <c r="O8" s="3">
        <v>42</v>
      </c>
      <c r="P8" s="3">
        <v>0</v>
      </c>
      <c r="Q8" s="3">
        <v>0</v>
      </c>
      <c r="R8" s="3">
        <v>0</v>
      </c>
      <c r="S8" s="3">
        <v>10.199999999999999</v>
      </c>
      <c r="T8" s="3">
        <v>1.3245033112582801E-2</v>
      </c>
      <c r="U8" s="3"/>
      <c r="V8" s="3">
        <v>7</v>
      </c>
      <c r="W8" s="3"/>
      <c r="X8" s="3"/>
    </row>
    <row r="9" spans="1:24" x14ac:dyDescent="0.25">
      <c r="A9" s="4" t="s">
        <v>873</v>
      </c>
      <c r="B9" s="4" t="s">
        <v>866</v>
      </c>
      <c r="C9" s="4" t="s">
        <v>38</v>
      </c>
      <c r="D9" s="4">
        <v>10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13</v>
      </c>
      <c r="N9" s="4">
        <v>9</v>
      </c>
      <c r="O9" s="4">
        <v>135</v>
      </c>
      <c r="P9" s="4">
        <v>0</v>
      </c>
      <c r="Q9" s="4">
        <v>0</v>
      </c>
      <c r="R9" s="4">
        <v>0</v>
      </c>
      <c r="S9" s="4">
        <v>22.5</v>
      </c>
      <c r="T9" s="4">
        <v>2.1523178807947001E-2</v>
      </c>
      <c r="U9" s="4"/>
      <c r="V9" s="4">
        <v>15</v>
      </c>
      <c r="W9" s="4"/>
      <c r="X9" s="4"/>
    </row>
    <row r="10" spans="1:24" x14ac:dyDescent="0.25">
      <c r="A10" s="3" t="s">
        <v>874</v>
      </c>
      <c r="B10" s="3" t="s">
        <v>866</v>
      </c>
      <c r="C10" s="3" t="s">
        <v>38</v>
      </c>
      <c r="D10" s="3">
        <v>17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2</v>
      </c>
      <c r="K10" s="3">
        <v>13</v>
      </c>
      <c r="L10" s="3">
        <v>0</v>
      </c>
      <c r="M10" s="3">
        <v>98</v>
      </c>
      <c r="N10" s="3">
        <v>73</v>
      </c>
      <c r="O10" s="3">
        <v>766</v>
      </c>
      <c r="P10" s="3">
        <v>4</v>
      </c>
      <c r="Q10" s="3">
        <v>0</v>
      </c>
      <c r="R10" s="3">
        <v>0</v>
      </c>
      <c r="S10" s="3">
        <v>176.9</v>
      </c>
      <c r="T10" s="3">
        <v>0.16225165562913901</v>
      </c>
      <c r="U10" s="3">
        <v>6.5</v>
      </c>
      <c r="V10" s="3">
        <v>10.4931506849315</v>
      </c>
      <c r="W10" s="3"/>
      <c r="X10" s="3"/>
    </row>
    <row r="11" spans="1:24" x14ac:dyDescent="0.25">
      <c r="A11" s="4" t="s">
        <v>875</v>
      </c>
      <c r="B11" s="4" t="s">
        <v>866</v>
      </c>
      <c r="C11" s="4" t="s">
        <v>38</v>
      </c>
      <c r="D11" s="4">
        <v>4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4</v>
      </c>
      <c r="N11" s="4">
        <v>4</v>
      </c>
      <c r="O11" s="4">
        <v>40</v>
      </c>
      <c r="P11" s="4">
        <v>0</v>
      </c>
      <c r="Q11" s="4">
        <v>0</v>
      </c>
      <c r="R11" s="4">
        <v>0</v>
      </c>
      <c r="S11" s="4">
        <v>8</v>
      </c>
      <c r="T11" s="4">
        <v>6.6225165562913899E-3</v>
      </c>
      <c r="U11" s="4"/>
      <c r="V11" s="4">
        <v>10</v>
      </c>
      <c r="W11" s="4"/>
      <c r="X11" s="4"/>
    </row>
    <row r="12" spans="1:24" x14ac:dyDescent="0.25">
      <c r="A12" s="3" t="s">
        <v>876</v>
      </c>
      <c r="B12" s="3" t="s">
        <v>866</v>
      </c>
      <c r="C12" s="3" t="s">
        <v>43</v>
      </c>
      <c r="D12" s="3">
        <v>17</v>
      </c>
      <c r="E12" s="3">
        <v>1</v>
      </c>
      <c r="F12" s="3">
        <v>0</v>
      </c>
      <c r="G12" s="3">
        <v>0</v>
      </c>
      <c r="H12" s="3">
        <v>0</v>
      </c>
      <c r="I12" s="3">
        <v>0</v>
      </c>
      <c r="J12" s="3">
        <v>5</v>
      </c>
      <c r="K12" s="3">
        <v>11</v>
      </c>
      <c r="L12" s="3">
        <v>0</v>
      </c>
      <c r="M12" s="3">
        <v>133</v>
      </c>
      <c r="N12" s="3">
        <v>84</v>
      </c>
      <c r="O12" s="3">
        <v>1108</v>
      </c>
      <c r="P12" s="3">
        <v>8</v>
      </c>
      <c r="Q12" s="3">
        <v>0</v>
      </c>
      <c r="R12" s="3">
        <v>0</v>
      </c>
      <c r="S12" s="3">
        <v>243.9</v>
      </c>
      <c r="T12" s="3">
        <v>0.22019867549668901</v>
      </c>
      <c r="U12" s="3">
        <v>2.2000000000000002</v>
      </c>
      <c r="V12" s="3">
        <v>13.1904761904762</v>
      </c>
      <c r="W12" s="3">
        <v>0</v>
      </c>
      <c r="X12" s="3">
        <v>0</v>
      </c>
    </row>
    <row r="13" spans="1:24" x14ac:dyDescent="0.25">
      <c r="A13" s="4" t="s">
        <v>877</v>
      </c>
      <c r="B13" s="4" t="s">
        <v>866</v>
      </c>
      <c r="C13" s="4" t="s">
        <v>43</v>
      </c>
      <c r="D13" s="4">
        <v>14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12</v>
      </c>
      <c r="K13" s="4">
        <v>86</v>
      </c>
      <c r="L13" s="4">
        <v>0</v>
      </c>
      <c r="M13" s="4">
        <v>30</v>
      </c>
      <c r="N13" s="4">
        <v>23</v>
      </c>
      <c r="O13" s="4">
        <v>187</v>
      </c>
      <c r="P13" s="4">
        <v>3</v>
      </c>
      <c r="Q13" s="4">
        <v>0</v>
      </c>
      <c r="R13" s="4">
        <v>0</v>
      </c>
      <c r="S13" s="4">
        <v>70.3</v>
      </c>
      <c r="T13" s="4">
        <v>4.96688741721854E-2</v>
      </c>
      <c r="U13" s="4">
        <v>7.1666666666666696</v>
      </c>
      <c r="V13" s="4">
        <v>8.1304347826087007</v>
      </c>
      <c r="W13" s="4"/>
      <c r="X13" s="4"/>
    </row>
    <row r="14" spans="1:24" x14ac:dyDescent="0.25">
      <c r="A14" s="3" t="s">
        <v>878</v>
      </c>
      <c r="B14" s="3" t="s">
        <v>866</v>
      </c>
      <c r="C14" s="3" t="s">
        <v>43</v>
      </c>
      <c r="D14" s="3">
        <v>16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81</v>
      </c>
      <c r="N14" s="3">
        <v>46</v>
      </c>
      <c r="O14" s="3">
        <v>529</v>
      </c>
      <c r="P14" s="3">
        <v>3</v>
      </c>
      <c r="Q14" s="3">
        <v>0</v>
      </c>
      <c r="R14" s="3">
        <v>0</v>
      </c>
      <c r="S14" s="3">
        <v>116.9</v>
      </c>
      <c r="T14" s="3">
        <v>0.13410596026490099</v>
      </c>
      <c r="U14" s="3"/>
      <c r="V14" s="3">
        <v>11.5</v>
      </c>
      <c r="W14" s="3"/>
      <c r="X14" s="3"/>
    </row>
    <row r="15" spans="1:24" x14ac:dyDescent="0.25">
      <c r="A15" s="4" t="s">
        <v>879</v>
      </c>
      <c r="B15" s="4" t="s">
        <v>866</v>
      </c>
      <c r="C15" s="4" t="s">
        <v>43</v>
      </c>
      <c r="D15" s="4">
        <v>4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4</v>
      </c>
      <c r="N15" s="4">
        <v>3</v>
      </c>
      <c r="O15" s="4">
        <v>30</v>
      </c>
      <c r="P15" s="4">
        <v>0</v>
      </c>
      <c r="Q15" s="4">
        <v>0</v>
      </c>
      <c r="R15" s="4">
        <v>0</v>
      </c>
      <c r="S15" s="4">
        <v>6</v>
      </c>
      <c r="T15" s="4">
        <v>6.6225165562913899E-3</v>
      </c>
      <c r="U15" s="4"/>
      <c r="V15" s="4">
        <v>10</v>
      </c>
      <c r="W15" s="4"/>
      <c r="X15" s="4"/>
    </row>
    <row r="16" spans="1:24" x14ac:dyDescent="0.25">
      <c r="A16" s="3" t="s">
        <v>880</v>
      </c>
      <c r="B16" s="3" t="s">
        <v>866</v>
      </c>
      <c r="C16" s="3" t="s">
        <v>43</v>
      </c>
      <c r="D16" s="3">
        <v>16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4</v>
      </c>
      <c r="K16" s="3">
        <v>18</v>
      </c>
      <c r="L16" s="3">
        <v>0</v>
      </c>
      <c r="M16" s="3">
        <v>121</v>
      </c>
      <c r="N16" s="3">
        <v>82</v>
      </c>
      <c r="O16" s="3">
        <v>823</v>
      </c>
      <c r="P16" s="3">
        <v>5</v>
      </c>
      <c r="Q16" s="3">
        <v>0</v>
      </c>
      <c r="R16" s="3">
        <v>0</v>
      </c>
      <c r="S16" s="3">
        <v>198.1</v>
      </c>
      <c r="T16" s="3">
        <v>0.20033112582781501</v>
      </c>
      <c r="U16" s="3">
        <v>4.5</v>
      </c>
      <c r="V16" s="3">
        <v>10.0365853658537</v>
      </c>
      <c r="W16" s="3"/>
      <c r="X16" s="3"/>
    </row>
    <row r="30" spans="1:12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</row>
    <row r="31" spans="1:12" x14ac:dyDescent="0.25">
      <c r="A31" s="3" t="s">
        <v>866</v>
      </c>
      <c r="B31" s="3">
        <v>6264</v>
      </c>
      <c r="C31" s="3">
        <v>4148</v>
      </c>
      <c r="D31" s="3">
        <v>448</v>
      </c>
      <c r="E31" s="3">
        <v>2116</v>
      </c>
      <c r="F31" s="3">
        <v>16</v>
      </c>
      <c r="G31" s="3">
        <v>1502.32</v>
      </c>
      <c r="H31" s="3">
        <v>596</v>
      </c>
      <c r="I31" s="3">
        <v>0.66107382550335603</v>
      </c>
      <c r="J31" s="3">
        <v>25</v>
      </c>
      <c r="K31" s="3">
        <v>9</v>
      </c>
      <c r="L31" s="3">
        <v>12</v>
      </c>
    </row>
    <row r="32" spans="1:12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</row>
    <row r="33" spans="1:28" x14ac:dyDescent="0.25">
      <c r="A33" s="3" t="str">
        <f>A31</f>
        <v>JAX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881</v>
      </c>
      <c r="B36" s="3" t="s">
        <v>26</v>
      </c>
      <c r="C36" s="3">
        <v>29</v>
      </c>
      <c r="D36" s="3">
        <v>7</v>
      </c>
      <c r="E36" s="3" t="s">
        <v>100</v>
      </c>
      <c r="F36" s="3" t="s">
        <v>866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">
        <v>0</v>
      </c>
      <c r="X36" s="3">
        <v>0</v>
      </c>
      <c r="Y36" s="3">
        <v>0</v>
      </c>
      <c r="Z36" s="3">
        <v>0</v>
      </c>
      <c r="AA36" s="3">
        <v>0</v>
      </c>
      <c r="AB36" s="3">
        <v>0</v>
      </c>
    </row>
    <row r="37" spans="1:28" x14ac:dyDescent="0.25">
      <c r="A37" s="4" t="s">
        <v>882</v>
      </c>
      <c r="B37" s="4" t="s">
        <v>26</v>
      </c>
      <c r="C37" s="4">
        <v>23</v>
      </c>
      <c r="D37" s="4">
        <v>3</v>
      </c>
      <c r="E37" s="4" t="s">
        <v>458</v>
      </c>
      <c r="F37" s="4" t="s">
        <v>866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</row>
    <row r="38" spans="1:28" x14ac:dyDescent="0.25">
      <c r="A38" s="3" t="s">
        <v>883</v>
      </c>
      <c r="B38" s="3" t="s">
        <v>26</v>
      </c>
      <c r="C38" s="3">
        <v>25</v>
      </c>
      <c r="D38" s="3">
        <v>0</v>
      </c>
      <c r="E38" s="3" t="s">
        <v>884</v>
      </c>
      <c r="F38" s="3" t="s">
        <v>866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v>0</v>
      </c>
      <c r="W38" s="3">
        <v>0</v>
      </c>
      <c r="X38" s="3">
        <v>0</v>
      </c>
      <c r="Y38" s="3">
        <v>0</v>
      </c>
      <c r="Z38" s="3">
        <v>0</v>
      </c>
      <c r="AA38" s="3">
        <v>0</v>
      </c>
      <c r="AB38" s="3"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885</v>
      </c>
      <c r="B46" s="3" t="s">
        <v>31</v>
      </c>
      <c r="C46" s="3">
        <v>21</v>
      </c>
      <c r="D46" s="3">
        <v>0</v>
      </c>
      <c r="E46" s="3" t="s">
        <v>464</v>
      </c>
      <c r="F46" s="3" t="s">
        <v>866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v>0</v>
      </c>
      <c r="W46" s="3">
        <v>0</v>
      </c>
      <c r="X46" s="3">
        <v>0</v>
      </c>
      <c r="Y46" s="3">
        <v>0</v>
      </c>
      <c r="Z46" s="3">
        <v>0</v>
      </c>
      <c r="AA46" s="3">
        <v>0</v>
      </c>
      <c r="AB46" s="3">
        <f t="shared" ref="AB46:AB51" si="0">($J46*Cp_yd)+($K46*Cp_td)+($L46*Cint)+($M46*Ccar)+($N46*Cr_td)+($O46*Cr_yd)+(Q46*Crec)+($R46*Crec_yd)+($S46*Crec_td)+($T46*Cfmb)+($U46*Ctp_c)</f>
        <v>0</v>
      </c>
    </row>
    <row r="47" spans="1:28" x14ac:dyDescent="0.25">
      <c r="A47" s="4" t="s">
        <v>886</v>
      </c>
      <c r="B47" s="4" t="s">
        <v>31</v>
      </c>
      <c r="C47" s="4">
        <v>23</v>
      </c>
      <c r="D47" s="4">
        <v>2</v>
      </c>
      <c r="E47" s="4" t="s">
        <v>240</v>
      </c>
      <c r="F47" s="4" t="s">
        <v>866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f t="shared" si="0"/>
        <v>0</v>
      </c>
    </row>
    <row r="48" spans="1:28" x14ac:dyDescent="0.25">
      <c r="A48" s="3" t="s">
        <v>887</v>
      </c>
      <c r="B48" s="3" t="s">
        <v>31</v>
      </c>
      <c r="C48" s="3">
        <v>24</v>
      </c>
      <c r="D48" s="3">
        <v>3</v>
      </c>
      <c r="E48" s="3" t="s">
        <v>458</v>
      </c>
      <c r="F48" s="3" t="s">
        <v>866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v>0</v>
      </c>
      <c r="W48" s="3">
        <v>0</v>
      </c>
      <c r="X48" s="3">
        <v>0</v>
      </c>
      <c r="Y48" s="3">
        <v>0</v>
      </c>
      <c r="Z48" s="3">
        <v>0</v>
      </c>
      <c r="AA48" s="3">
        <v>0</v>
      </c>
      <c r="AB48" s="3">
        <f t="shared" si="0"/>
        <v>0</v>
      </c>
    </row>
    <row r="49" spans="1:28" x14ac:dyDescent="0.25">
      <c r="A49" s="4" t="s">
        <v>888</v>
      </c>
      <c r="B49" s="4" t="s">
        <v>31</v>
      </c>
      <c r="C49" s="4">
        <v>26</v>
      </c>
      <c r="D49" s="4">
        <v>4</v>
      </c>
      <c r="E49" s="4" t="s">
        <v>393</v>
      </c>
      <c r="F49" s="4" t="s">
        <v>866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B49" s="4">
        <f t="shared" si="0"/>
        <v>0</v>
      </c>
    </row>
    <row r="50" spans="1:28" x14ac:dyDescent="0.25">
      <c r="A50" s="3" t="s">
        <v>889</v>
      </c>
      <c r="B50" s="3" t="s">
        <v>31</v>
      </c>
      <c r="C50" s="3">
        <v>27</v>
      </c>
      <c r="D50" s="3">
        <v>5</v>
      </c>
      <c r="E50" s="3" t="s">
        <v>80</v>
      </c>
      <c r="F50" s="3" t="s">
        <v>866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v>0</v>
      </c>
      <c r="W50" s="3">
        <v>0</v>
      </c>
      <c r="X50" s="3">
        <v>0</v>
      </c>
      <c r="Y50" s="3">
        <v>0</v>
      </c>
      <c r="Z50" s="3">
        <v>0</v>
      </c>
      <c r="AA50" s="3">
        <v>0</v>
      </c>
      <c r="AB50" s="3">
        <f t="shared" si="0"/>
        <v>0</v>
      </c>
    </row>
    <row r="51" spans="1:28" x14ac:dyDescent="0.25">
      <c r="A51" s="4" t="s">
        <v>890</v>
      </c>
      <c r="B51" s="4" t="s">
        <v>31</v>
      </c>
      <c r="C51" s="4">
        <v>26</v>
      </c>
      <c r="D51" s="4">
        <v>4</v>
      </c>
      <c r="E51" s="4" t="s">
        <v>74</v>
      </c>
      <c r="F51" s="4" t="s">
        <v>866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v>0</v>
      </c>
      <c r="W51" s="4">
        <v>0</v>
      </c>
      <c r="X51" s="4">
        <v>0</v>
      </c>
      <c r="Y51" s="4">
        <v>0</v>
      </c>
      <c r="Z51" s="4">
        <v>0</v>
      </c>
      <c r="AA51" s="4">
        <v>0</v>
      </c>
      <c r="AB51" s="4">
        <f t="shared" si="0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891</v>
      </c>
      <c r="B61" s="3" t="s">
        <v>43</v>
      </c>
      <c r="C61" s="3">
        <v>28</v>
      </c>
      <c r="D61" s="3">
        <v>7</v>
      </c>
      <c r="E61" s="3" t="s">
        <v>211</v>
      </c>
      <c r="F61" s="3" t="s">
        <v>866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v>0</v>
      </c>
      <c r="W61" s="3">
        <v>0</v>
      </c>
      <c r="X61" s="3">
        <v>0</v>
      </c>
      <c r="Y61" s="3">
        <v>0</v>
      </c>
      <c r="Z61" s="3">
        <v>0</v>
      </c>
      <c r="AA61" s="3">
        <v>0</v>
      </c>
      <c r="AB61" s="3">
        <v>0</v>
      </c>
    </row>
    <row r="62" spans="1:28" x14ac:dyDescent="0.25">
      <c r="A62" s="4" t="s">
        <v>892</v>
      </c>
      <c r="B62" s="4" t="s">
        <v>43</v>
      </c>
      <c r="C62" s="4">
        <v>23</v>
      </c>
      <c r="D62" s="4">
        <v>1</v>
      </c>
      <c r="E62" s="4" t="s">
        <v>362</v>
      </c>
      <c r="F62" s="4" t="s">
        <v>866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0</v>
      </c>
      <c r="X62" s="4">
        <v>0</v>
      </c>
      <c r="Y62" s="4">
        <v>0</v>
      </c>
      <c r="Z62" s="4">
        <v>0</v>
      </c>
      <c r="AA62" s="4">
        <v>0</v>
      </c>
      <c r="AB62" s="4">
        <v>0</v>
      </c>
    </row>
    <row r="63" spans="1:28" x14ac:dyDescent="0.25">
      <c r="A63" s="3" t="s">
        <v>893</v>
      </c>
      <c r="B63" s="3" t="s">
        <v>43</v>
      </c>
      <c r="C63" s="3">
        <v>24</v>
      </c>
      <c r="D63" s="3">
        <v>0</v>
      </c>
      <c r="E63" s="3" t="s">
        <v>894</v>
      </c>
      <c r="F63" s="3" t="s">
        <v>866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v>0</v>
      </c>
      <c r="W63" s="3">
        <v>0</v>
      </c>
      <c r="X63" s="3">
        <v>0</v>
      </c>
      <c r="Y63" s="3">
        <v>0</v>
      </c>
      <c r="Z63" s="3">
        <v>0</v>
      </c>
      <c r="AA63" s="3">
        <v>0</v>
      </c>
      <c r="AB63" s="3">
        <v>0</v>
      </c>
    </row>
    <row r="64" spans="1:28" x14ac:dyDescent="0.25">
      <c r="A64" s="4" t="s">
        <v>895</v>
      </c>
      <c r="B64" s="4" t="s">
        <v>43</v>
      </c>
      <c r="C64" s="4">
        <v>26</v>
      </c>
      <c r="D64" s="4">
        <v>3</v>
      </c>
      <c r="E64" s="4" t="s">
        <v>282</v>
      </c>
      <c r="F64" s="4" t="s">
        <v>866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</row>
    <row r="65" spans="1:28" x14ac:dyDescent="0.25">
      <c r="A65" s="3" t="s">
        <v>896</v>
      </c>
      <c r="B65" s="3" t="s">
        <v>43</v>
      </c>
      <c r="C65" s="3">
        <v>23</v>
      </c>
      <c r="D65" s="3">
        <v>0</v>
      </c>
      <c r="E65" s="3" t="s">
        <v>227</v>
      </c>
      <c r="F65" s="3" t="s">
        <v>866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v>0</v>
      </c>
      <c r="W65" s="3">
        <v>0</v>
      </c>
      <c r="X65" s="3">
        <v>0</v>
      </c>
      <c r="Y65" s="3">
        <v>0</v>
      </c>
      <c r="Z65" s="3">
        <v>0</v>
      </c>
      <c r="AA65" s="3">
        <v>0</v>
      </c>
      <c r="AB65" s="3">
        <v>0</v>
      </c>
    </row>
    <row r="66" spans="1:28" x14ac:dyDescent="0.25">
      <c r="A66" s="4" t="s">
        <v>897</v>
      </c>
      <c r="B66" s="4" t="s">
        <v>43</v>
      </c>
      <c r="C66" s="4">
        <v>25</v>
      </c>
      <c r="D66" s="4">
        <v>2</v>
      </c>
      <c r="E66" s="4" t="s">
        <v>898</v>
      </c>
      <c r="F66" s="4" t="s">
        <v>866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</row>
    <row r="67" spans="1:28" x14ac:dyDescent="0.25">
      <c r="A67" s="3" t="s">
        <v>899</v>
      </c>
      <c r="B67" s="3" t="s">
        <v>43</v>
      </c>
      <c r="C67" s="3">
        <v>28</v>
      </c>
      <c r="D67" s="3">
        <v>7</v>
      </c>
      <c r="E67" s="3" t="s">
        <v>220</v>
      </c>
      <c r="F67" s="3" t="s">
        <v>866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v>0</v>
      </c>
      <c r="W67" s="3">
        <v>0</v>
      </c>
      <c r="X67" s="3">
        <v>0</v>
      </c>
      <c r="Y67" s="3">
        <v>0</v>
      </c>
      <c r="Z67" s="3">
        <v>0</v>
      </c>
      <c r="AA67" s="3">
        <v>0</v>
      </c>
      <c r="AB67" s="3">
        <v>0</v>
      </c>
    </row>
    <row r="68" spans="1:28" x14ac:dyDescent="0.25">
      <c r="A68" s="4" t="s">
        <v>900</v>
      </c>
      <c r="B68" s="4" t="s">
        <v>43</v>
      </c>
      <c r="C68" s="4">
        <v>26</v>
      </c>
      <c r="D68" s="4">
        <v>6</v>
      </c>
      <c r="E68" s="4" t="s">
        <v>307</v>
      </c>
      <c r="F68" s="4" t="s">
        <v>866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0</v>
      </c>
      <c r="X68" s="4">
        <v>0</v>
      </c>
      <c r="Y68" s="4">
        <v>0</v>
      </c>
      <c r="Z68" s="4">
        <v>0</v>
      </c>
      <c r="AA68" s="4">
        <v>0</v>
      </c>
      <c r="AB68" s="4">
        <v>0</v>
      </c>
    </row>
    <row r="69" spans="1:28" x14ac:dyDescent="0.25">
      <c r="A69" s="3" t="s">
        <v>901</v>
      </c>
      <c r="B69" s="3" t="s">
        <v>43</v>
      </c>
      <c r="C69" s="3">
        <v>24</v>
      </c>
      <c r="D69" s="3">
        <v>0</v>
      </c>
      <c r="E69" s="3" t="s">
        <v>248</v>
      </c>
      <c r="F69" s="3" t="s">
        <v>866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v>0</v>
      </c>
      <c r="W69" s="3">
        <v>0</v>
      </c>
      <c r="X69" s="3">
        <v>0</v>
      </c>
      <c r="Y69" s="3">
        <v>0</v>
      </c>
      <c r="Z69" s="3">
        <v>0</v>
      </c>
      <c r="AA69" s="3">
        <v>0</v>
      </c>
      <c r="AB69" s="3">
        <v>0</v>
      </c>
    </row>
    <row r="70" spans="1:28" x14ac:dyDescent="0.25">
      <c r="A70" s="4" t="s">
        <v>902</v>
      </c>
      <c r="B70" s="4" t="s">
        <v>43</v>
      </c>
      <c r="C70" s="4">
        <v>25</v>
      </c>
      <c r="D70" s="4">
        <v>2</v>
      </c>
      <c r="E70" s="4" t="s">
        <v>72</v>
      </c>
      <c r="F70" s="4" t="s">
        <v>866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0</v>
      </c>
      <c r="X70" s="4">
        <v>0</v>
      </c>
      <c r="Y70" s="4">
        <v>0</v>
      </c>
      <c r="Z70" s="4">
        <v>0</v>
      </c>
      <c r="AA70" s="4">
        <v>0</v>
      </c>
      <c r="AB70" s="4">
        <v>0</v>
      </c>
    </row>
    <row r="71" spans="1:28" x14ac:dyDescent="0.25">
      <c r="A71" s="3" t="s">
        <v>903</v>
      </c>
      <c r="B71" s="3" t="s">
        <v>43</v>
      </c>
      <c r="C71" s="3">
        <v>28</v>
      </c>
      <c r="D71" s="3">
        <v>5</v>
      </c>
      <c r="E71" s="3" t="s">
        <v>153</v>
      </c>
      <c r="F71" s="3" t="s">
        <v>866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v>0</v>
      </c>
      <c r="W71" s="3">
        <v>0</v>
      </c>
      <c r="X71" s="3">
        <v>0</v>
      </c>
      <c r="Y71" s="3">
        <v>0</v>
      </c>
      <c r="Z71" s="3">
        <v>0</v>
      </c>
      <c r="AA71" s="3">
        <v>0</v>
      </c>
      <c r="AB71" s="3">
        <v>0</v>
      </c>
    </row>
    <row r="72" spans="1:28" x14ac:dyDescent="0.25">
      <c r="A72" s="4" t="s">
        <v>904</v>
      </c>
      <c r="B72" s="4" t="s">
        <v>43</v>
      </c>
      <c r="C72" s="4">
        <v>21</v>
      </c>
      <c r="D72" s="4">
        <v>0</v>
      </c>
      <c r="E72" s="4" t="s">
        <v>339</v>
      </c>
      <c r="F72" s="4" t="s">
        <v>866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v>0</v>
      </c>
      <c r="W72" s="4">
        <v>0</v>
      </c>
      <c r="X72" s="4">
        <v>0</v>
      </c>
      <c r="Y72" s="4">
        <v>0</v>
      </c>
      <c r="Z72" s="4">
        <v>0</v>
      </c>
      <c r="AA72" s="4">
        <v>0</v>
      </c>
      <c r="AB72" s="4">
        <v>0</v>
      </c>
    </row>
    <row r="73" spans="1:28" x14ac:dyDescent="0.25">
      <c r="A73" s="3" t="s">
        <v>905</v>
      </c>
      <c r="B73" s="3" t="s">
        <v>43</v>
      </c>
      <c r="C73" s="3">
        <v>23</v>
      </c>
      <c r="D73" s="3">
        <v>1</v>
      </c>
      <c r="E73" s="3" t="s">
        <v>464</v>
      </c>
      <c r="F73" s="3" t="s">
        <v>866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v>0</v>
      </c>
      <c r="W73" s="3">
        <v>0</v>
      </c>
      <c r="X73" s="3">
        <v>0</v>
      </c>
      <c r="Y73" s="3">
        <v>0</v>
      </c>
      <c r="Z73" s="3">
        <v>0</v>
      </c>
      <c r="AA73" s="3">
        <v>0</v>
      </c>
      <c r="AB73" s="3"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906</v>
      </c>
      <c r="B76" s="3" t="s">
        <v>38</v>
      </c>
      <c r="C76" s="3">
        <v>28</v>
      </c>
      <c r="D76" s="3">
        <v>7</v>
      </c>
      <c r="E76" s="3" t="s">
        <v>240</v>
      </c>
      <c r="F76" s="3" t="s">
        <v>866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v>0</v>
      </c>
      <c r="W76" s="3">
        <v>0</v>
      </c>
      <c r="X76" s="3">
        <v>0</v>
      </c>
      <c r="Y76" s="3">
        <v>0</v>
      </c>
      <c r="Z76" s="3">
        <v>0</v>
      </c>
      <c r="AA76" s="3">
        <v>0</v>
      </c>
      <c r="AB76" s="3">
        <v>0</v>
      </c>
    </row>
    <row r="77" spans="1:28" x14ac:dyDescent="0.25">
      <c r="A77" s="4" t="s">
        <v>907</v>
      </c>
      <c r="B77" s="4" t="s">
        <v>38</v>
      </c>
      <c r="C77" s="4">
        <v>25</v>
      </c>
      <c r="D77" s="4">
        <v>3</v>
      </c>
      <c r="E77" s="4" t="s">
        <v>213</v>
      </c>
      <c r="F77" s="4" t="s">
        <v>866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v>0</v>
      </c>
      <c r="W77" s="4">
        <v>0</v>
      </c>
      <c r="X77" s="4">
        <v>0</v>
      </c>
      <c r="Y77" s="4">
        <v>0</v>
      </c>
      <c r="Z77" s="4">
        <v>0</v>
      </c>
      <c r="AA77" s="4">
        <v>0</v>
      </c>
      <c r="AB77" s="4">
        <v>0</v>
      </c>
    </row>
    <row r="78" spans="1:28" x14ac:dyDescent="0.25">
      <c r="A78" s="3" t="s">
        <v>908</v>
      </c>
      <c r="B78" s="3" t="s">
        <v>38</v>
      </c>
      <c r="C78" s="3">
        <v>25</v>
      </c>
      <c r="D78" s="3">
        <v>1</v>
      </c>
      <c r="E78" s="3" t="s">
        <v>909</v>
      </c>
      <c r="F78" s="3" t="s">
        <v>866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v>0</v>
      </c>
      <c r="W78" s="3">
        <v>0</v>
      </c>
      <c r="X78" s="3">
        <v>0</v>
      </c>
      <c r="Y78" s="3">
        <v>0</v>
      </c>
      <c r="Z78" s="3">
        <v>0</v>
      </c>
      <c r="AA78" s="3">
        <v>0</v>
      </c>
      <c r="AB78" s="3">
        <v>0</v>
      </c>
    </row>
    <row r="79" spans="1:28" x14ac:dyDescent="0.25">
      <c r="A79" s="4" t="s">
        <v>910</v>
      </c>
      <c r="B79" s="4" t="s">
        <v>38</v>
      </c>
      <c r="C79" s="4">
        <v>25</v>
      </c>
      <c r="D79" s="4">
        <v>1</v>
      </c>
      <c r="E79" s="4" t="s">
        <v>335</v>
      </c>
      <c r="F79" s="4" t="s">
        <v>866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v>0</v>
      </c>
      <c r="W79" s="4">
        <v>0</v>
      </c>
      <c r="X79" s="4">
        <v>0</v>
      </c>
      <c r="Y79" s="4">
        <v>0</v>
      </c>
      <c r="Z79" s="4">
        <v>0</v>
      </c>
      <c r="AA79" s="4">
        <v>0</v>
      </c>
      <c r="AB79" s="4">
        <v>0</v>
      </c>
    </row>
    <row r="80" spans="1:28" x14ac:dyDescent="0.25">
      <c r="A80" s="3" t="s">
        <v>911</v>
      </c>
      <c r="B80" s="3" t="s">
        <v>38</v>
      </c>
      <c r="C80" s="3">
        <v>27</v>
      </c>
      <c r="D80" s="3">
        <v>2</v>
      </c>
      <c r="E80" s="3" t="s">
        <v>912</v>
      </c>
      <c r="F80" s="3" t="s">
        <v>866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v>0</v>
      </c>
      <c r="W80" s="3">
        <v>0</v>
      </c>
      <c r="X80" s="3">
        <v>0</v>
      </c>
      <c r="Y80" s="3">
        <v>0</v>
      </c>
      <c r="Z80" s="3">
        <v>0</v>
      </c>
      <c r="AA80" s="3">
        <v>0</v>
      </c>
      <c r="AB80" s="3">
        <v>0</v>
      </c>
    </row>
    <row r="81" spans="1:28" x14ac:dyDescent="0.25">
      <c r="A81" s="4" t="s">
        <v>913</v>
      </c>
      <c r="B81" s="4" t="s">
        <v>38</v>
      </c>
      <c r="C81" s="4">
        <v>22</v>
      </c>
      <c r="D81" s="4">
        <v>0</v>
      </c>
      <c r="E81" s="4" t="s">
        <v>339</v>
      </c>
      <c r="F81" s="4" t="s">
        <v>866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v>0</v>
      </c>
      <c r="W81" s="4">
        <v>0</v>
      </c>
      <c r="X81" s="4">
        <v>0</v>
      </c>
      <c r="Y81" s="4">
        <v>0</v>
      </c>
      <c r="Z81" s="4">
        <v>0</v>
      </c>
      <c r="AA81" s="4">
        <v>0</v>
      </c>
      <c r="AB81" s="4">
        <v>0</v>
      </c>
    </row>
    <row r="82" spans="1:28" x14ac:dyDescent="0.25">
      <c r="A82" s="3" t="s">
        <v>914</v>
      </c>
      <c r="B82" s="3" t="s">
        <v>38</v>
      </c>
      <c r="C82" s="3">
        <v>23</v>
      </c>
      <c r="D82" s="3">
        <v>0</v>
      </c>
      <c r="E82" s="3" t="s">
        <v>136</v>
      </c>
      <c r="F82" s="3" t="s">
        <v>866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v>0</v>
      </c>
      <c r="W82" s="3">
        <v>0</v>
      </c>
      <c r="X82" s="3">
        <v>0</v>
      </c>
      <c r="Y82" s="3">
        <v>0</v>
      </c>
      <c r="Z82" s="3">
        <v>0</v>
      </c>
      <c r="AA82" s="3">
        <v>0</v>
      </c>
      <c r="AB82" s="3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AB82"/>
  <sheetViews>
    <sheetView topLeftCell="M19" workbookViewId="0">
      <selection activeCell="AB46" sqref="AB46:AB50"/>
    </sheetView>
  </sheetViews>
  <sheetFormatPr defaultColWidth="11.42578125" defaultRowHeight="15" x14ac:dyDescent="0.25"/>
  <sheetData>
    <row r="1" spans="1:24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</row>
    <row r="2" spans="1:24" x14ac:dyDescent="0.25">
      <c r="A2" s="3" t="s">
        <v>915</v>
      </c>
      <c r="B2" s="3" t="s">
        <v>916</v>
      </c>
      <c r="C2" s="3" t="s">
        <v>115</v>
      </c>
      <c r="D2" s="3">
        <v>6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5</v>
      </c>
      <c r="K2" s="3">
        <v>7</v>
      </c>
      <c r="L2" s="3">
        <v>0</v>
      </c>
      <c r="M2" s="3">
        <v>3</v>
      </c>
      <c r="N2" s="3">
        <v>2</v>
      </c>
      <c r="O2" s="3">
        <v>11</v>
      </c>
      <c r="P2" s="3">
        <v>0</v>
      </c>
      <c r="Q2" s="3">
        <v>0</v>
      </c>
      <c r="R2" s="3">
        <v>0</v>
      </c>
      <c r="S2" s="3">
        <v>3.8</v>
      </c>
      <c r="T2" s="3">
        <v>5.0335570469798698E-3</v>
      </c>
      <c r="U2" s="3">
        <v>1.4</v>
      </c>
      <c r="V2" s="3">
        <v>5.5</v>
      </c>
      <c r="W2" s="3"/>
      <c r="X2" s="3"/>
    </row>
    <row r="3" spans="1:24" x14ac:dyDescent="0.25">
      <c r="A3" s="4" t="s">
        <v>917</v>
      </c>
      <c r="B3" s="4" t="s">
        <v>916</v>
      </c>
      <c r="C3" s="4" t="s">
        <v>26</v>
      </c>
      <c r="D3" s="4">
        <v>2</v>
      </c>
      <c r="E3" s="4">
        <v>2</v>
      </c>
      <c r="F3" s="4">
        <v>0</v>
      </c>
      <c r="G3" s="4">
        <v>0</v>
      </c>
      <c r="H3" s="4">
        <v>0</v>
      </c>
      <c r="I3" s="4">
        <v>0</v>
      </c>
      <c r="J3" s="4">
        <v>5</v>
      </c>
      <c r="K3" s="4">
        <v>-5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-0.5</v>
      </c>
      <c r="T3" s="4">
        <v>0</v>
      </c>
      <c r="U3" s="4">
        <v>-1</v>
      </c>
      <c r="V3" s="4"/>
      <c r="W3" s="4">
        <v>0</v>
      </c>
      <c r="X3" s="4">
        <v>0</v>
      </c>
    </row>
    <row r="4" spans="1:24" x14ac:dyDescent="0.25">
      <c r="A4" s="3" t="s">
        <v>918</v>
      </c>
      <c r="B4" s="3" t="s">
        <v>916</v>
      </c>
      <c r="C4" s="3" t="s">
        <v>26</v>
      </c>
      <c r="D4" s="3">
        <v>17</v>
      </c>
      <c r="E4" s="3">
        <v>648</v>
      </c>
      <c r="F4" s="3">
        <v>435</v>
      </c>
      <c r="G4" s="3">
        <v>5250</v>
      </c>
      <c r="H4" s="3">
        <v>41</v>
      </c>
      <c r="I4" s="3">
        <v>12</v>
      </c>
      <c r="J4" s="3">
        <v>61</v>
      </c>
      <c r="K4" s="3">
        <v>358</v>
      </c>
      <c r="L4" s="3">
        <v>4</v>
      </c>
      <c r="M4" s="3">
        <v>1</v>
      </c>
      <c r="N4" s="3">
        <v>1</v>
      </c>
      <c r="O4" s="3">
        <v>6</v>
      </c>
      <c r="P4" s="3">
        <v>0</v>
      </c>
      <c r="Q4" s="3">
        <v>0</v>
      </c>
      <c r="R4" s="3">
        <v>3</v>
      </c>
      <c r="S4" s="3">
        <v>417.4</v>
      </c>
      <c r="T4" s="3">
        <v>1.6778523489932901E-3</v>
      </c>
      <c r="U4" s="3">
        <v>5.8688524590163897</v>
      </c>
      <c r="V4" s="3">
        <v>6</v>
      </c>
      <c r="W4" s="3">
        <v>0.67129629629629595</v>
      </c>
      <c r="X4" s="3">
        <v>6.3271604938271594E-2</v>
      </c>
    </row>
    <row r="5" spans="1:24" x14ac:dyDescent="0.25">
      <c r="A5" s="4" t="s">
        <v>919</v>
      </c>
      <c r="B5" s="4" t="s">
        <v>916</v>
      </c>
      <c r="C5" s="4" t="s">
        <v>31</v>
      </c>
      <c r="D5" s="4">
        <v>10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71</v>
      </c>
      <c r="K5" s="4">
        <v>302</v>
      </c>
      <c r="L5" s="4">
        <v>3</v>
      </c>
      <c r="M5" s="4">
        <v>23</v>
      </c>
      <c r="N5" s="4">
        <v>17</v>
      </c>
      <c r="O5" s="4">
        <v>151</v>
      </c>
      <c r="P5" s="4">
        <v>3</v>
      </c>
      <c r="Q5" s="4">
        <v>0</v>
      </c>
      <c r="R5" s="4">
        <v>0</v>
      </c>
      <c r="S5" s="4">
        <v>98.3</v>
      </c>
      <c r="T5" s="4">
        <v>3.8590604026845603E-2</v>
      </c>
      <c r="U5" s="4">
        <v>4.2535211267605604</v>
      </c>
      <c r="V5" s="4">
        <v>8.8823529411764692</v>
      </c>
      <c r="W5" s="4"/>
      <c r="X5" s="4"/>
    </row>
    <row r="6" spans="1:24" x14ac:dyDescent="0.25">
      <c r="A6" s="3" t="s">
        <v>920</v>
      </c>
      <c r="B6" s="3" t="s">
        <v>916</v>
      </c>
      <c r="C6" s="3" t="s">
        <v>31</v>
      </c>
      <c r="D6" s="3">
        <v>17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170</v>
      </c>
      <c r="K6" s="3">
        <v>830</v>
      </c>
      <c r="L6" s="3">
        <v>5</v>
      </c>
      <c r="M6" s="3">
        <v>14</v>
      </c>
      <c r="N6" s="3">
        <v>13</v>
      </c>
      <c r="O6" s="3">
        <v>130</v>
      </c>
      <c r="P6" s="3">
        <v>0</v>
      </c>
      <c r="Q6" s="3">
        <v>2</v>
      </c>
      <c r="R6" s="3">
        <v>0</v>
      </c>
      <c r="S6" s="3">
        <v>135</v>
      </c>
      <c r="T6" s="3">
        <v>2.3489932885905999E-2</v>
      </c>
      <c r="U6" s="3">
        <v>4.8823529411764701</v>
      </c>
      <c r="V6" s="3">
        <v>10</v>
      </c>
      <c r="W6" s="3"/>
      <c r="X6" s="3"/>
    </row>
    <row r="7" spans="1:24" x14ac:dyDescent="0.25">
      <c r="A7" s="4" t="s">
        <v>921</v>
      </c>
      <c r="B7" s="4" t="s">
        <v>916</v>
      </c>
      <c r="C7" s="4" t="s">
        <v>31</v>
      </c>
      <c r="D7" s="4">
        <v>17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72</v>
      </c>
      <c r="K7" s="4">
        <v>291</v>
      </c>
      <c r="L7" s="4">
        <v>1</v>
      </c>
      <c r="M7" s="4">
        <v>71</v>
      </c>
      <c r="N7" s="4">
        <v>56</v>
      </c>
      <c r="O7" s="4">
        <v>512</v>
      </c>
      <c r="P7" s="4">
        <v>9</v>
      </c>
      <c r="Q7" s="4">
        <v>0</v>
      </c>
      <c r="R7" s="4">
        <v>0</v>
      </c>
      <c r="S7" s="4">
        <v>196.3</v>
      </c>
      <c r="T7" s="4">
        <v>0.119127516778523</v>
      </c>
      <c r="U7" s="4">
        <v>4.0416666666666696</v>
      </c>
      <c r="V7" s="4">
        <v>9.1428571428571406</v>
      </c>
      <c r="W7" s="4"/>
      <c r="X7" s="4"/>
    </row>
    <row r="8" spans="1:24" x14ac:dyDescent="0.25">
      <c r="A8" s="3" t="s">
        <v>922</v>
      </c>
      <c r="B8" s="3" t="s">
        <v>916</v>
      </c>
      <c r="C8" s="3" t="s">
        <v>31</v>
      </c>
      <c r="D8" s="3">
        <v>5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17</v>
      </c>
      <c r="K8" s="3">
        <v>70</v>
      </c>
      <c r="L8" s="3">
        <v>1</v>
      </c>
      <c r="M8" s="3">
        <v>1</v>
      </c>
      <c r="N8" s="3">
        <v>1</v>
      </c>
      <c r="O8" s="3">
        <v>22</v>
      </c>
      <c r="P8" s="3">
        <v>0</v>
      </c>
      <c r="Q8" s="3">
        <v>0</v>
      </c>
      <c r="R8" s="3">
        <v>0</v>
      </c>
      <c r="S8" s="3">
        <v>16.2</v>
      </c>
      <c r="T8" s="3">
        <v>1.6778523489932901E-3</v>
      </c>
      <c r="U8" s="3">
        <v>4.1176470588235299</v>
      </c>
      <c r="V8" s="3">
        <v>22</v>
      </c>
      <c r="W8" s="3"/>
      <c r="X8" s="3"/>
    </row>
    <row r="9" spans="1:24" x14ac:dyDescent="0.25">
      <c r="A9" s="4" t="s">
        <v>923</v>
      </c>
      <c r="B9" s="4" t="s">
        <v>916</v>
      </c>
      <c r="C9" s="4" t="s">
        <v>38</v>
      </c>
      <c r="D9" s="4">
        <v>2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2</v>
      </c>
      <c r="N9" s="4">
        <v>2</v>
      </c>
      <c r="O9" s="4">
        <v>20</v>
      </c>
      <c r="P9" s="4">
        <v>1</v>
      </c>
      <c r="Q9" s="4">
        <v>0</v>
      </c>
      <c r="R9" s="4">
        <v>0</v>
      </c>
      <c r="S9" s="4">
        <v>10</v>
      </c>
      <c r="T9" s="4">
        <v>3.3557046979865801E-3</v>
      </c>
      <c r="U9" s="4"/>
      <c r="V9" s="4">
        <v>10</v>
      </c>
      <c r="W9" s="4"/>
      <c r="X9" s="4"/>
    </row>
    <row r="10" spans="1:24" x14ac:dyDescent="0.25">
      <c r="A10" s="3" t="s">
        <v>924</v>
      </c>
      <c r="B10" s="3" t="s">
        <v>916</v>
      </c>
      <c r="C10" s="3" t="s">
        <v>38</v>
      </c>
      <c r="D10" s="3">
        <v>9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13</v>
      </c>
      <c r="N10" s="3">
        <v>9</v>
      </c>
      <c r="O10" s="3">
        <v>108</v>
      </c>
      <c r="P10" s="3">
        <v>2</v>
      </c>
      <c r="Q10" s="3">
        <v>0</v>
      </c>
      <c r="R10" s="3">
        <v>0</v>
      </c>
      <c r="S10" s="3">
        <v>31.8</v>
      </c>
      <c r="T10" s="3">
        <v>2.18120805369128E-2</v>
      </c>
      <c r="U10" s="3"/>
      <c r="V10" s="3">
        <v>12</v>
      </c>
      <c r="W10" s="3"/>
      <c r="X10" s="3"/>
    </row>
    <row r="11" spans="1:24" x14ac:dyDescent="0.25">
      <c r="A11" s="4" t="s">
        <v>925</v>
      </c>
      <c r="B11" s="4" t="s">
        <v>916</v>
      </c>
      <c r="C11" s="4" t="s">
        <v>38</v>
      </c>
      <c r="D11" s="4">
        <v>17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1</v>
      </c>
      <c r="K11" s="4">
        <v>1</v>
      </c>
      <c r="L11" s="4">
        <v>1</v>
      </c>
      <c r="M11" s="4">
        <v>34</v>
      </c>
      <c r="N11" s="4">
        <v>28</v>
      </c>
      <c r="O11" s="4">
        <v>299</v>
      </c>
      <c r="P11" s="4">
        <v>1</v>
      </c>
      <c r="Q11" s="4">
        <v>0</v>
      </c>
      <c r="R11" s="4">
        <v>0</v>
      </c>
      <c r="S11" s="4">
        <v>70</v>
      </c>
      <c r="T11" s="4">
        <v>5.7046979865771799E-2</v>
      </c>
      <c r="U11" s="4">
        <v>1</v>
      </c>
      <c r="V11" s="4">
        <v>10.6785714285714</v>
      </c>
      <c r="W11" s="4"/>
      <c r="X11" s="4"/>
    </row>
    <row r="12" spans="1:24" x14ac:dyDescent="0.25">
      <c r="A12" s="3" t="s">
        <v>926</v>
      </c>
      <c r="B12" s="3" t="s">
        <v>916</v>
      </c>
      <c r="C12" s="3" t="s">
        <v>38</v>
      </c>
      <c r="D12" s="3">
        <v>17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2</v>
      </c>
      <c r="K12" s="3">
        <v>5</v>
      </c>
      <c r="L12" s="3">
        <v>0</v>
      </c>
      <c r="M12" s="3">
        <v>152</v>
      </c>
      <c r="N12" s="3">
        <v>110</v>
      </c>
      <c r="O12" s="3">
        <v>1338</v>
      </c>
      <c r="P12" s="3">
        <v>12</v>
      </c>
      <c r="Q12" s="3">
        <v>0</v>
      </c>
      <c r="R12" s="3">
        <v>0</v>
      </c>
      <c r="S12" s="3">
        <v>316.3</v>
      </c>
      <c r="T12" s="3">
        <v>0.25503355704698</v>
      </c>
      <c r="U12" s="3">
        <v>2.5</v>
      </c>
      <c r="V12" s="3">
        <v>12.1636363636364</v>
      </c>
      <c r="W12" s="3"/>
      <c r="X12" s="3"/>
    </row>
    <row r="13" spans="1:24" x14ac:dyDescent="0.25">
      <c r="A13" s="4" t="s">
        <v>927</v>
      </c>
      <c r="B13" s="4" t="s">
        <v>916</v>
      </c>
      <c r="C13" s="4" t="s">
        <v>43</v>
      </c>
      <c r="D13" s="4">
        <v>16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101</v>
      </c>
      <c r="N13" s="4">
        <v>78</v>
      </c>
      <c r="O13" s="4">
        <v>933</v>
      </c>
      <c r="P13" s="4">
        <v>3</v>
      </c>
      <c r="Q13" s="4">
        <v>0</v>
      </c>
      <c r="R13" s="4">
        <v>0</v>
      </c>
      <c r="S13" s="4">
        <v>185.3</v>
      </c>
      <c r="T13" s="4">
        <v>0.16946308724832199</v>
      </c>
      <c r="U13" s="4"/>
      <c r="V13" s="4">
        <v>11.961538461538501</v>
      </c>
      <c r="W13" s="4"/>
      <c r="X13" s="4"/>
    </row>
    <row r="14" spans="1:24" x14ac:dyDescent="0.25">
      <c r="A14" s="3" t="s">
        <v>928</v>
      </c>
      <c r="B14" s="3" t="s">
        <v>916</v>
      </c>
      <c r="C14" s="3" t="s">
        <v>43</v>
      </c>
      <c r="D14" s="3">
        <v>17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34</v>
      </c>
      <c r="N14" s="3">
        <v>15</v>
      </c>
      <c r="O14" s="3">
        <v>315</v>
      </c>
      <c r="P14" s="3">
        <v>2</v>
      </c>
      <c r="Q14" s="3">
        <v>0</v>
      </c>
      <c r="R14" s="3">
        <v>0</v>
      </c>
      <c r="S14" s="3">
        <v>58.5</v>
      </c>
      <c r="T14" s="3">
        <v>5.7046979865771799E-2</v>
      </c>
      <c r="U14" s="3"/>
      <c r="V14" s="3">
        <v>21</v>
      </c>
      <c r="W14" s="3"/>
      <c r="X14" s="3"/>
    </row>
    <row r="15" spans="1:24" x14ac:dyDescent="0.25">
      <c r="A15" s="4" t="s">
        <v>929</v>
      </c>
      <c r="B15" s="4" t="s">
        <v>916</v>
      </c>
      <c r="C15" s="4" t="s">
        <v>43</v>
      </c>
      <c r="D15" s="4">
        <v>7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5</v>
      </c>
      <c r="K15" s="4">
        <v>59</v>
      </c>
      <c r="L15" s="4">
        <v>1</v>
      </c>
      <c r="M15" s="4">
        <v>17</v>
      </c>
      <c r="N15" s="4">
        <v>14</v>
      </c>
      <c r="O15" s="4">
        <v>171</v>
      </c>
      <c r="P15" s="4">
        <v>2</v>
      </c>
      <c r="Q15" s="4">
        <v>0</v>
      </c>
      <c r="R15" s="4">
        <v>0</v>
      </c>
      <c r="S15" s="4">
        <v>55</v>
      </c>
      <c r="T15" s="4">
        <v>2.85234899328859E-2</v>
      </c>
      <c r="U15" s="4">
        <v>11.8</v>
      </c>
      <c r="V15" s="4">
        <v>12.214285714285699</v>
      </c>
      <c r="W15" s="4"/>
      <c r="X15" s="4"/>
    </row>
    <row r="16" spans="1:24" x14ac:dyDescent="0.25">
      <c r="A16" s="3" t="s">
        <v>930</v>
      </c>
      <c r="B16" s="3" t="s">
        <v>916</v>
      </c>
      <c r="C16" s="3" t="s">
        <v>43</v>
      </c>
      <c r="D16" s="3">
        <v>8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4</v>
      </c>
      <c r="K16" s="3">
        <v>31</v>
      </c>
      <c r="L16" s="3">
        <v>2</v>
      </c>
      <c r="M16" s="3">
        <v>34</v>
      </c>
      <c r="N16" s="3">
        <v>25</v>
      </c>
      <c r="O16" s="3">
        <v>297</v>
      </c>
      <c r="P16" s="3">
        <v>4</v>
      </c>
      <c r="Q16" s="3">
        <v>0</v>
      </c>
      <c r="R16" s="3">
        <v>0</v>
      </c>
      <c r="S16" s="3">
        <v>93.8</v>
      </c>
      <c r="T16" s="3">
        <v>5.7046979865771799E-2</v>
      </c>
      <c r="U16" s="3">
        <v>7.75</v>
      </c>
      <c r="V16" s="3">
        <v>11.88</v>
      </c>
      <c r="W16" s="3"/>
      <c r="X16" s="3"/>
    </row>
    <row r="17" spans="1:24" x14ac:dyDescent="0.25">
      <c r="A17" s="4" t="s">
        <v>931</v>
      </c>
      <c r="B17" s="4" t="s">
        <v>916</v>
      </c>
      <c r="C17" s="4" t="s">
        <v>43</v>
      </c>
      <c r="D17" s="4">
        <v>17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1</v>
      </c>
      <c r="K17" s="4">
        <v>-3</v>
      </c>
      <c r="L17" s="4">
        <v>0</v>
      </c>
      <c r="M17" s="4">
        <v>81</v>
      </c>
      <c r="N17" s="4">
        <v>42</v>
      </c>
      <c r="O17" s="4">
        <v>687</v>
      </c>
      <c r="P17" s="4">
        <v>2</v>
      </c>
      <c r="Q17" s="4">
        <v>0</v>
      </c>
      <c r="R17" s="4">
        <v>0</v>
      </c>
      <c r="S17" s="4">
        <v>122.4</v>
      </c>
      <c r="T17" s="4">
        <v>0.13590604026845601</v>
      </c>
      <c r="U17" s="4">
        <v>-3</v>
      </c>
      <c r="V17" s="4">
        <v>16.3571428571429</v>
      </c>
      <c r="W17" s="4"/>
      <c r="X17" s="4"/>
    </row>
    <row r="18" spans="1:24" x14ac:dyDescent="0.25">
      <c r="A18" s="3" t="s">
        <v>932</v>
      </c>
      <c r="B18" s="3" t="s">
        <v>916</v>
      </c>
      <c r="C18" s="3" t="s">
        <v>43</v>
      </c>
      <c r="D18" s="3">
        <v>14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3</v>
      </c>
      <c r="K18" s="3">
        <v>24</v>
      </c>
      <c r="L18" s="3">
        <v>0</v>
      </c>
      <c r="M18" s="3">
        <v>33</v>
      </c>
      <c r="N18" s="3">
        <v>22</v>
      </c>
      <c r="O18" s="3">
        <v>250</v>
      </c>
      <c r="P18" s="3">
        <v>0</v>
      </c>
      <c r="Q18" s="3">
        <v>0</v>
      </c>
      <c r="R18" s="3">
        <v>0</v>
      </c>
      <c r="S18" s="3">
        <v>49.4</v>
      </c>
      <c r="T18" s="3">
        <v>5.5369127516778499E-2</v>
      </c>
      <c r="U18" s="3">
        <v>8</v>
      </c>
      <c r="V18" s="3">
        <v>11.363636363636401</v>
      </c>
      <c r="W18" s="3"/>
      <c r="X18" s="3"/>
    </row>
    <row r="30" spans="1:24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</row>
    <row r="31" spans="1:24" x14ac:dyDescent="0.25">
      <c r="A31" s="3" t="s">
        <v>916</v>
      </c>
      <c r="B31" s="3">
        <v>7220</v>
      </c>
      <c r="C31" s="3">
        <v>5250</v>
      </c>
      <c r="D31" s="3">
        <v>417</v>
      </c>
      <c r="E31" s="3">
        <v>1970</v>
      </c>
      <c r="F31" s="3">
        <v>18</v>
      </c>
      <c r="G31" s="3">
        <v>1859</v>
      </c>
      <c r="H31" s="3">
        <v>650</v>
      </c>
      <c r="I31" s="3">
        <v>0.66923076923076896</v>
      </c>
      <c r="J31" s="3">
        <v>41</v>
      </c>
      <c r="K31" s="3">
        <v>12</v>
      </c>
      <c r="L31" s="3">
        <v>2</v>
      </c>
    </row>
    <row r="32" spans="1:24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</row>
    <row r="33" spans="1:28" x14ac:dyDescent="0.25">
      <c r="A33" s="3" t="str">
        <f>A31</f>
        <v>KC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933</v>
      </c>
      <c r="B36" s="3" t="s">
        <v>26</v>
      </c>
      <c r="C36" s="3">
        <v>25</v>
      </c>
      <c r="D36" s="3">
        <v>3</v>
      </c>
      <c r="E36" s="3" t="s">
        <v>237</v>
      </c>
      <c r="F36" s="3" t="s">
        <v>916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">
        <v>0</v>
      </c>
      <c r="X36" s="3">
        <v>0</v>
      </c>
      <c r="Y36" s="3">
        <v>0</v>
      </c>
      <c r="Z36" s="3">
        <v>0</v>
      </c>
      <c r="AA36" s="3">
        <v>0</v>
      </c>
      <c r="AB36" s="3">
        <v>0</v>
      </c>
    </row>
    <row r="37" spans="1:28" x14ac:dyDescent="0.25">
      <c r="A37" s="4" t="s">
        <v>934</v>
      </c>
      <c r="B37" s="4" t="s">
        <v>26</v>
      </c>
      <c r="C37" s="4">
        <v>33</v>
      </c>
      <c r="D37" s="4">
        <v>13</v>
      </c>
      <c r="E37" s="4" t="s">
        <v>613</v>
      </c>
      <c r="F37" s="4" t="s">
        <v>916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</row>
    <row r="38" spans="1:28" x14ac:dyDescent="0.25">
      <c r="A38" s="3" t="s">
        <v>935</v>
      </c>
      <c r="B38" s="3" t="s">
        <v>26</v>
      </c>
      <c r="C38" s="3">
        <v>27</v>
      </c>
      <c r="D38" s="3">
        <v>7</v>
      </c>
      <c r="E38" s="3" t="s">
        <v>511</v>
      </c>
      <c r="F38" s="3" t="s">
        <v>916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v>0</v>
      </c>
      <c r="W38" s="3">
        <v>0</v>
      </c>
      <c r="X38" s="3">
        <v>0</v>
      </c>
      <c r="Y38" s="3">
        <v>0</v>
      </c>
      <c r="Z38" s="3">
        <v>0</v>
      </c>
      <c r="AA38" s="3">
        <v>0</v>
      </c>
      <c r="AB38" s="3">
        <v>0</v>
      </c>
    </row>
    <row r="39" spans="1:28" x14ac:dyDescent="0.25">
      <c r="A39" s="4" t="s">
        <v>936</v>
      </c>
      <c r="B39" s="4" t="s">
        <v>26</v>
      </c>
      <c r="C39" s="4">
        <v>25</v>
      </c>
      <c r="D39" s="4">
        <v>1</v>
      </c>
      <c r="E39" s="4" t="s">
        <v>753</v>
      </c>
      <c r="F39" s="4" t="s">
        <v>916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  <c r="AB39" s="4"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937</v>
      </c>
      <c r="B46" s="3" t="s">
        <v>31</v>
      </c>
      <c r="C46" s="3">
        <v>24</v>
      </c>
      <c r="D46" s="3">
        <v>4</v>
      </c>
      <c r="E46" s="3" t="s">
        <v>227</v>
      </c>
      <c r="F46" s="3" t="s">
        <v>916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v>0</v>
      </c>
      <c r="W46" s="3">
        <v>0</v>
      </c>
      <c r="X46" s="3">
        <v>0</v>
      </c>
      <c r="Y46" s="3">
        <v>0</v>
      </c>
      <c r="Z46" s="3">
        <v>0</v>
      </c>
      <c r="AA46" s="3">
        <v>0</v>
      </c>
      <c r="AB46" s="3">
        <f>($J46*Cp_yd)+($K46*Cp_td)+($L46*Cint)+($M46*Ccar)+($N46*Cr_td)+($O46*Cr_yd)+(Q46*Crec)+($R46*Crec_yd)+($S46*Crec_td)+($T46*Cfmb)+($U46*Ctp_c)</f>
        <v>0</v>
      </c>
    </row>
    <row r="47" spans="1:28" x14ac:dyDescent="0.25">
      <c r="A47" s="4" t="s">
        <v>938</v>
      </c>
      <c r="B47" s="4" t="s">
        <v>31</v>
      </c>
      <c r="C47" s="4">
        <v>31</v>
      </c>
      <c r="D47" s="4">
        <v>10</v>
      </c>
      <c r="E47" s="4" t="s">
        <v>939</v>
      </c>
      <c r="F47" s="4" t="s">
        <v>916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f>($J47*Cp_yd)+($K47*Cp_td)+($L47*Cint)+($M47*Ccar)+($N47*Cr_td)+($O47*Cr_yd)+(Q47*Crec)+($R47*Crec_yd)+($S47*Crec_td)+($T47*Cfmb)+($U47*Ctp_c)</f>
        <v>0</v>
      </c>
    </row>
    <row r="48" spans="1:28" x14ac:dyDescent="0.25">
      <c r="A48" s="3" t="s">
        <v>940</v>
      </c>
      <c r="B48" s="3" t="s">
        <v>31</v>
      </c>
      <c r="C48" s="3">
        <v>24</v>
      </c>
      <c r="D48" s="3">
        <v>2</v>
      </c>
      <c r="E48" s="3" t="s">
        <v>215</v>
      </c>
      <c r="F48" s="3" t="s">
        <v>916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v>0</v>
      </c>
      <c r="W48" s="3">
        <v>0</v>
      </c>
      <c r="X48" s="3">
        <v>0</v>
      </c>
      <c r="Y48" s="3">
        <v>0</v>
      </c>
      <c r="Z48" s="3">
        <v>0</v>
      </c>
      <c r="AA48" s="3">
        <v>0</v>
      </c>
      <c r="AB48" s="3">
        <f>($J48*Cp_yd)+($K48*Cp_td)+($L48*Cint)+($M48*Ccar)+($N48*Cr_td)+($O48*Cr_yd)+(Q48*Crec)+($R48*Crec_yd)+($S48*Crec_td)+($T48*Cfmb)+($U48*Ctp_c)</f>
        <v>0</v>
      </c>
    </row>
    <row r="49" spans="1:28" x14ac:dyDescent="0.25">
      <c r="A49" s="4" t="s">
        <v>941</v>
      </c>
      <c r="B49" s="4" t="s">
        <v>31</v>
      </c>
      <c r="C49" s="4">
        <v>25</v>
      </c>
      <c r="D49" s="4">
        <v>3</v>
      </c>
      <c r="E49" s="4" t="s">
        <v>178</v>
      </c>
      <c r="F49" s="4" t="s">
        <v>916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B49" s="4">
        <f>($J49*Cp_yd)+($K49*Cp_td)+($L49*Cint)+($M49*Ccar)+($N49*Cr_td)+($O49*Cr_yd)+(Q49*Crec)+($R49*Crec_yd)+($S49*Crec_td)+($T49*Cfmb)+($U49*Ctp_c)</f>
        <v>0</v>
      </c>
    </row>
    <row r="50" spans="1:28" x14ac:dyDescent="0.25">
      <c r="A50" s="3" t="s">
        <v>942</v>
      </c>
      <c r="B50" s="3" t="s">
        <v>31</v>
      </c>
      <c r="C50" s="3">
        <v>23</v>
      </c>
      <c r="D50" s="3">
        <v>0</v>
      </c>
      <c r="E50" s="3" t="s">
        <v>943</v>
      </c>
      <c r="F50" s="3" t="s">
        <v>916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v>0</v>
      </c>
      <c r="W50" s="3">
        <v>0</v>
      </c>
      <c r="X50" s="3">
        <v>0</v>
      </c>
      <c r="Y50" s="3">
        <v>0</v>
      </c>
      <c r="Z50" s="3">
        <v>0</v>
      </c>
      <c r="AA50" s="3">
        <v>0</v>
      </c>
      <c r="AB50" s="3">
        <f>($J50*Cp_yd)+($K50*Cp_td)+($L50*Cint)+($M50*Ccar)+($N50*Cr_td)+($O50*Cr_yd)+(Q50*Crec)+($R50*Crec_yd)+($S50*Crec_td)+($T50*Cfmb)+($U50*Ctp_c)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944</v>
      </c>
      <c r="B61" s="3" t="s">
        <v>43</v>
      </c>
      <c r="C61" s="3">
        <v>25</v>
      </c>
      <c r="D61" s="3">
        <v>0</v>
      </c>
      <c r="E61" s="3" t="s">
        <v>666</v>
      </c>
      <c r="F61" s="3" t="s">
        <v>916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v>0</v>
      </c>
      <c r="W61" s="3">
        <v>0</v>
      </c>
      <c r="X61" s="3">
        <v>0</v>
      </c>
      <c r="Y61" s="3">
        <v>0</v>
      </c>
      <c r="Z61" s="3">
        <v>0</v>
      </c>
      <c r="AA61" s="3">
        <v>0</v>
      </c>
      <c r="AB61" s="3">
        <v>0</v>
      </c>
    </row>
    <row r="62" spans="1:28" x14ac:dyDescent="0.25">
      <c r="A62" s="4" t="s">
        <v>945</v>
      </c>
      <c r="B62" s="4" t="s">
        <v>43</v>
      </c>
      <c r="C62" s="4">
        <v>22</v>
      </c>
      <c r="D62" s="4">
        <v>1</v>
      </c>
      <c r="E62" s="4" t="s">
        <v>240</v>
      </c>
      <c r="F62" s="4" t="s">
        <v>916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0</v>
      </c>
      <c r="X62" s="4">
        <v>0</v>
      </c>
      <c r="Y62" s="4">
        <v>0</v>
      </c>
      <c r="Z62" s="4">
        <v>0</v>
      </c>
      <c r="AA62" s="4">
        <v>0</v>
      </c>
      <c r="AB62" s="4">
        <v>0</v>
      </c>
    </row>
    <row r="63" spans="1:28" x14ac:dyDescent="0.25">
      <c r="A63" s="3" t="s">
        <v>946</v>
      </c>
      <c r="B63" s="3" t="s">
        <v>43</v>
      </c>
      <c r="C63" s="3">
        <v>24</v>
      </c>
      <c r="D63" s="3">
        <v>1</v>
      </c>
      <c r="E63" s="3" t="s">
        <v>360</v>
      </c>
      <c r="F63" s="3" t="s">
        <v>916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v>0</v>
      </c>
      <c r="W63" s="3">
        <v>0</v>
      </c>
      <c r="X63" s="3">
        <v>0</v>
      </c>
      <c r="Y63" s="3">
        <v>0</v>
      </c>
      <c r="Z63" s="3">
        <v>0</v>
      </c>
      <c r="AA63" s="3">
        <v>0</v>
      </c>
      <c r="AB63" s="3">
        <v>0</v>
      </c>
    </row>
    <row r="64" spans="1:28" x14ac:dyDescent="0.25">
      <c r="A64" s="4" t="s">
        <v>947</v>
      </c>
      <c r="B64" s="4" t="s">
        <v>43</v>
      </c>
      <c r="C64" s="4">
        <v>27</v>
      </c>
      <c r="D64" s="4">
        <v>6</v>
      </c>
      <c r="E64" s="4" t="s">
        <v>298</v>
      </c>
      <c r="F64" s="4" t="s">
        <v>916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</row>
    <row r="65" spans="1:28" x14ac:dyDescent="0.25">
      <c r="A65" s="3" t="s">
        <v>948</v>
      </c>
      <c r="B65" s="3" t="s">
        <v>43</v>
      </c>
      <c r="C65" s="3">
        <v>22</v>
      </c>
      <c r="D65" s="3">
        <v>2</v>
      </c>
      <c r="E65" s="3" t="s">
        <v>357</v>
      </c>
      <c r="F65" s="3" t="s">
        <v>916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v>0</v>
      </c>
      <c r="W65" s="3">
        <v>0</v>
      </c>
      <c r="X65" s="3">
        <v>0</v>
      </c>
      <c r="Y65" s="3">
        <v>0</v>
      </c>
      <c r="Z65" s="3">
        <v>0</v>
      </c>
      <c r="AA65" s="3">
        <v>0</v>
      </c>
      <c r="AB65" s="3">
        <v>0</v>
      </c>
    </row>
    <row r="66" spans="1:28" x14ac:dyDescent="0.25">
      <c r="A66" s="4" t="s">
        <v>949</v>
      </c>
      <c r="B66" s="4" t="s">
        <v>43</v>
      </c>
      <c r="C66" s="4">
        <v>25</v>
      </c>
      <c r="D66" s="4">
        <v>1</v>
      </c>
      <c r="E66" s="4" t="s">
        <v>458</v>
      </c>
      <c r="F66" s="4" t="s">
        <v>916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</row>
    <row r="67" spans="1:28" x14ac:dyDescent="0.25">
      <c r="A67" s="3" t="s">
        <v>950</v>
      </c>
      <c r="B67" s="3" t="s">
        <v>43</v>
      </c>
      <c r="C67" s="3">
        <v>23</v>
      </c>
      <c r="D67" s="3">
        <v>0</v>
      </c>
      <c r="E67" s="3" t="s">
        <v>280</v>
      </c>
      <c r="F67" s="3" t="s">
        <v>916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v>0</v>
      </c>
      <c r="W67" s="3">
        <v>0</v>
      </c>
      <c r="X67" s="3">
        <v>0</v>
      </c>
      <c r="Y67" s="3">
        <v>0</v>
      </c>
      <c r="Z67" s="3">
        <v>0</v>
      </c>
      <c r="AA67" s="3">
        <v>0</v>
      </c>
      <c r="AB67" s="3">
        <v>0</v>
      </c>
    </row>
    <row r="68" spans="1:28" x14ac:dyDescent="0.25">
      <c r="A68" s="4" t="s">
        <v>951</v>
      </c>
      <c r="B68" s="4" t="s">
        <v>43</v>
      </c>
      <c r="C68" s="4">
        <v>23</v>
      </c>
      <c r="D68" s="4">
        <v>0</v>
      </c>
      <c r="E68" s="4" t="s">
        <v>237</v>
      </c>
      <c r="F68" s="4" t="s">
        <v>916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0</v>
      </c>
      <c r="X68" s="4">
        <v>0</v>
      </c>
      <c r="Y68" s="4">
        <v>0</v>
      </c>
      <c r="Z68" s="4">
        <v>0</v>
      </c>
      <c r="AA68" s="4">
        <v>0</v>
      </c>
      <c r="AB68" s="4">
        <v>0</v>
      </c>
    </row>
    <row r="69" spans="1:28" x14ac:dyDescent="0.25">
      <c r="A69" s="3" t="s">
        <v>952</v>
      </c>
      <c r="B69" s="3" t="s">
        <v>43</v>
      </c>
      <c r="C69" s="3">
        <v>23</v>
      </c>
      <c r="D69" s="3">
        <v>2</v>
      </c>
      <c r="E69" s="3" t="s">
        <v>458</v>
      </c>
      <c r="F69" s="3" t="s">
        <v>916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v>0</v>
      </c>
      <c r="W69" s="3">
        <v>0</v>
      </c>
      <c r="X69" s="3">
        <v>0</v>
      </c>
      <c r="Y69" s="3">
        <v>0</v>
      </c>
      <c r="Z69" s="3">
        <v>0</v>
      </c>
      <c r="AA69" s="3">
        <v>0</v>
      </c>
      <c r="AB69" s="3">
        <v>0</v>
      </c>
    </row>
    <row r="70" spans="1:28" x14ac:dyDescent="0.25">
      <c r="A70" s="4" t="s">
        <v>953</v>
      </c>
      <c r="B70" s="4" t="s">
        <v>43</v>
      </c>
      <c r="C70" s="4">
        <v>24</v>
      </c>
      <c r="D70" s="4">
        <v>0</v>
      </c>
      <c r="E70" s="4" t="s">
        <v>954</v>
      </c>
      <c r="F70" s="4" t="s">
        <v>916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0</v>
      </c>
      <c r="X70" s="4">
        <v>0</v>
      </c>
      <c r="Y70" s="4">
        <v>0</v>
      </c>
      <c r="Z70" s="4">
        <v>0</v>
      </c>
      <c r="AA70" s="4">
        <v>0</v>
      </c>
      <c r="AB70" s="4">
        <v>0</v>
      </c>
    </row>
    <row r="71" spans="1:28" x14ac:dyDescent="0.25">
      <c r="A71" s="3" t="s">
        <v>955</v>
      </c>
      <c r="B71" s="3" t="s">
        <v>43</v>
      </c>
      <c r="C71" s="3">
        <v>23</v>
      </c>
      <c r="D71" s="3">
        <v>3</v>
      </c>
      <c r="E71" s="3" t="s">
        <v>100</v>
      </c>
      <c r="F71" s="3" t="s">
        <v>916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v>0</v>
      </c>
      <c r="W71" s="3">
        <v>0</v>
      </c>
      <c r="X71" s="3">
        <v>0</v>
      </c>
      <c r="Y71" s="3">
        <v>0</v>
      </c>
      <c r="Z71" s="3">
        <v>0</v>
      </c>
      <c r="AA71" s="3">
        <v>0</v>
      </c>
      <c r="AB71" s="3">
        <v>0</v>
      </c>
    </row>
    <row r="72" spans="1:28" x14ac:dyDescent="0.25">
      <c r="A72" s="4" t="s">
        <v>956</v>
      </c>
      <c r="B72" s="4" t="s">
        <v>43</v>
      </c>
      <c r="C72" s="4">
        <v>24</v>
      </c>
      <c r="D72" s="4">
        <v>3</v>
      </c>
      <c r="E72" s="4" t="s">
        <v>178</v>
      </c>
      <c r="F72" s="4" t="s">
        <v>916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v>0</v>
      </c>
      <c r="W72" s="4">
        <v>0</v>
      </c>
      <c r="X72" s="4">
        <v>0</v>
      </c>
      <c r="Y72" s="4">
        <v>0</v>
      </c>
      <c r="Z72" s="4">
        <v>0</v>
      </c>
      <c r="AA72" s="4">
        <v>0</v>
      </c>
      <c r="AB72" s="4">
        <v>0</v>
      </c>
    </row>
    <row r="73" spans="1:28" x14ac:dyDescent="0.25">
      <c r="A73" s="3" t="s">
        <v>957</v>
      </c>
      <c r="B73" s="3" t="s">
        <v>43</v>
      </c>
      <c r="C73" s="3">
        <v>28</v>
      </c>
      <c r="D73" s="3">
        <v>6</v>
      </c>
      <c r="E73" s="3" t="s">
        <v>80</v>
      </c>
      <c r="F73" s="3" t="s">
        <v>916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v>0</v>
      </c>
      <c r="W73" s="3">
        <v>0</v>
      </c>
      <c r="X73" s="3">
        <v>0</v>
      </c>
      <c r="Y73" s="3">
        <v>0</v>
      </c>
      <c r="Z73" s="3">
        <v>0</v>
      </c>
      <c r="AA73" s="3">
        <v>0</v>
      </c>
      <c r="AB73" s="3">
        <v>0</v>
      </c>
    </row>
    <row r="74" spans="1:28" x14ac:dyDescent="0.25">
      <c r="A74" s="4" t="s">
        <v>958</v>
      </c>
      <c r="B74" s="4" t="s">
        <v>43</v>
      </c>
      <c r="C74" s="4">
        <v>27</v>
      </c>
      <c r="D74" s="4">
        <v>6</v>
      </c>
      <c r="E74" s="4" t="s">
        <v>959</v>
      </c>
      <c r="F74" s="4" t="s">
        <v>916</v>
      </c>
      <c r="G74" s="4">
        <v>0</v>
      </c>
      <c r="H74" s="4">
        <v>0</v>
      </c>
      <c r="I74" s="4">
        <v>0</v>
      </c>
      <c r="J74" s="4">
        <v>0</v>
      </c>
      <c r="K74" s="4">
        <v>0</v>
      </c>
      <c r="L74" s="4">
        <v>0</v>
      </c>
      <c r="M74" s="4">
        <v>0</v>
      </c>
      <c r="N74" s="4">
        <v>0</v>
      </c>
      <c r="O74" s="4">
        <v>0</v>
      </c>
      <c r="P74" s="4">
        <v>0</v>
      </c>
      <c r="Q74" s="4">
        <v>0</v>
      </c>
      <c r="R74" s="4">
        <v>0</v>
      </c>
      <c r="S74" s="4">
        <v>0</v>
      </c>
      <c r="T74" s="4">
        <v>0</v>
      </c>
      <c r="U74" s="4">
        <v>0</v>
      </c>
      <c r="V74" s="4">
        <v>0</v>
      </c>
      <c r="W74" s="4">
        <v>0</v>
      </c>
      <c r="X74" s="4">
        <v>0</v>
      </c>
      <c r="Y74" s="4">
        <v>0</v>
      </c>
      <c r="Z74" s="4">
        <v>0</v>
      </c>
      <c r="AA74" s="4">
        <v>0</v>
      </c>
      <c r="AB74" s="4"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960</v>
      </c>
      <c r="B76" s="3" t="s">
        <v>38</v>
      </c>
      <c r="C76" s="3">
        <v>32</v>
      </c>
      <c r="D76" s="3">
        <v>9</v>
      </c>
      <c r="E76" s="3" t="s">
        <v>68</v>
      </c>
      <c r="F76" s="3" t="s">
        <v>916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v>0</v>
      </c>
      <c r="W76" s="3">
        <v>0</v>
      </c>
      <c r="X76" s="3">
        <v>0</v>
      </c>
      <c r="Y76" s="3">
        <v>0</v>
      </c>
      <c r="Z76" s="3">
        <v>0</v>
      </c>
      <c r="AA76" s="3">
        <v>0</v>
      </c>
      <c r="AB76" s="3">
        <v>0</v>
      </c>
    </row>
    <row r="77" spans="1:28" x14ac:dyDescent="0.25">
      <c r="A77" s="4" t="s">
        <v>961</v>
      </c>
      <c r="B77" s="4" t="s">
        <v>38</v>
      </c>
      <c r="C77" s="4">
        <v>27</v>
      </c>
      <c r="D77" s="4">
        <v>3</v>
      </c>
      <c r="E77" s="4" t="s">
        <v>613</v>
      </c>
      <c r="F77" s="4" t="s">
        <v>916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v>0</v>
      </c>
      <c r="W77" s="4">
        <v>0</v>
      </c>
      <c r="X77" s="4">
        <v>0</v>
      </c>
      <c r="Y77" s="4">
        <v>0</v>
      </c>
      <c r="Z77" s="4">
        <v>0</v>
      </c>
      <c r="AA77" s="4">
        <v>0</v>
      </c>
      <c r="AB77" s="4">
        <v>0</v>
      </c>
    </row>
    <row r="78" spans="1:28" x14ac:dyDescent="0.25">
      <c r="A78" s="3" t="s">
        <v>962</v>
      </c>
      <c r="B78" s="3" t="s">
        <v>38</v>
      </c>
      <c r="C78" s="3">
        <v>27</v>
      </c>
      <c r="D78" s="3">
        <v>1</v>
      </c>
      <c r="E78" s="3" t="s">
        <v>82</v>
      </c>
      <c r="F78" s="3" t="s">
        <v>916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v>0</v>
      </c>
      <c r="W78" s="3">
        <v>0</v>
      </c>
      <c r="X78" s="3">
        <v>0</v>
      </c>
      <c r="Y78" s="3">
        <v>0</v>
      </c>
      <c r="Z78" s="3">
        <v>0</v>
      </c>
      <c r="AA78" s="3">
        <v>0</v>
      </c>
      <c r="AB78" s="3">
        <v>0</v>
      </c>
    </row>
    <row r="79" spans="1:28" x14ac:dyDescent="0.25">
      <c r="A79" s="4" t="s">
        <v>963</v>
      </c>
      <c r="B79" s="4" t="s">
        <v>38</v>
      </c>
      <c r="C79" s="4">
        <v>27</v>
      </c>
      <c r="D79" s="4">
        <v>3</v>
      </c>
      <c r="E79" s="4" t="s">
        <v>964</v>
      </c>
      <c r="F79" s="4" t="s">
        <v>916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v>0</v>
      </c>
      <c r="W79" s="4">
        <v>0</v>
      </c>
      <c r="X79" s="4">
        <v>0</v>
      </c>
      <c r="Y79" s="4">
        <v>0</v>
      </c>
      <c r="Z79" s="4">
        <v>0</v>
      </c>
      <c r="AA79" s="4">
        <v>0</v>
      </c>
      <c r="AB79" s="4">
        <v>0</v>
      </c>
    </row>
    <row r="80" spans="1:28" x14ac:dyDescent="0.25">
      <c r="A80" s="3" t="s">
        <v>965</v>
      </c>
      <c r="B80" s="3" t="s">
        <v>38</v>
      </c>
      <c r="C80" s="3">
        <v>22</v>
      </c>
      <c r="D80" s="3">
        <v>0</v>
      </c>
      <c r="E80" s="3" t="s">
        <v>298</v>
      </c>
      <c r="F80" s="3" t="s">
        <v>916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v>0</v>
      </c>
      <c r="W80" s="3">
        <v>0</v>
      </c>
      <c r="X80" s="3">
        <v>0</v>
      </c>
      <c r="Y80" s="3">
        <v>0</v>
      </c>
      <c r="Z80" s="3">
        <v>0</v>
      </c>
      <c r="AA80" s="3">
        <v>0</v>
      </c>
      <c r="AB80" s="3">
        <v>0</v>
      </c>
    </row>
    <row r="81" spans="1:28" x14ac:dyDescent="0.25">
      <c r="A81" s="4" t="s">
        <v>966</v>
      </c>
      <c r="B81" s="4" t="s">
        <v>38</v>
      </c>
      <c r="C81" s="4">
        <v>24</v>
      </c>
      <c r="D81" s="4">
        <v>3</v>
      </c>
      <c r="E81" s="4" t="s">
        <v>697</v>
      </c>
      <c r="F81" s="4" t="s">
        <v>916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v>0</v>
      </c>
      <c r="W81" s="4">
        <v>0</v>
      </c>
      <c r="X81" s="4">
        <v>0</v>
      </c>
      <c r="Y81" s="4">
        <v>0</v>
      </c>
      <c r="Z81" s="4">
        <v>0</v>
      </c>
      <c r="AA81" s="4">
        <v>0</v>
      </c>
      <c r="AB81" s="4">
        <v>0</v>
      </c>
    </row>
    <row r="82" spans="1:28" x14ac:dyDescent="0.25">
      <c r="A82" s="3" t="s">
        <v>967</v>
      </c>
      <c r="B82" s="3" t="s">
        <v>38</v>
      </c>
      <c r="C82" s="3">
        <v>33</v>
      </c>
      <c r="D82" s="3">
        <v>11</v>
      </c>
      <c r="E82" s="3" t="s">
        <v>136</v>
      </c>
      <c r="F82" s="3" t="s">
        <v>916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v>0</v>
      </c>
      <c r="W82" s="3">
        <v>0</v>
      </c>
      <c r="X82" s="3">
        <v>0</v>
      </c>
      <c r="Y82" s="3">
        <v>0</v>
      </c>
      <c r="Z82" s="3">
        <v>0</v>
      </c>
      <c r="AA82" s="3">
        <v>0</v>
      </c>
      <c r="AB82" s="3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AB81"/>
  <sheetViews>
    <sheetView topLeftCell="G28" workbookViewId="0">
      <selection activeCell="AB46" sqref="AB46:AB51"/>
    </sheetView>
  </sheetViews>
  <sheetFormatPr defaultColWidth="11.42578125" defaultRowHeight="15" x14ac:dyDescent="0.25"/>
  <sheetData>
    <row r="1" spans="1:24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</row>
    <row r="2" spans="1:24" x14ac:dyDescent="0.25">
      <c r="A2" s="3" t="s">
        <v>968</v>
      </c>
      <c r="B2" s="3" t="s">
        <v>969</v>
      </c>
      <c r="C2" s="3" t="s">
        <v>26</v>
      </c>
      <c r="D2" s="3">
        <v>3</v>
      </c>
      <c r="E2" s="3">
        <v>12</v>
      </c>
      <c r="F2" s="3">
        <v>8</v>
      </c>
      <c r="G2" s="3">
        <v>52</v>
      </c>
      <c r="H2" s="3">
        <v>1</v>
      </c>
      <c r="I2" s="3">
        <v>0</v>
      </c>
      <c r="J2" s="3">
        <v>1</v>
      </c>
      <c r="K2" s="3">
        <v>4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1</v>
      </c>
      <c r="S2" s="3">
        <v>8.48</v>
      </c>
      <c r="T2" s="3">
        <v>0</v>
      </c>
      <c r="U2" s="3">
        <v>4</v>
      </c>
      <c r="V2" s="3"/>
      <c r="W2" s="3">
        <v>0.66666666666666696</v>
      </c>
      <c r="X2" s="3">
        <v>8.3333333333333301E-2</v>
      </c>
    </row>
    <row r="3" spans="1:24" x14ac:dyDescent="0.25">
      <c r="A3" s="4" t="s">
        <v>970</v>
      </c>
      <c r="B3" s="4" t="s">
        <v>969</v>
      </c>
      <c r="C3" s="4" t="s">
        <v>26</v>
      </c>
      <c r="D3" s="4">
        <v>17</v>
      </c>
      <c r="E3" s="4">
        <v>699</v>
      </c>
      <c r="F3" s="4">
        <v>477</v>
      </c>
      <c r="G3" s="4">
        <v>4739</v>
      </c>
      <c r="H3" s="4">
        <v>25</v>
      </c>
      <c r="I3" s="4">
        <v>10</v>
      </c>
      <c r="J3" s="4">
        <v>54</v>
      </c>
      <c r="K3" s="4">
        <v>147</v>
      </c>
      <c r="L3" s="4">
        <v>0</v>
      </c>
      <c r="M3" s="4">
        <v>2</v>
      </c>
      <c r="N3" s="4">
        <v>2</v>
      </c>
      <c r="O3" s="4">
        <v>-10</v>
      </c>
      <c r="P3" s="4">
        <v>0</v>
      </c>
      <c r="Q3" s="4">
        <v>3</v>
      </c>
      <c r="R3" s="4">
        <v>1</v>
      </c>
      <c r="S3" s="4">
        <v>281.26</v>
      </c>
      <c r="T3" s="4">
        <v>3.07692307692308E-3</v>
      </c>
      <c r="U3" s="4">
        <v>2.7222222222222201</v>
      </c>
      <c r="V3" s="4">
        <v>-5</v>
      </c>
      <c r="W3" s="4">
        <v>0.68240343347639498</v>
      </c>
      <c r="X3" s="4">
        <v>3.5765379113018601E-2</v>
      </c>
    </row>
    <row r="4" spans="1:24" x14ac:dyDescent="0.25">
      <c r="A4" s="3" t="s">
        <v>971</v>
      </c>
      <c r="B4" s="3" t="s">
        <v>969</v>
      </c>
      <c r="C4" s="3" t="s">
        <v>31</v>
      </c>
      <c r="D4" s="3">
        <v>17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204</v>
      </c>
      <c r="K4" s="3">
        <v>915</v>
      </c>
      <c r="L4" s="3">
        <v>13</v>
      </c>
      <c r="M4" s="3">
        <v>127</v>
      </c>
      <c r="N4" s="3">
        <v>107</v>
      </c>
      <c r="O4" s="3">
        <v>722</v>
      </c>
      <c r="P4" s="3">
        <v>5</v>
      </c>
      <c r="Q4" s="3">
        <v>2</v>
      </c>
      <c r="R4" s="3">
        <v>0</v>
      </c>
      <c r="S4" s="3">
        <v>372.7</v>
      </c>
      <c r="T4" s="3">
        <v>0.19538461538461499</v>
      </c>
      <c r="U4" s="3">
        <v>4.4852941176470598</v>
      </c>
      <c r="V4" s="3">
        <v>6.7476635514018701</v>
      </c>
      <c r="W4" s="3"/>
      <c r="X4" s="3"/>
    </row>
    <row r="5" spans="1:24" x14ac:dyDescent="0.25">
      <c r="A5" s="4" t="s">
        <v>972</v>
      </c>
      <c r="B5" s="4" t="s">
        <v>969</v>
      </c>
      <c r="C5" s="4" t="s">
        <v>31</v>
      </c>
      <c r="D5" s="4">
        <v>5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18</v>
      </c>
      <c r="K5" s="4">
        <v>41</v>
      </c>
      <c r="L5" s="4">
        <v>0</v>
      </c>
      <c r="M5" s="4">
        <v>3</v>
      </c>
      <c r="N5" s="4">
        <v>3</v>
      </c>
      <c r="O5" s="4">
        <v>13</v>
      </c>
      <c r="P5" s="4">
        <v>0</v>
      </c>
      <c r="Q5" s="4">
        <v>0</v>
      </c>
      <c r="R5" s="4">
        <v>0</v>
      </c>
      <c r="S5" s="4">
        <v>8.4</v>
      </c>
      <c r="T5" s="4">
        <v>4.6153846153846202E-3</v>
      </c>
      <c r="U5" s="4">
        <v>2.2777777777777799</v>
      </c>
      <c r="V5" s="4">
        <v>4.3333333333333304</v>
      </c>
      <c r="W5" s="4"/>
      <c r="X5" s="4"/>
    </row>
    <row r="6" spans="1:24" x14ac:dyDescent="0.25">
      <c r="A6" s="3" t="s">
        <v>973</v>
      </c>
      <c r="B6" s="3" t="s">
        <v>969</v>
      </c>
      <c r="C6" s="3" t="s">
        <v>31</v>
      </c>
      <c r="D6" s="3">
        <v>12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69</v>
      </c>
      <c r="K6" s="3">
        <v>287</v>
      </c>
      <c r="L6" s="3">
        <v>2</v>
      </c>
      <c r="M6" s="3">
        <v>25</v>
      </c>
      <c r="N6" s="3">
        <v>14</v>
      </c>
      <c r="O6" s="3">
        <v>101</v>
      </c>
      <c r="P6" s="3">
        <v>0</v>
      </c>
      <c r="Q6" s="3">
        <v>0</v>
      </c>
      <c r="R6" s="3">
        <v>0</v>
      </c>
      <c r="S6" s="3">
        <v>64.8</v>
      </c>
      <c r="T6" s="3">
        <v>3.8461538461538498E-2</v>
      </c>
      <c r="U6" s="3">
        <v>4.1594202898550696</v>
      </c>
      <c r="V6" s="3">
        <v>7.21428571428571</v>
      </c>
      <c r="W6" s="3"/>
      <c r="X6" s="3"/>
    </row>
    <row r="7" spans="1:24" x14ac:dyDescent="0.25">
      <c r="A7" s="4" t="s">
        <v>974</v>
      </c>
      <c r="B7" s="4" t="s">
        <v>969</v>
      </c>
      <c r="C7" s="4" t="s">
        <v>31</v>
      </c>
      <c r="D7" s="4">
        <v>2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13</v>
      </c>
      <c r="K7" s="4">
        <v>19</v>
      </c>
      <c r="L7" s="4">
        <v>0</v>
      </c>
      <c r="M7" s="4">
        <v>2</v>
      </c>
      <c r="N7" s="4">
        <v>2</v>
      </c>
      <c r="O7" s="4">
        <v>14</v>
      </c>
      <c r="P7" s="4">
        <v>0</v>
      </c>
      <c r="Q7" s="4">
        <v>0</v>
      </c>
      <c r="R7" s="4">
        <v>0</v>
      </c>
      <c r="S7" s="4">
        <v>5.3</v>
      </c>
      <c r="T7" s="4">
        <v>3.07692307692308E-3</v>
      </c>
      <c r="U7" s="4">
        <v>1.4615384615384599</v>
      </c>
      <c r="V7" s="4">
        <v>7</v>
      </c>
      <c r="W7" s="4"/>
      <c r="X7" s="4"/>
    </row>
    <row r="8" spans="1:24" x14ac:dyDescent="0.25">
      <c r="A8" s="3" t="s">
        <v>975</v>
      </c>
      <c r="B8" s="3" t="s">
        <v>969</v>
      </c>
      <c r="C8" s="3" t="s">
        <v>31</v>
      </c>
      <c r="D8" s="3">
        <v>10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36</v>
      </c>
      <c r="K8" s="3">
        <v>106</v>
      </c>
      <c r="L8" s="3">
        <v>0</v>
      </c>
      <c r="M8" s="3">
        <v>13</v>
      </c>
      <c r="N8" s="3">
        <v>9</v>
      </c>
      <c r="O8" s="3">
        <v>53</v>
      </c>
      <c r="P8" s="3">
        <v>0</v>
      </c>
      <c r="Q8" s="3">
        <v>0</v>
      </c>
      <c r="R8" s="3">
        <v>0</v>
      </c>
      <c r="S8" s="3">
        <v>24.9</v>
      </c>
      <c r="T8" s="3">
        <v>0.02</v>
      </c>
      <c r="U8" s="3">
        <v>2.9444444444444402</v>
      </c>
      <c r="V8" s="3">
        <v>5.8888888888888902</v>
      </c>
      <c r="W8" s="3"/>
      <c r="X8" s="3"/>
    </row>
    <row r="9" spans="1:24" x14ac:dyDescent="0.25">
      <c r="A9" s="4" t="s">
        <v>976</v>
      </c>
      <c r="B9" s="4" t="s">
        <v>969</v>
      </c>
      <c r="C9" s="4" t="s">
        <v>31</v>
      </c>
      <c r="D9" s="4">
        <v>8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4</v>
      </c>
      <c r="K9" s="4">
        <v>8</v>
      </c>
      <c r="L9" s="4">
        <v>0</v>
      </c>
      <c r="M9" s="4">
        <v>8</v>
      </c>
      <c r="N9" s="4">
        <v>5</v>
      </c>
      <c r="O9" s="4">
        <v>8</v>
      </c>
      <c r="P9" s="4">
        <v>2</v>
      </c>
      <c r="Q9" s="4">
        <v>0</v>
      </c>
      <c r="R9" s="4">
        <v>0</v>
      </c>
      <c r="S9" s="4">
        <v>18.600000000000001</v>
      </c>
      <c r="T9" s="4">
        <v>1.2307692307692301E-2</v>
      </c>
      <c r="U9" s="4">
        <v>2</v>
      </c>
      <c r="V9" s="4">
        <v>1.6</v>
      </c>
      <c r="W9" s="4"/>
      <c r="X9" s="4"/>
    </row>
    <row r="10" spans="1:24" x14ac:dyDescent="0.25">
      <c r="A10" s="3" t="s">
        <v>977</v>
      </c>
      <c r="B10" s="3" t="s">
        <v>969</v>
      </c>
      <c r="C10" s="3" t="s">
        <v>38</v>
      </c>
      <c r="D10" s="3">
        <v>6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12</v>
      </c>
      <c r="N10" s="3">
        <v>10</v>
      </c>
      <c r="O10" s="3">
        <v>130</v>
      </c>
      <c r="P10" s="3">
        <v>1</v>
      </c>
      <c r="Q10" s="3">
        <v>0</v>
      </c>
      <c r="R10" s="3">
        <v>0</v>
      </c>
      <c r="S10" s="3">
        <v>29</v>
      </c>
      <c r="T10" s="3">
        <v>1.8461538461538501E-2</v>
      </c>
      <c r="U10" s="3"/>
      <c r="V10" s="3">
        <v>13</v>
      </c>
      <c r="W10" s="3"/>
      <c r="X10" s="3"/>
    </row>
    <row r="11" spans="1:24" x14ac:dyDescent="0.25">
      <c r="A11" s="4" t="s">
        <v>978</v>
      </c>
      <c r="B11" s="4" t="s">
        <v>969</v>
      </c>
      <c r="C11" s="4" t="s">
        <v>38</v>
      </c>
      <c r="D11" s="4">
        <v>15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1</v>
      </c>
      <c r="K11" s="4">
        <v>0</v>
      </c>
      <c r="L11" s="4">
        <v>0</v>
      </c>
      <c r="M11" s="4">
        <v>87</v>
      </c>
      <c r="N11" s="4">
        <v>58</v>
      </c>
      <c r="O11" s="4">
        <v>555</v>
      </c>
      <c r="P11" s="4">
        <v>4</v>
      </c>
      <c r="Q11" s="4">
        <v>0</v>
      </c>
      <c r="R11" s="4">
        <v>0</v>
      </c>
      <c r="S11" s="4">
        <v>139.5</v>
      </c>
      <c r="T11" s="4">
        <v>0.133846153846154</v>
      </c>
      <c r="U11" s="4">
        <v>0</v>
      </c>
      <c r="V11" s="4">
        <v>9.5689655172413808</v>
      </c>
      <c r="W11" s="4"/>
      <c r="X11" s="4"/>
    </row>
    <row r="12" spans="1:24" x14ac:dyDescent="0.25">
      <c r="A12" s="3" t="s">
        <v>979</v>
      </c>
      <c r="B12" s="3" t="s">
        <v>969</v>
      </c>
      <c r="C12" s="3" t="s">
        <v>38</v>
      </c>
      <c r="D12" s="3">
        <v>3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4</v>
      </c>
      <c r="N12" s="3">
        <v>1</v>
      </c>
      <c r="O12" s="3">
        <v>4</v>
      </c>
      <c r="P12" s="3">
        <v>0</v>
      </c>
      <c r="Q12" s="3">
        <v>0</v>
      </c>
      <c r="R12" s="3">
        <v>0</v>
      </c>
      <c r="S12" s="3">
        <v>1.4</v>
      </c>
      <c r="T12" s="3">
        <v>6.1538461538461504E-3</v>
      </c>
      <c r="U12" s="3"/>
      <c r="V12" s="3">
        <v>4</v>
      </c>
      <c r="W12" s="3"/>
      <c r="X12" s="3"/>
    </row>
    <row r="13" spans="1:24" x14ac:dyDescent="0.25">
      <c r="A13" s="4" t="s">
        <v>980</v>
      </c>
      <c r="B13" s="4" t="s">
        <v>969</v>
      </c>
      <c r="C13" s="4" t="s">
        <v>38</v>
      </c>
      <c r="D13" s="4">
        <v>3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5</v>
      </c>
      <c r="N13" s="4">
        <v>4</v>
      </c>
      <c r="O13" s="4">
        <v>17</v>
      </c>
      <c r="P13" s="4">
        <v>0</v>
      </c>
      <c r="Q13" s="4">
        <v>0</v>
      </c>
      <c r="R13" s="4">
        <v>0</v>
      </c>
      <c r="S13" s="4">
        <v>5.7</v>
      </c>
      <c r="T13" s="4">
        <v>7.6923076923076901E-3</v>
      </c>
      <c r="U13" s="4"/>
      <c r="V13" s="4">
        <v>4.25</v>
      </c>
      <c r="W13" s="4"/>
      <c r="X13" s="4"/>
    </row>
    <row r="14" spans="1:24" x14ac:dyDescent="0.25">
      <c r="A14" s="3" t="s">
        <v>981</v>
      </c>
      <c r="B14" s="3" t="s">
        <v>969</v>
      </c>
      <c r="C14" s="3" t="s">
        <v>38</v>
      </c>
      <c r="D14" s="3">
        <v>8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18</v>
      </c>
      <c r="N14" s="3">
        <v>10</v>
      </c>
      <c r="O14" s="3">
        <v>72</v>
      </c>
      <c r="P14" s="3">
        <v>0</v>
      </c>
      <c r="Q14" s="3">
        <v>0</v>
      </c>
      <c r="R14" s="3">
        <v>0</v>
      </c>
      <c r="S14" s="3">
        <v>17.2</v>
      </c>
      <c r="T14" s="3">
        <v>2.76923076923077E-2</v>
      </c>
      <c r="U14" s="3"/>
      <c r="V14" s="3">
        <v>7.2</v>
      </c>
      <c r="W14" s="3"/>
      <c r="X14" s="3"/>
    </row>
    <row r="15" spans="1:24" x14ac:dyDescent="0.25">
      <c r="A15" s="4" t="s">
        <v>982</v>
      </c>
      <c r="B15" s="4" t="s">
        <v>969</v>
      </c>
      <c r="C15" s="4" t="s">
        <v>43</v>
      </c>
      <c r="D15" s="4">
        <v>16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2</v>
      </c>
      <c r="K15" s="4">
        <v>-15</v>
      </c>
      <c r="L15" s="4">
        <v>0</v>
      </c>
      <c r="M15" s="4">
        <v>65</v>
      </c>
      <c r="N15" s="4">
        <v>46</v>
      </c>
      <c r="O15" s="4">
        <v>538</v>
      </c>
      <c r="P15" s="4">
        <v>3</v>
      </c>
      <c r="Q15" s="4">
        <v>0</v>
      </c>
      <c r="R15" s="4">
        <v>0</v>
      </c>
      <c r="S15" s="4">
        <v>114.3</v>
      </c>
      <c r="T15" s="4">
        <v>0.1</v>
      </c>
      <c r="U15" s="4">
        <v>-7.5</v>
      </c>
      <c r="V15" s="4">
        <v>11.695652173913</v>
      </c>
      <c r="W15" s="4"/>
      <c r="X15" s="4"/>
    </row>
    <row r="16" spans="1:24" x14ac:dyDescent="0.25">
      <c r="A16" s="3" t="s">
        <v>983</v>
      </c>
      <c r="B16" s="3" t="s">
        <v>969</v>
      </c>
      <c r="C16" s="3" t="s">
        <v>43</v>
      </c>
      <c r="D16" s="3">
        <v>2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4</v>
      </c>
      <c r="N16" s="3">
        <v>2</v>
      </c>
      <c r="O16" s="3">
        <v>64</v>
      </c>
      <c r="P16" s="3">
        <v>0</v>
      </c>
      <c r="Q16" s="3">
        <v>0</v>
      </c>
      <c r="R16" s="3">
        <v>0</v>
      </c>
      <c r="S16" s="3">
        <v>8.4</v>
      </c>
      <c r="T16" s="3">
        <v>6.1538461538461504E-3</v>
      </c>
      <c r="U16" s="3"/>
      <c r="V16" s="3">
        <v>32</v>
      </c>
      <c r="W16" s="3"/>
      <c r="X16" s="3"/>
    </row>
    <row r="17" spans="1:24" x14ac:dyDescent="0.25">
      <c r="A17" s="4" t="s">
        <v>984</v>
      </c>
      <c r="B17" s="4" t="s">
        <v>969</v>
      </c>
      <c r="C17" s="4" t="s">
        <v>43</v>
      </c>
      <c r="D17" s="4">
        <v>1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2</v>
      </c>
      <c r="N17" s="4">
        <v>1</v>
      </c>
      <c r="O17" s="4">
        <v>5</v>
      </c>
      <c r="P17" s="4">
        <v>0</v>
      </c>
      <c r="Q17" s="4">
        <v>0</v>
      </c>
      <c r="R17" s="4">
        <v>0</v>
      </c>
      <c r="S17" s="4">
        <v>1.5</v>
      </c>
      <c r="T17" s="4">
        <v>3.07692307692308E-3</v>
      </c>
      <c r="U17" s="4"/>
      <c r="V17" s="4">
        <v>5</v>
      </c>
      <c r="W17" s="4"/>
      <c r="X17" s="4"/>
    </row>
    <row r="18" spans="1:24" x14ac:dyDescent="0.25">
      <c r="A18" s="3" t="s">
        <v>985</v>
      </c>
      <c r="B18" s="3" t="s">
        <v>969</v>
      </c>
      <c r="C18" s="3" t="s">
        <v>43</v>
      </c>
      <c r="D18" s="3">
        <v>16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1</v>
      </c>
      <c r="K18" s="3">
        <v>4</v>
      </c>
      <c r="L18" s="3">
        <v>0</v>
      </c>
      <c r="M18" s="3">
        <v>107</v>
      </c>
      <c r="N18" s="3">
        <v>72</v>
      </c>
      <c r="O18" s="3">
        <v>769</v>
      </c>
      <c r="P18" s="3">
        <v>3</v>
      </c>
      <c r="Q18" s="3">
        <v>0</v>
      </c>
      <c r="R18" s="3">
        <v>0</v>
      </c>
      <c r="S18" s="3">
        <v>169.3</v>
      </c>
      <c r="T18" s="3">
        <v>0.164615384615385</v>
      </c>
      <c r="U18" s="3">
        <v>4</v>
      </c>
      <c r="V18" s="3">
        <v>10.6805555555556</v>
      </c>
      <c r="W18" s="3"/>
      <c r="X18" s="3"/>
    </row>
    <row r="19" spans="1:24" x14ac:dyDescent="0.25">
      <c r="A19" s="4" t="s">
        <v>759</v>
      </c>
      <c r="B19" s="4" t="s">
        <v>969</v>
      </c>
      <c r="C19" s="4" t="s">
        <v>43</v>
      </c>
      <c r="D19" s="4">
        <v>10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1</v>
      </c>
      <c r="K19" s="4">
        <v>8</v>
      </c>
      <c r="L19" s="4">
        <v>0</v>
      </c>
      <c r="M19" s="4">
        <v>89</v>
      </c>
      <c r="N19" s="4">
        <v>66</v>
      </c>
      <c r="O19" s="4">
        <v>752</v>
      </c>
      <c r="P19" s="4">
        <v>4</v>
      </c>
      <c r="Q19" s="4">
        <v>0</v>
      </c>
      <c r="R19" s="4">
        <v>0</v>
      </c>
      <c r="S19" s="4">
        <v>164</v>
      </c>
      <c r="T19" s="4">
        <v>0.13692307692307701</v>
      </c>
      <c r="U19" s="4">
        <v>8</v>
      </c>
      <c r="V19" s="4">
        <v>11.3939393939394</v>
      </c>
      <c r="W19" s="4"/>
      <c r="X19" s="4"/>
    </row>
    <row r="20" spans="1:24" x14ac:dyDescent="0.25">
      <c r="A20" s="3" t="s">
        <v>986</v>
      </c>
      <c r="B20" s="3" t="s">
        <v>969</v>
      </c>
      <c r="C20" s="3" t="s">
        <v>43</v>
      </c>
      <c r="D20" s="3">
        <v>7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21</v>
      </c>
      <c r="N20" s="3">
        <v>10</v>
      </c>
      <c r="O20" s="3">
        <v>89</v>
      </c>
      <c r="P20" s="3">
        <v>0</v>
      </c>
      <c r="Q20" s="3">
        <v>0</v>
      </c>
      <c r="R20" s="3">
        <v>0</v>
      </c>
      <c r="S20" s="3">
        <v>18.899999999999999</v>
      </c>
      <c r="T20" s="3">
        <v>3.2307692307692301E-2</v>
      </c>
      <c r="U20" s="3"/>
      <c r="V20" s="3">
        <v>8.9</v>
      </c>
      <c r="W20" s="3"/>
      <c r="X20" s="3"/>
    </row>
    <row r="21" spans="1:24" x14ac:dyDescent="0.25">
      <c r="A21" s="4" t="s">
        <v>37</v>
      </c>
      <c r="B21" s="4" t="s">
        <v>969</v>
      </c>
      <c r="C21" s="4" t="s">
        <v>43</v>
      </c>
      <c r="D21" s="4">
        <v>13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93</v>
      </c>
      <c r="N21" s="4">
        <v>63</v>
      </c>
      <c r="O21" s="4">
        <v>895</v>
      </c>
      <c r="P21" s="4">
        <v>4</v>
      </c>
      <c r="Q21" s="4">
        <v>0</v>
      </c>
      <c r="R21" s="4">
        <v>0</v>
      </c>
      <c r="S21" s="4">
        <v>176.5</v>
      </c>
      <c r="T21" s="4">
        <v>0.14307692307692299</v>
      </c>
      <c r="U21" s="4"/>
      <c r="V21" s="4">
        <v>14.2063492063492</v>
      </c>
      <c r="W21" s="4"/>
      <c r="X21" s="4"/>
    </row>
    <row r="30" spans="1:24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</row>
    <row r="31" spans="1:24" x14ac:dyDescent="0.25">
      <c r="A31" s="3" t="s">
        <v>969</v>
      </c>
      <c r="B31" s="3">
        <v>6315</v>
      </c>
      <c r="C31" s="3">
        <v>4791</v>
      </c>
      <c r="D31" s="3">
        <v>404</v>
      </c>
      <c r="E31" s="3">
        <v>1524</v>
      </c>
      <c r="F31" s="3">
        <v>15</v>
      </c>
      <c r="G31" s="3">
        <v>1630.14</v>
      </c>
      <c r="H31" s="3">
        <v>711</v>
      </c>
      <c r="I31" s="3">
        <v>0.68213783403656802</v>
      </c>
      <c r="J31" s="3">
        <v>26</v>
      </c>
      <c r="K31" s="3">
        <v>10</v>
      </c>
      <c r="L31" s="3">
        <v>5</v>
      </c>
    </row>
    <row r="32" spans="1:24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</row>
    <row r="33" spans="1:28" x14ac:dyDescent="0.25">
      <c r="A33" s="3" t="str">
        <f>A31</f>
        <v>LAC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987</v>
      </c>
      <c r="B36" s="3" t="s">
        <v>26</v>
      </c>
      <c r="C36" s="3">
        <v>22</v>
      </c>
      <c r="D36" s="3">
        <v>0</v>
      </c>
      <c r="E36" s="3" t="s">
        <v>76</v>
      </c>
      <c r="F36" s="3" t="s">
        <v>969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">
        <v>0</v>
      </c>
      <c r="X36" s="3">
        <v>0</v>
      </c>
      <c r="Y36" s="3">
        <v>0</v>
      </c>
      <c r="Z36" s="3">
        <v>0</v>
      </c>
      <c r="AA36" s="3">
        <v>0</v>
      </c>
      <c r="AB36" s="3">
        <v>0</v>
      </c>
    </row>
    <row r="37" spans="1:28" x14ac:dyDescent="0.25">
      <c r="A37" s="4" t="s">
        <v>988</v>
      </c>
      <c r="B37" s="4" t="s">
        <v>26</v>
      </c>
      <c r="C37" s="4">
        <v>25</v>
      </c>
      <c r="D37" s="4">
        <v>4</v>
      </c>
      <c r="E37" s="4" t="s">
        <v>205</v>
      </c>
      <c r="F37" s="4" t="s">
        <v>969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</row>
    <row r="38" spans="1:28" x14ac:dyDescent="0.25">
      <c r="A38" s="3" t="s">
        <v>989</v>
      </c>
      <c r="B38" s="3" t="s">
        <v>26</v>
      </c>
      <c r="C38" s="3">
        <v>27</v>
      </c>
      <c r="D38" s="3">
        <v>5</v>
      </c>
      <c r="E38" s="3" t="s">
        <v>555</v>
      </c>
      <c r="F38" s="3" t="s">
        <v>969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v>0</v>
      </c>
      <c r="W38" s="3">
        <v>0</v>
      </c>
      <c r="X38" s="3">
        <v>0</v>
      </c>
      <c r="Y38" s="3">
        <v>0</v>
      </c>
      <c r="Z38" s="3">
        <v>0</v>
      </c>
      <c r="AA38" s="3">
        <v>0</v>
      </c>
      <c r="AB38" s="3"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990</v>
      </c>
      <c r="B46" s="3" t="s">
        <v>31</v>
      </c>
      <c r="C46" s="3">
        <v>24</v>
      </c>
      <c r="D46" s="3">
        <v>0</v>
      </c>
      <c r="E46" s="3" t="s">
        <v>991</v>
      </c>
      <c r="F46" s="3" t="s">
        <v>969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v>0</v>
      </c>
      <c r="W46" s="3">
        <v>0</v>
      </c>
      <c r="X46" s="3">
        <v>0</v>
      </c>
      <c r="Y46" s="3">
        <v>0</v>
      </c>
      <c r="Z46" s="3">
        <v>0</v>
      </c>
      <c r="AA46" s="3">
        <v>0</v>
      </c>
      <c r="AB46" s="3">
        <f t="shared" ref="AB46:AB51" si="0">($J46*Cp_yd)+($K46*Cp_td)+($L46*Cint)+($M46*Ccar)+($N46*Cr_td)+($O46*Cr_yd)+(Q46*Crec)+($R46*Crec_yd)+($S46*Crec_td)+($T46*Cfmb)+($U46*Ctp_c)</f>
        <v>0</v>
      </c>
    </row>
    <row r="47" spans="1:28" x14ac:dyDescent="0.25">
      <c r="A47" s="4" t="s">
        <v>992</v>
      </c>
      <c r="B47" s="4" t="s">
        <v>31</v>
      </c>
      <c r="C47" s="4">
        <v>28</v>
      </c>
      <c r="D47" s="4">
        <v>7</v>
      </c>
      <c r="E47" s="4" t="s">
        <v>993</v>
      </c>
      <c r="F47" s="4" t="s">
        <v>969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f t="shared" si="0"/>
        <v>0</v>
      </c>
    </row>
    <row r="48" spans="1:28" x14ac:dyDescent="0.25">
      <c r="A48" s="3" t="s">
        <v>994</v>
      </c>
      <c r="B48" s="3" t="s">
        <v>31</v>
      </c>
      <c r="C48" s="3">
        <v>24</v>
      </c>
      <c r="D48" s="3">
        <v>0</v>
      </c>
      <c r="E48" s="3" t="s">
        <v>995</v>
      </c>
      <c r="F48" s="3" t="s">
        <v>969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v>0</v>
      </c>
      <c r="W48" s="3">
        <v>0</v>
      </c>
      <c r="X48" s="3">
        <v>0</v>
      </c>
      <c r="Y48" s="3">
        <v>0</v>
      </c>
      <c r="Z48" s="3">
        <v>0</v>
      </c>
      <c r="AA48" s="3">
        <v>0</v>
      </c>
      <c r="AB48" s="3">
        <f t="shared" si="0"/>
        <v>0</v>
      </c>
    </row>
    <row r="49" spans="1:28" x14ac:dyDescent="0.25">
      <c r="A49" s="4" t="s">
        <v>996</v>
      </c>
      <c r="B49" s="4" t="s">
        <v>31</v>
      </c>
      <c r="C49" s="4">
        <v>25</v>
      </c>
      <c r="D49" s="4">
        <v>4</v>
      </c>
      <c r="E49" s="4" t="s">
        <v>418</v>
      </c>
      <c r="F49" s="4" t="s">
        <v>969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B49" s="4">
        <f t="shared" si="0"/>
        <v>0</v>
      </c>
    </row>
    <row r="50" spans="1:28" x14ac:dyDescent="0.25">
      <c r="A50" s="3" t="s">
        <v>997</v>
      </c>
      <c r="B50" s="3" t="s">
        <v>31</v>
      </c>
      <c r="C50" s="3">
        <v>23</v>
      </c>
      <c r="D50" s="3">
        <v>0</v>
      </c>
      <c r="E50" s="3" t="s">
        <v>998</v>
      </c>
      <c r="F50" s="3" t="s">
        <v>969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v>0</v>
      </c>
      <c r="W50" s="3">
        <v>0</v>
      </c>
      <c r="X50" s="3">
        <v>0</v>
      </c>
      <c r="Y50" s="3">
        <v>0</v>
      </c>
      <c r="Z50" s="3">
        <v>0</v>
      </c>
      <c r="AA50" s="3">
        <v>0</v>
      </c>
      <c r="AB50" s="3">
        <f t="shared" si="0"/>
        <v>0</v>
      </c>
    </row>
    <row r="51" spans="1:28" x14ac:dyDescent="0.25">
      <c r="A51" s="4" t="s">
        <v>999</v>
      </c>
      <c r="B51" s="4" t="s">
        <v>31</v>
      </c>
      <c r="C51" s="4">
        <v>22</v>
      </c>
      <c r="D51" s="4">
        <v>2</v>
      </c>
      <c r="E51" s="4" t="s">
        <v>307</v>
      </c>
      <c r="F51" s="4" t="s">
        <v>969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v>0</v>
      </c>
      <c r="W51" s="4">
        <v>0</v>
      </c>
      <c r="X51" s="4">
        <v>0</v>
      </c>
      <c r="Y51" s="4">
        <v>0</v>
      </c>
      <c r="Z51" s="4">
        <v>0</v>
      </c>
      <c r="AA51" s="4">
        <v>0</v>
      </c>
      <c r="AB51" s="4">
        <f t="shared" si="0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1000</v>
      </c>
      <c r="B61" s="3" t="s">
        <v>43</v>
      </c>
      <c r="C61" s="3">
        <v>31</v>
      </c>
      <c r="D61" s="3">
        <v>11</v>
      </c>
      <c r="E61" s="3" t="s">
        <v>666</v>
      </c>
      <c r="F61" s="3" t="s">
        <v>969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v>0</v>
      </c>
      <c r="W61" s="3">
        <v>0</v>
      </c>
      <c r="X61" s="3">
        <v>0</v>
      </c>
      <c r="Y61" s="3">
        <v>0</v>
      </c>
      <c r="Z61" s="3">
        <v>0</v>
      </c>
      <c r="AA61" s="3">
        <v>0</v>
      </c>
      <c r="AB61" s="3">
        <v>0</v>
      </c>
    </row>
    <row r="62" spans="1:28" x14ac:dyDescent="0.25">
      <c r="A62" s="4" t="s">
        <v>1001</v>
      </c>
      <c r="B62" s="4" t="s">
        <v>43</v>
      </c>
      <c r="C62" s="4">
        <v>25</v>
      </c>
      <c r="D62" s="4">
        <v>0</v>
      </c>
      <c r="E62" s="4" t="s">
        <v>78</v>
      </c>
      <c r="F62" s="4" t="s">
        <v>969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0</v>
      </c>
      <c r="X62" s="4">
        <v>0</v>
      </c>
      <c r="Y62" s="4">
        <v>0</v>
      </c>
      <c r="Z62" s="4">
        <v>0</v>
      </c>
      <c r="AA62" s="4">
        <v>0</v>
      </c>
      <c r="AB62" s="4">
        <v>0</v>
      </c>
    </row>
    <row r="63" spans="1:28" x14ac:dyDescent="0.25">
      <c r="A63" s="3" t="s">
        <v>1002</v>
      </c>
      <c r="B63" s="3" t="s">
        <v>43</v>
      </c>
      <c r="C63" s="3">
        <v>22</v>
      </c>
      <c r="D63" s="3">
        <v>0</v>
      </c>
      <c r="E63" s="3" t="s">
        <v>76</v>
      </c>
      <c r="F63" s="3" t="s">
        <v>969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v>0</v>
      </c>
      <c r="W63" s="3">
        <v>0</v>
      </c>
      <c r="X63" s="3">
        <v>0</v>
      </c>
      <c r="Y63" s="3">
        <v>0</v>
      </c>
      <c r="Z63" s="3">
        <v>0</v>
      </c>
      <c r="AA63" s="3">
        <v>0</v>
      </c>
      <c r="AB63" s="3">
        <v>0</v>
      </c>
    </row>
    <row r="64" spans="1:28" x14ac:dyDescent="0.25">
      <c r="A64" s="4" t="s">
        <v>1003</v>
      </c>
      <c r="B64" s="4" t="s">
        <v>43</v>
      </c>
      <c r="C64" s="4">
        <v>27</v>
      </c>
      <c r="D64" s="4">
        <v>2</v>
      </c>
      <c r="E64" s="4" t="s">
        <v>1004</v>
      </c>
      <c r="F64" s="4" t="s">
        <v>969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</row>
    <row r="65" spans="1:28" x14ac:dyDescent="0.25">
      <c r="A65" s="3" t="s">
        <v>1005</v>
      </c>
      <c r="B65" s="3" t="s">
        <v>43</v>
      </c>
      <c r="C65" s="3">
        <v>26</v>
      </c>
      <c r="D65" s="3">
        <v>4</v>
      </c>
      <c r="E65" s="3" t="s">
        <v>508</v>
      </c>
      <c r="F65" s="3" t="s">
        <v>969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v>0</v>
      </c>
      <c r="W65" s="3">
        <v>0</v>
      </c>
      <c r="X65" s="3">
        <v>0</v>
      </c>
      <c r="Y65" s="3">
        <v>0</v>
      </c>
      <c r="Z65" s="3">
        <v>0</v>
      </c>
      <c r="AA65" s="3">
        <v>0</v>
      </c>
      <c r="AB65" s="3">
        <v>0</v>
      </c>
    </row>
    <row r="66" spans="1:28" x14ac:dyDescent="0.25">
      <c r="A66" s="4" t="s">
        <v>1006</v>
      </c>
      <c r="B66" s="4" t="s">
        <v>43</v>
      </c>
      <c r="C66" s="4">
        <v>27</v>
      </c>
      <c r="D66" s="4">
        <v>2</v>
      </c>
      <c r="E66" s="4" t="s">
        <v>296</v>
      </c>
      <c r="F66" s="4" t="s">
        <v>969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</row>
    <row r="67" spans="1:28" x14ac:dyDescent="0.25">
      <c r="A67" s="3" t="s">
        <v>1007</v>
      </c>
      <c r="B67" s="3" t="s">
        <v>43</v>
      </c>
      <c r="C67" s="3">
        <v>21</v>
      </c>
      <c r="D67" s="3">
        <v>0</v>
      </c>
      <c r="E67" s="3" t="s">
        <v>76</v>
      </c>
      <c r="F67" s="3" t="s">
        <v>969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v>0</v>
      </c>
      <c r="W67" s="3">
        <v>0</v>
      </c>
      <c r="X67" s="3">
        <v>0</v>
      </c>
      <c r="Y67" s="3">
        <v>0</v>
      </c>
      <c r="Z67" s="3">
        <v>0</v>
      </c>
      <c r="AA67" s="3">
        <v>0</v>
      </c>
      <c r="AB67" s="3">
        <v>0</v>
      </c>
    </row>
    <row r="68" spans="1:28" x14ac:dyDescent="0.25">
      <c r="A68" s="4" t="s">
        <v>1008</v>
      </c>
      <c r="B68" s="4" t="s">
        <v>43</v>
      </c>
      <c r="C68" s="4">
        <v>23</v>
      </c>
      <c r="D68" s="4">
        <v>3</v>
      </c>
      <c r="E68" s="4" t="s">
        <v>143</v>
      </c>
      <c r="F68" s="4" t="s">
        <v>969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0</v>
      </c>
      <c r="X68" s="4">
        <v>0</v>
      </c>
      <c r="Y68" s="4">
        <v>0</v>
      </c>
      <c r="Z68" s="4">
        <v>0</v>
      </c>
      <c r="AA68" s="4">
        <v>0</v>
      </c>
      <c r="AB68" s="4">
        <v>0</v>
      </c>
    </row>
    <row r="69" spans="1:28" x14ac:dyDescent="0.25">
      <c r="A69" s="3" t="s">
        <v>1009</v>
      </c>
      <c r="B69" s="3" t="s">
        <v>43</v>
      </c>
      <c r="C69" s="3">
        <v>27</v>
      </c>
      <c r="D69" s="3">
        <v>3</v>
      </c>
      <c r="E69" s="3" t="s">
        <v>555</v>
      </c>
      <c r="F69" s="3" t="s">
        <v>969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v>0</v>
      </c>
      <c r="W69" s="3">
        <v>0</v>
      </c>
      <c r="X69" s="3">
        <v>0</v>
      </c>
      <c r="Y69" s="3">
        <v>0</v>
      </c>
      <c r="Z69" s="3">
        <v>0</v>
      </c>
      <c r="AA69" s="3">
        <v>0</v>
      </c>
      <c r="AB69" s="3">
        <v>0</v>
      </c>
    </row>
    <row r="70" spans="1:28" x14ac:dyDescent="0.25">
      <c r="A70" s="4" t="s">
        <v>1010</v>
      </c>
      <c r="B70" s="4" t="s">
        <v>43</v>
      </c>
      <c r="C70" s="4">
        <v>28</v>
      </c>
      <c r="D70" s="4">
        <v>7</v>
      </c>
      <c r="E70" s="4" t="s">
        <v>458</v>
      </c>
      <c r="F70" s="4" t="s">
        <v>969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0</v>
      </c>
      <c r="X70" s="4">
        <v>0</v>
      </c>
      <c r="Y70" s="4">
        <v>0</v>
      </c>
      <c r="Z70" s="4">
        <v>0</v>
      </c>
      <c r="AA70" s="4">
        <v>0</v>
      </c>
      <c r="AB70" s="4">
        <v>0</v>
      </c>
    </row>
    <row r="71" spans="1:28" x14ac:dyDescent="0.25">
      <c r="A71" s="3" t="s">
        <v>1011</v>
      </c>
      <c r="B71" s="3" t="s">
        <v>43</v>
      </c>
      <c r="C71" s="3">
        <v>24</v>
      </c>
      <c r="D71" s="3">
        <v>0</v>
      </c>
      <c r="E71" s="3" t="s">
        <v>1012</v>
      </c>
      <c r="F71" s="3" t="s">
        <v>969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v>0</v>
      </c>
      <c r="W71" s="3">
        <v>0</v>
      </c>
      <c r="X71" s="3">
        <v>0</v>
      </c>
      <c r="Y71" s="3">
        <v>0</v>
      </c>
      <c r="Z71" s="3">
        <v>0</v>
      </c>
      <c r="AA71" s="3">
        <v>0</v>
      </c>
      <c r="AB71" s="3">
        <v>0</v>
      </c>
    </row>
    <row r="72" spans="1:28" x14ac:dyDescent="0.25">
      <c r="A72" s="4" t="s">
        <v>1013</v>
      </c>
      <c r="B72" s="4" t="s">
        <v>43</v>
      </c>
      <c r="C72" s="4"/>
      <c r="D72" s="4">
        <v>0</v>
      </c>
      <c r="E72" s="4" t="s">
        <v>62</v>
      </c>
      <c r="F72" s="4" t="s">
        <v>969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v>0</v>
      </c>
      <c r="W72" s="4">
        <v>0</v>
      </c>
      <c r="X72" s="4">
        <v>0</v>
      </c>
      <c r="Y72" s="4">
        <v>0</v>
      </c>
      <c r="Z72" s="4">
        <v>0</v>
      </c>
      <c r="AA72" s="4">
        <v>0</v>
      </c>
      <c r="AB72" s="4"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1014</v>
      </c>
      <c r="B76" s="3" t="s">
        <v>38</v>
      </c>
      <c r="C76" s="3">
        <v>29</v>
      </c>
      <c r="D76" s="3">
        <v>7</v>
      </c>
      <c r="E76" s="3" t="s">
        <v>519</v>
      </c>
      <c r="F76" s="3" t="s">
        <v>969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v>0</v>
      </c>
      <c r="W76" s="3">
        <v>0</v>
      </c>
      <c r="X76" s="3">
        <v>0</v>
      </c>
      <c r="Y76" s="3">
        <v>0</v>
      </c>
      <c r="Z76" s="3">
        <v>0</v>
      </c>
      <c r="AA76" s="3">
        <v>0</v>
      </c>
      <c r="AB76" s="3">
        <v>0</v>
      </c>
    </row>
    <row r="77" spans="1:28" x14ac:dyDescent="0.25">
      <c r="A77" s="4" t="s">
        <v>1015</v>
      </c>
      <c r="B77" s="4" t="s">
        <v>38</v>
      </c>
      <c r="C77" s="4">
        <v>22</v>
      </c>
      <c r="D77" s="4">
        <v>0</v>
      </c>
      <c r="E77" s="4" t="s">
        <v>418</v>
      </c>
      <c r="F77" s="4" t="s">
        <v>969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v>0</v>
      </c>
      <c r="W77" s="4">
        <v>0</v>
      </c>
      <c r="X77" s="4">
        <v>0</v>
      </c>
      <c r="Y77" s="4">
        <v>0</v>
      </c>
      <c r="Z77" s="4">
        <v>0</v>
      </c>
      <c r="AA77" s="4">
        <v>0</v>
      </c>
      <c r="AB77" s="4">
        <v>0</v>
      </c>
    </row>
    <row r="78" spans="1:28" x14ac:dyDescent="0.25">
      <c r="A78" s="3" t="s">
        <v>1016</v>
      </c>
      <c r="B78" s="3" t="s">
        <v>38</v>
      </c>
      <c r="C78" s="3">
        <v>25</v>
      </c>
      <c r="D78" s="3">
        <v>1</v>
      </c>
      <c r="E78" s="3" t="s">
        <v>205</v>
      </c>
      <c r="F78" s="3" t="s">
        <v>969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v>0</v>
      </c>
      <c r="W78" s="3">
        <v>0</v>
      </c>
      <c r="X78" s="3">
        <v>0</v>
      </c>
      <c r="Y78" s="3">
        <v>0</v>
      </c>
      <c r="Z78" s="3">
        <v>0</v>
      </c>
      <c r="AA78" s="3">
        <v>0</v>
      </c>
      <c r="AB78" s="3">
        <v>0</v>
      </c>
    </row>
    <row r="79" spans="1:28" x14ac:dyDescent="0.25">
      <c r="A79" s="4" t="s">
        <v>1017</v>
      </c>
      <c r="B79" s="4" t="s">
        <v>38</v>
      </c>
      <c r="C79" s="4">
        <v>24</v>
      </c>
      <c r="D79" s="4">
        <v>3</v>
      </c>
      <c r="E79" s="4" t="s">
        <v>173</v>
      </c>
      <c r="F79" s="4" t="s">
        <v>969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v>0</v>
      </c>
      <c r="W79" s="4">
        <v>0</v>
      </c>
      <c r="X79" s="4">
        <v>0</v>
      </c>
      <c r="Y79" s="4">
        <v>0</v>
      </c>
      <c r="Z79" s="4">
        <v>0</v>
      </c>
      <c r="AA79" s="4">
        <v>0</v>
      </c>
      <c r="AB79" s="4">
        <v>0</v>
      </c>
    </row>
    <row r="80" spans="1:28" x14ac:dyDescent="0.25">
      <c r="A80" s="3" t="s">
        <v>1018</v>
      </c>
      <c r="B80" s="3" t="s">
        <v>38</v>
      </c>
      <c r="C80" s="3">
        <v>26</v>
      </c>
      <c r="D80" s="3">
        <v>4</v>
      </c>
      <c r="E80" s="3" t="s">
        <v>1019</v>
      </c>
      <c r="F80" s="3" t="s">
        <v>969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v>0</v>
      </c>
      <c r="W80" s="3">
        <v>0</v>
      </c>
      <c r="X80" s="3">
        <v>0</v>
      </c>
      <c r="Y80" s="3">
        <v>0</v>
      </c>
      <c r="Z80" s="3">
        <v>0</v>
      </c>
      <c r="AA80" s="3">
        <v>0</v>
      </c>
      <c r="AB80" s="3">
        <v>0</v>
      </c>
    </row>
    <row r="81" spans="1:28" x14ac:dyDescent="0.25">
      <c r="A81" s="4" t="s">
        <v>1020</v>
      </c>
      <c r="B81" s="4" t="s">
        <v>38</v>
      </c>
      <c r="C81" s="4">
        <v>24</v>
      </c>
      <c r="D81" s="4">
        <v>2</v>
      </c>
      <c r="E81" s="4" t="s">
        <v>98</v>
      </c>
      <c r="F81" s="4" t="s">
        <v>969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v>0</v>
      </c>
      <c r="W81" s="4">
        <v>0</v>
      </c>
      <c r="X81" s="4">
        <v>0</v>
      </c>
      <c r="Y81" s="4">
        <v>0</v>
      </c>
      <c r="Z81" s="4">
        <v>0</v>
      </c>
      <c r="AA81" s="4">
        <v>0</v>
      </c>
      <c r="AB81" s="4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AB82"/>
  <sheetViews>
    <sheetView topLeftCell="F22" workbookViewId="0">
      <selection activeCell="AB46" sqref="AB46:AB50"/>
    </sheetView>
  </sheetViews>
  <sheetFormatPr defaultColWidth="11.42578125" defaultRowHeight="15" x14ac:dyDescent="0.25"/>
  <sheetData>
    <row r="1" spans="1:24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</row>
    <row r="2" spans="1:24" x14ac:dyDescent="0.25">
      <c r="A2" s="3" t="s">
        <v>310</v>
      </c>
      <c r="B2" s="3" t="s">
        <v>1021</v>
      </c>
      <c r="C2" s="3" t="s">
        <v>26</v>
      </c>
      <c r="D2" s="3">
        <v>5</v>
      </c>
      <c r="E2" s="3">
        <v>129</v>
      </c>
      <c r="F2" s="3">
        <v>82</v>
      </c>
      <c r="G2" s="3">
        <v>850</v>
      </c>
      <c r="H2" s="3">
        <v>4</v>
      </c>
      <c r="I2" s="3">
        <v>2</v>
      </c>
      <c r="J2" s="3">
        <v>15</v>
      </c>
      <c r="K2" s="3">
        <v>37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1</v>
      </c>
      <c r="R2" s="3">
        <v>0</v>
      </c>
      <c r="S2" s="3">
        <v>47.7</v>
      </c>
      <c r="T2" s="3">
        <v>0</v>
      </c>
      <c r="U2" s="3">
        <v>2.4666666666666699</v>
      </c>
      <c r="V2" s="3"/>
      <c r="W2" s="3">
        <v>0.63565891472868197</v>
      </c>
      <c r="X2" s="3">
        <v>3.1007751937984499E-2</v>
      </c>
    </row>
    <row r="3" spans="1:24" x14ac:dyDescent="0.25">
      <c r="A3" s="4" t="s">
        <v>1022</v>
      </c>
      <c r="B3" s="4" t="s">
        <v>1021</v>
      </c>
      <c r="C3" s="4" t="s">
        <v>26</v>
      </c>
      <c r="D3" s="4">
        <v>5</v>
      </c>
      <c r="E3" s="4">
        <v>34</v>
      </c>
      <c r="F3" s="4">
        <v>19</v>
      </c>
      <c r="G3" s="4">
        <v>161</v>
      </c>
      <c r="H3" s="4">
        <v>1</v>
      </c>
      <c r="I3" s="4">
        <v>2</v>
      </c>
      <c r="J3" s="4">
        <v>19</v>
      </c>
      <c r="K3" s="4">
        <v>90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15.44</v>
      </c>
      <c r="T3" s="4">
        <v>0</v>
      </c>
      <c r="U3" s="4">
        <v>4.7368421052631602</v>
      </c>
      <c r="V3" s="4"/>
      <c r="W3" s="4">
        <v>0.55882352941176505</v>
      </c>
      <c r="X3" s="4">
        <v>2.9411764705882401E-2</v>
      </c>
    </row>
    <row r="4" spans="1:24" x14ac:dyDescent="0.25">
      <c r="A4" s="3" t="s">
        <v>1023</v>
      </c>
      <c r="B4" s="3" t="s">
        <v>1021</v>
      </c>
      <c r="C4" s="3" t="s">
        <v>26</v>
      </c>
      <c r="D4" s="3">
        <v>2</v>
      </c>
      <c r="E4" s="3">
        <v>62</v>
      </c>
      <c r="F4" s="3">
        <v>38</v>
      </c>
      <c r="G4" s="3">
        <v>390</v>
      </c>
      <c r="H4" s="3">
        <v>1</v>
      </c>
      <c r="I4" s="3">
        <v>3</v>
      </c>
      <c r="J4" s="3">
        <v>8</v>
      </c>
      <c r="K4" s="3">
        <v>32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1</v>
      </c>
      <c r="R4" s="3">
        <v>0</v>
      </c>
      <c r="S4" s="3">
        <v>14.8</v>
      </c>
      <c r="T4" s="3">
        <v>0</v>
      </c>
      <c r="U4" s="3">
        <v>4</v>
      </c>
      <c r="V4" s="3"/>
      <c r="W4" s="3">
        <v>0.61290322580645196</v>
      </c>
      <c r="X4" s="3">
        <v>1.6129032258064498E-2</v>
      </c>
    </row>
    <row r="5" spans="1:24" x14ac:dyDescent="0.25">
      <c r="A5" s="4" t="s">
        <v>1024</v>
      </c>
      <c r="B5" s="4" t="s">
        <v>1021</v>
      </c>
      <c r="C5" s="4" t="s">
        <v>26</v>
      </c>
      <c r="D5" s="4">
        <v>9</v>
      </c>
      <c r="E5" s="4">
        <v>303</v>
      </c>
      <c r="F5" s="4">
        <v>206</v>
      </c>
      <c r="G5" s="4">
        <v>2087</v>
      </c>
      <c r="H5" s="4">
        <v>10</v>
      </c>
      <c r="I5" s="4">
        <v>8</v>
      </c>
      <c r="J5" s="4">
        <v>13</v>
      </c>
      <c r="K5" s="4">
        <v>9</v>
      </c>
      <c r="L5" s="4">
        <v>1</v>
      </c>
      <c r="M5" s="4">
        <v>0</v>
      </c>
      <c r="N5" s="4">
        <v>0</v>
      </c>
      <c r="O5" s="4">
        <v>0</v>
      </c>
      <c r="P5" s="4">
        <v>0</v>
      </c>
      <c r="Q5" s="4">
        <v>3</v>
      </c>
      <c r="R5" s="4">
        <v>0</v>
      </c>
      <c r="S5" s="4">
        <v>108.38</v>
      </c>
      <c r="T5" s="4">
        <v>0</v>
      </c>
      <c r="U5" s="4">
        <v>0.69230769230769196</v>
      </c>
      <c r="V5" s="4"/>
      <c r="W5" s="4">
        <v>0.67986798679867999</v>
      </c>
      <c r="X5" s="4">
        <v>3.3003300330033E-2</v>
      </c>
    </row>
    <row r="6" spans="1:24" x14ac:dyDescent="0.25">
      <c r="A6" s="3" t="s">
        <v>1025</v>
      </c>
      <c r="B6" s="3" t="s">
        <v>1021</v>
      </c>
      <c r="C6" s="3" t="s">
        <v>31</v>
      </c>
      <c r="D6" s="3">
        <v>15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188</v>
      </c>
      <c r="K6" s="3">
        <v>786</v>
      </c>
      <c r="L6" s="3">
        <v>7</v>
      </c>
      <c r="M6" s="3">
        <v>18</v>
      </c>
      <c r="N6" s="3">
        <v>13</v>
      </c>
      <c r="O6" s="3">
        <v>117</v>
      </c>
      <c r="P6" s="3">
        <v>0</v>
      </c>
      <c r="Q6" s="3">
        <v>2</v>
      </c>
      <c r="R6" s="3">
        <v>0</v>
      </c>
      <c r="S6" s="3">
        <v>141.30000000000001</v>
      </c>
      <c r="T6" s="3">
        <v>2.53164556962025E-2</v>
      </c>
      <c r="U6" s="3">
        <v>4.18085106382979</v>
      </c>
      <c r="V6" s="3">
        <v>9</v>
      </c>
      <c r="W6" s="3"/>
      <c r="X6" s="3"/>
    </row>
    <row r="7" spans="1:24" x14ac:dyDescent="0.25">
      <c r="A7" s="4" t="s">
        <v>1026</v>
      </c>
      <c r="B7" s="4" t="s">
        <v>1021</v>
      </c>
      <c r="C7" s="4" t="s">
        <v>31</v>
      </c>
      <c r="D7" s="4">
        <v>10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70</v>
      </c>
      <c r="K7" s="4">
        <v>283</v>
      </c>
      <c r="L7" s="4">
        <v>3</v>
      </c>
      <c r="M7" s="4">
        <v>22</v>
      </c>
      <c r="N7" s="4">
        <v>17</v>
      </c>
      <c r="O7" s="4">
        <v>102</v>
      </c>
      <c r="P7" s="4">
        <v>0</v>
      </c>
      <c r="Q7" s="4">
        <v>0</v>
      </c>
      <c r="R7" s="4">
        <v>0</v>
      </c>
      <c r="S7" s="4">
        <v>73.5</v>
      </c>
      <c r="T7" s="4">
        <v>3.0942334739803099E-2</v>
      </c>
      <c r="U7" s="4">
        <v>4.04285714285714</v>
      </c>
      <c r="V7" s="4">
        <v>6</v>
      </c>
      <c r="W7" s="4"/>
      <c r="X7" s="4"/>
    </row>
    <row r="8" spans="1:24" x14ac:dyDescent="0.25">
      <c r="A8" s="3" t="s">
        <v>1027</v>
      </c>
      <c r="B8" s="3" t="s">
        <v>1021</v>
      </c>
      <c r="C8" s="3" t="s">
        <v>31</v>
      </c>
      <c r="D8" s="3">
        <v>8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35</v>
      </c>
      <c r="K8" s="3">
        <v>139</v>
      </c>
      <c r="L8" s="3">
        <v>0</v>
      </c>
      <c r="M8" s="3">
        <v>12</v>
      </c>
      <c r="N8" s="3">
        <v>9</v>
      </c>
      <c r="O8" s="3">
        <v>76</v>
      </c>
      <c r="P8" s="3">
        <v>0</v>
      </c>
      <c r="Q8" s="3">
        <v>0</v>
      </c>
      <c r="R8" s="3">
        <v>0</v>
      </c>
      <c r="S8" s="3">
        <v>30.5</v>
      </c>
      <c r="T8" s="3">
        <v>1.68776371308017E-2</v>
      </c>
      <c r="U8" s="3">
        <v>3.9714285714285702</v>
      </c>
      <c r="V8" s="3">
        <v>8.4444444444444393</v>
      </c>
      <c r="W8" s="3"/>
      <c r="X8" s="3"/>
    </row>
    <row r="9" spans="1:24" x14ac:dyDescent="0.25">
      <c r="A9" s="4" t="s">
        <v>48</v>
      </c>
      <c r="B9" s="4" t="s">
        <v>1021</v>
      </c>
      <c r="C9" s="4" t="s">
        <v>31</v>
      </c>
      <c r="D9" s="4">
        <v>7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18</v>
      </c>
      <c r="K9" s="4">
        <v>81</v>
      </c>
      <c r="L9" s="4">
        <v>1</v>
      </c>
      <c r="M9" s="4">
        <v>6</v>
      </c>
      <c r="N9" s="4">
        <v>5</v>
      </c>
      <c r="O9" s="4">
        <v>37</v>
      </c>
      <c r="P9" s="4">
        <v>0</v>
      </c>
      <c r="Q9" s="4">
        <v>0</v>
      </c>
      <c r="R9" s="4">
        <v>0</v>
      </c>
      <c r="S9" s="4">
        <v>22.8</v>
      </c>
      <c r="T9" s="4">
        <v>8.4388185654008397E-3</v>
      </c>
      <c r="U9" s="4">
        <v>4.5</v>
      </c>
      <c r="V9" s="4">
        <v>7.4</v>
      </c>
      <c r="W9" s="4"/>
      <c r="X9" s="4"/>
    </row>
    <row r="10" spans="1:24" x14ac:dyDescent="0.25">
      <c r="A10" s="3" t="s">
        <v>1028</v>
      </c>
      <c r="B10" s="3" t="s">
        <v>1021</v>
      </c>
      <c r="C10" s="3" t="s">
        <v>31</v>
      </c>
      <c r="D10" s="3">
        <v>2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9</v>
      </c>
      <c r="K10" s="3">
        <v>21</v>
      </c>
      <c r="L10" s="3">
        <v>0</v>
      </c>
      <c r="M10" s="3">
        <v>5</v>
      </c>
      <c r="N10" s="3">
        <v>5</v>
      </c>
      <c r="O10" s="3">
        <v>29</v>
      </c>
      <c r="P10" s="3">
        <v>0</v>
      </c>
      <c r="Q10" s="3">
        <v>0</v>
      </c>
      <c r="R10" s="3">
        <v>0</v>
      </c>
      <c r="S10" s="3">
        <v>10</v>
      </c>
      <c r="T10" s="3">
        <v>7.0323488045007003E-3</v>
      </c>
      <c r="U10" s="3">
        <v>2.3333333333333299</v>
      </c>
      <c r="V10" s="3">
        <v>5.8</v>
      </c>
      <c r="W10" s="3"/>
      <c r="X10" s="3"/>
    </row>
    <row r="11" spans="1:24" x14ac:dyDescent="0.25">
      <c r="A11" s="4" t="s">
        <v>1029</v>
      </c>
      <c r="B11" s="4" t="s">
        <v>1021</v>
      </c>
      <c r="C11" s="4" t="s">
        <v>38</v>
      </c>
      <c r="D11" s="4">
        <v>7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11</v>
      </c>
      <c r="N11" s="4">
        <v>7</v>
      </c>
      <c r="O11" s="4">
        <v>109</v>
      </c>
      <c r="P11" s="4">
        <v>0</v>
      </c>
      <c r="Q11" s="4">
        <v>0</v>
      </c>
      <c r="R11" s="4">
        <v>0</v>
      </c>
      <c r="S11" s="4">
        <v>17.899999999999999</v>
      </c>
      <c r="T11" s="4">
        <v>1.5471167369901499E-2</v>
      </c>
      <c r="U11" s="4"/>
      <c r="V11" s="4">
        <v>15.5714285714286</v>
      </c>
      <c r="W11" s="4"/>
      <c r="X11" s="4"/>
    </row>
    <row r="12" spans="1:24" x14ac:dyDescent="0.25">
      <c r="A12" s="3" t="s">
        <v>1030</v>
      </c>
      <c r="B12" s="3" t="s">
        <v>1021</v>
      </c>
      <c r="C12" s="3" t="s">
        <v>38</v>
      </c>
      <c r="D12" s="3">
        <v>2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2</v>
      </c>
      <c r="N12" s="3">
        <v>2</v>
      </c>
      <c r="O12" s="3">
        <v>35</v>
      </c>
      <c r="P12" s="3">
        <v>0</v>
      </c>
      <c r="Q12" s="3">
        <v>0</v>
      </c>
      <c r="R12" s="3">
        <v>0</v>
      </c>
      <c r="S12" s="3">
        <v>5.5</v>
      </c>
      <c r="T12" s="3">
        <v>2.81293952180028E-3</v>
      </c>
      <c r="U12" s="3"/>
      <c r="V12" s="3">
        <v>17.5</v>
      </c>
      <c r="W12" s="3"/>
      <c r="X12" s="3"/>
    </row>
    <row r="13" spans="1:24" x14ac:dyDescent="0.25">
      <c r="A13" s="4" t="s">
        <v>1031</v>
      </c>
      <c r="B13" s="4" t="s">
        <v>1021</v>
      </c>
      <c r="C13" s="4" t="s">
        <v>38</v>
      </c>
      <c r="D13" s="4">
        <v>16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108</v>
      </c>
      <c r="N13" s="4">
        <v>72</v>
      </c>
      <c r="O13" s="4">
        <v>620</v>
      </c>
      <c r="P13" s="4">
        <v>3</v>
      </c>
      <c r="Q13" s="4">
        <v>0</v>
      </c>
      <c r="R13" s="4">
        <v>0</v>
      </c>
      <c r="S13" s="4">
        <v>152</v>
      </c>
      <c r="T13" s="4">
        <v>0.151898734177215</v>
      </c>
      <c r="U13" s="4"/>
      <c r="V13" s="4">
        <v>8.6111111111111107</v>
      </c>
      <c r="W13" s="4"/>
      <c r="X13" s="4"/>
    </row>
    <row r="14" spans="1:24" x14ac:dyDescent="0.25">
      <c r="A14" s="3" t="s">
        <v>1032</v>
      </c>
      <c r="B14" s="3" t="s">
        <v>1021</v>
      </c>
      <c r="C14" s="3" t="s">
        <v>43</v>
      </c>
      <c r="D14" s="3">
        <v>10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52</v>
      </c>
      <c r="N14" s="3">
        <v>33</v>
      </c>
      <c r="O14" s="3">
        <v>339</v>
      </c>
      <c r="P14" s="3">
        <v>3</v>
      </c>
      <c r="Q14" s="3">
        <v>0</v>
      </c>
      <c r="R14" s="3">
        <v>0</v>
      </c>
      <c r="S14" s="3">
        <v>84.9</v>
      </c>
      <c r="T14" s="3">
        <v>7.3136427566807299E-2</v>
      </c>
      <c r="U14" s="3"/>
      <c r="V14" s="3">
        <v>10.2727272727273</v>
      </c>
      <c r="W14" s="3"/>
      <c r="X14" s="3"/>
    </row>
    <row r="15" spans="1:24" x14ac:dyDescent="0.25">
      <c r="A15" s="4" t="s">
        <v>1033</v>
      </c>
      <c r="B15" s="4" t="s">
        <v>1021</v>
      </c>
      <c r="C15" s="4" t="s">
        <v>43</v>
      </c>
      <c r="D15" s="4">
        <v>2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4</v>
      </c>
      <c r="N15" s="4">
        <v>2</v>
      </c>
      <c r="O15" s="4">
        <v>13</v>
      </c>
      <c r="P15" s="4">
        <v>0</v>
      </c>
      <c r="Q15" s="4">
        <v>0</v>
      </c>
      <c r="R15" s="4">
        <v>0</v>
      </c>
      <c r="S15" s="4">
        <v>3.3</v>
      </c>
      <c r="T15" s="4">
        <v>5.6258790436005601E-3</v>
      </c>
      <c r="U15" s="4"/>
      <c r="V15" s="4">
        <v>6.5</v>
      </c>
      <c r="W15" s="4"/>
      <c r="X15" s="4"/>
    </row>
    <row r="16" spans="1:24" x14ac:dyDescent="0.25">
      <c r="A16" s="3" t="s">
        <v>1034</v>
      </c>
      <c r="B16" s="3" t="s">
        <v>1021</v>
      </c>
      <c r="C16" s="3" t="s">
        <v>43</v>
      </c>
      <c r="D16" s="3">
        <v>16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17</v>
      </c>
      <c r="K16" s="3">
        <v>80</v>
      </c>
      <c r="L16" s="3">
        <v>0</v>
      </c>
      <c r="M16" s="3">
        <v>32</v>
      </c>
      <c r="N16" s="3">
        <v>24</v>
      </c>
      <c r="O16" s="3">
        <v>156</v>
      </c>
      <c r="P16" s="3">
        <v>0</v>
      </c>
      <c r="Q16" s="3">
        <v>0</v>
      </c>
      <c r="R16" s="3">
        <v>0</v>
      </c>
      <c r="S16" s="3">
        <v>47.6</v>
      </c>
      <c r="T16" s="3">
        <v>4.5007032348804502E-2</v>
      </c>
      <c r="U16" s="3">
        <v>4.7058823529411802</v>
      </c>
      <c r="V16" s="3">
        <v>6.5</v>
      </c>
      <c r="W16" s="3"/>
      <c r="X16" s="3"/>
    </row>
    <row r="17" spans="1:24" x14ac:dyDescent="0.25">
      <c r="A17" s="4" t="s">
        <v>1035</v>
      </c>
      <c r="B17" s="4" t="s">
        <v>1021</v>
      </c>
      <c r="C17" s="4" t="s">
        <v>43</v>
      </c>
      <c r="D17" s="4">
        <v>14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1</v>
      </c>
      <c r="K17" s="4">
        <v>17</v>
      </c>
      <c r="L17" s="4">
        <v>1</v>
      </c>
      <c r="M17" s="4">
        <v>61</v>
      </c>
      <c r="N17" s="4">
        <v>39</v>
      </c>
      <c r="O17" s="4">
        <v>376</v>
      </c>
      <c r="P17" s="4">
        <v>0</v>
      </c>
      <c r="Q17" s="4">
        <v>0</v>
      </c>
      <c r="R17" s="4">
        <v>0</v>
      </c>
      <c r="S17" s="4">
        <v>84.3</v>
      </c>
      <c r="T17" s="4">
        <v>8.5794655414908605E-2</v>
      </c>
      <c r="U17" s="4">
        <v>17</v>
      </c>
      <c r="V17" s="4">
        <v>9.6410256410256405</v>
      </c>
      <c r="W17" s="4"/>
      <c r="X17" s="4"/>
    </row>
    <row r="18" spans="1:24" x14ac:dyDescent="0.25">
      <c r="A18" s="3" t="s">
        <v>1036</v>
      </c>
      <c r="B18" s="3" t="s">
        <v>1021</v>
      </c>
      <c r="C18" s="3" t="s">
        <v>43</v>
      </c>
      <c r="D18" s="3">
        <v>9</v>
      </c>
      <c r="E18" s="3">
        <v>1</v>
      </c>
      <c r="F18" s="3">
        <v>0</v>
      </c>
      <c r="G18" s="3">
        <v>0</v>
      </c>
      <c r="H18" s="3">
        <v>0</v>
      </c>
      <c r="I18" s="3">
        <v>0</v>
      </c>
      <c r="J18" s="3">
        <v>9</v>
      </c>
      <c r="K18" s="3">
        <v>52</v>
      </c>
      <c r="L18" s="3">
        <v>1</v>
      </c>
      <c r="M18" s="3">
        <v>98</v>
      </c>
      <c r="N18" s="3">
        <v>75</v>
      </c>
      <c r="O18" s="3">
        <v>812</v>
      </c>
      <c r="P18" s="3">
        <v>6</v>
      </c>
      <c r="Q18" s="3">
        <v>0</v>
      </c>
      <c r="R18" s="3">
        <v>0</v>
      </c>
      <c r="S18" s="3">
        <v>201.4</v>
      </c>
      <c r="T18" s="3">
        <v>0.137834036568214</v>
      </c>
      <c r="U18" s="3">
        <v>5.7777777777777803</v>
      </c>
      <c r="V18" s="3">
        <v>10.8266666666667</v>
      </c>
      <c r="W18" s="3">
        <v>0</v>
      </c>
      <c r="X18" s="3">
        <v>0</v>
      </c>
    </row>
    <row r="19" spans="1:24" x14ac:dyDescent="0.25">
      <c r="A19" s="4" t="s">
        <v>1037</v>
      </c>
      <c r="B19" s="4" t="s">
        <v>1021</v>
      </c>
      <c r="C19" s="4" t="s">
        <v>43</v>
      </c>
      <c r="D19" s="4">
        <v>1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1</v>
      </c>
      <c r="N19" s="4">
        <v>1</v>
      </c>
      <c r="O19" s="4">
        <v>6</v>
      </c>
      <c r="P19" s="4">
        <v>0</v>
      </c>
      <c r="Q19" s="4">
        <v>0</v>
      </c>
      <c r="R19" s="4">
        <v>0</v>
      </c>
      <c r="S19" s="4">
        <v>1.6</v>
      </c>
      <c r="T19" s="4">
        <v>1.40646976090014E-3</v>
      </c>
      <c r="U19" s="4"/>
      <c r="V19" s="4">
        <v>6</v>
      </c>
      <c r="W19" s="4"/>
      <c r="X19" s="4"/>
    </row>
    <row r="20" spans="1:24" x14ac:dyDescent="0.25">
      <c r="A20" s="3" t="s">
        <v>1038</v>
      </c>
      <c r="B20" s="3" t="s">
        <v>1021</v>
      </c>
      <c r="C20" s="3" t="s">
        <v>43</v>
      </c>
      <c r="D20" s="3">
        <v>2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5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3">
        <v>0</v>
      </c>
      <c r="T20" s="3">
        <v>7.0323488045007003E-3</v>
      </c>
      <c r="U20" s="3"/>
      <c r="V20" s="3"/>
      <c r="W20" s="3"/>
      <c r="X20" s="3"/>
    </row>
    <row r="21" spans="1:24" x14ac:dyDescent="0.25">
      <c r="A21" s="4" t="s">
        <v>1039</v>
      </c>
      <c r="B21" s="4" t="s">
        <v>1021</v>
      </c>
      <c r="C21" s="4" t="s">
        <v>43</v>
      </c>
      <c r="D21" s="4">
        <v>12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9</v>
      </c>
      <c r="K21" s="4">
        <v>34</v>
      </c>
      <c r="L21" s="4">
        <v>1</v>
      </c>
      <c r="M21" s="4">
        <v>35</v>
      </c>
      <c r="N21" s="4">
        <v>18</v>
      </c>
      <c r="O21" s="4">
        <v>298</v>
      </c>
      <c r="P21" s="4">
        <v>1</v>
      </c>
      <c r="Q21" s="4">
        <v>0</v>
      </c>
      <c r="R21" s="4">
        <v>0</v>
      </c>
      <c r="S21" s="4">
        <v>63.2</v>
      </c>
      <c r="T21" s="4">
        <v>4.92264416315049E-2</v>
      </c>
      <c r="U21" s="4">
        <v>3.7777777777777799</v>
      </c>
      <c r="V21" s="4">
        <v>16.5555555555556</v>
      </c>
      <c r="W21" s="4"/>
      <c r="X21" s="4"/>
    </row>
    <row r="22" spans="1:24" x14ac:dyDescent="0.25">
      <c r="A22" s="3" t="s">
        <v>1040</v>
      </c>
      <c r="B22" s="3" t="s">
        <v>1021</v>
      </c>
      <c r="C22" s="3" t="s">
        <v>43</v>
      </c>
      <c r="D22" s="3">
        <v>10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M22" s="3">
        <v>44</v>
      </c>
      <c r="N22" s="3">
        <v>24</v>
      </c>
      <c r="O22" s="3">
        <v>369</v>
      </c>
      <c r="P22" s="3">
        <v>3</v>
      </c>
      <c r="Q22" s="3">
        <v>0</v>
      </c>
      <c r="R22" s="3">
        <v>0</v>
      </c>
      <c r="S22" s="3">
        <v>78.900000000000006</v>
      </c>
      <c r="T22" s="3">
        <v>6.1884669479606198E-2</v>
      </c>
      <c r="U22" s="3"/>
      <c r="V22" s="3">
        <v>15.375</v>
      </c>
      <c r="W22" s="3"/>
      <c r="X22" s="3"/>
    </row>
    <row r="30" spans="1:24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</row>
    <row r="31" spans="1:24" x14ac:dyDescent="0.25">
      <c r="A31" s="3" t="s">
        <v>1021</v>
      </c>
      <c r="B31" s="3">
        <v>5194</v>
      </c>
      <c r="C31" s="3">
        <v>3488</v>
      </c>
      <c r="D31" s="3">
        <v>411</v>
      </c>
      <c r="E31" s="3">
        <v>1661</v>
      </c>
      <c r="F31" s="3">
        <v>15</v>
      </c>
      <c r="G31" s="3">
        <v>1205.02</v>
      </c>
      <c r="H31" s="3">
        <v>529</v>
      </c>
      <c r="I31" s="3">
        <v>0.65217389999999997</v>
      </c>
      <c r="J31" s="3">
        <v>16</v>
      </c>
      <c r="K31" s="3">
        <v>15</v>
      </c>
      <c r="L31" s="3">
        <v>7</v>
      </c>
    </row>
    <row r="32" spans="1:24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</row>
    <row r="33" spans="1:28" x14ac:dyDescent="0.25">
      <c r="A33" s="3" t="str">
        <f>A31</f>
        <v>LAR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1041</v>
      </c>
      <c r="B36" s="3" t="s">
        <v>26</v>
      </c>
      <c r="C36" s="3">
        <v>25</v>
      </c>
      <c r="D36" s="3">
        <v>0</v>
      </c>
      <c r="E36" s="3" t="s">
        <v>173</v>
      </c>
      <c r="F36" s="3" t="s">
        <v>1021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">
        <v>0</v>
      </c>
      <c r="X36" s="3">
        <v>0</v>
      </c>
      <c r="Y36" s="3">
        <v>0</v>
      </c>
      <c r="Z36" s="3">
        <v>0</v>
      </c>
      <c r="AA36" s="3">
        <v>0</v>
      </c>
      <c r="AB36" s="3">
        <v>0</v>
      </c>
    </row>
    <row r="37" spans="1:28" x14ac:dyDescent="0.25">
      <c r="A37" s="4" t="s">
        <v>1042</v>
      </c>
      <c r="B37" s="4" t="s">
        <v>26</v>
      </c>
      <c r="C37" s="4">
        <v>27</v>
      </c>
      <c r="D37" s="4">
        <v>4</v>
      </c>
      <c r="E37" s="4" t="s">
        <v>296</v>
      </c>
      <c r="F37" s="4" t="s">
        <v>1021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</row>
    <row r="38" spans="1:28" x14ac:dyDescent="0.25">
      <c r="A38" s="3" t="s">
        <v>1043</v>
      </c>
      <c r="B38" s="3" t="s">
        <v>26</v>
      </c>
      <c r="C38" s="3">
        <v>35</v>
      </c>
      <c r="D38" s="3">
        <v>15</v>
      </c>
      <c r="E38" s="3" t="s">
        <v>173</v>
      </c>
      <c r="F38" s="3" t="s">
        <v>1021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v>0</v>
      </c>
      <c r="W38" s="3">
        <v>0</v>
      </c>
      <c r="X38" s="3">
        <v>0</v>
      </c>
      <c r="Y38" s="3">
        <v>0</v>
      </c>
      <c r="Z38" s="3">
        <v>0</v>
      </c>
      <c r="AA38" s="3">
        <v>0</v>
      </c>
      <c r="AB38" s="3">
        <v>0</v>
      </c>
    </row>
    <row r="39" spans="1:28" x14ac:dyDescent="0.25">
      <c r="A39" s="4" t="s">
        <v>1044</v>
      </c>
      <c r="B39" s="4" t="s">
        <v>26</v>
      </c>
      <c r="C39" s="4">
        <v>24</v>
      </c>
      <c r="D39" s="4">
        <v>0</v>
      </c>
      <c r="E39" s="4" t="s">
        <v>1045</v>
      </c>
      <c r="F39" s="4" t="s">
        <v>1021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  <c r="AB39" s="4"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1046</v>
      </c>
      <c r="B46" s="3" t="s">
        <v>31</v>
      </c>
      <c r="C46" s="3">
        <v>24</v>
      </c>
      <c r="D46" s="3">
        <v>3</v>
      </c>
      <c r="E46" s="3" t="s">
        <v>1012</v>
      </c>
      <c r="F46" s="3" t="s">
        <v>1021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v>0</v>
      </c>
      <c r="W46" s="3">
        <v>0</v>
      </c>
      <c r="X46" s="3">
        <v>0</v>
      </c>
      <c r="Y46" s="3">
        <v>0</v>
      </c>
      <c r="Z46" s="3">
        <v>0</v>
      </c>
      <c r="AA46" s="3">
        <v>0</v>
      </c>
      <c r="AB46" s="3">
        <f>($J46*Cp_yd)+($K46*Cp_td)+($L46*Cint)+($M46*Ccar)+($N46*Cr_td)+($O46*Cr_yd)+(Q46*Crec)+($R46*Crec_yd)+($S46*Crec_td)+($T46*Cfmb)+($U46*Ctp_c)</f>
        <v>0</v>
      </c>
    </row>
    <row r="47" spans="1:28" x14ac:dyDescent="0.25">
      <c r="A47" s="4" t="s">
        <v>1047</v>
      </c>
      <c r="B47" s="4" t="s">
        <v>31</v>
      </c>
      <c r="C47" s="4">
        <v>22</v>
      </c>
      <c r="D47" s="4">
        <v>0</v>
      </c>
      <c r="E47" s="4" t="s">
        <v>240</v>
      </c>
      <c r="F47" s="4" t="s">
        <v>1021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f>($J47*Cp_yd)+($K47*Cp_td)+($L47*Cint)+($M47*Ccar)+($N47*Cr_td)+($O47*Cr_yd)+(Q47*Crec)+($R47*Crec_yd)+($S47*Crec_td)+($T47*Cfmb)+($U47*Ctp_c)</f>
        <v>0</v>
      </c>
    </row>
    <row r="48" spans="1:28" x14ac:dyDescent="0.25">
      <c r="A48" s="3" t="s">
        <v>1048</v>
      </c>
      <c r="B48" s="3" t="s">
        <v>31</v>
      </c>
      <c r="C48" s="3">
        <v>27</v>
      </c>
      <c r="D48" s="3">
        <v>5</v>
      </c>
      <c r="E48" s="3" t="s">
        <v>205</v>
      </c>
      <c r="F48" s="3" t="s">
        <v>1021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v>0</v>
      </c>
      <c r="W48" s="3">
        <v>0</v>
      </c>
      <c r="X48" s="3">
        <v>0</v>
      </c>
      <c r="Y48" s="3">
        <v>0</v>
      </c>
      <c r="Z48" s="3">
        <v>0</v>
      </c>
      <c r="AA48" s="3">
        <v>0</v>
      </c>
      <c r="AB48" s="3">
        <f>($J48*Cp_yd)+($K48*Cp_td)+($L48*Cint)+($M48*Ccar)+($N48*Cr_td)+($O48*Cr_yd)+(Q48*Crec)+($R48*Crec_yd)+($S48*Crec_td)+($T48*Cfmb)+($U48*Ctp_c)</f>
        <v>0</v>
      </c>
    </row>
    <row r="49" spans="1:28" x14ac:dyDescent="0.25">
      <c r="A49" s="4" t="s">
        <v>1049</v>
      </c>
      <c r="B49" s="4" t="s">
        <v>31</v>
      </c>
      <c r="C49" s="4">
        <v>24</v>
      </c>
      <c r="D49" s="4">
        <v>2</v>
      </c>
      <c r="E49" s="4" t="s">
        <v>280</v>
      </c>
      <c r="F49" s="4" t="s">
        <v>1021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B49" s="4">
        <f>($J49*Cp_yd)+($K49*Cp_td)+($L49*Cint)+($M49*Ccar)+($N49*Cr_td)+($O49*Cr_yd)+(Q49*Crec)+($R49*Crec_yd)+($S49*Crec_td)+($T49*Cfmb)+($U49*Ctp_c)</f>
        <v>0</v>
      </c>
    </row>
    <row r="50" spans="1:28" x14ac:dyDescent="0.25">
      <c r="A50" s="3" t="s">
        <v>1050</v>
      </c>
      <c r="B50" s="3" t="s">
        <v>31</v>
      </c>
      <c r="C50" s="3">
        <v>22</v>
      </c>
      <c r="D50" s="3">
        <v>2</v>
      </c>
      <c r="E50" s="3" t="s">
        <v>362</v>
      </c>
      <c r="F50" s="3" t="s">
        <v>1021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v>0</v>
      </c>
      <c r="W50" s="3">
        <v>0</v>
      </c>
      <c r="X50" s="3">
        <v>0</v>
      </c>
      <c r="Y50" s="3">
        <v>0</v>
      </c>
      <c r="Z50" s="3">
        <v>0</v>
      </c>
      <c r="AA50" s="3">
        <v>0</v>
      </c>
      <c r="AB50" s="3">
        <f>($J50*Cp_yd)+($K50*Cp_td)+($L50*Cint)+($M50*Ccar)+($N50*Cr_td)+($O50*Cr_yd)+(Q50*Crec)+($R50*Crec_yd)+($S50*Crec_td)+($T50*Cfmb)+($U50*Ctp_c)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1051</v>
      </c>
      <c r="B61" s="3" t="s">
        <v>43</v>
      </c>
      <c r="C61" s="3">
        <v>23</v>
      </c>
      <c r="D61" s="3">
        <v>3</v>
      </c>
      <c r="E61" s="3" t="s">
        <v>209</v>
      </c>
      <c r="F61" s="3" t="s">
        <v>1021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v>0</v>
      </c>
      <c r="W61" s="3">
        <v>0</v>
      </c>
      <c r="X61" s="3">
        <v>0</v>
      </c>
      <c r="Y61" s="3">
        <v>0</v>
      </c>
      <c r="Z61" s="3">
        <v>0</v>
      </c>
      <c r="AA61" s="3">
        <v>0</v>
      </c>
      <c r="AB61" s="3">
        <v>0</v>
      </c>
    </row>
    <row r="62" spans="1:28" x14ac:dyDescent="0.25">
      <c r="A62" s="4" t="s">
        <v>1052</v>
      </c>
      <c r="B62" s="4" t="s">
        <v>43</v>
      </c>
      <c r="C62" s="4">
        <v>24</v>
      </c>
      <c r="D62" s="4">
        <v>0</v>
      </c>
      <c r="E62" s="4" t="s">
        <v>795</v>
      </c>
      <c r="F62" s="4" t="s">
        <v>1021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0</v>
      </c>
      <c r="X62" s="4">
        <v>0</v>
      </c>
      <c r="Y62" s="4">
        <v>0</v>
      </c>
      <c r="Z62" s="4">
        <v>0</v>
      </c>
      <c r="AA62" s="4">
        <v>0</v>
      </c>
      <c r="AB62" s="4">
        <v>0</v>
      </c>
    </row>
    <row r="63" spans="1:28" x14ac:dyDescent="0.25">
      <c r="A63" s="3" t="s">
        <v>1053</v>
      </c>
      <c r="B63" s="3" t="s">
        <v>43</v>
      </c>
      <c r="C63" s="3">
        <v>22</v>
      </c>
      <c r="D63" s="3">
        <v>0</v>
      </c>
      <c r="E63" s="3" t="s">
        <v>209</v>
      </c>
      <c r="F63" s="3" t="s">
        <v>1021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v>0</v>
      </c>
      <c r="W63" s="3">
        <v>0</v>
      </c>
      <c r="X63" s="3">
        <v>0</v>
      </c>
      <c r="Y63" s="3">
        <v>0</v>
      </c>
      <c r="Z63" s="3">
        <v>0</v>
      </c>
      <c r="AA63" s="3">
        <v>0</v>
      </c>
      <c r="AB63" s="3">
        <v>0</v>
      </c>
    </row>
    <row r="64" spans="1:28" x14ac:dyDescent="0.25">
      <c r="A64" s="4" t="s">
        <v>1054</v>
      </c>
      <c r="B64" s="4" t="s">
        <v>43</v>
      </c>
      <c r="C64" s="4">
        <v>27</v>
      </c>
      <c r="D64" s="4">
        <v>4</v>
      </c>
      <c r="E64" s="4" t="s">
        <v>178</v>
      </c>
      <c r="F64" s="4" t="s">
        <v>1021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</row>
    <row r="65" spans="1:28" x14ac:dyDescent="0.25">
      <c r="A65" s="3" t="s">
        <v>1055</v>
      </c>
      <c r="B65" s="3" t="s">
        <v>43</v>
      </c>
      <c r="C65" s="3">
        <v>24</v>
      </c>
      <c r="D65" s="3">
        <v>4</v>
      </c>
      <c r="E65" s="3" t="s">
        <v>225</v>
      </c>
      <c r="F65" s="3" t="s">
        <v>1021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v>0</v>
      </c>
      <c r="W65" s="3">
        <v>0</v>
      </c>
      <c r="X65" s="3">
        <v>0</v>
      </c>
      <c r="Y65" s="3">
        <v>0</v>
      </c>
      <c r="Z65" s="3">
        <v>0</v>
      </c>
      <c r="AA65" s="3">
        <v>0</v>
      </c>
      <c r="AB65" s="3">
        <v>0</v>
      </c>
    </row>
    <row r="66" spans="1:28" x14ac:dyDescent="0.25">
      <c r="A66" s="4" t="s">
        <v>1056</v>
      </c>
      <c r="B66" s="4" t="s">
        <v>43</v>
      </c>
      <c r="C66" s="4">
        <v>30</v>
      </c>
      <c r="D66" s="4">
        <v>7</v>
      </c>
      <c r="E66" s="4" t="s">
        <v>413</v>
      </c>
      <c r="F66" s="4" t="s">
        <v>1021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</row>
    <row r="67" spans="1:28" x14ac:dyDescent="0.25">
      <c r="A67" s="3" t="s">
        <v>1057</v>
      </c>
      <c r="B67" s="3" t="s">
        <v>43</v>
      </c>
      <c r="C67" s="3">
        <v>24</v>
      </c>
      <c r="D67" s="3">
        <v>2</v>
      </c>
      <c r="E67" s="3" t="s">
        <v>1058</v>
      </c>
      <c r="F67" s="3" t="s">
        <v>1021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v>0</v>
      </c>
      <c r="W67" s="3">
        <v>0</v>
      </c>
      <c r="X67" s="3">
        <v>0</v>
      </c>
      <c r="Y67" s="3">
        <v>0</v>
      </c>
      <c r="Z67" s="3">
        <v>0</v>
      </c>
      <c r="AA67" s="3">
        <v>0</v>
      </c>
      <c r="AB67" s="3">
        <v>0</v>
      </c>
    </row>
    <row r="68" spans="1:28" x14ac:dyDescent="0.25">
      <c r="A68" s="4" t="s">
        <v>1059</v>
      </c>
      <c r="B68" s="4" t="s">
        <v>43</v>
      </c>
      <c r="C68" s="4">
        <v>23</v>
      </c>
      <c r="D68" s="4">
        <v>0</v>
      </c>
      <c r="E68" s="4" t="s">
        <v>82</v>
      </c>
      <c r="F68" s="4" t="s">
        <v>1021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0</v>
      </c>
      <c r="X68" s="4">
        <v>0</v>
      </c>
      <c r="Y68" s="4">
        <v>0</v>
      </c>
      <c r="Z68" s="4">
        <v>0</v>
      </c>
      <c r="AA68" s="4">
        <v>0</v>
      </c>
      <c r="AB68" s="4">
        <v>0</v>
      </c>
    </row>
    <row r="69" spans="1:28" x14ac:dyDescent="0.25">
      <c r="A69" s="3" t="s">
        <v>1060</v>
      </c>
      <c r="B69" s="3" t="s">
        <v>43</v>
      </c>
      <c r="C69" s="3">
        <v>28</v>
      </c>
      <c r="D69" s="3">
        <v>8</v>
      </c>
      <c r="E69" s="3" t="s">
        <v>178</v>
      </c>
      <c r="F69" s="3" t="s">
        <v>1021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v>0</v>
      </c>
      <c r="W69" s="3">
        <v>0</v>
      </c>
      <c r="X69" s="3">
        <v>0</v>
      </c>
      <c r="Y69" s="3">
        <v>0</v>
      </c>
      <c r="Z69" s="3">
        <v>0</v>
      </c>
      <c r="AA69" s="3">
        <v>0</v>
      </c>
      <c r="AB69" s="3">
        <v>0</v>
      </c>
    </row>
    <row r="70" spans="1:28" x14ac:dyDescent="0.25">
      <c r="A70" s="4" t="s">
        <v>1061</v>
      </c>
      <c r="B70" s="4" t="s">
        <v>43</v>
      </c>
      <c r="C70" s="4">
        <v>26</v>
      </c>
      <c r="D70" s="4">
        <v>3</v>
      </c>
      <c r="E70" s="4" t="s">
        <v>362</v>
      </c>
      <c r="F70" s="4" t="s">
        <v>1021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0</v>
      </c>
      <c r="X70" s="4">
        <v>0</v>
      </c>
      <c r="Y70" s="4">
        <v>0</v>
      </c>
      <c r="Z70" s="4">
        <v>0</v>
      </c>
      <c r="AA70" s="4">
        <v>0</v>
      </c>
      <c r="AB70" s="4">
        <v>0</v>
      </c>
    </row>
    <row r="71" spans="1:28" x14ac:dyDescent="0.25">
      <c r="A71" s="3" t="s">
        <v>1062</v>
      </c>
      <c r="B71" s="3" t="s">
        <v>43</v>
      </c>
      <c r="C71" s="3">
        <v>25</v>
      </c>
      <c r="D71" s="3">
        <v>0</v>
      </c>
      <c r="E71" s="3" t="s">
        <v>1063</v>
      </c>
      <c r="F71" s="3" t="s">
        <v>1021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v>0</v>
      </c>
      <c r="W71" s="3">
        <v>0</v>
      </c>
      <c r="X71" s="3">
        <v>0</v>
      </c>
      <c r="Y71" s="3">
        <v>0</v>
      </c>
      <c r="Z71" s="3">
        <v>0</v>
      </c>
      <c r="AA71" s="3">
        <v>0</v>
      </c>
      <c r="AB71" s="3">
        <v>0</v>
      </c>
    </row>
    <row r="72" spans="1:28" x14ac:dyDescent="0.25">
      <c r="A72" s="4" t="s">
        <v>1064</v>
      </c>
      <c r="B72" s="4" t="s">
        <v>43</v>
      </c>
      <c r="C72" s="4">
        <v>25</v>
      </c>
      <c r="D72" s="4">
        <v>2</v>
      </c>
      <c r="E72" s="4" t="s">
        <v>1065</v>
      </c>
      <c r="F72" s="4" t="s">
        <v>1021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v>0</v>
      </c>
      <c r="W72" s="4">
        <v>0</v>
      </c>
      <c r="X72" s="4">
        <v>0</v>
      </c>
      <c r="Y72" s="4">
        <v>0</v>
      </c>
      <c r="Z72" s="4">
        <v>0</v>
      </c>
      <c r="AA72" s="4">
        <v>0</v>
      </c>
      <c r="AB72" s="4"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1066</v>
      </c>
      <c r="B76" s="3" t="s">
        <v>38</v>
      </c>
      <c r="C76" s="3">
        <v>22</v>
      </c>
      <c r="D76" s="3">
        <v>0</v>
      </c>
      <c r="E76" s="3" t="s">
        <v>458</v>
      </c>
      <c r="F76" s="3" t="s">
        <v>1021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v>0</v>
      </c>
      <c r="W76" s="3">
        <v>0</v>
      </c>
      <c r="X76" s="3">
        <v>0</v>
      </c>
      <c r="Y76" s="3">
        <v>0</v>
      </c>
      <c r="Z76" s="3">
        <v>0</v>
      </c>
      <c r="AA76" s="3">
        <v>0</v>
      </c>
      <c r="AB76" s="3">
        <v>0</v>
      </c>
    </row>
    <row r="77" spans="1:28" x14ac:dyDescent="0.25">
      <c r="A77" s="4" t="s">
        <v>1067</v>
      </c>
      <c r="B77" s="4" t="s">
        <v>38</v>
      </c>
      <c r="C77" s="4">
        <v>30</v>
      </c>
      <c r="D77" s="4">
        <v>8</v>
      </c>
      <c r="E77" s="4" t="s">
        <v>1068</v>
      </c>
      <c r="F77" s="4" t="s">
        <v>1021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v>0</v>
      </c>
      <c r="W77" s="4">
        <v>0</v>
      </c>
      <c r="X77" s="4">
        <v>0</v>
      </c>
      <c r="Y77" s="4">
        <v>0</v>
      </c>
      <c r="Z77" s="4">
        <v>0</v>
      </c>
      <c r="AA77" s="4">
        <v>0</v>
      </c>
      <c r="AB77" s="4">
        <v>0</v>
      </c>
    </row>
    <row r="78" spans="1:28" x14ac:dyDescent="0.25">
      <c r="A78" s="3" t="s">
        <v>1069</v>
      </c>
      <c r="B78" s="3" t="s">
        <v>38</v>
      </c>
      <c r="C78" s="3">
        <v>26</v>
      </c>
      <c r="D78" s="3">
        <v>4</v>
      </c>
      <c r="E78" s="3" t="s">
        <v>62</v>
      </c>
      <c r="F78" s="3" t="s">
        <v>1021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v>0</v>
      </c>
      <c r="W78" s="3">
        <v>0</v>
      </c>
      <c r="X78" s="3">
        <v>0</v>
      </c>
      <c r="Y78" s="3">
        <v>0</v>
      </c>
      <c r="Z78" s="3">
        <v>0</v>
      </c>
      <c r="AA78" s="3">
        <v>0</v>
      </c>
      <c r="AB78" s="3">
        <v>0</v>
      </c>
    </row>
    <row r="79" spans="1:28" x14ac:dyDescent="0.25">
      <c r="A79" s="4" t="s">
        <v>1070</v>
      </c>
      <c r="B79" s="4" t="s">
        <v>38</v>
      </c>
      <c r="C79" s="4">
        <v>26</v>
      </c>
      <c r="D79" s="4">
        <v>2</v>
      </c>
      <c r="E79" s="4" t="s">
        <v>93</v>
      </c>
      <c r="F79" s="4" t="s">
        <v>1021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v>0</v>
      </c>
      <c r="W79" s="4">
        <v>0</v>
      </c>
      <c r="X79" s="4">
        <v>0</v>
      </c>
      <c r="Y79" s="4">
        <v>0</v>
      </c>
      <c r="Z79" s="4">
        <v>0</v>
      </c>
      <c r="AA79" s="4">
        <v>0</v>
      </c>
      <c r="AB79" s="4">
        <v>0</v>
      </c>
    </row>
    <row r="80" spans="1:28" x14ac:dyDescent="0.25">
      <c r="A80" s="3" t="s">
        <v>1071</v>
      </c>
      <c r="B80" s="3" t="s">
        <v>38</v>
      </c>
      <c r="C80" s="3">
        <v>24</v>
      </c>
      <c r="D80" s="3">
        <v>3</v>
      </c>
      <c r="E80" s="3" t="s">
        <v>235</v>
      </c>
      <c r="F80" s="3" t="s">
        <v>1021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v>0</v>
      </c>
      <c r="W80" s="3">
        <v>0</v>
      </c>
      <c r="X80" s="3">
        <v>0</v>
      </c>
      <c r="Y80" s="3">
        <v>0</v>
      </c>
      <c r="Z80" s="3">
        <v>0</v>
      </c>
      <c r="AA80" s="3">
        <v>0</v>
      </c>
      <c r="AB80" s="3">
        <v>0</v>
      </c>
    </row>
    <row r="81" spans="1:28" x14ac:dyDescent="0.25">
      <c r="A81" s="4" t="s">
        <v>1072</v>
      </c>
      <c r="B81" s="4" t="s">
        <v>38</v>
      </c>
      <c r="C81" s="4">
        <v>24</v>
      </c>
      <c r="D81" s="4">
        <v>1</v>
      </c>
      <c r="E81" s="4" t="s">
        <v>1012</v>
      </c>
      <c r="F81" s="4" t="s">
        <v>1021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v>0</v>
      </c>
      <c r="W81" s="4">
        <v>0</v>
      </c>
      <c r="X81" s="4">
        <v>0</v>
      </c>
      <c r="Y81" s="4">
        <v>0</v>
      </c>
      <c r="Z81" s="4">
        <v>0</v>
      </c>
      <c r="AA81" s="4">
        <v>0</v>
      </c>
      <c r="AB81" s="4">
        <v>0</v>
      </c>
    </row>
    <row r="82" spans="1:28" x14ac:dyDescent="0.25">
      <c r="A82" s="3" t="s">
        <v>1073</v>
      </c>
      <c r="B82" s="3" t="s">
        <v>38</v>
      </c>
      <c r="C82" s="3">
        <v>22</v>
      </c>
      <c r="D82" s="3">
        <v>0</v>
      </c>
      <c r="E82" s="3" t="s">
        <v>168</v>
      </c>
      <c r="F82" s="3" t="s">
        <v>1021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v>0</v>
      </c>
      <c r="W82" s="3">
        <v>0</v>
      </c>
      <c r="X82" s="3">
        <v>0</v>
      </c>
      <c r="Y82" s="3">
        <v>0</v>
      </c>
      <c r="Z82" s="3">
        <v>0</v>
      </c>
      <c r="AA82" s="3">
        <v>0</v>
      </c>
      <c r="AB82" s="3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AB81"/>
  <sheetViews>
    <sheetView topLeftCell="G25" workbookViewId="0">
      <selection activeCell="AB46" sqref="AB46:AB54"/>
    </sheetView>
  </sheetViews>
  <sheetFormatPr defaultColWidth="11.42578125" defaultRowHeight="15" x14ac:dyDescent="0.25"/>
  <sheetData>
    <row r="1" spans="1:24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</row>
    <row r="2" spans="1:24" x14ac:dyDescent="0.25">
      <c r="A2" s="3" t="s">
        <v>1074</v>
      </c>
      <c r="B2" s="3" t="s">
        <v>1075</v>
      </c>
      <c r="C2" s="3" t="s">
        <v>115</v>
      </c>
      <c r="D2" s="3">
        <v>6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6</v>
      </c>
      <c r="N2" s="3">
        <v>5</v>
      </c>
      <c r="O2" s="3">
        <v>10</v>
      </c>
      <c r="P2" s="3">
        <v>0</v>
      </c>
      <c r="Q2" s="3">
        <v>0</v>
      </c>
      <c r="R2" s="3">
        <v>0</v>
      </c>
      <c r="S2" s="3">
        <v>6</v>
      </c>
      <c r="T2" s="3">
        <v>1.13421550094518E-2</v>
      </c>
      <c r="U2" s="3"/>
      <c r="V2" s="3">
        <v>2</v>
      </c>
      <c r="W2" s="3"/>
      <c r="X2" s="3"/>
    </row>
    <row r="3" spans="1:24" x14ac:dyDescent="0.25">
      <c r="A3" s="4" t="s">
        <v>1076</v>
      </c>
      <c r="B3" s="4" t="s">
        <v>1075</v>
      </c>
      <c r="C3" s="4" t="s">
        <v>26</v>
      </c>
      <c r="D3" s="4">
        <v>15</v>
      </c>
      <c r="E3" s="4">
        <v>502</v>
      </c>
      <c r="F3" s="4">
        <v>305</v>
      </c>
      <c r="G3" s="4">
        <v>3522</v>
      </c>
      <c r="H3" s="4">
        <v>24</v>
      </c>
      <c r="I3" s="4">
        <v>14</v>
      </c>
      <c r="J3" s="4">
        <v>24</v>
      </c>
      <c r="K3" s="4">
        <v>102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219.08</v>
      </c>
      <c r="T3" s="4">
        <v>0</v>
      </c>
      <c r="U3" s="4">
        <v>4.25</v>
      </c>
      <c r="V3" s="4"/>
      <c r="W3" s="4">
        <v>0.60756972111553798</v>
      </c>
      <c r="X3" s="4">
        <v>4.7808764940239001E-2</v>
      </c>
    </row>
    <row r="4" spans="1:24" x14ac:dyDescent="0.25">
      <c r="A4" s="3" t="s">
        <v>1077</v>
      </c>
      <c r="B4" s="3" t="s">
        <v>1075</v>
      </c>
      <c r="C4" s="3" t="s">
        <v>26</v>
      </c>
      <c r="D4" s="3">
        <v>3</v>
      </c>
      <c r="E4" s="3">
        <v>83</v>
      </c>
      <c r="F4" s="3">
        <v>53</v>
      </c>
      <c r="G4" s="3">
        <v>656</v>
      </c>
      <c r="H4" s="3">
        <v>4</v>
      </c>
      <c r="I4" s="3">
        <v>3</v>
      </c>
      <c r="J4" s="3">
        <v>14</v>
      </c>
      <c r="K4" s="3">
        <v>84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1</v>
      </c>
      <c r="R4" s="3">
        <v>0</v>
      </c>
      <c r="S4" s="3">
        <v>42.64</v>
      </c>
      <c r="T4" s="3">
        <v>0</v>
      </c>
      <c r="U4" s="3">
        <v>6</v>
      </c>
      <c r="V4" s="3"/>
      <c r="W4" s="3">
        <v>0.63855421686747005</v>
      </c>
      <c r="X4" s="3">
        <v>4.81927710843374E-2</v>
      </c>
    </row>
    <row r="5" spans="1:24" x14ac:dyDescent="0.25">
      <c r="A5" s="4" t="s">
        <v>1078</v>
      </c>
      <c r="B5" s="4" t="s">
        <v>1075</v>
      </c>
      <c r="C5" s="4" t="s">
        <v>31</v>
      </c>
      <c r="D5" s="4">
        <v>13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4</v>
      </c>
      <c r="K5" s="4">
        <v>20</v>
      </c>
      <c r="L5" s="4">
        <v>0</v>
      </c>
      <c r="M5" s="4">
        <v>32</v>
      </c>
      <c r="N5" s="4">
        <v>25</v>
      </c>
      <c r="O5" s="4">
        <v>211</v>
      </c>
      <c r="P5" s="4">
        <v>1</v>
      </c>
      <c r="Q5" s="4">
        <v>0</v>
      </c>
      <c r="R5" s="4">
        <v>0</v>
      </c>
      <c r="S5" s="4">
        <v>54.1</v>
      </c>
      <c r="T5" s="4">
        <v>6.0491493383742899E-2</v>
      </c>
      <c r="U5" s="4">
        <v>5</v>
      </c>
      <c r="V5" s="4">
        <v>8.44</v>
      </c>
      <c r="W5" s="4"/>
      <c r="X5" s="4"/>
    </row>
    <row r="6" spans="1:24" x14ac:dyDescent="0.25">
      <c r="A6" s="3" t="s">
        <v>1079</v>
      </c>
      <c r="B6" s="3" t="s">
        <v>1075</v>
      </c>
      <c r="C6" s="3" t="s">
        <v>31</v>
      </c>
      <c r="D6" s="3">
        <v>8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17</v>
      </c>
      <c r="K6" s="3">
        <v>66</v>
      </c>
      <c r="L6" s="3">
        <v>0</v>
      </c>
      <c r="M6" s="3">
        <v>9</v>
      </c>
      <c r="N6" s="3">
        <v>9</v>
      </c>
      <c r="O6" s="3">
        <v>57</v>
      </c>
      <c r="P6" s="3">
        <v>1</v>
      </c>
      <c r="Q6" s="3">
        <v>0</v>
      </c>
      <c r="R6" s="3">
        <v>0</v>
      </c>
      <c r="S6" s="3">
        <v>27.3</v>
      </c>
      <c r="T6" s="3">
        <v>1.70132325141777E-2</v>
      </c>
      <c r="U6" s="3">
        <v>3.8823529411764701</v>
      </c>
      <c r="V6" s="3">
        <v>6.3333333333333304</v>
      </c>
      <c r="W6" s="3"/>
      <c r="X6" s="3"/>
    </row>
    <row r="7" spans="1:24" x14ac:dyDescent="0.25">
      <c r="A7" s="4" t="s">
        <v>1080</v>
      </c>
      <c r="B7" s="4" t="s">
        <v>1075</v>
      </c>
      <c r="C7" s="4" t="s">
        <v>31</v>
      </c>
      <c r="D7" s="4">
        <v>17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340</v>
      </c>
      <c r="K7" s="4">
        <v>1653</v>
      </c>
      <c r="L7" s="4">
        <v>12</v>
      </c>
      <c r="M7" s="4">
        <v>64</v>
      </c>
      <c r="N7" s="4">
        <v>53</v>
      </c>
      <c r="O7" s="4">
        <v>400</v>
      </c>
      <c r="P7" s="4">
        <v>0</v>
      </c>
      <c r="Q7" s="4">
        <v>0</v>
      </c>
      <c r="R7" s="4">
        <v>0</v>
      </c>
      <c r="S7" s="4">
        <v>328.3</v>
      </c>
      <c r="T7" s="4">
        <v>0.12098298676748601</v>
      </c>
      <c r="U7" s="4">
        <v>4.8617647058823499</v>
      </c>
      <c r="V7" s="4">
        <v>7.5471698113207504</v>
      </c>
      <c r="W7" s="4"/>
      <c r="X7" s="4"/>
    </row>
    <row r="8" spans="1:24" x14ac:dyDescent="0.25">
      <c r="A8" s="3" t="s">
        <v>1081</v>
      </c>
      <c r="B8" s="3" t="s">
        <v>1075</v>
      </c>
      <c r="C8" s="3" t="s">
        <v>31</v>
      </c>
      <c r="D8" s="3">
        <v>11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17</v>
      </c>
      <c r="K8" s="3">
        <v>70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7</v>
      </c>
      <c r="T8" s="3">
        <v>0</v>
      </c>
      <c r="U8" s="3">
        <v>4.1176470588235299</v>
      </c>
      <c r="V8" s="3"/>
      <c r="W8" s="3"/>
      <c r="X8" s="3"/>
    </row>
    <row r="9" spans="1:24" x14ac:dyDescent="0.25">
      <c r="A9" s="4" t="s">
        <v>1082</v>
      </c>
      <c r="B9" s="4" t="s">
        <v>1075</v>
      </c>
      <c r="C9" s="4" t="s">
        <v>38</v>
      </c>
      <c r="D9" s="4">
        <v>8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43</v>
      </c>
      <c r="N9" s="4">
        <v>28</v>
      </c>
      <c r="O9" s="4">
        <v>388</v>
      </c>
      <c r="P9" s="4">
        <v>3</v>
      </c>
      <c r="Q9" s="4">
        <v>0</v>
      </c>
      <c r="R9" s="4">
        <v>0</v>
      </c>
      <c r="S9" s="4">
        <v>84.8</v>
      </c>
      <c r="T9" s="4">
        <v>8.1285444234404494E-2</v>
      </c>
      <c r="U9" s="4"/>
      <c r="V9" s="4">
        <v>13.8571428571429</v>
      </c>
      <c r="W9" s="4"/>
      <c r="X9" s="4"/>
    </row>
    <row r="10" spans="1:24" x14ac:dyDescent="0.25">
      <c r="A10" s="3" t="s">
        <v>1083</v>
      </c>
      <c r="B10" s="3" t="s">
        <v>1075</v>
      </c>
      <c r="C10" s="3" t="s">
        <v>38</v>
      </c>
      <c r="D10" s="3">
        <v>14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54</v>
      </c>
      <c r="N10" s="3">
        <v>33</v>
      </c>
      <c r="O10" s="3">
        <v>420</v>
      </c>
      <c r="P10" s="3">
        <v>2</v>
      </c>
      <c r="Q10" s="3">
        <v>0</v>
      </c>
      <c r="R10" s="3">
        <v>0</v>
      </c>
      <c r="S10" s="3">
        <v>87</v>
      </c>
      <c r="T10" s="3">
        <v>0.102079395085066</v>
      </c>
      <c r="U10" s="3"/>
      <c r="V10" s="3">
        <v>12.7272727272727</v>
      </c>
      <c r="W10" s="3"/>
      <c r="X10" s="3"/>
    </row>
    <row r="11" spans="1:24" x14ac:dyDescent="0.25">
      <c r="A11" s="4" t="s">
        <v>1084</v>
      </c>
      <c r="B11" s="4" t="s">
        <v>1075</v>
      </c>
      <c r="C11" s="4" t="s">
        <v>38</v>
      </c>
      <c r="D11" s="4">
        <v>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4</v>
      </c>
      <c r="N11" s="4">
        <v>3</v>
      </c>
      <c r="O11" s="4">
        <v>19</v>
      </c>
      <c r="P11" s="4">
        <v>0</v>
      </c>
      <c r="Q11" s="4">
        <v>0</v>
      </c>
      <c r="R11" s="4">
        <v>0</v>
      </c>
      <c r="S11" s="4">
        <v>4.9000000000000004</v>
      </c>
      <c r="T11" s="4">
        <v>7.5614366729678598E-3</v>
      </c>
      <c r="U11" s="4"/>
      <c r="V11" s="4">
        <v>6.3333333333333304</v>
      </c>
      <c r="W11" s="4"/>
      <c r="X11" s="4"/>
    </row>
    <row r="12" spans="1:24" x14ac:dyDescent="0.25">
      <c r="A12" s="3" t="s">
        <v>1085</v>
      </c>
      <c r="B12" s="3" t="s">
        <v>1075</v>
      </c>
      <c r="C12" s="3" t="s">
        <v>43</v>
      </c>
      <c r="D12" s="3">
        <v>17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3</v>
      </c>
      <c r="K12" s="3">
        <v>-1</v>
      </c>
      <c r="L12" s="3">
        <v>0</v>
      </c>
      <c r="M12" s="3">
        <v>180</v>
      </c>
      <c r="N12" s="3">
        <v>100</v>
      </c>
      <c r="O12" s="3">
        <v>1516</v>
      </c>
      <c r="P12" s="3">
        <v>14</v>
      </c>
      <c r="Q12" s="3">
        <v>0</v>
      </c>
      <c r="R12" s="3">
        <v>0</v>
      </c>
      <c r="S12" s="3">
        <v>335.5</v>
      </c>
      <c r="T12" s="3">
        <v>0.34026465028355402</v>
      </c>
      <c r="U12" s="3">
        <v>-0.33333333333333298</v>
      </c>
      <c r="V12" s="3">
        <v>15.16</v>
      </c>
      <c r="W12" s="3"/>
      <c r="X12" s="3"/>
    </row>
    <row r="13" spans="1:24" x14ac:dyDescent="0.25">
      <c r="A13" s="4" t="s">
        <v>1086</v>
      </c>
      <c r="B13" s="4" t="s">
        <v>1075</v>
      </c>
      <c r="C13" s="4" t="s">
        <v>43</v>
      </c>
      <c r="D13" s="4">
        <v>2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4</v>
      </c>
      <c r="K13" s="4">
        <v>26</v>
      </c>
      <c r="L13" s="4">
        <v>0</v>
      </c>
      <c r="M13" s="4">
        <v>1</v>
      </c>
      <c r="N13" s="4">
        <v>0</v>
      </c>
      <c r="O13" s="4">
        <v>0</v>
      </c>
      <c r="P13" s="4">
        <v>0</v>
      </c>
      <c r="Q13" s="4">
        <v>0</v>
      </c>
      <c r="R13" s="4">
        <v>0</v>
      </c>
      <c r="S13" s="4">
        <v>2.6</v>
      </c>
      <c r="T13" s="4">
        <v>1.8903591682419699E-3</v>
      </c>
      <c r="U13" s="4">
        <v>6.5</v>
      </c>
      <c r="V13" s="4"/>
      <c r="W13" s="4"/>
      <c r="X13" s="4"/>
    </row>
    <row r="14" spans="1:24" x14ac:dyDescent="0.25">
      <c r="A14" s="3" t="s">
        <v>1087</v>
      </c>
      <c r="B14" s="3" t="s">
        <v>1075</v>
      </c>
      <c r="C14" s="3" t="s">
        <v>43</v>
      </c>
      <c r="D14" s="3">
        <v>10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50</v>
      </c>
      <c r="N14" s="3">
        <v>36</v>
      </c>
      <c r="O14" s="3">
        <v>330</v>
      </c>
      <c r="P14" s="3">
        <v>2</v>
      </c>
      <c r="Q14" s="3">
        <v>0</v>
      </c>
      <c r="R14" s="3">
        <v>0</v>
      </c>
      <c r="S14" s="3">
        <v>79</v>
      </c>
      <c r="T14" s="3">
        <v>9.4517958412098299E-2</v>
      </c>
      <c r="U14" s="3"/>
      <c r="V14" s="3">
        <v>9.1666666666666696</v>
      </c>
      <c r="W14" s="3"/>
      <c r="X14" s="3"/>
    </row>
    <row r="15" spans="1:24" x14ac:dyDescent="0.25">
      <c r="A15" s="4" t="s">
        <v>1088</v>
      </c>
      <c r="B15" s="4" t="s">
        <v>1075</v>
      </c>
      <c r="C15" s="4" t="s">
        <v>43</v>
      </c>
      <c r="D15" s="4">
        <v>9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21</v>
      </c>
      <c r="N15" s="4">
        <v>10</v>
      </c>
      <c r="O15" s="4">
        <v>141</v>
      </c>
      <c r="P15" s="4">
        <v>1</v>
      </c>
      <c r="Q15" s="4">
        <v>0</v>
      </c>
      <c r="R15" s="4">
        <v>0</v>
      </c>
      <c r="S15" s="4">
        <v>30.1</v>
      </c>
      <c r="T15" s="4">
        <v>3.9697542533081297E-2</v>
      </c>
      <c r="U15" s="4"/>
      <c r="V15" s="4">
        <v>14.1</v>
      </c>
      <c r="W15" s="4"/>
      <c r="X15" s="4"/>
    </row>
    <row r="16" spans="1:24" x14ac:dyDescent="0.25">
      <c r="A16" s="3" t="s">
        <v>1089</v>
      </c>
      <c r="B16" s="3" t="s">
        <v>1075</v>
      </c>
      <c r="C16" s="3" t="s">
        <v>43</v>
      </c>
      <c r="D16" s="3">
        <v>17</v>
      </c>
      <c r="E16" s="3">
        <v>1</v>
      </c>
      <c r="F16" s="3">
        <v>1</v>
      </c>
      <c r="G16" s="3">
        <v>4</v>
      </c>
      <c r="H16" s="3">
        <v>0</v>
      </c>
      <c r="I16" s="3">
        <v>0</v>
      </c>
      <c r="J16" s="3">
        <v>4</v>
      </c>
      <c r="K16" s="3">
        <v>40</v>
      </c>
      <c r="L16" s="3">
        <v>0</v>
      </c>
      <c r="M16" s="3">
        <v>94</v>
      </c>
      <c r="N16" s="3">
        <v>57</v>
      </c>
      <c r="O16" s="3">
        <v>690</v>
      </c>
      <c r="P16" s="3">
        <v>4</v>
      </c>
      <c r="Q16" s="3">
        <v>0</v>
      </c>
      <c r="R16" s="3">
        <v>0</v>
      </c>
      <c r="S16" s="3">
        <v>154.16</v>
      </c>
      <c r="T16" s="3">
        <v>0.177693761814745</v>
      </c>
      <c r="U16" s="3">
        <v>10</v>
      </c>
      <c r="V16" s="3">
        <v>12.105263157894701</v>
      </c>
      <c r="W16" s="3">
        <v>1</v>
      </c>
      <c r="X16" s="3">
        <v>0</v>
      </c>
    </row>
    <row r="30" spans="1:12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</row>
    <row r="31" spans="1:12" x14ac:dyDescent="0.25">
      <c r="A31" s="3" t="s">
        <v>1075</v>
      </c>
      <c r="B31" s="3">
        <v>6242</v>
      </c>
      <c r="C31" s="3">
        <v>4182</v>
      </c>
      <c r="D31" s="3">
        <v>427</v>
      </c>
      <c r="E31" s="3">
        <v>2060</v>
      </c>
      <c r="F31" s="3">
        <v>12</v>
      </c>
      <c r="G31" s="3">
        <v>1462.48</v>
      </c>
      <c r="H31" s="3">
        <v>586</v>
      </c>
      <c r="I31" s="3">
        <v>0.61262798634812299</v>
      </c>
      <c r="J31" s="3">
        <v>28</v>
      </c>
      <c r="K31" s="3">
        <v>17</v>
      </c>
      <c r="L31" s="3">
        <v>1</v>
      </c>
    </row>
    <row r="32" spans="1:12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</row>
    <row r="33" spans="1:28" x14ac:dyDescent="0.25">
      <c r="A33" s="3" t="str">
        <f>A31</f>
        <v>LV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1090</v>
      </c>
      <c r="B36" s="3" t="s">
        <v>26</v>
      </c>
      <c r="C36" s="3">
        <v>24</v>
      </c>
      <c r="D36" s="3">
        <v>1</v>
      </c>
      <c r="E36" s="3" t="s">
        <v>666</v>
      </c>
      <c r="F36" s="3" t="s">
        <v>1075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">
        <v>0</v>
      </c>
      <c r="X36" s="3">
        <v>0</v>
      </c>
      <c r="Y36" s="3">
        <v>0</v>
      </c>
      <c r="Z36" s="3">
        <v>0</v>
      </c>
      <c r="AA36" s="3">
        <v>0</v>
      </c>
      <c r="AB36" s="3">
        <v>0</v>
      </c>
    </row>
    <row r="37" spans="1:28" x14ac:dyDescent="0.25">
      <c r="A37" s="4" t="s">
        <v>1091</v>
      </c>
      <c r="B37" s="4" t="s">
        <v>26</v>
      </c>
      <c r="C37" s="4">
        <v>31</v>
      </c>
      <c r="D37" s="4">
        <v>10</v>
      </c>
      <c r="E37" s="4" t="s">
        <v>1092</v>
      </c>
      <c r="F37" s="4" t="s">
        <v>1075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</row>
    <row r="38" spans="1:28" x14ac:dyDescent="0.25">
      <c r="A38" s="3" t="s">
        <v>1093</v>
      </c>
      <c r="B38" s="3" t="s">
        <v>26</v>
      </c>
      <c r="C38" s="3">
        <v>37</v>
      </c>
      <c r="D38" s="3">
        <v>15</v>
      </c>
      <c r="E38" s="3" t="s">
        <v>744</v>
      </c>
      <c r="F38" s="3" t="s">
        <v>1075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v>0</v>
      </c>
      <c r="W38" s="3">
        <v>0</v>
      </c>
      <c r="X38" s="3">
        <v>0</v>
      </c>
      <c r="Y38" s="3">
        <v>0</v>
      </c>
      <c r="Z38" s="3">
        <v>0</v>
      </c>
      <c r="AA38" s="3">
        <v>0</v>
      </c>
      <c r="AB38" s="3">
        <v>0</v>
      </c>
    </row>
    <row r="39" spans="1:28" x14ac:dyDescent="0.25">
      <c r="A39" s="4" t="s">
        <v>1094</v>
      </c>
      <c r="B39" s="4" t="s">
        <v>26</v>
      </c>
      <c r="C39" s="4">
        <v>24</v>
      </c>
      <c r="D39" s="4">
        <v>0</v>
      </c>
      <c r="E39" s="4" t="s">
        <v>62</v>
      </c>
      <c r="F39" s="4" t="s">
        <v>1075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  <c r="AB39" s="4"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1095</v>
      </c>
      <c r="B46" s="3" t="s">
        <v>31</v>
      </c>
      <c r="C46" s="3">
        <v>30</v>
      </c>
      <c r="D46" s="3">
        <v>9</v>
      </c>
      <c r="E46" s="3" t="s">
        <v>248</v>
      </c>
      <c r="F46" s="3" t="s">
        <v>1075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v>0</v>
      </c>
      <c r="W46" s="3">
        <v>0</v>
      </c>
      <c r="X46" s="3">
        <v>0</v>
      </c>
      <c r="Y46" s="3">
        <v>0</v>
      </c>
      <c r="Z46" s="3">
        <v>0</v>
      </c>
      <c r="AA46" s="3">
        <v>0</v>
      </c>
      <c r="AB46" s="3">
        <f t="shared" ref="AB46:AB54" si="0">($J46*Cp_yd)+($K46*Cp_td)+($L46*Cint)+($M46*Ccar)+($N46*Cr_td)+($O46*Cr_yd)+(Q46*Crec)+($R46*Crec_yd)+($S46*Crec_td)+($T46*Cfmb)+($U46*Ctp_c)</f>
        <v>0</v>
      </c>
    </row>
    <row r="47" spans="1:28" x14ac:dyDescent="0.25">
      <c r="A47" s="4" t="s">
        <v>1096</v>
      </c>
      <c r="B47" s="4" t="s">
        <v>31</v>
      </c>
      <c r="C47" s="4">
        <v>33</v>
      </c>
      <c r="D47" s="4">
        <v>11</v>
      </c>
      <c r="E47" s="4" t="s">
        <v>240</v>
      </c>
      <c r="F47" s="4" t="s">
        <v>1075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f t="shared" si="0"/>
        <v>0</v>
      </c>
    </row>
    <row r="48" spans="1:28" x14ac:dyDescent="0.25">
      <c r="A48" s="3" t="s">
        <v>1097</v>
      </c>
      <c r="B48" s="3" t="s">
        <v>31</v>
      </c>
      <c r="C48" s="3">
        <v>25</v>
      </c>
      <c r="D48" s="3">
        <v>2</v>
      </c>
      <c r="E48" s="3" t="s">
        <v>418</v>
      </c>
      <c r="F48" s="3" t="s">
        <v>1075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v>0</v>
      </c>
      <c r="W48" s="3">
        <v>0</v>
      </c>
      <c r="X48" s="3">
        <v>0</v>
      </c>
      <c r="Y48" s="3">
        <v>0</v>
      </c>
      <c r="Z48" s="3">
        <v>0</v>
      </c>
      <c r="AA48" s="3">
        <v>0</v>
      </c>
      <c r="AB48" s="3">
        <f t="shared" si="0"/>
        <v>0</v>
      </c>
    </row>
    <row r="49" spans="1:28" x14ac:dyDescent="0.25">
      <c r="A49" s="4" t="s">
        <v>1098</v>
      </c>
      <c r="B49" s="4" t="s">
        <v>31</v>
      </c>
      <c r="C49" s="4">
        <v>25</v>
      </c>
      <c r="D49" s="4">
        <v>5</v>
      </c>
      <c r="E49" s="4" t="s">
        <v>153</v>
      </c>
      <c r="F49" s="4" t="s">
        <v>1075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B49" s="4">
        <f t="shared" si="0"/>
        <v>0</v>
      </c>
    </row>
    <row r="50" spans="1:28" x14ac:dyDescent="0.25">
      <c r="A50" s="3" t="s">
        <v>1099</v>
      </c>
      <c r="B50" s="3" t="s">
        <v>31</v>
      </c>
      <c r="C50" s="3">
        <v>22</v>
      </c>
      <c r="D50" s="3">
        <v>2</v>
      </c>
      <c r="E50" s="3" t="s">
        <v>1100</v>
      </c>
      <c r="F50" s="3" t="s">
        <v>1075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v>0</v>
      </c>
      <c r="W50" s="3">
        <v>0</v>
      </c>
      <c r="X50" s="3">
        <v>0</v>
      </c>
      <c r="Y50" s="3">
        <v>0</v>
      </c>
      <c r="Z50" s="3">
        <v>0</v>
      </c>
      <c r="AA50" s="3">
        <v>0</v>
      </c>
      <c r="AB50" s="3">
        <f t="shared" si="0"/>
        <v>0</v>
      </c>
    </row>
    <row r="51" spans="1:28" x14ac:dyDescent="0.25">
      <c r="A51" s="4" t="s">
        <v>1101</v>
      </c>
      <c r="B51" s="4" t="s">
        <v>31</v>
      </c>
      <c r="C51" s="4">
        <v>26</v>
      </c>
      <c r="D51" s="4">
        <v>3</v>
      </c>
      <c r="E51" s="4" t="s">
        <v>89</v>
      </c>
      <c r="F51" s="4" t="s">
        <v>1075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v>0</v>
      </c>
      <c r="W51" s="4">
        <v>0</v>
      </c>
      <c r="X51" s="4">
        <v>0</v>
      </c>
      <c r="Y51" s="4">
        <v>0</v>
      </c>
      <c r="Z51" s="4">
        <v>0</v>
      </c>
      <c r="AA51" s="4">
        <v>0</v>
      </c>
      <c r="AB51" s="4">
        <f t="shared" si="0"/>
        <v>0</v>
      </c>
    </row>
    <row r="52" spans="1:28" x14ac:dyDescent="0.25">
      <c r="A52" s="3" t="s">
        <v>1102</v>
      </c>
      <c r="B52" s="3" t="s">
        <v>31</v>
      </c>
      <c r="C52" s="3">
        <v>26</v>
      </c>
      <c r="D52" s="3">
        <v>3</v>
      </c>
      <c r="E52" s="3" t="s">
        <v>1065</v>
      </c>
      <c r="F52" s="3" t="s">
        <v>1075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v>0</v>
      </c>
      <c r="W52" s="3">
        <v>0</v>
      </c>
      <c r="X52" s="3">
        <v>0</v>
      </c>
      <c r="Y52" s="3">
        <v>0</v>
      </c>
      <c r="Z52" s="3">
        <v>0</v>
      </c>
      <c r="AA52" s="3">
        <v>0</v>
      </c>
      <c r="AB52" s="3">
        <f t="shared" si="0"/>
        <v>0</v>
      </c>
    </row>
    <row r="53" spans="1:28" x14ac:dyDescent="0.25">
      <c r="A53" s="4" t="s">
        <v>1103</v>
      </c>
      <c r="B53" s="4" t="s">
        <v>31</v>
      </c>
      <c r="C53" s="4">
        <v>23</v>
      </c>
      <c r="D53" s="4">
        <v>2</v>
      </c>
      <c r="E53" s="4" t="s">
        <v>173</v>
      </c>
      <c r="F53" s="4" t="s">
        <v>1075</v>
      </c>
      <c r="G53" s="4">
        <v>0</v>
      </c>
      <c r="H53" s="4">
        <v>0</v>
      </c>
      <c r="I53" s="4">
        <v>0</v>
      </c>
      <c r="J53" s="4">
        <v>0</v>
      </c>
      <c r="K53" s="4">
        <v>0</v>
      </c>
      <c r="L53" s="4">
        <v>0</v>
      </c>
      <c r="M53" s="4">
        <v>0</v>
      </c>
      <c r="N53" s="4">
        <v>0</v>
      </c>
      <c r="O53" s="4">
        <v>0</v>
      </c>
      <c r="P53" s="4">
        <v>0</v>
      </c>
      <c r="Q53" s="4">
        <v>0</v>
      </c>
      <c r="R53" s="4">
        <v>0</v>
      </c>
      <c r="S53" s="4">
        <v>0</v>
      </c>
      <c r="T53" s="4">
        <v>0</v>
      </c>
      <c r="U53" s="4">
        <v>0</v>
      </c>
      <c r="V53" s="4">
        <v>0</v>
      </c>
      <c r="W53" s="4">
        <v>0</v>
      </c>
      <c r="X53" s="4">
        <v>0</v>
      </c>
      <c r="Y53" s="4">
        <v>0</v>
      </c>
      <c r="Z53" s="4">
        <v>0</v>
      </c>
      <c r="AA53" s="4">
        <v>0</v>
      </c>
      <c r="AB53" s="4">
        <f t="shared" si="0"/>
        <v>0</v>
      </c>
    </row>
    <row r="54" spans="1:28" x14ac:dyDescent="0.25">
      <c r="A54" s="3" t="s">
        <v>1104</v>
      </c>
      <c r="B54" s="3" t="s">
        <v>31</v>
      </c>
      <c r="C54" s="3">
        <v>31</v>
      </c>
      <c r="D54" s="3">
        <v>9</v>
      </c>
      <c r="E54" s="3" t="s">
        <v>68</v>
      </c>
      <c r="F54" s="3" t="s">
        <v>1075</v>
      </c>
      <c r="G54" s="3">
        <v>0</v>
      </c>
      <c r="H54" s="3">
        <v>0</v>
      </c>
      <c r="I54" s="3">
        <v>0</v>
      </c>
      <c r="J54" s="3">
        <v>0</v>
      </c>
      <c r="K54" s="3">
        <v>0</v>
      </c>
      <c r="L54" s="3">
        <v>0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3">
        <v>0</v>
      </c>
      <c r="T54" s="3">
        <v>0</v>
      </c>
      <c r="U54" s="3">
        <v>0</v>
      </c>
      <c r="V54" s="3">
        <v>0</v>
      </c>
      <c r="W54" s="3">
        <v>0</v>
      </c>
      <c r="X54" s="3">
        <v>0</v>
      </c>
      <c r="Y54" s="3">
        <v>0</v>
      </c>
      <c r="Z54" s="3">
        <v>0</v>
      </c>
      <c r="AA54" s="3">
        <v>0</v>
      </c>
      <c r="AB54" s="3">
        <f t="shared" si="0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1105</v>
      </c>
      <c r="B61" s="3" t="s">
        <v>43</v>
      </c>
      <c r="C61" s="3">
        <v>30</v>
      </c>
      <c r="D61" s="3">
        <v>10</v>
      </c>
      <c r="E61" s="3" t="s">
        <v>280</v>
      </c>
      <c r="F61" s="3" t="s">
        <v>1075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v>0</v>
      </c>
      <c r="W61" s="3">
        <v>0</v>
      </c>
      <c r="X61" s="3">
        <v>0</v>
      </c>
      <c r="Y61" s="3">
        <v>0</v>
      </c>
      <c r="Z61" s="3">
        <v>0</v>
      </c>
      <c r="AA61" s="3">
        <v>0</v>
      </c>
      <c r="AB61" s="3">
        <v>0</v>
      </c>
    </row>
    <row r="62" spans="1:28" x14ac:dyDescent="0.25">
      <c r="A62" s="4" t="s">
        <v>1106</v>
      </c>
      <c r="B62" s="4" t="s">
        <v>43</v>
      </c>
      <c r="C62" s="4">
        <v>30</v>
      </c>
      <c r="D62" s="4">
        <v>6</v>
      </c>
      <c r="E62" s="4" t="s">
        <v>1107</v>
      </c>
      <c r="F62" s="4" t="s">
        <v>1075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0</v>
      </c>
      <c r="X62" s="4">
        <v>0</v>
      </c>
      <c r="Y62" s="4">
        <v>0</v>
      </c>
      <c r="Z62" s="4">
        <v>0</v>
      </c>
      <c r="AA62" s="4">
        <v>0</v>
      </c>
      <c r="AB62" s="4">
        <v>0</v>
      </c>
    </row>
    <row r="63" spans="1:28" x14ac:dyDescent="0.25">
      <c r="A63" s="3" t="s">
        <v>1108</v>
      </c>
      <c r="B63" s="3" t="s">
        <v>43</v>
      </c>
      <c r="C63" s="3">
        <v>30</v>
      </c>
      <c r="D63" s="3">
        <v>7</v>
      </c>
      <c r="E63" s="3" t="s">
        <v>1109</v>
      </c>
      <c r="F63" s="3" t="s">
        <v>1075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v>0</v>
      </c>
      <c r="W63" s="3">
        <v>0</v>
      </c>
      <c r="X63" s="3">
        <v>0</v>
      </c>
      <c r="Y63" s="3">
        <v>0</v>
      </c>
      <c r="Z63" s="3">
        <v>0</v>
      </c>
      <c r="AA63" s="3">
        <v>0</v>
      </c>
      <c r="AB63" s="3">
        <v>0</v>
      </c>
    </row>
    <row r="64" spans="1:28" x14ac:dyDescent="0.25">
      <c r="A64" s="4" t="s">
        <v>1110</v>
      </c>
      <c r="B64" s="4" t="s">
        <v>43</v>
      </c>
      <c r="C64" s="4">
        <v>30</v>
      </c>
      <c r="D64" s="4">
        <v>9</v>
      </c>
      <c r="E64" s="4" t="s">
        <v>397</v>
      </c>
      <c r="F64" s="4" t="s">
        <v>1075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</row>
    <row r="65" spans="1:28" x14ac:dyDescent="0.25">
      <c r="A65" s="3" t="s">
        <v>1111</v>
      </c>
      <c r="B65" s="3" t="s">
        <v>43</v>
      </c>
      <c r="C65" s="3">
        <v>27</v>
      </c>
      <c r="D65" s="3">
        <v>1</v>
      </c>
      <c r="E65" s="3" t="s">
        <v>218</v>
      </c>
      <c r="F65" s="3" t="s">
        <v>1075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v>0</v>
      </c>
      <c r="W65" s="3">
        <v>0</v>
      </c>
      <c r="X65" s="3">
        <v>0</v>
      </c>
      <c r="Y65" s="3">
        <v>0</v>
      </c>
      <c r="Z65" s="3">
        <v>0</v>
      </c>
      <c r="AA65" s="3">
        <v>0</v>
      </c>
      <c r="AB65" s="3">
        <v>0</v>
      </c>
    </row>
    <row r="66" spans="1:28" x14ac:dyDescent="0.25">
      <c r="A66" s="4" t="s">
        <v>1112</v>
      </c>
      <c r="B66" s="4" t="s">
        <v>43</v>
      </c>
      <c r="C66" s="4">
        <v>26</v>
      </c>
      <c r="D66" s="4">
        <v>5</v>
      </c>
      <c r="E66" s="4" t="s">
        <v>1113</v>
      </c>
      <c r="F66" s="4" t="s">
        <v>1075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</row>
    <row r="67" spans="1:28" x14ac:dyDescent="0.25">
      <c r="A67" s="3" t="s">
        <v>1114</v>
      </c>
      <c r="B67" s="3" t="s">
        <v>43</v>
      </c>
      <c r="C67" s="3">
        <v>27</v>
      </c>
      <c r="D67" s="3">
        <v>5</v>
      </c>
      <c r="E67" s="3" t="s">
        <v>458</v>
      </c>
      <c r="F67" s="3" t="s">
        <v>1075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v>0</v>
      </c>
      <c r="W67" s="3">
        <v>0</v>
      </c>
      <c r="X67" s="3">
        <v>0</v>
      </c>
      <c r="Y67" s="3">
        <v>0</v>
      </c>
      <c r="Z67" s="3">
        <v>0</v>
      </c>
      <c r="AA67" s="3">
        <v>0</v>
      </c>
      <c r="AB67" s="3">
        <v>0</v>
      </c>
    </row>
    <row r="68" spans="1:28" x14ac:dyDescent="0.25">
      <c r="A68" s="4" t="s">
        <v>1115</v>
      </c>
      <c r="B68" s="4" t="s">
        <v>43</v>
      </c>
      <c r="C68" s="4">
        <v>27</v>
      </c>
      <c r="D68" s="4">
        <v>6</v>
      </c>
      <c r="E68" s="4" t="s">
        <v>153</v>
      </c>
      <c r="F68" s="4" t="s">
        <v>1075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0</v>
      </c>
      <c r="X68" s="4">
        <v>0</v>
      </c>
      <c r="Y68" s="4">
        <v>0</v>
      </c>
      <c r="Z68" s="4">
        <v>0</v>
      </c>
      <c r="AA68" s="4">
        <v>0</v>
      </c>
      <c r="AB68" s="4">
        <v>0</v>
      </c>
    </row>
    <row r="69" spans="1:28" x14ac:dyDescent="0.25">
      <c r="A69" s="3" t="s">
        <v>1116</v>
      </c>
      <c r="B69" s="3" t="s">
        <v>43</v>
      </c>
      <c r="C69" s="3">
        <v>22</v>
      </c>
      <c r="D69" s="3">
        <v>0</v>
      </c>
      <c r="E69" s="3" t="s">
        <v>136</v>
      </c>
      <c r="F69" s="3" t="s">
        <v>1075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v>0</v>
      </c>
      <c r="W69" s="3">
        <v>0</v>
      </c>
      <c r="X69" s="3">
        <v>0</v>
      </c>
      <c r="Y69" s="3">
        <v>0</v>
      </c>
      <c r="Z69" s="3">
        <v>0</v>
      </c>
      <c r="AA69" s="3">
        <v>0</v>
      </c>
      <c r="AB69" s="3">
        <v>0</v>
      </c>
    </row>
    <row r="70" spans="1:28" x14ac:dyDescent="0.25">
      <c r="A70" s="4" t="s">
        <v>1117</v>
      </c>
      <c r="B70" s="4" t="s">
        <v>43</v>
      </c>
      <c r="C70" s="4">
        <v>26</v>
      </c>
      <c r="D70" s="4">
        <v>1</v>
      </c>
      <c r="E70" s="4" t="s">
        <v>1118</v>
      </c>
      <c r="F70" s="4" t="s">
        <v>1075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0</v>
      </c>
      <c r="X70" s="4">
        <v>0</v>
      </c>
      <c r="Y70" s="4">
        <v>0</v>
      </c>
      <c r="Z70" s="4">
        <v>0</v>
      </c>
      <c r="AA70" s="4">
        <v>0</v>
      </c>
      <c r="AB70" s="4">
        <v>0</v>
      </c>
    </row>
    <row r="71" spans="1:28" x14ac:dyDescent="0.25">
      <c r="A71" s="3" t="s">
        <v>1119</v>
      </c>
      <c r="B71" s="3" t="s">
        <v>43</v>
      </c>
      <c r="C71" s="3">
        <v>26</v>
      </c>
      <c r="D71" s="3">
        <v>4</v>
      </c>
      <c r="E71" s="3" t="s">
        <v>549</v>
      </c>
      <c r="F71" s="3" t="s">
        <v>1075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v>0</v>
      </c>
      <c r="W71" s="3">
        <v>0</v>
      </c>
      <c r="X71" s="3">
        <v>0</v>
      </c>
      <c r="Y71" s="3">
        <v>0</v>
      </c>
      <c r="Z71" s="3">
        <v>0</v>
      </c>
      <c r="AA71" s="3">
        <v>0</v>
      </c>
      <c r="AB71" s="3"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1120</v>
      </c>
      <c r="B76" s="3" t="s">
        <v>38</v>
      </c>
      <c r="C76" s="3">
        <v>25</v>
      </c>
      <c r="D76" s="3">
        <v>1</v>
      </c>
      <c r="E76" s="3" t="s">
        <v>207</v>
      </c>
      <c r="F76" s="3" t="s">
        <v>1075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v>0</v>
      </c>
      <c r="W76" s="3">
        <v>0</v>
      </c>
      <c r="X76" s="3">
        <v>0</v>
      </c>
      <c r="Y76" s="3">
        <v>0</v>
      </c>
      <c r="Z76" s="3">
        <v>0</v>
      </c>
      <c r="AA76" s="3">
        <v>0</v>
      </c>
      <c r="AB76" s="3">
        <v>0</v>
      </c>
    </row>
    <row r="77" spans="1:28" x14ac:dyDescent="0.25">
      <c r="A77" s="4" t="s">
        <v>1121</v>
      </c>
      <c r="B77" s="4" t="s">
        <v>38</v>
      </c>
      <c r="C77" s="4">
        <v>29</v>
      </c>
      <c r="D77" s="4">
        <v>7</v>
      </c>
      <c r="E77" s="4" t="s">
        <v>272</v>
      </c>
      <c r="F77" s="4" t="s">
        <v>1075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v>0</v>
      </c>
      <c r="W77" s="4">
        <v>0</v>
      </c>
      <c r="X77" s="4">
        <v>0</v>
      </c>
      <c r="Y77" s="4">
        <v>0</v>
      </c>
      <c r="Z77" s="4">
        <v>0</v>
      </c>
      <c r="AA77" s="4">
        <v>0</v>
      </c>
      <c r="AB77" s="4">
        <v>0</v>
      </c>
    </row>
    <row r="78" spans="1:28" x14ac:dyDescent="0.25">
      <c r="A78" s="3" t="s">
        <v>1122</v>
      </c>
      <c r="B78" s="3" t="s">
        <v>38</v>
      </c>
      <c r="C78" s="3">
        <v>28</v>
      </c>
      <c r="D78" s="3">
        <v>8</v>
      </c>
      <c r="E78" s="3" t="s">
        <v>102</v>
      </c>
      <c r="F78" s="3" t="s">
        <v>1075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v>0</v>
      </c>
      <c r="W78" s="3">
        <v>0</v>
      </c>
      <c r="X78" s="3">
        <v>0</v>
      </c>
      <c r="Y78" s="3">
        <v>0</v>
      </c>
      <c r="Z78" s="3">
        <v>0</v>
      </c>
      <c r="AA78" s="3">
        <v>0</v>
      </c>
      <c r="AB78" s="3">
        <v>0</v>
      </c>
    </row>
    <row r="79" spans="1:28" x14ac:dyDescent="0.25">
      <c r="A79" s="4" t="s">
        <v>1123</v>
      </c>
      <c r="B79" s="4" t="s">
        <v>38</v>
      </c>
      <c r="C79" s="4">
        <v>26</v>
      </c>
      <c r="D79" s="4">
        <v>4</v>
      </c>
      <c r="E79" s="4" t="s">
        <v>415</v>
      </c>
      <c r="F79" s="4" t="s">
        <v>1075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v>0</v>
      </c>
      <c r="W79" s="4">
        <v>0</v>
      </c>
      <c r="X79" s="4">
        <v>0</v>
      </c>
      <c r="Y79" s="4">
        <v>0</v>
      </c>
      <c r="Z79" s="4">
        <v>0</v>
      </c>
      <c r="AA79" s="4">
        <v>0</v>
      </c>
      <c r="AB79" s="4">
        <v>0</v>
      </c>
    </row>
    <row r="80" spans="1:28" x14ac:dyDescent="0.25">
      <c r="A80" s="3" t="s">
        <v>1124</v>
      </c>
      <c r="B80" s="3" t="s">
        <v>38</v>
      </c>
      <c r="C80" s="3">
        <v>22</v>
      </c>
      <c r="D80" s="3">
        <v>0</v>
      </c>
      <c r="E80" s="3" t="s">
        <v>362</v>
      </c>
      <c r="F80" s="3" t="s">
        <v>1075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v>0</v>
      </c>
      <c r="W80" s="3">
        <v>0</v>
      </c>
      <c r="X80" s="3">
        <v>0</v>
      </c>
      <c r="Y80" s="3">
        <v>0</v>
      </c>
      <c r="Z80" s="3">
        <v>0</v>
      </c>
      <c r="AA80" s="3">
        <v>0</v>
      </c>
      <c r="AB80" s="3">
        <v>0</v>
      </c>
    </row>
    <row r="81" spans="1:28" x14ac:dyDescent="0.25">
      <c r="A81" s="4" t="s">
        <v>1125</v>
      </c>
      <c r="B81" s="4" t="s">
        <v>38</v>
      </c>
      <c r="C81" s="4">
        <v>24</v>
      </c>
      <c r="D81" s="4">
        <v>0</v>
      </c>
      <c r="E81" s="4" t="s">
        <v>464</v>
      </c>
      <c r="F81" s="4" t="s">
        <v>1075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v>0</v>
      </c>
      <c r="W81" s="4">
        <v>0</v>
      </c>
      <c r="X81" s="4">
        <v>0</v>
      </c>
      <c r="Y81" s="4">
        <v>0</v>
      </c>
      <c r="Z81" s="4">
        <v>0</v>
      </c>
      <c r="AA81" s="4">
        <v>0</v>
      </c>
      <c r="AB81" s="4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AB81"/>
  <sheetViews>
    <sheetView topLeftCell="G16" workbookViewId="0">
      <selection activeCell="AB46" sqref="AB46:AB51"/>
    </sheetView>
  </sheetViews>
  <sheetFormatPr defaultColWidth="11.42578125" defaultRowHeight="15" x14ac:dyDescent="0.25"/>
  <sheetData>
    <row r="1" spans="1:24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</row>
    <row r="2" spans="1:24" x14ac:dyDescent="0.25">
      <c r="A2" s="3" t="s">
        <v>1126</v>
      </c>
      <c r="B2" s="3" t="s">
        <v>1127</v>
      </c>
      <c r="C2" s="3" t="s">
        <v>115</v>
      </c>
      <c r="D2" s="3">
        <v>12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6</v>
      </c>
      <c r="K2" s="3">
        <v>8</v>
      </c>
      <c r="L2" s="3">
        <v>1</v>
      </c>
      <c r="M2" s="3">
        <v>23</v>
      </c>
      <c r="N2" s="3">
        <v>15</v>
      </c>
      <c r="O2" s="3">
        <v>105</v>
      </c>
      <c r="P2" s="3">
        <v>1</v>
      </c>
      <c r="Q2" s="3">
        <v>0</v>
      </c>
      <c r="R2" s="3">
        <v>0</v>
      </c>
      <c r="S2" s="3">
        <v>38.299999999999997</v>
      </c>
      <c r="T2" s="3">
        <v>3.9249146757679203E-2</v>
      </c>
      <c r="U2" s="3">
        <v>1.3333333333333299</v>
      </c>
      <c r="V2" s="3">
        <v>7</v>
      </c>
      <c r="W2" s="3"/>
      <c r="X2" s="3"/>
    </row>
    <row r="3" spans="1:24" x14ac:dyDescent="0.25">
      <c r="A3" s="4" t="s">
        <v>1128</v>
      </c>
      <c r="B3" s="4" t="s">
        <v>1127</v>
      </c>
      <c r="C3" s="4" t="s">
        <v>26</v>
      </c>
      <c r="D3" s="4">
        <v>7</v>
      </c>
      <c r="E3" s="4">
        <v>105</v>
      </c>
      <c r="F3" s="4">
        <v>60</v>
      </c>
      <c r="G3" s="4">
        <v>534</v>
      </c>
      <c r="H3" s="4">
        <v>1</v>
      </c>
      <c r="I3" s="4">
        <v>3</v>
      </c>
      <c r="J3" s="4">
        <v>14</v>
      </c>
      <c r="K3" s="4">
        <v>21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2</v>
      </c>
      <c r="R3" s="4">
        <v>0</v>
      </c>
      <c r="S3" s="4">
        <v>17.46</v>
      </c>
      <c r="T3" s="4">
        <v>0</v>
      </c>
      <c r="U3" s="4">
        <v>1.5</v>
      </c>
      <c r="V3" s="4"/>
      <c r="W3" s="4">
        <v>0.57142857142857095</v>
      </c>
      <c r="X3" s="4">
        <v>9.5238095238095195E-3</v>
      </c>
    </row>
    <row r="4" spans="1:24" x14ac:dyDescent="0.25">
      <c r="A4" s="3" t="s">
        <v>1129</v>
      </c>
      <c r="B4" s="3" t="s">
        <v>1127</v>
      </c>
      <c r="C4" s="3" t="s">
        <v>26</v>
      </c>
      <c r="D4" s="3">
        <v>5</v>
      </c>
      <c r="E4" s="3">
        <v>79</v>
      </c>
      <c r="F4" s="3">
        <v>49</v>
      </c>
      <c r="G4" s="3">
        <v>683</v>
      </c>
      <c r="H4" s="3">
        <v>4</v>
      </c>
      <c r="I4" s="3">
        <v>4</v>
      </c>
      <c r="J4" s="3">
        <v>3</v>
      </c>
      <c r="K4" s="3">
        <v>27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38.020000000000003</v>
      </c>
      <c r="T4" s="3">
        <v>0</v>
      </c>
      <c r="U4" s="3">
        <v>9</v>
      </c>
      <c r="V4" s="3"/>
      <c r="W4" s="3">
        <v>0.620253164556962</v>
      </c>
      <c r="X4" s="3">
        <v>5.0632911392405097E-2</v>
      </c>
    </row>
    <row r="5" spans="1:24" x14ac:dyDescent="0.25">
      <c r="A5" s="4" t="s">
        <v>1130</v>
      </c>
      <c r="B5" s="4" t="s">
        <v>1127</v>
      </c>
      <c r="C5" s="4" t="s">
        <v>26</v>
      </c>
      <c r="D5" s="4">
        <v>13</v>
      </c>
      <c r="E5" s="4">
        <v>400</v>
      </c>
      <c r="F5" s="4">
        <v>259</v>
      </c>
      <c r="G5" s="4">
        <v>3548</v>
      </c>
      <c r="H5" s="4">
        <v>25</v>
      </c>
      <c r="I5" s="4">
        <v>8</v>
      </c>
      <c r="J5" s="4">
        <v>24</v>
      </c>
      <c r="K5" s="4">
        <v>70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1</v>
      </c>
      <c r="R5" s="4">
        <v>0</v>
      </c>
      <c r="S5" s="4">
        <v>230.92</v>
      </c>
      <c r="T5" s="4">
        <v>0</v>
      </c>
      <c r="U5" s="4">
        <v>2.9166666666666701</v>
      </c>
      <c r="V5" s="4"/>
      <c r="W5" s="4">
        <v>0.64749999999999996</v>
      </c>
      <c r="X5" s="4">
        <v>6.25E-2</v>
      </c>
    </row>
    <row r="6" spans="1:24" x14ac:dyDescent="0.25">
      <c r="A6" s="3" t="s">
        <v>586</v>
      </c>
      <c r="B6" s="3" t="s">
        <v>1127</v>
      </c>
      <c r="C6" s="3" t="s">
        <v>31</v>
      </c>
      <c r="D6" s="3">
        <v>8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42</v>
      </c>
      <c r="K6" s="3">
        <v>120</v>
      </c>
      <c r="L6" s="3">
        <v>2</v>
      </c>
      <c r="M6" s="3">
        <v>17</v>
      </c>
      <c r="N6" s="3">
        <v>10</v>
      </c>
      <c r="O6" s="3">
        <v>96</v>
      </c>
      <c r="P6" s="3">
        <v>1</v>
      </c>
      <c r="Q6" s="3">
        <v>0</v>
      </c>
      <c r="R6" s="3">
        <v>0</v>
      </c>
      <c r="S6" s="3">
        <v>49.6</v>
      </c>
      <c r="T6" s="3">
        <v>2.90102389078498E-2</v>
      </c>
      <c r="U6" s="3">
        <v>2.8571428571428599</v>
      </c>
      <c r="V6" s="3">
        <v>9.6</v>
      </c>
      <c r="W6" s="3"/>
      <c r="X6" s="3"/>
    </row>
    <row r="7" spans="1:24" x14ac:dyDescent="0.25">
      <c r="A7" s="4" t="s">
        <v>1131</v>
      </c>
      <c r="B7" s="4" t="s">
        <v>1127</v>
      </c>
      <c r="C7" s="4" t="s">
        <v>31</v>
      </c>
      <c r="D7" s="4">
        <v>8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84</v>
      </c>
      <c r="K7" s="4">
        <v>392</v>
      </c>
      <c r="L7" s="4">
        <v>3</v>
      </c>
      <c r="M7" s="4">
        <v>24</v>
      </c>
      <c r="N7" s="4">
        <v>12</v>
      </c>
      <c r="O7" s="4">
        <v>94</v>
      </c>
      <c r="P7" s="4">
        <v>1</v>
      </c>
      <c r="Q7" s="4">
        <v>0</v>
      </c>
      <c r="R7" s="4">
        <v>0</v>
      </c>
      <c r="S7" s="4">
        <v>84.6</v>
      </c>
      <c r="T7" s="4">
        <v>4.0955631399317398E-2</v>
      </c>
      <c r="U7" s="4">
        <v>4.6666666666666696</v>
      </c>
      <c r="V7" s="4">
        <v>7.8333333333333304</v>
      </c>
      <c r="W7" s="4"/>
      <c r="X7" s="4"/>
    </row>
    <row r="8" spans="1:24" x14ac:dyDescent="0.25">
      <c r="A8" s="3" t="s">
        <v>1132</v>
      </c>
      <c r="B8" s="3" t="s">
        <v>1127</v>
      </c>
      <c r="C8" s="3" t="s">
        <v>31</v>
      </c>
      <c r="D8" s="3">
        <v>2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10</v>
      </c>
      <c r="K8" s="3">
        <v>26</v>
      </c>
      <c r="L8" s="3">
        <v>0</v>
      </c>
      <c r="M8" s="3">
        <v>6</v>
      </c>
      <c r="N8" s="3">
        <v>4</v>
      </c>
      <c r="O8" s="3">
        <v>28</v>
      </c>
      <c r="P8" s="3">
        <v>0</v>
      </c>
      <c r="Q8" s="3">
        <v>0</v>
      </c>
      <c r="R8" s="3">
        <v>0</v>
      </c>
      <c r="S8" s="3">
        <v>9.4</v>
      </c>
      <c r="T8" s="3">
        <v>1.02389078498294E-2</v>
      </c>
      <c r="U8" s="3">
        <v>2.6</v>
      </c>
      <c r="V8" s="3">
        <v>7</v>
      </c>
      <c r="W8" s="3"/>
      <c r="X8" s="3"/>
    </row>
    <row r="9" spans="1:24" x14ac:dyDescent="0.25">
      <c r="A9" s="4" t="s">
        <v>1133</v>
      </c>
      <c r="B9" s="4" t="s">
        <v>1127</v>
      </c>
      <c r="C9" s="4" t="s">
        <v>31</v>
      </c>
      <c r="D9" s="4">
        <v>16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181</v>
      </c>
      <c r="K9" s="4">
        <v>891</v>
      </c>
      <c r="L9" s="4">
        <v>3</v>
      </c>
      <c r="M9" s="4">
        <v>42</v>
      </c>
      <c r="N9" s="4">
        <v>31</v>
      </c>
      <c r="O9" s="4">
        <v>202</v>
      </c>
      <c r="P9" s="4">
        <v>2</v>
      </c>
      <c r="Q9" s="4">
        <v>1</v>
      </c>
      <c r="R9" s="4">
        <v>0</v>
      </c>
      <c r="S9" s="4">
        <v>168.3</v>
      </c>
      <c r="T9" s="4">
        <v>7.16723549488055E-2</v>
      </c>
      <c r="U9" s="4">
        <v>4.9226519337016601</v>
      </c>
      <c r="V9" s="4">
        <v>6.5161290322580596</v>
      </c>
      <c r="W9" s="4"/>
      <c r="X9" s="4"/>
    </row>
    <row r="10" spans="1:24" x14ac:dyDescent="0.25">
      <c r="A10" s="3" t="s">
        <v>1134</v>
      </c>
      <c r="B10" s="3" t="s">
        <v>1127</v>
      </c>
      <c r="C10" s="3" t="s">
        <v>31</v>
      </c>
      <c r="D10" s="3">
        <v>6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12</v>
      </c>
      <c r="K10" s="3">
        <v>64</v>
      </c>
      <c r="L10" s="3">
        <v>1</v>
      </c>
      <c r="M10" s="3">
        <v>1</v>
      </c>
      <c r="N10" s="3">
        <v>1</v>
      </c>
      <c r="O10" s="3">
        <v>8</v>
      </c>
      <c r="P10" s="3">
        <v>0</v>
      </c>
      <c r="Q10" s="3">
        <v>0</v>
      </c>
      <c r="R10" s="3">
        <v>0</v>
      </c>
      <c r="S10" s="3">
        <v>14.2</v>
      </c>
      <c r="T10" s="3">
        <v>1.70648464163823E-3</v>
      </c>
      <c r="U10" s="3">
        <v>5.3333333333333304</v>
      </c>
      <c r="V10" s="3">
        <v>8</v>
      </c>
      <c r="W10" s="3"/>
      <c r="X10" s="3"/>
    </row>
    <row r="11" spans="1:24" x14ac:dyDescent="0.25">
      <c r="A11" s="4" t="s">
        <v>1135</v>
      </c>
      <c r="B11" s="4" t="s">
        <v>1127</v>
      </c>
      <c r="C11" s="4" t="s">
        <v>38</v>
      </c>
      <c r="D11" s="4">
        <v>12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2</v>
      </c>
      <c r="K11" s="4">
        <v>1</v>
      </c>
      <c r="L11" s="4">
        <v>1</v>
      </c>
      <c r="M11" s="4">
        <v>20</v>
      </c>
      <c r="N11" s="4">
        <v>15</v>
      </c>
      <c r="O11" s="4">
        <v>129</v>
      </c>
      <c r="P11" s="4">
        <v>1</v>
      </c>
      <c r="Q11" s="4">
        <v>0</v>
      </c>
      <c r="R11" s="4">
        <v>0</v>
      </c>
      <c r="S11" s="4">
        <v>40</v>
      </c>
      <c r="T11" s="4">
        <v>3.4129692832764499E-2</v>
      </c>
      <c r="U11" s="4">
        <v>0.5</v>
      </c>
      <c r="V11" s="4">
        <v>8.6</v>
      </c>
      <c r="W11" s="4"/>
      <c r="X11" s="4"/>
    </row>
    <row r="12" spans="1:24" x14ac:dyDescent="0.25">
      <c r="A12" s="3" t="s">
        <v>1136</v>
      </c>
      <c r="B12" s="3" t="s">
        <v>1127</v>
      </c>
      <c r="C12" s="3" t="s">
        <v>38</v>
      </c>
      <c r="D12" s="3">
        <v>17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52</v>
      </c>
      <c r="N12" s="3">
        <v>32</v>
      </c>
      <c r="O12" s="3">
        <v>362</v>
      </c>
      <c r="P12" s="3">
        <v>5</v>
      </c>
      <c r="Q12" s="3">
        <v>0</v>
      </c>
      <c r="R12" s="3">
        <v>0</v>
      </c>
      <c r="S12" s="3">
        <v>98.2</v>
      </c>
      <c r="T12" s="3">
        <v>8.8737201365187701E-2</v>
      </c>
      <c r="U12" s="3"/>
      <c r="V12" s="3">
        <v>11.3125</v>
      </c>
      <c r="W12" s="3"/>
      <c r="X12" s="3"/>
    </row>
    <row r="13" spans="1:24" x14ac:dyDescent="0.25">
      <c r="A13" s="4" t="s">
        <v>1137</v>
      </c>
      <c r="B13" s="4" t="s">
        <v>1127</v>
      </c>
      <c r="C13" s="4" t="s">
        <v>43</v>
      </c>
      <c r="D13" s="4">
        <v>2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3</v>
      </c>
      <c r="N13" s="4">
        <v>2</v>
      </c>
      <c r="O13" s="4">
        <v>17</v>
      </c>
      <c r="P13" s="4">
        <v>0</v>
      </c>
      <c r="Q13" s="4">
        <v>0</v>
      </c>
      <c r="R13" s="4">
        <v>0</v>
      </c>
      <c r="S13" s="4">
        <v>1.7</v>
      </c>
      <c r="T13" s="4">
        <v>5.1194539249146799E-3</v>
      </c>
      <c r="U13" s="4"/>
      <c r="V13" s="4">
        <v>8.5</v>
      </c>
      <c r="W13" s="4"/>
      <c r="X13" s="4"/>
    </row>
    <row r="14" spans="1:24" x14ac:dyDescent="0.25">
      <c r="A14" s="3" t="s">
        <v>1138</v>
      </c>
      <c r="B14" s="3" t="s">
        <v>1127</v>
      </c>
      <c r="C14" s="3" t="s">
        <v>43</v>
      </c>
      <c r="D14" s="3">
        <v>9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1</v>
      </c>
      <c r="K14" s="3">
        <v>8</v>
      </c>
      <c r="L14" s="3">
        <v>0</v>
      </c>
      <c r="M14" s="3">
        <v>18</v>
      </c>
      <c r="N14" s="3">
        <v>12</v>
      </c>
      <c r="O14" s="3">
        <v>136</v>
      </c>
      <c r="P14" s="3">
        <v>0</v>
      </c>
      <c r="Q14" s="3">
        <v>0</v>
      </c>
      <c r="R14" s="3">
        <v>0</v>
      </c>
      <c r="S14" s="3">
        <v>26.4</v>
      </c>
      <c r="T14" s="3">
        <v>3.0716723549488099E-2</v>
      </c>
      <c r="U14" s="3">
        <v>8</v>
      </c>
      <c r="V14" s="3">
        <v>11.3333333333333</v>
      </c>
      <c r="W14" s="3"/>
      <c r="X14" s="3"/>
    </row>
    <row r="15" spans="1:24" x14ac:dyDescent="0.25">
      <c r="A15" s="4" t="s">
        <v>1139</v>
      </c>
      <c r="B15" s="4" t="s">
        <v>1127</v>
      </c>
      <c r="C15" s="4" t="s">
        <v>43</v>
      </c>
      <c r="D15" s="4">
        <v>1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1</v>
      </c>
      <c r="N15" s="4">
        <v>1</v>
      </c>
      <c r="O15" s="4">
        <v>3</v>
      </c>
      <c r="P15" s="4">
        <v>0</v>
      </c>
      <c r="Q15" s="4">
        <v>0</v>
      </c>
      <c r="R15" s="4">
        <v>0</v>
      </c>
      <c r="S15" s="4">
        <v>1.3</v>
      </c>
      <c r="T15" s="4">
        <v>1.70648464163823E-3</v>
      </c>
      <c r="U15" s="4"/>
      <c r="V15" s="4">
        <v>3</v>
      </c>
      <c r="W15" s="4"/>
      <c r="X15" s="4"/>
    </row>
    <row r="16" spans="1:24" x14ac:dyDescent="0.25">
      <c r="A16" s="3" t="s">
        <v>1140</v>
      </c>
      <c r="B16" s="3" t="s">
        <v>1127</v>
      </c>
      <c r="C16" s="3" t="s">
        <v>43</v>
      </c>
      <c r="D16" s="3">
        <v>17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3</v>
      </c>
      <c r="K16" s="3">
        <v>26</v>
      </c>
      <c r="L16" s="3">
        <v>0</v>
      </c>
      <c r="M16" s="3">
        <v>117</v>
      </c>
      <c r="N16" s="3">
        <v>75</v>
      </c>
      <c r="O16" s="3">
        <v>1356</v>
      </c>
      <c r="P16" s="3">
        <v>8</v>
      </c>
      <c r="Q16" s="3">
        <v>0</v>
      </c>
      <c r="R16" s="3">
        <v>0</v>
      </c>
      <c r="S16" s="3">
        <v>259.2</v>
      </c>
      <c r="T16" s="3">
        <v>0.19965870307167199</v>
      </c>
      <c r="U16" s="3">
        <v>8.6666666666666696</v>
      </c>
      <c r="V16" s="3">
        <v>18.079999999999998</v>
      </c>
      <c r="W16" s="3"/>
      <c r="X16" s="3"/>
    </row>
    <row r="17" spans="1:24" x14ac:dyDescent="0.25">
      <c r="A17" s="4" t="s">
        <v>1141</v>
      </c>
      <c r="B17" s="4" t="s">
        <v>1127</v>
      </c>
      <c r="C17" s="4" t="s">
        <v>43</v>
      </c>
      <c r="D17" s="4">
        <v>8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14</v>
      </c>
      <c r="N17" s="4">
        <v>9</v>
      </c>
      <c r="O17" s="4">
        <v>102</v>
      </c>
      <c r="P17" s="4">
        <v>2</v>
      </c>
      <c r="Q17" s="4">
        <v>0</v>
      </c>
      <c r="R17" s="4">
        <v>0</v>
      </c>
      <c r="S17" s="4">
        <v>31.2</v>
      </c>
      <c r="T17" s="4">
        <v>2.38907849829352E-2</v>
      </c>
      <c r="U17" s="4"/>
      <c r="V17" s="4">
        <v>11.3333333333333</v>
      </c>
      <c r="W17" s="4"/>
      <c r="X17" s="4"/>
    </row>
    <row r="18" spans="1:24" x14ac:dyDescent="0.25">
      <c r="A18" s="3" t="s">
        <v>1142</v>
      </c>
      <c r="B18" s="3" t="s">
        <v>1127</v>
      </c>
      <c r="C18" s="3" t="s">
        <v>43</v>
      </c>
      <c r="D18" s="3">
        <v>2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3</v>
      </c>
      <c r="N18" s="3">
        <v>0</v>
      </c>
      <c r="O18" s="3">
        <v>0</v>
      </c>
      <c r="P18" s="3">
        <v>0</v>
      </c>
      <c r="Q18" s="3">
        <v>0</v>
      </c>
      <c r="R18" s="3">
        <v>0</v>
      </c>
      <c r="S18" s="3">
        <v>0</v>
      </c>
      <c r="T18" s="3">
        <v>5.1194539249146799E-3</v>
      </c>
      <c r="U18" s="3"/>
      <c r="V18" s="3"/>
      <c r="W18" s="3"/>
      <c r="X18" s="3"/>
    </row>
    <row r="19" spans="1:24" x14ac:dyDescent="0.25">
      <c r="A19" s="4" t="s">
        <v>1143</v>
      </c>
      <c r="B19" s="4" t="s">
        <v>1127</v>
      </c>
      <c r="C19" s="4" t="s">
        <v>43</v>
      </c>
      <c r="D19" s="4">
        <v>17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7</v>
      </c>
      <c r="K19" s="4">
        <v>32</v>
      </c>
      <c r="L19" s="4">
        <v>1</v>
      </c>
      <c r="M19" s="4">
        <v>170</v>
      </c>
      <c r="N19" s="4">
        <v>119</v>
      </c>
      <c r="O19" s="4">
        <v>1710</v>
      </c>
      <c r="P19" s="4">
        <v>7</v>
      </c>
      <c r="Q19" s="4">
        <v>0</v>
      </c>
      <c r="R19" s="4">
        <v>0</v>
      </c>
      <c r="S19" s="4">
        <v>341.2</v>
      </c>
      <c r="T19" s="4">
        <v>0.290102389078498</v>
      </c>
      <c r="U19" s="4">
        <v>4.5714285714285703</v>
      </c>
      <c r="V19" s="4">
        <v>14.3697478991597</v>
      </c>
      <c r="W19" s="4"/>
      <c r="X19" s="4"/>
    </row>
    <row r="20" spans="1:24" x14ac:dyDescent="0.25">
      <c r="A20" s="3" t="s">
        <v>1144</v>
      </c>
      <c r="B20" s="3" t="s">
        <v>1127</v>
      </c>
      <c r="C20" s="3" t="s">
        <v>43</v>
      </c>
      <c r="D20" s="3">
        <v>16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51</v>
      </c>
      <c r="N20" s="3">
        <v>30</v>
      </c>
      <c r="O20" s="3">
        <v>417</v>
      </c>
      <c r="P20" s="3">
        <v>2</v>
      </c>
      <c r="Q20" s="3">
        <v>0</v>
      </c>
      <c r="R20" s="3">
        <v>0</v>
      </c>
      <c r="S20" s="3">
        <v>83.7</v>
      </c>
      <c r="T20" s="3">
        <v>8.7030716723549506E-2</v>
      </c>
      <c r="U20" s="3"/>
      <c r="V20" s="3">
        <v>13.9</v>
      </c>
      <c r="W20" s="3"/>
      <c r="X20" s="3"/>
    </row>
    <row r="30" spans="1:24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</row>
    <row r="31" spans="1:24" x14ac:dyDescent="0.25">
      <c r="A31" s="3" t="s">
        <v>1127</v>
      </c>
      <c r="B31" s="3">
        <v>6451</v>
      </c>
      <c r="C31" s="3">
        <v>4765</v>
      </c>
      <c r="D31" s="3">
        <v>389</v>
      </c>
      <c r="E31" s="3">
        <v>1686</v>
      </c>
      <c r="F31" s="3">
        <v>12</v>
      </c>
      <c r="G31" s="3">
        <v>1533.7</v>
      </c>
      <c r="H31" s="3">
        <v>584</v>
      </c>
      <c r="I31" s="3">
        <v>0.63013698630137005</v>
      </c>
      <c r="J31" s="3">
        <v>30</v>
      </c>
      <c r="K31" s="3">
        <v>15</v>
      </c>
      <c r="L31" s="3">
        <v>4</v>
      </c>
    </row>
    <row r="32" spans="1:24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</row>
    <row r="33" spans="1:28" x14ac:dyDescent="0.25">
      <c r="A33" s="3" t="str">
        <f>A31</f>
        <v>MIA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1145</v>
      </c>
      <c r="B36" s="3" t="s">
        <v>26</v>
      </c>
      <c r="C36" s="3">
        <v>25</v>
      </c>
      <c r="D36" s="3">
        <v>4</v>
      </c>
      <c r="E36" s="3" t="s">
        <v>153</v>
      </c>
      <c r="F36" s="3" t="s">
        <v>1127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">
        <v>0</v>
      </c>
      <c r="X36" s="3">
        <v>0</v>
      </c>
      <c r="Y36" s="3">
        <v>0</v>
      </c>
      <c r="Z36" s="3">
        <v>0</v>
      </c>
      <c r="AA36" s="3">
        <v>0</v>
      </c>
      <c r="AB36" s="3">
        <v>0</v>
      </c>
    </row>
    <row r="37" spans="1:28" x14ac:dyDescent="0.25">
      <c r="A37" s="4" t="s">
        <v>1146</v>
      </c>
      <c r="B37" s="4" t="s">
        <v>26</v>
      </c>
      <c r="C37" s="4">
        <v>26</v>
      </c>
      <c r="D37" s="4">
        <v>2</v>
      </c>
      <c r="E37" s="4" t="s">
        <v>559</v>
      </c>
      <c r="F37" s="4" t="s">
        <v>1127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</row>
    <row r="38" spans="1:28" x14ac:dyDescent="0.25">
      <c r="A38" s="3" t="s">
        <v>1147</v>
      </c>
      <c r="B38" s="3" t="s">
        <v>26</v>
      </c>
      <c r="C38" s="3">
        <v>28</v>
      </c>
      <c r="D38" s="3">
        <v>5</v>
      </c>
      <c r="E38" s="3" t="s">
        <v>1068</v>
      </c>
      <c r="F38" s="3" t="s">
        <v>1127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v>0</v>
      </c>
      <c r="W38" s="3">
        <v>0</v>
      </c>
      <c r="X38" s="3">
        <v>0</v>
      </c>
      <c r="Y38" s="3">
        <v>0</v>
      </c>
      <c r="Z38" s="3">
        <v>0</v>
      </c>
      <c r="AA38" s="3">
        <v>0</v>
      </c>
      <c r="AB38" s="3"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1148</v>
      </c>
      <c r="B46" s="3" t="s">
        <v>31</v>
      </c>
      <c r="C46" s="3">
        <v>21</v>
      </c>
      <c r="D46" s="3">
        <v>0</v>
      </c>
      <c r="E46" s="3" t="s">
        <v>307</v>
      </c>
      <c r="F46" s="3" t="s">
        <v>1127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v>0</v>
      </c>
      <c r="W46" s="3">
        <v>0</v>
      </c>
      <c r="X46" s="3">
        <v>0</v>
      </c>
      <c r="Y46" s="3">
        <v>0</v>
      </c>
      <c r="Z46" s="3">
        <v>0</v>
      </c>
      <c r="AA46" s="3">
        <v>0</v>
      </c>
      <c r="AB46" s="3">
        <f t="shared" ref="AB46:AB51" si="0">($J46*Cp_yd)+($K46*Cp_td)+($L46*Cint)+($M46*Ccar)+($N46*Cr_td)+($O46*Cr_yd)+(Q46*Crec)+($R46*Crec_yd)+($S46*Crec_td)+($T46*Cfmb)+($U46*Ctp_c)</f>
        <v>0</v>
      </c>
    </row>
    <row r="47" spans="1:28" x14ac:dyDescent="0.25">
      <c r="A47" s="4" t="s">
        <v>1149</v>
      </c>
      <c r="B47" s="4" t="s">
        <v>31</v>
      </c>
      <c r="C47" s="4">
        <v>24</v>
      </c>
      <c r="D47" s="4">
        <v>4</v>
      </c>
      <c r="E47" s="4" t="s">
        <v>86</v>
      </c>
      <c r="F47" s="4" t="s">
        <v>1127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f t="shared" si="0"/>
        <v>0</v>
      </c>
    </row>
    <row r="48" spans="1:28" x14ac:dyDescent="0.25">
      <c r="A48" s="3" t="s">
        <v>1150</v>
      </c>
      <c r="B48" s="3" t="s">
        <v>31</v>
      </c>
      <c r="C48" s="3">
        <v>23</v>
      </c>
      <c r="D48" s="3">
        <v>0</v>
      </c>
      <c r="E48" s="3" t="s">
        <v>82</v>
      </c>
      <c r="F48" s="3" t="s">
        <v>1127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v>0</v>
      </c>
      <c r="W48" s="3">
        <v>0</v>
      </c>
      <c r="X48" s="3">
        <v>0</v>
      </c>
      <c r="Y48" s="3">
        <v>0</v>
      </c>
      <c r="Z48" s="3">
        <v>0</v>
      </c>
      <c r="AA48" s="3">
        <v>0</v>
      </c>
      <c r="AB48" s="3">
        <f t="shared" si="0"/>
        <v>0</v>
      </c>
    </row>
    <row r="49" spans="1:28" x14ac:dyDescent="0.25">
      <c r="A49" s="4" t="s">
        <v>1151</v>
      </c>
      <c r="B49" s="4" t="s">
        <v>31</v>
      </c>
      <c r="C49" s="4">
        <v>26</v>
      </c>
      <c r="D49" s="4">
        <v>5</v>
      </c>
      <c r="E49" s="4" t="s">
        <v>86</v>
      </c>
      <c r="F49" s="4" t="s">
        <v>1127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B49" s="4">
        <f t="shared" si="0"/>
        <v>0</v>
      </c>
    </row>
    <row r="50" spans="1:28" x14ac:dyDescent="0.25">
      <c r="A50" s="3" t="s">
        <v>1152</v>
      </c>
      <c r="B50" s="3" t="s">
        <v>31</v>
      </c>
      <c r="C50" s="3">
        <v>31</v>
      </c>
      <c r="D50" s="3">
        <v>9</v>
      </c>
      <c r="E50" s="3" t="s">
        <v>62</v>
      </c>
      <c r="F50" s="3" t="s">
        <v>1127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v>0</v>
      </c>
      <c r="W50" s="3">
        <v>0</v>
      </c>
      <c r="X50" s="3">
        <v>0</v>
      </c>
      <c r="Y50" s="3">
        <v>0</v>
      </c>
      <c r="Z50" s="3">
        <v>0</v>
      </c>
      <c r="AA50" s="3">
        <v>0</v>
      </c>
      <c r="AB50" s="3">
        <f t="shared" si="0"/>
        <v>0</v>
      </c>
    </row>
    <row r="51" spans="1:28" x14ac:dyDescent="0.25">
      <c r="A51" s="4" t="s">
        <v>1153</v>
      </c>
      <c r="B51" s="4" t="s">
        <v>31</v>
      </c>
      <c r="C51" s="4">
        <v>26</v>
      </c>
      <c r="D51" s="4">
        <v>6</v>
      </c>
      <c r="E51" s="4" t="s">
        <v>508</v>
      </c>
      <c r="F51" s="4" t="s">
        <v>1127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v>0</v>
      </c>
      <c r="W51" s="4">
        <v>0</v>
      </c>
      <c r="X51" s="4">
        <v>0</v>
      </c>
      <c r="Y51" s="4">
        <v>0</v>
      </c>
      <c r="Z51" s="4">
        <v>0</v>
      </c>
      <c r="AA51" s="4">
        <v>0</v>
      </c>
      <c r="AB51" s="4">
        <f t="shared" si="0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1154</v>
      </c>
      <c r="B61" s="3" t="s">
        <v>43</v>
      </c>
      <c r="C61" s="3">
        <v>27</v>
      </c>
      <c r="D61" s="3">
        <v>6</v>
      </c>
      <c r="E61" s="3" t="s">
        <v>397</v>
      </c>
      <c r="F61" s="3" t="s">
        <v>1127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v>0</v>
      </c>
      <c r="W61" s="3">
        <v>0</v>
      </c>
      <c r="X61" s="3">
        <v>0</v>
      </c>
      <c r="Y61" s="3">
        <v>0</v>
      </c>
      <c r="Z61" s="3">
        <v>0</v>
      </c>
      <c r="AA61" s="3">
        <v>0</v>
      </c>
      <c r="AB61" s="3">
        <v>0</v>
      </c>
    </row>
    <row r="62" spans="1:28" x14ac:dyDescent="0.25">
      <c r="A62" s="4" t="s">
        <v>1155</v>
      </c>
      <c r="B62" s="4" t="s">
        <v>43</v>
      </c>
      <c r="C62" s="4">
        <v>30</v>
      </c>
      <c r="D62" s="4">
        <v>8</v>
      </c>
      <c r="E62" s="4" t="s">
        <v>391</v>
      </c>
      <c r="F62" s="4" t="s">
        <v>1127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0</v>
      </c>
      <c r="X62" s="4">
        <v>0</v>
      </c>
      <c r="Y62" s="4">
        <v>0</v>
      </c>
      <c r="Z62" s="4">
        <v>0</v>
      </c>
      <c r="AA62" s="4">
        <v>0</v>
      </c>
      <c r="AB62" s="4">
        <v>0</v>
      </c>
    </row>
    <row r="63" spans="1:28" x14ac:dyDescent="0.25">
      <c r="A63" s="3" t="s">
        <v>1156</v>
      </c>
      <c r="B63" s="3" t="s">
        <v>43</v>
      </c>
      <c r="C63" s="3">
        <v>24</v>
      </c>
      <c r="D63" s="3">
        <v>0</v>
      </c>
      <c r="E63" s="3" t="s">
        <v>629</v>
      </c>
      <c r="F63" s="3" t="s">
        <v>1127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v>0</v>
      </c>
      <c r="W63" s="3">
        <v>0</v>
      </c>
      <c r="X63" s="3">
        <v>0</v>
      </c>
      <c r="Y63" s="3">
        <v>0</v>
      </c>
      <c r="Z63" s="3">
        <v>0</v>
      </c>
      <c r="AA63" s="3">
        <v>0</v>
      </c>
      <c r="AB63" s="3">
        <v>0</v>
      </c>
    </row>
    <row r="64" spans="1:28" x14ac:dyDescent="0.25">
      <c r="A64" s="4" t="s">
        <v>1157</v>
      </c>
      <c r="B64" s="4" t="s">
        <v>43</v>
      </c>
      <c r="C64" s="4">
        <v>26</v>
      </c>
      <c r="D64" s="4">
        <v>5</v>
      </c>
      <c r="E64" s="4" t="s">
        <v>511</v>
      </c>
      <c r="F64" s="4" t="s">
        <v>1127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</row>
    <row r="65" spans="1:28" x14ac:dyDescent="0.25">
      <c r="A65" s="3" t="s">
        <v>1158</v>
      </c>
      <c r="B65" s="3" t="s">
        <v>43</v>
      </c>
      <c r="C65" s="3">
        <v>28</v>
      </c>
      <c r="D65" s="3">
        <v>5</v>
      </c>
      <c r="E65" s="3" t="s">
        <v>294</v>
      </c>
      <c r="F65" s="3" t="s">
        <v>1127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v>0</v>
      </c>
      <c r="W65" s="3">
        <v>0</v>
      </c>
      <c r="X65" s="3">
        <v>0</v>
      </c>
      <c r="Y65" s="3">
        <v>0</v>
      </c>
      <c r="Z65" s="3">
        <v>0</v>
      </c>
      <c r="AA65" s="3">
        <v>0</v>
      </c>
      <c r="AB65" s="3">
        <v>0</v>
      </c>
    </row>
    <row r="66" spans="1:28" x14ac:dyDescent="0.25">
      <c r="A66" s="4" t="s">
        <v>1159</v>
      </c>
      <c r="B66" s="4" t="s">
        <v>43</v>
      </c>
      <c r="C66" s="4">
        <v>24</v>
      </c>
      <c r="D66" s="4">
        <v>0</v>
      </c>
      <c r="E66" s="4" t="s">
        <v>1068</v>
      </c>
      <c r="F66" s="4" t="s">
        <v>1127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</row>
    <row r="67" spans="1:28" x14ac:dyDescent="0.25">
      <c r="A67" s="3" t="s">
        <v>1160</v>
      </c>
      <c r="B67" s="3" t="s">
        <v>43</v>
      </c>
      <c r="C67" s="3">
        <v>23</v>
      </c>
      <c r="D67" s="3">
        <v>2</v>
      </c>
      <c r="E67" s="3" t="s">
        <v>511</v>
      </c>
      <c r="F67" s="3" t="s">
        <v>1127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v>0</v>
      </c>
      <c r="W67" s="3">
        <v>0</v>
      </c>
      <c r="X67" s="3">
        <v>0</v>
      </c>
      <c r="Y67" s="3">
        <v>0</v>
      </c>
      <c r="Z67" s="3">
        <v>0</v>
      </c>
      <c r="AA67" s="3">
        <v>0</v>
      </c>
      <c r="AB67" s="3">
        <v>0</v>
      </c>
    </row>
    <row r="68" spans="1:28" x14ac:dyDescent="0.25">
      <c r="A68" s="4" t="s">
        <v>1161</v>
      </c>
      <c r="B68" s="4" t="s">
        <v>43</v>
      </c>
      <c r="C68" s="4">
        <v>29</v>
      </c>
      <c r="D68" s="4">
        <v>8</v>
      </c>
      <c r="E68" s="4" t="s">
        <v>1162</v>
      </c>
      <c r="F68" s="4" t="s">
        <v>1127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0</v>
      </c>
      <c r="X68" s="4">
        <v>0</v>
      </c>
      <c r="Y68" s="4">
        <v>0</v>
      </c>
      <c r="Z68" s="4">
        <v>0</v>
      </c>
      <c r="AA68" s="4">
        <v>0</v>
      </c>
      <c r="AB68" s="4">
        <v>0</v>
      </c>
    </row>
    <row r="69" spans="1:28" x14ac:dyDescent="0.25">
      <c r="A69" s="3" t="s">
        <v>1163</v>
      </c>
      <c r="B69" s="3" t="s">
        <v>43</v>
      </c>
      <c r="C69" s="3">
        <v>24</v>
      </c>
      <c r="D69" s="3">
        <v>1</v>
      </c>
      <c r="E69" s="3" t="s">
        <v>240</v>
      </c>
      <c r="F69" s="3" t="s">
        <v>1127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v>0</v>
      </c>
      <c r="W69" s="3">
        <v>0</v>
      </c>
      <c r="X69" s="3">
        <v>0</v>
      </c>
      <c r="Y69" s="3">
        <v>0</v>
      </c>
      <c r="Z69" s="3">
        <v>0</v>
      </c>
      <c r="AA69" s="3">
        <v>0</v>
      </c>
      <c r="AB69" s="3">
        <v>0</v>
      </c>
    </row>
    <row r="70" spans="1:28" x14ac:dyDescent="0.25">
      <c r="A70" s="4" t="s">
        <v>1164</v>
      </c>
      <c r="B70" s="4" t="s">
        <v>43</v>
      </c>
      <c r="C70" s="4">
        <v>24</v>
      </c>
      <c r="D70" s="4">
        <v>3</v>
      </c>
      <c r="E70" s="4" t="s">
        <v>153</v>
      </c>
      <c r="F70" s="4" t="s">
        <v>1127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0</v>
      </c>
      <c r="X70" s="4">
        <v>0</v>
      </c>
      <c r="Y70" s="4">
        <v>0</v>
      </c>
      <c r="Z70" s="4">
        <v>0</v>
      </c>
      <c r="AA70" s="4">
        <v>0</v>
      </c>
      <c r="AB70" s="4">
        <v>0</v>
      </c>
    </row>
    <row r="71" spans="1:28" x14ac:dyDescent="0.25">
      <c r="A71" s="3" t="s">
        <v>1165</v>
      </c>
      <c r="B71" s="3" t="s">
        <v>43</v>
      </c>
      <c r="C71" s="3">
        <v>28</v>
      </c>
      <c r="D71" s="3">
        <v>6</v>
      </c>
      <c r="E71" s="3" t="s">
        <v>296</v>
      </c>
      <c r="F71" s="3" t="s">
        <v>1127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v>0</v>
      </c>
      <c r="W71" s="3">
        <v>0</v>
      </c>
      <c r="X71" s="3">
        <v>0</v>
      </c>
      <c r="Y71" s="3">
        <v>0</v>
      </c>
      <c r="Z71" s="3">
        <v>0</v>
      </c>
      <c r="AA71" s="3">
        <v>0</v>
      </c>
      <c r="AB71" s="3"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1166</v>
      </c>
      <c r="B76" s="3" t="s">
        <v>38</v>
      </c>
      <c r="C76" s="3">
        <v>25</v>
      </c>
      <c r="D76" s="3">
        <v>2</v>
      </c>
      <c r="E76" s="3" t="s">
        <v>1167</v>
      </c>
      <c r="F76" s="3" t="s">
        <v>1127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v>0</v>
      </c>
      <c r="W76" s="3">
        <v>0</v>
      </c>
      <c r="X76" s="3">
        <v>0</v>
      </c>
      <c r="Y76" s="3">
        <v>0</v>
      </c>
      <c r="Z76" s="3">
        <v>0</v>
      </c>
      <c r="AA76" s="3">
        <v>0</v>
      </c>
      <c r="AB76" s="3">
        <v>0</v>
      </c>
    </row>
    <row r="77" spans="1:28" x14ac:dyDescent="0.25">
      <c r="A77" s="4" t="s">
        <v>1168</v>
      </c>
      <c r="B77" s="4" t="s">
        <v>38</v>
      </c>
      <c r="C77" s="4">
        <v>22</v>
      </c>
      <c r="D77" s="4">
        <v>0</v>
      </c>
      <c r="E77" s="4" t="s">
        <v>102</v>
      </c>
      <c r="F77" s="4" t="s">
        <v>1127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v>0</v>
      </c>
      <c r="W77" s="4">
        <v>0</v>
      </c>
      <c r="X77" s="4">
        <v>0</v>
      </c>
      <c r="Y77" s="4">
        <v>0</v>
      </c>
      <c r="Z77" s="4">
        <v>0</v>
      </c>
      <c r="AA77" s="4">
        <v>0</v>
      </c>
      <c r="AB77" s="4">
        <v>0</v>
      </c>
    </row>
    <row r="78" spans="1:28" x14ac:dyDescent="0.25">
      <c r="A78" s="3" t="s">
        <v>1169</v>
      </c>
      <c r="B78" s="3" t="s">
        <v>38</v>
      </c>
      <c r="C78" s="3">
        <v>23</v>
      </c>
      <c r="D78" s="3">
        <v>0</v>
      </c>
      <c r="E78" s="3" t="s">
        <v>1170</v>
      </c>
      <c r="F78" s="3" t="s">
        <v>1127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v>0</v>
      </c>
      <c r="W78" s="3">
        <v>0</v>
      </c>
      <c r="X78" s="3">
        <v>0</v>
      </c>
      <c r="Y78" s="3">
        <v>0</v>
      </c>
      <c r="Z78" s="3">
        <v>0</v>
      </c>
      <c r="AA78" s="3">
        <v>0</v>
      </c>
      <c r="AB78" s="3">
        <v>0</v>
      </c>
    </row>
    <row r="79" spans="1:28" x14ac:dyDescent="0.25">
      <c r="A79" s="4" t="s">
        <v>1171</v>
      </c>
      <c r="B79" s="4" t="s">
        <v>38</v>
      </c>
      <c r="C79" s="4">
        <v>30</v>
      </c>
      <c r="D79" s="4">
        <v>9</v>
      </c>
      <c r="E79" s="4" t="s">
        <v>215</v>
      </c>
      <c r="F79" s="4" t="s">
        <v>1127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v>0</v>
      </c>
      <c r="W79" s="4">
        <v>0</v>
      </c>
      <c r="X79" s="4">
        <v>0</v>
      </c>
      <c r="Y79" s="4">
        <v>0</v>
      </c>
      <c r="Z79" s="4">
        <v>0</v>
      </c>
      <c r="AA79" s="4">
        <v>0</v>
      </c>
      <c r="AB79" s="4">
        <v>0</v>
      </c>
    </row>
    <row r="80" spans="1:28" x14ac:dyDescent="0.25">
      <c r="A80" s="3" t="s">
        <v>1172</v>
      </c>
      <c r="B80" s="3" t="s">
        <v>38</v>
      </c>
      <c r="C80" s="3">
        <v>29</v>
      </c>
      <c r="D80" s="3">
        <v>6</v>
      </c>
      <c r="E80" s="3" t="s">
        <v>1173</v>
      </c>
      <c r="F80" s="3" t="s">
        <v>1127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v>0</v>
      </c>
      <c r="W80" s="3">
        <v>0</v>
      </c>
      <c r="X80" s="3">
        <v>0</v>
      </c>
      <c r="Y80" s="3">
        <v>0</v>
      </c>
      <c r="Z80" s="3">
        <v>0</v>
      </c>
      <c r="AA80" s="3">
        <v>0</v>
      </c>
      <c r="AB80" s="3">
        <v>0</v>
      </c>
    </row>
    <row r="81" spans="1:28" x14ac:dyDescent="0.25">
      <c r="A81" s="4" t="s">
        <v>1174</v>
      </c>
      <c r="B81" s="4" t="s">
        <v>38</v>
      </c>
      <c r="C81" s="4">
        <v>28</v>
      </c>
      <c r="D81" s="4">
        <v>6</v>
      </c>
      <c r="E81" s="4" t="s">
        <v>362</v>
      </c>
      <c r="F81" s="4" t="s">
        <v>1127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v>0</v>
      </c>
      <c r="W81" s="4">
        <v>0</v>
      </c>
      <c r="X81" s="4">
        <v>0</v>
      </c>
      <c r="Y81" s="4">
        <v>0</v>
      </c>
      <c r="Z81" s="4">
        <v>0</v>
      </c>
      <c r="AA81" s="4">
        <v>0</v>
      </c>
      <c r="AB81" s="4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AB81"/>
  <sheetViews>
    <sheetView topLeftCell="H19" workbookViewId="0">
      <selection activeCell="AB46" sqref="AB46:AB51"/>
    </sheetView>
  </sheetViews>
  <sheetFormatPr defaultColWidth="11.42578125" defaultRowHeight="15" x14ac:dyDescent="0.25"/>
  <sheetData>
    <row r="1" spans="1:24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</row>
    <row r="2" spans="1:24" x14ac:dyDescent="0.25">
      <c r="A2" s="3" t="s">
        <v>1175</v>
      </c>
      <c r="B2" s="3" t="s">
        <v>1176</v>
      </c>
      <c r="C2" s="3" t="s">
        <v>115</v>
      </c>
      <c r="D2" s="3">
        <v>9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4</v>
      </c>
      <c r="K2" s="3">
        <v>7</v>
      </c>
      <c r="L2" s="3">
        <v>2</v>
      </c>
      <c r="M2" s="3">
        <v>12</v>
      </c>
      <c r="N2" s="3">
        <v>10</v>
      </c>
      <c r="O2" s="3">
        <v>86</v>
      </c>
      <c r="P2" s="3">
        <v>0</v>
      </c>
      <c r="Q2" s="3">
        <v>0</v>
      </c>
      <c r="R2" s="3">
        <v>0</v>
      </c>
      <c r="S2" s="3">
        <v>31.3</v>
      </c>
      <c r="T2" s="3">
        <v>2.0547945205479499E-2</v>
      </c>
      <c r="U2" s="3">
        <v>1.75</v>
      </c>
      <c r="V2" s="3">
        <v>8.6</v>
      </c>
      <c r="W2" s="3"/>
      <c r="X2" s="3"/>
    </row>
    <row r="3" spans="1:24" x14ac:dyDescent="0.25">
      <c r="A3" s="4" t="s">
        <v>1177</v>
      </c>
      <c r="B3" s="4" t="s">
        <v>1176</v>
      </c>
      <c r="C3" s="4" t="s">
        <v>26</v>
      </c>
      <c r="D3" s="4">
        <v>17</v>
      </c>
      <c r="E3" s="4">
        <v>643</v>
      </c>
      <c r="F3" s="4">
        <v>424</v>
      </c>
      <c r="G3" s="4">
        <v>4547</v>
      </c>
      <c r="H3" s="4">
        <v>29</v>
      </c>
      <c r="I3" s="4">
        <v>14</v>
      </c>
      <c r="J3" s="4">
        <v>31</v>
      </c>
      <c r="K3" s="4">
        <v>97</v>
      </c>
      <c r="L3" s="4">
        <v>2</v>
      </c>
      <c r="M3" s="4">
        <v>0</v>
      </c>
      <c r="N3" s="4">
        <v>0</v>
      </c>
      <c r="O3" s="4">
        <v>0</v>
      </c>
      <c r="P3" s="4">
        <v>0</v>
      </c>
      <c r="Q3" s="4">
        <v>3</v>
      </c>
      <c r="R3" s="4">
        <v>3</v>
      </c>
      <c r="S3" s="4">
        <v>291.58</v>
      </c>
      <c r="T3" s="4">
        <v>0</v>
      </c>
      <c r="U3" s="4">
        <v>3.12903225806452</v>
      </c>
      <c r="V3" s="4"/>
      <c r="W3" s="4">
        <v>0.65940902021772896</v>
      </c>
      <c r="X3" s="4">
        <v>4.5101088646967297E-2</v>
      </c>
    </row>
    <row r="4" spans="1:24" x14ac:dyDescent="0.25">
      <c r="A4" s="3" t="s">
        <v>1178</v>
      </c>
      <c r="B4" s="3" t="s">
        <v>1176</v>
      </c>
      <c r="C4" s="3" t="s">
        <v>26</v>
      </c>
      <c r="D4" s="3">
        <v>4</v>
      </c>
      <c r="E4" s="3">
        <v>25</v>
      </c>
      <c r="F4" s="3">
        <v>21</v>
      </c>
      <c r="G4" s="3">
        <v>224</v>
      </c>
      <c r="H4" s="3">
        <v>1</v>
      </c>
      <c r="I4" s="3">
        <v>1</v>
      </c>
      <c r="J4" s="3">
        <v>4</v>
      </c>
      <c r="K4" s="3">
        <v>8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11.76</v>
      </c>
      <c r="T4" s="3">
        <v>0</v>
      </c>
      <c r="U4" s="3">
        <v>2</v>
      </c>
      <c r="V4" s="3"/>
      <c r="W4" s="3">
        <v>0.84</v>
      </c>
      <c r="X4" s="3">
        <v>0.04</v>
      </c>
    </row>
    <row r="5" spans="1:24" x14ac:dyDescent="0.25">
      <c r="A5" s="4" t="s">
        <v>1179</v>
      </c>
      <c r="B5" s="4" t="s">
        <v>1176</v>
      </c>
      <c r="C5" s="4" t="s">
        <v>31</v>
      </c>
      <c r="D5" s="4">
        <v>17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74</v>
      </c>
      <c r="K5" s="4">
        <v>283</v>
      </c>
      <c r="L5" s="4">
        <v>5</v>
      </c>
      <c r="M5" s="4">
        <v>18</v>
      </c>
      <c r="N5" s="4">
        <v>15</v>
      </c>
      <c r="O5" s="4">
        <v>91</v>
      </c>
      <c r="P5" s="4">
        <v>1</v>
      </c>
      <c r="Q5" s="4">
        <v>0</v>
      </c>
      <c r="R5" s="4">
        <v>0</v>
      </c>
      <c r="S5" s="4">
        <v>88.4</v>
      </c>
      <c r="T5" s="4">
        <v>3.0821917808219201E-2</v>
      </c>
      <c r="U5" s="4">
        <v>3.8243243243243201</v>
      </c>
      <c r="V5" s="4">
        <v>6.06666666666667</v>
      </c>
      <c r="W5" s="4"/>
      <c r="X5" s="4"/>
    </row>
    <row r="6" spans="1:24" x14ac:dyDescent="0.25">
      <c r="A6" s="3" t="s">
        <v>1180</v>
      </c>
      <c r="B6" s="3" t="s">
        <v>1176</v>
      </c>
      <c r="C6" s="3" t="s">
        <v>31</v>
      </c>
      <c r="D6" s="3">
        <v>17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264</v>
      </c>
      <c r="K6" s="3">
        <v>1173</v>
      </c>
      <c r="L6" s="3">
        <v>8</v>
      </c>
      <c r="M6" s="3">
        <v>56</v>
      </c>
      <c r="N6" s="3">
        <v>39</v>
      </c>
      <c r="O6" s="3">
        <v>295</v>
      </c>
      <c r="P6" s="3">
        <v>2</v>
      </c>
      <c r="Q6" s="3">
        <v>4</v>
      </c>
      <c r="R6" s="3">
        <v>0</v>
      </c>
      <c r="S6" s="3">
        <v>237.8</v>
      </c>
      <c r="T6" s="3">
        <v>9.5890410958904104E-2</v>
      </c>
      <c r="U6" s="3">
        <v>4.4431818181818201</v>
      </c>
      <c r="V6" s="3">
        <v>7.5641025641025603</v>
      </c>
      <c r="W6" s="3"/>
      <c r="X6" s="3"/>
    </row>
    <row r="7" spans="1:24" x14ac:dyDescent="0.25">
      <c r="A7" s="4" t="s">
        <v>1181</v>
      </c>
      <c r="B7" s="4" t="s">
        <v>1176</v>
      </c>
      <c r="C7" s="4" t="s">
        <v>31</v>
      </c>
      <c r="D7" s="4">
        <v>3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9</v>
      </c>
      <c r="K7" s="4">
        <v>14</v>
      </c>
      <c r="L7" s="4">
        <v>0</v>
      </c>
      <c r="M7" s="4">
        <v>2</v>
      </c>
      <c r="N7" s="4">
        <v>2</v>
      </c>
      <c r="O7" s="4">
        <v>21</v>
      </c>
      <c r="P7" s="4">
        <v>0</v>
      </c>
      <c r="Q7" s="4">
        <v>0</v>
      </c>
      <c r="R7" s="4">
        <v>0</v>
      </c>
      <c r="S7" s="4">
        <v>11.5</v>
      </c>
      <c r="T7" s="4">
        <v>3.4246575342465799E-3</v>
      </c>
      <c r="U7" s="4">
        <v>1.55555555555556</v>
      </c>
      <c r="V7" s="4">
        <v>10.5</v>
      </c>
      <c r="W7" s="4"/>
      <c r="X7" s="4"/>
    </row>
    <row r="8" spans="1:24" x14ac:dyDescent="0.25">
      <c r="A8" s="3" t="s">
        <v>1182</v>
      </c>
      <c r="B8" s="3" t="s">
        <v>1176</v>
      </c>
      <c r="C8" s="3" t="s">
        <v>31</v>
      </c>
      <c r="D8" s="3">
        <v>1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6</v>
      </c>
      <c r="K8" s="3">
        <v>20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2</v>
      </c>
      <c r="T8" s="3">
        <v>0</v>
      </c>
      <c r="U8" s="3">
        <v>3.3333333333333299</v>
      </c>
      <c r="V8" s="3"/>
      <c r="W8" s="3"/>
      <c r="X8" s="3"/>
    </row>
    <row r="9" spans="1:24" x14ac:dyDescent="0.25">
      <c r="A9" s="4" t="s">
        <v>1183</v>
      </c>
      <c r="B9" s="4" t="s">
        <v>1176</v>
      </c>
      <c r="C9" s="4" t="s">
        <v>38</v>
      </c>
      <c r="D9" s="4">
        <v>2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3</v>
      </c>
      <c r="N9" s="4">
        <v>3</v>
      </c>
      <c r="O9" s="4">
        <v>26</v>
      </c>
      <c r="P9" s="4">
        <v>0</v>
      </c>
      <c r="Q9" s="4">
        <v>0</v>
      </c>
      <c r="R9" s="4">
        <v>0</v>
      </c>
      <c r="S9" s="4">
        <v>5.6</v>
      </c>
      <c r="T9" s="4">
        <v>5.1369863013698601E-3</v>
      </c>
      <c r="U9" s="4"/>
      <c r="V9" s="4">
        <v>8.6666666666666696</v>
      </c>
      <c r="W9" s="4"/>
      <c r="X9" s="4"/>
    </row>
    <row r="10" spans="1:24" x14ac:dyDescent="0.25">
      <c r="A10" s="3" t="s">
        <v>1184</v>
      </c>
      <c r="B10" s="3" t="s">
        <v>1176</v>
      </c>
      <c r="C10" s="3" t="s">
        <v>38</v>
      </c>
      <c r="D10" s="3">
        <v>8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36</v>
      </c>
      <c r="N10" s="3">
        <v>25</v>
      </c>
      <c r="O10" s="3">
        <v>182</v>
      </c>
      <c r="P10" s="3">
        <v>2</v>
      </c>
      <c r="Q10" s="3">
        <v>0</v>
      </c>
      <c r="R10" s="3">
        <v>0</v>
      </c>
      <c r="S10" s="3">
        <v>55.2</v>
      </c>
      <c r="T10" s="3">
        <v>6.1643835616438401E-2</v>
      </c>
      <c r="U10" s="3"/>
      <c r="V10" s="3">
        <v>7.28</v>
      </c>
      <c r="W10" s="3"/>
      <c r="X10" s="3"/>
    </row>
    <row r="11" spans="1:24" x14ac:dyDescent="0.25">
      <c r="A11" s="4" t="s">
        <v>1185</v>
      </c>
      <c r="B11" s="4" t="s">
        <v>1176</v>
      </c>
      <c r="C11" s="4" t="s">
        <v>38</v>
      </c>
      <c r="D11" s="4">
        <v>13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21</v>
      </c>
      <c r="N11" s="4">
        <v>19</v>
      </c>
      <c r="O11" s="4">
        <v>140</v>
      </c>
      <c r="P11" s="4">
        <v>1</v>
      </c>
      <c r="Q11" s="4">
        <v>0</v>
      </c>
      <c r="R11" s="4">
        <v>0</v>
      </c>
      <c r="S11" s="4">
        <v>39</v>
      </c>
      <c r="T11" s="4">
        <v>3.5958904109588997E-2</v>
      </c>
      <c r="U11" s="4"/>
      <c r="V11" s="4">
        <v>7.3684210526315796</v>
      </c>
      <c r="W11" s="4"/>
      <c r="X11" s="4"/>
    </row>
    <row r="12" spans="1:24" x14ac:dyDescent="0.25">
      <c r="A12" s="3" t="s">
        <v>656</v>
      </c>
      <c r="B12" s="3" t="s">
        <v>1176</v>
      </c>
      <c r="C12" s="3" t="s">
        <v>38</v>
      </c>
      <c r="D12" s="3">
        <v>10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86</v>
      </c>
      <c r="N12" s="3">
        <v>60</v>
      </c>
      <c r="O12" s="3">
        <v>519</v>
      </c>
      <c r="P12" s="3">
        <v>3</v>
      </c>
      <c r="Q12" s="3">
        <v>0</v>
      </c>
      <c r="R12" s="3">
        <v>0</v>
      </c>
      <c r="S12" s="3">
        <v>129.9</v>
      </c>
      <c r="T12" s="3">
        <v>0.147260273972603</v>
      </c>
      <c r="U12" s="3"/>
      <c r="V12" s="3">
        <v>8.65</v>
      </c>
      <c r="W12" s="3"/>
      <c r="X12" s="3"/>
    </row>
    <row r="13" spans="1:24" x14ac:dyDescent="0.25">
      <c r="A13" s="4" t="s">
        <v>1186</v>
      </c>
      <c r="B13" s="4" t="s">
        <v>1176</v>
      </c>
      <c r="C13" s="4" t="s">
        <v>43</v>
      </c>
      <c r="D13" s="4">
        <v>17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1</v>
      </c>
      <c r="K13" s="4">
        <v>4</v>
      </c>
      <c r="L13" s="4">
        <v>0</v>
      </c>
      <c r="M13" s="4">
        <v>107</v>
      </c>
      <c r="N13" s="4">
        <v>70</v>
      </c>
      <c r="O13" s="4">
        <v>716</v>
      </c>
      <c r="P13" s="4">
        <v>6</v>
      </c>
      <c r="Q13" s="4">
        <v>0</v>
      </c>
      <c r="R13" s="4">
        <v>0</v>
      </c>
      <c r="S13" s="4">
        <v>180</v>
      </c>
      <c r="T13" s="4">
        <v>0.18321917808219201</v>
      </c>
      <c r="U13" s="4">
        <v>4</v>
      </c>
      <c r="V13" s="4">
        <v>10.228571428571399</v>
      </c>
      <c r="W13" s="4"/>
      <c r="X13" s="4"/>
    </row>
    <row r="14" spans="1:24" x14ac:dyDescent="0.25">
      <c r="A14" s="3" t="s">
        <v>1187</v>
      </c>
      <c r="B14" s="3" t="s">
        <v>1176</v>
      </c>
      <c r="C14" s="3" t="s">
        <v>43</v>
      </c>
      <c r="D14" s="3">
        <v>17</v>
      </c>
      <c r="E14" s="3">
        <v>2</v>
      </c>
      <c r="F14" s="3">
        <v>2</v>
      </c>
      <c r="G14" s="3">
        <v>34</v>
      </c>
      <c r="H14" s="3">
        <v>0</v>
      </c>
      <c r="I14" s="3">
        <v>0</v>
      </c>
      <c r="J14" s="3">
        <v>4</v>
      </c>
      <c r="K14" s="3">
        <v>24</v>
      </c>
      <c r="L14" s="3">
        <v>1</v>
      </c>
      <c r="M14" s="3">
        <v>184</v>
      </c>
      <c r="N14" s="3">
        <v>128</v>
      </c>
      <c r="O14" s="3">
        <v>1809</v>
      </c>
      <c r="P14" s="3">
        <v>8</v>
      </c>
      <c r="Q14" s="3">
        <v>0</v>
      </c>
      <c r="R14" s="3">
        <v>0</v>
      </c>
      <c r="S14" s="3">
        <v>368.66</v>
      </c>
      <c r="T14" s="3">
        <v>0.31506849315068503</v>
      </c>
      <c r="U14" s="3">
        <v>6</v>
      </c>
      <c r="V14" s="3">
        <v>14.1328125</v>
      </c>
      <c r="W14" s="3">
        <v>1</v>
      </c>
      <c r="X14" s="3">
        <v>0</v>
      </c>
    </row>
    <row r="15" spans="1:24" x14ac:dyDescent="0.25">
      <c r="A15" s="4" t="s">
        <v>1188</v>
      </c>
      <c r="B15" s="4" t="s">
        <v>1176</v>
      </c>
      <c r="C15" s="4" t="s">
        <v>43</v>
      </c>
      <c r="D15" s="4">
        <v>5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13</v>
      </c>
      <c r="N15" s="4">
        <v>9</v>
      </c>
      <c r="O15" s="4">
        <v>179</v>
      </c>
      <c r="P15" s="4">
        <v>1</v>
      </c>
      <c r="Q15" s="4">
        <v>0</v>
      </c>
      <c r="R15" s="4">
        <v>0</v>
      </c>
      <c r="S15" s="4">
        <v>32.9</v>
      </c>
      <c r="T15" s="4">
        <v>2.22602739726027E-2</v>
      </c>
      <c r="U15" s="4"/>
      <c r="V15" s="4">
        <v>19.8888888888889</v>
      </c>
      <c r="W15" s="4"/>
      <c r="X15" s="4"/>
    </row>
    <row r="16" spans="1:24" x14ac:dyDescent="0.25">
      <c r="A16" s="3" t="s">
        <v>1189</v>
      </c>
      <c r="B16" s="3" t="s">
        <v>1176</v>
      </c>
      <c r="C16" s="3" t="s">
        <v>43</v>
      </c>
      <c r="D16" s="3">
        <v>10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4</v>
      </c>
      <c r="K16" s="3">
        <v>25</v>
      </c>
      <c r="L16" s="3">
        <v>0</v>
      </c>
      <c r="M16" s="3">
        <v>13</v>
      </c>
      <c r="N16" s="3">
        <v>8</v>
      </c>
      <c r="O16" s="3">
        <v>104</v>
      </c>
      <c r="P16" s="3">
        <v>1</v>
      </c>
      <c r="Q16" s="3">
        <v>0</v>
      </c>
      <c r="R16" s="3">
        <v>0</v>
      </c>
      <c r="S16" s="3">
        <v>26.9</v>
      </c>
      <c r="T16" s="3">
        <v>2.22602739726027E-2</v>
      </c>
      <c r="U16" s="3">
        <v>6.25</v>
      </c>
      <c r="V16" s="3">
        <v>13</v>
      </c>
      <c r="W16" s="3"/>
      <c r="X16" s="3"/>
    </row>
    <row r="17" spans="1:24" x14ac:dyDescent="0.25">
      <c r="A17" s="4" t="s">
        <v>1190</v>
      </c>
      <c r="B17" s="4" t="s">
        <v>1176</v>
      </c>
      <c r="C17" s="4" t="s">
        <v>43</v>
      </c>
      <c r="D17" s="4">
        <v>17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3</v>
      </c>
      <c r="K17" s="4">
        <v>6</v>
      </c>
      <c r="L17" s="4">
        <v>0</v>
      </c>
      <c r="M17" s="4">
        <v>90</v>
      </c>
      <c r="N17" s="4">
        <v>60</v>
      </c>
      <c r="O17" s="4">
        <v>650</v>
      </c>
      <c r="P17" s="4">
        <v>5</v>
      </c>
      <c r="Q17" s="4">
        <v>0</v>
      </c>
      <c r="R17" s="4">
        <v>0</v>
      </c>
      <c r="S17" s="4">
        <v>155.6</v>
      </c>
      <c r="T17" s="4">
        <v>0.15410958904109601</v>
      </c>
      <c r="U17" s="4">
        <v>2</v>
      </c>
      <c r="V17" s="4">
        <v>10.8333333333333</v>
      </c>
      <c r="W17" s="4"/>
      <c r="X17" s="4"/>
    </row>
    <row r="30" spans="1:24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</row>
    <row r="31" spans="1:24" x14ac:dyDescent="0.25">
      <c r="A31" s="3" t="s">
        <v>1176</v>
      </c>
      <c r="B31" s="3">
        <v>6466</v>
      </c>
      <c r="C31" s="3">
        <v>4805</v>
      </c>
      <c r="D31" s="3">
        <v>404</v>
      </c>
      <c r="E31" s="3">
        <v>1661</v>
      </c>
      <c r="F31" s="3">
        <v>18</v>
      </c>
      <c r="G31" s="3">
        <v>1668.1</v>
      </c>
      <c r="H31" s="3">
        <v>670</v>
      </c>
      <c r="I31" s="3">
        <v>0.66716417910447801</v>
      </c>
      <c r="J31" s="3">
        <v>30</v>
      </c>
      <c r="K31" s="3">
        <v>15</v>
      </c>
      <c r="L31" s="3">
        <v>7</v>
      </c>
    </row>
    <row r="32" spans="1:24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</row>
    <row r="33" spans="1:28" x14ac:dyDescent="0.25">
      <c r="A33" s="3" t="str">
        <f>A31</f>
        <v>MIN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1191</v>
      </c>
      <c r="B36" s="3" t="s">
        <v>26</v>
      </c>
      <c r="C36" s="3">
        <v>34</v>
      </c>
      <c r="D36" s="3">
        <v>12</v>
      </c>
      <c r="E36" s="3" t="s">
        <v>744</v>
      </c>
      <c r="F36" s="3" t="s">
        <v>1176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">
        <v>0</v>
      </c>
      <c r="X36" s="3">
        <v>0</v>
      </c>
      <c r="Y36" s="3">
        <v>0</v>
      </c>
      <c r="Z36" s="3">
        <v>0</v>
      </c>
      <c r="AA36" s="3">
        <v>0</v>
      </c>
      <c r="AB36" s="3">
        <v>0</v>
      </c>
    </row>
    <row r="37" spans="1:28" x14ac:dyDescent="0.25">
      <c r="A37" s="4" t="s">
        <v>1192</v>
      </c>
      <c r="B37" s="4" t="s">
        <v>26</v>
      </c>
      <c r="C37" s="4">
        <v>25</v>
      </c>
      <c r="D37" s="4">
        <v>0</v>
      </c>
      <c r="E37" s="4" t="s">
        <v>82</v>
      </c>
      <c r="F37" s="4" t="s">
        <v>1176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</row>
    <row r="38" spans="1:28" x14ac:dyDescent="0.25">
      <c r="A38" s="3" t="s">
        <v>1193</v>
      </c>
      <c r="B38" s="3" t="s">
        <v>26</v>
      </c>
      <c r="C38" s="3">
        <v>28</v>
      </c>
      <c r="D38" s="3">
        <v>5</v>
      </c>
      <c r="E38" s="3" t="s">
        <v>898</v>
      </c>
      <c r="F38" s="3" t="s">
        <v>1176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v>0</v>
      </c>
      <c r="W38" s="3">
        <v>0</v>
      </c>
      <c r="X38" s="3">
        <v>0</v>
      </c>
      <c r="Y38" s="3">
        <v>0</v>
      </c>
      <c r="Z38" s="3">
        <v>0</v>
      </c>
      <c r="AA38" s="3">
        <v>0</v>
      </c>
      <c r="AB38" s="3"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1194</v>
      </c>
      <c r="B46" s="3" t="s">
        <v>31</v>
      </c>
      <c r="C46" s="3">
        <v>25</v>
      </c>
      <c r="D46" s="3">
        <v>2</v>
      </c>
      <c r="E46" s="3" t="s">
        <v>163</v>
      </c>
      <c r="F46" s="3" t="s">
        <v>1176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v>0</v>
      </c>
      <c r="W46" s="3">
        <v>0</v>
      </c>
      <c r="X46" s="3">
        <v>0</v>
      </c>
      <c r="Y46" s="3">
        <v>0</v>
      </c>
      <c r="Z46" s="3">
        <v>0</v>
      </c>
      <c r="AA46" s="3">
        <v>0</v>
      </c>
      <c r="AB46" s="3">
        <f t="shared" ref="AB46:AB51" si="0">($J46*Cp_yd)+($K46*Cp_td)+($L46*Cint)+($M46*Ccar)+($N46*Cr_td)+($O46*Cr_yd)+(Q46*Crec)+($R46*Crec_yd)+($S46*Crec_td)+($T46*Cfmb)+($U46*Ctp_c)</f>
        <v>0</v>
      </c>
    </row>
    <row r="47" spans="1:28" x14ac:dyDescent="0.25">
      <c r="A47" s="4" t="s">
        <v>1195</v>
      </c>
      <c r="B47" s="4" t="s">
        <v>31</v>
      </c>
      <c r="C47" s="4"/>
      <c r="D47" s="4">
        <v>0</v>
      </c>
      <c r="E47" s="4" t="s">
        <v>1196</v>
      </c>
      <c r="F47" s="4" t="s">
        <v>1176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f t="shared" si="0"/>
        <v>0</v>
      </c>
    </row>
    <row r="48" spans="1:28" x14ac:dyDescent="0.25">
      <c r="A48" s="3" t="s">
        <v>1197</v>
      </c>
      <c r="B48" s="3" t="s">
        <v>31</v>
      </c>
      <c r="C48" s="3">
        <v>25</v>
      </c>
      <c r="D48" s="3">
        <v>5</v>
      </c>
      <c r="E48" s="3" t="s">
        <v>296</v>
      </c>
      <c r="F48" s="3" t="s">
        <v>1176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v>0</v>
      </c>
      <c r="W48" s="3">
        <v>0</v>
      </c>
      <c r="X48" s="3">
        <v>0</v>
      </c>
      <c r="Y48" s="3">
        <v>0</v>
      </c>
      <c r="Z48" s="3">
        <v>0</v>
      </c>
      <c r="AA48" s="3">
        <v>0</v>
      </c>
      <c r="AB48" s="3">
        <f t="shared" si="0"/>
        <v>0</v>
      </c>
    </row>
    <row r="49" spans="1:28" x14ac:dyDescent="0.25">
      <c r="A49" s="4" t="s">
        <v>1198</v>
      </c>
      <c r="B49" s="4" t="s">
        <v>31</v>
      </c>
      <c r="C49" s="4">
        <v>22</v>
      </c>
      <c r="D49" s="4">
        <v>0</v>
      </c>
      <c r="E49" s="4" t="s">
        <v>335</v>
      </c>
      <c r="F49" s="4" t="s">
        <v>1176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B49" s="4">
        <f t="shared" si="0"/>
        <v>0</v>
      </c>
    </row>
    <row r="50" spans="1:28" x14ac:dyDescent="0.25">
      <c r="A50" s="3" t="s">
        <v>1199</v>
      </c>
      <c r="B50" s="3" t="s">
        <v>31</v>
      </c>
      <c r="C50" s="3">
        <v>25</v>
      </c>
      <c r="D50" s="3">
        <v>3</v>
      </c>
      <c r="E50" s="3" t="s">
        <v>244</v>
      </c>
      <c r="F50" s="3" t="s">
        <v>1176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v>0</v>
      </c>
      <c r="W50" s="3">
        <v>0</v>
      </c>
      <c r="X50" s="3">
        <v>0</v>
      </c>
      <c r="Y50" s="3">
        <v>0</v>
      </c>
      <c r="Z50" s="3">
        <v>0</v>
      </c>
      <c r="AA50" s="3">
        <v>0</v>
      </c>
      <c r="AB50" s="3">
        <f t="shared" si="0"/>
        <v>0</v>
      </c>
    </row>
    <row r="51" spans="1:28" x14ac:dyDescent="0.25">
      <c r="A51" s="4" t="s">
        <v>1200</v>
      </c>
      <c r="B51" s="4" t="s">
        <v>31</v>
      </c>
      <c r="C51" s="4">
        <v>24</v>
      </c>
      <c r="D51" s="4">
        <v>2</v>
      </c>
      <c r="E51" s="4" t="s">
        <v>393</v>
      </c>
      <c r="F51" s="4" t="s">
        <v>1176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v>0</v>
      </c>
      <c r="W51" s="4">
        <v>0</v>
      </c>
      <c r="X51" s="4">
        <v>0</v>
      </c>
      <c r="Y51" s="4">
        <v>0</v>
      </c>
      <c r="Z51" s="4">
        <v>0</v>
      </c>
      <c r="AA51" s="4">
        <v>0</v>
      </c>
      <c r="AB51" s="4">
        <f t="shared" si="0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1201</v>
      </c>
      <c r="B61" s="3" t="s">
        <v>43</v>
      </c>
      <c r="C61" s="3">
        <v>21</v>
      </c>
      <c r="D61" s="3">
        <v>0</v>
      </c>
      <c r="E61" s="3" t="s">
        <v>78</v>
      </c>
      <c r="F61" s="3" t="s">
        <v>1176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v>0</v>
      </c>
      <c r="W61" s="3">
        <v>0</v>
      </c>
      <c r="X61" s="3">
        <v>0</v>
      </c>
      <c r="Y61" s="3">
        <v>0</v>
      </c>
      <c r="Z61" s="3">
        <v>0</v>
      </c>
      <c r="AA61" s="3">
        <v>0</v>
      </c>
      <c r="AB61" s="3">
        <v>0</v>
      </c>
    </row>
    <row r="62" spans="1:28" x14ac:dyDescent="0.25">
      <c r="A62" s="4" t="s">
        <v>1202</v>
      </c>
      <c r="B62" s="4" t="s">
        <v>43</v>
      </c>
      <c r="C62" s="4">
        <v>24</v>
      </c>
      <c r="D62" s="4">
        <v>1</v>
      </c>
      <c r="E62" s="4" t="s">
        <v>232</v>
      </c>
      <c r="F62" s="4" t="s">
        <v>1176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0</v>
      </c>
      <c r="X62" s="4">
        <v>0</v>
      </c>
      <c r="Y62" s="4">
        <v>0</v>
      </c>
      <c r="Z62" s="4">
        <v>0</v>
      </c>
      <c r="AA62" s="4">
        <v>0</v>
      </c>
      <c r="AB62" s="4">
        <v>0</v>
      </c>
    </row>
    <row r="63" spans="1:28" x14ac:dyDescent="0.25">
      <c r="A63" s="3" t="s">
        <v>1203</v>
      </c>
      <c r="B63" s="3" t="s">
        <v>43</v>
      </c>
      <c r="C63" s="3">
        <v>25</v>
      </c>
      <c r="D63" s="3">
        <v>5</v>
      </c>
      <c r="E63" s="3" t="s">
        <v>155</v>
      </c>
      <c r="F63" s="3" t="s">
        <v>1176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v>0</v>
      </c>
      <c r="W63" s="3">
        <v>0</v>
      </c>
      <c r="X63" s="3">
        <v>0</v>
      </c>
      <c r="Y63" s="3">
        <v>0</v>
      </c>
      <c r="Z63" s="3">
        <v>0</v>
      </c>
      <c r="AA63" s="3">
        <v>0</v>
      </c>
      <c r="AB63" s="3">
        <v>0</v>
      </c>
    </row>
    <row r="64" spans="1:28" x14ac:dyDescent="0.25">
      <c r="A64" s="4" t="s">
        <v>1204</v>
      </c>
      <c r="B64" s="4" t="s">
        <v>43</v>
      </c>
      <c r="C64" s="4">
        <v>26</v>
      </c>
      <c r="D64" s="4">
        <v>0</v>
      </c>
      <c r="E64" s="4" t="s">
        <v>1068</v>
      </c>
      <c r="F64" s="4" t="s">
        <v>1176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</row>
    <row r="65" spans="1:28" x14ac:dyDescent="0.25">
      <c r="A65" s="3" t="s">
        <v>1205</v>
      </c>
      <c r="B65" s="3" t="s">
        <v>43</v>
      </c>
      <c r="C65" s="3">
        <v>25</v>
      </c>
      <c r="D65" s="3">
        <v>2</v>
      </c>
      <c r="E65" s="3" t="s">
        <v>1206</v>
      </c>
      <c r="F65" s="3" t="s">
        <v>1176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v>0</v>
      </c>
      <c r="W65" s="3">
        <v>0</v>
      </c>
      <c r="X65" s="3">
        <v>0</v>
      </c>
      <c r="Y65" s="3">
        <v>0</v>
      </c>
      <c r="Z65" s="3">
        <v>0</v>
      </c>
      <c r="AA65" s="3">
        <v>0</v>
      </c>
      <c r="AB65" s="3">
        <v>0</v>
      </c>
    </row>
    <row r="66" spans="1:28" x14ac:dyDescent="0.25">
      <c r="A66" s="4" t="s">
        <v>1207</v>
      </c>
      <c r="B66" s="4" t="s">
        <v>43</v>
      </c>
      <c r="C66" s="4">
        <v>24</v>
      </c>
      <c r="D66" s="4">
        <v>4</v>
      </c>
      <c r="E66" s="4" t="s">
        <v>227</v>
      </c>
      <c r="F66" s="4" t="s">
        <v>1176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</row>
    <row r="67" spans="1:28" x14ac:dyDescent="0.25">
      <c r="A67" s="3" t="s">
        <v>1208</v>
      </c>
      <c r="B67" s="3" t="s">
        <v>43</v>
      </c>
      <c r="C67" s="3">
        <v>23</v>
      </c>
      <c r="D67" s="3">
        <v>0</v>
      </c>
      <c r="E67" s="3" t="s">
        <v>995</v>
      </c>
      <c r="F67" s="3" t="s">
        <v>1176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v>0</v>
      </c>
      <c r="W67" s="3">
        <v>0</v>
      </c>
      <c r="X67" s="3">
        <v>0</v>
      </c>
      <c r="Y67" s="3">
        <v>0</v>
      </c>
      <c r="Z67" s="3">
        <v>0</v>
      </c>
      <c r="AA67" s="3">
        <v>0</v>
      </c>
      <c r="AB67" s="3">
        <v>0</v>
      </c>
    </row>
    <row r="68" spans="1:28" x14ac:dyDescent="0.25">
      <c r="A68" s="4" t="s">
        <v>1209</v>
      </c>
      <c r="B68" s="4" t="s">
        <v>43</v>
      </c>
      <c r="C68" s="4">
        <v>24</v>
      </c>
      <c r="D68" s="4">
        <v>2</v>
      </c>
      <c r="E68" s="4" t="s">
        <v>744</v>
      </c>
      <c r="F68" s="4" t="s">
        <v>1176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0</v>
      </c>
      <c r="X68" s="4">
        <v>0</v>
      </c>
      <c r="Y68" s="4">
        <v>0</v>
      </c>
      <c r="Z68" s="4">
        <v>0</v>
      </c>
      <c r="AA68" s="4">
        <v>0</v>
      </c>
      <c r="AB68" s="4">
        <v>0</v>
      </c>
    </row>
    <row r="69" spans="1:28" x14ac:dyDescent="0.25">
      <c r="A69" s="3" t="s">
        <v>1210</v>
      </c>
      <c r="B69" s="3" t="s">
        <v>43</v>
      </c>
      <c r="C69" s="3">
        <v>26</v>
      </c>
      <c r="D69" s="3">
        <v>4</v>
      </c>
      <c r="E69" s="3" t="s">
        <v>397</v>
      </c>
      <c r="F69" s="3" t="s">
        <v>1176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v>0</v>
      </c>
      <c r="W69" s="3">
        <v>0</v>
      </c>
      <c r="X69" s="3">
        <v>0</v>
      </c>
      <c r="Y69" s="3">
        <v>0</v>
      </c>
      <c r="Z69" s="3">
        <v>0</v>
      </c>
      <c r="AA69" s="3">
        <v>0</v>
      </c>
      <c r="AB69" s="3">
        <v>0</v>
      </c>
    </row>
    <row r="70" spans="1:28" x14ac:dyDescent="0.25">
      <c r="A70" s="4" t="s">
        <v>1211</v>
      </c>
      <c r="B70" s="4" t="s">
        <v>43</v>
      </c>
      <c r="C70" s="4">
        <v>27</v>
      </c>
      <c r="D70" s="4">
        <v>6</v>
      </c>
      <c r="E70" s="4" t="s">
        <v>178</v>
      </c>
      <c r="F70" s="4" t="s">
        <v>1176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0</v>
      </c>
      <c r="X70" s="4">
        <v>0</v>
      </c>
      <c r="Y70" s="4">
        <v>0</v>
      </c>
      <c r="Z70" s="4">
        <v>0</v>
      </c>
      <c r="AA70" s="4">
        <v>0</v>
      </c>
      <c r="AB70" s="4">
        <v>0</v>
      </c>
    </row>
    <row r="71" spans="1:28" x14ac:dyDescent="0.25">
      <c r="A71" s="3" t="s">
        <v>1212</v>
      </c>
      <c r="B71" s="3" t="s">
        <v>43</v>
      </c>
      <c r="C71" s="3">
        <v>24</v>
      </c>
      <c r="D71" s="3">
        <v>3</v>
      </c>
      <c r="E71" s="3" t="s">
        <v>220</v>
      </c>
      <c r="F71" s="3" t="s">
        <v>1176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v>0</v>
      </c>
      <c r="W71" s="3">
        <v>0</v>
      </c>
      <c r="X71" s="3">
        <v>0</v>
      </c>
      <c r="Y71" s="3">
        <v>0</v>
      </c>
      <c r="Z71" s="3">
        <v>0</v>
      </c>
      <c r="AA71" s="3">
        <v>0</v>
      </c>
      <c r="AB71" s="3">
        <v>0</v>
      </c>
    </row>
    <row r="72" spans="1:28" x14ac:dyDescent="0.25">
      <c r="A72" s="4" t="s">
        <v>1213</v>
      </c>
      <c r="B72" s="4" t="s">
        <v>43</v>
      </c>
      <c r="C72" s="4">
        <v>24</v>
      </c>
      <c r="D72" s="4">
        <v>4</v>
      </c>
      <c r="E72" s="4" t="s">
        <v>76</v>
      </c>
      <c r="F72" s="4" t="s">
        <v>1176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v>0</v>
      </c>
      <c r="W72" s="4">
        <v>0</v>
      </c>
      <c r="X72" s="4">
        <v>0</v>
      </c>
      <c r="Y72" s="4">
        <v>0</v>
      </c>
      <c r="Z72" s="4">
        <v>0</v>
      </c>
      <c r="AA72" s="4">
        <v>0</v>
      </c>
      <c r="AB72" s="4">
        <v>0</v>
      </c>
    </row>
    <row r="73" spans="1:28" x14ac:dyDescent="0.25">
      <c r="A73" s="3" t="s">
        <v>1214</v>
      </c>
      <c r="B73" s="3" t="s">
        <v>43</v>
      </c>
      <c r="C73" s="3">
        <v>25</v>
      </c>
      <c r="D73" s="3">
        <v>0</v>
      </c>
      <c r="E73" s="3" t="s">
        <v>333</v>
      </c>
      <c r="F73" s="3" t="s">
        <v>1176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v>0</v>
      </c>
      <c r="W73" s="3">
        <v>0</v>
      </c>
      <c r="X73" s="3">
        <v>0</v>
      </c>
      <c r="Y73" s="3">
        <v>0</v>
      </c>
      <c r="Z73" s="3">
        <v>0</v>
      </c>
      <c r="AA73" s="3">
        <v>0</v>
      </c>
      <c r="AB73" s="3"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1215</v>
      </c>
      <c r="B76" s="3" t="s">
        <v>38</v>
      </c>
      <c r="C76" s="3">
        <v>26</v>
      </c>
      <c r="D76" s="3">
        <v>5</v>
      </c>
      <c r="E76" s="3" t="s">
        <v>100</v>
      </c>
      <c r="F76" s="3" t="s">
        <v>1176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v>0</v>
      </c>
      <c r="W76" s="3">
        <v>0</v>
      </c>
      <c r="X76" s="3">
        <v>0</v>
      </c>
      <c r="Y76" s="3">
        <v>0</v>
      </c>
      <c r="Z76" s="3">
        <v>0</v>
      </c>
      <c r="AA76" s="3">
        <v>0</v>
      </c>
      <c r="AB76" s="3">
        <v>0</v>
      </c>
    </row>
    <row r="77" spans="1:28" x14ac:dyDescent="0.25">
      <c r="A77" s="4" t="s">
        <v>1216</v>
      </c>
      <c r="B77" s="4" t="s">
        <v>38</v>
      </c>
      <c r="C77" s="4">
        <v>28</v>
      </c>
      <c r="D77" s="4">
        <v>6</v>
      </c>
      <c r="E77" s="4" t="s">
        <v>205</v>
      </c>
      <c r="F77" s="4" t="s">
        <v>1176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v>0</v>
      </c>
      <c r="W77" s="4">
        <v>0</v>
      </c>
      <c r="X77" s="4">
        <v>0</v>
      </c>
      <c r="Y77" s="4">
        <v>0</v>
      </c>
      <c r="Z77" s="4">
        <v>0</v>
      </c>
      <c r="AA77" s="4">
        <v>0</v>
      </c>
      <c r="AB77" s="4">
        <v>0</v>
      </c>
    </row>
    <row r="78" spans="1:28" x14ac:dyDescent="0.25">
      <c r="A78" s="3" t="s">
        <v>1217</v>
      </c>
      <c r="B78" s="3" t="s">
        <v>38</v>
      </c>
      <c r="C78" s="3">
        <v>24</v>
      </c>
      <c r="D78" s="3">
        <v>2</v>
      </c>
      <c r="E78" s="3" t="s">
        <v>341</v>
      </c>
      <c r="F78" s="3" t="s">
        <v>1176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v>0</v>
      </c>
      <c r="W78" s="3">
        <v>0</v>
      </c>
      <c r="X78" s="3">
        <v>0</v>
      </c>
      <c r="Y78" s="3">
        <v>0</v>
      </c>
      <c r="Z78" s="3">
        <v>0</v>
      </c>
      <c r="AA78" s="3">
        <v>0</v>
      </c>
      <c r="AB78" s="3">
        <v>0</v>
      </c>
    </row>
    <row r="79" spans="1:28" x14ac:dyDescent="0.25">
      <c r="A79" s="4" t="s">
        <v>1218</v>
      </c>
      <c r="B79" s="4" t="s">
        <v>38</v>
      </c>
      <c r="C79" s="4">
        <v>26</v>
      </c>
      <c r="D79" s="4">
        <v>5</v>
      </c>
      <c r="E79" s="4" t="s">
        <v>894</v>
      </c>
      <c r="F79" s="4" t="s">
        <v>1176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v>0</v>
      </c>
      <c r="W79" s="4">
        <v>0</v>
      </c>
      <c r="X79" s="4">
        <v>0</v>
      </c>
      <c r="Y79" s="4">
        <v>0</v>
      </c>
      <c r="Z79" s="4">
        <v>0</v>
      </c>
      <c r="AA79" s="4">
        <v>0</v>
      </c>
      <c r="AB79" s="4">
        <v>0</v>
      </c>
    </row>
    <row r="80" spans="1:28" x14ac:dyDescent="0.25">
      <c r="A80" s="3" t="s">
        <v>1219</v>
      </c>
      <c r="B80" s="3" t="s">
        <v>38</v>
      </c>
      <c r="C80" s="3">
        <v>23</v>
      </c>
      <c r="D80" s="3">
        <v>0</v>
      </c>
      <c r="E80" s="3" t="s">
        <v>393</v>
      </c>
      <c r="F80" s="3" t="s">
        <v>1176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v>0</v>
      </c>
      <c r="W80" s="3">
        <v>0</v>
      </c>
      <c r="X80" s="3">
        <v>0</v>
      </c>
      <c r="Y80" s="3">
        <v>0</v>
      </c>
      <c r="Z80" s="3">
        <v>0</v>
      </c>
      <c r="AA80" s="3">
        <v>0</v>
      </c>
      <c r="AB80" s="3">
        <v>0</v>
      </c>
    </row>
    <row r="81" spans="1:28" x14ac:dyDescent="0.25">
      <c r="A81" s="4" t="s">
        <v>1220</v>
      </c>
      <c r="B81" s="4" t="s">
        <v>38</v>
      </c>
      <c r="C81" s="4">
        <v>29</v>
      </c>
      <c r="D81" s="4">
        <v>3</v>
      </c>
      <c r="E81" s="4" t="s">
        <v>391</v>
      </c>
      <c r="F81" s="4" t="s">
        <v>1176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v>0</v>
      </c>
      <c r="W81" s="4">
        <v>0</v>
      </c>
      <c r="X81" s="4">
        <v>0</v>
      </c>
      <c r="Y81" s="4">
        <v>0</v>
      </c>
      <c r="Z81" s="4">
        <v>0</v>
      </c>
      <c r="AA81" s="4">
        <v>0</v>
      </c>
      <c r="AB81" s="4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AB81"/>
  <sheetViews>
    <sheetView topLeftCell="G16" workbookViewId="0">
      <selection activeCell="AB46" sqref="AB46:AB51"/>
    </sheetView>
  </sheetViews>
  <sheetFormatPr defaultColWidth="11.42578125" defaultRowHeight="15" x14ac:dyDescent="0.25"/>
  <sheetData>
    <row r="1" spans="1:24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</row>
    <row r="2" spans="1:24" x14ac:dyDescent="0.25">
      <c r="A2" s="3" t="s">
        <v>1221</v>
      </c>
      <c r="B2" s="3" t="s">
        <v>1222</v>
      </c>
      <c r="C2" s="3" t="s">
        <v>26</v>
      </c>
      <c r="D2" s="3">
        <v>1</v>
      </c>
      <c r="E2" s="3">
        <v>6</v>
      </c>
      <c r="F2" s="3">
        <v>5</v>
      </c>
      <c r="G2" s="3">
        <v>37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1.48</v>
      </c>
      <c r="T2" s="3">
        <v>0</v>
      </c>
      <c r="U2" s="3"/>
      <c r="V2" s="3"/>
      <c r="W2" s="3">
        <v>0.83333333333333304</v>
      </c>
      <c r="X2" s="3">
        <v>0</v>
      </c>
    </row>
    <row r="3" spans="1:24" x14ac:dyDescent="0.25">
      <c r="A3" s="4" t="s">
        <v>1223</v>
      </c>
      <c r="B3" s="4" t="s">
        <v>1222</v>
      </c>
      <c r="C3" s="4" t="s">
        <v>26</v>
      </c>
      <c r="D3" s="4">
        <v>4</v>
      </c>
      <c r="E3" s="4">
        <v>92</v>
      </c>
      <c r="F3" s="4">
        <v>65</v>
      </c>
      <c r="G3" s="4">
        <v>781</v>
      </c>
      <c r="H3" s="4">
        <v>5</v>
      </c>
      <c r="I3" s="4">
        <v>3</v>
      </c>
      <c r="J3" s="4">
        <v>10</v>
      </c>
      <c r="K3" s="4">
        <v>0</v>
      </c>
      <c r="L3" s="4">
        <v>0</v>
      </c>
      <c r="M3" s="4">
        <v>1</v>
      </c>
      <c r="N3" s="4">
        <v>1</v>
      </c>
      <c r="O3" s="4">
        <v>-6</v>
      </c>
      <c r="P3" s="4">
        <v>0</v>
      </c>
      <c r="Q3" s="4">
        <v>3</v>
      </c>
      <c r="R3" s="4">
        <v>0</v>
      </c>
      <c r="S3" s="4">
        <v>39.64</v>
      </c>
      <c r="T3" s="4">
        <v>1.49253731343284E-3</v>
      </c>
      <c r="U3" s="4">
        <v>0</v>
      </c>
      <c r="V3" s="4">
        <v>-6</v>
      </c>
      <c r="W3" s="4">
        <v>0.70652173913043503</v>
      </c>
      <c r="X3" s="4">
        <v>5.4347826086956499E-2</v>
      </c>
    </row>
    <row r="4" spans="1:24" x14ac:dyDescent="0.25">
      <c r="A4" s="3" t="s">
        <v>878</v>
      </c>
      <c r="B4" s="3" t="s">
        <v>1222</v>
      </c>
      <c r="C4" s="3" t="s">
        <v>26</v>
      </c>
      <c r="D4" s="3">
        <v>14</v>
      </c>
      <c r="E4" s="3">
        <v>442</v>
      </c>
      <c r="F4" s="3">
        <v>288</v>
      </c>
      <c r="G4" s="3">
        <v>2997</v>
      </c>
      <c r="H4" s="3">
        <v>14</v>
      </c>
      <c r="I4" s="3">
        <v>11</v>
      </c>
      <c r="J4" s="3">
        <v>47</v>
      </c>
      <c r="K4" s="3">
        <v>102</v>
      </c>
      <c r="L4" s="3">
        <v>1</v>
      </c>
      <c r="M4" s="3">
        <v>0</v>
      </c>
      <c r="N4" s="3">
        <v>0</v>
      </c>
      <c r="O4" s="3">
        <v>0</v>
      </c>
      <c r="P4" s="3">
        <v>0</v>
      </c>
      <c r="Q4" s="3">
        <v>1</v>
      </c>
      <c r="R4" s="3">
        <v>1</v>
      </c>
      <c r="S4" s="3">
        <v>170.08</v>
      </c>
      <c r="T4" s="3">
        <v>0</v>
      </c>
      <c r="U4" s="3">
        <v>2.1702127659574502</v>
      </c>
      <c r="V4" s="3"/>
      <c r="W4" s="3">
        <v>0.65158371040723995</v>
      </c>
      <c r="X4" s="3">
        <v>3.1674208144796399E-2</v>
      </c>
    </row>
    <row r="5" spans="1:24" x14ac:dyDescent="0.25">
      <c r="A5" s="4" t="s">
        <v>1224</v>
      </c>
      <c r="B5" s="4" t="s">
        <v>1222</v>
      </c>
      <c r="C5" s="4" t="s">
        <v>31</v>
      </c>
      <c r="D5" s="4">
        <v>11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106</v>
      </c>
      <c r="K5" s="4">
        <v>462</v>
      </c>
      <c r="L5" s="4">
        <v>3</v>
      </c>
      <c r="M5" s="4">
        <v>23</v>
      </c>
      <c r="N5" s="4">
        <v>17</v>
      </c>
      <c r="O5" s="4">
        <v>97</v>
      </c>
      <c r="P5" s="4">
        <v>0</v>
      </c>
      <c r="Q5" s="4">
        <v>0</v>
      </c>
      <c r="R5" s="4">
        <v>0</v>
      </c>
      <c r="S5" s="4">
        <v>90.9</v>
      </c>
      <c r="T5" s="4">
        <v>3.4328358208955197E-2</v>
      </c>
      <c r="U5" s="4">
        <v>4.35849056603774</v>
      </c>
      <c r="V5" s="4">
        <v>5.7058823529411802</v>
      </c>
      <c r="W5" s="4"/>
      <c r="X5" s="4"/>
    </row>
    <row r="6" spans="1:24" x14ac:dyDescent="0.25">
      <c r="A6" s="3" t="s">
        <v>814</v>
      </c>
      <c r="B6" s="3" t="s">
        <v>1222</v>
      </c>
      <c r="C6" s="3" t="s">
        <v>31</v>
      </c>
      <c r="D6" s="3">
        <v>1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10</v>
      </c>
      <c r="K6" s="3">
        <v>9</v>
      </c>
      <c r="L6" s="3">
        <v>0</v>
      </c>
      <c r="M6" s="3">
        <v>1</v>
      </c>
      <c r="N6" s="3">
        <v>1</v>
      </c>
      <c r="O6" s="3">
        <v>8</v>
      </c>
      <c r="P6" s="3">
        <v>0</v>
      </c>
      <c r="Q6" s="3">
        <v>0</v>
      </c>
      <c r="R6" s="3">
        <v>0</v>
      </c>
      <c r="S6" s="3">
        <v>2.7</v>
      </c>
      <c r="T6" s="3">
        <v>1.49253731343284E-3</v>
      </c>
      <c r="U6" s="3">
        <v>0.9</v>
      </c>
      <c r="V6" s="3">
        <v>8</v>
      </c>
      <c r="W6" s="3"/>
      <c r="X6" s="3"/>
    </row>
    <row r="7" spans="1:24" x14ac:dyDescent="0.25">
      <c r="A7" s="4" t="s">
        <v>1225</v>
      </c>
      <c r="B7" s="4" t="s">
        <v>1222</v>
      </c>
      <c r="C7" s="4" t="s">
        <v>31</v>
      </c>
      <c r="D7" s="4">
        <v>5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18</v>
      </c>
      <c r="K7" s="4">
        <v>52</v>
      </c>
      <c r="L7" s="4">
        <v>1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11.2</v>
      </c>
      <c r="T7" s="4">
        <v>0</v>
      </c>
      <c r="U7" s="4">
        <v>2.8888888888888902</v>
      </c>
      <c r="V7" s="4"/>
      <c r="W7" s="4"/>
      <c r="X7" s="4"/>
    </row>
    <row r="8" spans="1:24" x14ac:dyDescent="0.25">
      <c r="A8" s="3" t="s">
        <v>1226</v>
      </c>
      <c r="B8" s="3" t="s">
        <v>1222</v>
      </c>
      <c r="C8" s="3" t="s">
        <v>31</v>
      </c>
      <c r="D8" s="3">
        <v>4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10</v>
      </c>
      <c r="K8" s="3">
        <v>100</v>
      </c>
      <c r="L8" s="3">
        <v>1</v>
      </c>
      <c r="M8" s="3">
        <v>7</v>
      </c>
      <c r="N8" s="3">
        <v>7</v>
      </c>
      <c r="O8" s="3">
        <v>42</v>
      </c>
      <c r="P8" s="3">
        <v>0</v>
      </c>
      <c r="Q8" s="3">
        <v>0</v>
      </c>
      <c r="R8" s="3">
        <v>0</v>
      </c>
      <c r="S8" s="3">
        <v>27.2</v>
      </c>
      <c r="T8" s="3">
        <v>1.04477611940299E-2</v>
      </c>
      <c r="U8" s="3">
        <v>10</v>
      </c>
      <c r="V8" s="3">
        <v>6</v>
      </c>
      <c r="W8" s="3"/>
      <c r="X8" s="3"/>
    </row>
    <row r="9" spans="1:24" x14ac:dyDescent="0.25">
      <c r="A9" s="4" t="s">
        <v>1227</v>
      </c>
      <c r="B9" s="4" t="s">
        <v>1222</v>
      </c>
      <c r="C9" s="4" t="s">
        <v>31</v>
      </c>
      <c r="D9" s="4">
        <v>17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210</v>
      </c>
      <c r="K9" s="4">
        <v>1040</v>
      </c>
      <c r="L9" s="4">
        <v>5</v>
      </c>
      <c r="M9" s="4">
        <v>88</v>
      </c>
      <c r="N9" s="4">
        <v>69</v>
      </c>
      <c r="O9" s="4">
        <v>421</v>
      </c>
      <c r="P9" s="4">
        <v>1</v>
      </c>
      <c r="Q9" s="4">
        <v>1</v>
      </c>
      <c r="R9" s="4">
        <v>0</v>
      </c>
      <c r="S9" s="4">
        <v>249.1</v>
      </c>
      <c r="T9" s="4">
        <v>0.13134328358208999</v>
      </c>
      <c r="U9" s="4">
        <v>4.9523809523809499</v>
      </c>
      <c r="V9" s="4">
        <v>6.1014492753623202</v>
      </c>
      <c r="W9" s="4"/>
      <c r="X9" s="4"/>
    </row>
    <row r="10" spans="1:24" x14ac:dyDescent="0.25">
      <c r="A10" s="3" t="s">
        <v>1228</v>
      </c>
      <c r="B10" s="3" t="s">
        <v>1222</v>
      </c>
      <c r="C10" s="3" t="s">
        <v>38</v>
      </c>
      <c r="D10" s="3">
        <v>16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59</v>
      </c>
      <c r="N10" s="3">
        <v>41</v>
      </c>
      <c r="O10" s="3">
        <v>509</v>
      </c>
      <c r="P10" s="3">
        <v>2</v>
      </c>
      <c r="Q10" s="3">
        <v>0</v>
      </c>
      <c r="R10" s="3">
        <v>0</v>
      </c>
      <c r="S10" s="3">
        <v>103.9</v>
      </c>
      <c r="T10" s="3">
        <v>8.8059701492537307E-2</v>
      </c>
      <c r="U10" s="3"/>
      <c r="V10" s="3">
        <v>12.4146341463415</v>
      </c>
      <c r="W10" s="3"/>
      <c r="X10" s="3"/>
    </row>
    <row r="11" spans="1:24" x14ac:dyDescent="0.25">
      <c r="A11" s="4" t="s">
        <v>1229</v>
      </c>
      <c r="B11" s="4" t="s">
        <v>1222</v>
      </c>
      <c r="C11" s="4" t="s">
        <v>38</v>
      </c>
      <c r="D11" s="4">
        <v>12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1</v>
      </c>
      <c r="K11" s="4">
        <v>5</v>
      </c>
      <c r="L11" s="4">
        <v>0</v>
      </c>
      <c r="M11" s="4">
        <v>38</v>
      </c>
      <c r="N11" s="4">
        <v>27</v>
      </c>
      <c r="O11" s="4">
        <v>245</v>
      </c>
      <c r="P11" s="4">
        <v>0</v>
      </c>
      <c r="Q11" s="4">
        <v>0</v>
      </c>
      <c r="R11" s="4">
        <v>0</v>
      </c>
      <c r="S11" s="4">
        <v>52</v>
      </c>
      <c r="T11" s="4">
        <v>5.6716417910447799E-2</v>
      </c>
      <c r="U11" s="4">
        <v>5</v>
      </c>
      <c r="V11" s="4">
        <v>9.0740740740740709</v>
      </c>
      <c r="W11" s="4"/>
      <c r="X11" s="4"/>
    </row>
    <row r="12" spans="1:24" x14ac:dyDescent="0.25">
      <c r="A12" s="3" t="s">
        <v>1230</v>
      </c>
      <c r="B12" s="3" t="s">
        <v>1222</v>
      </c>
      <c r="C12" s="3" t="s">
        <v>43</v>
      </c>
      <c r="D12" s="3">
        <v>12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47</v>
      </c>
      <c r="N12" s="3">
        <v>31</v>
      </c>
      <c r="O12" s="3">
        <v>539</v>
      </c>
      <c r="P12" s="3">
        <v>3</v>
      </c>
      <c r="Q12" s="3">
        <v>0</v>
      </c>
      <c r="R12" s="3">
        <v>0</v>
      </c>
      <c r="S12" s="3">
        <v>102.9</v>
      </c>
      <c r="T12" s="3">
        <v>7.01492537313433E-2</v>
      </c>
      <c r="U12" s="3"/>
      <c r="V12" s="3">
        <v>17.387096774193498</v>
      </c>
      <c r="W12" s="3"/>
      <c r="X12" s="3"/>
    </row>
    <row r="13" spans="1:24" x14ac:dyDescent="0.25">
      <c r="A13" s="4" t="s">
        <v>1231</v>
      </c>
      <c r="B13" s="4" t="s">
        <v>1222</v>
      </c>
      <c r="C13" s="4" t="s">
        <v>43</v>
      </c>
      <c r="D13" s="4">
        <v>14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2</v>
      </c>
      <c r="K13" s="4">
        <v>9</v>
      </c>
      <c r="L13" s="4">
        <v>0</v>
      </c>
      <c r="M13" s="4">
        <v>96</v>
      </c>
      <c r="N13" s="4">
        <v>67</v>
      </c>
      <c r="O13" s="4">
        <v>804</v>
      </c>
      <c r="P13" s="4">
        <v>6</v>
      </c>
      <c r="Q13" s="4">
        <v>0</v>
      </c>
      <c r="R13" s="4">
        <v>0</v>
      </c>
      <c r="S13" s="4">
        <v>184.3</v>
      </c>
      <c r="T13" s="4">
        <v>0.143283582089552</v>
      </c>
      <c r="U13" s="4">
        <v>4.5</v>
      </c>
      <c r="V13" s="4">
        <v>12</v>
      </c>
      <c r="W13" s="4"/>
      <c r="X13" s="4"/>
    </row>
    <row r="14" spans="1:24" x14ac:dyDescent="0.25">
      <c r="A14" s="3" t="s">
        <v>1232</v>
      </c>
      <c r="B14" s="3" t="s">
        <v>1222</v>
      </c>
      <c r="C14" s="3" t="s">
        <v>43</v>
      </c>
      <c r="D14" s="3">
        <v>16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6</v>
      </c>
      <c r="K14" s="3">
        <v>39</v>
      </c>
      <c r="L14" s="3">
        <v>0</v>
      </c>
      <c r="M14" s="3">
        <v>48</v>
      </c>
      <c r="N14" s="3">
        <v>35</v>
      </c>
      <c r="O14" s="3">
        <v>434</v>
      </c>
      <c r="P14" s="3">
        <v>1</v>
      </c>
      <c r="Q14" s="3">
        <v>0</v>
      </c>
      <c r="R14" s="3">
        <v>0</v>
      </c>
      <c r="S14" s="3">
        <v>88.3</v>
      </c>
      <c r="T14" s="3">
        <v>7.1641791044776096E-2</v>
      </c>
      <c r="U14" s="3">
        <v>6.5</v>
      </c>
      <c r="V14" s="3">
        <v>12.4</v>
      </c>
      <c r="W14" s="3"/>
      <c r="X14" s="3"/>
    </row>
    <row r="15" spans="1:24" x14ac:dyDescent="0.25">
      <c r="A15" s="4" t="s">
        <v>1233</v>
      </c>
      <c r="B15" s="4" t="s">
        <v>1222</v>
      </c>
      <c r="C15" s="4" t="s">
        <v>43</v>
      </c>
      <c r="D15" s="4">
        <v>3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4</v>
      </c>
      <c r="N15" s="4">
        <v>2</v>
      </c>
      <c r="O15" s="4">
        <v>20</v>
      </c>
      <c r="P15" s="4">
        <v>0</v>
      </c>
      <c r="Q15" s="4">
        <v>0</v>
      </c>
      <c r="R15" s="4">
        <v>0</v>
      </c>
      <c r="S15" s="4">
        <v>4</v>
      </c>
      <c r="T15" s="4">
        <v>5.9701492537313399E-3</v>
      </c>
      <c r="U15" s="4"/>
      <c r="V15" s="4">
        <v>10</v>
      </c>
      <c r="W15" s="4"/>
      <c r="X15" s="4"/>
    </row>
    <row r="16" spans="1:24" x14ac:dyDescent="0.25">
      <c r="A16" s="3" t="s">
        <v>1234</v>
      </c>
      <c r="B16" s="3" t="s">
        <v>1222</v>
      </c>
      <c r="C16" s="3" t="s">
        <v>43</v>
      </c>
      <c r="D16" s="3">
        <v>14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53</v>
      </c>
      <c r="N16" s="3">
        <v>31</v>
      </c>
      <c r="O16" s="3">
        <v>362</v>
      </c>
      <c r="P16" s="3">
        <v>2</v>
      </c>
      <c r="Q16" s="3">
        <v>0</v>
      </c>
      <c r="R16" s="3">
        <v>0</v>
      </c>
      <c r="S16" s="3">
        <v>75.2</v>
      </c>
      <c r="T16" s="3">
        <v>7.9104477611940296E-2</v>
      </c>
      <c r="U16" s="3"/>
      <c r="V16" s="3">
        <v>11.677419354838699</v>
      </c>
      <c r="W16" s="3"/>
      <c r="X16" s="3"/>
    </row>
    <row r="17" spans="1:24" x14ac:dyDescent="0.25">
      <c r="A17" s="4" t="s">
        <v>1235</v>
      </c>
      <c r="B17" s="4" t="s">
        <v>1222</v>
      </c>
      <c r="C17" s="4" t="s">
        <v>43</v>
      </c>
      <c r="D17" s="4">
        <v>1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2</v>
      </c>
      <c r="K17" s="4">
        <v>-2</v>
      </c>
      <c r="L17" s="4">
        <v>0</v>
      </c>
      <c r="M17" s="4">
        <v>4</v>
      </c>
      <c r="N17" s="4">
        <v>3</v>
      </c>
      <c r="O17" s="4">
        <v>15</v>
      </c>
      <c r="P17" s="4">
        <v>1</v>
      </c>
      <c r="Q17" s="4">
        <v>0</v>
      </c>
      <c r="R17" s="4">
        <v>0</v>
      </c>
      <c r="S17" s="4">
        <v>10.3</v>
      </c>
      <c r="T17" s="4">
        <v>5.9701492537313399E-3</v>
      </c>
      <c r="U17" s="4">
        <v>-1</v>
      </c>
      <c r="V17" s="4">
        <v>5</v>
      </c>
      <c r="W17" s="4"/>
      <c r="X17" s="4"/>
    </row>
    <row r="18" spans="1:24" x14ac:dyDescent="0.25">
      <c r="A18" s="3" t="s">
        <v>1236</v>
      </c>
      <c r="B18" s="3" t="s">
        <v>1222</v>
      </c>
      <c r="C18" s="3" t="s">
        <v>43</v>
      </c>
      <c r="D18" s="3">
        <v>12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3</v>
      </c>
      <c r="K18" s="3">
        <v>16</v>
      </c>
      <c r="L18" s="3">
        <v>1</v>
      </c>
      <c r="M18" s="3">
        <v>45</v>
      </c>
      <c r="N18" s="3">
        <v>22</v>
      </c>
      <c r="O18" s="3">
        <v>247</v>
      </c>
      <c r="P18" s="3">
        <v>2</v>
      </c>
      <c r="Q18" s="3">
        <v>0</v>
      </c>
      <c r="R18" s="3">
        <v>0</v>
      </c>
      <c r="S18" s="3">
        <v>66.3</v>
      </c>
      <c r="T18" s="3">
        <v>6.7164179104477598E-2</v>
      </c>
      <c r="U18" s="3">
        <v>5.3333333333333304</v>
      </c>
      <c r="V18" s="3">
        <v>11.2272727272727</v>
      </c>
      <c r="W18" s="3"/>
      <c r="X18" s="3"/>
    </row>
    <row r="30" spans="1:24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</row>
    <row r="31" spans="1:24" x14ac:dyDescent="0.25">
      <c r="A31" s="3" t="s">
        <v>1222</v>
      </c>
      <c r="B31" s="3">
        <v>5647</v>
      </c>
      <c r="C31" s="3">
        <v>3815</v>
      </c>
      <c r="D31" s="3">
        <v>425</v>
      </c>
      <c r="E31" s="3">
        <v>1832</v>
      </c>
      <c r="F31" s="3">
        <v>12</v>
      </c>
      <c r="G31" s="3">
        <v>1279.5</v>
      </c>
      <c r="H31" s="3">
        <v>540</v>
      </c>
      <c r="I31" s="3">
        <v>0.66296296296296298</v>
      </c>
      <c r="J31" s="3">
        <v>19</v>
      </c>
      <c r="K31" s="3">
        <v>14</v>
      </c>
      <c r="L31" s="3">
        <v>5</v>
      </c>
    </row>
    <row r="32" spans="1:24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</row>
    <row r="33" spans="1:28" x14ac:dyDescent="0.25">
      <c r="A33" s="3" t="str">
        <f>A31</f>
        <v>NE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1237</v>
      </c>
      <c r="B36" s="3" t="s">
        <v>26</v>
      </c>
      <c r="C36" s="3">
        <v>24</v>
      </c>
      <c r="D36" s="3">
        <v>0</v>
      </c>
      <c r="E36" s="3" t="s">
        <v>209</v>
      </c>
      <c r="F36" s="3" t="s">
        <v>1222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">
        <v>0</v>
      </c>
      <c r="X36" s="3">
        <v>0</v>
      </c>
      <c r="Y36" s="3">
        <v>0</v>
      </c>
      <c r="Z36" s="3">
        <v>0</v>
      </c>
      <c r="AA36" s="3">
        <v>0</v>
      </c>
      <c r="AB36" s="3">
        <v>0</v>
      </c>
    </row>
    <row r="37" spans="1:28" x14ac:dyDescent="0.25">
      <c r="A37" s="4" t="s">
        <v>1238</v>
      </c>
      <c r="B37" s="4" t="s">
        <v>26</v>
      </c>
      <c r="C37" s="4">
        <v>24</v>
      </c>
      <c r="D37" s="4">
        <v>3</v>
      </c>
      <c r="E37" s="4" t="s">
        <v>153</v>
      </c>
      <c r="F37" s="4" t="s">
        <v>1222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</row>
    <row r="38" spans="1:28" x14ac:dyDescent="0.25">
      <c r="A38" s="3" t="s">
        <v>1239</v>
      </c>
      <c r="B38" s="3" t="s">
        <v>26</v>
      </c>
      <c r="C38" s="3">
        <v>27</v>
      </c>
      <c r="D38" s="3">
        <v>5</v>
      </c>
      <c r="E38" s="3" t="s">
        <v>339</v>
      </c>
      <c r="F38" s="3" t="s">
        <v>1222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v>0</v>
      </c>
      <c r="W38" s="3">
        <v>0</v>
      </c>
      <c r="X38" s="3">
        <v>0</v>
      </c>
      <c r="Y38" s="3">
        <v>0</v>
      </c>
      <c r="Z38" s="3">
        <v>0</v>
      </c>
      <c r="AA38" s="3">
        <v>0</v>
      </c>
      <c r="AB38" s="3">
        <v>0</v>
      </c>
    </row>
    <row r="39" spans="1:28" x14ac:dyDescent="0.25">
      <c r="A39" s="4" t="s">
        <v>1240</v>
      </c>
      <c r="B39" s="4" t="s">
        <v>26</v>
      </c>
      <c r="C39" s="4">
        <v>24</v>
      </c>
      <c r="D39" s="4">
        <v>2</v>
      </c>
      <c r="E39" s="4" t="s">
        <v>1068</v>
      </c>
      <c r="F39" s="4" t="s">
        <v>1222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  <c r="AB39" s="4"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1241</v>
      </c>
      <c r="B46" s="3" t="s">
        <v>31</v>
      </c>
      <c r="C46" s="3">
        <v>28</v>
      </c>
      <c r="D46" s="3">
        <v>8</v>
      </c>
      <c r="E46" s="3" t="s">
        <v>213</v>
      </c>
      <c r="F46" s="3" t="s">
        <v>1222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v>0</v>
      </c>
      <c r="W46" s="3">
        <v>0</v>
      </c>
      <c r="X46" s="3">
        <v>0</v>
      </c>
      <c r="Y46" s="3">
        <v>0</v>
      </c>
      <c r="Z46" s="3">
        <v>0</v>
      </c>
      <c r="AA46" s="3">
        <v>0</v>
      </c>
      <c r="AB46" s="3">
        <f t="shared" ref="AB46:AB51" si="0">($J46*Cp_yd)+($K46*Cp_td)+($L46*Cint)+($M46*Ccar)+($N46*Cr_td)+($O46*Cr_yd)+(Q46*Crec)+($R46*Crec_yd)+($S46*Crec_td)+($T46*Cfmb)+($U46*Ctp_c)</f>
        <v>0</v>
      </c>
    </row>
    <row r="47" spans="1:28" x14ac:dyDescent="0.25">
      <c r="A47" s="4" t="s">
        <v>1242</v>
      </c>
      <c r="B47" s="4" t="s">
        <v>31</v>
      </c>
      <c r="C47" s="4">
        <v>22</v>
      </c>
      <c r="D47" s="4">
        <v>2</v>
      </c>
      <c r="E47" s="4" t="s">
        <v>341</v>
      </c>
      <c r="F47" s="4" t="s">
        <v>1222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f t="shared" si="0"/>
        <v>0</v>
      </c>
    </row>
    <row r="48" spans="1:28" x14ac:dyDescent="0.25">
      <c r="A48" s="3" t="s">
        <v>1243</v>
      </c>
      <c r="B48" s="3" t="s">
        <v>31</v>
      </c>
      <c r="C48" s="3">
        <v>26</v>
      </c>
      <c r="D48" s="3">
        <v>1</v>
      </c>
      <c r="E48" s="3" t="s">
        <v>246</v>
      </c>
      <c r="F48" s="3" t="s">
        <v>1222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v>0</v>
      </c>
      <c r="W48" s="3">
        <v>0</v>
      </c>
      <c r="X48" s="3">
        <v>0</v>
      </c>
      <c r="Y48" s="3">
        <v>0</v>
      </c>
      <c r="Z48" s="3">
        <v>0</v>
      </c>
      <c r="AA48" s="3">
        <v>0</v>
      </c>
      <c r="AB48" s="3">
        <f t="shared" si="0"/>
        <v>0</v>
      </c>
    </row>
    <row r="49" spans="1:28" x14ac:dyDescent="0.25">
      <c r="A49" s="4" t="s">
        <v>1244</v>
      </c>
      <c r="B49" s="4" t="s">
        <v>31</v>
      </c>
      <c r="C49" s="4">
        <v>25</v>
      </c>
      <c r="D49" s="4">
        <v>3</v>
      </c>
      <c r="E49" s="4" t="s">
        <v>68</v>
      </c>
      <c r="F49" s="4" t="s">
        <v>1222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B49" s="4">
        <f t="shared" si="0"/>
        <v>0</v>
      </c>
    </row>
    <row r="50" spans="1:28" x14ac:dyDescent="0.25">
      <c r="A50" s="3" t="s">
        <v>1245</v>
      </c>
      <c r="B50" s="3" t="s">
        <v>31</v>
      </c>
      <c r="C50" s="3">
        <v>24</v>
      </c>
      <c r="D50" s="3">
        <v>2</v>
      </c>
      <c r="E50" s="3" t="s">
        <v>753</v>
      </c>
      <c r="F50" s="3" t="s">
        <v>1222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v>0</v>
      </c>
      <c r="W50" s="3">
        <v>0</v>
      </c>
      <c r="X50" s="3">
        <v>0</v>
      </c>
      <c r="Y50" s="3">
        <v>0</v>
      </c>
      <c r="Z50" s="3">
        <v>0</v>
      </c>
      <c r="AA50" s="3">
        <v>0</v>
      </c>
      <c r="AB50" s="3">
        <f t="shared" si="0"/>
        <v>0</v>
      </c>
    </row>
    <row r="51" spans="1:28" x14ac:dyDescent="0.25">
      <c r="A51" s="4" t="s">
        <v>1246</v>
      </c>
      <c r="B51" s="4" t="s">
        <v>31</v>
      </c>
      <c r="C51" s="4">
        <v>25</v>
      </c>
      <c r="D51" s="4">
        <v>3</v>
      </c>
      <c r="E51" s="4" t="s">
        <v>1247</v>
      </c>
      <c r="F51" s="4" t="s">
        <v>1222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v>0</v>
      </c>
      <c r="W51" s="4">
        <v>0</v>
      </c>
      <c r="X51" s="4">
        <v>0</v>
      </c>
      <c r="Y51" s="4">
        <v>0</v>
      </c>
      <c r="Z51" s="4">
        <v>0</v>
      </c>
      <c r="AA51" s="4">
        <v>0</v>
      </c>
      <c r="AB51" s="4">
        <f t="shared" si="0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1248</v>
      </c>
      <c r="B61" s="3" t="s">
        <v>43</v>
      </c>
      <c r="C61" s="3">
        <v>28</v>
      </c>
      <c r="D61" s="3">
        <v>7</v>
      </c>
      <c r="E61" s="3" t="s">
        <v>413</v>
      </c>
      <c r="F61" s="3" t="s">
        <v>1222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v>0</v>
      </c>
      <c r="W61" s="3">
        <v>0</v>
      </c>
      <c r="X61" s="3">
        <v>0</v>
      </c>
      <c r="Y61" s="3">
        <v>0</v>
      </c>
      <c r="Z61" s="3">
        <v>0</v>
      </c>
      <c r="AA61" s="3">
        <v>0</v>
      </c>
      <c r="AB61" s="3">
        <v>0</v>
      </c>
    </row>
    <row r="62" spans="1:28" x14ac:dyDescent="0.25">
      <c r="A62" s="4" t="s">
        <v>1249</v>
      </c>
      <c r="B62" s="4" t="s">
        <v>43</v>
      </c>
      <c r="C62" s="4">
        <v>21</v>
      </c>
      <c r="D62" s="4">
        <v>0</v>
      </c>
      <c r="E62" s="4" t="s">
        <v>227</v>
      </c>
      <c r="F62" s="4" t="s">
        <v>1222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0</v>
      </c>
      <c r="X62" s="4">
        <v>0</v>
      </c>
      <c r="Y62" s="4">
        <v>0</v>
      </c>
      <c r="Z62" s="4">
        <v>0</v>
      </c>
      <c r="AA62" s="4">
        <v>0</v>
      </c>
      <c r="AB62" s="4">
        <v>0</v>
      </c>
    </row>
    <row r="63" spans="1:28" x14ac:dyDescent="0.25">
      <c r="A63" s="3" t="s">
        <v>1250</v>
      </c>
      <c r="B63" s="3" t="s">
        <v>43</v>
      </c>
      <c r="C63" s="3">
        <v>22</v>
      </c>
      <c r="D63" s="3">
        <v>0</v>
      </c>
      <c r="E63" s="3" t="s">
        <v>1251</v>
      </c>
      <c r="F63" s="3" t="s">
        <v>1222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v>0</v>
      </c>
      <c r="W63" s="3">
        <v>0</v>
      </c>
      <c r="X63" s="3">
        <v>0</v>
      </c>
      <c r="Y63" s="3">
        <v>0</v>
      </c>
      <c r="Z63" s="3">
        <v>0</v>
      </c>
      <c r="AA63" s="3">
        <v>0</v>
      </c>
      <c r="AB63" s="3">
        <v>0</v>
      </c>
    </row>
    <row r="64" spans="1:28" x14ac:dyDescent="0.25">
      <c r="A64" s="4" t="s">
        <v>1252</v>
      </c>
      <c r="B64" s="4" t="s">
        <v>43</v>
      </c>
      <c r="C64" s="4">
        <v>27</v>
      </c>
      <c r="D64" s="4">
        <v>4</v>
      </c>
      <c r="E64" s="4" t="s">
        <v>393</v>
      </c>
      <c r="F64" s="4" t="s">
        <v>1222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</row>
    <row r="65" spans="1:28" x14ac:dyDescent="0.25">
      <c r="A65" s="3" t="s">
        <v>1253</v>
      </c>
      <c r="B65" s="3" t="s">
        <v>43</v>
      </c>
      <c r="C65" s="3">
        <v>30</v>
      </c>
      <c r="D65" s="3">
        <v>9</v>
      </c>
      <c r="E65" s="3" t="s">
        <v>102</v>
      </c>
      <c r="F65" s="3" t="s">
        <v>1222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v>0</v>
      </c>
      <c r="W65" s="3">
        <v>0</v>
      </c>
      <c r="X65" s="3">
        <v>0</v>
      </c>
      <c r="Y65" s="3">
        <v>0</v>
      </c>
      <c r="Z65" s="3">
        <v>0</v>
      </c>
      <c r="AA65" s="3">
        <v>0</v>
      </c>
      <c r="AB65" s="3">
        <v>0</v>
      </c>
    </row>
    <row r="66" spans="1:28" x14ac:dyDescent="0.25">
      <c r="A66" s="4" t="s">
        <v>1254</v>
      </c>
      <c r="B66" s="4" t="s">
        <v>43</v>
      </c>
      <c r="C66" s="4">
        <v>25</v>
      </c>
      <c r="D66" s="4">
        <v>1</v>
      </c>
      <c r="E66" s="4" t="s">
        <v>282</v>
      </c>
      <c r="F66" s="4" t="s">
        <v>1222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</row>
    <row r="67" spans="1:28" x14ac:dyDescent="0.25">
      <c r="A67" s="3" t="s">
        <v>1255</v>
      </c>
      <c r="B67" s="3" t="s">
        <v>43</v>
      </c>
      <c r="C67" s="3">
        <v>30</v>
      </c>
      <c r="D67" s="3">
        <v>9</v>
      </c>
      <c r="E67" s="3" t="s">
        <v>209</v>
      </c>
      <c r="F67" s="3" t="s">
        <v>1222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v>0</v>
      </c>
      <c r="W67" s="3">
        <v>0</v>
      </c>
      <c r="X67" s="3">
        <v>0</v>
      </c>
      <c r="Y67" s="3">
        <v>0</v>
      </c>
      <c r="Z67" s="3">
        <v>0</v>
      </c>
      <c r="AA67" s="3">
        <v>0</v>
      </c>
      <c r="AB67" s="3">
        <v>0</v>
      </c>
    </row>
    <row r="68" spans="1:28" x14ac:dyDescent="0.25">
      <c r="A68" s="4" t="s">
        <v>1256</v>
      </c>
      <c r="B68" s="4" t="s">
        <v>43</v>
      </c>
      <c r="C68" s="4">
        <v>22</v>
      </c>
      <c r="D68" s="4">
        <v>0</v>
      </c>
      <c r="E68" s="4" t="s">
        <v>1257</v>
      </c>
      <c r="F68" s="4" t="s">
        <v>1222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0</v>
      </c>
      <c r="X68" s="4">
        <v>0</v>
      </c>
      <c r="Y68" s="4">
        <v>0</v>
      </c>
      <c r="Z68" s="4">
        <v>0</v>
      </c>
      <c r="AA68" s="4">
        <v>0</v>
      </c>
      <c r="AB68" s="4">
        <v>0</v>
      </c>
    </row>
    <row r="69" spans="1:28" x14ac:dyDescent="0.25">
      <c r="A69" s="3" t="s">
        <v>1258</v>
      </c>
      <c r="B69" s="3" t="s">
        <v>43</v>
      </c>
      <c r="C69" s="3">
        <v>37</v>
      </c>
      <c r="D69" s="3">
        <v>16</v>
      </c>
      <c r="E69" s="3" t="s">
        <v>418</v>
      </c>
      <c r="F69" s="3" t="s">
        <v>1222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v>0</v>
      </c>
      <c r="W69" s="3">
        <v>0</v>
      </c>
      <c r="X69" s="3">
        <v>0</v>
      </c>
      <c r="Y69" s="3">
        <v>0</v>
      </c>
      <c r="Z69" s="3">
        <v>0</v>
      </c>
      <c r="AA69" s="3">
        <v>0</v>
      </c>
      <c r="AB69" s="3">
        <v>0</v>
      </c>
    </row>
    <row r="70" spans="1:28" x14ac:dyDescent="0.25">
      <c r="A70" s="4" t="s">
        <v>1259</v>
      </c>
      <c r="B70" s="4" t="s">
        <v>43</v>
      </c>
      <c r="C70" s="4">
        <v>26</v>
      </c>
      <c r="D70" s="4">
        <v>7</v>
      </c>
      <c r="E70" s="4" t="s">
        <v>78</v>
      </c>
      <c r="F70" s="4" t="s">
        <v>1222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0</v>
      </c>
      <c r="X70" s="4">
        <v>0</v>
      </c>
      <c r="Y70" s="4">
        <v>0</v>
      </c>
      <c r="Z70" s="4">
        <v>0</v>
      </c>
      <c r="AA70" s="4">
        <v>0</v>
      </c>
      <c r="AB70" s="4">
        <v>0</v>
      </c>
    </row>
    <row r="71" spans="1:28" x14ac:dyDescent="0.25">
      <c r="A71" s="3" t="s">
        <v>1260</v>
      </c>
      <c r="B71" s="3" t="s">
        <v>43</v>
      </c>
      <c r="C71" s="3">
        <v>23</v>
      </c>
      <c r="D71" s="3">
        <v>2</v>
      </c>
      <c r="E71" s="3" t="s">
        <v>393</v>
      </c>
      <c r="F71" s="3" t="s">
        <v>1222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v>0</v>
      </c>
      <c r="W71" s="3">
        <v>0</v>
      </c>
      <c r="X71" s="3">
        <v>0</v>
      </c>
      <c r="Y71" s="3">
        <v>0</v>
      </c>
      <c r="Z71" s="3">
        <v>0</v>
      </c>
      <c r="AA71" s="3">
        <v>0</v>
      </c>
      <c r="AB71" s="3">
        <v>0</v>
      </c>
    </row>
    <row r="72" spans="1:28" x14ac:dyDescent="0.25">
      <c r="A72" s="4" t="s">
        <v>1261</v>
      </c>
      <c r="B72" s="4" t="s">
        <v>43</v>
      </c>
      <c r="C72" s="4">
        <v>25</v>
      </c>
      <c r="D72" s="4">
        <v>2</v>
      </c>
      <c r="E72" s="4" t="s">
        <v>1262</v>
      </c>
      <c r="F72" s="4" t="s">
        <v>1222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v>0</v>
      </c>
      <c r="W72" s="4">
        <v>0</v>
      </c>
      <c r="X72" s="4">
        <v>0</v>
      </c>
      <c r="Y72" s="4">
        <v>0</v>
      </c>
      <c r="Z72" s="4">
        <v>0</v>
      </c>
      <c r="AA72" s="4">
        <v>0</v>
      </c>
      <c r="AB72" s="4"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1263</v>
      </c>
      <c r="B76" s="3" t="s">
        <v>38</v>
      </c>
      <c r="C76" s="3">
        <v>28</v>
      </c>
      <c r="D76" s="3">
        <v>6</v>
      </c>
      <c r="E76" s="3" t="s">
        <v>998</v>
      </c>
      <c r="F76" s="3" t="s">
        <v>1222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v>0</v>
      </c>
      <c r="W76" s="3">
        <v>0</v>
      </c>
      <c r="X76" s="3">
        <v>0</v>
      </c>
      <c r="Y76" s="3">
        <v>0</v>
      </c>
      <c r="Z76" s="3">
        <v>0</v>
      </c>
      <c r="AA76" s="3">
        <v>0</v>
      </c>
      <c r="AB76" s="3">
        <v>0</v>
      </c>
    </row>
    <row r="77" spans="1:28" x14ac:dyDescent="0.25">
      <c r="A77" s="4" t="s">
        <v>1264</v>
      </c>
      <c r="B77" s="4" t="s">
        <v>38</v>
      </c>
      <c r="C77" s="4">
        <v>27</v>
      </c>
      <c r="D77" s="4">
        <v>6</v>
      </c>
      <c r="E77" s="4" t="s">
        <v>339</v>
      </c>
      <c r="F77" s="4" t="s">
        <v>1222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v>0</v>
      </c>
      <c r="W77" s="4">
        <v>0</v>
      </c>
      <c r="X77" s="4">
        <v>0</v>
      </c>
      <c r="Y77" s="4">
        <v>0</v>
      </c>
      <c r="Z77" s="4">
        <v>0</v>
      </c>
      <c r="AA77" s="4">
        <v>0</v>
      </c>
      <c r="AB77" s="4">
        <v>0</v>
      </c>
    </row>
    <row r="78" spans="1:28" x14ac:dyDescent="0.25">
      <c r="A78" s="3" t="s">
        <v>1265</v>
      </c>
      <c r="B78" s="3" t="s">
        <v>38</v>
      </c>
      <c r="C78" s="3">
        <v>28</v>
      </c>
      <c r="D78" s="3">
        <v>8</v>
      </c>
      <c r="E78" s="3" t="s">
        <v>175</v>
      </c>
      <c r="F78" s="3" t="s">
        <v>1222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v>0</v>
      </c>
      <c r="W78" s="3">
        <v>0</v>
      </c>
      <c r="X78" s="3">
        <v>0</v>
      </c>
      <c r="Y78" s="3">
        <v>0</v>
      </c>
      <c r="Z78" s="3">
        <v>0</v>
      </c>
      <c r="AA78" s="3">
        <v>0</v>
      </c>
      <c r="AB78" s="3">
        <v>0</v>
      </c>
    </row>
    <row r="79" spans="1:28" x14ac:dyDescent="0.25">
      <c r="A79" s="4" t="s">
        <v>1266</v>
      </c>
      <c r="B79" s="4" t="s">
        <v>38</v>
      </c>
      <c r="C79" s="4">
        <v>25</v>
      </c>
      <c r="D79" s="4">
        <v>0</v>
      </c>
      <c r="E79" s="4" t="s">
        <v>574</v>
      </c>
      <c r="F79" s="4" t="s">
        <v>1222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v>0</v>
      </c>
      <c r="W79" s="4">
        <v>0</v>
      </c>
      <c r="X79" s="4">
        <v>0</v>
      </c>
      <c r="Y79" s="4">
        <v>0</v>
      </c>
      <c r="Z79" s="4">
        <v>0</v>
      </c>
      <c r="AA79" s="4">
        <v>0</v>
      </c>
      <c r="AB79" s="4">
        <v>0</v>
      </c>
    </row>
    <row r="80" spans="1:28" x14ac:dyDescent="0.25">
      <c r="A80" s="3" t="s">
        <v>1267</v>
      </c>
      <c r="B80" s="3" t="s">
        <v>38</v>
      </c>
      <c r="C80" s="3">
        <v>27</v>
      </c>
      <c r="D80" s="3">
        <v>1</v>
      </c>
      <c r="E80" s="3" t="s">
        <v>744</v>
      </c>
      <c r="F80" s="3" t="s">
        <v>1222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v>0</v>
      </c>
      <c r="W80" s="3">
        <v>0</v>
      </c>
      <c r="X80" s="3">
        <v>0</v>
      </c>
      <c r="Y80" s="3">
        <v>0</v>
      </c>
      <c r="Z80" s="3">
        <v>0</v>
      </c>
      <c r="AA80" s="3">
        <v>0</v>
      </c>
      <c r="AB80" s="3">
        <v>0</v>
      </c>
    </row>
    <row r="81" spans="1:28" x14ac:dyDescent="0.25">
      <c r="A81" s="4" t="s">
        <v>1268</v>
      </c>
      <c r="B81" s="4" t="s">
        <v>38</v>
      </c>
      <c r="C81" s="4">
        <v>26</v>
      </c>
      <c r="D81" s="4">
        <v>1</v>
      </c>
      <c r="E81" s="4" t="s">
        <v>95</v>
      </c>
      <c r="F81" s="4" t="s">
        <v>1222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v>0</v>
      </c>
      <c r="W81" s="4">
        <v>0</v>
      </c>
      <c r="X81" s="4">
        <v>0</v>
      </c>
      <c r="Y81" s="4">
        <v>0</v>
      </c>
      <c r="Z81" s="4">
        <v>0</v>
      </c>
      <c r="AA81" s="4">
        <v>0</v>
      </c>
      <c r="AB81" s="4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AB82"/>
  <sheetViews>
    <sheetView topLeftCell="H25" workbookViewId="0">
      <selection activeCell="AB46" sqref="AB46:AB52"/>
    </sheetView>
  </sheetViews>
  <sheetFormatPr defaultColWidth="11.42578125" defaultRowHeight="15" x14ac:dyDescent="0.25"/>
  <sheetData>
    <row r="1" spans="1:24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</row>
    <row r="2" spans="1:24" x14ac:dyDescent="0.25">
      <c r="A2" s="3" t="s">
        <v>1269</v>
      </c>
      <c r="B2" s="3" t="s">
        <v>1270</v>
      </c>
      <c r="C2" s="3" t="s">
        <v>115</v>
      </c>
      <c r="D2" s="3">
        <v>5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4</v>
      </c>
      <c r="K2" s="3">
        <v>9</v>
      </c>
      <c r="L2" s="3">
        <v>0</v>
      </c>
      <c r="M2" s="3">
        <v>3</v>
      </c>
      <c r="N2" s="3">
        <v>3</v>
      </c>
      <c r="O2" s="3">
        <v>9</v>
      </c>
      <c r="P2" s="3">
        <v>0</v>
      </c>
      <c r="Q2" s="3">
        <v>0</v>
      </c>
      <c r="R2" s="3">
        <v>0</v>
      </c>
      <c r="S2" s="3">
        <v>4.8</v>
      </c>
      <c r="T2" s="3">
        <v>5.5555555555555601E-3</v>
      </c>
      <c r="U2" s="3">
        <v>2.25</v>
      </c>
      <c r="V2" s="3">
        <v>3</v>
      </c>
      <c r="W2" s="3"/>
      <c r="X2" s="3"/>
    </row>
    <row r="3" spans="1:24" x14ac:dyDescent="0.25">
      <c r="A3" s="4" t="s">
        <v>1271</v>
      </c>
      <c r="B3" s="4" t="s">
        <v>1270</v>
      </c>
      <c r="C3" s="4" t="s">
        <v>26</v>
      </c>
      <c r="D3" s="4">
        <v>14</v>
      </c>
      <c r="E3" s="4">
        <v>378</v>
      </c>
      <c r="F3" s="4">
        <v>252</v>
      </c>
      <c r="G3" s="4">
        <v>2871</v>
      </c>
      <c r="H3" s="4">
        <v>18</v>
      </c>
      <c r="I3" s="4">
        <v>9</v>
      </c>
      <c r="J3" s="4">
        <v>30</v>
      </c>
      <c r="K3" s="4">
        <v>54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1</v>
      </c>
      <c r="R3" s="4">
        <v>1</v>
      </c>
      <c r="S3" s="4">
        <v>174.24</v>
      </c>
      <c r="T3" s="4">
        <v>0</v>
      </c>
      <c r="U3" s="4">
        <v>1.8</v>
      </c>
      <c r="V3" s="4"/>
      <c r="W3" s="4">
        <v>0.66666666666666696</v>
      </c>
      <c r="X3" s="4">
        <v>4.7619047619047603E-2</v>
      </c>
    </row>
    <row r="4" spans="1:24" x14ac:dyDescent="0.25">
      <c r="A4" s="3" t="s">
        <v>1272</v>
      </c>
      <c r="B4" s="3" t="s">
        <v>1270</v>
      </c>
      <c r="C4" s="3" t="s">
        <v>26</v>
      </c>
      <c r="D4" s="3">
        <v>3</v>
      </c>
      <c r="E4" s="3">
        <v>115</v>
      </c>
      <c r="F4" s="3">
        <v>73</v>
      </c>
      <c r="G4" s="3">
        <v>858</v>
      </c>
      <c r="H4" s="3">
        <v>4</v>
      </c>
      <c r="I4" s="3">
        <v>5</v>
      </c>
      <c r="J4" s="3">
        <v>5</v>
      </c>
      <c r="K4" s="3">
        <v>16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1</v>
      </c>
      <c r="S4" s="3">
        <v>43.92</v>
      </c>
      <c r="T4" s="3">
        <v>0</v>
      </c>
      <c r="U4" s="3">
        <v>3.2</v>
      </c>
      <c r="V4" s="3"/>
      <c r="W4" s="3">
        <v>0.63478260869565195</v>
      </c>
      <c r="X4" s="3">
        <v>3.4782608695652202E-2</v>
      </c>
    </row>
    <row r="5" spans="1:24" x14ac:dyDescent="0.25">
      <c r="A5" s="4" t="s">
        <v>1273</v>
      </c>
      <c r="B5" s="4" t="s">
        <v>1270</v>
      </c>
      <c r="C5" s="4" t="s">
        <v>31</v>
      </c>
      <c r="D5" s="4">
        <v>15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223</v>
      </c>
      <c r="K5" s="4">
        <v>897</v>
      </c>
      <c r="L5" s="4">
        <v>2</v>
      </c>
      <c r="M5" s="4">
        <v>77</v>
      </c>
      <c r="N5" s="4">
        <v>57</v>
      </c>
      <c r="O5" s="4">
        <v>490</v>
      </c>
      <c r="P5" s="4">
        <v>2</v>
      </c>
      <c r="Q5" s="4">
        <v>2</v>
      </c>
      <c r="R5" s="4">
        <v>0</v>
      </c>
      <c r="S5" s="4">
        <v>211.7</v>
      </c>
      <c r="T5" s="4">
        <v>0.14259259259259299</v>
      </c>
      <c r="U5" s="4">
        <v>4.0224215246636801</v>
      </c>
      <c r="V5" s="4">
        <v>8.5964912280701693</v>
      </c>
      <c r="W5" s="4"/>
      <c r="X5" s="4"/>
    </row>
    <row r="6" spans="1:24" x14ac:dyDescent="0.25">
      <c r="A6" s="3" t="s">
        <v>253</v>
      </c>
      <c r="B6" s="3" t="s">
        <v>1270</v>
      </c>
      <c r="C6" s="3" t="s">
        <v>31</v>
      </c>
      <c r="D6" s="3">
        <v>4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12</v>
      </c>
      <c r="K6" s="3">
        <v>24</v>
      </c>
      <c r="L6" s="3">
        <v>0</v>
      </c>
      <c r="M6" s="3">
        <v>4</v>
      </c>
      <c r="N6" s="3">
        <v>4</v>
      </c>
      <c r="O6" s="3">
        <v>47</v>
      </c>
      <c r="P6" s="3">
        <v>0</v>
      </c>
      <c r="Q6" s="3">
        <v>1</v>
      </c>
      <c r="R6" s="3">
        <v>0</v>
      </c>
      <c r="S6" s="3">
        <v>9.1</v>
      </c>
      <c r="T6" s="3">
        <v>7.4074074074074103E-3</v>
      </c>
      <c r="U6" s="3">
        <v>2</v>
      </c>
      <c r="V6" s="3">
        <v>11.75</v>
      </c>
      <c r="W6" s="3"/>
      <c r="X6" s="3"/>
    </row>
    <row r="7" spans="1:24" x14ac:dyDescent="0.25">
      <c r="A7" s="4" t="s">
        <v>1274</v>
      </c>
      <c r="B7" s="4" t="s">
        <v>1270</v>
      </c>
      <c r="C7" s="4" t="s">
        <v>31</v>
      </c>
      <c r="D7" s="4">
        <v>3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11</v>
      </c>
      <c r="K7" s="4">
        <v>38</v>
      </c>
      <c r="L7" s="4">
        <v>0</v>
      </c>
      <c r="M7" s="4">
        <v>1</v>
      </c>
      <c r="N7" s="4">
        <v>1</v>
      </c>
      <c r="O7" s="4">
        <v>7</v>
      </c>
      <c r="P7" s="4">
        <v>0</v>
      </c>
      <c r="Q7" s="4">
        <v>0</v>
      </c>
      <c r="R7" s="4">
        <v>0</v>
      </c>
      <c r="S7" s="4">
        <v>5.5</v>
      </c>
      <c r="T7" s="4">
        <v>1.85185185185185E-3</v>
      </c>
      <c r="U7" s="4">
        <v>3.4545454545454501</v>
      </c>
      <c r="V7" s="4">
        <v>7</v>
      </c>
      <c r="W7" s="4"/>
      <c r="X7" s="4"/>
    </row>
    <row r="8" spans="1:24" x14ac:dyDescent="0.25">
      <c r="A8" s="3" t="s">
        <v>33</v>
      </c>
      <c r="B8" s="3" t="s">
        <v>1270</v>
      </c>
      <c r="C8" s="3" t="s">
        <v>31</v>
      </c>
      <c r="D8" s="3">
        <v>2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4</v>
      </c>
      <c r="K8" s="3">
        <v>13</v>
      </c>
      <c r="L8" s="3">
        <v>0</v>
      </c>
      <c r="M8" s="3">
        <v>1</v>
      </c>
      <c r="N8" s="3">
        <v>1</v>
      </c>
      <c r="O8" s="3">
        <v>9</v>
      </c>
      <c r="P8" s="3">
        <v>0</v>
      </c>
      <c r="Q8" s="3">
        <v>0</v>
      </c>
      <c r="R8" s="3">
        <v>0</v>
      </c>
      <c r="S8" s="3">
        <v>3.2</v>
      </c>
      <c r="T8" s="3">
        <v>1.85185185185185E-3</v>
      </c>
      <c r="U8" s="3">
        <v>3.25</v>
      </c>
      <c r="V8" s="3">
        <v>9</v>
      </c>
      <c r="W8" s="3"/>
      <c r="X8" s="3"/>
    </row>
    <row r="9" spans="1:24" x14ac:dyDescent="0.25">
      <c r="A9" s="4" t="s">
        <v>1275</v>
      </c>
      <c r="B9" s="4" t="s">
        <v>1270</v>
      </c>
      <c r="C9" s="4" t="s">
        <v>31</v>
      </c>
      <c r="D9" s="4">
        <v>1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1</v>
      </c>
      <c r="K9" s="4">
        <v>1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0.1</v>
      </c>
      <c r="T9" s="4">
        <v>0</v>
      </c>
      <c r="U9" s="4">
        <v>1</v>
      </c>
      <c r="V9" s="4"/>
      <c r="W9" s="4"/>
      <c r="X9" s="4"/>
    </row>
    <row r="10" spans="1:24" x14ac:dyDescent="0.25">
      <c r="A10" s="3" t="s">
        <v>589</v>
      </c>
      <c r="B10" s="3" t="s">
        <v>1270</v>
      </c>
      <c r="C10" s="3" t="s">
        <v>31</v>
      </c>
      <c r="D10" s="3">
        <v>1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11</v>
      </c>
      <c r="K10" s="3">
        <v>57</v>
      </c>
      <c r="L10" s="3">
        <v>1</v>
      </c>
      <c r="M10" s="3">
        <v>1</v>
      </c>
      <c r="N10" s="3">
        <v>1</v>
      </c>
      <c r="O10" s="3">
        <v>8</v>
      </c>
      <c r="P10" s="3">
        <v>0</v>
      </c>
      <c r="Q10" s="3">
        <v>0</v>
      </c>
      <c r="R10" s="3">
        <v>0</v>
      </c>
      <c r="S10" s="3">
        <v>13.5</v>
      </c>
      <c r="T10" s="3">
        <v>1.85185185185185E-3</v>
      </c>
      <c r="U10" s="3">
        <v>5.1818181818181799</v>
      </c>
      <c r="V10" s="3">
        <v>8</v>
      </c>
      <c r="W10" s="3"/>
      <c r="X10" s="3"/>
    </row>
    <row r="11" spans="1:24" x14ac:dyDescent="0.25">
      <c r="A11" s="4" t="s">
        <v>1276</v>
      </c>
      <c r="B11" s="4" t="s">
        <v>1270</v>
      </c>
      <c r="C11" s="4" t="s">
        <v>31</v>
      </c>
      <c r="D11" s="4">
        <v>10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62</v>
      </c>
      <c r="K11" s="4">
        <v>233</v>
      </c>
      <c r="L11" s="4">
        <v>1</v>
      </c>
      <c r="M11" s="4">
        <v>18</v>
      </c>
      <c r="N11" s="4">
        <v>16</v>
      </c>
      <c r="O11" s="4">
        <v>68</v>
      </c>
      <c r="P11" s="4">
        <v>0</v>
      </c>
      <c r="Q11" s="4">
        <v>1</v>
      </c>
      <c r="R11" s="4">
        <v>1</v>
      </c>
      <c r="S11" s="4">
        <v>50.1</v>
      </c>
      <c r="T11" s="4">
        <v>3.3333333333333298E-2</v>
      </c>
      <c r="U11" s="4">
        <v>3.7580645161290298</v>
      </c>
      <c r="V11" s="4">
        <v>4.25</v>
      </c>
      <c r="W11" s="4"/>
      <c r="X11" s="4"/>
    </row>
    <row r="12" spans="1:24" x14ac:dyDescent="0.25">
      <c r="A12" s="3" t="s">
        <v>879</v>
      </c>
      <c r="B12" s="3" t="s">
        <v>1270</v>
      </c>
      <c r="C12" s="3" t="s">
        <v>31</v>
      </c>
      <c r="D12" s="3">
        <v>1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2</v>
      </c>
      <c r="K12" s="3">
        <v>8</v>
      </c>
      <c r="L12" s="3">
        <v>0</v>
      </c>
      <c r="M12" s="3">
        <v>2</v>
      </c>
      <c r="N12" s="3">
        <v>2</v>
      </c>
      <c r="O12" s="3">
        <v>12</v>
      </c>
      <c r="P12" s="3">
        <v>0</v>
      </c>
      <c r="Q12" s="3">
        <v>0</v>
      </c>
      <c r="R12" s="3">
        <v>0</v>
      </c>
      <c r="S12" s="3">
        <v>4</v>
      </c>
      <c r="T12" s="3">
        <v>3.7037037037036999E-3</v>
      </c>
      <c r="U12" s="3">
        <v>4</v>
      </c>
      <c r="V12" s="3">
        <v>6</v>
      </c>
      <c r="W12" s="3"/>
      <c r="X12" s="3"/>
    </row>
    <row r="13" spans="1:24" x14ac:dyDescent="0.25">
      <c r="A13" s="4" t="s">
        <v>1277</v>
      </c>
      <c r="B13" s="4" t="s">
        <v>1270</v>
      </c>
      <c r="C13" s="4" t="s">
        <v>38</v>
      </c>
      <c r="D13" s="4">
        <v>12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22</v>
      </c>
      <c r="N13" s="4">
        <v>18</v>
      </c>
      <c r="O13" s="4">
        <v>207</v>
      </c>
      <c r="P13" s="4">
        <v>1</v>
      </c>
      <c r="Q13" s="4">
        <v>0</v>
      </c>
      <c r="R13" s="4">
        <v>0</v>
      </c>
      <c r="S13" s="4">
        <v>44.7</v>
      </c>
      <c r="T13" s="4">
        <v>4.0740740740740702E-2</v>
      </c>
      <c r="U13" s="4"/>
      <c r="V13" s="4">
        <v>11.5</v>
      </c>
      <c r="W13" s="4"/>
      <c r="X13" s="4"/>
    </row>
    <row r="14" spans="1:24" x14ac:dyDescent="0.25">
      <c r="A14" s="3" t="s">
        <v>1074</v>
      </c>
      <c r="B14" s="3" t="s">
        <v>1270</v>
      </c>
      <c r="C14" s="3" t="s">
        <v>38</v>
      </c>
      <c r="D14" s="3">
        <v>16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65</v>
      </c>
      <c r="N14" s="3">
        <v>42</v>
      </c>
      <c r="O14" s="3">
        <v>508</v>
      </c>
      <c r="P14" s="3">
        <v>7</v>
      </c>
      <c r="Q14" s="3">
        <v>0</v>
      </c>
      <c r="R14" s="3">
        <v>0</v>
      </c>
      <c r="S14" s="3">
        <v>134.80000000000001</v>
      </c>
      <c r="T14" s="3">
        <v>0.12037037037037</v>
      </c>
      <c r="U14" s="3"/>
      <c r="V14" s="3">
        <v>12.0952380952381</v>
      </c>
      <c r="W14" s="3"/>
      <c r="X14" s="3"/>
    </row>
    <row r="15" spans="1:24" x14ac:dyDescent="0.25">
      <c r="A15" s="4" t="s">
        <v>1278</v>
      </c>
      <c r="B15" s="4" t="s">
        <v>1270</v>
      </c>
      <c r="C15" s="4" t="s">
        <v>38</v>
      </c>
      <c r="D15" s="4">
        <v>2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2</v>
      </c>
      <c r="N15" s="4">
        <v>2</v>
      </c>
      <c r="O15" s="4">
        <v>13</v>
      </c>
      <c r="P15" s="4">
        <v>0</v>
      </c>
      <c r="Q15" s="4">
        <v>0</v>
      </c>
      <c r="R15" s="4">
        <v>0</v>
      </c>
      <c r="S15" s="4">
        <v>3.3</v>
      </c>
      <c r="T15" s="4">
        <v>3.7037037037036999E-3</v>
      </c>
      <c r="U15" s="4"/>
      <c r="V15" s="4">
        <v>6.5</v>
      </c>
      <c r="W15" s="4"/>
      <c r="X15" s="4"/>
    </row>
    <row r="16" spans="1:24" x14ac:dyDescent="0.25">
      <c r="A16" s="3" t="s">
        <v>1143</v>
      </c>
      <c r="B16" s="3" t="s">
        <v>1270</v>
      </c>
      <c r="C16" s="3" t="s">
        <v>38</v>
      </c>
      <c r="D16" s="3">
        <v>16</v>
      </c>
      <c r="E16" s="3">
        <v>19</v>
      </c>
      <c r="F16" s="3">
        <v>13</v>
      </c>
      <c r="G16" s="3">
        <v>240</v>
      </c>
      <c r="H16" s="3">
        <v>2</v>
      </c>
      <c r="I16" s="3">
        <v>0</v>
      </c>
      <c r="J16" s="3">
        <v>96</v>
      </c>
      <c r="K16" s="3">
        <v>575</v>
      </c>
      <c r="L16" s="3">
        <v>7</v>
      </c>
      <c r="M16" s="3">
        <v>13</v>
      </c>
      <c r="N16" s="3">
        <v>9</v>
      </c>
      <c r="O16" s="3">
        <v>77</v>
      </c>
      <c r="P16" s="3">
        <v>2</v>
      </c>
      <c r="Q16" s="3">
        <v>0</v>
      </c>
      <c r="R16" s="3">
        <v>0</v>
      </c>
      <c r="S16" s="3">
        <v>145.80000000000001</v>
      </c>
      <c r="T16" s="3">
        <v>2.4074074074074098E-2</v>
      </c>
      <c r="U16" s="3">
        <v>5.9895833333333304</v>
      </c>
      <c r="V16" s="3">
        <v>8.5555555555555607</v>
      </c>
      <c r="W16" s="3">
        <v>0.68421052631578905</v>
      </c>
      <c r="X16" s="3">
        <v>0.105263157894737</v>
      </c>
    </row>
    <row r="17" spans="1:24" x14ac:dyDescent="0.25">
      <c r="A17" s="4" t="s">
        <v>1279</v>
      </c>
      <c r="B17" s="4" t="s">
        <v>1270</v>
      </c>
      <c r="C17" s="4" t="s">
        <v>43</v>
      </c>
      <c r="D17" s="4">
        <v>15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119</v>
      </c>
      <c r="N17" s="4">
        <v>72</v>
      </c>
      <c r="O17" s="4">
        <v>1042</v>
      </c>
      <c r="P17" s="4">
        <v>4</v>
      </c>
      <c r="Q17" s="4">
        <v>0</v>
      </c>
      <c r="R17" s="4">
        <v>0</v>
      </c>
      <c r="S17" s="4">
        <v>198.2</v>
      </c>
      <c r="T17" s="4">
        <v>0.22037037037036999</v>
      </c>
      <c r="U17" s="4"/>
      <c r="V17" s="4">
        <v>14.4722222222222</v>
      </c>
      <c r="W17" s="4"/>
      <c r="X17" s="4"/>
    </row>
    <row r="18" spans="1:24" x14ac:dyDescent="0.25">
      <c r="A18" s="3" t="s">
        <v>1280</v>
      </c>
      <c r="B18" s="3" t="s">
        <v>1270</v>
      </c>
      <c r="C18" s="3" t="s">
        <v>43</v>
      </c>
      <c r="D18" s="3">
        <v>2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2</v>
      </c>
      <c r="N18" s="3">
        <v>2</v>
      </c>
      <c r="O18" s="3">
        <v>13</v>
      </c>
      <c r="P18" s="3">
        <v>0</v>
      </c>
      <c r="Q18" s="3">
        <v>0</v>
      </c>
      <c r="R18" s="3">
        <v>0</v>
      </c>
      <c r="S18" s="3">
        <v>3.3</v>
      </c>
      <c r="T18" s="3">
        <v>3.7037037037036999E-3</v>
      </c>
      <c r="U18" s="3"/>
      <c r="V18" s="3">
        <v>6.5</v>
      </c>
      <c r="W18" s="3"/>
      <c r="X18" s="3"/>
    </row>
    <row r="19" spans="1:24" x14ac:dyDescent="0.25">
      <c r="A19" s="4" t="s">
        <v>1281</v>
      </c>
      <c r="B19" s="4" t="s">
        <v>1270</v>
      </c>
      <c r="C19" s="4" t="s">
        <v>43</v>
      </c>
      <c r="D19" s="4">
        <v>9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39</v>
      </c>
      <c r="N19" s="4">
        <v>25</v>
      </c>
      <c r="O19" s="4">
        <v>272</v>
      </c>
      <c r="P19" s="4">
        <v>1</v>
      </c>
      <c r="Q19" s="4">
        <v>0</v>
      </c>
      <c r="R19" s="4">
        <v>0</v>
      </c>
      <c r="S19" s="4">
        <v>60.2</v>
      </c>
      <c r="T19" s="4">
        <v>7.2222222222222202E-2</v>
      </c>
      <c r="U19" s="4"/>
      <c r="V19" s="4">
        <v>10.88</v>
      </c>
      <c r="W19" s="4"/>
      <c r="X19" s="4"/>
    </row>
    <row r="20" spans="1:24" x14ac:dyDescent="0.25">
      <c r="A20" s="3" t="s">
        <v>1282</v>
      </c>
      <c r="B20" s="3" t="s">
        <v>1270</v>
      </c>
      <c r="C20" s="3" t="s">
        <v>43</v>
      </c>
      <c r="D20" s="3">
        <v>3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4</v>
      </c>
      <c r="N20" s="3">
        <v>2</v>
      </c>
      <c r="O20" s="3">
        <v>18</v>
      </c>
      <c r="P20" s="3">
        <v>0</v>
      </c>
      <c r="Q20" s="3">
        <v>0</v>
      </c>
      <c r="R20" s="3">
        <v>0</v>
      </c>
      <c r="S20" s="3">
        <v>3.8</v>
      </c>
      <c r="T20" s="3">
        <v>7.4074074074074103E-3</v>
      </c>
      <c r="U20" s="3"/>
      <c r="V20" s="3">
        <v>9</v>
      </c>
      <c r="W20" s="3"/>
      <c r="X20" s="3"/>
    </row>
    <row r="21" spans="1:24" x14ac:dyDescent="0.25">
      <c r="A21" s="4" t="s">
        <v>1283</v>
      </c>
      <c r="B21" s="4" t="s">
        <v>1270</v>
      </c>
      <c r="C21" s="4" t="s">
        <v>43</v>
      </c>
      <c r="D21" s="4">
        <v>4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5</v>
      </c>
      <c r="N21" s="4">
        <v>2</v>
      </c>
      <c r="O21" s="4">
        <v>74</v>
      </c>
      <c r="P21" s="4">
        <v>0</v>
      </c>
      <c r="Q21" s="4">
        <v>0</v>
      </c>
      <c r="R21" s="4">
        <v>0</v>
      </c>
      <c r="S21" s="4">
        <v>9.4</v>
      </c>
      <c r="T21" s="4">
        <v>9.2592592592592605E-3</v>
      </c>
      <c r="U21" s="4"/>
      <c r="V21" s="4">
        <v>37</v>
      </c>
      <c r="W21" s="4"/>
      <c r="X21" s="4"/>
    </row>
    <row r="22" spans="1:24" x14ac:dyDescent="0.25">
      <c r="A22" s="3" t="s">
        <v>1284</v>
      </c>
      <c r="B22" s="3" t="s">
        <v>1270</v>
      </c>
      <c r="C22" s="3" t="s">
        <v>43</v>
      </c>
      <c r="D22" s="3">
        <v>10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M22" s="3">
        <v>32</v>
      </c>
      <c r="N22" s="3">
        <v>16</v>
      </c>
      <c r="O22" s="3">
        <v>158</v>
      </c>
      <c r="P22" s="3">
        <v>1</v>
      </c>
      <c r="Q22" s="3">
        <v>0</v>
      </c>
      <c r="R22" s="3">
        <v>0</v>
      </c>
      <c r="S22" s="3">
        <v>37.799999999999997</v>
      </c>
      <c r="T22" s="3">
        <v>5.9259259259259303E-2</v>
      </c>
      <c r="U22" s="3"/>
      <c r="V22" s="3">
        <v>9.875</v>
      </c>
      <c r="W22" s="3"/>
      <c r="X22" s="3"/>
    </row>
    <row r="23" spans="1:24" x14ac:dyDescent="0.25">
      <c r="A23" s="4" t="s">
        <v>435</v>
      </c>
      <c r="B23" s="4" t="s">
        <v>1270</v>
      </c>
      <c r="C23" s="4" t="s">
        <v>43</v>
      </c>
      <c r="D23" s="4">
        <v>3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22</v>
      </c>
      <c r="N23" s="4">
        <v>16</v>
      </c>
      <c r="O23" s="4">
        <v>171</v>
      </c>
      <c r="P23" s="4">
        <v>3</v>
      </c>
      <c r="Q23" s="4">
        <v>0</v>
      </c>
      <c r="R23" s="4">
        <v>0</v>
      </c>
      <c r="S23" s="4">
        <v>51.1</v>
      </c>
      <c r="T23" s="4">
        <v>4.0740740740740702E-2</v>
      </c>
      <c r="U23" s="4"/>
      <c r="V23" s="4">
        <v>10.6875</v>
      </c>
      <c r="W23" s="4"/>
      <c r="X23" s="4"/>
    </row>
    <row r="24" spans="1:24" x14ac:dyDescent="0.25">
      <c r="A24" s="3" t="s">
        <v>1285</v>
      </c>
      <c r="B24" s="3" t="s">
        <v>1270</v>
      </c>
      <c r="C24" s="3" t="s">
        <v>43</v>
      </c>
      <c r="D24" s="3">
        <v>11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4</v>
      </c>
      <c r="K24" s="3">
        <v>57</v>
      </c>
      <c r="L24" s="3">
        <v>1</v>
      </c>
      <c r="M24" s="3">
        <v>34</v>
      </c>
      <c r="N24" s="3">
        <v>28</v>
      </c>
      <c r="O24" s="3">
        <v>488</v>
      </c>
      <c r="P24" s="3">
        <v>2</v>
      </c>
      <c r="Q24" s="3">
        <v>0</v>
      </c>
      <c r="R24" s="3">
        <v>0</v>
      </c>
      <c r="S24" s="3">
        <v>100.5</v>
      </c>
      <c r="T24" s="3">
        <v>6.2962962962962998E-2</v>
      </c>
      <c r="U24" s="3">
        <v>14.25</v>
      </c>
      <c r="V24" s="3">
        <v>17.428571428571399</v>
      </c>
      <c r="W24" s="3"/>
      <c r="X24" s="3"/>
    </row>
    <row r="25" spans="1:24" x14ac:dyDescent="0.25">
      <c r="A25" s="4" t="s">
        <v>1286</v>
      </c>
      <c r="B25" s="4" t="s">
        <v>1270</v>
      </c>
      <c r="C25" s="4" t="s">
        <v>43</v>
      </c>
      <c r="D25" s="4">
        <v>9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27</v>
      </c>
      <c r="N25" s="4">
        <v>19</v>
      </c>
      <c r="O25" s="4">
        <v>278</v>
      </c>
      <c r="P25" s="4">
        <v>1</v>
      </c>
      <c r="Q25" s="4">
        <v>0</v>
      </c>
      <c r="R25" s="4">
        <v>0</v>
      </c>
      <c r="S25" s="4">
        <v>52.8</v>
      </c>
      <c r="T25" s="4">
        <v>0.05</v>
      </c>
      <c r="U25" s="4"/>
      <c r="V25" s="4">
        <v>14.6315789473684</v>
      </c>
      <c r="W25" s="4"/>
      <c r="X25" s="4"/>
    </row>
    <row r="30" spans="1:24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</row>
    <row r="31" spans="1:24" x14ac:dyDescent="0.25">
      <c r="A31" s="3" t="s">
        <v>1270</v>
      </c>
      <c r="B31" s="3">
        <v>5951</v>
      </c>
      <c r="C31" s="3">
        <v>3969</v>
      </c>
      <c r="D31" s="3">
        <v>465</v>
      </c>
      <c r="E31" s="3">
        <v>1982</v>
      </c>
      <c r="F31" s="3">
        <v>12</v>
      </c>
      <c r="G31" s="3">
        <v>1365.86</v>
      </c>
      <c r="H31" s="3">
        <v>512</v>
      </c>
      <c r="I31" s="3">
        <v>0.66015625</v>
      </c>
      <c r="J31" s="3">
        <v>24</v>
      </c>
      <c r="K31" s="3">
        <v>14</v>
      </c>
      <c r="L31" s="3">
        <v>5</v>
      </c>
    </row>
    <row r="32" spans="1:24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</row>
    <row r="33" spans="1:28" x14ac:dyDescent="0.25">
      <c r="A33" s="3" t="str">
        <f>A31</f>
        <v>NO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1287</v>
      </c>
      <c r="B36" s="3" t="s">
        <v>26</v>
      </c>
      <c r="C36" s="3">
        <v>32</v>
      </c>
      <c r="D36" s="3">
        <v>10</v>
      </c>
      <c r="E36" s="3" t="s">
        <v>280</v>
      </c>
      <c r="F36" s="3" t="s">
        <v>1270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">
        <v>0</v>
      </c>
      <c r="X36" s="3">
        <v>0</v>
      </c>
      <c r="Y36" s="3">
        <v>0</v>
      </c>
      <c r="Z36" s="3">
        <v>0</v>
      </c>
      <c r="AA36" s="3">
        <v>0</v>
      </c>
      <c r="AB36" s="3">
        <v>0</v>
      </c>
    </row>
    <row r="37" spans="1:28" x14ac:dyDescent="0.25">
      <c r="A37" s="4" t="s">
        <v>1288</v>
      </c>
      <c r="B37" s="4" t="s">
        <v>26</v>
      </c>
      <c r="C37" s="4">
        <v>24</v>
      </c>
      <c r="D37" s="4">
        <v>0</v>
      </c>
      <c r="E37" s="4" t="s">
        <v>280</v>
      </c>
      <c r="F37" s="4" t="s">
        <v>1270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</row>
    <row r="38" spans="1:28" x14ac:dyDescent="0.25">
      <c r="A38" s="3" t="s">
        <v>1289</v>
      </c>
      <c r="B38" s="3" t="s">
        <v>26</v>
      </c>
      <c r="C38" s="3">
        <v>29</v>
      </c>
      <c r="D38" s="3">
        <v>9</v>
      </c>
      <c r="E38" s="3" t="s">
        <v>1012</v>
      </c>
      <c r="F38" s="3" t="s">
        <v>1270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v>0</v>
      </c>
      <c r="W38" s="3">
        <v>0</v>
      </c>
      <c r="X38" s="3">
        <v>0</v>
      </c>
      <c r="Y38" s="3">
        <v>0</v>
      </c>
      <c r="Z38" s="3">
        <v>0</v>
      </c>
      <c r="AA38" s="3">
        <v>0</v>
      </c>
      <c r="AB38" s="3"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1290</v>
      </c>
      <c r="B46" s="3" t="s">
        <v>31</v>
      </c>
      <c r="C46" s="3">
        <v>26</v>
      </c>
      <c r="D46" s="3">
        <v>1</v>
      </c>
      <c r="E46" s="3" t="s">
        <v>163</v>
      </c>
      <c r="F46" s="3" t="s">
        <v>1270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v>0</v>
      </c>
      <c r="W46" s="3">
        <v>0</v>
      </c>
      <c r="X46" s="3">
        <v>0</v>
      </c>
      <c r="Y46" s="3">
        <v>0</v>
      </c>
      <c r="Z46" s="3">
        <v>0</v>
      </c>
      <c r="AA46" s="3">
        <v>0</v>
      </c>
      <c r="AB46" s="3">
        <f t="shared" ref="AB46:AB52" si="0">($J46*Cp_yd)+($K46*Cp_td)+($L46*Cint)+($M46*Ccar)+($N46*Cr_td)+($O46*Cr_yd)+(Q46*Crec)+($R46*Crec_yd)+($S46*Crec_td)+($T46*Cfmb)+($U46*Ctp_c)</f>
        <v>0</v>
      </c>
    </row>
    <row r="47" spans="1:28" x14ac:dyDescent="0.25">
      <c r="A47" s="4" t="s">
        <v>1291</v>
      </c>
      <c r="B47" s="4" t="s">
        <v>31</v>
      </c>
      <c r="C47" s="4">
        <v>24</v>
      </c>
      <c r="D47" s="4">
        <v>4</v>
      </c>
      <c r="E47" s="4" t="s">
        <v>155</v>
      </c>
      <c r="F47" s="4" t="s">
        <v>1270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f t="shared" si="0"/>
        <v>0</v>
      </c>
    </row>
    <row r="48" spans="1:28" x14ac:dyDescent="0.25">
      <c r="A48" s="3" t="s">
        <v>1292</v>
      </c>
      <c r="B48" s="3" t="s">
        <v>31</v>
      </c>
      <c r="C48" s="3">
        <v>28</v>
      </c>
      <c r="D48" s="3">
        <v>7</v>
      </c>
      <c r="E48" s="3" t="s">
        <v>143</v>
      </c>
      <c r="F48" s="3" t="s">
        <v>1270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v>0</v>
      </c>
      <c r="W48" s="3">
        <v>0</v>
      </c>
      <c r="X48" s="3">
        <v>0</v>
      </c>
      <c r="Y48" s="3">
        <v>0</v>
      </c>
      <c r="Z48" s="3">
        <v>0</v>
      </c>
      <c r="AA48" s="3">
        <v>0</v>
      </c>
      <c r="AB48" s="3">
        <f t="shared" si="0"/>
        <v>0</v>
      </c>
    </row>
    <row r="49" spans="1:28" x14ac:dyDescent="0.25">
      <c r="A49" s="4" t="s">
        <v>1293</v>
      </c>
      <c r="B49" s="4" t="s">
        <v>31</v>
      </c>
      <c r="C49" s="4">
        <v>24</v>
      </c>
      <c r="D49" s="4">
        <v>0</v>
      </c>
      <c r="E49" s="4" t="s">
        <v>291</v>
      </c>
      <c r="F49" s="4" t="s">
        <v>1270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B49" s="4">
        <f t="shared" si="0"/>
        <v>0</v>
      </c>
    </row>
    <row r="50" spans="1:28" x14ac:dyDescent="0.25">
      <c r="A50" s="3" t="s">
        <v>1294</v>
      </c>
      <c r="B50" s="3" t="s">
        <v>31</v>
      </c>
      <c r="C50" s="3">
        <v>21</v>
      </c>
      <c r="D50" s="3">
        <v>0</v>
      </c>
      <c r="E50" s="3" t="s">
        <v>76</v>
      </c>
      <c r="F50" s="3" t="s">
        <v>1270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v>0</v>
      </c>
      <c r="W50" s="3">
        <v>0</v>
      </c>
      <c r="X50" s="3">
        <v>0</v>
      </c>
      <c r="Y50" s="3">
        <v>0</v>
      </c>
      <c r="Z50" s="3">
        <v>0</v>
      </c>
      <c r="AA50" s="3">
        <v>0</v>
      </c>
      <c r="AB50" s="3">
        <f t="shared" si="0"/>
        <v>0</v>
      </c>
    </row>
    <row r="51" spans="1:28" x14ac:dyDescent="0.25">
      <c r="A51" s="4" t="s">
        <v>1295</v>
      </c>
      <c r="B51" s="4" t="s">
        <v>31</v>
      </c>
      <c r="C51" s="4">
        <v>28</v>
      </c>
      <c r="D51" s="4">
        <v>6</v>
      </c>
      <c r="E51" s="4" t="s">
        <v>227</v>
      </c>
      <c r="F51" s="4" t="s">
        <v>1270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v>0</v>
      </c>
      <c r="W51" s="4">
        <v>0</v>
      </c>
      <c r="X51" s="4">
        <v>0</v>
      </c>
      <c r="Y51" s="4">
        <v>0</v>
      </c>
      <c r="Z51" s="4">
        <v>0</v>
      </c>
      <c r="AA51" s="4">
        <v>0</v>
      </c>
      <c r="AB51" s="4">
        <f t="shared" si="0"/>
        <v>0</v>
      </c>
    </row>
    <row r="52" spans="1:28" x14ac:dyDescent="0.25">
      <c r="A52" s="3" t="s">
        <v>1296</v>
      </c>
      <c r="B52" s="3" t="s">
        <v>31</v>
      </c>
      <c r="C52" s="3">
        <v>28</v>
      </c>
      <c r="D52" s="3">
        <v>7</v>
      </c>
      <c r="E52" s="3" t="s">
        <v>82</v>
      </c>
      <c r="F52" s="3" t="s">
        <v>1270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v>0</v>
      </c>
      <c r="W52" s="3">
        <v>0</v>
      </c>
      <c r="X52" s="3">
        <v>0</v>
      </c>
      <c r="Y52" s="3">
        <v>0</v>
      </c>
      <c r="Z52" s="3">
        <v>0</v>
      </c>
      <c r="AA52" s="3">
        <v>0</v>
      </c>
      <c r="AB52" s="3">
        <f t="shared" si="0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1297</v>
      </c>
      <c r="B61" s="3" t="s">
        <v>43</v>
      </c>
      <c r="C61" s="3">
        <v>24</v>
      </c>
      <c r="D61" s="3">
        <v>1</v>
      </c>
      <c r="E61" s="3" t="s">
        <v>519</v>
      </c>
      <c r="F61" s="3" t="s">
        <v>1270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v>0</v>
      </c>
      <c r="W61" s="3">
        <v>0</v>
      </c>
      <c r="X61" s="3">
        <v>0</v>
      </c>
      <c r="Y61" s="3">
        <v>0</v>
      </c>
      <c r="Z61" s="3">
        <v>0</v>
      </c>
      <c r="AA61" s="3">
        <v>0</v>
      </c>
      <c r="AB61" s="3">
        <v>0</v>
      </c>
    </row>
    <row r="62" spans="1:28" x14ac:dyDescent="0.25">
      <c r="A62" s="4" t="s">
        <v>1298</v>
      </c>
      <c r="B62" s="4" t="s">
        <v>43</v>
      </c>
      <c r="C62" s="4">
        <v>25</v>
      </c>
      <c r="D62" s="4">
        <v>3</v>
      </c>
      <c r="E62" s="4" t="s">
        <v>150</v>
      </c>
      <c r="F62" s="4" t="s">
        <v>1270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0</v>
      </c>
      <c r="X62" s="4">
        <v>0</v>
      </c>
      <c r="Y62" s="4">
        <v>0</v>
      </c>
      <c r="Z62" s="4">
        <v>0</v>
      </c>
      <c r="AA62" s="4">
        <v>0</v>
      </c>
      <c r="AB62" s="4">
        <v>0</v>
      </c>
    </row>
    <row r="63" spans="1:28" x14ac:dyDescent="0.25">
      <c r="A63" s="3" t="s">
        <v>1299</v>
      </c>
      <c r="B63" s="3" t="s">
        <v>43</v>
      </c>
      <c r="C63" s="3">
        <v>23</v>
      </c>
      <c r="D63" s="3">
        <v>0</v>
      </c>
      <c r="E63" s="3" t="s">
        <v>1300</v>
      </c>
      <c r="F63" s="3" t="s">
        <v>1270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v>0</v>
      </c>
      <c r="W63" s="3">
        <v>0</v>
      </c>
      <c r="X63" s="3">
        <v>0</v>
      </c>
      <c r="Y63" s="3">
        <v>0</v>
      </c>
      <c r="Z63" s="3">
        <v>0</v>
      </c>
      <c r="AA63" s="3">
        <v>0</v>
      </c>
      <c r="AB63" s="3">
        <v>0</v>
      </c>
    </row>
    <row r="64" spans="1:28" x14ac:dyDescent="0.25">
      <c r="A64" s="4" t="s">
        <v>1301</v>
      </c>
      <c r="B64" s="4" t="s">
        <v>43</v>
      </c>
      <c r="C64" s="4">
        <v>24</v>
      </c>
      <c r="D64" s="4">
        <v>4</v>
      </c>
      <c r="E64" s="4" t="s">
        <v>341</v>
      </c>
      <c r="F64" s="4" t="s">
        <v>1270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</row>
    <row r="65" spans="1:28" x14ac:dyDescent="0.25">
      <c r="A65" s="3" t="s">
        <v>1302</v>
      </c>
      <c r="B65" s="3" t="s">
        <v>43</v>
      </c>
      <c r="C65" s="3">
        <v>24</v>
      </c>
      <c r="D65" s="3">
        <v>1</v>
      </c>
      <c r="E65" s="3" t="s">
        <v>227</v>
      </c>
      <c r="F65" s="3" t="s">
        <v>1270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v>0</v>
      </c>
      <c r="W65" s="3">
        <v>0</v>
      </c>
      <c r="X65" s="3">
        <v>0</v>
      </c>
      <c r="Y65" s="3">
        <v>0</v>
      </c>
      <c r="Z65" s="3">
        <v>0</v>
      </c>
      <c r="AA65" s="3">
        <v>0</v>
      </c>
      <c r="AB65" s="3">
        <v>0</v>
      </c>
    </row>
    <row r="66" spans="1:28" x14ac:dyDescent="0.25">
      <c r="A66" s="4" t="s">
        <v>1303</v>
      </c>
      <c r="B66" s="4" t="s">
        <v>43</v>
      </c>
      <c r="C66" s="4">
        <v>29</v>
      </c>
      <c r="D66" s="4">
        <v>4</v>
      </c>
      <c r="E66" s="4" t="s">
        <v>391</v>
      </c>
      <c r="F66" s="4" t="s">
        <v>1270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</row>
    <row r="67" spans="1:28" x14ac:dyDescent="0.25">
      <c r="A67" s="3" t="s">
        <v>1304</v>
      </c>
      <c r="B67" s="3" t="s">
        <v>43</v>
      </c>
      <c r="C67" s="3">
        <v>26</v>
      </c>
      <c r="D67" s="3">
        <v>1</v>
      </c>
      <c r="E67" s="3" t="s">
        <v>1305</v>
      </c>
      <c r="F67" s="3" t="s">
        <v>1270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v>0</v>
      </c>
      <c r="W67" s="3">
        <v>0</v>
      </c>
      <c r="X67" s="3">
        <v>0</v>
      </c>
      <c r="Y67" s="3">
        <v>0</v>
      </c>
      <c r="Z67" s="3">
        <v>0</v>
      </c>
      <c r="AA67" s="3">
        <v>0</v>
      </c>
      <c r="AB67" s="3">
        <v>0</v>
      </c>
    </row>
    <row r="68" spans="1:28" x14ac:dyDescent="0.25">
      <c r="A68" s="4" t="s">
        <v>1306</v>
      </c>
      <c r="B68" s="4" t="s">
        <v>43</v>
      </c>
      <c r="C68" s="4">
        <v>23</v>
      </c>
      <c r="D68" s="4">
        <v>2</v>
      </c>
      <c r="E68" s="4" t="s">
        <v>213</v>
      </c>
      <c r="F68" s="4" t="s">
        <v>1270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0</v>
      </c>
      <c r="X68" s="4">
        <v>0</v>
      </c>
      <c r="Y68" s="4">
        <v>0</v>
      </c>
      <c r="Z68" s="4">
        <v>0</v>
      </c>
      <c r="AA68" s="4">
        <v>0</v>
      </c>
      <c r="AB68" s="4">
        <v>0</v>
      </c>
    </row>
    <row r="69" spans="1:28" x14ac:dyDescent="0.25">
      <c r="A69" s="3" t="s">
        <v>1307</v>
      </c>
      <c r="B69" s="3" t="s">
        <v>43</v>
      </c>
      <c r="C69" s="3">
        <v>23</v>
      </c>
      <c r="D69" s="3">
        <v>0</v>
      </c>
      <c r="E69" s="3" t="s">
        <v>95</v>
      </c>
      <c r="F69" s="3" t="s">
        <v>1270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v>0</v>
      </c>
      <c r="W69" s="3">
        <v>0</v>
      </c>
      <c r="X69" s="3">
        <v>0</v>
      </c>
      <c r="Y69" s="3">
        <v>0</v>
      </c>
      <c r="Z69" s="3">
        <v>0</v>
      </c>
      <c r="AA69" s="3">
        <v>0</v>
      </c>
      <c r="AB69" s="3">
        <v>0</v>
      </c>
    </row>
    <row r="70" spans="1:28" x14ac:dyDescent="0.25">
      <c r="A70" s="4" t="s">
        <v>1308</v>
      </c>
      <c r="B70" s="4" t="s">
        <v>43</v>
      </c>
      <c r="C70" s="4">
        <v>24</v>
      </c>
      <c r="D70" s="4">
        <v>2</v>
      </c>
      <c r="E70" s="4" t="s">
        <v>1309</v>
      </c>
      <c r="F70" s="4" t="s">
        <v>1270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0</v>
      </c>
      <c r="X70" s="4">
        <v>0</v>
      </c>
      <c r="Y70" s="4">
        <v>0</v>
      </c>
      <c r="Z70" s="4">
        <v>0</v>
      </c>
      <c r="AA70" s="4">
        <v>0</v>
      </c>
      <c r="AB70" s="4">
        <v>0</v>
      </c>
    </row>
    <row r="71" spans="1:28" x14ac:dyDescent="0.25">
      <c r="A71" s="3" t="s">
        <v>1310</v>
      </c>
      <c r="B71" s="3" t="s">
        <v>43</v>
      </c>
      <c r="C71" s="3">
        <v>27</v>
      </c>
      <c r="D71" s="3">
        <v>6</v>
      </c>
      <c r="E71" s="3" t="s">
        <v>282</v>
      </c>
      <c r="F71" s="3" t="s">
        <v>1270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v>0</v>
      </c>
      <c r="W71" s="3">
        <v>0</v>
      </c>
      <c r="X71" s="3">
        <v>0</v>
      </c>
      <c r="Y71" s="3">
        <v>0</v>
      </c>
      <c r="Z71" s="3">
        <v>0</v>
      </c>
      <c r="AA71" s="3">
        <v>0</v>
      </c>
      <c r="AB71" s="3">
        <v>0</v>
      </c>
    </row>
    <row r="72" spans="1:28" x14ac:dyDescent="0.25">
      <c r="A72" s="4" t="s">
        <v>1311</v>
      </c>
      <c r="B72" s="4" t="s">
        <v>43</v>
      </c>
      <c r="C72" s="4">
        <v>30</v>
      </c>
      <c r="D72" s="4">
        <v>8</v>
      </c>
      <c r="E72" s="4" t="s">
        <v>213</v>
      </c>
      <c r="F72" s="4" t="s">
        <v>1270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v>0</v>
      </c>
      <c r="W72" s="4">
        <v>0</v>
      </c>
      <c r="X72" s="4">
        <v>0</v>
      </c>
      <c r="Y72" s="4">
        <v>0</v>
      </c>
      <c r="Z72" s="4">
        <v>0</v>
      </c>
      <c r="AA72" s="4">
        <v>0</v>
      </c>
      <c r="AB72" s="4"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1312</v>
      </c>
      <c r="B76" s="3" t="s">
        <v>38</v>
      </c>
      <c r="C76" s="3">
        <v>36</v>
      </c>
      <c r="D76" s="3">
        <v>13</v>
      </c>
      <c r="E76" s="3" t="s">
        <v>397</v>
      </c>
      <c r="F76" s="3" t="s">
        <v>1270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v>0</v>
      </c>
      <c r="W76" s="3">
        <v>0</v>
      </c>
      <c r="X76" s="3">
        <v>0</v>
      </c>
      <c r="Y76" s="3">
        <v>0</v>
      </c>
      <c r="Z76" s="3">
        <v>0</v>
      </c>
      <c r="AA76" s="3">
        <v>0</v>
      </c>
      <c r="AB76" s="3">
        <v>0</v>
      </c>
    </row>
    <row r="77" spans="1:28" x14ac:dyDescent="0.25">
      <c r="A77" s="4" t="s">
        <v>1313</v>
      </c>
      <c r="B77" s="4" t="s">
        <v>38</v>
      </c>
      <c r="C77" s="4">
        <v>32</v>
      </c>
      <c r="D77" s="4">
        <v>7</v>
      </c>
      <c r="E77" s="4" t="s">
        <v>82</v>
      </c>
      <c r="F77" s="4" t="s">
        <v>1270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v>0</v>
      </c>
      <c r="W77" s="4">
        <v>0</v>
      </c>
      <c r="X77" s="4">
        <v>0</v>
      </c>
      <c r="Y77" s="4">
        <v>0</v>
      </c>
      <c r="Z77" s="4">
        <v>0</v>
      </c>
      <c r="AA77" s="4">
        <v>0</v>
      </c>
      <c r="AB77" s="4">
        <v>0</v>
      </c>
    </row>
    <row r="78" spans="1:28" x14ac:dyDescent="0.25">
      <c r="A78" s="3" t="s">
        <v>1314</v>
      </c>
      <c r="B78" s="3" t="s">
        <v>38</v>
      </c>
      <c r="C78" s="3">
        <v>29</v>
      </c>
      <c r="D78" s="3">
        <v>7</v>
      </c>
      <c r="E78" s="3" t="s">
        <v>74</v>
      </c>
      <c r="F78" s="3" t="s">
        <v>1270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v>0</v>
      </c>
      <c r="W78" s="3">
        <v>0</v>
      </c>
      <c r="X78" s="3">
        <v>0</v>
      </c>
      <c r="Y78" s="3">
        <v>0</v>
      </c>
      <c r="Z78" s="3">
        <v>0</v>
      </c>
      <c r="AA78" s="3">
        <v>0</v>
      </c>
      <c r="AB78" s="3">
        <v>0</v>
      </c>
    </row>
    <row r="79" spans="1:28" x14ac:dyDescent="0.25">
      <c r="A79" s="4" t="s">
        <v>1315</v>
      </c>
      <c r="B79" s="4" t="s">
        <v>38</v>
      </c>
      <c r="C79" s="4">
        <v>29</v>
      </c>
      <c r="D79" s="4">
        <v>9</v>
      </c>
      <c r="E79" s="4" t="s">
        <v>339</v>
      </c>
      <c r="F79" s="4" t="s">
        <v>1270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v>0</v>
      </c>
      <c r="W79" s="4">
        <v>0</v>
      </c>
      <c r="X79" s="4">
        <v>0</v>
      </c>
      <c r="Y79" s="4">
        <v>0</v>
      </c>
      <c r="Z79" s="4">
        <v>0</v>
      </c>
      <c r="AA79" s="4">
        <v>0</v>
      </c>
      <c r="AB79" s="4">
        <v>0</v>
      </c>
    </row>
    <row r="80" spans="1:28" x14ac:dyDescent="0.25">
      <c r="A80" s="3" t="s">
        <v>1316</v>
      </c>
      <c r="B80" s="3" t="s">
        <v>38</v>
      </c>
      <c r="C80" s="3">
        <v>26</v>
      </c>
      <c r="D80" s="3">
        <v>4</v>
      </c>
      <c r="E80" s="3" t="s">
        <v>205</v>
      </c>
      <c r="F80" s="3" t="s">
        <v>1270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v>0</v>
      </c>
      <c r="W80" s="3">
        <v>0</v>
      </c>
      <c r="X80" s="3">
        <v>0</v>
      </c>
      <c r="Y80" s="3">
        <v>0</v>
      </c>
      <c r="Z80" s="3">
        <v>0</v>
      </c>
      <c r="AA80" s="3">
        <v>0</v>
      </c>
      <c r="AB80" s="3">
        <v>0</v>
      </c>
    </row>
    <row r="81" spans="1:28" x14ac:dyDescent="0.25">
      <c r="A81" s="4" t="s">
        <v>1317</v>
      </c>
      <c r="B81" s="4" t="s">
        <v>38</v>
      </c>
      <c r="C81" s="4">
        <v>25</v>
      </c>
      <c r="D81" s="4">
        <v>1</v>
      </c>
      <c r="E81" s="4" t="s">
        <v>74</v>
      </c>
      <c r="F81" s="4" t="s">
        <v>1270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v>0</v>
      </c>
      <c r="W81" s="4">
        <v>0</v>
      </c>
      <c r="X81" s="4">
        <v>0</v>
      </c>
      <c r="Y81" s="4">
        <v>0</v>
      </c>
      <c r="Z81" s="4">
        <v>0</v>
      </c>
      <c r="AA81" s="4">
        <v>0</v>
      </c>
      <c r="AB81" s="4">
        <v>0</v>
      </c>
    </row>
    <row r="82" spans="1:28" x14ac:dyDescent="0.25">
      <c r="A82" s="3" t="s">
        <v>1318</v>
      </c>
      <c r="B82" s="3" t="s">
        <v>38</v>
      </c>
      <c r="C82" s="3">
        <v>26</v>
      </c>
      <c r="D82" s="3">
        <v>5</v>
      </c>
      <c r="E82" s="3" t="s">
        <v>227</v>
      </c>
      <c r="F82" s="3" t="s">
        <v>1270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v>0</v>
      </c>
      <c r="W82" s="3">
        <v>0</v>
      </c>
      <c r="X82" s="3">
        <v>0</v>
      </c>
      <c r="Y82" s="3">
        <v>0</v>
      </c>
      <c r="Z82" s="3">
        <v>0</v>
      </c>
      <c r="AA82" s="3">
        <v>0</v>
      </c>
      <c r="AB82" s="3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AB80"/>
  <sheetViews>
    <sheetView topLeftCell="G16" workbookViewId="0">
      <selection activeCell="AB46" sqref="AB46:AB51"/>
    </sheetView>
  </sheetViews>
  <sheetFormatPr defaultColWidth="11.42578125" defaultRowHeight="15" x14ac:dyDescent="0.25"/>
  <sheetData>
    <row r="1" spans="1:24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</row>
    <row r="2" spans="1:24" x14ac:dyDescent="0.25">
      <c r="A2" s="3" t="s">
        <v>1319</v>
      </c>
      <c r="B2" s="3" t="s">
        <v>1320</v>
      </c>
      <c r="C2" s="3" t="s">
        <v>26</v>
      </c>
      <c r="D2" s="3">
        <v>16</v>
      </c>
      <c r="E2" s="3">
        <v>472</v>
      </c>
      <c r="F2" s="3">
        <v>317</v>
      </c>
      <c r="G2" s="3">
        <v>3205</v>
      </c>
      <c r="H2" s="3">
        <v>15</v>
      </c>
      <c r="I2" s="3">
        <v>5</v>
      </c>
      <c r="J2" s="3">
        <v>120</v>
      </c>
      <c r="K2" s="3">
        <v>708</v>
      </c>
      <c r="L2" s="3">
        <v>7</v>
      </c>
      <c r="M2" s="3">
        <v>0</v>
      </c>
      <c r="N2" s="3">
        <v>0</v>
      </c>
      <c r="O2" s="3">
        <v>0</v>
      </c>
      <c r="P2" s="3">
        <v>0</v>
      </c>
      <c r="Q2" s="3">
        <v>3</v>
      </c>
      <c r="R2" s="3">
        <v>2</v>
      </c>
      <c r="S2" s="3">
        <v>289</v>
      </c>
      <c r="T2" s="3">
        <v>0</v>
      </c>
      <c r="U2" s="3">
        <v>5.9</v>
      </c>
      <c r="V2" s="3"/>
      <c r="W2" s="3">
        <v>0.67161016949152497</v>
      </c>
      <c r="X2" s="3">
        <v>3.17796610169492E-2</v>
      </c>
    </row>
    <row r="3" spans="1:24" x14ac:dyDescent="0.25">
      <c r="A3" s="4" t="s">
        <v>1321</v>
      </c>
      <c r="B3" s="4" t="s">
        <v>1320</v>
      </c>
      <c r="C3" s="4" t="s">
        <v>26</v>
      </c>
      <c r="D3" s="4">
        <v>1</v>
      </c>
      <c r="E3" s="4">
        <v>40</v>
      </c>
      <c r="F3" s="4">
        <v>23</v>
      </c>
      <c r="G3" s="4">
        <v>168</v>
      </c>
      <c r="H3" s="4">
        <v>1</v>
      </c>
      <c r="I3" s="4">
        <v>0</v>
      </c>
      <c r="J3" s="4">
        <v>6</v>
      </c>
      <c r="K3" s="4">
        <v>41</v>
      </c>
      <c r="L3" s="4">
        <v>1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20.82</v>
      </c>
      <c r="T3" s="4">
        <v>0</v>
      </c>
      <c r="U3" s="4">
        <v>6.8333333333333304</v>
      </c>
      <c r="V3" s="4"/>
      <c r="W3" s="4">
        <v>0.57499999999999996</v>
      </c>
      <c r="X3" s="4">
        <v>2.5000000000000001E-2</v>
      </c>
    </row>
    <row r="4" spans="1:24" x14ac:dyDescent="0.25">
      <c r="A4" s="3" t="s">
        <v>440</v>
      </c>
      <c r="B4" s="3" t="s">
        <v>1320</v>
      </c>
      <c r="C4" s="3" t="s">
        <v>26</v>
      </c>
      <c r="D4" s="3">
        <v>2</v>
      </c>
      <c r="E4" s="3">
        <v>8</v>
      </c>
      <c r="F4" s="3">
        <v>6</v>
      </c>
      <c r="G4" s="3">
        <v>58</v>
      </c>
      <c r="H4" s="3">
        <v>1</v>
      </c>
      <c r="I4" s="3">
        <v>1</v>
      </c>
      <c r="J4" s="3">
        <v>5</v>
      </c>
      <c r="K4" s="3">
        <v>70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1</v>
      </c>
      <c r="R4" s="3">
        <v>1</v>
      </c>
      <c r="S4" s="3">
        <v>11.32</v>
      </c>
      <c r="T4" s="3">
        <v>0</v>
      </c>
      <c r="U4" s="3">
        <v>14</v>
      </c>
      <c r="V4" s="3"/>
      <c r="W4" s="3">
        <v>0.75</v>
      </c>
      <c r="X4" s="3">
        <v>0.125</v>
      </c>
    </row>
    <row r="5" spans="1:24" x14ac:dyDescent="0.25">
      <c r="A5" s="4" t="s">
        <v>1322</v>
      </c>
      <c r="B5" s="4" t="s">
        <v>1320</v>
      </c>
      <c r="C5" s="4" t="s">
        <v>31</v>
      </c>
      <c r="D5" s="4">
        <v>8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31</v>
      </c>
      <c r="K5" s="4">
        <v>141</v>
      </c>
      <c r="L5" s="4">
        <v>1</v>
      </c>
      <c r="M5" s="4">
        <v>8</v>
      </c>
      <c r="N5" s="4">
        <v>5</v>
      </c>
      <c r="O5" s="4">
        <v>39</v>
      </c>
      <c r="P5" s="4">
        <v>0</v>
      </c>
      <c r="Q5" s="4">
        <v>0</v>
      </c>
      <c r="R5" s="4">
        <v>0</v>
      </c>
      <c r="S5" s="4">
        <v>29</v>
      </c>
      <c r="T5" s="4">
        <v>1.5625E-2</v>
      </c>
      <c r="U5" s="4">
        <v>4.5483870967741904</v>
      </c>
      <c r="V5" s="4">
        <v>7.8</v>
      </c>
      <c r="W5" s="4"/>
      <c r="X5" s="4"/>
    </row>
    <row r="6" spans="1:24" x14ac:dyDescent="0.25">
      <c r="A6" s="3" t="s">
        <v>1323</v>
      </c>
      <c r="B6" s="3" t="s">
        <v>1320</v>
      </c>
      <c r="C6" s="3" t="s">
        <v>31</v>
      </c>
      <c r="D6" s="3">
        <v>17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54</v>
      </c>
      <c r="K6" s="3">
        <v>220</v>
      </c>
      <c r="L6" s="3">
        <v>1</v>
      </c>
      <c r="M6" s="3">
        <v>25</v>
      </c>
      <c r="N6" s="3">
        <v>20</v>
      </c>
      <c r="O6" s="3">
        <v>118</v>
      </c>
      <c r="P6" s="3">
        <v>0</v>
      </c>
      <c r="Q6" s="3">
        <v>0</v>
      </c>
      <c r="R6" s="3">
        <v>0</v>
      </c>
      <c r="S6" s="3">
        <v>59.8</v>
      </c>
      <c r="T6" s="3">
        <v>4.8828125E-2</v>
      </c>
      <c r="U6" s="3">
        <v>4.07407407407407</v>
      </c>
      <c r="V6" s="3">
        <v>5.9</v>
      </c>
      <c r="W6" s="3"/>
      <c r="X6" s="3"/>
    </row>
    <row r="7" spans="1:24" x14ac:dyDescent="0.25">
      <c r="A7" s="4" t="s">
        <v>1324</v>
      </c>
      <c r="B7" s="4" t="s">
        <v>1320</v>
      </c>
      <c r="C7" s="4" t="s">
        <v>31</v>
      </c>
      <c r="D7" s="4">
        <v>16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295</v>
      </c>
      <c r="K7" s="4">
        <v>1312</v>
      </c>
      <c r="L7" s="4">
        <v>10</v>
      </c>
      <c r="M7" s="4">
        <v>76</v>
      </c>
      <c r="N7" s="4">
        <v>57</v>
      </c>
      <c r="O7" s="4">
        <v>338</v>
      </c>
      <c r="P7" s="4">
        <v>0</v>
      </c>
      <c r="Q7" s="4">
        <v>0</v>
      </c>
      <c r="R7" s="4">
        <v>0</v>
      </c>
      <c r="S7" s="4">
        <v>284</v>
      </c>
      <c r="T7" s="4">
        <v>0.1484375</v>
      </c>
      <c r="U7" s="4">
        <v>4.4474576271186397</v>
      </c>
      <c r="V7" s="4">
        <v>5.9298245614035103</v>
      </c>
      <c r="W7" s="4"/>
      <c r="X7" s="4"/>
    </row>
    <row r="8" spans="1:24" x14ac:dyDescent="0.25">
      <c r="A8" s="3" t="s">
        <v>1325</v>
      </c>
      <c r="B8" s="3" t="s">
        <v>1320</v>
      </c>
      <c r="C8" s="3" t="s">
        <v>38</v>
      </c>
      <c r="D8" s="3">
        <v>7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8</v>
      </c>
      <c r="N8" s="3">
        <v>7</v>
      </c>
      <c r="O8" s="3">
        <v>65</v>
      </c>
      <c r="P8" s="3">
        <v>1</v>
      </c>
      <c r="Q8" s="3">
        <v>0</v>
      </c>
      <c r="R8" s="3">
        <v>0</v>
      </c>
      <c r="S8" s="3">
        <v>19.5</v>
      </c>
      <c r="T8" s="3">
        <v>1.5625E-2</v>
      </c>
      <c r="U8" s="3"/>
      <c r="V8" s="3">
        <v>9.28571428571429</v>
      </c>
      <c r="W8" s="3"/>
      <c r="X8" s="3"/>
    </row>
    <row r="9" spans="1:24" x14ac:dyDescent="0.25">
      <c r="A9" s="4" t="s">
        <v>1326</v>
      </c>
      <c r="B9" s="4" t="s">
        <v>1320</v>
      </c>
      <c r="C9" s="4" t="s">
        <v>38</v>
      </c>
      <c r="D9" s="4">
        <v>11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1</v>
      </c>
      <c r="K9" s="4">
        <v>2</v>
      </c>
      <c r="L9" s="4">
        <v>1</v>
      </c>
      <c r="M9" s="4">
        <v>35</v>
      </c>
      <c r="N9" s="4">
        <v>30</v>
      </c>
      <c r="O9" s="4">
        <v>268</v>
      </c>
      <c r="P9" s="4">
        <v>2</v>
      </c>
      <c r="Q9" s="4">
        <v>0</v>
      </c>
      <c r="R9" s="4">
        <v>0</v>
      </c>
      <c r="S9" s="4">
        <v>75</v>
      </c>
      <c r="T9" s="4">
        <v>6.8359375E-2</v>
      </c>
      <c r="U9" s="4">
        <v>2</v>
      </c>
      <c r="V9" s="4">
        <v>8.93333333333333</v>
      </c>
      <c r="W9" s="4"/>
      <c r="X9" s="4"/>
    </row>
    <row r="10" spans="1:24" x14ac:dyDescent="0.25">
      <c r="A10" s="3" t="s">
        <v>1327</v>
      </c>
      <c r="B10" s="3" t="s">
        <v>1320</v>
      </c>
      <c r="C10" s="3" t="s">
        <v>38</v>
      </c>
      <c r="D10" s="3">
        <v>5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18</v>
      </c>
      <c r="N10" s="3">
        <v>13</v>
      </c>
      <c r="O10" s="3">
        <v>118</v>
      </c>
      <c r="P10" s="3">
        <v>1</v>
      </c>
      <c r="Q10" s="3">
        <v>0</v>
      </c>
      <c r="R10" s="3">
        <v>0</v>
      </c>
      <c r="S10" s="3">
        <v>30.8</v>
      </c>
      <c r="T10" s="3">
        <v>3.515625E-2</v>
      </c>
      <c r="U10" s="3"/>
      <c r="V10" s="3">
        <v>9.0769230769230802</v>
      </c>
      <c r="W10" s="3"/>
      <c r="X10" s="3"/>
    </row>
    <row r="11" spans="1:24" x14ac:dyDescent="0.25">
      <c r="A11" s="4" t="s">
        <v>1278</v>
      </c>
      <c r="B11" s="4" t="s">
        <v>1320</v>
      </c>
      <c r="C11" s="4" t="s">
        <v>38</v>
      </c>
      <c r="D11" s="4">
        <v>3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7</v>
      </c>
      <c r="N11" s="4">
        <v>4</v>
      </c>
      <c r="O11" s="4">
        <v>42</v>
      </c>
      <c r="P11" s="4">
        <v>0</v>
      </c>
      <c r="Q11" s="4">
        <v>0</v>
      </c>
      <c r="R11" s="4">
        <v>0</v>
      </c>
      <c r="S11" s="4">
        <v>8.1999999999999993</v>
      </c>
      <c r="T11" s="4">
        <v>1.3671875E-2</v>
      </c>
      <c r="U11" s="4"/>
      <c r="V11" s="4">
        <v>10.5</v>
      </c>
      <c r="W11" s="4"/>
      <c r="X11" s="4"/>
    </row>
    <row r="12" spans="1:24" x14ac:dyDescent="0.25">
      <c r="A12" s="3" t="s">
        <v>1328</v>
      </c>
      <c r="B12" s="3" t="s">
        <v>1320</v>
      </c>
      <c r="C12" s="3" t="s">
        <v>38</v>
      </c>
      <c r="D12" s="3">
        <v>6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15</v>
      </c>
      <c r="N12" s="3">
        <v>10</v>
      </c>
      <c r="O12" s="3">
        <v>132</v>
      </c>
      <c r="P12" s="3">
        <v>0</v>
      </c>
      <c r="Q12" s="3">
        <v>0</v>
      </c>
      <c r="R12" s="3">
        <v>0</v>
      </c>
      <c r="S12" s="3">
        <v>23.2</v>
      </c>
      <c r="T12" s="3">
        <v>2.9296875E-2</v>
      </c>
      <c r="U12" s="3"/>
      <c r="V12" s="3">
        <v>13.2</v>
      </c>
      <c r="W12" s="3"/>
      <c r="X12" s="3"/>
    </row>
    <row r="13" spans="1:24" x14ac:dyDescent="0.25">
      <c r="A13" s="4" t="s">
        <v>1329</v>
      </c>
      <c r="B13" s="4" t="s">
        <v>1320</v>
      </c>
      <c r="C13" s="4" t="s">
        <v>43</v>
      </c>
      <c r="D13" s="4">
        <v>7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17</v>
      </c>
      <c r="N13" s="4">
        <v>11</v>
      </c>
      <c r="O13" s="4">
        <v>106</v>
      </c>
      <c r="P13" s="4">
        <v>0</v>
      </c>
      <c r="Q13" s="4">
        <v>0</v>
      </c>
      <c r="R13" s="4">
        <v>0</v>
      </c>
      <c r="S13" s="4">
        <v>21.6</v>
      </c>
      <c r="T13" s="4">
        <v>3.3203125E-2</v>
      </c>
      <c r="U13" s="4"/>
      <c r="V13" s="4">
        <v>9.6363636363636402</v>
      </c>
      <c r="W13" s="4"/>
      <c r="X13" s="4"/>
    </row>
    <row r="14" spans="1:24" x14ac:dyDescent="0.25">
      <c r="A14" s="3" t="s">
        <v>1330</v>
      </c>
      <c r="B14" s="3" t="s">
        <v>1320</v>
      </c>
      <c r="C14" s="3" t="s">
        <v>43</v>
      </c>
      <c r="D14" s="3">
        <v>13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71</v>
      </c>
      <c r="N14" s="3">
        <v>46</v>
      </c>
      <c r="O14" s="3">
        <v>724</v>
      </c>
      <c r="P14" s="3">
        <v>2</v>
      </c>
      <c r="Q14" s="3">
        <v>0</v>
      </c>
      <c r="R14" s="3">
        <v>0</v>
      </c>
      <c r="S14" s="3">
        <v>128.4</v>
      </c>
      <c r="T14" s="3">
        <v>0.138671875</v>
      </c>
      <c r="U14" s="3"/>
      <c r="V14" s="3">
        <v>15.7391304347826</v>
      </c>
      <c r="W14" s="3"/>
      <c r="X14" s="3"/>
    </row>
    <row r="15" spans="1:24" x14ac:dyDescent="0.25">
      <c r="A15" s="4" t="s">
        <v>263</v>
      </c>
      <c r="B15" s="4" t="s">
        <v>1320</v>
      </c>
      <c r="C15" s="4" t="s">
        <v>43</v>
      </c>
      <c r="D15" s="4">
        <v>8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42</v>
      </c>
      <c r="N15" s="4">
        <v>33</v>
      </c>
      <c r="O15" s="4">
        <v>351</v>
      </c>
      <c r="P15" s="4">
        <v>4</v>
      </c>
      <c r="Q15" s="4">
        <v>0</v>
      </c>
      <c r="R15" s="4">
        <v>0</v>
      </c>
      <c r="S15" s="4">
        <v>92.1</v>
      </c>
      <c r="T15" s="4">
        <v>8.203125E-2</v>
      </c>
      <c r="U15" s="4"/>
      <c r="V15" s="4">
        <v>10.636363636363599</v>
      </c>
      <c r="W15" s="4"/>
      <c r="X15" s="4"/>
    </row>
    <row r="16" spans="1:24" x14ac:dyDescent="0.25">
      <c r="A16" s="3" t="s">
        <v>1331</v>
      </c>
      <c r="B16" s="3" t="s">
        <v>1320</v>
      </c>
      <c r="C16" s="3" t="s">
        <v>43</v>
      </c>
      <c r="D16" s="3">
        <v>6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17</v>
      </c>
      <c r="N16" s="3">
        <v>6</v>
      </c>
      <c r="O16" s="3">
        <v>81</v>
      </c>
      <c r="P16" s="3">
        <v>1</v>
      </c>
      <c r="Q16" s="3">
        <v>0</v>
      </c>
      <c r="R16" s="3">
        <v>0</v>
      </c>
      <c r="S16" s="3">
        <v>20.100000000000001</v>
      </c>
      <c r="T16" s="3">
        <v>3.3203125E-2</v>
      </c>
      <c r="U16" s="3"/>
      <c r="V16" s="3">
        <v>13.5</v>
      </c>
      <c r="W16" s="3"/>
      <c r="X16" s="3"/>
    </row>
    <row r="17" spans="1:24" x14ac:dyDescent="0.25">
      <c r="A17" s="4" t="s">
        <v>929</v>
      </c>
      <c r="B17" s="4" t="s">
        <v>1320</v>
      </c>
      <c r="C17" s="4" t="s">
        <v>43</v>
      </c>
      <c r="D17" s="4">
        <v>2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2</v>
      </c>
      <c r="K17" s="4">
        <v>23</v>
      </c>
      <c r="L17" s="4">
        <v>0</v>
      </c>
      <c r="M17" s="4">
        <v>3</v>
      </c>
      <c r="N17" s="4">
        <v>2</v>
      </c>
      <c r="O17" s="4">
        <v>0</v>
      </c>
      <c r="P17" s="4">
        <v>0</v>
      </c>
      <c r="Q17" s="4">
        <v>0</v>
      </c>
      <c r="R17" s="4">
        <v>0</v>
      </c>
      <c r="S17" s="4">
        <v>4.3</v>
      </c>
      <c r="T17" s="4">
        <v>5.859375E-3</v>
      </c>
      <c r="U17" s="4">
        <v>11.5</v>
      </c>
      <c r="V17" s="4">
        <v>0</v>
      </c>
      <c r="W17" s="4"/>
      <c r="X17" s="4"/>
    </row>
    <row r="18" spans="1:24" x14ac:dyDescent="0.25">
      <c r="A18" s="3" t="s">
        <v>1332</v>
      </c>
      <c r="B18" s="3" t="s">
        <v>1320</v>
      </c>
      <c r="C18" s="3" t="s">
        <v>43</v>
      </c>
      <c r="D18" s="3">
        <v>5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22</v>
      </c>
      <c r="N18" s="3">
        <v>9</v>
      </c>
      <c r="O18" s="3">
        <v>99</v>
      </c>
      <c r="P18" s="3">
        <v>0</v>
      </c>
      <c r="Q18" s="3">
        <v>0</v>
      </c>
      <c r="R18" s="3">
        <v>0</v>
      </c>
      <c r="S18" s="3">
        <v>18.899999999999999</v>
      </c>
      <c r="T18" s="3">
        <v>4.296875E-2</v>
      </c>
      <c r="U18" s="3"/>
      <c r="V18" s="3">
        <v>11</v>
      </c>
      <c r="W18" s="3"/>
      <c r="X18" s="3"/>
    </row>
    <row r="19" spans="1:24" x14ac:dyDescent="0.25">
      <c r="A19" s="4" t="s">
        <v>1333</v>
      </c>
      <c r="B19" s="4" t="s">
        <v>1320</v>
      </c>
      <c r="C19" s="4" t="s">
        <v>43</v>
      </c>
      <c r="D19" s="4">
        <v>14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2</v>
      </c>
      <c r="K19" s="4">
        <v>6</v>
      </c>
      <c r="L19" s="4">
        <v>0</v>
      </c>
      <c r="M19" s="4">
        <v>70</v>
      </c>
      <c r="N19" s="4">
        <v>57</v>
      </c>
      <c r="O19" s="4">
        <v>569</v>
      </c>
      <c r="P19" s="4">
        <v>4</v>
      </c>
      <c r="Q19" s="4">
        <v>0</v>
      </c>
      <c r="R19" s="4">
        <v>0</v>
      </c>
      <c r="S19" s="4">
        <v>138.5</v>
      </c>
      <c r="T19" s="4">
        <v>0.13671875</v>
      </c>
      <c r="U19" s="4">
        <v>3</v>
      </c>
      <c r="V19" s="4">
        <v>9.9824561403508802</v>
      </c>
      <c r="W19" s="4"/>
      <c r="X19" s="4"/>
    </row>
    <row r="20" spans="1:24" x14ac:dyDescent="0.25">
      <c r="A20" s="3" t="s">
        <v>1334</v>
      </c>
      <c r="B20" s="3" t="s">
        <v>1320</v>
      </c>
      <c r="C20" s="3" t="s">
        <v>43</v>
      </c>
      <c r="D20" s="3">
        <v>3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24</v>
      </c>
      <c r="N20" s="3">
        <v>13</v>
      </c>
      <c r="O20" s="3">
        <v>154</v>
      </c>
      <c r="P20" s="3">
        <v>1</v>
      </c>
      <c r="Q20" s="3">
        <v>0</v>
      </c>
      <c r="R20" s="3">
        <v>0</v>
      </c>
      <c r="S20" s="3">
        <v>34.4</v>
      </c>
      <c r="T20" s="3">
        <v>4.6875E-2</v>
      </c>
      <c r="U20" s="3"/>
      <c r="V20" s="3">
        <v>11.846153846153801</v>
      </c>
      <c r="W20" s="3"/>
      <c r="X20" s="3"/>
    </row>
    <row r="21" spans="1:24" x14ac:dyDescent="0.25">
      <c r="A21" s="4" t="s">
        <v>1335</v>
      </c>
      <c r="B21" s="4" t="s">
        <v>1320</v>
      </c>
      <c r="C21" s="4" t="s">
        <v>43</v>
      </c>
      <c r="D21" s="4">
        <v>6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2</v>
      </c>
      <c r="K21" s="4">
        <v>-1</v>
      </c>
      <c r="L21" s="4">
        <v>0</v>
      </c>
      <c r="M21" s="4">
        <v>31</v>
      </c>
      <c r="N21" s="4">
        <v>23</v>
      </c>
      <c r="O21" s="4">
        <v>227</v>
      </c>
      <c r="P21" s="4">
        <v>1</v>
      </c>
      <c r="Q21" s="4">
        <v>0</v>
      </c>
      <c r="R21" s="4">
        <v>0</v>
      </c>
      <c r="S21" s="4">
        <v>51.6</v>
      </c>
      <c r="T21" s="4">
        <v>6.0546875E-2</v>
      </c>
      <c r="U21" s="4">
        <v>-0.5</v>
      </c>
      <c r="V21" s="4">
        <v>9.8695652173912993</v>
      </c>
      <c r="W21" s="4"/>
      <c r="X21" s="4"/>
    </row>
    <row r="30" spans="1:24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</row>
    <row r="31" spans="1:24" x14ac:dyDescent="0.25">
      <c r="A31" s="3" t="s">
        <v>1320</v>
      </c>
      <c r="B31" s="3">
        <v>5953</v>
      </c>
      <c r="C31" s="3">
        <v>3431</v>
      </c>
      <c r="D31" s="3">
        <v>518</v>
      </c>
      <c r="E31" s="3">
        <v>2522</v>
      </c>
      <c r="F31" s="3">
        <v>21</v>
      </c>
      <c r="G31" s="3">
        <v>1360.54</v>
      </c>
      <c r="H31" s="3">
        <v>520</v>
      </c>
      <c r="I31" s="3">
        <v>0.66538461538461502</v>
      </c>
      <c r="J31" s="3">
        <v>17</v>
      </c>
      <c r="K31" s="3">
        <v>6</v>
      </c>
      <c r="L31" s="3">
        <v>4</v>
      </c>
    </row>
    <row r="32" spans="1:24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</row>
    <row r="33" spans="1:28" x14ac:dyDescent="0.25">
      <c r="A33" s="3" t="str">
        <f>A31</f>
        <v>NYG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1336</v>
      </c>
      <c r="B36" s="3" t="s">
        <v>26</v>
      </c>
      <c r="C36" s="3">
        <v>25</v>
      </c>
      <c r="D36" s="3">
        <v>0</v>
      </c>
      <c r="E36" s="3" t="s">
        <v>446</v>
      </c>
      <c r="F36" s="3" t="s">
        <v>1320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">
        <v>0</v>
      </c>
      <c r="X36" s="3">
        <v>0</v>
      </c>
      <c r="Y36" s="3">
        <v>0</v>
      </c>
      <c r="Z36" s="3">
        <v>0</v>
      </c>
      <c r="AA36" s="3">
        <v>0</v>
      </c>
      <c r="AB36" s="3">
        <v>0</v>
      </c>
    </row>
    <row r="37" spans="1:28" x14ac:dyDescent="0.25">
      <c r="A37" s="4" t="s">
        <v>1337</v>
      </c>
      <c r="B37" s="4" t="s">
        <v>26</v>
      </c>
      <c r="C37" s="4">
        <v>26</v>
      </c>
      <c r="D37" s="4">
        <v>5</v>
      </c>
      <c r="E37" s="4" t="s">
        <v>697</v>
      </c>
      <c r="F37" s="4" t="s">
        <v>1320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</row>
    <row r="38" spans="1:28" x14ac:dyDescent="0.25">
      <c r="A38" s="3" t="s">
        <v>1338</v>
      </c>
      <c r="B38" s="3" t="s">
        <v>26</v>
      </c>
      <c r="C38" s="3">
        <v>34</v>
      </c>
      <c r="D38" s="3">
        <v>13</v>
      </c>
      <c r="E38" s="3" t="s">
        <v>333</v>
      </c>
      <c r="F38" s="3" t="s">
        <v>1320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v>0</v>
      </c>
      <c r="W38" s="3">
        <v>0</v>
      </c>
      <c r="X38" s="3">
        <v>0</v>
      </c>
      <c r="Y38" s="3">
        <v>0</v>
      </c>
      <c r="Z38" s="3">
        <v>0</v>
      </c>
      <c r="AA38" s="3">
        <v>0</v>
      </c>
      <c r="AB38" s="3"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1339</v>
      </c>
      <c r="B46" s="3" t="s">
        <v>31</v>
      </c>
      <c r="C46" s="3">
        <v>26</v>
      </c>
      <c r="D46" s="3">
        <v>6</v>
      </c>
      <c r="E46" s="3" t="s">
        <v>339</v>
      </c>
      <c r="F46" s="3" t="s">
        <v>1320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v>0</v>
      </c>
      <c r="W46" s="3">
        <v>0</v>
      </c>
      <c r="X46" s="3">
        <v>0</v>
      </c>
      <c r="Y46" s="3">
        <v>0</v>
      </c>
      <c r="Z46" s="3">
        <v>0</v>
      </c>
      <c r="AA46" s="3">
        <v>0</v>
      </c>
      <c r="AB46" s="3">
        <f t="shared" ref="AB46:AB51" si="0">($J46*Cp_yd)+($K46*Cp_td)+($L46*Cint)+($M46*Ccar)+($N46*Cr_td)+($O46*Cr_yd)+(Q46*Crec)+($R46*Crec_yd)+($S46*Crec_td)+($T46*Cfmb)+($U46*Ctp_c)</f>
        <v>0</v>
      </c>
    </row>
    <row r="47" spans="1:28" x14ac:dyDescent="0.25">
      <c r="A47" s="4" t="s">
        <v>1340</v>
      </c>
      <c r="B47" s="4" t="s">
        <v>31</v>
      </c>
      <c r="C47" s="4">
        <v>28</v>
      </c>
      <c r="D47" s="4">
        <v>7</v>
      </c>
      <c r="E47" s="4" t="s">
        <v>939</v>
      </c>
      <c r="F47" s="4" t="s">
        <v>1320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f t="shared" si="0"/>
        <v>0</v>
      </c>
    </row>
    <row r="48" spans="1:28" x14ac:dyDescent="0.25">
      <c r="A48" s="3" t="s">
        <v>1341</v>
      </c>
      <c r="B48" s="3" t="s">
        <v>31</v>
      </c>
      <c r="C48" s="3">
        <v>25</v>
      </c>
      <c r="D48" s="3">
        <v>3</v>
      </c>
      <c r="E48" s="3" t="s">
        <v>1247</v>
      </c>
      <c r="F48" s="3" t="s">
        <v>1320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v>0</v>
      </c>
      <c r="W48" s="3">
        <v>0</v>
      </c>
      <c r="X48" s="3">
        <v>0</v>
      </c>
      <c r="Y48" s="3">
        <v>0</v>
      </c>
      <c r="Z48" s="3">
        <v>0</v>
      </c>
      <c r="AA48" s="3">
        <v>0</v>
      </c>
      <c r="AB48" s="3">
        <f t="shared" si="0"/>
        <v>0</v>
      </c>
    </row>
    <row r="49" spans="1:28" x14ac:dyDescent="0.25">
      <c r="A49" s="4" t="s">
        <v>1342</v>
      </c>
      <c r="B49" s="4" t="s">
        <v>31</v>
      </c>
      <c r="C49" s="4">
        <v>22</v>
      </c>
      <c r="D49" s="4">
        <v>1</v>
      </c>
      <c r="E49" s="4" t="s">
        <v>1012</v>
      </c>
      <c r="F49" s="4" t="s">
        <v>1320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B49" s="4">
        <f t="shared" si="0"/>
        <v>0</v>
      </c>
    </row>
    <row r="50" spans="1:28" x14ac:dyDescent="0.25">
      <c r="A50" s="3" t="s">
        <v>1343</v>
      </c>
      <c r="B50" s="3" t="s">
        <v>31</v>
      </c>
      <c r="C50" s="3">
        <v>23</v>
      </c>
      <c r="D50" s="3">
        <v>0</v>
      </c>
      <c r="E50" s="3" t="s">
        <v>68</v>
      </c>
      <c r="F50" s="3" t="s">
        <v>1320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v>0</v>
      </c>
      <c r="W50" s="3">
        <v>0</v>
      </c>
      <c r="X50" s="3">
        <v>0</v>
      </c>
      <c r="Y50" s="3">
        <v>0</v>
      </c>
      <c r="Z50" s="3">
        <v>0</v>
      </c>
      <c r="AA50" s="3">
        <v>0</v>
      </c>
      <c r="AB50" s="3">
        <f t="shared" si="0"/>
        <v>0</v>
      </c>
    </row>
    <row r="51" spans="1:28" x14ac:dyDescent="0.25">
      <c r="A51" s="4" t="s">
        <v>1344</v>
      </c>
      <c r="B51" s="4" t="s">
        <v>31</v>
      </c>
      <c r="C51" s="4">
        <v>25</v>
      </c>
      <c r="D51" s="4">
        <v>4</v>
      </c>
      <c r="E51" s="4" t="s">
        <v>1345</v>
      </c>
      <c r="F51" s="4" t="s">
        <v>1320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v>0</v>
      </c>
      <c r="W51" s="4">
        <v>0</v>
      </c>
      <c r="X51" s="4">
        <v>0</v>
      </c>
      <c r="Y51" s="4">
        <v>0</v>
      </c>
      <c r="Z51" s="4">
        <v>0</v>
      </c>
      <c r="AA51" s="4">
        <v>0</v>
      </c>
      <c r="AB51" s="4">
        <f t="shared" si="0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1346</v>
      </c>
      <c r="B61" s="3" t="s">
        <v>43</v>
      </c>
      <c r="C61" s="3">
        <v>34</v>
      </c>
      <c r="D61" s="3">
        <v>12</v>
      </c>
      <c r="E61" s="3" t="s">
        <v>237</v>
      </c>
      <c r="F61" s="3" t="s">
        <v>1320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v>0</v>
      </c>
      <c r="W61" s="3">
        <v>0</v>
      </c>
      <c r="X61" s="3">
        <v>0</v>
      </c>
      <c r="Y61" s="3">
        <v>0</v>
      </c>
      <c r="Z61" s="3">
        <v>0</v>
      </c>
      <c r="AA61" s="3">
        <v>0</v>
      </c>
      <c r="AB61" s="3">
        <v>0</v>
      </c>
    </row>
    <row r="62" spans="1:28" x14ac:dyDescent="0.25">
      <c r="A62" s="4" t="s">
        <v>1347</v>
      </c>
      <c r="B62" s="4" t="s">
        <v>43</v>
      </c>
      <c r="C62" s="4">
        <v>26</v>
      </c>
      <c r="D62" s="4">
        <v>5</v>
      </c>
      <c r="E62" s="4" t="s">
        <v>213</v>
      </c>
      <c r="F62" s="4" t="s">
        <v>1320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0</v>
      </c>
      <c r="X62" s="4">
        <v>0</v>
      </c>
      <c r="Y62" s="4">
        <v>0</v>
      </c>
      <c r="Z62" s="4">
        <v>0</v>
      </c>
      <c r="AA62" s="4">
        <v>0</v>
      </c>
      <c r="AB62" s="4">
        <v>0</v>
      </c>
    </row>
    <row r="63" spans="1:28" x14ac:dyDescent="0.25">
      <c r="A63" s="3" t="s">
        <v>1348</v>
      </c>
      <c r="B63" s="3" t="s">
        <v>43</v>
      </c>
      <c r="C63" s="3">
        <v>30</v>
      </c>
      <c r="D63" s="3">
        <v>9</v>
      </c>
      <c r="E63" s="3" t="s">
        <v>697</v>
      </c>
      <c r="F63" s="3" t="s">
        <v>1320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v>0</v>
      </c>
      <c r="W63" s="3">
        <v>0</v>
      </c>
      <c r="X63" s="3">
        <v>0</v>
      </c>
      <c r="Y63" s="3">
        <v>0</v>
      </c>
      <c r="Z63" s="3">
        <v>0</v>
      </c>
      <c r="AA63" s="3">
        <v>0</v>
      </c>
      <c r="AB63" s="3">
        <v>0</v>
      </c>
    </row>
    <row r="64" spans="1:28" x14ac:dyDescent="0.25">
      <c r="A64" s="4" t="s">
        <v>1349</v>
      </c>
      <c r="B64" s="4" t="s">
        <v>43</v>
      </c>
      <c r="C64" s="4">
        <v>23</v>
      </c>
      <c r="D64" s="4">
        <v>0</v>
      </c>
      <c r="E64" s="4" t="s">
        <v>344</v>
      </c>
      <c r="F64" s="4" t="s">
        <v>1320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</row>
    <row r="65" spans="1:28" x14ac:dyDescent="0.25">
      <c r="A65" s="3" t="s">
        <v>1350</v>
      </c>
      <c r="B65" s="3" t="s">
        <v>43</v>
      </c>
      <c r="C65" s="3">
        <v>24</v>
      </c>
      <c r="D65" s="3">
        <v>3</v>
      </c>
      <c r="E65" s="3" t="s">
        <v>111</v>
      </c>
      <c r="F65" s="3" t="s">
        <v>1320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v>0</v>
      </c>
      <c r="W65" s="3">
        <v>0</v>
      </c>
      <c r="X65" s="3">
        <v>0</v>
      </c>
      <c r="Y65" s="3">
        <v>0</v>
      </c>
      <c r="Z65" s="3">
        <v>0</v>
      </c>
      <c r="AA65" s="3">
        <v>0</v>
      </c>
      <c r="AB65" s="3">
        <v>0</v>
      </c>
    </row>
    <row r="66" spans="1:28" x14ac:dyDescent="0.25">
      <c r="A66" s="4" t="s">
        <v>1351</v>
      </c>
      <c r="B66" s="4" t="s">
        <v>43</v>
      </c>
      <c r="C66" s="4">
        <v>21</v>
      </c>
      <c r="D66" s="4">
        <v>0</v>
      </c>
      <c r="E66" s="4" t="s">
        <v>143</v>
      </c>
      <c r="F66" s="4" t="s">
        <v>1320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</row>
    <row r="67" spans="1:28" x14ac:dyDescent="0.25">
      <c r="A67" s="3" t="s">
        <v>1352</v>
      </c>
      <c r="B67" s="3" t="s">
        <v>43</v>
      </c>
      <c r="C67" s="3">
        <v>25</v>
      </c>
      <c r="D67" s="3">
        <v>4</v>
      </c>
      <c r="E67" s="3" t="s">
        <v>66</v>
      </c>
      <c r="F67" s="3" t="s">
        <v>1320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v>0</v>
      </c>
      <c r="W67" s="3">
        <v>0</v>
      </c>
      <c r="X67" s="3">
        <v>0</v>
      </c>
      <c r="Y67" s="3">
        <v>0</v>
      </c>
      <c r="Z67" s="3">
        <v>0</v>
      </c>
      <c r="AA67" s="3">
        <v>0</v>
      </c>
      <c r="AB67" s="3">
        <v>0</v>
      </c>
    </row>
    <row r="68" spans="1:28" x14ac:dyDescent="0.25">
      <c r="A68" s="4" t="s">
        <v>1353</v>
      </c>
      <c r="B68" s="4" t="s">
        <v>43</v>
      </c>
      <c r="C68" s="4">
        <v>29</v>
      </c>
      <c r="D68" s="4">
        <v>5</v>
      </c>
      <c r="E68" s="4" t="s">
        <v>86</v>
      </c>
      <c r="F68" s="4" t="s">
        <v>1320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0</v>
      </c>
      <c r="X68" s="4">
        <v>0</v>
      </c>
      <c r="Y68" s="4">
        <v>0</v>
      </c>
      <c r="Z68" s="4">
        <v>0</v>
      </c>
      <c r="AA68" s="4">
        <v>0</v>
      </c>
      <c r="AB68" s="4">
        <v>0</v>
      </c>
    </row>
    <row r="69" spans="1:28" x14ac:dyDescent="0.25">
      <c r="A69" s="3" t="s">
        <v>1354</v>
      </c>
      <c r="B69" s="3" t="s">
        <v>43</v>
      </c>
      <c r="C69" s="3">
        <v>24</v>
      </c>
      <c r="D69" s="3">
        <v>1</v>
      </c>
      <c r="E69" s="3" t="s">
        <v>309</v>
      </c>
      <c r="F69" s="3" t="s">
        <v>1320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v>0</v>
      </c>
      <c r="W69" s="3">
        <v>0</v>
      </c>
      <c r="X69" s="3">
        <v>0</v>
      </c>
      <c r="Y69" s="3">
        <v>0</v>
      </c>
      <c r="Z69" s="3">
        <v>0</v>
      </c>
      <c r="AA69" s="3">
        <v>0</v>
      </c>
      <c r="AB69" s="3">
        <v>0</v>
      </c>
    </row>
    <row r="70" spans="1:28" x14ac:dyDescent="0.25">
      <c r="A70" s="4" t="s">
        <v>1355</v>
      </c>
      <c r="B70" s="4" t="s">
        <v>43</v>
      </c>
      <c r="C70" s="4">
        <v>22</v>
      </c>
      <c r="D70" s="4">
        <v>2</v>
      </c>
      <c r="E70" s="4" t="s">
        <v>150</v>
      </c>
      <c r="F70" s="4" t="s">
        <v>1320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0</v>
      </c>
      <c r="X70" s="4">
        <v>0</v>
      </c>
      <c r="Y70" s="4">
        <v>0</v>
      </c>
      <c r="Z70" s="4">
        <v>0</v>
      </c>
      <c r="AA70" s="4">
        <v>0</v>
      </c>
      <c r="AB70" s="4">
        <v>0</v>
      </c>
    </row>
    <row r="71" spans="1:28" x14ac:dyDescent="0.25">
      <c r="A71" s="3" t="s">
        <v>1356</v>
      </c>
      <c r="B71" s="3" t="s">
        <v>43</v>
      </c>
      <c r="C71" s="3">
        <v>30</v>
      </c>
      <c r="D71" s="3">
        <v>8</v>
      </c>
      <c r="E71" s="3" t="s">
        <v>68</v>
      </c>
      <c r="F71" s="3" t="s">
        <v>1320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v>0</v>
      </c>
      <c r="W71" s="3">
        <v>0</v>
      </c>
      <c r="X71" s="3">
        <v>0</v>
      </c>
      <c r="Y71" s="3">
        <v>0</v>
      </c>
      <c r="Z71" s="3">
        <v>0</v>
      </c>
      <c r="AA71" s="3">
        <v>0</v>
      </c>
      <c r="AB71" s="3">
        <v>0</v>
      </c>
    </row>
    <row r="72" spans="1:28" x14ac:dyDescent="0.25">
      <c r="A72" s="4" t="s">
        <v>1357</v>
      </c>
      <c r="B72" s="4" t="s">
        <v>43</v>
      </c>
      <c r="C72" s="4">
        <v>27</v>
      </c>
      <c r="D72" s="4">
        <v>3</v>
      </c>
      <c r="E72" s="4" t="s">
        <v>344</v>
      </c>
      <c r="F72" s="4" t="s">
        <v>1320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v>0</v>
      </c>
      <c r="W72" s="4">
        <v>0</v>
      </c>
      <c r="X72" s="4">
        <v>0</v>
      </c>
      <c r="Y72" s="4">
        <v>0</v>
      </c>
      <c r="Z72" s="4">
        <v>0</v>
      </c>
      <c r="AA72" s="4">
        <v>0</v>
      </c>
      <c r="AB72" s="4">
        <v>0</v>
      </c>
    </row>
    <row r="73" spans="1:28" x14ac:dyDescent="0.25">
      <c r="A73" s="3" t="s">
        <v>1358</v>
      </c>
      <c r="B73" s="3" t="s">
        <v>43</v>
      </c>
      <c r="C73" s="3">
        <v>26</v>
      </c>
      <c r="D73" s="3">
        <v>5</v>
      </c>
      <c r="E73" s="3" t="s">
        <v>464</v>
      </c>
      <c r="F73" s="3" t="s">
        <v>1320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v>0</v>
      </c>
      <c r="W73" s="3">
        <v>0</v>
      </c>
      <c r="X73" s="3">
        <v>0</v>
      </c>
      <c r="Y73" s="3">
        <v>0</v>
      </c>
      <c r="Z73" s="3">
        <v>0</v>
      </c>
      <c r="AA73" s="3">
        <v>0</v>
      </c>
      <c r="AB73" s="3"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1359</v>
      </c>
      <c r="B76" s="3" t="s">
        <v>38</v>
      </c>
      <c r="C76" s="3">
        <v>22</v>
      </c>
      <c r="D76" s="3">
        <v>2</v>
      </c>
      <c r="E76" s="3" t="s">
        <v>795</v>
      </c>
      <c r="F76" s="3" t="s">
        <v>1320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v>0</v>
      </c>
      <c r="W76" s="3">
        <v>0</v>
      </c>
      <c r="X76" s="3">
        <v>0</v>
      </c>
      <c r="Y76" s="3">
        <v>0</v>
      </c>
      <c r="Z76" s="3">
        <v>0</v>
      </c>
      <c r="AA76" s="3">
        <v>0</v>
      </c>
      <c r="AB76" s="3">
        <v>0</v>
      </c>
    </row>
    <row r="77" spans="1:28" x14ac:dyDescent="0.25">
      <c r="A77" s="4" t="s">
        <v>1360</v>
      </c>
      <c r="B77" s="4" t="s">
        <v>38</v>
      </c>
      <c r="C77" s="4">
        <v>25</v>
      </c>
      <c r="D77" s="4">
        <v>3</v>
      </c>
      <c r="E77" s="4" t="s">
        <v>173</v>
      </c>
      <c r="F77" s="4" t="s">
        <v>1320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v>0</v>
      </c>
      <c r="W77" s="4">
        <v>0</v>
      </c>
      <c r="X77" s="4">
        <v>0</v>
      </c>
      <c r="Y77" s="4">
        <v>0</v>
      </c>
      <c r="Z77" s="4">
        <v>0</v>
      </c>
      <c r="AA77" s="4">
        <v>0</v>
      </c>
      <c r="AB77" s="4">
        <v>0</v>
      </c>
    </row>
    <row r="78" spans="1:28" x14ac:dyDescent="0.25">
      <c r="A78" s="3" t="s">
        <v>1361</v>
      </c>
      <c r="B78" s="3" t="s">
        <v>38</v>
      </c>
      <c r="C78" s="3">
        <v>23</v>
      </c>
      <c r="D78" s="3">
        <v>0</v>
      </c>
      <c r="E78" s="3" t="s">
        <v>220</v>
      </c>
      <c r="F78" s="3" t="s">
        <v>1320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v>0</v>
      </c>
      <c r="W78" s="3">
        <v>0</v>
      </c>
      <c r="X78" s="3">
        <v>0</v>
      </c>
      <c r="Y78" s="3">
        <v>0</v>
      </c>
      <c r="Z78" s="3">
        <v>0</v>
      </c>
      <c r="AA78" s="3">
        <v>0</v>
      </c>
      <c r="AB78" s="3">
        <v>0</v>
      </c>
    </row>
    <row r="79" spans="1:28" x14ac:dyDescent="0.25">
      <c r="A79" s="4" t="s">
        <v>1362</v>
      </c>
      <c r="B79" s="4" t="s">
        <v>38</v>
      </c>
      <c r="C79" s="4">
        <v>28</v>
      </c>
      <c r="D79" s="4">
        <v>5</v>
      </c>
      <c r="E79" s="4" t="s">
        <v>235</v>
      </c>
      <c r="F79" s="4" t="s">
        <v>1320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v>0</v>
      </c>
      <c r="W79" s="4">
        <v>0</v>
      </c>
      <c r="X79" s="4">
        <v>0</v>
      </c>
      <c r="Y79" s="4">
        <v>0</v>
      </c>
      <c r="Z79" s="4">
        <v>0</v>
      </c>
      <c r="AA79" s="4">
        <v>0</v>
      </c>
      <c r="AB79" s="4">
        <v>0</v>
      </c>
    </row>
    <row r="80" spans="1:28" x14ac:dyDescent="0.25">
      <c r="A80" s="3" t="s">
        <v>1363</v>
      </c>
      <c r="B80" s="3" t="s">
        <v>38</v>
      </c>
      <c r="C80" s="3">
        <v>30</v>
      </c>
      <c r="D80" s="3">
        <v>7</v>
      </c>
      <c r="E80" s="3" t="s">
        <v>455</v>
      </c>
      <c r="F80" s="3" t="s">
        <v>1320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v>0</v>
      </c>
      <c r="W80" s="3">
        <v>0</v>
      </c>
      <c r="X80" s="3">
        <v>0</v>
      </c>
      <c r="Y80" s="3">
        <v>0</v>
      </c>
      <c r="Z80" s="3">
        <v>0</v>
      </c>
      <c r="AA80" s="3">
        <v>0</v>
      </c>
      <c r="AB80" s="3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A1:AB81"/>
  <sheetViews>
    <sheetView topLeftCell="F16" workbookViewId="0">
      <selection activeCell="AB46" sqref="AB46:AB51"/>
    </sheetView>
  </sheetViews>
  <sheetFormatPr defaultColWidth="11.42578125" defaultRowHeight="15" x14ac:dyDescent="0.25"/>
  <sheetData>
    <row r="1" spans="1:24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</row>
    <row r="2" spans="1:24" x14ac:dyDescent="0.25">
      <c r="A2" s="3" t="s">
        <v>1364</v>
      </c>
      <c r="B2" s="3" t="s">
        <v>1365</v>
      </c>
      <c r="C2" s="3" t="s">
        <v>26</v>
      </c>
      <c r="D2" s="3">
        <v>1</v>
      </c>
      <c r="E2" s="3">
        <v>15</v>
      </c>
      <c r="F2" s="3">
        <v>10</v>
      </c>
      <c r="G2" s="3">
        <v>90</v>
      </c>
      <c r="H2" s="3">
        <v>0</v>
      </c>
      <c r="I2" s="3">
        <v>0</v>
      </c>
      <c r="J2" s="3">
        <v>9</v>
      </c>
      <c r="K2" s="3">
        <v>54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9</v>
      </c>
      <c r="T2" s="3">
        <v>0</v>
      </c>
      <c r="U2" s="3">
        <v>6</v>
      </c>
      <c r="V2" s="3"/>
      <c r="W2" s="3">
        <v>0.66666666666666696</v>
      </c>
      <c r="X2" s="3">
        <v>0</v>
      </c>
    </row>
    <row r="3" spans="1:24" x14ac:dyDescent="0.25">
      <c r="A3" s="4" t="s">
        <v>1366</v>
      </c>
      <c r="B3" s="4" t="s">
        <v>1365</v>
      </c>
      <c r="C3" s="4" t="s">
        <v>26</v>
      </c>
      <c r="D3" s="4">
        <v>5</v>
      </c>
      <c r="E3" s="4">
        <v>191</v>
      </c>
      <c r="F3" s="4">
        <v>110</v>
      </c>
      <c r="G3" s="4">
        <v>1051</v>
      </c>
      <c r="H3" s="4">
        <v>5</v>
      </c>
      <c r="I3" s="4">
        <v>3</v>
      </c>
      <c r="J3" s="4">
        <v>3</v>
      </c>
      <c r="K3" s="4">
        <v>6</v>
      </c>
      <c r="L3" s="4">
        <v>0</v>
      </c>
      <c r="M3" s="4">
        <v>1</v>
      </c>
      <c r="N3" s="4">
        <v>1</v>
      </c>
      <c r="O3" s="4">
        <v>-16</v>
      </c>
      <c r="P3" s="4">
        <v>0</v>
      </c>
      <c r="Q3" s="4">
        <v>4</v>
      </c>
      <c r="R3" s="4">
        <v>0</v>
      </c>
      <c r="S3" s="4">
        <v>48.04</v>
      </c>
      <c r="T3" s="4">
        <v>1.9230769230769199E-3</v>
      </c>
      <c r="U3" s="4">
        <v>2</v>
      </c>
      <c r="V3" s="4">
        <v>-16</v>
      </c>
      <c r="W3" s="4">
        <v>0.57591623036649198</v>
      </c>
      <c r="X3" s="4">
        <v>2.6178010471204199E-2</v>
      </c>
    </row>
    <row r="4" spans="1:24" x14ac:dyDescent="0.25">
      <c r="A4" s="3" t="s">
        <v>1367</v>
      </c>
      <c r="B4" s="3" t="s">
        <v>1365</v>
      </c>
      <c r="C4" s="3" t="s">
        <v>26</v>
      </c>
      <c r="D4" s="3">
        <v>4</v>
      </c>
      <c r="E4" s="3">
        <v>175</v>
      </c>
      <c r="F4" s="3">
        <v>103</v>
      </c>
      <c r="G4" s="3">
        <v>1192</v>
      </c>
      <c r="H4" s="3">
        <v>3</v>
      </c>
      <c r="I4" s="3">
        <v>4</v>
      </c>
      <c r="J4" s="3">
        <v>6</v>
      </c>
      <c r="K4" s="3">
        <v>9</v>
      </c>
      <c r="L4" s="3">
        <v>1</v>
      </c>
      <c r="M4" s="3">
        <v>0</v>
      </c>
      <c r="N4" s="3">
        <v>0</v>
      </c>
      <c r="O4" s="3">
        <v>0</v>
      </c>
      <c r="P4" s="3">
        <v>0</v>
      </c>
      <c r="Q4" s="3">
        <v>1</v>
      </c>
      <c r="R4" s="3">
        <v>0</v>
      </c>
      <c r="S4" s="3">
        <v>56.58</v>
      </c>
      <c r="T4" s="3">
        <v>0</v>
      </c>
      <c r="U4" s="3">
        <v>1.5</v>
      </c>
      <c r="V4" s="3"/>
      <c r="W4" s="3">
        <v>0.58857142857142897</v>
      </c>
      <c r="X4" s="3">
        <v>1.7142857142857099E-2</v>
      </c>
    </row>
    <row r="5" spans="1:24" x14ac:dyDescent="0.25">
      <c r="A5" s="4" t="s">
        <v>1368</v>
      </c>
      <c r="B5" s="4" t="s">
        <v>1365</v>
      </c>
      <c r="C5" s="4" t="s">
        <v>26</v>
      </c>
      <c r="D5" s="4">
        <v>9</v>
      </c>
      <c r="E5" s="4">
        <v>242</v>
      </c>
      <c r="F5" s="4">
        <v>132</v>
      </c>
      <c r="G5" s="4">
        <v>1688</v>
      </c>
      <c r="H5" s="4">
        <v>6</v>
      </c>
      <c r="I5" s="4">
        <v>7</v>
      </c>
      <c r="J5" s="4">
        <v>28</v>
      </c>
      <c r="K5" s="4">
        <v>102</v>
      </c>
      <c r="L5" s="4">
        <v>1</v>
      </c>
      <c r="M5" s="4">
        <v>1</v>
      </c>
      <c r="N5" s="4">
        <v>1</v>
      </c>
      <c r="O5" s="4">
        <v>2</v>
      </c>
      <c r="P5" s="4">
        <v>1</v>
      </c>
      <c r="Q5" s="4">
        <v>1</v>
      </c>
      <c r="R5" s="4">
        <v>0</v>
      </c>
      <c r="S5" s="4">
        <v>98.92</v>
      </c>
      <c r="T5" s="4">
        <v>1.9230769230769199E-3</v>
      </c>
      <c r="U5" s="4">
        <v>3.6428571428571401</v>
      </c>
      <c r="V5" s="4">
        <v>2</v>
      </c>
      <c r="W5" s="4">
        <v>0.54545454545454497</v>
      </c>
      <c r="X5" s="4">
        <v>2.4793388429752101E-2</v>
      </c>
    </row>
    <row r="6" spans="1:24" x14ac:dyDescent="0.25">
      <c r="A6" s="3" t="s">
        <v>1369</v>
      </c>
      <c r="B6" s="3" t="s">
        <v>1365</v>
      </c>
      <c r="C6" s="3" t="s">
        <v>31</v>
      </c>
      <c r="D6" s="3">
        <v>7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80</v>
      </c>
      <c r="K6" s="3">
        <v>463</v>
      </c>
      <c r="L6" s="3">
        <v>4</v>
      </c>
      <c r="M6" s="3">
        <v>31</v>
      </c>
      <c r="N6" s="3">
        <v>19</v>
      </c>
      <c r="O6" s="3">
        <v>218</v>
      </c>
      <c r="P6" s="3">
        <v>1</v>
      </c>
      <c r="Q6" s="3">
        <v>0</v>
      </c>
      <c r="R6" s="3">
        <v>0</v>
      </c>
      <c r="S6" s="3">
        <v>115.1</v>
      </c>
      <c r="T6" s="3">
        <v>5.9615384615384598E-2</v>
      </c>
      <c r="U6" s="3">
        <v>5.7874999999999996</v>
      </c>
      <c r="V6" s="3">
        <v>11.473684210526301</v>
      </c>
      <c r="W6" s="3"/>
      <c r="X6" s="3"/>
    </row>
    <row r="7" spans="1:24" x14ac:dyDescent="0.25">
      <c r="A7" s="4" t="s">
        <v>869</v>
      </c>
      <c r="B7" s="4" t="s">
        <v>1365</v>
      </c>
      <c r="C7" s="4" t="s">
        <v>31</v>
      </c>
      <c r="D7" s="4">
        <v>4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29</v>
      </c>
      <c r="K7" s="4">
        <v>85</v>
      </c>
      <c r="L7" s="4">
        <v>0</v>
      </c>
      <c r="M7" s="4">
        <v>3</v>
      </c>
      <c r="N7" s="4">
        <v>2</v>
      </c>
      <c r="O7" s="4">
        <v>5</v>
      </c>
      <c r="P7" s="4">
        <v>1</v>
      </c>
      <c r="Q7" s="4">
        <v>0</v>
      </c>
      <c r="R7" s="4">
        <v>0</v>
      </c>
      <c r="S7" s="4">
        <v>17</v>
      </c>
      <c r="T7" s="4">
        <v>5.7692307692307704E-3</v>
      </c>
      <c r="U7" s="4">
        <v>2.9310344827586201</v>
      </c>
      <c r="V7" s="4">
        <v>2.5</v>
      </c>
      <c r="W7" s="4"/>
      <c r="X7" s="4"/>
    </row>
    <row r="8" spans="1:24" x14ac:dyDescent="0.25">
      <c r="A8" s="3" t="s">
        <v>1370</v>
      </c>
      <c r="B8" s="3" t="s">
        <v>1365</v>
      </c>
      <c r="C8" s="3" t="s">
        <v>31</v>
      </c>
      <c r="D8" s="3">
        <v>16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114</v>
      </c>
      <c r="K8" s="3">
        <v>402</v>
      </c>
      <c r="L8" s="3">
        <v>3</v>
      </c>
      <c r="M8" s="3">
        <v>54</v>
      </c>
      <c r="N8" s="3">
        <v>41</v>
      </c>
      <c r="O8" s="3">
        <v>288</v>
      </c>
      <c r="P8" s="3">
        <v>0</v>
      </c>
      <c r="Q8" s="3">
        <v>1</v>
      </c>
      <c r="R8" s="3">
        <v>0</v>
      </c>
      <c r="S8" s="3">
        <v>126</v>
      </c>
      <c r="T8" s="3">
        <v>0.103846153846154</v>
      </c>
      <c r="U8" s="3">
        <v>3.5263157894736801</v>
      </c>
      <c r="V8" s="3">
        <v>7.0243902439024399</v>
      </c>
      <c r="W8" s="3"/>
      <c r="X8" s="3"/>
    </row>
    <row r="9" spans="1:24" x14ac:dyDescent="0.25">
      <c r="A9" s="4" t="s">
        <v>775</v>
      </c>
      <c r="B9" s="4" t="s">
        <v>1365</v>
      </c>
      <c r="C9" s="4" t="s">
        <v>31</v>
      </c>
      <c r="D9" s="4">
        <v>10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30</v>
      </c>
      <c r="K9" s="4">
        <v>160</v>
      </c>
      <c r="L9" s="4">
        <v>1</v>
      </c>
      <c r="M9" s="4">
        <v>24</v>
      </c>
      <c r="N9" s="4">
        <v>12</v>
      </c>
      <c r="O9" s="4">
        <v>88</v>
      </c>
      <c r="P9" s="4">
        <v>0</v>
      </c>
      <c r="Q9" s="4">
        <v>0</v>
      </c>
      <c r="R9" s="4">
        <v>0</v>
      </c>
      <c r="S9" s="4">
        <v>42.8</v>
      </c>
      <c r="T9" s="4">
        <v>4.6153846153846198E-2</v>
      </c>
      <c r="U9" s="4">
        <v>5.3333333333333304</v>
      </c>
      <c r="V9" s="4">
        <v>7.3333333333333304</v>
      </c>
      <c r="W9" s="4"/>
      <c r="X9" s="4"/>
    </row>
    <row r="10" spans="1:24" x14ac:dyDescent="0.25">
      <c r="A10" s="3" t="s">
        <v>1371</v>
      </c>
      <c r="B10" s="3" t="s">
        <v>1365</v>
      </c>
      <c r="C10" s="3" t="s">
        <v>31</v>
      </c>
      <c r="D10" s="3">
        <v>7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85</v>
      </c>
      <c r="K10" s="3">
        <v>300</v>
      </c>
      <c r="L10" s="3">
        <v>1</v>
      </c>
      <c r="M10" s="3">
        <v>14</v>
      </c>
      <c r="N10" s="3">
        <v>13</v>
      </c>
      <c r="O10" s="3">
        <v>100</v>
      </c>
      <c r="P10" s="3">
        <v>0</v>
      </c>
      <c r="Q10" s="3">
        <v>0</v>
      </c>
      <c r="R10" s="3">
        <v>0</v>
      </c>
      <c r="S10" s="3">
        <v>59</v>
      </c>
      <c r="T10" s="3">
        <v>2.69230769230769E-2</v>
      </c>
      <c r="U10" s="3">
        <v>3.52941176470588</v>
      </c>
      <c r="V10" s="3">
        <v>7.6923076923076898</v>
      </c>
      <c r="W10" s="3"/>
      <c r="X10" s="3"/>
    </row>
    <row r="11" spans="1:24" x14ac:dyDescent="0.25">
      <c r="A11" s="4" t="s">
        <v>1372</v>
      </c>
      <c r="B11" s="4" t="s">
        <v>1365</v>
      </c>
      <c r="C11" s="4" t="s">
        <v>38</v>
      </c>
      <c r="D11" s="4">
        <v>12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27</v>
      </c>
      <c r="N11" s="4">
        <v>21</v>
      </c>
      <c r="O11" s="4">
        <v>232</v>
      </c>
      <c r="P11" s="4">
        <v>2</v>
      </c>
      <c r="Q11" s="4">
        <v>0</v>
      </c>
      <c r="R11" s="4">
        <v>0</v>
      </c>
      <c r="S11" s="4">
        <v>56.2</v>
      </c>
      <c r="T11" s="4">
        <v>5.1923076923076898E-2</v>
      </c>
      <c r="U11" s="4"/>
      <c r="V11" s="4">
        <v>11.047619047618999</v>
      </c>
      <c r="W11" s="4"/>
      <c r="X11" s="4"/>
    </row>
    <row r="12" spans="1:24" x14ac:dyDescent="0.25">
      <c r="A12" s="3" t="s">
        <v>1373</v>
      </c>
      <c r="B12" s="3" t="s">
        <v>1365</v>
      </c>
      <c r="C12" s="3" t="s">
        <v>38</v>
      </c>
      <c r="D12" s="3">
        <v>2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2</v>
      </c>
      <c r="N12" s="3">
        <v>1</v>
      </c>
      <c r="O12" s="3">
        <v>8</v>
      </c>
      <c r="P12" s="3">
        <v>0</v>
      </c>
      <c r="Q12" s="3">
        <v>0</v>
      </c>
      <c r="R12" s="3">
        <v>0</v>
      </c>
      <c r="S12" s="3">
        <v>1.8</v>
      </c>
      <c r="T12" s="3">
        <v>3.8461538461538498E-3</v>
      </c>
      <c r="U12" s="3"/>
      <c r="V12" s="3">
        <v>8</v>
      </c>
      <c r="W12" s="3"/>
      <c r="X12" s="3"/>
    </row>
    <row r="13" spans="1:24" x14ac:dyDescent="0.25">
      <c r="A13" s="4" t="s">
        <v>1327</v>
      </c>
      <c r="B13" s="4" t="s">
        <v>1365</v>
      </c>
      <c r="C13" s="4" t="s">
        <v>38</v>
      </c>
      <c r="D13" s="4">
        <v>1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1</v>
      </c>
      <c r="N13" s="4">
        <v>0</v>
      </c>
      <c r="O13" s="4">
        <v>0</v>
      </c>
      <c r="P13" s="4">
        <v>0</v>
      </c>
      <c r="Q13" s="4">
        <v>0</v>
      </c>
      <c r="R13" s="4">
        <v>0</v>
      </c>
      <c r="S13" s="4">
        <v>0</v>
      </c>
      <c r="T13" s="4">
        <v>1.9230769230769199E-3</v>
      </c>
      <c r="U13" s="4"/>
      <c r="V13" s="4"/>
      <c r="W13" s="4"/>
      <c r="X13" s="4"/>
    </row>
    <row r="14" spans="1:24" x14ac:dyDescent="0.25">
      <c r="A14" s="3" t="s">
        <v>1374</v>
      </c>
      <c r="B14" s="3" t="s">
        <v>1365</v>
      </c>
      <c r="C14" s="3" t="s">
        <v>38</v>
      </c>
      <c r="D14" s="3">
        <v>17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2</v>
      </c>
      <c r="K14" s="3">
        <v>3</v>
      </c>
      <c r="L14" s="3">
        <v>0</v>
      </c>
      <c r="M14" s="3">
        <v>87</v>
      </c>
      <c r="N14" s="3">
        <v>58</v>
      </c>
      <c r="O14" s="3">
        <v>552</v>
      </c>
      <c r="P14" s="3">
        <v>3</v>
      </c>
      <c r="Q14" s="3">
        <v>0</v>
      </c>
      <c r="R14" s="3">
        <v>0</v>
      </c>
      <c r="S14" s="3">
        <v>131.5</v>
      </c>
      <c r="T14" s="3">
        <v>0.16730769230769199</v>
      </c>
      <c r="U14" s="3">
        <v>1.5</v>
      </c>
      <c r="V14" s="3">
        <v>9.5172413793103505</v>
      </c>
      <c r="W14" s="3"/>
      <c r="X14" s="3"/>
    </row>
    <row r="15" spans="1:24" x14ac:dyDescent="0.25">
      <c r="A15" s="4" t="s">
        <v>1375</v>
      </c>
      <c r="B15" s="4" t="s">
        <v>1365</v>
      </c>
      <c r="C15" s="4" t="s">
        <v>43</v>
      </c>
      <c r="D15" s="4">
        <v>15</v>
      </c>
      <c r="E15" s="4">
        <v>1</v>
      </c>
      <c r="F15" s="4">
        <v>1</v>
      </c>
      <c r="G15" s="4">
        <v>2</v>
      </c>
      <c r="H15" s="4">
        <v>1</v>
      </c>
      <c r="I15" s="4">
        <v>0</v>
      </c>
      <c r="J15" s="4">
        <v>9</v>
      </c>
      <c r="K15" s="4">
        <v>91</v>
      </c>
      <c r="L15" s="4">
        <v>2</v>
      </c>
      <c r="M15" s="4">
        <v>32</v>
      </c>
      <c r="N15" s="4">
        <v>18</v>
      </c>
      <c r="O15" s="4">
        <v>145</v>
      </c>
      <c r="P15" s="4">
        <v>0</v>
      </c>
      <c r="Q15" s="4">
        <v>0</v>
      </c>
      <c r="R15" s="4">
        <v>0</v>
      </c>
      <c r="S15" s="4">
        <v>57.68</v>
      </c>
      <c r="T15" s="4">
        <v>6.15384615384615E-2</v>
      </c>
      <c r="U15" s="4">
        <v>10.1111111111111</v>
      </c>
      <c r="V15" s="4">
        <v>8.0555555555555607</v>
      </c>
      <c r="W15" s="4">
        <v>1</v>
      </c>
      <c r="X15" s="4">
        <v>1</v>
      </c>
    </row>
    <row r="16" spans="1:24" x14ac:dyDescent="0.25">
      <c r="A16" s="3" t="s">
        <v>1376</v>
      </c>
      <c r="B16" s="3" t="s">
        <v>1365</v>
      </c>
      <c r="C16" s="3" t="s">
        <v>43</v>
      </c>
      <c r="D16" s="3">
        <v>13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64</v>
      </c>
      <c r="N16" s="3">
        <v>32</v>
      </c>
      <c r="O16" s="3">
        <v>536</v>
      </c>
      <c r="P16" s="3">
        <v>2</v>
      </c>
      <c r="Q16" s="3">
        <v>0</v>
      </c>
      <c r="R16" s="3">
        <v>0</v>
      </c>
      <c r="S16" s="3">
        <v>97.6</v>
      </c>
      <c r="T16" s="3">
        <v>0.123076923076923</v>
      </c>
      <c r="U16" s="3"/>
      <c r="V16" s="3">
        <v>16.75</v>
      </c>
      <c r="W16" s="3"/>
      <c r="X16" s="3"/>
    </row>
    <row r="17" spans="1:24" x14ac:dyDescent="0.25">
      <c r="A17" s="4" t="s">
        <v>1377</v>
      </c>
      <c r="B17" s="4" t="s">
        <v>1365</v>
      </c>
      <c r="C17" s="4" t="s">
        <v>43</v>
      </c>
      <c r="D17" s="4">
        <v>9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25</v>
      </c>
      <c r="N17" s="4">
        <v>11</v>
      </c>
      <c r="O17" s="4">
        <v>186</v>
      </c>
      <c r="P17" s="4">
        <v>0</v>
      </c>
      <c r="Q17" s="4">
        <v>0</v>
      </c>
      <c r="R17" s="4">
        <v>0</v>
      </c>
      <c r="S17" s="4">
        <v>29.6</v>
      </c>
      <c r="T17" s="4">
        <v>4.80769230769231E-2</v>
      </c>
      <c r="U17" s="4"/>
      <c r="V17" s="4">
        <v>16.909090909090899</v>
      </c>
      <c r="W17" s="4"/>
      <c r="X17" s="4"/>
    </row>
    <row r="18" spans="1:24" x14ac:dyDescent="0.25">
      <c r="A18" s="3" t="s">
        <v>1378</v>
      </c>
      <c r="B18" s="3" t="s">
        <v>1365</v>
      </c>
      <c r="C18" s="3" t="s">
        <v>43</v>
      </c>
      <c r="D18" s="3">
        <v>14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5</v>
      </c>
      <c r="K18" s="3">
        <v>5</v>
      </c>
      <c r="L18" s="3">
        <v>0</v>
      </c>
      <c r="M18" s="3">
        <v>65</v>
      </c>
      <c r="N18" s="3">
        <v>37</v>
      </c>
      <c r="O18" s="3">
        <v>446</v>
      </c>
      <c r="P18" s="3">
        <v>1</v>
      </c>
      <c r="Q18" s="3">
        <v>0</v>
      </c>
      <c r="R18" s="3">
        <v>0</v>
      </c>
      <c r="S18" s="3">
        <v>88.1</v>
      </c>
      <c r="T18" s="3">
        <v>0.125</v>
      </c>
      <c r="U18" s="3">
        <v>1</v>
      </c>
      <c r="V18" s="3">
        <v>12.054054054054101</v>
      </c>
      <c r="W18" s="3"/>
      <c r="X18" s="3"/>
    </row>
    <row r="19" spans="1:24" x14ac:dyDescent="0.25">
      <c r="A19" s="4" t="s">
        <v>1379</v>
      </c>
      <c r="B19" s="4" t="s">
        <v>1365</v>
      </c>
      <c r="C19" s="4" t="s">
        <v>43</v>
      </c>
      <c r="D19" s="4">
        <v>17</v>
      </c>
      <c r="E19" s="4">
        <v>1</v>
      </c>
      <c r="F19" s="4">
        <v>0</v>
      </c>
      <c r="G19" s="4">
        <v>0</v>
      </c>
      <c r="H19" s="4">
        <v>0</v>
      </c>
      <c r="I19" s="4">
        <v>0</v>
      </c>
      <c r="J19" s="4">
        <v>4</v>
      </c>
      <c r="K19" s="4">
        <v>4</v>
      </c>
      <c r="L19" s="4">
        <v>0</v>
      </c>
      <c r="M19" s="4">
        <v>146</v>
      </c>
      <c r="N19" s="4">
        <v>82</v>
      </c>
      <c r="O19" s="4">
        <v>1116</v>
      </c>
      <c r="P19" s="4">
        <v>4</v>
      </c>
      <c r="Q19" s="4">
        <v>0</v>
      </c>
      <c r="R19" s="4">
        <v>0</v>
      </c>
      <c r="S19" s="4">
        <v>216</v>
      </c>
      <c r="T19" s="4">
        <v>0.28076923076923099</v>
      </c>
      <c r="U19" s="4">
        <v>1</v>
      </c>
      <c r="V19" s="4">
        <v>13.609756097561</v>
      </c>
      <c r="W19" s="4">
        <v>0</v>
      </c>
      <c r="X19" s="4">
        <v>0</v>
      </c>
    </row>
    <row r="20" spans="1:24" x14ac:dyDescent="0.25">
      <c r="A20" s="3" t="s">
        <v>1229</v>
      </c>
      <c r="B20" s="3" t="s">
        <v>1365</v>
      </c>
      <c r="C20" s="3" t="s">
        <v>43</v>
      </c>
      <c r="D20" s="3">
        <v>7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11</v>
      </c>
      <c r="N20" s="3">
        <v>8</v>
      </c>
      <c r="O20" s="3">
        <v>134</v>
      </c>
      <c r="P20" s="3">
        <v>0</v>
      </c>
      <c r="Q20" s="3">
        <v>0</v>
      </c>
      <c r="R20" s="3">
        <v>0</v>
      </c>
      <c r="S20" s="3">
        <v>21.4</v>
      </c>
      <c r="T20" s="3">
        <v>2.11538461538462E-2</v>
      </c>
      <c r="U20" s="3"/>
      <c r="V20" s="3">
        <v>16.75</v>
      </c>
      <c r="W20" s="3"/>
      <c r="X20" s="3"/>
    </row>
    <row r="30" spans="1:24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</row>
    <row r="31" spans="1:24" x14ac:dyDescent="0.25">
      <c r="A31" s="3" t="s">
        <v>1365</v>
      </c>
      <c r="B31" s="3">
        <v>5707</v>
      </c>
      <c r="C31" s="3">
        <v>4023</v>
      </c>
      <c r="D31" s="3">
        <v>404</v>
      </c>
      <c r="E31" s="3">
        <v>1684</v>
      </c>
      <c r="F31" s="3">
        <v>13</v>
      </c>
      <c r="G31" s="3">
        <v>1272.32</v>
      </c>
      <c r="H31" s="3">
        <v>625</v>
      </c>
      <c r="I31" s="3">
        <v>0.5696</v>
      </c>
      <c r="J31" s="3">
        <v>15</v>
      </c>
      <c r="K31" s="3">
        <v>14</v>
      </c>
      <c r="L31" s="3">
        <v>7</v>
      </c>
    </row>
    <row r="32" spans="1:24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</row>
    <row r="33" spans="1:28" x14ac:dyDescent="0.25">
      <c r="A33" s="3" t="str">
        <f>A31</f>
        <v>NYJ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1380</v>
      </c>
      <c r="B36" s="3" t="s">
        <v>26</v>
      </c>
      <c r="C36" s="3">
        <v>28</v>
      </c>
      <c r="D36" s="3">
        <v>5</v>
      </c>
      <c r="E36" s="3" t="s">
        <v>1381</v>
      </c>
      <c r="F36" s="3" t="s">
        <v>1365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">
        <v>0</v>
      </c>
      <c r="X36" s="3">
        <v>0</v>
      </c>
      <c r="Y36" s="3">
        <v>0</v>
      </c>
      <c r="Z36" s="3">
        <v>0</v>
      </c>
      <c r="AA36" s="3">
        <v>0</v>
      </c>
      <c r="AB36" s="3">
        <v>0</v>
      </c>
    </row>
    <row r="37" spans="1:28" x14ac:dyDescent="0.25">
      <c r="A37" s="4" t="s">
        <v>1382</v>
      </c>
      <c r="B37" s="4" t="s">
        <v>26</v>
      </c>
      <c r="C37" s="4">
        <v>39</v>
      </c>
      <c r="D37" s="4">
        <v>19</v>
      </c>
      <c r="E37" s="4" t="s">
        <v>666</v>
      </c>
      <c r="F37" s="4" t="s">
        <v>1365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</row>
    <row r="38" spans="1:28" x14ac:dyDescent="0.25">
      <c r="A38" s="3" t="s">
        <v>1383</v>
      </c>
      <c r="B38" s="3" t="s">
        <v>26</v>
      </c>
      <c r="C38" s="3">
        <v>24</v>
      </c>
      <c r="D38" s="3">
        <v>3</v>
      </c>
      <c r="E38" s="3" t="s">
        <v>82</v>
      </c>
      <c r="F38" s="3" t="s">
        <v>1365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v>0</v>
      </c>
      <c r="W38" s="3">
        <v>0</v>
      </c>
      <c r="X38" s="3">
        <v>0</v>
      </c>
      <c r="Y38" s="3">
        <v>0</v>
      </c>
      <c r="Z38" s="3">
        <v>0</v>
      </c>
      <c r="AA38" s="3">
        <v>0</v>
      </c>
      <c r="AB38" s="3"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1384</v>
      </c>
      <c r="B46" s="3" t="s">
        <v>31</v>
      </c>
      <c r="C46" s="3">
        <v>20</v>
      </c>
      <c r="D46" s="3">
        <v>0</v>
      </c>
      <c r="E46" s="3" t="s">
        <v>74</v>
      </c>
      <c r="F46" s="3" t="s">
        <v>1365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v>0</v>
      </c>
      <c r="W46" s="3">
        <v>0</v>
      </c>
      <c r="X46" s="3">
        <v>0</v>
      </c>
      <c r="Y46" s="3">
        <v>0</v>
      </c>
      <c r="Z46" s="3">
        <v>0</v>
      </c>
      <c r="AA46" s="3">
        <v>0</v>
      </c>
      <c r="AB46" s="3">
        <f t="shared" ref="AB46:AB51" si="0">($J46*Cp_yd)+($K46*Cp_td)+($L46*Cint)+($M46*Ccar)+($N46*Cr_td)+($O46*Cr_yd)+(Q46*Crec)+($R46*Crec_yd)+($S46*Crec_td)+($T46*Cfmb)+($U46*Ctp_c)</f>
        <v>0</v>
      </c>
    </row>
    <row r="47" spans="1:28" x14ac:dyDescent="0.25">
      <c r="A47" s="4" t="s">
        <v>1385</v>
      </c>
      <c r="B47" s="4" t="s">
        <v>31</v>
      </c>
      <c r="C47" s="4">
        <v>24</v>
      </c>
      <c r="D47" s="4">
        <v>3</v>
      </c>
      <c r="E47" s="4" t="s">
        <v>163</v>
      </c>
      <c r="F47" s="4" t="s">
        <v>1365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f t="shared" si="0"/>
        <v>0</v>
      </c>
    </row>
    <row r="48" spans="1:28" x14ac:dyDescent="0.25">
      <c r="A48" s="3" t="s">
        <v>1386</v>
      </c>
      <c r="B48" s="3" t="s">
        <v>31</v>
      </c>
      <c r="C48" s="3">
        <v>28</v>
      </c>
      <c r="D48" s="3">
        <v>7</v>
      </c>
      <c r="E48" s="3" t="s">
        <v>1012</v>
      </c>
      <c r="F48" s="3" t="s">
        <v>1365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v>0</v>
      </c>
      <c r="W48" s="3">
        <v>0</v>
      </c>
      <c r="X48" s="3">
        <v>0</v>
      </c>
      <c r="Y48" s="3">
        <v>0</v>
      </c>
      <c r="Z48" s="3">
        <v>0</v>
      </c>
      <c r="AA48" s="3">
        <v>0</v>
      </c>
      <c r="AB48" s="3">
        <f t="shared" si="0"/>
        <v>0</v>
      </c>
    </row>
    <row r="49" spans="1:28" x14ac:dyDescent="0.25">
      <c r="A49" s="4" t="s">
        <v>1387</v>
      </c>
      <c r="B49" s="4" t="s">
        <v>31</v>
      </c>
      <c r="C49" s="4">
        <v>23</v>
      </c>
      <c r="D49" s="4">
        <v>0</v>
      </c>
      <c r="E49" s="4" t="s">
        <v>78</v>
      </c>
      <c r="F49" s="4" t="s">
        <v>1365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B49" s="4">
        <f t="shared" si="0"/>
        <v>0</v>
      </c>
    </row>
    <row r="50" spans="1:28" x14ac:dyDescent="0.25">
      <c r="A50" s="3" t="s">
        <v>1388</v>
      </c>
      <c r="B50" s="3" t="s">
        <v>31</v>
      </c>
      <c r="C50" s="3">
        <v>22</v>
      </c>
      <c r="D50" s="3">
        <v>2</v>
      </c>
      <c r="E50" s="3" t="s">
        <v>244</v>
      </c>
      <c r="F50" s="3" t="s">
        <v>1365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v>0</v>
      </c>
      <c r="W50" s="3">
        <v>0</v>
      </c>
      <c r="X50" s="3">
        <v>0</v>
      </c>
      <c r="Y50" s="3">
        <v>0</v>
      </c>
      <c r="Z50" s="3">
        <v>0</v>
      </c>
      <c r="AA50" s="3">
        <v>0</v>
      </c>
      <c r="AB50" s="3">
        <f t="shared" si="0"/>
        <v>0</v>
      </c>
    </row>
    <row r="51" spans="1:28" x14ac:dyDescent="0.25">
      <c r="A51" s="4" t="s">
        <v>1389</v>
      </c>
      <c r="B51" s="4" t="s">
        <v>31</v>
      </c>
      <c r="C51" s="4">
        <v>22</v>
      </c>
      <c r="D51" s="4">
        <v>2</v>
      </c>
      <c r="E51" s="4" t="s">
        <v>1113</v>
      </c>
      <c r="F51" s="4" t="s">
        <v>1365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v>0</v>
      </c>
      <c r="W51" s="4">
        <v>0</v>
      </c>
      <c r="X51" s="4">
        <v>0</v>
      </c>
      <c r="Y51" s="4">
        <v>0</v>
      </c>
      <c r="Z51" s="4">
        <v>0</v>
      </c>
      <c r="AA51" s="4">
        <v>0</v>
      </c>
      <c r="AB51" s="4">
        <f t="shared" si="0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1390</v>
      </c>
      <c r="B61" s="3" t="s">
        <v>43</v>
      </c>
      <c r="C61" s="3">
        <v>24</v>
      </c>
      <c r="D61" s="3">
        <v>0</v>
      </c>
      <c r="E61" s="3" t="s">
        <v>898</v>
      </c>
      <c r="F61" s="3" t="s">
        <v>1365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v>0</v>
      </c>
      <c r="W61" s="3">
        <v>0</v>
      </c>
      <c r="X61" s="3">
        <v>0</v>
      </c>
      <c r="Y61" s="3">
        <v>0</v>
      </c>
      <c r="Z61" s="3">
        <v>0</v>
      </c>
      <c r="AA61" s="3">
        <v>0</v>
      </c>
      <c r="AB61" s="3">
        <v>0</v>
      </c>
    </row>
    <row r="62" spans="1:28" x14ac:dyDescent="0.25">
      <c r="A62" s="4" t="s">
        <v>1391</v>
      </c>
      <c r="B62" s="4" t="s">
        <v>43</v>
      </c>
      <c r="C62" s="4">
        <v>26</v>
      </c>
      <c r="D62" s="4">
        <v>1</v>
      </c>
      <c r="E62" s="4" t="s">
        <v>1392</v>
      </c>
      <c r="F62" s="4" t="s">
        <v>1365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0</v>
      </c>
      <c r="X62" s="4">
        <v>0</v>
      </c>
      <c r="Y62" s="4">
        <v>0</v>
      </c>
      <c r="Z62" s="4">
        <v>0</v>
      </c>
      <c r="AA62" s="4">
        <v>0</v>
      </c>
      <c r="AB62" s="4">
        <v>0</v>
      </c>
    </row>
    <row r="63" spans="1:28" x14ac:dyDescent="0.25">
      <c r="A63" s="3" t="s">
        <v>1393</v>
      </c>
      <c r="B63" s="3" t="s">
        <v>43</v>
      </c>
      <c r="C63" s="3">
        <v>32</v>
      </c>
      <c r="D63" s="3">
        <v>13</v>
      </c>
      <c r="E63" s="3" t="s">
        <v>150</v>
      </c>
      <c r="F63" s="3" t="s">
        <v>1365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v>0</v>
      </c>
      <c r="W63" s="3">
        <v>0</v>
      </c>
      <c r="X63" s="3">
        <v>0</v>
      </c>
      <c r="Y63" s="3">
        <v>0</v>
      </c>
      <c r="Z63" s="3">
        <v>0</v>
      </c>
      <c r="AA63" s="3">
        <v>0</v>
      </c>
      <c r="AB63" s="3">
        <v>0</v>
      </c>
    </row>
    <row r="64" spans="1:28" x14ac:dyDescent="0.25">
      <c r="A64" s="4" t="s">
        <v>1394</v>
      </c>
      <c r="B64" s="4" t="s">
        <v>43</v>
      </c>
      <c r="C64" s="4">
        <v>28</v>
      </c>
      <c r="D64" s="4">
        <v>7</v>
      </c>
      <c r="E64" s="4" t="s">
        <v>357</v>
      </c>
      <c r="F64" s="4" t="s">
        <v>1365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</row>
    <row r="65" spans="1:28" x14ac:dyDescent="0.25">
      <c r="A65" s="3" t="s">
        <v>1395</v>
      </c>
      <c r="B65" s="3" t="s">
        <v>43</v>
      </c>
      <c r="C65" s="3">
        <v>30</v>
      </c>
      <c r="D65" s="3">
        <v>7</v>
      </c>
      <c r="E65" s="3" t="s">
        <v>72</v>
      </c>
      <c r="F65" s="3" t="s">
        <v>1365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v>0</v>
      </c>
      <c r="W65" s="3">
        <v>0</v>
      </c>
      <c r="X65" s="3">
        <v>0</v>
      </c>
      <c r="Y65" s="3">
        <v>0</v>
      </c>
      <c r="Z65" s="3">
        <v>0</v>
      </c>
      <c r="AA65" s="3">
        <v>0</v>
      </c>
      <c r="AB65" s="3">
        <v>0</v>
      </c>
    </row>
    <row r="66" spans="1:28" x14ac:dyDescent="0.25">
      <c r="A66" s="4" t="s">
        <v>1396</v>
      </c>
      <c r="B66" s="4" t="s">
        <v>43</v>
      </c>
      <c r="C66" s="4">
        <v>22</v>
      </c>
      <c r="D66" s="4">
        <v>0</v>
      </c>
      <c r="E66" s="4" t="s">
        <v>1397</v>
      </c>
      <c r="F66" s="4" t="s">
        <v>1365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</row>
    <row r="67" spans="1:28" x14ac:dyDescent="0.25">
      <c r="A67" s="3" t="s">
        <v>1398</v>
      </c>
      <c r="B67" s="3" t="s">
        <v>43</v>
      </c>
      <c r="C67" s="3">
        <v>25</v>
      </c>
      <c r="D67" s="3">
        <v>5</v>
      </c>
      <c r="E67" s="3" t="s">
        <v>173</v>
      </c>
      <c r="F67" s="3" t="s">
        <v>1365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v>0</v>
      </c>
      <c r="W67" s="3">
        <v>0</v>
      </c>
      <c r="X67" s="3">
        <v>0</v>
      </c>
      <c r="Y67" s="3">
        <v>0</v>
      </c>
      <c r="Z67" s="3">
        <v>0</v>
      </c>
      <c r="AA67" s="3">
        <v>0</v>
      </c>
      <c r="AB67" s="3">
        <v>0</v>
      </c>
    </row>
    <row r="68" spans="1:28" x14ac:dyDescent="0.25">
      <c r="A68" s="4" t="s">
        <v>1399</v>
      </c>
      <c r="B68" s="4" t="s">
        <v>43</v>
      </c>
      <c r="C68" s="4">
        <v>24</v>
      </c>
      <c r="D68" s="4">
        <v>0</v>
      </c>
      <c r="E68" s="4" t="s">
        <v>677</v>
      </c>
      <c r="F68" s="4" t="s">
        <v>1365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0</v>
      </c>
      <c r="X68" s="4">
        <v>0</v>
      </c>
      <c r="Y68" s="4">
        <v>0</v>
      </c>
      <c r="Z68" s="4">
        <v>0</v>
      </c>
      <c r="AA68" s="4">
        <v>0</v>
      </c>
      <c r="AB68" s="4">
        <v>0</v>
      </c>
    </row>
    <row r="69" spans="1:28" x14ac:dyDescent="0.25">
      <c r="A69" s="3" t="s">
        <v>1400</v>
      </c>
      <c r="B69" s="3" t="s">
        <v>43</v>
      </c>
      <c r="C69" s="3">
        <v>27</v>
      </c>
      <c r="D69" s="3">
        <v>5</v>
      </c>
      <c r="E69" s="3" t="s">
        <v>244</v>
      </c>
      <c r="F69" s="3" t="s">
        <v>1365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v>0</v>
      </c>
      <c r="W69" s="3">
        <v>0</v>
      </c>
      <c r="X69" s="3">
        <v>0</v>
      </c>
      <c r="Y69" s="3">
        <v>0</v>
      </c>
      <c r="Z69" s="3">
        <v>0</v>
      </c>
      <c r="AA69" s="3">
        <v>0</v>
      </c>
      <c r="AB69" s="3">
        <v>0</v>
      </c>
    </row>
    <row r="70" spans="1:28" x14ac:dyDescent="0.25">
      <c r="A70" s="4" t="s">
        <v>1401</v>
      </c>
      <c r="B70" s="4" t="s">
        <v>43</v>
      </c>
      <c r="C70" s="4">
        <v>23</v>
      </c>
      <c r="D70" s="4">
        <v>0</v>
      </c>
      <c r="E70" s="4" t="s">
        <v>1402</v>
      </c>
      <c r="F70" s="4" t="s">
        <v>1365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0</v>
      </c>
      <c r="X70" s="4">
        <v>0</v>
      </c>
      <c r="Y70" s="4">
        <v>0</v>
      </c>
      <c r="Z70" s="4">
        <v>0</v>
      </c>
      <c r="AA70" s="4">
        <v>0</v>
      </c>
      <c r="AB70" s="4">
        <v>0</v>
      </c>
    </row>
    <row r="71" spans="1:28" x14ac:dyDescent="0.25">
      <c r="A71" s="3" t="s">
        <v>1403</v>
      </c>
      <c r="B71" s="3" t="s">
        <v>43</v>
      </c>
      <c r="C71" s="3">
        <v>27</v>
      </c>
      <c r="D71" s="3">
        <v>3</v>
      </c>
      <c r="E71" s="3" t="s">
        <v>1404</v>
      </c>
      <c r="F71" s="3" t="s">
        <v>1365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v>0</v>
      </c>
      <c r="W71" s="3">
        <v>0</v>
      </c>
      <c r="X71" s="3">
        <v>0</v>
      </c>
      <c r="Y71" s="3">
        <v>0</v>
      </c>
      <c r="Z71" s="3">
        <v>0</v>
      </c>
      <c r="AA71" s="3">
        <v>0</v>
      </c>
      <c r="AB71" s="3">
        <v>0</v>
      </c>
    </row>
    <row r="72" spans="1:28" x14ac:dyDescent="0.25">
      <c r="A72" s="4" t="s">
        <v>1405</v>
      </c>
      <c r="B72" s="4" t="s">
        <v>43</v>
      </c>
      <c r="C72" s="4">
        <v>23</v>
      </c>
      <c r="D72" s="4">
        <v>2</v>
      </c>
      <c r="E72" s="4" t="s">
        <v>213</v>
      </c>
      <c r="F72" s="4" t="s">
        <v>1365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v>0</v>
      </c>
      <c r="W72" s="4">
        <v>0</v>
      </c>
      <c r="X72" s="4">
        <v>0</v>
      </c>
      <c r="Y72" s="4">
        <v>0</v>
      </c>
      <c r="Z72" s="4">
        <v>0</v>
      </c>
      <c r="AA72" s="4">
        <v>0</v>
      </c>
      <c r="AB72" s="4"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1406</v>
      </c>
      <c r="B76" s="3" t="s">
        <v>38</v>
      </c>
      <c r="C76" s="3">
        <v>28</v>
      </c>
      <c r="D76" s="3">
        <v>6</v>
      </c>
      <c r="E76" s="3" t="s">
        <v>309</v>
      </c>
      <c r="F76" s="3" t="s">
        <v>1365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v>0</v>
      </c>
      <c r="W76" s="3">
        <v>0</v>
      </c>
      <c r="X76" s="3">
        <v>0</v>
      </c>
      <c r="Y76" s="3">
        <v>0</v>
      </c>
      <c r="Z76" s="3">
        <v>0</v>
      </c>
      <c r="AA76" s="3">
        <v>0</v>
      </c>
      <c r="AB76" s="3">
        <v>0</v>
      </c>
    </row>
    <row r="77" spans="1:28" x14ac:dyDescent="0.25">
      <c r="A77" s="4" t="s">
        <v>1407</v>
      </c>
      <c r="B77" s="4" t="s">
        <v>38</v>
      </c>
      <c r="C77" s="4">
        <v>24</v>
      </c>
      <c r="D77" s="4">
        <v>0</v>
      </c>
      <c r="E77" s="4" t="s">
        <v>455</v>
      </c>
      <c r="F77" s="4" t="s">
        <v>1365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v>0</v>
      </c>
      <c r="W77" s="4">
        <v>0</v>
      </c>
      <c r="X77" s="4">
        <v>0</v>
      </c>
      <c r="Y77" s="4">
        <v>0</v>
      </c>
      <c r="Z77" s="4">
        <v>0</v>
      </c>
      <c r="AA77" s="4">
        <v>0</v>
      </c>
      <c r="AB77" s="4">
        <v>0</v>
      </c>
    </row>
    <row r="78" spans="1:28" x14ac:dyDescent="0.25">
      <c r="A78" s="3" t="s">
        <v>1408</v>
      </c>
      <c r="B78" s="3" t="s">
        <v>38</v>
      </c>
      <c r="C78" s="3">
        <v>24</v>
      </c>
      <c r="D78" s="3">
        <v>0</v>
      </c>
      <c r="E78" s="3" t="s">
        <v>98</v>
      </c>
      <c r="F78" s="3" t="s">
        <v>1365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v>0</v>
      </c>
      <c r="W78" s="3">
        <v>0</v>
      </c>
      <c r="X78" s="3">
        <v>0</v>
      </c>
      <c r="Y78" s="3">
        <v>0</v>
      </c>
      <c r="Z78" s="3">
        <v>0</v>
      </c>
      <c r="AA78" s="3">
        <v>0</v>
      </c>
      <c r="AB78" s="3">
        <v>0</v>
      </c>
    </row>
    <row r="79" spans="1:28" x14ac:dyDescent="0.25">
      <c r="A79" s="4" t="s">
        <v>1409</v>
      </c>
      <c r="B79" s="4" t="s">
        <v>38</v>
      </c>
      <c r="C79" s="4">
        <v>23</v>
      </c>
      <c r="D79" s="4">
        <v>2</v>
      </c>
      <c r="E79" s="4" t="s">
        <v>213</v>
      </c>
      <c r="F79" s="4" t="s">
        <v>1365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v>0</v>
      </c>
      <c r="W79" s="4">
        <v>0</v>
      </c>
      <c r="X79" s="4">
        <v>0</v>
      </c>
      <c r="Y79" s="4">
        <v>0</v>
      </c>
      <c r="Z79" s="4">
        <v>0</v>
      </c>
      <c r="AA79" s="4">
        <v>0</v>
      </c>
      <c r="AB79" s="4">
        <v>0</v>
      </c>
    </row>
    <row r="80" spans="1:28" x14ac:dyDescent="0.25">
      <c r="A80" s="3" t="s">
        <v>1410</v>
      </c>
      <c r="B80" s="3" t="s">
        <v>38</v>
      </c>
      <c r="C80" s="3">
        <v>30</v>
      </c>
      <c r="D80" s="3">
        <v>9</v>
      </c>
      <c r="E80" s="3" t="s">
        <v>464</v>
      </c>
      <c r="F80" s="3" t="s">
        <v>1365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v>0</v>
      </c>
      <c r="W80" s="3">
        <v>0</v>
      </c>
      <c r="X80" s="3">
        <v>0</v>
      </c>
      <c r="Y80" s="3">
        <v>0</v>
      </c>
      <c r="Z80" s="3">
        <v>0</v>
      </c>
      <c r="AA80" s="3">
        <v>0</v>
      </c>
      <c r="AB80" s="3">
        <v>0</v>
      </c>
    </row>
    <row r="81" spans="1:28" x14ac:dyDescent="0.25">
      <c r="A81" s="4" t="s">
        <v>1411</v>
      </c>
      <c r="B81" s="4" t="s">
        <v>38</v>
      </c>
      <c r="C81" s="4">
        <v>24</v>
      </c>
      <c r="D81" s="4">
        <v>3</v>
      </c>
      <c r="E81" s="4" t="s">
        <v>240</v>
      </c>
      <c r="F81" s="4" t="s">
        <v>1365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v>0</v>
      </c>
      <c r="W81" s="4">
        <v>0</v>
      </c>
      <c r="X81" s="4">
        <v>0</v>
      </c>
      <c r="Y81" s="4">
        <v>0</v>
      </c>
      <c r="Z81" s="4">
        <v>0</v>
      </c>
      <c r="AA81" s="4">
        <v>0</v>
      </c>
      <c r="AB81" s="4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/>
  <dimension ref="A1:AB81"/>
  <sheetViews>
    <sheetView topLeftCell="G19" workbookViewId="0">
      <selection activeCell="AB46" sqref="AB46:AB51"/>
    </sheetView>
  </sheetViews>
  <sheetFormatPr defaultColWidth="11.42578125" defaultRowHeight="15" x14ac:dyDescent="0.25"/>
  <sheetData>
    <row r="1" spans="1:24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</row>
    <row r="2" spans="1:24" x14ac:dyDescent="0.25">
      <c r="A2" s="3" t="s">
        <v>1412</v>
      </c>
      <c r="B2" s="3" t="s">
        <v>1413</v>
      </c>
      <c r="C2" s="3" t="s">
        <v>26</v>
      </c>
      <c r="D2" s="3">
        <v>5</v>
      </c>
      <c r="E2" s="3">
        <v>76</v>
      </c>
      <c r="F2" s="3">
        <v>44</v>
      </c>
      <c r="G2" s="3">
        <v>663</v>
      </c>
      <c r="H2" s="3">
        <v>3</v>
      </c>
      <c r="I2" s="3">
        <v>3</v>
      </c>
      <c r="J2" s="3">
        <v>7</v>
      </c>
      <c r="K2" s="3">
        <v>3</v>
      </c>
      <c r="L2" s="3">
        <v>1</v>
      </c>
      <c r="M2" s="3">
        <v>0</v>
      </c>
      <c r="N2" s="3">
        <v>0</v>
      </c>
      <c r="O2" s="3">
        <v>0</v>
      </c>
      <c r="P2" s="3">
        <v>0</v>
      </c>
      <c r="Q2" s="3">
        <v>1</v>
      </c>
      <c r="R2" s="3">
        <v>0</v>
      </c>
      <c r="S2" s="3">
        <v>36.82</v>
      </c>
      <c r="T2" s="3">
        <v>0</v>
      </c>
      <c r="U2" s="3">
        <v>0.42857142857142899</v>
      </c>
      <c r="V2" s="3"/>
      <c r="W2" s="3">
        <v>0.57894736842105299</v>
      </c>
      <c r="X2" s="3">
        <v>3.94736842105263E-2</v>
      </c>
    </row>
    <row r="3" spans="1:24" x14ac:dyDescent="0.25">
      <c r="A3" s="4" t="s">
        <v>1414</v>
      </c>
      <c r="B3" s="4" t="s">
        <v>1413</v>
      </c>
      <c r="C3" s="4" t="s">
        <v>26</v>
      </c>
      <c r="D3" s="4">
        <v>15</v>
      </c>
      <c r="E3" s="4">
        <v>460</v>
      </c>
      <c r="F3" s="4">
        <v>306</v>
      </c>
      <c r="G3" s="4">
        <v>3701</v>
      </c>
      <c r="H3" s="4">
        <v>22</v>
      </c>
      <c r="I3" s="4">
        <v>6</v>
      </c>
      <c r="J3" s="4">
        <v>165</v>
      </c>
      <c r="K3" s="4">
        <v>760</v>
      </c>
      <c r="L3" s="4">
        <v>13</v>
      </c>
      <c r="M3" s="4">
        <v>0</v>
      </c>
      <c r="N3" s="4">
        <v>0</v>
      </c>
      <c r="O3" s="4">
        <v>0</v>
      </c>
      <c r="P3" s="4">
        <v>0</v>
      </c>
      <c r="Q3" s="4">
        <v>2</v>
      </c>
      <c r="R3" s="4">
        <v>2</v>
      </c>
      <c r="S3" s="4">
        <v>378.04</v>
      </c>
      <c r="T3" s="4">
        <v>0</v>
      </c>
      <c r="U3" s="4">
        <v>4.60606060606061</v>
      </c>
      <c r="V3" s="4"/>
      <c r="W3" s="4">
        <v>0.66521739130434798</v>
      </c>
      <c r="X3" s="4">
        <v>4.7826086956521699E-2</v>
      </c>
    </row>
    <row r="4" spans="1:24" x14ac:dyDescent="0.25">
      <c r="A4" s="3" t="s">
        <v>1415</v>
      </c>
      <c r="B4" s="3" t="s">
        <v>1413</v>
      </c>
      <c r="C4" s="3" t="s">
        <v>31</v>
      </c>
      <c r="D4" s="3">
        <v>13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54</v>
      </c>
      <c r="K4" s="3">
        <v>217</v>
      </c>
      <c r="L4" s="3">
        <v>3</v>
      </c>
      <c r="M4" s="3">
        <v>6</v>
      </c>
      <c r="N4" s="3">
        <v>5</v>
      </c>
      <c r="O4" s="3">
        <v>15</v>
      </c>
      <c r="P4" s="3">
        <v>0</v>
      </c>
      <c r="Q4" s="3">
        <v>0</v>
      </c>
      <c r="R4" s="3">
        <v>0</v>
      </c>
      <c r="S4" s="3">
        <v>46.2</v>
      </c>
      <c r="T4" s="3">
        <v>9.5999999999999992E-3</v>
      </c>
      <c r="U4" s="3">
        <v>4.0185185185185199</v>
      </c>
      <c r="V4" s="3">
        <v>3</v>
      </c>
      <c r="W4" s="3"/>
      <c r="X4" s="3"/>
    </row>
    <row r="5" spans="1:24" x14ac:dyDescent="0.25">
      <c r="A5" s="4" t="s">
        <v>1416</v>
      </c>
      <c r="B5" s="4" t="s">
        <v>1413</v>
      </c>
      <c r="C5" s="4" t="s">
        <v>31</v>
      </c>
      <c r="D5" s="4">
        <v>17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53</v>
      </c>
      <c r="K5" s="4">
        <v>240</v>
      </c>
      <c r="L5" s="4">
        <v>4</v>
      </c>
      <c r="M5" s="4">
        <v>29</v>
      </c>
      <c r="N5" s="4">
        <v>23</v>
      </c>
      <c r="O5" s="4">
        <v>169</v>
      </c>
      <c r="P5" s="4">
        <v>0</v>
      </c>
      <c r="Q5" s="4">
        <v>0</v>
      </c>
      <c r="R5" s="4">
        <v>0</v>
      </c>
      <c r="S5" s="4">
        <v>87.9</v>
      </c>
      <c r="T5" s="4">
        <v>4.6399999999999997E-2</v>
      </c>
      <c r="U5" s="4">
        <v>4.52830188679245</v>
      </c>
      <c r="V5" s="4">
        <v>7.3478260869565197</v>
      </c>
      <c r="W5" s="4"/>
      <c r="X5" s="4"/>
    </row>
    <row r="6" spans="1:24" x14ac:dyDescent="0.25">
      <c r="A6" s="3" t="s">
        <v>1417</v>
      </c>
      <c r="B6" s="3" t="s">
        <v>1413</v>
      </c>
      <c r="C6" s="3" t="s">
        <v>31</v>
      </c>
      <c r="D6" s="3">
        <v>17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259</v>
      </c>
      <c r="K6" s="3">
        <v>1269</v>
      </c>
      <c r="L6" s="3">
        <v>11</v>
      </c>
      <c r="M6" s="3">
        <v>26</v>
      </c>
      <c r="N6" s="3">
        <v>20</v>
      </c>
      <c r="O6" s="3">
        <v>78</v>
      </c>
      <c r="P6" s="3">
        <v>0</v>
      </c>
      <c r="Q6" s="3">
        <v>1</v>
      </c>
      <c r="R6" s="3">
        <v>0</v>
      </c>
      <c r="S6" s="3">
        <v>216.7</v>
      </c>
      <c r="T6" s="3">
        <v>4.1599999999999998E-2</v>
      </c>
      <c r="U6" s="3">
        <v>4.8996138996139003</v>
      </c>
      <c r="V6" s="3">
        <v>3.9</v>
      </c>
      <c r="W6" s="3"/>
      <c r="X6" s="3"/>
    </row>
    <row r="7" spans="1:24" x14ac:dyDescent="0.25">
      <c r="A7" s="4" t="s">
        <v>1418</v>
      </c>
      <c r="B7" s="4" t="s">
        <v>1413</v>
      </c>
      <c r="C7" s="4" t="s">
        <v>31</v>
      </c>
      <c r="D7" s="4">
        <v>1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2</v>
      </c>
      <c r="K7" s="4">
        <v>19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1.9</v>
      </c>
      <c r="T7" s="4">
        <v>0</v>
      </c>
      <c r="U7" s="4">
        <v>9.5</v>
      </c>
      <c r="V7" s="4"/>
      <c r="W7" s="4"/>
      <c r="X7" s="4"/>
    </row>
    <row r="8" spans="1:24" x14ac:dyDescent="0.25">
      <c r="A8" s="3" t="s">
        <v>1419</v>
      </c>
      <c r="B8" s="3" t="s">
        <v>1413</v>
      </c>
      <c r="C8" s="3" t="s">
        <v>38</v>
      </c>
      <c r="D8" s="3">
        <v>12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69</v>
      </c>
      <c r="N8" s="3">
        <v>55</v>
      </c>
      <c r="O8" s="3">
        <v>702</v>
      </c>
      <c r="P8" s="3">
        <v>3</v>
      </c>
      <c r="Q8" s="3">
        <v>0</v>
      </c>
      <c r="R8" s="3">
        <v>0</v>
      </c>
      <c r="S8" s="3">
        <v>141.19999999999999</v>
      </c>
      <c r="T8" s="3">
        <v>0.1104</v>
      </c>
      <c r="U8" s="3"/>
      <c r="V8" s="3">
        <v>12.763636363636399</v>
      </c>
      <c r="W8" s="3"/>
      <c r="X8" s="3"/>
    </row>
    <row r="9" spans="1:24" x14ac:dyDescent="0.25">
      <c r="A9" s="4" t="s">
        <v>1420</v>
      </c>
      <c r="B9" s="4" t="s">
        <v>1413</v>
      </c>
      <c r="C9" s="4" t="s">
        <v>38</v>
      </c>
      <c r="D9" s="4">
        <v>5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9</v>
      </c>
      <c r="N9" s="4">
        <v>5</v>
      </c>
      <c r="O9" s="4">
        <v>81</v>
      </c>
      <c r="P9" s="4">
        <v>0</v>
      </c>
      <c r="Q9" s="4">
        <v>0</v>
      </c>
      <c r="R9" s="4">
        <v>0</v>
      </c>
      <c r="S9" s="4">
        <v>13.1</v>
      </c>
      <c r="T9" s="4">
        <v>1.44E-2</v>
      </c>
      <c r="U9" s="4"/>
      <c r="V9" s="4">
        <v>16.2</v>
      </c>
      <c r="W9" s="4"/>
      <c r="X9" s="4"/>
    </row>
    <row r="10" spans="1:24" x14ac:dyDescent="0.25">
      <c r="A10" s="3" t="s">
        <v>1421</v>
      </c>
      <c r="B10" s="3" t="s">
        <v>1413</v>
      </c>
      <c r="C10" s="3" t="s">
        <v>38</v>
      </c>
      <c r="D10" s="3">
        <v>9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14</v>
      </c>
      <c r="N10" s="3">
        <v>11</v>
      </c>
      <c r="O10" s="3">
        <v>123</v>
      </c>
      <c r="P10" s="3">
        <v>0</v>
      </c>
      <c r="Q10" s="3">
        <v>0</v>
      </c>
      <c r="R10" s="3">
        <v>0</v>
      </c>
      <c r="S10" s="3">
        <v>23.3</v>
      </c>
      <c r="T10" s="3">
        <v>2.24E-2</v>
      </c>
      <c r="U10" s="3"/>
      <c r="V10" s="3">
        <v>11.181818181818199</v>
      </c>
      <c r="W10" s="3"/>
      <c r="X10" s="3"/>
    </row>
    <row r="11" spans="1:24" x14ac:dyDescent="0.25">
      <c r="A11" s="4" t="s">
        <v>1422</v>
      </c>
      <c r="B11" s="4" t="s">
        <v>1413</v>
      </c>
      <c r="C11" s="4" t="s">
        <v>38</v>
      </c>
      <c r="D11" s="4">
        <v>1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1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1.6000000000000001E-3</v>
      </c>
      <c r="U11" s="4"/>
      <c r="V11" s="4"/>
      <c r="W11" s="4"/>
      <c r="X11" s="4"/>
    </row>
    <row r="12" spans="1:24" x14ac:dyDescent="0.25">
      <c r="A12" s="3" t="s">
        <v>185</v>
      </c>
      <c r="B12" s="3" t="s">
        <v>1413</v>
      </c>
      <c r="C12" s="3" t="s">
        <v>43</v>
      </c>
      <c r="D12" s="3">
        <v>17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145</v>
      </c>
      <c r="N12" s="3">
        <v>88</v>
      </c>
      <c r="O12" s="3">
        <v>1496</v>
      </c>
      <c r="P12" s="3">
        <v>11</v>
      </c>
      <c r="Q12" s="3">
        <v>0</v>
      </c>
      <c r="R12" s="3">
        <v>0</v>
      </c>
      <c r="S12" s="3">
        <v>299.60000000000002</v>
      </c>
      <c r="T12" s="3">
        <v>0.23200000000000001</v>
      </c>
      <c r="U12" s="3"/>
      <c r="V12" s="3">
        <v>17</v>
      </c>
      <c r="W12" s="3"/>
      <c r="X12" s="3"/>
    </row>
    <row r="13" spans="1:24" x14ac:dyDescent="0.25">
      <c r="A13" s="4" t="s">
        <v>1423</v>
      </c>
      <c r="B13" s="4" t="s">
        <v>1413</v>
      </c>
      <c r="C13" s="4" t="s">
        <v>43</v>
      </c>
      <c r="D13" s="4">
        <v>17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136</v>
      </c>
      <c r="N13" s="4">
        <v>95</v>
      </c>
      <c r="O13" s="4">
        <v>1196</v>
      </c>
      <c r="P13" s="4">
        <v>7</v>
      </c>
      <c r="Q13" s="4">
        <v>0</v>
      </c>
      <c r="R13" s="4">
        <v>0</v>
      </c>
      <c r="S13" s="4">
        <v>254.6</v>
      </c>
      <c r="T13" s="4">
        <v>0.21759999999999999</v>
      </c>
      <c r="U13" s="4"/>
      <c r="V13" s="4">
        <v>12.5894736842105</v>
      </c>
      <c r="W13" s="4"/>
      <c r="X13" s="4"/>
    </row>
    <row r="14" spans="1:24" x14ac:dyDescent="0.25">
      <c r="A14" s="3" t="s">
        <v>1424</v>
      </c>
      <c r="B14" s="3" t="s">
        <v>1413</v>
      </c>
      <c r="C14" s="3" t="s">
        <v>43</v>
      </c>
      <c r="D14" s="3">
        <v>16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3</v>
      </c>
      <c r="K14" s="3">
        <v>1</v>
      </c>
      <c r="L14" s="3">
        <v>0</v>
      </c>
      <c r="M14" s="3">
        <v>51</v>
      </c>
      <c r="N14" s="3">
        <v>33</v>
      </c>
      <c r="O14" s="3">
        <v>354</v>
      </c>
      <c r="P14" s="3">
        <v>3</v>
      </c>
      <c r="Q14" s="3">
        <v>0</v>
      </c>
      <c r="R14" s="3">
        <v>0</v>
      </c>
      <c r="S14" s="3">
        <v>84.5</v>
      </c>
      <c r="T14" s="3">
        <v>8.1600000000000006E-2</v>
      </c>
      <c r="U14" s="3">
        <v>0.33333333333333298</v>
      </c>
      <c r="V14" s="3">
        <v>10.7272727272727</v>
      </c>
      <c r="W14" s="3"/>
      <c r="X14" s="3"/>
    </row>
    <row r="15" spans="1:24" x14ac:dyDescent="0.25">
      <c r="A15" s="4" t="s">
        <v>1425</v>
      </c>
      <c r="B15" s="4" t="s">
        <v>1413</v>
      </c>
      <c r="C15" s="4" t="s">
        <v>43</v>
      </c>
      <c r="D15" s="4">
        <v>12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1</v>
      </c>
      <c r="K15" s="4">
        <v>0</v>
      </c>
      <c r="L15" s="4">
        <v>0</v>
      </c>
      <c r="M15" s="4">
        <v>19</v>
      </c>
      <c r="N15" s="4">
        <v>15</v>
      </c>
      <c r="O15" s="4">
        <v>150</v>
      </c>
      <c r="P15" s="4">
        <v>1</v>
      </c>
      <c r="Q15" s="4">
        <v>0</v>
      </c>
      <c r="R15" s="4">
        <v>0</v>
      </c>
      <c r="S15" s="4">
        <v>36</v>
      </c>
      <c r="T15" s="4">
        <v>3.04E-2</v>
      </c>
      <c r="U15" s="4">
        <v>0</v>
      </c>
      <c r="V15" s="4">
        <v>10</v>
      </c>
      <c r="W15" s="4"/>
      <c r="X15" s="4"/>
    </row>
    <row r="30" spans="1:12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</row>
    <row r="31" spans="1:12" x14ac:dyDescent="0.25">
      <c r="A31" s="3" t="s">
        <v>1413</v>
      </c>
      <c r="B31" s="3">
        <v>6873</v>
      </c>
      <c r="C31" s="3">
        <v>4364</v>
      </c>
      <c r="D31" s="3">
        <v>544</v>
      </c>
      <c r="E31" s="3">
        <v>2509</v>
      </c>
      <c r="F31" s="3">
        <v>32</v>
      </c>
      <c r="G31" s="3">
        <v>1619.86</v>
      </c>
      <c r="H31" s="3">
        <v>536</v>
      </c>
      <c r="I31" s="3">
        <v>0.65298507462686595</v>
      </c>
      <c r="J31" s="3">
        <v>25</v>
      </c>
      <c r="K31" s="3">
        <v>9</v>
      </c>
      <c r="L31" s="3">
        <v>4</v>
      </c>
    </row>
    <row r="32" spans="1:12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</row>
    <row r="33" spans="1:28" x14ac:dyDescent="0.25">
      <c r="A33" s="3" t="str">
        <f>A31</f>
        <v>PHI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1426</v>
      </c>
      <c r="B36" s="3" t="s">
        <v>26</v>
      </c>
      <c r="C36" s="3">
        <v>25</v>
      </c>
      <c r="D36" s="3">
        <v>3</v>
      </c>
      <c r="E36" s="3" t="s">
        <v>362</v>
      </c>
      <c r="F36" s="3" t="s">
        <v>1413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">
        <v>0</v>
      </c>
      <c r="X36" s="3">
        <v>0</v>
      </c>
      <c r="Y36" s="3">
        <v>0</v>
      </c>
      <c r="Z36" s="3">
        <v>0</v>
      </c>
      <c r="AA36" s="3">
        <v>0</v>
      </c>
      <c r="AB36" s="3">
        <v>0</v>
      </c>
    </row>
    <row r="37" spans="1:28" x14ac:dyDescent="0.25">
      <c r="A37" s="4" t="s">
        <v>1427</v>
      </c>
      <c r="B37" s="4" t="s">
        <v>26</v>
      </c>
      <c r="C37" s="4">
        <v>25</v>
      </c>
      <c r="D37" s="4">
        <v>4</v>
      </c>
      <c r="E37" s="4" t="s">
        <v>68</v>
      </c>
      <c r="F37" s="4" t="s">
        <v>1413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</row>
    <row r="38" spans="1:28" x14ac:dyDescent="0.25">
      <c r="A38" s="3" t="s">
        <v>1428</v>
      </c>
      <c r="B38" s="3" t="s">
        <v>26</v>
      </c>
      <c r="C38" s="3">
        <v>29</v>
      </c>
      <c r="D38" s="3">
        <v>9</v>
      </c>
      <c r="E38" s="3" t="s">
        <v>205</v>
      </c>
      <c r="F38" s="3" t="s">
        <v>1413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v>0</v>
      </c>
      <c r="W38" s="3">
        <v>0</v>
      </c>
      <c r="X38" s="3">
        <v>0</v>
      </c>
      <c r="Y38" s="3">
        <v>0</v>
      </c>
      <c r="Z38" s="3">
        <v>0</v>
      </c>
      <c r="AA38" s="3">
        <v>0</v>
      </c>
      <c r="AB38" s="3">
        <v>0</v>
      </c>
    </row>
    <row r="39" spans="1:28" x14ac:dyDescent="0.25">
      <c r="A39" s="4" t="s">
        <v>1429</v>
      </c>
      <c r="B39" s="4" t="s">
        <v>26</v>
      </c>
      <c r="C39" s="4">
        <v>23</v>
      </c>
      <c r="D39" s="4">
        <v>0</v>
      </c>
      <c r="E39" s="4" t="s">
        <v>102</v>
      </c>
      <c r="F39" s="4" t="s">
        <v>1413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  <c r="AB39" s="4"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1430</v>
      </c>
      <c r="B46" s="3" t="s">
        <v>31</v>
      </c>
      <c r="C46" s="3">
        <v>24</v>
      </c>
      <c r="D46" s="3">
        <v>1</v>
      </c>
      <c r="E46" s="3" t="s">
        <v>68</v>
      </c>
      <c r="F46" s="3" t="s">
        <v>1413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v>0</v>
      </c>
      <c r="W46" s="3">
        <v>0</v>
      </c>
      <c r="X46" s="3">
        <v>0</v>
      </c>
      <c r="Y46" s="3">
        <v>0</v>
      </c>
      <c r="Z46" s="3">
        <v>0</v>
      </c>
      <c r="AA46" s="3">
        <v>0</v>
      </c>
      <c r="AB46" s="3">
        <f t="shared" ref="AB46:AB51" si="0">($J46*Cp_yd)+($K46*Cp_td)+($L46*Cint)+($M46*Ccar)+($N46*Cr_td)+($O46*Cr_yd)+(Q46*Crec)+($R46*Crec_yd)+($S46*Crec_td)+($T46*Cfmb)+($U46*Ctp_c)</f>
        <v>0</v>
      </c>
    </row>
    <row r="47" spans="1:28" x14ac:dyDescent="0.25">
      <c r="A47" s="4" t="s">
        <v>1431</v>
      </c>
      <c r="B47" s="4" t="s">
        <v>31</v>
      </c>
      <c r="C47" s="4">
        <v>24</v>
      </c>
      <c r="D47" s="4">
        <v>3</v>
      </c>
      <c r="E47" s="4" t="s">
        <v>557</v>
      </c>
      <c r="F47" s="4" t="s">
        <v>1413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f t="shared" si="0"/>
        <v>0</v>
      </c>
    </row>
    <row r="48" spans="1:28" x14ac:dyDescent="0.25">
      <c r="A48" s="3" t="s">
        <v>1432</v>
      </c>
      <c r="B48" s="3" t="s">
        <v>31</v>
      </c>
      <c r="C48" s="3">
        <v>27</v>
      </c>
      <c r="D48" s="3">
        <v>6</v>
      </c>
      <c r="E48" s="3" t="s">
        <v>795</v>
      </c>
      <c r="F48" s="3" t="s">
        <v>1413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v>0</v>
      </c>
      <c r="W48" s="3">
        <v>0</v>
      </c>
      <c r="X48" s="3">
        <v>0</v>
      </c>
      <c r="Y48" s="3">
        <v>0</v>
      </c>
      <c r="Z48" s="3">
        <v>0</v>
      </c>
      <c r="AA48" s="3">
        <v>0</v>
      </c>
      <c r="AB48" s="3">
        <f t="shared" si="0"/>
        <v>0</v>
      </c>
    </row>
    <row r="49" spans="1:28" x14ac:dyDescent="0.25">
      <c r="A49" s="4" t="s">
        <v>1433</v>
      </c>
      <c r="B49" s="4" t="s">
        <v>31</v>
      </c>
      <c r="C49" s="4">
        <v>28</v>
      </c>
      <c r="D49" s="4">
        <v>5</v>
      </c>
      <c r="E49" s="4" t="s">
        <v>64</v>
      </c>
      <c r="F49" s="4" t="s">
        <v>1413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B49" s="4">
        <f t="shared" si="0"/>
        <v>0</v>
      </c>
    </row>
    <row r="50" spans="1:28" x14ac:dyDescent="0.25">
      <c r="A50" s="3" t="s">
        <v>1434</v>
      </c>
      <c r="B50" s="3" t="s">
        <v>31</v>
      </c>
      <c r="C50" s="3">
        <v>24</v>
      </c>
      <c r="D50" s="3">
        <v>3</v>
      </c>
      <c r="E50" s="3" t="s">
        <v>213</v>
      </c>
      <c r="F50" s="3" t="s">
        <v>1413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v>0</v>
      </c>
      <c r="W50" s="3">
        <v>0</v>
      </c>
      <c r="X50" s="3">
        <v>0</v>
      </c>
      <c r="Y50" s="3">
        <v>0</v>
      </c>
      <c r="Z50" s="3">
        <v>0</v>
      </c>
      <c r="AA50" s="3">
        <v>0</v>
      </c>
      <c r="AB50" s="3">
        <f t="shared" si="0"/>
        <v>0</v>
      </c>
    </row>
    <row r="51" spans="1:28" x14ac:dyDescent="0.25">
      <c r="A51" s="4" t="s">
        <v>1435</v>
      </c>
      <c r="B51" s="4" t="s">
        <v>31</v>
      </c>
      <c r="C51" s="4">
        <v>24</v>
      </c>
      <c r="D51" s="4">
        <v>4</v>
      </c>
      <c r="E51" s="4" t="s">
        <v>173</v>
      </c>
      <c r="F51" s="4" t="s">
        <v>1413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v>0</v>
      </c>
      <c r="W51" s="4">
        <v>0</v>
      </c>
      <c r="X51" s="4">
        <v>0</v>
      </c>
      <c r="Y51" s="4">
        <v>0</v>
      </c>
      <c r="Z51" s="4">
        <v>0</v>
      </c>
      <c r="AA51" s="4">
        <v>0</v>
      </c>
      <c r="AB51" s="4">
        <f t="shared" si="0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1436</v>
      </c>
      <c r="B61" s="3" t="s">
        <v>43</v>
      </c>
      <c r="C61" s="3">
        <v>28</v>
      </c>
      <c r="D61" s="3">
        <v>1</v>
      </c>
      <c r="E61" s="3" t="s">
        <v>205</v>
      </c>
      <c r="F61" s="3" t="s">
        <v>1413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v>0</v>
      </c>
      <c r="W61" s="3">
        <v>0</v>
      </c>
      <c r="X61" s="3">
        <v>0</v>
      </c>
      <c r="Y61" s="3">
        <v>0</v>
      </c>
      <c r="Z61" s="3">
        <v>0</v>
      </c>
      <c r="AA61" s="3">
        <v>0</v>
      </c>
      <c r="AB61" s="3">
        <v>0</v>
      </c>
    </row>
    <row r="62" spans="1:28" x14ac:dyDescent="0.25">
      <c r="A62" s="4" t="s">
        <v>1437</v>
      </c>
      <c r="B62" s="4" t="s">
        <v>43</v>
      </c>
      <c r="C62" s="4">
        <v>26</v>
      </c>
      <c r="D62" s="4">
        <v>5</v>
      </c>
      <c r="E62" s="4" t="s">
        <v>240</v>
      </c>
      <c r="F62" s="4" t="s">
        <v>1413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0</v>
      </c>
      <c r="X62" s="4">
        <v>0</v>
      </c>
      <c r="Y62" s="4">
        <v>0</v>
      </c>
      <c r="Z62" s="4">
        <v>0</v>
      </c>
      <c r="AA62" s="4">
        <v>0</v>
      </c>
      <c r="AB62" s="4">
        <v>0</v>
      </c>
    </row>
    <row r="63" spans="1:28" x14ac:dyDescent="0.25">
      <c r="A63" s="3" t="s">
        <v>1438</v>
      </c>
      <c r="B63" s="3" t="s">
        <v>43</v>
      </c>
      <c r="C63" s="3">
        <v>27</v>
      </c>
      <c r="D63" s="3">
        <v>3</v>
      </c>
      <c r="E63" s="3" t="s">
        <v>458</v>
      </c>
      <c r="F63" s="3" t="s">
        <v>1413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v>0</v>
      </c>
      <c r="W63" s="3">
        <v>0</v>
      </c>
      <c r="X63" s="3">
        <v>0</v>
      </c>
      <c r="Y63" s="3">
        <v>0</v>
      </c>
      <c r="Z63" s="3">
        <v>0</v>
      </c>
      <c r="AA63" s="3">
        <v>0</v>
      </c>
      <c r="AB63" s="3">
        <v>0</v>
      </c>
    </row>
    <row r="64" spans="1:28" x14ac:dyDescent="0.25">
      <c r="A64" s="4" t="s">
        <v>1439</v>
      </c>
      <c r="B64" s="4" t="s">
        <v>43</v>
      </c>
      <c r="C64" s="4">
        <v>25</v>
      </c>
      <c r="D64" s="4">
        <v>4</v>
      </c>
      <c r="E64" s="4" t="s">
        <v>178</v>
      </c>
      <c r="F64" s="4" t="s">
        <v>1413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</row>
    <row r="65" spans="1:28" x14ac:dyDescent="0.25">
      <c r="A65" s="3" t="s">
        <v>1440</v>
      </c>
      <c r="B65" s="3" t="s">
        <v>43</v>
      </c>
      <c r="C65" s="3">
        <v>26</v>
      </c>
      <c r="D65" s="3">
        <v>2</v>
      </c>
      <c r="E65" s="3" t="s">
        <v>207</v>
      </c>
      <c r="F65" s="3" t="s">
        <v>1413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v>0</v>
      </c>
      <c r="W65" s="3">
        <v>0</v>
      </c>
      <c r="X65" s="3">
        <v>0</v>
      </c>
      <c r="Y65" s="3">
        <v>0</v>
      </c>
      <c r="Z65" s="3">
        <v>0</v>
      </c>
      <c r="AA65" s="3">
        <v>0</v>
      </c>
      <c r="AB65" s="3">
        <v>0</v>
      </c>
    </row>
    <row r="66" spans="1:28" x14ac:dyDescent="0.25">
      <c r="A66" s="4" t="s">
        <v>1441</v>
      </c>
      <c r="B66" s="4" t="s">
        <v>43</v>
      </c>
      <c r="C66" s="4">
        <v>22</v>
      </c>
      <c r="D66" s="4">
        <v>0</v>
      </c>
      <c r="E66" s="4" t="s">
        <v>175</v>
      </c>
      <c r="F66" s="4" t="s">
        <v>1413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</row>
    <row r="67" spans="1:28" x14ac:dyDescent="0.25">
      <c r="A67" s="3" t="s">
        <v>1442</v>
      </c>
      <c r="B67" s="3" t="s">
        <v>43</v>
      </c>
      <c r="C67" s="3">
        <v>23</v>
      </c>
      <c r="D67" s="3">
        <v>0</v>
      </c>
      <c r="E67" s="3" t="s">
        <v>1118</v>
      </c>
      <c r="F67" s="3" t="s">
        <v>1413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v>0</v>
      </c>
      <c r="W67" s="3">
        <v>0</v>
      </c>
      <c r="X67" s="3">
        <v>0</v>
      </c>
      <c r="Y67" s="3">
        <v>0</v>
      </c>
      <c r="Z67" s="3">
        <v>0</v>
      </c>
      <c r="AA67" s="3">
        <v>0</v>
      </c>
      <c r="AB67" s="3">
        <v>0</v>
      </c>
    </row>
    <row r="68" spans="1:28" x14ac:dyDescent="0.25">
      <c r="A68" s="4" t="s">
        <v>1443</v>
      </c>
      <c r="B68" s="4" t="s">
        <v>43</v>
      </c>
      <c r="C68" s="4">
        <v>22</v>
      </c>
      <c r="D68" s="4">
        <v>0</v>
      </c>
      <c r="E68" s="4" t="s">
        <v>458</v>
      </c>
      <c r="F68" s="4" t="s">
        <v>1413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0</v>
      </c>
      <c r="X68" s="4">
        <v>0</v>
      </c>
      <c r="Y68" s="4">
        <v>0</v>
      </c>
      <c r="Z68" s="4">
        <v>0</v>
      </c>
      <c r="AA68" s="4">
        <v>0</v>
      </c>
      <c r="AB68" s="4">
        <v>0</v>
      </c>
    </row>
    <row r="69" spans="1:28" x14ac:dyDescent="0.25">
      <c r="A69" s="3" t="s">
        <v>1444</v>
      </c>
      <c r="B69" s="3" t="s">
        <v>43</v>
      </c>
      <c r="C69" s="3">
        <v>24</v>
      </c>
      <c r="D69" s="3">
        <v>1</v>
      </c>
      <c r="E69" s="3" t="s">
        <v>397</v>
      </c>
      <c r="F69" s="3" t="s">
        <v>1413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v>0</v>
      </c>
      <c r="W69" s="3">
        <v>0</v>
      </c>
      <c r="X69" s="3">
        <v>0</v>
      </c>
      <c r="Y69" s="3">
        <v>0</v>
      </c>
      <c r="Z69" s="3">
        <v>0</v>
      </c>
      <c r="AA69" s="3">
        <v>0</v>
      </c>
      <c r="AB69" s="3">
        <v>0</v>
      </c>
    </row>
    <row r="70" spans="1:28" x14ac:dyDescent="0.25">
      <c r="A70" s="4" t="s">
        <v>1445</v>
      </c>
      <c r="B70" s="4" t="s">
        <v>43</v>
      </c>
      <c r="C70" s="4">
        <v>24</v>
      </c>
      <c r="D70" s="4">
        <v>3</v>
      </c>
      <c r="E70" s="4" t="s">
        <v>153</v>
      </c>
      <c r="F70" s="4" t="s">
        <v>1413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0</v>
      </c>
      <c r="X70" s="4">
        <v>0</v>
      </c>
      <c r="Y70" s="4">
        <v>0</v>
      </c>
      <c r="Z70" s="4">
        <v>0</v>
      </c>
      <c r="AA70" s="4">
        <v>0</v>
      </c>
      <c r="AB70" s="4">
        <v>0</v>
      </c>
    </row>
    <row r="71" spans="1:28" x14ac:dyDescent="0.25">
      <c r="A71" s="3" t="s">
        <v>1446</v>
      </c>
      <c r="B71" s="3" t="s">
        <v>43</v>
      </c>
      <c r="C71" s="3">
        <v>28</v>
      </c>
      <c r="D71" s="3">
        <v>4</v>
      </c>
      <c r="E71" s="3" t="s">
        <v>70</v>
      </c>
      <c r="F71" s="3" t="s">
        <v>1413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v>0</v>
      </c>
      <c r="W71" s="3">
        <v>0</v>
      </c>
      <c r="X71" s="3">
        <v>0</v>
      </c>
      <c r="Y71" s="3">
        <v>0</v>
      </c>
      <c r="Z71" s="3">
        <v>0</v>
      </c>
      <c r="AA71" s="3">
        <v>0</v>
      </c>
      <c r="AB71" s="3">
        <v>0</v>
      </c>
    </row>
    <row r="72" spans="1:28" x14ac:dyDescent="0.25">
      <c r="A72" s="4" t="s">
        <v>1447</v>
      </c>
      <c r="B72" s="4" t="s">
        <v>43</v>
      </c>
      <c r="C72" s="4">
        <v>25</v>
      </c>
      <c r="D72" s="4">
        <v>4</v>
      </c>
      <c r="E72" s="4" t="s">
        <v>898</v>
      </c>
      <c r="F72" s="4" t="s">
        <v>1413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v>0</v>
      </c>
      <c r="W72" s="4">
        <v>0</v>
      </c>
      <c r="X72" s="4">
        <v>0</v>
      </c>
      <c r="Y72" s="4">
        <v>0</v>
      </c>
      <c r="Z72" s="4">
        <v>0</v>
      </c>
      <c r="AA72" s="4">
        <v>0</v>
      </c>
      <c r="AB72" s="4">
        <v>0</v>
      </c>
    </row>
    <row r="73" spans="1:28" x14ac:dyDescent="0.25">
      <c r="A73" s="3" t="s">
        <v>1448</v>
      </c>
      <c r="B73" s="3" t="s">
        <v>43</v>
      </c>
      <c r="C73" s="3">
        <v>26</v>
      </c>
      <c r="D73" s="3">
        <v>5</v>
      </c>
      <c r="E73" s="3" t="s">
        <v>409</v>
      </c>
      <c r="F73" s="3" t="s">
        <v>1413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v>0</v>
      </c>
      <c r="W73" s="3">
        <v>0</v>
      </c>
      <c r="X73" s="3">
        <v>0</v>
      </c>
      <c r="Y73" s="3">
        <v>0</v>
      </c>
      <c r="Z73" s="3">
        <v>0</v>
      </c>
      <c r="AA73" s="3">
        <v>0</v>
      </c>
      <c r="AB73" s="3"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1449</v>
      </c>
      <c r="B76" s="3" t="s">
        <v>38</v>
      </c>
      <c r="C76" s="3">
        <v>28</v>
      </c>
      <c r="D76" s="3">
        <v>7</v>
      </c>
      <c r="E76" s="3" t="s">
        <v>1450</v>
      </c>
      <c r="F76" s="3" t="s">
        <v>1413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v>0</v>
      </c>
      <c r="W76" s="3">
        <v>0</v>
      </c>
      <c r="X76" s="3">
        <v>0</v>
      </c>
      <c r="Y76" s="3">
        <v>0</v>
      </c>
      <c r="Z76" s="3">
        <v>0</v>
      </c>
      <c r="AA76" s="3">
        <v>0</v>
      </c>
      <c r="AB76" s="3">
        <v>0</v>
      </c>
    </row>
    <row r="77" spans="1:28" x14ac:dyDescent="0.25">
      <c r="A77" s="4" t="s">
        <v>1451</v>
      </c>
      <c r="B77" s="4" t="s">
        <v>38</v>
      </c>
      <c r="C77" s="4">
        <v>24</v>
      </c>
      <c r="D77" s="4">
        <v>2</v>
      </c>
      <c r="E77" s="4" t="s">
        <v>237</v>
      </c>
      <c r="F77" s="4" t="s">
        <v>1413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v>0</v>
      </c>
      <c r="W77" s="4">
        <v>0</v>
      </c>
      <c r="X77" s="4">
        <v>0</v>
      </c>
      <c r="Y77" s="4">
        <v>0</v>
      </c>
      <c r="Z77" s="4">
        <v>0</v>
      </c>
      <c r="AA77" s="4">
        <v>0</v>
      </c>
      <c r="AB77" s="4">
        <v>0</v>
      </c>
    </row>
    <row r="78" spans="1:28" x14ac:dyDescent="0.25">
      <c r="A78" s="3" t="s">
        <v>1452</v>
      </c>
      <c r="B78" s="3" t="s">
        <v>38</v>
      </c>
      <c r="C78" s="3">
        <v>28</v>
      </c>
      <c r="D78" s="3">
        <v>6</v>
      </c>
      <c r="E78" s="3" t="s">
        <v>753</v>
      </c>
      <c r="F78" s="3" t="s">
        <v>1413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v>0</v>
      </c>
      <c r="W78" s="3">
        <v>0</v>
      </c>
      <c r="X78" s="3">
        <v>0</v>
      </c>
      <c r="Y78" s="3">
        <v>0</v>
      </c>
      <c r="Z78" s="3">
        <v>0</v>
      </c>
      <c r="AA78" s="3">
        <v>0</v>
      </c>
      <c r="AB78" s="3">
        <v>0</v>
      </c>
    </row>
    <row r="79" spans="1:28" x14ac:dyDescent="0.25">
      <c r="A79" s="4" t="s">
        <v>1453</v>
      </c>
      <c r="B79" s="4" t="s">
        <v>38</v>
      </c>
      <c r="C79" s="4">
        <v>25</v>
      </c>
      <c r="D79" s="4">
        <v>3</v>
      </c>
      <c r="E79" s="4" t="s">
        <v>806</v>
      </c>
      <c r="F79" s="4" t="s">
        <v>1413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v>0</v>
      </c>
      <c r="W79" s="4">
        <v>0</v>
      </c>
      <c r="X79" s="4">
        <v>0</v>
      </c>
      <c r="Y79" s="4">
        <v>0</v>
      </c>
      <c r="Z79" s="4">
        <v>0</v>
      </c>
      <c r="AA79" s="4">
        <v>0</v>
      </c>
      <c r="AB79" s="4">
        <v>0</v>
      </c>
    </row>
    <row r="80" spans="1:28" x14ac:dyDescent="0.25">
      <c r="A80" s="3" t="s">
        <v>1454</v>
      </c>
      <c r="B80" s="3" t="s">
        <v>38</v>
      </c>
      <c r="C80" s="3">
        <v>24</v>
      </c>
      <c r="D80" s="3">
        <v>0</v>
      </c>
      <c r="E80" s="3" t="s">
        <v>84</v>
      </c>
      <c r="F80" s="3" t="s">
        <v>1413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v>0</v>
      </c>
      <c r="W80" s="3">
        <v>0</v>
      </c>
      <c r="X80" s="3">
        <v>0</v>
      </c>
      <c r="Y80" s="3">
        <v>0</v>
      </c>
      <c r="Z80" s="3">
        <v>0</v>
      </c>
      <c r="AA80" s="3">
        <v>0</v>
      </c>
      <c r="AB80" s="3">
        <v>0</v>
      </c>
    </row>
    <row r="81" spans="1:28" x14ac:dyDescent="0.25">
      <c r="A81" s="4" t="s">
        <v>1455</v>
      </c>
      <c r="B81" s="4" t="s">
        <v>38</v>
      </c>
      <c r="C81" s="4">
        <v>25</v>
      </c>
      <c r="D81" s="4">
        <v>3</v>
      </c>
      <c r="E81" s="4" t="s">
        <v>248</v>
      </c>
      <c r="F81" s="4" t="s">
        <v>1413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v>0</v>
      </c>
      <c r="W81" s="4">
        <v>0</v>
      </c>
      <c r="X81" s="4">
        <v>0</v>
      </c>
      <c r="Y81" s="4">
        <v>0</v>
      </c>
      <c r="Z81" s="4">
        <v>0</v>
      </c>
      <c r="AA81" s="4">
        <v>0</v>
      </c>
      <c r="AB81" s="4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1:AB80"/>
  <sheetViews>
    <sheetView topLeftCell="F16" workbookViewId="0">
      <selection activeCell="AB46" sqref="AB46:AB52"/>
    </sheetView>
  </sheetViews>
  <sheetFormatPr defaultColWidth="11.42578125" defaultRowHeight="15" x14ac:dyDescent="0.25"/>
  <sheetData>
    <row r="1" spans="1:24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</row>
    <row r="2" spans="1:24" x14ac:dyDescent="0.25">
      <c r="A2" s="3" t="s">
        <v>1456</v>
      </c>
      <c r="B2" s="3" t="s">
        <v>1457</v>
      </c>
      <c r="C2" s="3" t="s">
        <v>115</v>
      </c>
      <c r="D2" s="3">
        <v>10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9</v>
      </c>
      <c r="K2" s="3">
        <v>21</v>
      </c>
      <c r="L2" s="3">
        <v>1</v>
      </c>
      <c r="M2" s="3">
        <v>5</v>
      </c>
      <c r="N2" s="3">
        <v>5</v>
      </c>
      <c r="O2" s="3">
        <v>11</v>
      </c>
      <c r="P2" s="3">
        <v>1</v>
      </c>
      <c r="Q2" s="3">
        <v>0</v>
      </c>
      <c r="R2" s="3">
        <v>0</v>
      </c>
      <c r="S2" s="3">
        <v>20.2</v>
      </c>
      <c r="T2" s="3">
        <v>9.3283582089552196E-3</v>
      </c>
      <c r="U2" s="3">
        <v>2.3333333333333299</v>
      </c>
      <c r="V2" s="3">
        <v>2.2000000000000002</v>
      </c>
      <c r="W2" s="3"/>
      <c r="X2" s="3"/>
    </row>
    <row r="3" spans="1:24" x14ac:dyDescent="0.25">
      <c r="A3" s="4" t="s">
        <v>1458</v>
      </c>
      <c r="B3" s="4" t="s">
        <v>1457</v>
      </c>
      <c r="C3" s="4" t="s">
        <v>26</v>
      </c>
      <c r="D3" s="4">
        <v>13</v>
      </c>
      <c r="E3" s="4">
        <v>389</v>
      </c>
      <c r="F3" s="4">
        <v>245</v>
      </c>
      <c r="G3" s="4">
        <v>2404</v>
      </c>
      <c r="H3" s="4">
        <v>7</v>
      </c>
      <c r="I3" s="4">
        <v>9</v>
      </c>
      <c r="J3" s="4">
        <v>55</v>
      </c>
      <c r="K3" s="4">
        <v>237</v>
      </c>
      <c r="L3" s="4">
        <v>3</v>
      </c>
      <c r="M3" s="4">
        <v>0</v>
      </c>
      <c r="N3" s="4">
        <v>0</v>
      </c>
      <c r="O3" s="4">
        <v>0</v>
      </c>
      <c r="P3" s="4">
        <v>0</v>
      </c>
      <c r="Q3" s="4">
        <v>1</v>
      </c>
      <c r="R3" s="4">
        <v>2</v>
      </c>
      <c r="S3" s="4">
        <v>149.86000000000001</v>
      </c>
      <c r="T3" s="4">
        <v>0</v>
      </c>
      <c r="U3" s="4">
        <v>4.3090909090909104</v>
      </c>
      <c r="V3" s="4"/>
      <c r="W3" s="4">
        <v>0.62982005141388198</v>
      </c>
      <c r="X3" s="4">
        <v>1.7994858611825201E-2</v>
      </c>
    </row>
    <row r="4" spans="1:24" x14ac:dyDescent="0.25">
      <c r="A4" s="3" t="s">
        <v>1459</v>
      </c>
      <c r="B4" s="3" t="s">
        <v>1457</v>
      </c>
      <c r="C4" s="3" t="s">
        <v>26</v>
      </c>
      <c r="D4" s="3">
        <v>7</v>
      </c>
      <c r="E4" s="3">
        <v>180</v>
      </c>
      <c r="F4" s="3">
        <v>117</v>
      </c>
      <c r="G4" s="3">
        <v>1252</v>
      </c>
      <c r="H4" s="3">
        <v>4</v>
      </c>
      <c r="I4" s="3">
        <v>5</v>
      </c>
      <c r="J4" s="3">
        <v>19</v>
      </c>
      <c r="K4" s="3">
        <v>38</v>
      </c>
      <c r="L4" s="3">
        <v>2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1</v>
      </c>
      <c r="S4" s="3">
        <v>73.88</v>
      </c>
      <c r="T4" s="3">
        <v>0</v>
      </c>
      <c r="U4" s="3">
        <v>2</v>
      </c>
      <c r="V4" s="3"/>
      <c r="W4" s="3">
        <v>0.65</v>
      </c>
      <c r="X4" s="3">
        <v>2.2222222222222199E-2</v>
      </c>
    </row>
    <row r="5" spans="1:24" x14ac:dyDescent="0.25">
      <c r="A5" s="4" t="s">
        <v>1460</v>
      </c>
      <c r="B5" s="4" t="s">
        <v>1457</v>
      </c>
      <c r="C5" s="4" t="s">
        <v>31</v>
      </c>
      <c r="D5" s="4">
        <v>1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6</v>
      </c>
      <c r="K5" s="4">
        <v>30</v>
      </c>
      <c r="L5" s="4">
        <v>0</v>
      </c>
      <c r="M5" s="4">
        <v>2</v>
      </c>
      <c r="N5" s="4">
        <v>2</v>
      </c>
      <c r="O5" s="4">
        <v>11</v>
      </c>
      <c r="P5" s="4">
        <v>0</v>
      </c>
      <c r="Q5" s="4">
        <v>0</v>
      </c>
      <c r="R5" s="4">
        <v>0</v>
      </c>
      <c r="S5" s="4">
        <v>6.1</v>
      </c>
      <c r="T5" s="4">
        <v>3.7313432835820899E-3</v>
      </c>
      <c r="U5" s="4">
        <v>5</v>
      </c>
      <c r="V5" s="4">
        <v>5.5</v>
      </c>
      <c r="W5" s="4"/>
      <c r="X5" s="4"/>
    </row>
    <row r="6" spans="1:24" x14ac:dyDescent="0.25">
      <c r="A6" s="3" t="s">
        <v>1461</v>
      </c>
      <c r="B6" s="3" t="s">
        <v>1457</v>
      </c>
      <c r="C6" s="3" t="s">
        <v>31</v>
      </c>
      <c r="D6" s="3">
        <v>3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20</v>
      </c>
      <c r="K6" s="3">
        <v>90</v>
      </c>
      <c r="L6" s="3">
        <v>1</v>
      </c>
      <c r="M6" s="3">
        <v>2</v>
      </c>
      <c r="N6" s="3">
        <v>2</v>
      </c>
      <c r="O6" s="3">
        <v>17</v>
      </c>
      <c r="P6" s="3">
        <v>0</v>
      </c>
      <c r="Q6" s="3">
        <v>0</v>
      </c>
      <c r="R6" s="3">
        <v>0</v>
      </c>
      <c r="S6" s="3">
        <v>18.7</v>
      </c>
      <c r="T6" s="3">
        <v>3.7313432835820899E-3</v>
      </c>
      <c r="U6" s="3">
        <v>4.5</v>
      </c>
      <c r="V6" s="3">
        <v>8.5</v>
      </c>
      <c r="W6" s="3"/>
      <c r="X6" s="3"/>
    </row>
    <row r="7" spans="1:24" x14ac:dyDescent="0.25">
      <c r="A7" s="4" t="s">
        <v>1462</v>
      </c>
      <c r="B7" s="4" t="s">
        <v>1457</v>
      </c>
      <c r="C7" s="4" t="s">
        <v>31</v>
      </c>
      <c r="D7" s="4">
        <v>16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77</v>
      </c>
      <c r="K7" s="4">
        <v>379</v>
      </c>
      <c r="L7" s="4">
        <v>1</v>
      </c>
      <c r="M7" s="4">
        <v>33</v>
      </c>
      <c r="N7" s="4">
        <v>28</v>
      </c>
      <c r="O7" s="4">
        <v>214</v>
      </c>
      <c r="P7" s="4">
        <v>0</v>
      </c>
      <c r="Q7" s="4">
        <v>0</v>
      </c>
      <c r="R7" s="4">
        <v>0</v>
      </c>
      <c r="S7" s="4">
        <v>93.3</v>
      </c>
      <c r="T7" s="4">
        <v>6.1567164179104503E-2</v>
      </c>
      <c r="U7" s="4">
        <v>4.9220779220779196</v>
      </c>
      <c r="V7" s="4">
        <v>7.6428571428571397</v>
      </c>
      <c r="W7" s="4"/>
      <c r="X7" s="4"/>
    </row>
    <row r="8" spans="1:24" x14ac:dyDescent="0.25">
      <c r="A8" s="3" t="s">
        <v>1463</v>
      </c>
      <c r="B8" s="3" t="s">
        <v>1457</v>
      </c>
      <c r="C8" s="3" t="s">
        <v>31</v>
      </c>
      <c r="D8" s="3">
        <v>17</v>
      </c>
      <c r="E8" s="3">
        <v>1</v>
      </c>
      <c r="F8" s="3">
        <v>1</v>
      </c>
      <c r="G8" s="3">
        <v>4</v>
      </c>
      <c r="H8" s="3">
        <v>0</v>
      </c>
      <c r="I8" s="3">
        <v>0</v>
      </c>
      <c r="J8" s="3">
        <v>272</v>
      </c>
      <c r="K8" s="3">
        <v>1034</v>
      </c>
      <c r="L8" s="3">
        <v>7</v>
      </c>
      <c r="M8" s="3">
        <v>53</v>
      </c>
      <c r="N8" s="3">
        <v>41</v>
      </c>
      <c r="O8" s="3">
        <v>229</v>
      </c>
      <c r="P8" s="3">
        <v>3</v>
      </c>
      <c r="Q8" s="3">
        <v>1</v>
      </c>
      <c r="R8" s="3">
        <v>0</v>
      </c>
      <c r="S8" s="3">
        <v>223.46</v>
      </c>
      <c r="T8" s="3">
        <v>9.8880597014925395E-2</v>
      </c>
      <c r="U8" s="3">
        <v>3.8014705882352899</v>
      </c>
      <c r="V8" s="3">
        <v>5.5853658536585398</v>
      </c>
      <c r="W8" s="3">
        <v>1</v>
      </c>
      <c r="X8" s="3">
        <v>0</v>
      </c>
    </row>
    <row r="9" spans="1:24" x14ac:dyDescent="0.25">
      <c r="A9" s="4" t="s">
        <v>1464</v>
      </c>
      <c r="B9" s="4" t="s">
        <v>1457</v>
      </c>
      <c r="C9" s="4" t="s">
        <v>38</v>
      </c>
      <c r="D9" s="4">
        <v>8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2</v>
      </c>
      <c r="K9" s="4">
        <v>27</v>
      </c>
      <c r="L9" s="4">
        <v>0</v>
      </c>
      <c r="M9" s="4">
        <v>17</v>
      </c>
      <c r="N9" s="4">
        <v>12</v>
      </c>
      <c r="O9" s="4">
        <v>151</v>
      </c>
      <c r="P9" s="4">
        <v>1</v>
      </c>
      <c r="Q9" s="4">
        <v>0</v>
      </c>
      <c r="R9" s="4">
        <v>0</v>
      </c>
      <c r="S9" s="4">
        <v>35.799999999999997</v>
      </c>
      <c r="T9" s="4">
        <v>3.1716417910447797E-2</v>
      </c>
      <c r="U9" s="4">
        <v>13.5</v>
      </c>
      <c r="V9" s="4">
        <v>12.5833333333333</v>
      </c>
      <c r="W9" s="4"/>
      <c r="X9" s="4"/>
    </row>
    <row r="10" spans="1:24" x14ac:dyDescent="0.25">
      <c r="A10" s="3" t="s">
        <v>1465</v>
      </c>
      <c r="B10" s="3" t="s">
        <v>1457</v>
      </c>
      <c r="C10" s="3" t="s">
        <v>38</v>
      </c>
      <c r="D10" s="3">
        <v>15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98</v>
      </c>
      <c r="N10" s="3">
        <v>63</v>
      </c>
      <c r="O10" s="3">
        <v>732</v>
      </c>
      <c r="P10" s="3">
        <v>2</v>
      </c>
      <c r="Q10" s="3">
        <v>0</v>
      </c>
      <c r="R10" s="3">
        <v>0</v>
      </c>
      <c r="S10" s="3">
        <v>148.19999999999999</v>
      </c>
      <c r="T10" s="3">
        <v>0.182835820895522</v>
      </c>
      <c r="U10" s="3"/>
      <c r="V10" s="3">
        <v>11.619047619047601</v>
      </c>
      <c r="W10" s="3"/>
      <c r="X10" s="3"/>
    </row>
    <row r="11" spans="1:24" x14ac:dyDescent="0.25">
      <c r="A11" s="4" t="s">
        <v>1466</v>
      </c>
      <c r="B11" s="4" t="s">
        <v>1457</v>
      </c>
      <c r="C11" s="4" t="s">
        <v>38</v>
      </c>
      <c r="D11" s="4">
        <v>14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23</v>
      </c>
      <c r="N11" s="4">
        <v>19</v>
      </c>
      <c r="O11" s="4">
        <v>132</v>
      </c>
      <c r="P11" s="4">
        <v>0</v>
      </c>
      <c r="Q11" s="4">
        <v>0</v>
      </c>
      <c r="R11" s="4">
        <v>0</v>
      </c>
      <c r="S11" s="4">
        <v>32.200000000000003</v>
      </c>
      <c r="T11" s="4">
        <v>4.2910447761194001E-2</v>
      </c>
      <c r="U11" s="4"/>
      <c r="V11" s="4">
        <v>6.9473684210526301</v>
      </c>
      <c r="W11" s="4"/>
      <c r="X11" s="4"/>
    </row>
    <row r="12" spans="1:24" x14ac:dyDescent="0.25">
      <c r="A12" s="3" t="s">
        <v>378</v>
      </c>
      <c r="B12" s="3" t="s">
        <v>1457</v>
      </c>
      <c r="C12" s="3" t="s">
        <v>43</v>
      </c>
      <c r="D12" s="3">
        <v>8</v>
      </c>
      <c r="E12" s="3">
        <v>1</v>
      </c>
      <c r="F12" s="3">
        <v>1</v>
      </c>
      <c r="G12" s="3">
        <v>1</v>
      </c>
      <c r="H12" s="3">
        <v>1</v>
      </c>
      <c r="I12" s="3">
        <v>0</v>
      </c>
      <c r="J12" s="3">
        <v>8</v>
      </c>
      <c r="K12" s="3">
        <v>55</v>
      </c>
      <c r="L12" s="3">
        <v>0</v>
      </c>
      <c r="M12" s="3">
        <v>50</v>
      </c>
      <c r="N12" s="3">
        <v>32</v>
      </c>
      <c r="O12" s="3">
        <v>311</v>
      </c>
      <c r="P12" s="3">
        <v>1</v>
      </c>
      <c r="Q12" s="3">
        <v>0</v>
      </c>
      <c r="R12" s="3">
        <v>0</v>
      </c>
      <c r="S12" s="3">
        <v>78.64</v>
      </c>
      <c r="T12" s="3">
        <v>9.3283582089552203E-2</v>
      </c>
      <c r="U12" s="3">
        <v>6.875</v>
      </c>
      <c r="V12" s="3">
        <v>9.71875</v>
      </c>
      <c r="W12" s="3">
        <v>1</v>
      </c>
      <c r="X12" s="3">
        <v>1</v>
      </c>
    </row>
    <row r="13" spans="1:24" x14ac:dyDescent="0.25">
      <c r="A13" s="4" t="s">
        <v>1467</v>
      </c>
      <c r="B13" s="4" t="s">
        <v>1457</v>
      </c>
      <c r="C13" s="4" t="s">
        <v>43</v>
      </c>
      <c r="D13" s="4">
        <v>1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1</v>
      </c>
      <c r="N13" s="4">
        <v>1</v>
      </c>
      <c r="O13" s="4">
        <v>2</v>
      </c>
      <c r="P13" s="4">
        <v>0</v>
      </c>
      <c r="Q13" s="4">
        <v>0</v>
      </c>
      <c r="R13" s="4">
        <v>0</v>
      </c>
      <c r="S13" s="4">
        <v>1.2</v>
      </c>
      <c r="T13" s="4">
        <v>1.86567164179104E-3</v>
      </c>
      <c r="U13" s="4"/>
      <c r="V13" s="4">
        <v>2</v>
      </c>
      <c r="W13" s="4"/>
      <c r="X13" s="4"/>
    </row>
    <row r="14" spans="1:24" x14ac:dyDescent="0.25">
      <c r="A14" s="3" t="s">
        <v>253</v>
      </c>
      <c r="B14" s="3" t="s">
        <v>1457</v>
      </c>
      <c r="C14" s="3" t="s">
        <v>43</v>
      </c>
      <c r="D14" s="3">
        <v>17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7</v>
      </c>
      <c r="K14" s="3">
        <v>25</v>
      </c>
      <c r="L14" s="3">
        <v>0</v>
      </c>
      <c r="M14" s="3">
        <v>147</v>
      </c>
      <c r="N14" s="3">
        <v>86</v>
      </c>
      <c r="O14" s="3">
        <v>882</v>
      </c>
      <c r="P14" s="3">
        <v>0</v>
      </c>
      <c r="Q14" s="3">
        <v>0</v>
      </c>
      <c r="R14" s="3">
        <v>0</v>
      </c>
      <c r="S14" s="3">
        <v>180.7</v>
      </c>
      <c r="T14" s="3">
        <v>0.27425373134328401</v>
      </c>
      <c r="U14" s="3">
        <v>3.5714285714285698</v>
      </c>
      <c r="V14" s="3">
        <v>10.255813953488399</v>
      </c>
      <c r="W14" s="3"/>
      <c r="X14" s="3"/>
    </row>
    <row r="15" spans="1:24" x14ac:dyDescent="0.25">
      <c r="A15" s="4" t="s">
        <v>1468</v>
      </c>
      <c r="B15" s="4" t="s">
        <v>1457</v>
      </c>
      <c r="C15" s="4" t="s">
        <v>43</v>
      </c>
      <c r="D15" s="4">
        <v>10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8</v>
      </c>
      <c r="K15" s="4">
        <v>39</v>
      </c>
      <c r="L15" s="4">
        <v>0</v>
      </c>
      <c r="M15" s="4">
        <v>7</v>
      </c>
      <c r="N15" s="4">
        <v>5</v>
      </c>
      <c r="O15" s="4">
        <v>53</v>
      </c>
      <c r="P15" s="4">
        <v>0</v>
      </c>
      <c r="Q15" s="4">
        <v>0</v>
      </c>
      <c r="R15" s="4">
        <v>0</v>
      </c>
      <c r="S15" s="4">
        <v>14.2</v>
      </c>
      <c r="T15" s="4">
        <v>1.3059701492537301E-2</v>
      </c>
      <c r="U15" s="4">
        <v>4.875</v>
      </c>
      <c r="V15" s="4">
        <v>10.6</v>
      </c>
      <c r="W15" s="4"/>
      <c r="X15" s="4"/>
    </row>
    <row r="16" spans="1:24" x14ac:dyDescent="0.25">
      <c r="A16" s="3" t="s">
        <v>1469</v>
      </c>
      <c r="B16" s="3" t="s">
        <v>1457</v>
      </c>
      <c r="C16" s="3" t="s">
        <v>43</v>
      </c>
      <c r="D16" s="3">
        <v>17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3</v>
      </c>
      <c r="K16" s="3">
        <v>24</v>
      </c>
      <c r="L16" s="3">
        <v>1</v>
      </c>
      <c r="M16" s="3">
        <v>84</v>
      </c>
      <c r="N16" s="3">
        <v>52</v>
      </c>
      <c r="O16" s="3">
        <v>801</v>
      </c>
      <c r="P16" s="3">
        <v>4</v>
      </c>
      <c r="Q16" s="3">
        <v>0</v>
      </c>
      <c r="R16" s="3">
        <v>0</v>
      </c>
      <c r="S16" s="3">
        <v>166.5</v>
      </c>
      <c r="T16" s="3">
        <v>0.15671641791044799</v>
      </c>
      <c r="U16" s="3">
        <v>8</v>
      </c>
      <c r="V16" s="3">
        <v>15.403846153846199</v>
      </c>
      <c r="W16" s="3"/>
      <c r="X16" s="3"/>
    </row>
    <row r="17" spans="1:24" x14ac:dyDescent="0.25">
      <c r="A17" s="4" t="s">
        <v>1470</v>
      </c>
      <c r="B17" s="4" t="s">
        <v>1457</v>
      </c>
      <c r="C17" s="4" t="s">
        <v>43</v>
      </c>
      <c r="D17" s="4">
        <v>3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3</v>
      </c>
      <c r="N17" s="4">
        <v>2</v>
      </c>
      <c r="O17" s="4">
        <v>11</v>
      </c>
      <c r="P17" s="4">
        <v>0</v>
      </c>
      <c r="Q17" s="4">
        <v>0</v>
      </c>
      <c r="R17" s="4">
        <v>0</v>
      </c>
      <c r="S17" s="4">
        <v>3.1</v>
      </c>
      <c r="T17" s="4">
        <v>5.5970149253731297E-3</v>
      </c>
      <c r="U17" s="4"/>
      <c r="V17" s="4">
        <v>5.5</v>
      </c>
      <c r="W17" s="4"/>
      <c r="X17" s="4"/>
    </row>
    <row r="18" spans="1:24" x14ac:dyDescent="0.25">
      <c r="A18" s="3" t="s">
        <v>1471</v>
      </c>
      <c r="B18" s="3" t="s">
        <v>1457</v>
      </c>
      <c r="C18" s="3" t="s">
        <v>43</v>
      </c>
      <c r="D18" s="3">
        <v>11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13</v>
      </c>
      <c r="K18" s="3">
        <v>70</v>
      </c>
      <c r="L18" s="3">
        <v>0</v>
      </c>
      <c r="M18" s="3">
        <v>23</v>
      </c>
      <c r="N18" s="3">
        <v>14</v>
      </c>
      <c r="O18" s="3">
        <v>104</v>
      </c>
      <c r="P18" s="3">
        <v>0</v>
      </c>
      <c r="Q18" s="3">
        <v>0</v>
      </c>
      <c r="R18" s="3">
        <v>0</v>
      </c>
      <c r="S18" s="3">
        <v>31.4</v>
      </c>
      <c r="T18" s="3">
        <v>4.2910447761194001E-2</v>
      </c>
      <c r="U18" s="3">
        <v>5.3846153846153904</v>
      </c>
      <c r="V18" s="3">
        <v>7.4285714285714297</v>
      </c>
      <c r="W18" s="3"/>
      <c r="X18" s="3"/>
    </row>
    <row r="30" spans="1:24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</row>
    <row r="31" spans="1:24" x14ac:dyDescent="0.25">
      <c r="A31" s="3" t="s">
        <v>1457</v>
      </c>
      <c r="B31" s="3">
        <v>5730</v>
      </c>
      <c r="C31" s="3">
        <v>3661</v>
      </c>
      <c r="D31" s="3">
        <v>499</v>
      </c>
      <c r="E31" s="3">
        <v>2069</v>
      </c>
      <c r="F31" s="3">
        <v>16</v>
      </c>
      <c r="G31" s="3">
        <v>1277.44</v>
      </c>
      <c r="H31" s="3">
        <v>571</v>
      </c>
      <c r="I31" s="3">
        <v>0.63747810858143605</v>
      </c>
      <c r="J31" s="3">
        <v>12</v>
      </c>
      <c r="K31" s="3">
        <v>14</v>
      </c>
      <c r="L31" s="3">
        <v>2</v>
      </c>
    </row>
    <row r="32" spans="1:24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</row>
    <row r="33" spans="1:28" x14ac:dyDescent="0.25">
      <c r="A33" s="3" t="str">
        <f>A31</f>
        <v>PIT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1472</v>
      </c>
      <c r="B36" s="3" t="s">
        <v>26</v>
      </c>
      <c r="C36" s="3">
        <v>24</v>
      </c>
      <c r="D36" s="3">
        <v>0</v>
      </c>
      <c r="E36" s="3" t="s">
        <v>225</v>
      </c>
      <c r="F36" s="3" t="s">
        <v>1457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">
        <v>0</v>
      </c>
      <c r="X36" s="3">
        <v>0</v>
      </c>
      <c r="Y36" s="3">
        <v>0</v>
      </c>
      <c r="Z36" s="3">
        <v>0</v>
      </c>
      <c r="AA36" s="3">
        <v>0</v>
      </c>
      <c r="AB36" s="3">
        <v>0</v>
      </c>
    </row>
    <row r="37" spans="1:28" x14ac:dyDescent="0.25">
      <c r="A37" s="4" t="s">
        <v>1473</v>
      </c>
      <c r="B37" s="4" t="s">
        <v>26</v>
      </c>
      <c r="C37" s="4">
        <v>25</v>
      </c>
      <c r="D37" s="4">
        <v>2</v>
      </c>
      <c r="E37" s="4" t="s">
        <v>74</v>
      </c>
      <c r="F37" s="4" t="s">
        <v>1457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</row>
    <row r="38" spans="1:28" x14ac:dyDescent="0.25">
      <c r="A38" s="3" t="s">
        <v>1474</v>
      </c>
      <c r="B38" s="3" t="s">
        <v>26</v>
      </c>
      <c r="C38" s="3">
        <v>28</v>
      </c>
      <c r="D38" s="3">
        <v>6</v>
      </c>
      <c r="E38" s="3" t="s">
        <v>218</v>
      </c>
      <c r="F38" s="3" t="s">
        <v>1457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v>0</v>
      </c>
      <c r="W38" s="3">
        <v>0</v>
      </c>
      <c r="X38" s="3">
        <v>0</v>
      </c>
      <c r="Y38" s="3">
        <v>0</v>
      </c>
      <c r="Z38" s="3">
        <v>0</v>
      </c>
      <c r="AA38" s="3">
        <v>0</v>
      </c>
      <c r="AB38" s="3">
        <v>0</v>
      </c>
    </row>
    <row r="39" spans="1:28" x14ac:dyDescent="0.25">
      <c r="A39" s="4" t="s">
        <v>1475</v>
      </c>
      <c r="B39" s="4" t="s">
        <v>26</v>
      </c>
      <c r="C39" s="4">
        <v>28</v>
      </c>
      <c r="D39" s="4">
        <v>7</v>
      </c>
      <c r="E39" s="4" t="s">
        <v>163</v>
      </c>
      <c r="F39" s="4" t="s">
        <v>1457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  <c r="AB39" s="4"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1476</v>
      </c>
      <c r="B46" s="3" t="s">
        <v>31</v>
      </c>
      <c r="C46" s="3">
        <v>25</v>
      </c>
      <c r="D46" s="3">
        <v>2</v>
      </c>
      <c r="E46" s="3" t="s">
        <v>795</v>
      </c>
      <c r="F46" s="3" t="s">
        <v>1457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v>0</v>
      </c>
      <c r="W46" s="3">
        <v>0</v>
      </c>
      <c r="X46" s="3">
        <v>0</v>
      </c>
      <c r="Y46" s="3">
        <v>0</v>
      </c>
      <c r="Z46" s="3">
        <v>0</v>
      </c>
      <c r="AA46" s="3">
        <v>0</v>
      </c>
      <c r="AB46" s="3">
        <f t="shared" ref="AB46:AB52" si="0">($J46*Cp_yd)+($K46*Cp_td)+($L46*Cint)+($M46*Ccar)+($N46*Cr_td)+($O46*Cr_yd)+(Q46*Crec)+($R46*Crec_yd)+($S46*Crec_td)+($T46*Cfmb)+($U46*Ctp_c)</f>
        <v>0</v>
      </c>
    </row>
    <row r="47" spans="1:28" x14ac:dyDescent="0.25">
      <c r="A47" s="4" t="s">
        <v>1477</v>
      </c>
      <c r="B47" s="4" t="s">
        <v>31</v>
      </c>
      <c r="C47" s="4">
        <v>23</v>
      </c>
      <c r="D47" s="4">
        <v>0</v>
      </c>
      <c r="E47" s="4" t="s">
        <v>1478</v>
      </c>
      <c r="F47" s="4" t="s">
        <v>1457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f t="shared" si="0"/>
        <v>0</v>
      </c>
    </row>
    <row r="48" spans="1:28" x14ac:dyDescent="0.25">
      <c r="A48" s="3" t="s">
        <v>1479</v>
      </c>
      <c r="B48" s="3" t="s">
        <v>31</v>
      </c>
      <c r="C48" s="3">
        <v>24</v>
      </c>
      <c r="D48" s="3">
        <v>0</v>
      </c>
      <c r="E48" s="3" t="s">
        <v>1480</v>
      </c>
      <c r="F48" s="3" t="s">
        <v>1457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v>0</v>
      </c>
      <c r="W48" s="3">
        <v>0</v>
      </c>
      <c r="X48" s="3">
        <v>0</v>
      </c>
      <c r="Y48" s="3">
        <v>0</v>
      </c>
      <c r="Z48" s="3">
        <v>0</v>
      </c>
      <c r="AA48" s="3">
        <v>0</v>
      </c>
      <c r="AB48" s="3">
        <f t="shared" si="0"/>
        <v>0</v>
      </c>
    </row>
    <row r="49" spans="1:28" x14ac:dyDescent="0.25">
      <c r="A49" s="4" t="s">
        <v>1481</v>
      </c>
      <c r="B49" s="4" t="s">
        <v>31</v>
      </c>
      <c r="C49" s="4">
        <v>25</v>
      </c>
      <c r="D49" s="4">
        <v>3</v>
      </c>
      <c r="E49" s="4" t="s">
        <v>153</v>
      </c>
      <c r="F49" s="4" t="s">
        <v>1457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B49" s="4">
        <f t="shared" si="0"/>
        <v>0</v>
      </c>
    </row>
    <row r="50" spans="1:28" x14ac:dyDescent="0.25">
      <c r="A50" s="3" t="s">
        <v>1482</v>
      </c>
      <c r="B50" s="3" t="s">
        <v>31</v>
      </c>
      <c r="C50" s="3">
        <v>24</v>
      </c>
      <c r="D50" s="3">
        <v>3</v>
      </c>
      <c r="E50" s="3" t="s">
        <v>232</v>
      </c>
      <c r="F50" s="3" t="s">
        <v>1457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v>0</v>
      </c>
      <c r="W50" s="3">
        <v>0</v>
      </c>
      <c r="X50" s="3">
        <v>0</v>
      </c>
      <c r="Y50" s="3">
        <v>0</v>
      </c>
      <c r="Z50" s="3">
        <v>0</v>
      </c>
      <c r="AA50" s="3">
        <v>0</v>
      </c>
      <c r="AB50" s="3">
        <f t="shared" si="0"/>
        <v>0</v>
      </c>
    </row>
    <row r="51" spans="1:28" x14ac:dyDescent="0.25">
      <c r="A51" s="4" t="s">
        <v>1483</v>
      </c>
      <c r="B51" s="4" t="s">
        <v>31</v>
      </c>
      <c r="C51" s="4">
        <v>25</v>
      </c>
      <c r="D51" s="4">
        <v>0</v>
      </c>
      <c r="E51" s="4" t="s">
        <v>155</v>
      </c>
      <c r="F51" s="4" t="s">
        <v>1457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v>0</v>
      </c>
      <c r="W51" s="4">
        <v>0</v>
      </c>
      <c r="X51" s="4">
        <v>0</v>
      </c>
      <c r="Y51" s="4">
        <v>0</v>
      </c>
      <c r="Z51" s="4">
        <v>0</v>
      </c>
      <c r="AA51" s="4">
        <v>0</v>
      </c>
      <c r="AB51" s="4">
        <f t="shared" si="0"/>
        <v>0</v>
      </c>
    </row>
    <row r="52" spans="1:28" x14ac:dyDescent="0.25">
      <c r="A52" s="3" t="s">
        <v>1484</v>
      </c>
      <c r="B52" s="3" t="s">
        <v>31</v>
      </c>
      <c r="C52" s="3">
        <v>24</v>
      </c>
      <c r="D52" s="3">
        <v>2</v>
      </c>
      <c r="E52" s="3" t="s">
        <v>218</v>
      </c>
      <c r="F52" s="3" t="s">
        <v>1457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v>0</v>
      </c>
      <c r="W52" s="3">
        <v>0</v>
      </c>
      <c r="X52" s="3">
        <v>0</v>
      </c>
      <c r="Y52" s="3">
        <v>0</v>
      </c>
      <c r="Z52" s="3">
        <v>0</v>
      </c>
      <c r="AA52" s="3">
        <v>0</v>
      </c>
      <c r="AB52" s="3">
        <f t="shared" si="0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1485</v>
      </c>
      <c r="B61" s="3" t="s">
        <v>43</v>
      </c>
      <c r="C61" s="3">
        <v>24</v>
      </c>
      <c r="D61" s="3">
        <v>2</v>
      </c>
      <c r="E61" s="3" t="s">
        <v>557</v>
      </c>
      <c r="F61" s="3" t="s">
        <v>1457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v>0</v>
      </c>
      <c r="W61" s="3">
        <v>0</v>
      </c>
      <c r="X61" s="3">
        <v>0</v>
      </c>
      <c r="Y61" s="3">
        <v>0</v>
      </c>
      <c r="Z61" s="3">
        <v>0</v>
      </c>
      <c r="AA61" s="3">
        <v>0</v>
      </c>
      <c r="AB61" s="3">
        <v>0</v>
      </c>
    </row>
    <row r="62" spans="1:28" x14ac:dyDescent="0.25">
      <c r="A62" s="4" t="s">
        <v>1486</v>
      </c>
      <c r="B62" s="4" t="s">
        <v>43</v>
      </c>
      <c r="C62" s="4">
        <v>26</v>
      </c>
      <c r="D62" s="4">
        <v>5</v>
      </c>
      <c r="E62" s="4" t="s">
        <v>362</v>
      </c>
      <c r="F62" s="4" t="s">
        <v>1457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0</v>
      </c>
      <c r="X62" s="4">
        <v>0</v>
      </c>
      <c r="Y62" s="4">
        <v>0</v>
      </c>
      <c r="Z62" s="4">
        <v>0</v>
      </c>
      <c r="AA62" s="4">
        <v>0</v>
      </c>
      <c r="AB62" s="4">
        <v>0</v>
      </c>
    </row>
    <row r="63" spans="1:28" x14ac:dyDescent="0.25">
      <c r="A63" s="3" t="s">
        <v>1487</v>
      </c>
      <c r="B63" s="3" t="s">
        <v>43</v>
      </c>
      <c r="C63" s="3">
        <v>27</v>
      </c>
      <c r="D63" s="3">
        <v>2</v>
      </c>
      <c r="E63" s="3" t="s">
        <v>244</v>
      </c>
      <c r="F63" s="3" t="s">
        <v>1457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v>0</v>
      </c>
      <c r="W63" s="3">
        <v>0</v>
      </c>
      <c r="X63" s="3">
        <v>0</v>
      </c>
      <c r="Y63" s="3">
        <v>0</v>
      </c>
      <c r="Z63" s="3">
        <v>0</v>
      </c>
      <c r="AA63" s="3">
        <v>0</v>
      </c>
      <c r="AB63" s="3">
        <v>0</v>
      </c>
    </row>
    <row r="64" spans="1:28" x14ac:dyDescent="0.25">
      <c r="A64" s="4" t="s">
        <v>1488</v>
      </c>
      <c r="B64" s="4" t="s">
        <v>43</v>
      </c>
      <c r="C64" s="4">
        <v>23</v>
      </c>
      <c r="D64" s="4">
        <v>0</v>
      </c>
      <c r="E64" s="4" t="s">
        <v>795</v>
      </c>
      <c r="F64" s="4" t="s">
        <v>1457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</row>
    <row r="65" spans="1:28" x14ac:dyDescent="0.25">
      <c r="A65" s="3" t="s">
        <v>1489</v>
      </c>
      <c r="B65" s="3" t="s">
        <v>43</v>
      </c>
      <c r="C65" s="3">
        <v>26</v>
      </c>
      <c r="D65" s="3">
        <v>3</v>
      </c>
      <c r="E65" s="3" t="s">
        <v>339</v>
      </c>
      <c r="F65" s="3" t="s">
        <v>1457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v>0</v>
      </c>
      <c r="W65" s="3">
        <v>0</v>
      </c>
      <c r="X65" s="3">
        <v>0</v>
      </c>
      <c r="Y65" s="3">
        <v>0</v>
      </c>
      <c r="Z65" s="3">
        <v>0</v>
      </c>
      <c r="AA65" s="3">
        <v>0</v>
      </c>
      <c r="AB65" s="3">
        <v>0</v>
      </c>
    </row>
    <row r="66" spans="1:28" x14ac:dyDescent="0.25">
      <c r="A66" s="4" t="s">
        <v>1490</v>
      </c>
      <c r="B66" s="4" t="s">
        <v>43</v>
      </c>
      <c r="C66" s="4">
        <v>25</v>
      </c>
      <c r="D66" s="4">
        <v>2</v>
      </c>
      <c r="E66" s="4" t="s">
        <v>209</v>
      </c>
      <c r="F66" s="4" t="s">
        <v>1457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</row>
    <row r="67" spans="1:28" x14ac:dyDescent="0.25">
      <c r="A67" s="3" t="s">
        <v>1491</v>
      </c>
      <c r="B67" s="3" t="s">
        <v>43</v>
      </c>
      <c r="C67" s="3">
        <v>27</v>
      </c>
      <c r="D67" s="3">
        <v>5</v>
      </c>
      <c r="E67" s="3" t="s">
        <v>138</v>
      </c>
      <c r="F67" s="3" t="s">
        <v>1457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v>0</v>
      </c>
      <c r="W67" s="3">
        <v>0</v>
      </c>
      <c r="X67" s="3">
        <v>0</v>
      </c>
      <c r="Y67" s="3">
        <v>0</v>
      </c>
      <c r="Z67" s="3">
        <v>0</v>
      </c>
      <c r="AA67" s="3">
        <v>0</v>
      </c>
      <c r="AB67" s="3">
        <v>0</v>
      </c>
    </row>
    <row r="68" spans="1:28" x14ac:dyDescent="0.25">
      <c r="A68" s="4" t="s">
        <v>1492</v>
      </c>
      <c r="B68" s="4" t="s">
        <v>43</v>
      </c>
      <c r="C68" s="4">
        <v>26</v>
      </c>
      <c r="D68" s="4">
        <v>5</v>
      </c>
      <c r="E68" s="4" t="s">
        <v>1493</v>
      </c>
      <c r="F68" s="4" t="s">
        <v>1457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0</v>
      </c>
      <c r="X68" s="4">
        <v>0</v>
      </c>
      <c r="Y68" s="4">
        <v>0</v>
      </c>
      <c r="Z68" s="4">
        <v>0</v>
      </c>
      <c r="AA68" s="4">
        <v>0</v>
      </c>
      <c r="AB68" s="4">
        <v>0</v>
      </c>
    </row>
    <row r="69" spans="1:28" x14ac:dyDescent="0.25">
      <c r="A69" s="3" t="s">
        <v>1494</v>
      </c>
      <c r="B69" s="3" t="s">
        <v>43</v>
      </c>
      <c r="C69" s="3">
        <v>22</v>
      </c>
      <c r="D69" s="3">
        <v>2</v>
      </c>
      <c r="E69" s="3" t="s">
        <v>173</v>
      </c>
      <c r="F69" s="3" t="s">
        <v>1457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v>0</v>
      </c>
      <c r="W69" s="3">
        <v>0</v>
      </c>
      <c r="X69" s="3">
        <v>0</v>
      </c>
      <c r="Y69" s="3">
        <v>0</v>
      </c>
      <c r="Z69" s="3">
        <v>0</v>
      </c>
      <c r="AA69" s="3">
        <v>0</v>
      </c>
      <c r="AB69" s="3">
        <v>0</v>
      </c>
    </row>
    <row r="70" spans="1:28" x14ac:dyDescent="0.25">
      <c r="A70" s="4" t="s">
        <v>1495</v>
      </c>
      <c r="B70" s="4" t="s">
        <v>43</v>
      </c>
      <c r="C70" s="4">
        <v>29</v>
      </c>
      <c r="D70" s="4">
        <v>10</v>
      </c>
      <c r="E70" s="4" t="s">
        <v>339</v>
      </c>
      <c r="F70" s="4" t="s">
        <v>1457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0</v>
      </c>
      <c r="X70" s="4">
        <v>0</v>
      </c>
      <c r="Y70" s="4">
        <v>0</v>
      </c>
      <c r="Z70" s="4">
        <v>0</v>
      </c>
      <c r="AA70" s="4">
        <v>0</v>
      </c>
      <c r="AB70" s="4">
        <v>0</v>
      </c>
    </row>
    <row r="71" spans="1:28" x14ac:dyDescent="0.25">
      <c r="A71" s="3" t="s">
        <v>1496</v>
      </c>
      <c r="B71" s="3" t="s">
        <v>43</v>
      </c>
      <c r="C71" s="3">
        <v>24</v>
      </c>
      <c r="D71" s="3">
        <v>2</v>
      </c>
      <c r="E71" s="3" t="s">
        <v>744</v>
      </c>
      <c r="F71" s="3" t="s">
        <v>1457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v>0</v>
      </c>
      <c r="W71" s="3">
        <v>0</v>
      </c>
      <c r="X71" s="3">
        <v>0</v>
      </c>
      <c r="Y71" s="3">
        <v>0</v>
      </c>
      <c r="Z71" s="3">
        <v>0</v>
      </c>
      <c r="AA71" s="3">
        <v>0</v>
      </c>
      <c r="AB71" s="3"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1497</v>
      </c>
      <c r="B76" s="3" t="s">
        <v>38</v>
      </c>
      <c r="C76" s="3">
        <v>24</v>
      </c>
      <c r="D76" s="3">
        <v>3</v>
      </c>
      <c r="E76" s="3" t="s">
        <v>339</v>
      </c>
      <c r="F76" s="3" t="s">
        <v>1457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v>0</v>
      </c>
      <c r="W76" s="3">
        <v>0</v>
      </c>
      <c r="X76" s="3">
        <v>0</v>
      </c>
      <c r="Y76" s="3">
        <v>0</v>
      </c>
      <c r="Z76" s="3">
        <v>0</v>
      </c>
      <c r="AA76" s="3">
        <v>0</v>
      </c>
      <c r="AB76" s="3">
        <v>0</v>
      </c>
    </row>
    <row r="77" spans="1:28" x14ac:dyDescent="0.25">
      <c r="A77" s="4" t="s">
        <v>1498</v>
      </c>
      <c r="B77" s="4" t="s">
        <v>38</v>
      </c>
      <c r="C77" s="4">
        <v>26</v>
      </c>
      <c r="D77" s="4">
        <v>5</v>
      </c>
      <c r="E77" s="4" t="s">
        <v>105</v>
      </c>
      <c r="F77" s="4" t="s">
        <v>1457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v>0</v>
      </c>
      <c r="W77" s="4">
        <v>0</v>
      </c>
      <c r="X77" s="4">
        <v>0</v>
      </c>
      <c r="Y77" s="4">
        <v>0</v>
      </c>
      <c r="Z77" s="4">
        <v>0</v>
      </c>
      <c r="AA77" s="4">
        <v>0</v>
      </c>
      <c r="AB77" s="4">
        <v>0</v>
      </c>
    </row>
    <row r="78" spans="1:28" x14ac:dyDescent="0.25">
      <c r="A78" s="3" t="s">
        <v>1499</v>
      </c>
      <c r="B78" s="3" t="s">
        <v>38</v>
      </c>
      <c r="C78" s="3">
        <v>24</v>
      </c>
      <c r="D78" s="3">
        <v>2</v>
      </c>
      <c r="E78" s="3" t="s">
        <v>744</v>
      </c>
      <c r="F78" s="3" t="s">
        <v>1457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v>0</v>
      </c>
      <c r="W78" s="3">
        <v>0</v>
      </c>
      <c r="X78" s="3">
        <v>0</v>
      </c>
      <c r="Y78" s="3">
        <v>0</v>
      </c>
      <c r="Z78" s="3">
        <v>0</v>
      </c>
      <c r="AA78" s="3">
        <v>0</v>
      </c>
      <c r="AB78" s="3">
        <v>0</v>
      </c>
    </row>
    <row r="79" spans="1:28" x14ac:dyDescent="0.25">
      <c r="A79" s="4" t="s">
        <v>1500</v>
      </c>
      <c r="B79" s="4" t="s">
        <v>38</v>
      </c>
      <c r="C79" s="4">
        <v>21</v>
      </c>
      <c r="D79" s="4">
        <v>0</v>
      </c>
      <c r="E79" s="4" t="s">
        <v>173</v>
      </c>
      <c r="F79" s="4" t="s">
        <v>1457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v>0</v>
      </c>
      <c r="W79" s="4">
        <v>0</v>
      </c>
      <c r="X79" s="4">
        <v>0</v>
      </c>
      <c r="Y79" s="4">
        <v>0</v>
      </c>
      <c r="Z79" s="4">
        <v>0</v>
      </c>
      <c r="AA79" s="4">
        <v>0</v>
      </c>
      <c r="AB79" s="4">
        <v>0</v>
      </c>
    </row>
    <row r="80" spans="1:28" x14ac:dyDescent="0.25">
      <c r="A80" s="3" t="s">
        <v>1501</v>
      </c>
      <c r="B80" s="3" t="s">
        <v>38</v>
      </c>
      <c r="C80" s="3">
        <v>25</v>
      </c>
      <c r="D80" s="3">
        <v>1</v>
      </c>
      <c r="E80" s="3" t="s">
        <v>1045</v>
      </c>
      <c r="F80" s="3" t="s">
        <v>1457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v>0</v>
      </c>
      <c r="W80" s="3">
        <v>0</v>
      </c>
      <c r="X80" s="3">
        <v>0</v>
      </c>
      <c r="Y80" s="3">
        <v>0</v>
      </c>
      <c r="Z80" s="3">
        <v>0</v>
      </c>
      <c r="AA80" s="3">
        <v>0</v>
      </c>
      <c r="AB80" s="3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A1:AB80"/>
  <sheetViews>
    <sheetView topLeftCell="G19" workbookViewId="0">
      <selection activeCell="AB46" sqref="AB46:AB52"/>
    </sheetView>
  </sheetViews>
  <sheetFormatPr defaultColWidth="11.42578125" defaultRowHeight="15" x14ac:dyDescent="0.25"/>
  <sheetData>
    <row r="1" spans="1:24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</row>
    <row r="2" spans="1:24" x14ac:dyDescent="0.25">
      <c r="A2" s="3" t="s">
        <v>1502</v>
      </c>
      <c r="B2" s="3" t="s">
        <v>1503</v>
      </c>
      <c r="C2" s="3" t="s">
        <v>26</v>
      </c>
      <c r="D2" s="3">
        <v>17</v>
      </c>
      <c r="E2" s="3">
        <v>572</v>
      </c>
      <c r="F2" s="3">
        <v>399</v>
      </c>
      <c r="G2" s="3">
        <v>4282</v>
      </c>
      <c r="H2" s="3">
        <v>30</v>
      </c>
      <c r="I2" s="3">
        <v>11</v>
      </c>
      <c r="J2" s="3">
        <v>68</v>
      </c>
      <c r="K2" s="3">
        <v>366</v>
      </c>
      <c r="L2" s="3">
        <v>1</v>
      </c>
      <c r="M2" s="3">
        <v>0</v>
      </c>
      <c r="N2" s="3">
        <v>0</v>
      </c>
      <c r="O2" s="3">
        <v>0</v>
      </c>
      <c r="P2" s="3">
        <v>0</v>
      </c>
      <c r="Q2" s="3">
        <v>4</v>
      </c>
      <c r="R2" s="3">
        <v>0</v>
      </c>
      <c r="S2" s="3">
        <v>303.88</v>
      </c>
      <c r="T2" s="3">
        <v>0</v>
      </c>
      <c r="U2" s="3">
        <v>5.3823529411764701</v>
      </c>
      <c r="V2" s="3"/>
      <c r="W2" s="3">
        <v>0.69755244755244805</v>
      </c>
      <c r="X2" s="3">
        <v>5.2447552447552399E-2</v>
      </c>
    </row>
    <row r="3" spans="1:24" x14ac:dyDescent="0.25">
      <c r="A3" s="4" t="s">
        <v>1504</v>
      </c>
      <c r="B3" s="4" t="s">
        <v>1503</v>
      </c>
      <c r="C3" s="4" t="s">
        <v>31</v>
      </c>
      <c r="D3" s="4">
        <v>11</v>
      </c>
      <c r="E3" s="4">
        <v>1</v>
      </c>
      <c r="F3" s="4">
        <v>0</v>
      </c>
      <c r="G3" s="4">
        <v>0</v>
      </c>
      <c r="H3" s="4">
        <v>0</v>
      </c>
      <c r="I3" s="4">
        <v>1</v>
      </c>
      <c r="J3" s="4">
        <v>35</v>
      </c>
      <c r="K3" s="4">
        <v>186</v>
      </c>
      <c r="L3" s="4">
        <v>0</v>
      </c>
      <c r="M3" s="4">
        <v>19</v>
      </c>
      <c r="N3" s="4">
        <v>17</v>
      </c>
      <c r="O3" s="4">
        <v>126</v>
      </c>
      <c r="P3" s="4">
        <v>0</v>
      </c>
      <c r="Q3" s="4">
        <v>0</v>
      </c>
      <c r="R3" s="4">
        <v>0</v>
      </c>
      <c r="S3" s="4">
        <v>46.2</v>
      </c>
      <c r="T3" s="4">
        <v>3.32749562171629E-2</v>
      </c>
      <c r="U3" s="4">
        <v>5.3142857142857096</v>
      </c>
      <c r="V3" s="4">
        <v>7.4117647058823497</v>
      </c>
      <c r="W3" s="4">
        <v>0</v>
      </c>
      <c r="X3" s="4">
        <v>0</v>
      </c>
    </row>
    <row r="4" spans="1:24" x14ac:dyDescent="0.25">
      <c r="A4" s="3" t="s">
        <v>1505</v>
      </c>
      <c r="B4" s="3" t="s">
        <v>1503</v>
      </c>
      <c r="C4" s="3" t="s">
        <v>31</v>
      </c>
      <c r="D4" s="3">
        <v>1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3</v>
      </c>
      <c r="K4" s="3">
        <v>4</v>
      </c>
      <c r="L4" s="3">
        <v>0</v>
      </c>
      <c r="M4" s="3">
        <v>1</v>
      </c>
      <c r="N4" s="3">
        <v>1</v>
      </c>
      <c r="O4" s="3">
        <v>3</v>
      </c>
      <c r="P4" s="3">
        <v>0</v>
      </c>
      <c r="Q4" s="3">
        <v>0</v>
      </c>
      <c r="R4" s="3">
        <v>0</v>
      </c>
      <c r="S4" s="3">
        <v>1.7</v>
      </c>
      <c r="T4" s="3">
        <v>1.7513134851138399E-3</v>
      </c>
      <c r="U4" s="3">
        <v>1.3333333333333299</v>
      </c>
      <c r="V4" s="3">
        <v>3</v>
      </c>
      <c r="W4" s="3"/>
      <c r="X4" s="3"/>
    </row>
    <row r="5" spans="1:24" x14ac:dyDescent="0.25">
      <c r="A5" s="4" t="s">
        <v>1506</v>
      </c>
      <c r="B5" s="4" t="s">
        <v>1503</v>
      </c>
      <c r="C5" s="4" t="s">
        <v>31</v>
      </c>
      <c r="D5" s="4">
        <v>15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228</v>
      </c>
      <c r="K5" s="4">
        <v>1050</v>
      </c>
      <c r="L5" s="4">
        <v>9</v>
      </c>
      <c r="M5" s="4">
        <v>35</v>
      </c>
      <c r="N5" s="4">
        <v>27</v>
      </c>
      <c r="O5" s="4">
        <v>165</v>
      </c>
      <c r="P5" s="4">
        <v>0</v>
      </c>
      <c r="Q5" s="4">
        <v>0</v>
      </c>
      <c r="R5" s="4">
        <v>0</v>
      </c>
      <c r="S5" s="4">
        <v>202.5</v>
      </c>
      <c r="T5" s="4">
        <v>6.1295971978984197E-2</v>
      </c>
      <c r="U5" s="4">
        <v>4.6052631578947398</v>
      </c>
      <c r="V5" s="4">
        <v>6.1111111111111098</v>
      </c>
      <c r="W5" s="4"/>
      <c r="X5" s="4"/>
    </row>
    <row r="6" spans="1:24" x14ac:dyDescent="0.25">
      <c r="A6" s="3" t="s">
        <v>1507</v>
      </c>
      <c r="B6" s="3" t="s">
        <v>1503</v>
      </c>
      <c r="C6" s="3" t="s">
        <v>31</v>
      </c>
      <c r="D6" s="3">
        <v>5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57</v>
      </c>
      <c r="K6" s="3">
        <v>346</v>
      </c>
      <c r="L6" s="3">
        <v>2</v>
      </c>
      <c r="M6" s="3">
        <v>5</v>
      </c>
      <c r="N6" s="3">
        <v>4</v>
      </c>
      <c r="O6" s="3">
        <v>16</v>
      </c>
      <c r="P6" s="3">
        <v>0</v>
      </c>
      <c r="Q6" s="3">
        <v>0</v>
      </c>
      <c r="R6" s="3">
        <v>0</v>
      </c>
      <c r="S6" s="3">
        <v>52.2</v>
      </c>
      <c r="T6" s="3">
        <v>8.7565674255691804E-3</v>
      </c>
      <c r="U6" s="3">
        <v>6.0701754385964897</v>
      </c>
      <c r="V6" s="3">
        <v>4</v>
      </c>
      <c r="W6" s="3"/>
      <c r="X6" s="3"/>
    </row>
    <row r="7" spans="1:24" x14ac:dyDescent="0.25">
      <c r="A7" s="4" t="s">
        <v>1508</v>
      </c>
      <c r="B7" s="4" t="s">
        <v>1503</v>
      </c>
      <c r="C7" s="4" t="s">
        <v>31</v>
      </c>
      <c r="D7" s="4">
        <v>8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19</v>
      </c>
      <c r="K7" s="4">
        <v>74</v>
      </c>
      <c r="L7" s="4">
        <v>0</v>
      </c>
      <c r="M7" s="4">
        <v>18</v>
      </c>
      <c r="N7" s="4">
        <v>16</v>
      </c>
      <c r="O7" s="4">
        <v>157</v>
      </c>
      <c r="P7" s="4">
        <v>1</v>
      </c>
      <c r="Q7" s="4">
        <v>0</v>
      </c>
      <c r="R7" s="4">
        <v>0</v>
      </c>
      <c r="S7" s="4">
        <v>43.1</v>
      </c>
      <c r="T7" s="4">
        <v>3.1523642732049002E-2</v>
      </c>
      <c r="U7" s="4">
        <v>3.8947368421052602</v>
      </c>
      <c r="V7" s="4">
        <v>9.8125</v>
      </c>
      <c r="W7" s="4"/>
      <c r="X7" s="4"/>
    </row>
    <row r="8" spans="1:24" x14ac:dyDescent="0.25">
      <c r="A8" s="3" t="s">
        <v>879</v>
      </c>
      <c r="B8" s="3" t="s">
        <v>1503</v>
      </c>
      <c r="C8" s="3" t="s">
        <v>31</v>
      </c>
      <c r="D8" s="3">
        <v>2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8</v>
      </c>
      <c r="K8" s="3">
        <v>16</v>
      </c>
      <c r="L8" s="3">
        <v>0</v>
      </c>
      <c r="M8" s="3">
        <v>6</v>
      </c>
      <c r="N8" s="3">
        <v>3</v>
      </c>
      <c r="O8" s="3">
        <v>18</v>
      </c>
      <c r="P8" s="3">
        <v>0</v>
      </c>
      <c r="Q8" s="3">
        <v>0</v>
      </c>
      <c r="R8" s="3">
        <v>0</v>
      </c>
      <c r="S8" s="3">
        <v>6.4</v>
      </c>
      <c r="T8" s="3">
        <v>1.0507880910683E-2</v>
      </c>
      <c r="U8" s="3">
        <v>2</v>
      </c>
      <c r="V8" s="3">
        <v>6</v>
      </c>
      <c r="W8" s="3"/>
      <c r="X8" s="3"/>
    </row>
    <row r="9" spans="1:24" x14ac:dyDescent="0.25">
      <c r="A9" s="4" t="s">
        <v>1509</v>
      </c>
      <c r="B9" s="4" t="s">
        <v>1503</v>
      </c>
      <c r="C9" s="4" t="s">
        <v>38</v>
      </c>
      <c r="D9" s="4">
        <v>14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34</v>
      </c>
      <c r="N9" s="4">
        <v>25</v>
      </c>
      <c r="O9" s="4">
        <v>322</v>
      </c>
      <c r="P9" s="4">
        <v>2</v>
      </c>
      <c r="Q9" s="4">
        <v>0</v>
      </c>
      <c r="R9" s="4">
        <v>0</v>
      </c>
      <c r="S9" s="4">
        <v>69.2</v>
      </c>
      <c r="T9" s="4">
        <v>5.9544658493870403E-2</v>
      </c>
      <c r="U9" s="4"/>
      <c r="V9" s="4">
        <v>12.88</v>
      </c>
      <c r="W9" s="4"/>
      <c r="X9" s="4"/>
    </row>
    <row r="10" spans="1:24" x14ac:dyDescent="0.25">
      <c r="A10" s="3" t="s">
        <v>1510</v>
      </c>
      <c r="B10" s="3" t="s">
        <v>1503</v>
      </c>
      <c r="C10" s="3" t="s">
        <v>38</v>
      </c>
      <c r="D10" s="3">
        <v>17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63</v>
      </c>
      <c r="N10" s="3">
        <v>50</v>
      </c>
      <c r="O10" s="3">
        <v>486</v>
      </c>
      <c r="P10" s="3">
        <v>4</v>
      </c>
      <c r="Q10" s="3">
        <v>0</v>
      </c>
      <c r="R10" s="3">
        <v>0</v>
      </c>
      <c r="S10" s="3">
        <v>122.6</v>
      </c>
      <c r="T10" s="3">
        <v>0.110332749562172</v>
      </c>
      <c r="U10" s="3"/>
      <c r="V10" s="3">
        <v>9.7200000000000006</v>
      </c>
      <c r="W10" s="3"/>
      <c r="X10" s="3"/>
    </row>
    <row r="11" spans="1:24" x14ac:dyDescent="0.25">
      <c r="A11" s="4" t="s">
        <v>1511</v>
      </c>
      <c r="B11" s="4" t="s">
        <v>1503</v>
      </c>
      <c r="C11" s="4" t="s">
        <v>38</v>
      </c>
      <c r="D11" s="4">
        <v>1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1</v>
      </c>
      <c r="N11" s="4">
        <v>1</v>
      </c>
      <c r="O11" s="4">
        <v>7</v>
      </c>
      <c r="P11" s="4">
        <v>1</v>
      </c>
      <c r="Q11" s="4">
        <v>0</v>
      </c>
      <c r="R11" s="4">
        <v>0</v>
      </c>
      <c r="S11" s="4">
        <v>7.7</v>
      </c>
      <c r="T11" s="4">
        <v>1.7513134851138399E-3</v>
      </c>
      <c r="U11" s="4"/>
      <c r="V11" s="4">
        <v>7</v>
      </c>
      <c r="W11" s="4"/>
      <c r="X11" s="4"/>
    </row>
    <row r="12" spans="1:24" x14ac:dyDescent="0.25">
      <c r="A12" s="3" t="s">
        <v>1512</v>
      </c>
      <c r="B12" s="3" t="s">
        <v>1503</v>
      </c>
      <c r="C12" s="3" t="s">
        <v>38</v>
      </c>
      <c r="D12" s="3">
        <v>15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38</v>
      </c>
      <c r="N12" s="3">
        <v>34</v>
      </c>
      <c r="O12" s="3">
        <v>349</v>
      </c>
      <c r="P12" s="3">
        <v>3</v>
      </c>
      <c r="Q12" s="3">
        <v>0</v>
      </c>
      <c r="R12" s="3">
        <v>0</v>
      </c>
      <c r="S12" s="3">
        <v>86.9</v>
      </c>
      <c r="T12" s="3">
        <v>6.6549912434325703E-2</v>
      </c>
      <c r="U12" s="3"/>
      <c r="V12" s="3">
        <v>10.264705882352899</v>
      </c>
      <c r="W12" s="3"/>
      <c r="X12" s="3"/>
    </row>
    <row r="13" spans="1:24" x14ac:dyDescent="0.25">
      <c r="A13" s="4" t="s">
        <v>1513</v>
      </c>
      <c r="B13" s="4" t="s">
        <v>1503</v>
      </c>
      <c r="C13" s="4" t="s">
        <v>43</v>
      </c>
      <c r="D13" s="4">
        <v>2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4</v>
      </c>
      <c r="N13" s="4">
        <v>2</v>
      </c>
      <c r="O13" s="4">
        <v>21</v>
      </c>
      <c r="P13" s="4">
        <v>0</v>
      </c>
      <c r="Q13" s="4">
        <v>0</v>
      </c>
      <c r="R13" s="4">
        <v>0</v>
      </c>
      <c r="S13" s="4">
        <v>4.0999999999999996</v>
      </c>
      <c r="T13" s="4">
        <v>7.0052539404553398E-3</v>
      </c>
      <c r="U13" s="4"/>
      <c r="V13" s="4">
        <v>10.5</v>
      </c>
      <c r="W13" s="4"/>
      <c r="X13" s="4"/>
    </row>
    <row r="14" spans="1:24" x14ac:dyDescent="0.25">
      <c r="A14" s="3" t="s">
        <v>1514</v>
      </c>
      <c r="B14" s="3" t="s">
        <v>1503</v>
      </c>
      <c r="C14" s="3" t="s">
        <v>43</v>
      </c>
      <c r="D14" s="3">
        <v>8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2</v>
      </c>
      <c r="K14" s="3">
        <v>10</v>
      </c>
      <c r="L14" s="3">
        <v>0</v>
      </c>
      <c r="M14" s="3">
        <v>13</v>
      </c>
      <c r="N14" s="3">
        <v>7</v>
      </c>
      <c r="O14" s="3">
        <v>58</v>
      </c>
      <c r="P14" s="3">
        <v>0</v>
      </c>
      <c r="Q14" s="3">
        <v>0</v>
      </c>
      <c r="R14" s="3">
        <v>0</v>
      </c>
      <c r="S14" s="3">
        <v>13.8</v>
      </c>
      <c r="T14" s="3">
        <v>2.2767075306479902E-2</v>
      </c>
      <c r="U14" s="3">
        <v>5</v>
      </c>
      <c r="V14" s="3">
        <v>8.28571428571429</v>
      </c>
      <c r="W14" s="3"/>
      <c r="X14" s="3"/>
    </row>
    <row r="15" spans="1:24" x14ac:dyDescent="0.25">
      <c r="A15" s="4" t="s">
        <v>1515</v>
      </c>
      <c r="B15" s="4" t="s">
        <v>1503</v>
      </c>
      <c r="C15" s="4" t="s">
        <v>43</v>
      </c>
      <c r="D15" s="4">
        <v>17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141</v>
      </c>
      <c r="N15" s="4">
        <v>90</v>
      </c>
      <c r="O15" s="4">
        <v>1048</v>
      </c>
      <c r="P15" s="4">
        <v>6</v>
      </c>
      <c r="Q15" s="4">
        <v>0</v>
      </c>
      <c r="R15" s="4">
        <v>0</v>
      </c>
      <c r="S15" s="4">
        <v>226.8</v>
      </c>
      <c r="T15" s="4">
        <v>0.24693520140105099</v>
      </c>
      <c r="U15" s="4"/>
      <c r="V15" s="4">
        <v>11.6444444444444</v>
      </c>
      <c r="W15" s="4"/>
      <c r="X15" s="4"/>
    </row>
    <row r="16" spans="1:24" x14ac:dyDescent="0.25">
      <c r="A16" s="3" t="s">
        <v>1516</v>
      </c>
      <c r="B16" s="3" t="s">
        <v>1503</v>
      </c>
      <c r="C16" s="3" t="s">
        <v>43</v>
      </c>
      <c r="D16" s="3">
        <v>1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2</v>
      </c>
      <c r="N16" s="3">
        <v>2</v>
      </c>
      <c r="O16" s="3">
        <v>24</v>
      </c>
      <c r="P16" s="3">
        <v>0</v>
      </c>
      <c r="Q16" s="3">
        <v>0</v>
      </c>
      <c r="R16" s="3">
        <v>0</v>
      </c>
      <c r="S16" s="3">
        <v>4.4000000000000004</v>
      </c>
      <c r="T16" s="3">
        <v>3.5026269702276699E-3</v>
      </c>
      <c r="U16" s="3"/>
      <c r="V16" s="3">
        <v>12</v>
      </c>
      <c r="W16" s="3"/>
      <c r="X16" s="3"/>
    </row>
    <row r="17" spans="1:24" x14ac:dyDescent="0.25">
      <c r="A17" s="4" t="s">
        <v>1517</v>
      </c>
      <c r="B17" s="4" t="s">
        <v>1503</v>
      </c>
      <c r="C17" s="4" t="s">
        <v>43</v>
      </c>
      <c r="D17" s="4">
        <v>3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10</v>
      </c>
      <c r="N17" s="4">
        <v>6</v>
      </c>
      <c r="O17" s="4">
        <v>42</v>
      </c>
      <c r="P17" s="4">
        <v>0</v>
      </c>
      <c r="Q17" s="4">
        <v>0</v>
      </c>
      <c r="R17" s="4">
        <v>0</v>
      </c>
      <c r="S17" s="4">
        <v>10.199999999999999</v>
      </c>
      <c r="T17" s="4">
        <v>1.7513134851138399E-2</v>
      </c>
      <c r="U17" s="4"/>
      <c r="V17" s="4">
        <v>7</v>
      </c>
      <c r="W17" s="4"/>
      <c r="X17" s="4"/>
    </row>
    <row r="18" spans="1:24" x14ac:dyDescent="0.25">
      <c r="A18" s="3" t="s">
        <v>1518</v>
      </c>
      <c r="B18" s="3" t="s">
        <v>1503</v>
      </c>
      <c r="C18" s="3" t="s">
        <v>43</v>
      </c>
      <c r="D18" s="3">
        <v>12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2</v>
      </c>
      <c r="K18" s="3">
        <v>5</v>
      </c>
      <c r="L18" s="3">
        <v>0</v>
      </c>
      <c r="M18" s="3">
        <v>42</v>
      </c>
      <c r="N18" s="3">
        <v>27</v>
      </c>
      <c r="O18" s="3">
        <v>387</v>
      </c>
      <c r="P18" s="3">
        <v>4</v>
      </c>
      <c r="Q18" s="3">
        <v>0</v>
      </c>
      <c r="R18" s="3">
        <v>0</v>
      </c>
      <c r="S18" s="3">
        <v>90.2</v>
      </c>
      <c r="T18" s="3">
        <v>7.35551663747811E-2</v>
      </c>
      <c r="U18" s="3">
        <v>2.5</v>
      </c>
      <c r="V18" s="3">
        <v>14.3333333333333</v>
      </c>
      <c r="W18" s="3"/>
      <c r="X18" s="3"/>
    </row>
    <row r="19" spans="1:24" x14ac:dyDescent="0.25">
      <c r="A19" s="4" t="s">
        <v>1519</v>
      </c>
      <c r="B19" s="4" t="s">
        <v>1503</v>
      </c>
      <c r="C19" s="4" t="s">
        <v>43</v>
      </c>
      <c r="D19" s="4">
        <v>3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4</v>
      </c>
      <c r="N19" s="4">
        <v>3</v>
      </c>
      <c r="O19" s="4">
        <v>20</v>
      </c>
      <c r="P19" s="4">
        <v>0</v>
      </c>
      <c r="Q19" s="4">
        <v>0</v>
      </c>
      <c r="R19" s="4">
        <v>0</v>
      </c>
      <c r="S19" s="4">
        <v>5</v>
      </c>
      <c r="T19" s="4">
        <v>7.0052539404553398E-3</v>
      </c>
      <c r="U19" s="4"/>
      <c r="V19" s="4">
        <v>6.6666666666666696</v>
      </c>
      <c r="W19" s="4"/>
      <c r="X19" s="4"/>
    </row>
    <row r="20" spans="1:24" x14ac:dyDescent="0.25">
      <c r="A20" s="3" t="s">
        <v>1520</v>
      </c>
      <c r="B20" s="3" t="s">
        <v>1503</v>
      </c>
      <c r="C20" s="3" t="s">
        <v>43</v>
      </c>
      <c r="D20" s="3">
        <v>16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117</v>
      </c>
      <c r="N20" s="3">
        <v>84</v>
      </c>
      <c r="O20" s="3">
        <v>1033</v>
      </c>
      <c r="P20" s="3">
        <v>9</v>
      </c>
      <c r="Q20" s="3">
        <v>0</v>
      </c>
      <c r="R20" s="3">
        <v>0</v>
      </c>
      <c r="S20" s="3">
        <v>239.3</v>
      </c>
      <c r="T20" s="3">
        <v>0.204903677758319</v>
      </c>
      <c r="U20" s="3"/>
      <c r="V20" s="3">
        <v>12.297619047618999</v>
      </c>
      <c r="W20" s="3"/>
      <c r="X20" s="3"/>
    </row>
    <row r="30" spans="1:24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</row>
    <row r="31" spans="1:24" x14ac:dyDescent="0.25">
      <c r="A31" s="3" t="s">
        <v>1503</v>
      </c>
      <c r="B31" s="3">
        <v>6339</v>
      </c>
      <c r="C31" s="3">
        <v>4282</v>
      </c>
      <c r="D31" s="3">
        <v>422</v>
      </c>
      <c r="E31" s="3">
        <v>2057</v>
      </c>
      <c r="F31" s="3">
        <v>12</v>
      </c>
      <c r="G31" s="3">
        <v>1536.18</v>
      </c>
      <c r="H31" s="3">
        <v>573</v>
      </c>
      <c r="I31" s="3">
        <v>0.69633507853403098</v>
      </c>
      <c r="J31" s="3">
        <v>30</v>
      </c>
      <c r="K31" s="3">
        <v>12</v>
      </c>
      <c r="L31" s="3">
        <v>4</v>
      </c>
    </row>
    <row r="32" spans="1:24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</row>
    <row r="33" spans="1:28" x14ac:dyDescent="0.25">
      <c r="A33" s="3" t="str">
        <f>A31</f>
        <v>SEA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1521</v>
      </c>
      <c r="B36" s="3" t="s">
        <v>26</v>
      </c>
      <c r="C36" s="3">
        <v>23</v>
      </c>
      <c r="D36" s="3">
        <v>0</v>
      </c>
      <c r="E36" s="3" t="s">
        <v>220</v>
      </c>
      <c r="F36" s="3" t="s">
        <v>1503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">
        <v>0</v>
      </c>
      <c r="X36" s="3">
        <v>0</v>
      </c>
      <c r="Y36" s="3">
        <v>0</v>
      </c>
      <c r="Z36" s="3">
        <v>0</v>
      </c>
      <c r="AA36" s="3">
        <v>0</v>
      </c>
      <c r="AB36" s="3">
        <v>0</v>
      </c>
    </row>
    <row r="37" spans="1:28" x14ac:dyDescent="0.25">
      <c r="A37" s="4" t="s">
        <v>1522</v>
      </c>
      <c r="B37" s="4" t="s">
        <v>26</v>
      </c>
      <c r="C37" s="4">
        <v>26</v>
      </c>
      <c r="D37" s="4">
        <v>5</v>
      </c>
      <c r="E37" s="4" t="s">
        <v>613</v>
      </c>
      <c r="F37" s="4" t="s">
        <v>1503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</row>
    <row r="38" spans="1:28" x14ac:dyDescent="0.25">
      <c r="A38" s="3" t="s">
        <v>1523</v>
      </c>
      <c r="B38" s="3" t="s">
        <v>26</v>
      </c>
      <c r="C38" s="3">
        <v>32</v>
      </c>
      <c r="D38" s="3">
        <v>11</v>
      </c>
      <c r="E38" s="3" t="s">
        <v>344</v>
      </c>
      <c r="F38" s="3" t="s">
        <v>1503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v>0</v>
      </c>
      <c r="W38" s="3">
        <v>0</v>
      </c>
      <c r="X38" s="3">
        <v>0</v>
      </c>
      <c r="Y38" s="3">
        <v>0</v>
      </c>
      <c r="Z38" s="3">
        <v>0</v>
      </c>
      <c r="AA38" s="3">
        <v>0</v>
      </c>
      <c r="AB38" s="3"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1524</v>
      </c>
      <c r="B46" s="3" t="s">
        <v>31</v>
      </c>
      <c r="C46" s="3">
        <v>22</v>
      </c>
      <c r="D46" s="3">
        <v>0</v>
      </c>
      <c r="E46" s="3" t="s">
        <v>418</v>
      </c>
      <c r="F46" s="3" t="s">
        <v>1503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v>0</v>
      </c>
      <c r="W46" s="3">
        <v>0</v>
      </c>
      <c r="X46" s="3">
        <v>0</v>
      </c>
      <c r="Y46" s="3">
        <v>0</v>
      </c>
      <c r="Z46" s="3">
        <v>0</v>
      </c>
      <c r="AA46" s="3">
        <v>0</v>
      </c>
      <c r="AB46" s="3">
        <f t="shared" ref="AB46:AB52" si="0">($J46*Cp_yd)+($K46*Cp_td)+($L46*Cint)+($M46*Ccar)+($N46*Cr_td)+($O46*Cr_yd)+(Q46*Crec)+($R46*Crec_yd)+($S46*Crec_td)+($T46*Cfmb)+($U46*Ctp_c)</f>
        <v>0</v>
      </c>
    </row>
    <row r="47" spans="1:28" x14ac:dyDescent="0.25">
      <c r="A47" s="4" t="s">
        <v>1525</v>
      </c>
      <c r="B47" s="4" t="s">
        <v>31</v>
      </c>
      <c r="C47" s="4">
        <v>24</v>
      </c>
      <c r="D47" s="4">
        <v>4</v>
      </c>
      <c r="E47" s="4" t="s">
        <v>397</v>
      </c>
      <c r="F47" s="4" t="s">
        <v>1503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f t="shared" si="0"/>
        <v>0</v>
      </c>
    </row>
    <row r="48" spans="1:28" x14ac:dyDescent="0.25">
      <c r="A48" s="3" t="s">
        <v>1526</v>
      </c>
      <c r="B48" s="3" t="s">
        <v>31</v>
      </c>
      <c r="C48" s="3">
        <v>25</v>
      </c>
      <c r="D48" s="3">
        <v>1</v>
      </c>
      <c r="E48" s="3" t="s">
        <v>138</v>
      </c>
      <c r="F48" s="3" t="s">
        <v>1503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v>0</v>
      </c>
      <c r="W48" s="3">
        <v>0</v>
      </c>
      <c r="X48" s="3">
        <v>0</v>
      </c>
      <c r="Y48" s="3">
        <v>0</v>
      </c>
      <c r="Z48" s="3">
        <v>0</v>
      </c>
      <c r="AA48" s="3">
        <v>0</v>
      </c>
      <c r="AB48" s="3">
        <f t="shared" si="0"/>
        <v>0</v>
      </c>
    </row>
    <row r="49" spans="1:28" x14ac:dyDescent="0.25">
      <c r="A49" s="4" t="s">
        <v>1527</v>
      </c>
      <c r="B49" s="4" t="s">
        <v>31</v>
      </c>
      <c r="C49" s="4">
        <v>23</v>
      </c>
      <c r="D49" s="4">
        <v>0</v>
      </c>
      <c r="E49" s="4" t="s">
        <v>173</v>
      </c>
      <c r="F49" s="4" t="s">
        <v>1503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B49" s="4">
        <f t="shared" si="0"/>
        <v>0</v>
      </c>
    </row>
    <row r="50" spans="1:28" x14ac:dyDescent="0.25">
      <c r="A50" s="3" t="s">
        <v>1528</v>
      </c>
      <c r="B50" s="3" t="s">
        <v>31</v>
      </c>
      <c r="C50" s="3">
        <v>25</v>
      </c>
      <c r="D50" s="3">
        <v>0</v>
      </c>
      <c r="E50" s="3" t="s">
        <v>86</v>
      </c>
      <c r="F50" s="3" t="s">
        <v>1503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v>0</v>
      </c>
      <c r="W50" s="3">
        <v>0</v>
      </c>
      <c r="X50" s="3">
        <v>0</v>
      </c>
      <c r="Y50" s="3">
        <v>0</v>
      </c>
      <c r="Z50" s="3">
        <v>0</v>
      </c>
      <c r="AA50" s="3">
        <v>0</v>
      </c>
      <c r="AB50" s="3">
        <f t="shared" si="0"/>
        <v>0</v>
      </c>
    </row>
    <row r="51" spans="1:28" x14ac:dyDescent="0.25">
      <c r="A51" s="4" t="s">
        <v>1529</v>
      </c>
      <c r="B51" s="4" t="s">
        <v>31</v>
      </c>
      <c r="C51" s="4">
        <v>23</v>
      </c>
      <c r="D51" s="4">
        <v>1</v>
      </c>
      <c r="E51" s="4" t="s">
        <v>511</v>
      </c>
      <c r="F51" s="4" t="s">
        <v>1503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v>0</v>
      </c>
      <c r="W51" s="4">
        <v>0</v>
      </c>
      <c r="X51" s="4">
        <v>0</v>
      </c>
      <c r="Y51" s="4">
        <v>0</v>
      </c>
      <c r="Z51" s="4">
        <v>0</v>
      </c>
      <c r="AA51" s="4">
        <v>0</v>
      </c>
      <c r="AB51" s="4">
        <f t="shared" si="0"/>
        <v>0</v>
      </c>
    </row>
    <row r="52" spans="1:28" x14ac:dyDescent="0.25">
      <c r="A52" s="3" t="s">
        <v>1530</v>
      </c>
      <c r="B52" s="3" t="s">
        <v>31</v>
      </c>
      <c r="C52" s="3">
        <v>22</v>
      </c>
      <c r="D52" s="3">
        <v>2</v>
      </c>
      <c r="E52" s="3" t="s">
        <v>744</v>
      </c>
      <c r="F52" s="3" t="s">
        <v>1503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v>0</v>
      </c>
      <c r="W52" s="3">
        <v>0</v>
      </c>
      <c r="X52" s="3">
        <v>0</v>
      </c>
      <c r="Y52" s="3">
        <v>0</v>
      </c>
      <c r="Z52" s="3">
        <v>0</v>
      </c>
      <c r="AA52" s="3">
        <v>0</v>
      </c>
      <c r="AB52" s="3">
        <f t="shared" si="0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1531</v>
      </c>
      <c r="B61" s="3" t="s">
        <v>43</v>
      </c>
      <c r="C61" s="3">
        <v>25</v>
      </c>
      <c r="D61" s="3">
        <v>0</v>
      </c>
      <c r="E61" s="3" t="s">
        <v>418</v>
      </c>
      <c r="F61" s="3" t="s">
        <v>1503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v>0</v>
      </c>
      <c r="W61" s="3">
        <v>0</v>
      </c>
      <c r="X61" s="3">
        <v>0</v>
      </c>
      <c r="Y61" s="3">
        <v>0</v>
      </c>
      <c r="Z61" s="3">
        <v>0</v>
      </c>
      <c r="AA61" s="3">
        <v>0</v>
      </c>
      <c r="AB61" s="3">
        <v>0</v>
      </c>
    </row>
    <row r="62" spans="1:28" x14ac:dyDescent="0.25">
      <c r="A62" s="4" t="s">
        <v>1532</v>
      </c>
      <c r="B62" s="4" t="s">
        <v>43</v>
      </c>
      <c r="C62" s="4">
        <v>26</v>
      </c>
      <c r="D62" s="4">
        <v>3</v>
      </c>
      <c r="E62" s="4" t="s">
        <v>357</v>
      </c>
      <c r="F62" s="4" t="s">
        <v>1503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0</v>
      </c>
      <c r="X62" s="4">
        <v>0</v>
      </c>
      <c r="Y62" s="4">
        <v>0</v>
      </c>
      <c r="Z62" s="4">
        <v>0</v>
      </c>
      <c r="AA62" s="4">
        <v>0</v>
      </c>
      <c r="AB62" s="4">
        <v>0</v>
      </c>
    </row>
    <row r="63" spans="1:28" x14ac:dyDescent="0.25">
      <c r="A63" s="3" t="s">
        <v>1533</v>
      </c>
      <c r="B63" s="3" t="s">
        <v>43</v>
      </c>
      <c r="C63" s="3">
        <v>25</v>
      </c>
      <c r="D63" s="3">
        <v>0</v>
      </c>
      <c r="E63" s="3" t="s">
        <v>1534</v>
      </c>
      <c r="F63" s="3" t="s">
        <v>1503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v>0</v>
      </c>
      <c r="W63" s="3">
        <v>0</v>
      </c>
      <c r="X63" s="3">
        <v>0</v>
      </c>
      <c r="Y63" s="3">
        <v>0</v>
      </c>
      <c r="Z63" s="3">
        <v>0</v>
      </c>
      <c r="AA63" s="3">
        <v>0</v>
      </c>
      <c r="AB63" s="3">
        <v>0</v>
      </c>
    </row>
    <row r="64" spans="1:28" x14ac:dyDescent="0.25">
      <c r="A64" s="4" t="s">
        <v>1535</v>
      </c>
      <c r="B64" s="4" t="s">
        <v>43</v>
      </c>
      <c r="C64" s="4">
        <v>25</v>
      </c>
      <c r="D64" s="4">
        <v>1</v>
      </c>
      <c r="E64" s="4" t="s">
        <v>753</v>
      </c>
      <c r="F64" s="4" t="s">
        <v>1503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</row>
    <row r="65" spans="1:28" x14ac:dyDescent="0.25">
      <c r="A65" s="3" t="s">
        <v>1536</v>
      </c>
      <c r="B65" s="3" t="s">
        <v>43</v>
      </c>
      <c r="C65" s="3">
        <v>24</v>
      </c>
      <c r="D65" s="3">
        <v>0</v>
      </c>
      <c r="E65" s="3" t="s">
        <v>467</v>
      </c>
      <c r="F65" s="3" t="s">
        <v>1503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v>0</v>
      </c>
      <c r="W65" s="3">
        <v>0</v>
      </c>
      <c r="X65" s="3">
        <v>0</v>
      </c>
      <c r="Y65" s="3">
        <v>0</v>
      </c>
      <c r="Z65" s="3">
        <v>0</v>
      </c>
      <c r="AA65" s="3">
        <v>0</v>
      </c>
      <c r="AB65" s="3">
        <v>0</v>
      </c>
    </row>
    <row r="66" spans="1:28" x14ac:dyDescent="0.25">
      <c r="A66" s="4" t="s">
        <v>1537</v>
      </c>
      <c r="B66" s="4" t="s">
        <v>43</v>
      </c>
      <c r="C66" s="4">
        <v>24</v>
      </c>
      <c r="D66" s="4">
        <v>0</v>
      </c>
      <c r="E66" s="4" t="s">
        <v>111</v>
      </c>
      <c r="F66" s="4" t="s">
        <v>1503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</row>
    <row r="67" spans="1:28" x14ac:dyDescent="0.25">
      <c r="A67" s="3" t="s">
        <v>1538</v>
      </c>
      <c r="B67" s="3" t="s">
        <v>43</v>
      </c>
      <c r="C67" s="3">
        <v>30</v>
      </c>
      <c r="D67" s="3">
        <v>9</v>
      </c>
      <c r="E67" s="3" t="s">
        <v>559</v>
      </c>
      <c r="F67" s="3" t="s">
        <v>1503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v>0</v>
      </c>
      <c r="W67" s="3">
        <v>0</v>
      </c>
      <c r="X67" s="3">
        <v>0</v>
      </c>
      <c r="Y67" s="3">
        <v>0</v>
      </c>
      <c r="Z67" s="3">
        <v>0</v>
      </c>
      <c r="AA67" s="3">
        <v>0</v>
      </c>
      <c r="AB67" s="3">
        <v>0</v>
      </c>
    </row>
    <row r="68" spans="1:28" x14ac:dyDescent="0.25">
      <c r="A68" s="4" t="s">
        <v>1539</v>
      </c>
      <c r="B68" s="4" t="s">
        <v>43</v>
      </c>
      <c r="C68" s="4"/>
      <c r="D68" s="4">
        <v>0</v>
      </c>
      <c r="E68" s="4" t="s">
        <v>806</v>
      </c>
      <c r="F68" s="4" t="s">
        <v>1503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0</v>
      </c>
      <c r="X68" s="4">
        <v>0</v>
      </c>
      <c r="Y68" s="4">
        <v>0</v>
      </c>
      <c r="Z68" s="4">
        <v>0</v>
      </c>
      <c r="AA68" s="4">
        <v>0</v>
      </c>
      <c r="AB68" s="4">
        <v>0</v>
      </c>
    </row>
    <row r="69" spans="1:28" x14ac:dyDescent="0.25">
      <c r="A69" s="3" t="s">
        <v>1540</v>
      </c>
      <c r="B69" s="3" t="s">
        <v>43</v>
      </c>
      <c r="C69" s="3">
        <v>25</v>
      </c>
      <c r="D69" s="3">
        <v>5</v>
      </c>
      <c r="E69" s="3" t="s">
        <v>240</v>
      </c>
      <c r="F69" s="3" t="s">
        <v>1503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v>0</v>
      </c>
      <c r="W69" s="3">
        <v>0</v>
      </c>
      <c r="X69" s="3">
        <v>0</v>
      </c>
      <c r="Y69" s="3">
        <v>0</v>
      </c>
      <c r="Z69" s="3">
        <v>0</v>
      </c>
      <c r="AA69" s="3">
        <v>0</v>
      </c>
      <c r="AB69" s="3">
        <v>0</v>
      </c>
    </row>
    <row r="70" spans="1:28" x14ac:dyDescent="0.25">
      <c r="A70" s="4" t="s">
        <v>1541</v>
      </c>
      <c r="B70" s="4" t="s">
        <v>43</v>
      </c>
      <c r="C70" s="4">
        <v>21</v>
      </c>
      <c r="D70" s="4">
        <v>0</v>
      </c>
      <c r="E70" s="4" t="s">
        <v>213</v>
      </c>
      <c r="F70" s="4" t="s">
        <v>1503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0</v>
      </c>
      <c r="X70" s="4">
        <v>0</v>
      </c>
      <c r="Y70" s="4">
        <v>0</v>
      </c>
      <c r="Z70" s="4">
        <v>0</v>
      </c>
      <c r="AA70" s="4">
        <v>0</v>
      </c>
      <c r="AB70" s="4">
        <v>0</v>
      </c>
    </row>
    <row r="71" spans="1:28" x14ac:dyDescent="0.25">
      <c r="A71" s="3" t="s">
        <v>1542</v>
      </c>
      <c r="B71" s="3" t="s">
        <v>43</v>
      </c>
      <c r="C71" s="3">
        <v>27</v>
      </c>
      <c r="D71" s="3">
        <v>2</v>
      </c>
      <c r="E71" s="3" t="s">
        <v>138</v>
      </c>
      <c r="F71" s="3" t="s">
        <v>1503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v>0</v>
      </c>
      <c r="W71" s="3">
        <v>0</v>
      </c>
      <c r="X71" s="3">
        <v>0</v>
      </c>
      <c r="Y71" s="3">
        <v>0</v>
      </c>
      <c r="Z71" s="3">
        <v>0</v>
      </c>
      <c r="AA71" s="3">
        <v>0</v>
      </c>
      <c r="AB71" s="3">
        <v>0</v>
      </c>
    </row>
    <row r="72" spans="1:28" x14ac:dyDescent="0.25">
      <c r="A72" s="4" t="s">
        <v>1543</v>
      </c>
      <c r="B72" s="4" t="s">
        <v>43</v>
      </c>
      <c r="C72" s="4">
        <v>26</v>
      </c>
      <c r="D72" s="4">
        <v>1</v>
      </c>
      <c r="E72" s="4" t="s">
        <v>294</v>
      </c>
      <c r="F72" s="4" t="s">
        <v>1503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v>0</v>
      </c>
      <c r="W72" s="4">
        <v>0</v>
      </c>
      <c r="X72" s="4">
        <v>0</v>
      </c>
      <c r="Y72" s="4">
        <v>0</v>
      </c>
      <c r="Z72" s="4">
        <v>0</v>
      </c>
      <c r="AA72" s="4">
        <v>0</v>
      </c>
      <c r="AB72" s="4">
        <v>0</v>
      </c>
    </row>
    <row r="73" spans="1:28" x14ac:dyDescent="0.25">
      <c r="A73" s="3" t="s">
        <v>1544</v>
      </c>
      <c r="B73" s="3" t="s">
        <v>43</v>
      </c>
      <c r="C73" s="3">
        <v>24</v>
      </c>
      <c r="D73" s="3">
        <v>2</v>
      </c>
      <c r="E73" s="3" t="s">
        <v>1545</v>
      </c>
      <c r="F73" s="3" t="s">
        <v>1503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v>0</v>
      </c>
      <c r="W73" s="3">
        <v>0</v>
      </c>
      <c r="X73" s="3">
        <v>0</v>
      </c>
      <c r="Y73" s="3">
        <v>0</v>
      </c>
      <c r="Z73" s="3">
        <v>0</v>
      </c>
      <c r="AA73" s="3">
        <v>0</v>
      </c>
      <c r="AB73" s="3"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1546</v>
      </c>
      <c r="B76" s="3" t="s">
        <v>38</v>
      </c>
      <c r="C76" s="3">
        <v>27</v>
      </c>
      <c r="D76" s="3">
        <v>6</v>
      </c>
      <c r="E76" s="3" t="s">
        <v>86</v>
      </c>
      <c r="F76" s="3" t="s">
        <v>1503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v>0</v>
      </c>
      <c r="W76" s="3">
        <v>0</v>
      </c>
      <c r="X76" s="3">
        <v>0</v>
      </c>
      <c r="Y76" s="3">
        <v>0</v>
      </c>
      <c r="Z76" s="3">
        <v>0</v>
      </c>
      <c r="AA76" s="3">
        <v>0</v>
      </c>
      <c r="AB76" s="3">
        <v>0</v>
      </c>
    </row>
    <row r="77" spans="1:28" x14ac:dyDescent="0.25">
      <c r="A77" s="4" t="s">
        <v>1547</v>
      </c>
      <c r="B77" s="4" t="s">
        <v>38</v>
      </c>
      <c r="C77" s="4">
        <v>25</v>
      </c>
      <c r="D77" s="4">
        <v>5</v>
      </c>
      <c r="E77" s="4" t="s">
        <v>100</v>
      </c>
      <c r="F77" s="4" t="s">
        <v>1503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v>0</v>
      </c>
      <c r="W77" s="4">
        <v>0</v>
      </c>
      <c r="X77" s="4">
        <v>0</v>
      </c>
      <c r="Y77" s="4">
        <v>0</v>
      </c>
      <c r="Z77" s="4">
        <v>0</v>
      </c>
      <c r="AA77" s="4">
        <v>0</v>
      </c>
      <c r="AB77" s="4">
        <v>0</v>
      </c>
    </row>
    <row r="78" spans="1:28" x14ac:dyDescent="0.25">
      <c r="A78" s="3" t="s">
        <v>1548</v>
      </c>
      <c r="B78" s="3" t="s">
        <v>38</v>
      </c>
      <c r="C78" s="3">
        <v>24</v>
      </c>
      <c r="D78" s="3">
        <v>0</v>
      </c>
      <c r="E78" s="3" t="s">
        <v>64</v>
      </c>
      <c r="F78" s="3" t="s">
        <v>1503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v>0</v>
      </c>
      <c r="W78" s="3">
        <v>0</v>
      </c>
      <c r="X78" s="3">
        <v>0</v>
      </c>
      <c r="Y78" s="3">
        <v>0</v>
      </c>
      <c r="Z78" s="3">
        <v>0</v>
      </c>
      <c r="AA78" s="3">
        <v>0</v>
      </c>
      <c r="AB78" s="3">
        <v>0</v>
      </c>
    </row>
    <row r="79" spans="1:28" x14ac:dyDescent="0.25">
      <c r="A79" s="4" t="s">
        <v>1549</v>
      </c>
      <c r="B79" s="4" t="s">
        <v>38</v>
      </c>
      <c r="C79" s="4">
        <v>26</v>
      </c>
      <c r="D79" s="4">
        <v>2</v>
      </c>
      <c r="E79" s="4" t="s">
        <v>232</v>
      </c>
      <c r="F79" s="4" t="s">
        <v>1503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v>0</v>
      </c>
      <c r="W79" s="4">
        <v>0</v>
      </c>
      <c r="X79" s="4">
        <v>0</v>
      </c>
      <c r="Y79" s="4">
        <v>0</v>
      </c>
      <c r="Z79" s="4">
        <v>0</v>
      </c>
      <c r="AA79" s="4">
        <v>0</v>
      </c>
      <c r="AB79" s="4">
        <v>0</v>
      </c>
    </row>
    <row r="80" spans="1:28" x14ac:dyDescent="0.25">
      <c r="A80" s="3" t="s">
        <v>1550</v>
      </c>
      <c r="B80" s="3" t="s">
        <v>38</v>
      </c>
      <c r="C80" s="3">
        <v>24</v>
      </c>
      <c r="D80" s="3">
        <v>4</v>
      </c>
      <c r="E80" s="3" t="s">
        <v>102</v>
      </c>
      <c r="F80" s="3" t="s">
        <v>1503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v>0</v>
      </c>
      <c r="W80" s="3">
        <v>0</v>
      </c>
      <c r="X80" s="3">
        <v>0</v>
      </c>
      <c r="Y80" s="3">
        <v>0</v>
      </c>
      <c r="Z80" s="3">
        <v>0</v>
      </c>
      <c r="AA80" s="3">
        <v>0</v>
      </c>
      <c r="AB80" s="3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AB81"/>
  <sheetViews>
    <sheetView topLeftCell="G25" workbookViewId="0">
      <selection activeCell="AB46" sqref="AB46:AB51"/>
    </sheetView>
  </sheetViews>
  <sheetFormatPr defaultColWidth="11.42578125" defaultRowHeight="15" x14ac:dyDescent="0.25"/>
  <sheetData>
    <row r="1" spans="1:24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</row>
    <row r="2" spans="1:24" x14ac:dyDescent="0.25">
      <c r="A2" s="3" t="s">
        <v>1551</v>
      </c>
      <c r="B2" s="3" t="s">
        <v>1552</v>
      </c>
      <c r="C2" s="3" t="s">
        <v>115</v>
      </c>
      <c r="D2" s="3">
        <v>13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7</v>
      </c>
      <c r="K2" s="3">
        <v>26</v>
      </c>
      <c r="L2" s="3">
        <v>1</v>
      </c>
      <c r="M2" s="3">
        <v>23</v>
      </c>
      <c r="N2" s="3">
        <v>19</v>
      </c>
      <c r="O2" s="3">
        <v>200</v>
      </c>
      <c r="P2" s="3">
        <v>1</v>
      </c>
      <c r="Q2" s="3">
        <v>0</v>
      </c>
      <c r="R2" s="3">
        <v>0</v>
      </c>
      <c r="S2" s="3">
        <v>53.6</v>
      </c>
      <c r="T2" s="3">
        <v>4.01396160558464E-2</v>
      </c>
      <c r="U2" s="3">
        <v>3.71428571428571</v>
      </c>
      <c r="V2" s="3">
        <v>10.526315789473699</v>
      </c>
      <c r="W2" s="3"/>
      <c r="X2" s="3"/>
    </row>
    <row r="3" spans="1:24" x14ac:dyDescent="0.25">
      <c r="A3" s="4" t="s">
        <v>1553</v>
      </c>
      <c r="B3" s="4" t="s">
        <v>1552</v>
      </c>
      <c r="C3" s="4" t="s">
        <v>26</v>
      </c>
      <c r="D3" s="4">
        <v>9</v>
      </c>
      <c r="E3" s="4">
        <v>170</v>
      </c>
      <c r="F3" s="4">
        <v>114</v>
      </c>
      <c r="G3" s="4">
        <v>1374</v>
      </c>
      <c r="H3" s="4">
        <v>13</v>
      </c>
      <c r="I3" s="4">
        <v>4</v>
      </c>
      <c r="J3" s="4">
        <v>22</v>
      </c>
      <c r="K3" s="4">
        <v>13</v>
      </c>
      <c r="L3" s="4">
        <v>1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106.26</v>
      </c>
      <c r="T3" s="4">
        <v>0</v>
      </c>
      <c r="U3" s="4">
        <v>0.59090909090909105</v>
      </c>
      <c r="V3" s="4"/>
      <c r="W3" s="4">
        <v>0.67058823529411804</v>
      </c>
      <c r="X3" s="4">
        <v>7.6470588235294096E-2</v>
      </c>
    </row>
    <row r="4" spans="1:24" x14ac:dyDescent="0.25">
      <c r="A4" s="3" t="s">
        <v>1554</v>
      </c>
      <c r="B4" s="3" t="s">
        <v>1552</v>
      </c>
      <c r="C4" s="3" t="s">
        <v>26</v>
      </c>
      <c r="D4" s="3">
        <v>11</v>
      </c>
      <c r="E4" s="3">
        <v>308</v>
      </c>
      <c r="F4" s="3">
        <v>207</v>
      </c>
      <c r="G4" s="3">
        <v>2437</v>
      </c>
      <c r="H4" s="3">
        <v>16</v>
      </c>
      <c r="I4" s="3">
        <v>4</v>
      </c>
      <c r="J4" s="3">
        <v>23</v>
      </c>
      <c r="K4" s="3">
        <v>33</v>
      </c>
      <c r="L4" s="3">
        <v>2</v>
      </c>
      <c r="M4" s="3">
        <v>0</v>
      </c>
      <c r="N4" s="3">
        <v>0</v>
      </c>
      <c r="O4" s="3">
        <v>0</v>
      </c>
      <c r="P4" s="3">
        <v>0</v>
      </c>
      <c r="Q4" s="3">
        <v>2</v>
      </c>
      <c r="R4" s="3">
        <v>0</v>
      </c>
      <c r="S4" s="3">
        <v>164.78</v>
      </c>
      <c r="T4" s="3">
        <v>0</v>
      </c>
      <c r="U4" s="3">
        <v>1.4347826086956501</v>
      </c>
      <c r="V4" s="3"/>
      <c r="W4" s="3">
        <v>0.67207792207792205</v>
      </c>
      <c r="X4" s="3">
        <v>5.1948051948052E-2</v>
      </c>
    </row>
    <row r="5" spans="1:24" x14ac:dyDescent="0.25">
      <c r="A5" s="4" t="s">
        <v>1074</v>
      </c>
      <c r="B5" s="4" t="s">
        <v>1552</v>
      </c>
      <c r="C5" s="4" t="s">
        <v>26</v>
      </c>
      <c r="D5" s="4">
        <v>1</v>
      </c>
      <c r="E5" s="4">
        <v>2</v>
      </c>
      <c r="F5" s="4">
        <v>1</v>
      </c>
      <c r="G5" s="4">
        <v>10</v>
      </c>
      <c r="H5" s="4">
        <v>0</v>
      </c>
      <c r="I5" s="4">
        <v>0</v>
      </c>
      <c r="J5" s="4">
        <v>2</v>
      </c>
      <c r="K5" s="4">
        <v>3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0.7</v>
      </c>
      <c r="T5" s="4">
        <v>0</v>
      </c>
      <c r="U5" s="4">
        <v>1.5</v>
      </c>
      <c r="V5" s="4"/>
      <c r="W5" s="4">
        <v>0.5</v>
      </c>
      <c r="X5" s="4">
        <v>0</v>
      </c>
    </row>
    <row r="6" spans="1:24" x14ac:dyDescent="0.25">
      <c r="A6" s="3" t="s">
        <v>1555</v>
      </c>
      <c r="B6" s="3" t="s">
        <v>1552</v>
      </c>
      <c r="C6" s="3" t="s">
        <v>26</v>
      </c>
      <c r="D6" s="3">
        <v>2</v>
      </c>
      <c r="E6" s="3">
        <v>31</v>
      </c>
      <c r="F6" s="3">
        <v>15</v>
      </c>
      <c r="G6" s="3">
        <v>194</v>
      </c>
      <c r="H6" s="3">
        <v>0</v>
      </c>
      <c r="I6" s="3">
        <v>1</v>
      </c>
      <c r="J6" s="3">
        <v>16</v>
      </c>
      <c r="K6" s="3">
        <v>67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12.46</v>
      </c>
      <c r="T6" s="3">
        <v>0</v>
      </c>
      <c r="U6" s="3">
        <v>4.1875</v>
      </c>
      <c r="V6" s="3"/>
      <c r="W6" s="3">
        <v>0.483870967741935</v>
      </c>
      <c r="X6" s="3">
        <v>0</v>
      </c>
    </row>
    <row r="7" spans="1:24" x14ac:dyDescent="0.25">
      <c r="A7" s="4" t="s">
        <v>316</v>
      </c>
      <c r="B7" s="4" t="s">
        <v>1552</v>
      </c>
      <c r="C7" s="4" t="s">
        <v>31</v>
      </c>
      <c r="D7" s="4">
        <v>11</v>
      </c>
      <c r="E7" s="4">
        <v>1</v>
      </c>
      <c r="F7" s="4">
        <v>1</v>
      </c>
      <c r="G7" s="4">
        <v>34</v>
      </c>
      <c r="H7" s="4">
        <v>1</v>
      </c>
      <c r="I7" s="4">
        <v>0</v>
      </c>
      <c r="J7" s="4">
        <v>159</v>
      </c>
      <c r="K7" s="4">
        <v>746</v>
      </c>
      <c r="L7" s="4">
        <v>6</v>
      </c>
      <c r="M7" s="4">
        <v>65</v>
      </c>
      <c r="N7" s="4">
        <v>52</v>
      </c>
      <c r="O7" s="4">
        <v>464</v>
      </c>
      <c r="P7" s="4">
        <v>4</v>
      </c>
      <c r="Q7" s="4">
        <v>0</v>
      </c>
      <c r="R7" s="4">
        <v>0</v>
      </c>
      <c r="S7" s="4">
        <v>238.36</v>
      </c>
      <c r="T7" s="4">
        <v>0.113438045375218</v>
      </c>
      <c r="U7" s="4">
        <v>4.6918238993710704</v>
      </c>
      <c r="V7" s="4">
        <v>8.9230769230769198</v>
      </c>
      <c r="W7" s="4">
        <v>1</v>
      </c>
      <c r="X7" s="4">
        <v>1</v>
      </c>
    </row>
    <row r="8" spans="1:24" x14ac:dyDescent="0.25">
      <c r="A8" s="3" t="s">
        <v>1556</v>
      </c>
      <c r="B8" s="3" t="s">
        <v>1552</v>
      </c>
      <c r="C8" s="3" t="s">
        <v>31</v>
      </c>
      <c r="D8" s="3">
        <v>5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45</v>
      </c>
      <c r="K8" s="3">
        <v>279</v>
      </c>
      <c r="L8" s="3">
        <v>2</v>
      </c>
      <c r="M8" s="3">
        <v>4</v>
      </c>
      <c r="N8" s="3">
        <v>3</v>
      </c>
      <c r="O8" s="3">
        <v>7</v>
      </c>
      <c r="P8" s="3">
        <v>0</v>
      </c>
      <c r="Q8" s="3">
        <v>0</v>
      </c>
      <c r="R8" s="3">
        <v>0</v>
      </c>
      <c r="S8" s="3">
        <v>43.6</v>
      </c>
      <c r="T8" s="3">
        <v>6.9808027923211197E-3</v>
      </c>
      <c r="U8" s="3">
        <v>6.2</v>
      </c>
      <c r="V8" s="3">
        <v>2.3333333333333299</v>
      </c>
      <c r="W8" s="3"/>
      <c r="X8" s="3"/>
    </row>
    <row r="9" spans="1:24" x14ac:dyDescent="0.25">
      <c r="A9" s="4" t="s">
        <v>1557</v>
      </c>
      <c r="B9" s="4" t="s">
        <v>1552</v>
      </c>
      <c r="C9" s="4" t="s">
        <v>31</v>
      </c>
      <c r="D9" s="4">
        <v>8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43</v>
      </c>
      <c r="K9" s="4">
        <v>258</v>
      </c>
      <c r="L9" s="4">
        <v>1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31.8</v>
      </c>
      <c r="T9" s="4">
        <v>0</v>
      </c>
      <c r="U9" s="4">
        <v>6</v>
      </c>
      <c r="V9" s="4"/>
      <c r="W9" s="4"/>
      <c r="X9" s="4"/>
    </row>
    <row r="10" spans="1:24" x14ac:dyDescent="0.25">
      <c r="A10" s="3" t="s">
        <v>1131</v>
      </c>
      <c r="B10" s="3" t="s">
        <v>1552</v>
      </c>
      <c r="C10" s="3" t="s">
        <v>31</v>
      </c>
      <c r="D10" s="3">
        <v>8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92</v>
      </c>
      <c r="K10" s="3">
        <v>468</v>
      </c>
      <c r="L10" s="3">
        <v>2</v>
      </c>
      <c r="M10" s="3">
        <v>13</v>
      </c>
      <c r="N10" s="3">
        <v>10</v>
      </c>
      <c r="O10" s="3">
        <v>91</v>
      </c>
      <c r="P10" s="3">
        <v>0</v>
      </c>
      <c r="Q10" s="3">
        <v>1</v>
      </c>
      <c r="R10" s="3">
        <v>0</v>
      </c>
      <c r="S10" s="3">
        <v>73.900000000000006</v>
      </c>
      <c r="T10" s="3">
        <v>2.2687609075043601E-2</v>
      </c>
      <c r="U10" s="3">
        <v>5.0869565217391299</v>
      </c>
      <c r="V10" s="3">
        <v>9.1</v>
      </c>
      <c r="W10" s="3"/>
      <c r="X10" s="3"/>
    </row>
    <row r="11" spans="1:24" x14ac:dyDescent="0.25">
      <c r="A11" s="4" t="s">
        <v>1558</v>
      </c>
      <c r="B11" s="4" t="s">
        <v>1552</v>
      </c>
      <c r="C11" s="4" t="s">
        <v>31</v>
      </c>
      <c r="D11" s="4">
        <v>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12</v>
      </c>
      <c r="K11" s="4">
        <v>26</v>
      </c>
      <c r="L11" s="4">
        <v>1</v>
      </c>
      <c r="M11" s="4">
        <v>3</v>
      </c>
      <c r="N11" s="4">
        <v>3</v>
      </c>
      <c r="O11" s="4">
        <v>44</v>
      </c>
      <c r="P11" s="4">
        <v>1</v>
      </c>
      <c r="Q11" s="4">
        <v>0</v>
      </c>
      <c r="R11" s="4">
        <v>0</v>
      </c>
      <c r="S11" s="4">
        <v>22</v>
      </c>
      <c r="T11" s="4">
        <v>5.2356020942408397E-3</v>
      </c>
      <c r="U11" s="4">
        <v>2.1666666666666701</v>
      </c>
      <c r="V11" s="4">
        <v>14.6666666666667</v>
      </c>
      <c r="W11" s="4"/>
      <c r="X11" s="4"/>
    </row>
    <row r="12" spans="1:24" x14ac:dyDescent="0.25">
      <c r="A12" s="3" t="s">
        <v>1559</v>
      </c>
      <c r="B12" s="3" t="s">
        <v>1552</v>
      </c>
      <c r="C12" s="3" t="s">
        <v>31</v>
      </c>
      <c r="D12" s="3">
        <v>5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34</v>
      </c>
      <c r="K12" s="3">
        <v>99</v>
      </c>
      <c r="L12" s="3">
        <v>0</v>
      </c>
      <c r="M12" s="3">
        <v>2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3">
        <v>9.9</v>
      </c>
      <c r="T12" s="3">
        <v>3.4904013961605598E-3</v>
      </c>
      <c r="U12" s="3">
        <v>2.9117647058823501</v>
      </c>
      <c r="V12" s="3"/>
      <c r="W12" s="3"/>
      <c r="X12" s="3"/>
    </row>
    <row r="13" spans="1:24" x14ac:dyDescent="0.25">
      <c r="A13" s="4" t="s">
        <v>1560</v>
      </c>
      <c r="B13" s="4" t="s">
        <v>1552</v>
      </c>
      <c r="C13" s="4" t="s">
        <v>38</v>
      </c>
      <c r="D13" s="4">
        <v>2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2</v>
      </c>
      <c r="N13" s="4">
        <v>0</v>
      </c>
      <c r="O13" s="4">
        <v>0</v>
      </c>
      <c r="P13" s="4">
        <v>0</v>
      </c>
      <c r="Q13" s="4">
        <v>0</v>
      </c>
      <c r="R13" s="4">
        <v>0</v>
      </c>
      <c r="S13" s="4">
        <v>0</v>
      </c>
      <c r="T13" s="4">
        <v>3.4904013961605598E-3</v>
      </c>
      <c r="U13" s="4"/>
      <c r="V13" s="4"/>
      <c r="W13" s="4"/>
      <c r="X13" s="4"/>
    </row>
    <row r="14" spans="1:24" x14ac:dyDescent="0.25">
      <c r="A14" s="3" t="s">
        <v>1561</v>
      </c>
      <c r="B14" s="3" t="s">
        <v>1552</v>
      </c>
      <c r="C14" s="3" t="s">
        <v>38</v>
      </c>
      <c r="D14" s="3">
        <v>15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86</v>
      </c>
      <c r="N14" s="3">
        <v>60</v>
      </c>
      <c r="O14" s="3">
        <v>765</v>
      </c>
      <c r="P14" s="3">
        <v>11</v>
      </c>
      <c r="Q14" s="3">
        <v>0</v>
      </c>
      <c r="R14" s="3">
        <v>0</v>
      </c>
      <c r="S14" s="3">
        <v>200.5</v>
      </c>
      <c r="T14" s="3">
        <v>0.150087260034904</v>
      </c>
      <c r="U14" s="3"/>
      <c r="V14" s="3">
        <v>12.75</v>
      </c>
      <c r="W14" s="3"/>
      <c r="X14" s="3"/>
    </row>
    <row r="15" spans="1:24" x14ac:dyDescent="0.25">
      <c r="A15" s="4" t="s">
        <v>1562</v>
      </c>
      <c r="B15" s="4" t="s">
        <v>1552</v>
      </c>
      <c r="C15" s="4" t="s">
        <v>38</v>
      </c>
      <c r="D15" s="4">
        <v>4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5</v>
      </c>
      <c r="N15" s="4">
        <v>3</v>
      </c>
      <c r="O15" s="4">
        <v>105</v>
      </c>
      <c r="P15" s="4">
        <v>1</v>
      </c>
      <c r="Q15" s="4">
        <v>0</v>
      </c>
      <c r="R15" s="4">
        <v>0</v>
      </c>
      <c r="S15" s="4">
        <v>19.5</v>
      </c>
      <c r="T15" s="4">
        <v>8.7260034904013996E-3</v>
      </c>
      <c r="U15" s="4"/>
      <c r="V15" s="4">
        <v>35</v>
      </c>
      <c r="W15" s="4"/>
      <c r="X15" s="4"/>
    </row>
    <row r="16" spans="1:24" x14ac:dyDescent="0.25">
      <c r="A16" s="3" t="s">
        <v>1563</v>
      </c>
      <c r="B16" s="3" t="s">
        <v>1552</v>
      </c>
      <c r="C16" s="3" t="s">
        <v>38</v>
      </c>
      <c r="D16" s="3">
        <v>4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5</v>
      </c>
      <c r="N16" s="3">
        <v>4</v>
      </c>
      <c r="O16" s="3">
        <v>57</v>
      </c>
      <c r="P16" s="3">
        <v>0</v>
      </c>
      <c r="Q16" s="3">
        <v>0</v>
      </c>
      <c r="R16" s="3">
        <v>0</v>
      </c>
      <c r="S16" s="3">
        <v>9.6999999999999993</v>
      </c>
      <c r="T16" s="3">
        <v>8.7260034904013996E-3</v>
      </c>
      <c r="U16" s="3"/>
      <c r="V16" s="3">
        <v>14.25</v>
      </c>
      <c r="W16" s="3"/>
      <c r="X16" s="3"/>
    </row>
    <row r="17" spans="1:24" x14ac:dyDescent="0.25">
      <c r="A17" s="4" t="s">
        <v>1564</v>
      </c>
      <c r="B17" s="4" t="s">
        <v>1552</v>
      </c>
      <c r="C17" s="4" t="s">
        <v>43</v>
      </c>
      <c r="D17" s="4">
        <v>17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2</v>
      </c>
      <c r="K17" s="4">
        <v>23</v>
      </c>
      <c r="L17" s="4">
        <v>0</v>
      </c>
      <c r="M17" s="4">
        <v>114</v>
      </c>
      <c r="N17" s="4">
        <v>78</v>
      </c>
      <c r="O17" s="4">
        <v>1015</v>
      </c>
      <c r="P17" s="4">
        <v>8</v>
      </c>
      <c r="Q17" s="4">
        <v>0</v>
      </c>
      <c r="R17" s="4">
        <v>0</v>
      </c>
      <c r="S17" s="4">
        <v>227.8</v>
      </c>
      <c r="T17" s="4">
        <v>0.19895287958115199</v>
      </c>
      <c r="U17" s="4">
        <v>11.5</v>
      </c>
      <c r="V17" s="4">
        <v>13.0128205128205</v>
      </c>
      <c r="W17" s="4"/>
      <c r="X17" s="4"/>
    </row>
    <row r="18" spans="1:24" x14ac:dyDescent="0.25">
      <c r="A18" s="3" t="s">
        <v>1565</v>
      </c>
      <c r="B18" s="3" t="s">
        <v>1552</v>
      </c>
      <c r="C18" s="3" t="s">
        <v>43</v>
      </c>
      <c r="D18" s="3">
        <v>5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1</v>
      </c>
      <c r="K18" s="3">
        <v>9</v>
      </c>
      <c r="L18" s="3">
        <v>0</v>
      </c>
      <c r="M18" s="3">
        <v>7</v>
      </c>
      <c r="N18" s="3">
        <v>1</v>
      </c>
      <c r="O18" s="3">
        <v>10</v>
      </c>
      <c r="P18" s="3">
        <v>0</v>
      </c>
      <c r="Q18" s="3">
        <v>0</v>
      </c>
      <c r="R18" s="3">
        <v>0</v>
      </c>
      <c r="S18" s="3">
        <v>2.9</v>
      </c>
      <c r="T18" s="3">
        <v>1.2216404886561999E-2</v>
      </c>
      <c r="U18" s="3">
        <v>9</v>
      </c>
      <c r="V18" s="3">
        <v>10</v>
      </c>
      <c r="W18" s="3"/>
      <c r="X18" s="3"/>
    </row>
    <row r="19" spans="1:24" x14ac:dyDescent="0.25">
      <c r="A19" s="4" t="s">
        <v>1566</v>
      </c>
      <c r="B19" s="4" t="s">
        <v>1552</v>
      </c>
      <c r="C19" s="4" t="s">
        <v>43</v>
      </c>
      <c r="D19" s="4">
        <v>13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42</v>
      </c>
      <c r="K19" s="4">
        <v>232</v>
      </c>
      <c r="L19" s="4">
        <v>3</v>
      </c>
      <c r="M19" s="4">
        <v>94</v>
      </c>
      <c r="N19" s="4">
        <v>56</v>
      </c>
      <c r="O19" s="4">
        <v>632</v>
      </c>
      <c r="P19" s="4">
        <v>2</v>
      </c>
      <c r="Q19" s="4">
        <v>2</v>
      </c>
      <c r="R19" s="4">
        <v>0</v>
      </c>
      <c r="S19" s="4">
        <v>168.4</v>
      </c>
      <c r="T19" s="4">
        <v>0.16404886561954601</v>
      </c>
      <c r="U19" s="4">
        <v>5.5238095238095202</v>
      </c>
      <c r="V19" s="4">
        <v>11.285714285714301</v>
      </c>
      <c r="W19" s="4"/>
      <c r="X19" s="4"/>
    </row>
    <row r="20" spans="1:24" x14ac:dyDescent="0.25">
      <c r="A20" s="3" t="s">
        <v>1567</v>
      </c>
      <c r="B20" s="3" t="s">
        <v>1552</v>
      </c>
      <c r="C20" s="3" t="s">
        <v>43</v>
      </c>
      <c r="D20" s="3">
        <v>16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56</v>
      </c>
      <c r="N20" s="3">
        <v>35</v>
      </c>
      <c r="O20" s="3">
        <v>416</v>
      </c>
      <c r="P20" s="3">
        <v>1</v>
      </c>
      <c r="Q20" s="3">
        <v>0</v>
      </c>
      <c r="R20" s="3">
        <v>0</v>
      </c>
      <c r="S20" s="3">
        <v>82.6</v>
      </c>
      <c r="T20" s="3">
        <v>9.7731239092495606E-2</v>
      </c>
      <c r="U20" s="3"/>
      <c r="V20" s="3">
        <v>11.8857142857143</v>
      </c>
      <c r="W20" s="3"/>
      <c r="X20" s="3"/>
    </row>
    <row r="21" spans="1:24" x14ac:dyDescent="0.25">
      <c r="A21" s="4" t="s">
        <v>1568</v>
      </c>
      <c r="B21" s="4" t="s">
        <v>1552</v>
      </c>
      <c r="C21" s="4" t="s">
        <v>43</v>
      </c>
      <c r="D21" s="4">
        <v>14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4</v>
      </c>
      <c r="K21" s="4">
        <v>78</v>
      </c>
      <c r="L21" s="4">
        <v>1</v>
      </c>
      <c r="M21" s="4">
        <v>25</v>
      </c>
      <c r="N21" s="4">
        <v>14</v>
      </c>
      <c r="O21" s="4">
        <v>243</v>
      </c>
      <c r="P21" s="4">
        <v>1</v>
      </c>
      <c r="Q21" s="4">
        <v>0</v>
      </c>
      <c r="R21" s="4">
        <v>0</v>
      </c>
      <c r="S21" s="4">
        <v>58.1</v>
      </c>
      <c r="T21" s="4">
        <v>4.3630017452007001E-2</v>
      </c>
      <c r="U21" s="4">
        <v>19.5</v>
      </c>
      <c r="V21" s="4">
        <v>17.3571428571429</v>
      </c>
      <c r="W21" s="4"/>
      <c r="X21" s="4"/>
    </row>
    <row r="30" spans="1:24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</row>
    <row r="31" spans="1:24" x14ac:dyDescent="0.25">
      <c r="A31" s="3" t="s">
        <v>1552</v>
      </c>
      <c r="B31" s="3">
        <v>6409</v>
      </c>
      <c r="C31" s="3">
        <v>4049</v>
      </c>
      <c r="D31" s="3">
        <v>504</v>
      </c>
      <c r="E31" s="3">
        <v>2360</v>
      </c>
      <c r="F31" s="3">
        <v>20</v>
      </c>
      <c r="G31" s="3">
        <v>1526.86</v>
      </c>
      <c r="H31" s="3">
        <v>512</v>
      </c>
      <c r="I31" s="3">
        <v>0.66015625</v>
      </c>
      <c r="J31" s="3">
        <v>30</v>
      </c>
      <c r="K31" s="3">
        <v>9</v>
      </c>
      <c r="L31" s="3">
        <v>5</v>
      </c>
    </row>
    <row r="32" spans="1:24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</row>
    <row r="33" spans="1:28" x14ac:dyDescent="0.25">
      <c r="A33" s="3" t="str">
        <f>A31</f>
        <v>SF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1569</v>
      </c>
      <c r="B36" s="3" t="s">
        <v>26</v>
      </c>
      <c r="C36" s="3">
        <v>30</v>
      </c>
      <c r="D36" s="3">
        <v>7</v>
      </c>
      <c r="E36" s="3" t="s">
        <v>175</v>
      </c>
      <c r="F36" s="3" t="s">
        <v>1552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">
        <v>0</v>
      </c>
      <c r="X36" s="3">
        <v>0</v>
      </c>
      <c r="Y36" s="3">
        <v>0</v>
      </c>
      <c r="Z36" s="3">
        <v>0</v>
      </c>
      <c r="AA36" s="3">
        <v>0</v>
      </c>
      <c r="AB36" s="3">
        <v>0</v>
      </c>
    </row>
    <row r="37" spans="1:28" x14ac:dyDescent="0.25">
      <c r="A37" s="4" t="s">
        <v>1570</v>
      </c>
      <c r="B37" s="4" t="s">
        <v>26</v>
      </c>
      <c r="C37" s="4">
        <v>26</v>
      </c>
      <c r="D37" s="4">
        <v>6</v>
      </c>
      <c r="E37" s="4" t="s">
        <v>78</v>
      </c>
      <c r="F37" s="4" t="s">
        <v>1552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</row>
    <row r="38" spans="1:28" x14ac:dyDescent="0.25">
      <c r="A38" s="3" t="s">
        <v>1571</v>
      </c>
      <c r="B38" s="3" t="s">
        <v>26</v>
      </c>
      <c r="C38" s="3">
        <v>23</v>
      </c>
      <c r="D38" s="3">
        <v>3</v>
      </c>
      <c r="E38" s="3" t="s">
        <v>555</v>
      </c>
      <c r="F38" s="3" t="s">
        <v>1552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v>0</v>
      </c>
      <c r="W38" s="3">
        <v>0</v>
      </c>
      <c r="X38" s="3">
        <v>0</v>
      </c>
      <c r="Y38" s="3">
        <v>0</v>
      </c>
      <c r="Z38" s="3">
        <v>0</v>
      </c>
      <c r="AA38" s="3">
        <v>0</v>
      </c>
      <c r="AB38" s="3">
        <v>0</v>
      </c>
    </row>
    <row r="39" spans="1:28" x14ac:dyDescent="0.25">
      <c r="A39" s="4" t="s">
        <v>1572</v>
      </c>
      <c r="B39" s="4" t="s">
        <v>26</v>
      </c>
      <c r="C39" s="4">
        <v>23</v>
      </c>
      <c r="D39" s="4">
        <v>2</v>
      </c>
      <c r="E39" s="4" t="s">
        <v>244</v>
      </c>
      <c r="F39" s="4" t="s">
        <v>1552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  <c r="AB39" s="4"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1573</v>
      </c>
      <c r="B46" s="3" t="s">
        <v>31</v>
      </c>
      <c r="C46" s="3">
        <v>22</v>
      </c>
      <c r="D46" s="3">
        <v>2</v>
      </c>
      <c r="E46" s="3" t="s">
        <v>227</v>
      </c>
      <c r="F46" s="3" t="s">
        <v>1552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v>0</v>
      </c>
      <c r="W46" s="3">
        <v>0</v>
      </c>
      <c r="X46" s="3">
        <v>0</v>
      </c>
      <c r="Y46" s="3">
        <v>0</v>
      </c>
      <c r="Z46" s="3">
        <v>0</v>
      </c>
      <c r="AA46" s="3">
        <v>0</v>
      </c>
      <c r="AB46" s="3">
        <f t="shared" ref="AB46:AB51" si="0">($J46*Cp_yd)+($K46*Cp_td)+($L46*Cint)+($M46*Ccar)+($N46*Cr_td)+($O46*Cr_yd)+(Q46*Crec)+($R46*Crec_yd)+($S46*Crec_td)+($T46*Cfmb)+($U46*Ctp_c)</f>
        <v>0</v>
      </c>
    </row>
    <row r="47" spans="1:28" x14ac:dyDescent="0.25">
      <c r="A47" s="4" t="s">
        <v>1574</v>
      </c>
      <c r="B47" s="4" t="s">
        <v>31</v>
      </c>
      <c r="C47" s="4">
        <v>24</v>
      </c>
      <c r="D47" s="4">
        <v>0</v>
      </c>
      <c r="E47" s="4" t="s">
        <v>1575</v>
      </c>
      <c r="F47" s="4" t="s">
        <v>1552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f t="shared" si="0"/>
        <v>0</v>
      </c>
    </row>
    <row r="48" spans="1:28" x14ac:dyDescent="0.25">
      <c r="A48" s="3" t="s">
        <v>1576</v>
      </c>
      <c r="B48" s="3" t="s">
        <v>31</v>
      </c>
      <c r="C48" s="3">
        <v>24</v>
      </c>
      <c r="D48" s="3">
        <v>2</v>
      </c>
      <c r="E48" s="3" t="s">
        <v>455</v>
      </c>
      <c r="F48" s="3" t="s">
        <v>1552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v>0</v>
      </c>
      <c r="W48" s="3">
        <v>0</v>
      </c>
      <c r="X48" s="3">
        <v>0</v>
      </c>
      <c r="Y48" s="3">
        <v>0</v>
      </c>
      <c r="Z48" s="3">
        <v>0</v>
      </c>
      <c r="AA48" s="3">
        <v>0</v>
      </c>
      <c r="AB48" s="3">
        <f t="shared" si="0"/>
        <v>0</v>
      </c>
    </row>
    <row r="49" spans="1:28" x14ac:dyDescent="0.25">
      <c r="A49" s="4" t="s">
        <v>1577</v>
      </c>
      <c r="B49" s="4" t="s">
        <v>31</v>
      </c>
      <c r="C49" s="4">
        <v>27</v>
      </c>
      <c r="D49" s="4">
        <v>7</v>
      </c>
      <c r="E49" s="4" t="s">
        <v>102</v>
      </c>
      <c r="F49" s="4" t="s">
        <v>1552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B49" s="4">
        <f t="shared" si="0"/>
        <v>0</v>
      </c>
    </row>
    <row r="50" spans="1:28" x14ac:dyDescent="0.25">
      <c r="A50" s="3" t="s">
        <v>1578</v>
      </c>
      <c r="B50" s="3" t="s">
        <v>31</v>
      </c>
      <c r="C50" s="3">
        <v>27</v>
      </c>
      <c r="D50" s="3">
        <v>4</v>
      </c>
      <c r="E50" s="3" t="s">
        <v>296</v>
      </c>
      <c r="F50" s="3" t="s">
        <v>1552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v>0</v>
      </c>
      <c r="W50" s="3">
        <v>0</v>
      </c>
      <c r="X50" s="3">
        <v>0</v>
      </c>
      <c r="Y50" s="3">
        <v>0</v>
      </c>
      <c r="Z50" s="3">
        <v>0</v>
      </c>
      <c r="AA50" s="3">
        <v>0</v>
      </c>
      <c r="AB50" s="3">
        <f t="shared" si="0"/>
        <v>0</v>
      </c>
    </row>
    <row r="51" spans="1:28" x14ac:dyDescent="0.25">
      <c r="A51" s="4" t="s">
        <v>1579</v>
      </c>
      <c r="B51" s="4" t="s">
        <v>31</v>
      </c>
      <c r="C51" s="4">
        <v>25</v>
      </c>
      <c r="D51" s="4">
        <v>3</v>
      </c>
      <c r="E51" s="4" t="s">
        <v>574</v>
      </c>
      <c r="F51" s="4" t="s">
        <v>1552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v>0</v>
      </c>
      <c r="W51" s="4">
        <v>0</v>
      </c>
      <c r="X51" s="4">
        <v>0</v>
      </c>
      <c r="Y51" s="4">
        <v>0</v>
      </c>
      <c r="Z51" s="4">
        <v>0</v>
      </c>
      <c r="AA51" s="4">
        <v>0</v>
      </c>
      <c r="AB51" s="4">
        <f t="shared" si="0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1580</v>
      </c>
      <c r="B61" s="3" t="s">
        <v>43</v>
      </c>
      <c r="C61" s="3">
        <v>25</v>
      </c>
      <c r="D61" s="3">
        <v>4</v>
      </c>
      <c r="E61" s="3" t="s">
        <v>155</v>
      </c>
      <c r="F61" s="3" t="s">
        <v>1552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v>0</v>
      </c>
      <c r="W61" s="3">
        <v>0</v>
      </c>
      <c r="X61" s="3">
        <v>0</v>
      </c>
      <c r="Y61" s="3">
        <v>0</v>
      </c>
      <c r="Z61" s="3">
        <v>0</v>
      </c>
      <c r="AA61" s="3">
        <v>0</v>
      </c>
      <c r="AB61" s="3">
        <v>0</v>
      </c>
    </row>
    <row r="62" spans="1:28" x14ac:dyDescent="0.25">
      <c r="A62" s="4" t="s">
        <v>1581</v>
      </c>
      <c r="B62" s="4" t="s">
        <v>43</v>
      </c>
      <c r="C62" s="4">
        <v>23</v>
      </c>
      <c r="D62" s="4">
        <v>0</v>
      </c>
      <c r="E62" s="4" t="s">
        <v>105</v>
      </c>
      <c r="F62" s="4" t="s">
        <v>1552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0</v>
      </c>
      <c r="X62" s="4">
        <v>0</v>
      </c>
      <c r="Y62" s="4">
        <v>0</v>
      </c>
      <c r="Z62" s="4">
        <v>0</v>
      </c>
      <c r="AA62" s="4">
        <v>0</v>
      </c>
      <c r="AB62" s="4">
        <v>0</v>
      </c>
    </row>
    <row r="63" spans="1:28" x14ac:dyDescent="0.25">
      <c r="A63" s="3" t="s">
        <v>1582</v>
      </c>
      <c r="B63" s="3" t="s">
        <v>43</v>
      </c>
      <c r="C63" s="3">
        <v>30</v>
      </c>
      <c r="D63" s="3">
        <v>9</v>
      </c>
      <c r="E63" s="3" t="s">
        <v>173</v>
      </c>
      <c r="F63" s="3" t="s">
        <v>1552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v>0</v>
      </c>
      <c r="W63" s="3">
        <v>0</v>
      </c>
      <c r="X63" s="3">
        <v>0</v>
      </c>
      <c r="Y63" s="3">
        <v>0</v>
      </c>
      <c r="Z63" s="3">
        <v>0</v>
      </c>
      <c r="AA63" s="3">
        <v>0</v>
      </c>
      <c r="AB63" s="3">
        <v>0</v>
      </c>
    </row>
    <row r="64" spans="1:28" x14ac:dyDescent="0.25">
      <c r="A64" s="4" t="s">
        <v>1583</v>
      </c>
      <c r="B64" s="4" t="s">
        <v>43</v>
      </c>
      <c r="C64" s="4">
        <v>24</v>
      </c>
      <c r="D64" s="4">
        <v>2</v>
      </c>
      <c r="E64" s="4" t="s">
        <v>237</v>
      </c>
      <c r="F64" s="4" t="s">
        <v>1552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</row>
    <row r="65" spans="1:28" x14ac:dyDescent="0.25">
      <c r="A65" s="3" t="s">
        <v>1584</v>
      </c>
      <c r="B65" s="3" t="s">
        <v>43</v>
      </c>
      <c r="C65" s="3">
        <v>26</v>
      </c>
      <c r="D65" s="3">
        <v>3</v>
      </c>
      <c r="E65" s="3" t="s">
        <v>143</v>
      </c>
      <c r="F65" s="3" t="s">
        <v>1552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v>0</v>
      </c>
      <c r="W65" s="3">
        <v>0</v>
      </c>
      <c r="X65" s="3">
        <v>0</v>
      </c>
      <c r="Y65" s="3">
        <v>0</v>
      </c>
      <c r="Z65" s="3">
        <v>0</v>
      </c>
      <c r="AA65" s="3">
        <v>0</v>
      </c>
      <c r="AB65" s="3">
        <v>0</v>
      </c>
    </row>
    <row r="66" spans="1:28" x14ac:dyDescent="0.25">
      <c r="A66" s="4" t="s">
        <v>1585</v>
      </c>
      <c r="B66" s="4" t="s">
        <v>43</v>
      </c>
      <c r="C66" s="4">
        <v>25</v>
      </c>
      <c r="D66" s="4">
        <v>1</v>
      </c>
      <c r="E66" s="4" t="s">
        <v>218</v>
      </c>
      <c r="F66" s="4" t="s">
        <v>1552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</row>
    <row r="67" spans="1:28" x14ac:dyDescent="0.25">
      <c r="A67" s="3" t="s">
        <v>1586</v>
      </c>
      <c r="B67" s="3" t="s">
        <v>43</v>
      </c>
      <c r="C67" s="3">
        <v>26</v>
      </c>
      <c r="D67" s="3">
        <v>6</v>
      </c>
      <c r="E67" s="3" t="s">
        <v>458</v>
      </c>
      <c r="F67" s="3" t="s">
        <v>1552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v>0</v>
      </c>
      <c r="W67" s="3">
        <v>0</v>
      </c>
      <c r="X67" s="3">
        <v>0</v>
      </c>
      <c r="Y67" s="3">
        <v>0</v>
      </c>
      <c r="Z67" s="3">
        <v>0</v>
      </c>
      <c r="AA67" s="3">
        <v>0</v>
      </c>
      <c r="AB67" s="3">
        <v>0</v>
      </c>
    </row>
    <row r="68" spans="1:28" x14ac:dyDescent="0.25">
      <c r="A68" s="4" t="s">
        <v>1587</v>
      </c>
      <c r="B68" s="4" t="s">
        <v>43</v>
      </c>
      <c r="C68" s="4">
        <v>24</v>
      </c>
      <c r="D68" s="4">
        <v>1</v>
      </c>
      <c r="E68" s="4" t="s">
        <v>163</v>
      </c>
      <c r="F68" s="4" t="s">
        <v>1552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0</v>
      </c>
      <c r="X68" s="4">
        <v>0</v>
      </c>
      <c r="Y68" s="4">
        <v>0</v>
      </c>
      <c r="Z68" s="4">
        <v>0</v>
      </c>
      <c r="AA68" s="4">
        <v>0</v>
      </c>
      <c r="AB68" s="4">
        <v>0</v>
      </c>
    </row>
    <row r="69" spans="1:28" x14ac:dyDescent="0.25">
      <c r="A69" s="3" t="s">
        <v>1588</v>
      </c>
      <c r="B69" s="3" t="s">
        <v>43</v>
      </c>
      <c r="C69" s="3">
        <v>27</v>
      </c>
      <c r="D69" s="3">
        <v>5</v>
      </c>
      <c r="E69" s="3" t="s">
        <v>341</v>
      </c>
      <c r="F69" s="3" t="s">
        <v>1552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v>0</v>
      </c>
      <c r="W69" s="3">
        <v>0</v>
      </c>
      <c r="X69" s="3">
        <v>0</v>
      </c>
      <c r="Y69" s="3">
        <v>0</v>
      </c>
      <c r="Z69" s="3">
        <v>0</v>
      </c>
      <c r="AA69" s="3">
        <v>0</v>
      </c>
      <c r="AB69" s="3">
        <v>0</v>
      </c>
    </row>
    <row r="70" spans="1:28" x14ac:dyDescent="0.25">
      <c r="A70" s="4" t="s">
        <v>1589</v>
      </c>
      <c r="B70" s="4" t="s">
        <v>43</v>
      </c>
      <c r="C70" s="4">
        <v>30</v>
      </c>
      <c r="D70" s="4">
        <v>8</v>
      </c>
      <c r="E70" s="4" t="s">
        <v>1590</v>
      </c>
      <c r="F70" s="4" t="s">
        <v>1552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0</v>
      </c>
      <c r="X70" s="4">
        <v>0</v>
      </c>
      <c r="Y70" s="4">
        <v>0</v>
      </c>
      <c r="Z70" s="4">
        <v>0</v>
      </c>
      <c r="AA70" s="4">
        <v>0</v>
      </c>
      <c r="AB70" s="4">
        <v>0</v>
      </c>
    </row>
    <row r="71" spans="1:28" x14ac:dyDescent="0.25">
      <c r="A71" s="3" t="s">
        <v>1591</v>
      </c>
      <c r="B71" s="3" t="s">
        <v>43</v>
      </c>
      <c r="C71" s="3">
        <v>24</v>
      </c>
      <c r="D71" s="3">
        <v>0</v>
      </c>
      <c r="E71" s="3" t="s">
        <v>220</v>
      </c>
      <c r="F71" s="3" t="s">
        <v>1552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v>0</v>
      </c>
      <c r="W71" s="3">
        <v>0</v>
      </c>
      <c r="X71" s="3">
        <v>0</v>
      </c>
      <c r="Y71" s="3">
        <v>0</v>
      </c>
      <c r="Z71" s="3">
        <v>0</v>
      </c>
      <c r="AA71" s="3">
        <v>0</v>
      </c>
      <c r="AB71" s="3"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1592</v>
      </c>
      <c r="B76" s="3" t="s">
        <v>38</v>
      </c>
      <c r="C76" s="3">
        <v>28</v>
      </c>
      <c r="D76" s="3">
        <v>6</v>
      </c>
      <c r="E76" s="3" t="s">
        <v>211</v>
      </c>
      <c r="F76" s="3" t="s">
        <v>1552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v>0</v>
      </c>
      <c r="W76" s="3">
        <v>0</v>
      </c>
      <c r="X76" s="3">
        <v>0</v>
      </c>
      <c r="Y76" s="3">
        <v>0</v>
      </c>
      <c r="Z76" s="3">
        <v>0</v>
      </c>
      <c r="AA76" s="3">
        <v>0</v>
      </c>
      <c r="AB76" s="3">
        <v>0</v>
      </c>
    </row>
    <row r="77" spans="1:28" x14ac:dyDescent="0.25">
      <c r="A77" s="4" t="s">
        <v>1593</v>
      </c>
      <c r="B77" s="4" t="s">
        <v>38</v>
      </c>
      <c r="C77" s="4">
        <v>28</v>
      </c>
      <c r="D77" s="4">
        <v>5</v>
      </c>
      <c r="E77" s="4" t="s">
        <v>72</v>
      </c>
      <c r="F77" s="4" t="s">
        <v>1552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v>0</v>
      </c>
      <c r="W77" s="4">
        <v>0</v>
      </c>
      <c r="X77" s="4">
        <v>0</v>
      </c>
      <c r="Y77" s="4">
        <v>0</v>
      </c>
      <c r="Z77" s="4">
        <v>0</v>
      </c>
      <c r="AA77" s="4">
        <v>0</v>
      </c>
      <c r="AB77" s="4">
        <v>0</v>
      </c>
    </row>
    <row r="78" spans="1:28" x14ac:dyDescent="0.25">
      <c r="A78" s="3" t="s">
        <v>1594</v>
      </c>
      <c r="B78" s="3" t="s">
        <v>38</v>
      </c>
      <c r="C78" s="3">
        <v>29</v>
      </c>
      <c r="D78" s="3">
        <v>7</v>
      </c>
      <c r="E78" s="3" t="s">
        <v>100</v>
      </c>
      <c r="F78" s="3" t="s">
        <v>1552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v>0</v>
      </c>
      <c r="W78" s="3">
        <v>0</v>
      </c>
      <c r="X78" s="3">
        <v>0</v>
      </c>
      <c r="Y78" s="3">
        <v>0</v>
      </c>
      <c r="Z78" s="3">
        <v>0</v>
      </c>
      <c r="AA78" s="3">
        <v>0</v>
      </c>
      <c r="AB78" s="3">
        <v>0</v>
      </c>
    </row>
    <row r="79" spans="1:28" x14ac:dyDescent="0.25">
      <c r="A79" s="4" t="s">
        <v>1595</v>
      </c>
      <c r="B79" s="4" t="s">
        <v>38</v>
      </c>
      <c r="C79" s="4">
        <v>23</v>
      </c>
      <c r="D79" s="4">
        <v>0</v>
      </c>
      <c r="E79" s="4" t="s">
        <v>153</v>
      </c>
      <c r="F79" s="4" t="s">
        <v>1552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v>0</v>
      </c>
      <c r="W79" s="4">
        <v>0</v>
      </c>
      <c r="X79" s="4">
        <v>0</v>
      </c>
      <c r="Y79" s="4">
        <v>0</v>
      </c>
      <c r="Z79" s="4">
        <v>0</v>
      </c>
      <c r="AA79" s="4">
        <v>0</v>
      </c>
      <c r="AB79" s="4">
        <v>0</v>
      </c>
    </row>
    <row r="80" spans="1:28" x14ac:dyDescent="0.25">
      <c r="A80" s="3" t="s">
        <v>1596</v>
      </c>
      <c r="B80" s="3" t="s">
        <v>38</v>
      </c>
      <c r="C80" s="3">
        <v>23</v>
      </c>
      <c r="D80" s="3">
        <v>0</v>
      </c>
      <c r="E80" s="3" t="s">
        <v>68</v>
      </c>
      <c r="F80" s="3" t="s">
        <v>1552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v>0</v>
      </c>
      <c r="W80" s="3">
        <v>0</v>
      </c>
      <c r="X80" s="3">
        <v>0</v>
      </c>
      <c r="Y80" s="3">
        <v>0</v>
      </c>
      <c r="Z80" s="3">
        <v>0</v>
      </c>
      <c r="AA80" s="3">
        <v>0</v>
      </c>
      <c r="AB80" s="3">
        <v>0</v>
      </c>
    </row>
    <row r="81" spans="1:28" x14ac:dyDescent="0.25">
      <c r="A81" s="4" t="s">
        <v>1597</v>
      </c>
      <c r="B81" s="4" t="s">
        <v>38</v>
      </c>
      <c r="C81" s="4">
        <v>25</v>
      </c>
      <c r="D81" s="4">
        <v>4</v>
      </c>
      <c r="E81" s="4" t="s">
        <v>173</v>
      </c>
      <c r="F81" s="4" t="s">
        <v>1552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v>0</v>
      </c>
      <c r="W81" s="4">
        <v>0</v>
      </c>
      <c r="X81" s="4">
        <v>0</v>
      </c>
      <c r="Y81" s="4">
        <v>0</v>
      </c>
      <c r="Z81" s="4">
        <v>0</v>
      </c>
      <c r="AA81" s="4">
        <v>0</v>
      </c>
      <c r="AB81" s="4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/>
  <dimension ref="A1:AB81"/>
  <sheetViews>
    <sheetView topLeftCell="G25" workbookViewId="0">
      <selection activeCell="AB46" sqref="AB46:AB51"/>
    </sheetView>
  </sheetViews>
  <sheetFormatPr defaultColWidth="11.42578125" defaultRowHeight="15" x14ac:dyDescent="0.25"/>
  <sheetData>
    <row r="1" spans="1:24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</row>
    <row r="2" spans="1:24" x14ac:dyDescent="0.25">
      <c r="A2" s="3" t="s">
        <v>1598</v>
      </c>
      <c r="B2" s="3" t="s">
        <v>1599</v>
      </c>
      <c r="C2" s="3" t="s">
        <v>26</v>
      </c>
      <c r="D2" s="3">
        <v>1</v>
      </c>
      <c r="E2" s="3">
        <v>8</v>
      </c>
      <c r="F2" s="3">
        <v>6</v>
      </c>
      <c r="G2" s="3">
        <v>29</v>
      </c>
      <c r="H2" s="3">
        <v>1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5.16</v>
      </c>
      <c r="T2" s="3">
        <v>0</v>
      </c>
      <c r="U2" s="3"/>
      <c r="V2" s="3"/>
      <c r="W2" s="3">
        <v>0.75</v>
      </c>
      <c r="X2" s="3">
        <v>0.125</v>
      </c>
    </row>
    <row r="3" spans="1:24" x14ac:dyDescent="0.25">
      <c r="A3" s="4" t="s">
        <v>1600</v>
      </c>
      <c r="B3" s="4" t="s">
        <v>1599</v>
      </c>
      <c r="C3" s="4" t="s">
        <v>26</v>
      </c>
      <c r="D3" s="4">
        <v>1</v>
      </c>
      <c r="E3" s="4">
        <v>9</v>
      </c>
      <c r="F3" s="4">
        <v>3</v>
      </c>
      <c r="G3" s="4">
        <v>23</v>
      </c>
      <c r="H3" s="4">
        <v>0</v>
      </c>
      <c r="I3" s="4">
        <v>0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0.92</v>
      </c>
      <c r="T3" s="4">
        <v>0</v>
      </c>
      <c r="U3" s="4"/>
      <c r="V3" s="4"/>
      <c r="W3" s="4">
        <v>0.33333333333333298</v>
      </c>
      <c r="X3" s="4">
        <v>0</v>
      </c>
    </row>
    <row r="4" spans="1:24" x14ac:dyDescent="0.25">
      <c r="A4" s="3" t="s">
        <v>1601</v>
      </c>
      <c r="B4" s="3" t="s">
        <v>1599</v>
      </c>
      <c r="C4" s="3" t="s">
        <v>26</v>
      </c>
      <c r="D4" s="3">
        <v>17</v>
      </c>
      <c r="E4" s="3">
        <v>733</v>
      </c>
      <c r="F4" s="3">
        <v>490</v>
      </c>
      <c r="G4" s="3">
        <v>4694</v>
      </c>
      <c r="H4" s="3">
        <v>25</v>
      </c>
      <c r="I4" s="3">
        <v>9</v>
      </c>
      <c r="J4" s="3">
        <v>29</v>
      </c>
      <c r="K4" s="3">
        <v>-1</v>
      </c>
      <c r="L4" s="3">
        <v>1</v>
      </c>
      <c r="M4" s="3">
        <v>1</v>
      </c>
      <c r="N4" s="3">
        <v>0</v>
      </c>
      <c r="O4" s="3">
        <v>0</v>
      </c>
      <c r="P4" s="3">
        <v>0</v>
      </c>
      <c r="Q4" s="3">
        <v>4</v>
      </c>
      <c r="R4" s="3">
        <v>2</v>
      </c>
      <c r="S4" s="3">
        <v>271.66000000000003</v>
      </c>
      <c r="T4" s="3">
        <v>1.953125E-3</v>
      </c>
      <c r="U4" s="3">
        <v>-3.4482758620689703E-2</v>
      </c>
      <c r="V4" s="3"/>
      <c r="W4" s="3">
        <v>0.66848567530695802</v>
      </c>
      <c r="X4" s="3">
        <v>3.4106412005456999E-2</v>
      </c>
    </row>
    <row r="5" spans="1:24" x14ac:dyDescent="0.25">
      <c r="A5" s="4" t="s">
        <v>1602</v>
      </c>
      <c r="B5" s="4" t="s">
        <v>1599</v>
      </c>
      <c r="C5" s="4" t="s">
        <v>31</v>
      </c>
      <c r="D5" s="4">
        <v>2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8</v>
      </c>
      <c r="K5" s="4">
        <v>28</v>
      </c>
      <c r="L5" s="4">
        <v>0</v>
      </c>
      <c r="M5" s="4">
        <v>2</v>
      </c>
      <c r="N5" s="4">
        <v>2</v>
      </c>
      <c r="O5" s="4">
        <v>-1</v>
      </c>
      <c r="P5" s="4">
        <v>0</v>
      </c>
      <c r="Q5" s="4">
        <v>0</v>
      </c>
      <c r="R5" s="4">
        <v>0</v>
      </c>
      <c r="S5" s="4">
        <v>4.7</v>
      </c>
      <c r="T5" s="4">
        <v>3.90625E-3</v>
      </c>
      <c r="U5" s="4">
        <v>3.5</v>
      </c>
      <c r="V5" s="4">
        <v>-0.5</v>
      </c>
      <c r="W5" s="4"/>
      <c r="X5" s="4"/>
    </row>
    <row r="6" spans="1:24" x14ac:dyDescent="0.25">
      <c r="A6" s="3" t="s">
        <v>1603</v>
      </c>
      <c r="B6" s="3" t="s">
        <v>1599</v>
      </c>
      <c r="C6" s="3" t="s">
        <v>31</v>
      </c>
      <c r="D6" s="3">
        <v>5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17</v>
      </c>
      <c r="K6" s="3">
        <v>53</v>
      </c>
      <c r="L6" s="3">
        <v>0</v>
      </c>
      <c r="M6" s="3">
        <v>4</v>
      </c>
      <c r="N6" s="3">
        <v>3</v>
      </c>
      <c r="O6" s="3">
        <v>19</v>
      </c>
      <c r="P6" s="3">
        <v>0</v>
      </c>
      <c r="Q6" s="3">
        <v>0</v>
      </c>
      <c r="R6" s="3">
        <v>0</v>
      </c>
      <c r="S6" s="3">
        <v>10.199999999999999</v>
      </c>
      <c r="T6" s="3">
        <v>7.8125E-3</v>
      </c>
      <c r="U6" s="3">
        <v>3.1176470588235299</v>
      </c>
      <c r="V6" s="3">
        <v>6.3333333333333304</v>
      </c>
      <c r="W6" s="3"/>
      <c r="X6" s="3"/>
    </row>
    <row r="7" spans="1:24" x14ac:dyDescent="0.25">
      <c r="A7" s="4" t="s">
        <v>1604</v>
      </c>
      <c r="B7" s="4" t="s">
        <v>1599</v>
      </c>
      <c r="C7" s="4" t="s">
        <v>31</v>
      </c>
      <c r="D7" s="4">
        <v>16</v>
      </c>
      <c r="E7" s="4">
        <v>1</v>
      </c>
      <c r="F7" s="4">
        <v>0</v>
      </c>
      <c r="G7" s="4">
        <v>0</v>
      </c>
      <c r="H7" s="4">
        <v>0</v>
      </c>
      <c r="I7" s="4">
        <v>1</v>
      </c>
      <c r="J7" s="4">
        <v>189</v>
      </c>
      <c r="K7" s="4">
        <v>668</v>
      </c>
      <c r="L7" s="4">
        <v>3</v>
      </c>
      <c r="M7" s="4">
        <v>83</v>
      </c>
      <c r="N7" s="4">
        <v>73</v>
      </c>
      <c r="O7" s="4">
        <v>523</v>
      </c>
      <c r="P7" s="4">
        <v>3</v>
      </c>
      <c r="Q7" s="4">
        <v>0</v>
      </c>
      <c r="R7" s="4">
        <v>0</v>
      </c>
      <c r="S7" s="4">
        <v>226.1</v>
      </c>
      <c r="T7" s="4">
        <v>0.162109375</v>
      </c>
      <c r="U7" s="4">
        <v>3.53439153439153</v>
      </c>
      <c r="V7" s="4">
        <v>7.1643835616438398</v>
      </c>
      <c r="W7" s="4">
        <v>0</v>
      </c>
      <c r="X7" s="4">
        <v>0</v>
      </c>
    </row>
    <row r="8" spans="1:24" x14ac:dyDescent="0.25">
      <c r="A8" s="3" t="s">
        <v>1605</v>
      </c>
      <c r="B8" s="3" t="s">
        <v>1599</v>
      </c>
      <c r="C8" s="3" t="s">
        <v>31</v>
      </c>
      <c r="D8" s="3">
        <v>16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129</v>
      </c>
      <c r="K8" s="3">
        <v>481</v>
      </c>
      <c r="L8" s="3">
        <v>1</v>
      </c>
      <c r="M8" s="3">
        <v>58</v>
      </c>
      <c r="N8" s="3">
        <v>50</v>
      </c>
      <c r="O8" s="3">
        <v>290</v>
      </c>
      <c r="P8" s="3">
        <v>2</v>
      </c>
      <c r="Q8" s="3">
        <v>1</v>
      </c>
      <c r="R8" s="3">
        <v>0</v>
      </c>
      <c r="S8" s="3">
        <v>141.1</v>
      </c>
      <c r="T8" s="3">
        <v>0.11328125</v>
      </c>
      <c r="U8" s="3">
        <v>3.7286821705426401</v>
      </c>
      <c r="V8" s="3">
        <v>5.8</v>
      </c>
      <c r="W8" s="3"/>
      <c r="X8" s="3"/>
    </row>
    <row r="9" spans="1:24" x14ac:dyDescent="0.25">
      <c r="A9" s="4" t="s">
        <v>1606</v>
      </c>
      <c r="B9" s="4" t="s">
        <v>1599</v>
      </c>
      <c r="C9" s="4" t="s">
        <v>38</v>
      </c>
      <c r="D9" s="4">
        <v>9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38</v>
      </c>
      <c r="N9" s="4">
        <v>20</v>
      </c>
      <c r="O9" s="4">
        <v>174</v>
      </c>
      <c r="P9" s="4">
        <v>0</v>
      </c>
      <c r="Q9" s="4">
        <v>0</v>
      </c>
      <c r="R9" s="4">
        <v>0</v>
      </c>
      <c r="S9" s="4">
        <v>37.4</v>
      </c>
      <c r="T9" s="4">
        <v>7.421875E-2</v>
      </c>
      <c r="U9" s="4"/>
      <c r="V9" s="4">
        <v>8.6999999999999993</v>
      </c>
      <c r="W9" s="4"/>
      <c r="X9" s="4"/>
    </row>
    <row r="10" spans="1:24" x14ac:dyDescent="0.25">
      <c r="A10" s="3" t="s">
        <v>1607</v>
      </c>
      <c r="B10" s="3" t="s">
        <v>1599</v>
      </c>
      <c r="C10" s="3" t="s">
        <v>38</v>
      </c>
      <c r="D10" s="3">
        <v>14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65</v>
      </c>
      <c r="N10" s="3">
        <v>42</v>
      </c>
      <c r="O10" s="3">
        <v>391</v>
      </c>
      <c r="P10" s="3">
        <v>2</v>
      </c>
      <c r="Q10" s="3">
        <v>0</v>
      </c>
      <c r="R10" s="3">
        <v>0</v>
      </c>
      <c r="S10" s="3">
        <v>93.1</v>
      </c>
      <c r="T10" s="3">
        <v>0.126953125</v>
      </c>
      <c r="U10" s="3"/>
      <c r="V10" s="3">
        <v>9.3095238095238102</v>
      </c>
      <c r="W10" s="3"/>
      <c r="X10" s="3"/>
    </row>
    <row r="11" spans="1:24" x14ac:dyDescent="0.25">
      <c r="A11" s="4" t="s">
        <v>1608</v>
      </c>
      <c r="B11" s="4" t="s">
        <v>1599</v>
      </c>
      <c r="C11" s="4" t="s">
        <v>38</v>
      </c>
      <c r="D11" s="4">
        <v>8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10</v>
      </c>
      <c r="N11" s="4">
        <v>7</v>
      </c>
      <c r="O11" s="4">
        <v>80</v>
      </c>
      <c r="P11" s="4">
        <v>1</v>
      </c>
      <c r="Q11" s="4">
        <v>0</v>
      </c>
      <c r="R11" s="4">
        <v>0</v>
      </c>
      <c r="S11" s="4">
        <v>21</v>
      </c>
      <c r="T11" s="4">
        <v>1.953125E-2</v>
      </c>
      <c r="U11" s="4"/>
      <c r="V11" s="4">
        <v>11.4285714285714</v>
      </c>
      <c r="W11" s="4"/>
      <c r="X11" s="4"/>
    </row>
    <row r="12" spans="1:24" x14ac:dyDescent="0.25">
      <c r="A12" s="3" t="s">
        <v>1609</v>
      </c>
      <c r="B12" s="3" t="s">
        <v>1599</v>
      </c>
      <c r="C12" s="3" t="s">
        <v>38</v>
      </c>
      <c r="D12" s="3">
        <v>5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5</v>
      </c>
      <c r="N12" s="3">
        <v>3</v>
      </c>
      <c r="O12" s="3">
        <v>28</v>
      </c>
      <c r="P12" s="3">
        <v>1</v>
      </c>
      <c r="Q12" s="3">
        <v>0</v>
      </c>
      <c r="R12" s="3">
        <v>0</v>
      </c>
      <c r="S12" s="3">
        <v>11.8</v>
      </c>
      <c r="T12" s="3">
        <v>9.765625E-3</v>
      </c>
      <c r="U12" s="3"/>
      <c r="V12" s="3">
        <v>9.3333333333333304</v>
      </c>
      <c r="W12" s="3"/>
      <c r="X12" s="3"/>
    </row>
    <row r="13" spans="1:24" x14ac:dyDescent="0.25">
      <c r="A13" s="4" t="s">
        <v>1610</v>
      </c>
      <c r="B13" s="4" t="s">
        <v>1599</v>
      </c>
      <c r="C13" s="4" t="s">
        <v>43</v>
      </c>
      <c r="D13" s="4">
        <v>8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2</v>
      </c>
      <c r="K13" s="4">
        <v>-7</v>
      </c>
      <c r="L13" s="4">
        <v>0</v>
      </c>
      <c r="M13" s="4">
        <v>19</v>
      </c>
      <c r="N13" s="4">
        <v>9</v>
      </c>
      <c r="O13" s="4">
        <v>110</v>
      </c>
      <c r="P13" s="4">
        <v>1</v>
      </c>
      <c r="Q13" s="4">
        <v>0</v>
      </c>
      <c r="R13" s="4">
        <v>0</v>
      </c>
      <c r="S13" s="4">
        <v>23.3</v>
      </c>
      <c r="T13" s="4">
        <v>3.7109375E-2</v>
      </c>
      <c r="U13" s="4">
        <v>-3.5</v>
      </c>
      <c r="V13" s="4">
        <v>12.2222222222222</v>
      </c>
      <c r="W13" s="4"/>
      <c r="X13" s="4"/>
    </row>
    <row r="14" spans="1:24" x14ac:dyDescent="0.25">
      <c r="A14" s="3" t="s">
        <v>261</v>
      </c>
      <c r="B14" s="3" t="s">
        <v>1599</v>
      </c>
      <c r="C14" s="3" t="s">
        <v>43</v>
      </c>
      <c r="D14" s="3">
        <v>2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5</v>
      </c>
      <c r="N14" s="3">
        <v>4</v>
      </c>
      <c r="O14" s="3">
        <v>17</v>
      </c>
      <c r="P14" s="3">
        <v>0</v>
      </c>
      <c r="Q14" s="3">
        <v>0</v>
      </c>
      <c r="R14" s="3">
        <v>0</v>
      </c>
      <c r="S14" s="3">
        <v>5.7</v>
      </c>
      <c r="T14" s="3">
        <v>9.765625E-3</v>
      </c>
      <c r="U14" s="3"/>
      <c r="V14" s="3">
        <v>4.25</v>
      </c>
      <c r="W14" s="3"/>
      <c r="X14" s="3"/>
    </row>
    <row r="15" spans="1:24" x14ac:dyDescent="0.25">
      <c r="A15" s="4" t="s">
        <v>1611</v>
      </c>
      <c r="B15" s="4" t="s">
        <v>1599</v>
      </c>
      <c r="C15" s="4" t="s">
        <v>43</v>
      </c>
      <c r="D15" s="4">
        <v>15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3</v>
      </c>
      <c r="K15" s="4">
        <v>5</v>
      </c>
      <c r="L15" s="4">
        <v>0</v>
      </c>
      <c r="M15" s="4">
        <v>142</v>
      </c>
      <c r="N15" s="4">
        <v>104</v>
      </c>
      <c r="O15" s="4">
        <v>1023</v>
      </c>
      <c r="P15" s="4">
        <v>3</v>
      </c>
      <c r="Q15" s="4">
        <v>0</v>
      </c>
      <c r="R15" s="4">
        <v>0</v>
      </c>
      <c r="S15" s="4">
        <v>222.8</v>
      </c>
      <c r="T15" s="4">
        <v>0.27734375</v>
      </c>
      <c r="U15" s="4">
        <v>1.6666666666666701</v>
      </c>
      <c r="V15" s="4">
        <v>9.8365384615384599</v>
      </c>
      <c r="W15" s="4"/>
      <c r="X15" s="4"/>
    </row>
    <row r="16" spans="1:24" x14ac:dyDescent="0.25">
      <c r="A16" s="3" t="s">
        <v>1612</v>
      </c>
      <c r="B16" s="3" t="s">
        <v>1599</v>
      </c>
      <c r="C16" s="3" t="s">
        <v>43</v>
      </c>
      <c r="D16" s="3">
        <v>2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2</v>
      </c>
      <c r="K16" s="3">
        <v>26</v>
      </c>
      <c r="L16" s="3">
        <v>0</v>
      </c>
      <c r="M16" s="3">
        <v>10</v>
      </c>
      <c r="N16" s="3">
        <v>5</v>
      </c>
      <c r="O16" s="3">
        <v>32</v>
      </c>
      <c r="P16" s="3">
        <v>0</v>
      </c>
      <c r="Q16" s="3">
        <v>0</v>
      </c>
      <c r="R16" s="3">
        <v>0</v>
      </c>
      <c r="S16" s="3">
        <v>10.8</v>
      </c>
      <c r="T16" s="3">
        <v>1.953125E-2</v>
      </c>
      <c r="U16" s="3">
        <v>13</v>
      </c>
      <c r="V16" s="3">
        <v>6.4</v>
      </c>
      <c r="W16" s="3"/>
      <c r="X16" s="3"/>
    </row>
    <row r="17" spans="1:24" x14ac:dyDescent="0.25">
      <c r="A17" s="4" t="s">
        <v>1613</v>
      </c>
      <c r="B17" s="4" t="s">
        <v>1599</v>
      </c>
      <c r="C17" s="4" t="s">
        <v>43</v>
      </c>
      <c r="D17" s="4">
        <v>3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1</v>
      </c>
      <c r="K17" s="4">
        <v>2</v>
      </c>
      <c r="L17" s="4">
        <v>0</v>
      </c>
      <c r="M17" s="4">
        <v>2</v>
      </c>
      <c r="N17" s="4">
        <v>2</v>
      </c>
      <c r="O17" s="4">
        <v>26</v>
      </c>
      <c r="P17" s="4">
        <v>0</v>
      </c>
      <c r="Q17" s="4">
        <v>0</v>
      </c>
      <c r="R17" s="4">
        <v>0</v>
      </c>
      <c r="S17" s="4">
        <v>4.8</v>
      </c>
      <c r="T17" s="4">
        <v>3.90625E-3</v>
      </c>
      <c r="U17" s="4">
        <v>2</v>
      </c>
      <c r="V17" s="4">
        <v>13</v>
      </c>
      <c r="W17" s="4"/>
      <c r="X17" s="4"/>
    </row>
    <row r="18" spans="1:24" x14ac:dyDescent="0.25">
      <c r="A18" s="3" t="s">
        <v>1614</v>
      </c>
      <c r="B18" s="3" t="s">
        <v>1599</v>
      </c>
      <c r="C18" s="3" t="s">
        <v>43</v>
      </c>
      <c r="D18" s="3">
        <v>10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5</v>
      </c>
      <c r="K18" s="3">
        <v>45</v>
      </c>
      <c r="L18" s="3">
        <v>0</v>
      </c>
      <c r="M18" s="3">
        <v>43</v>
      </c>
      <c r="N18" s="3">
        <v>24</v>
      </c>
      <c r="O18" s="3">
        <v>299</v>
      </c>
      <c r="P18" s="3">
        <v>2</v>
      </c>
      <c r="Q18" s="3">
        <v>0</v>
      </c>
      <c r="R18" s="3">
        <v>0</v>
      </c>
      <c r="S18" s="3">
        <v>70.400000000000006</v>
      </c>
      <c r="T18" s="3">
        <v>8.3984375E-2</v>
      </c>
      <c r="U18" s="3">
        <v>9</v>
      </c>
      <c r="V18" s="3">
        <v>12.4583333333333</v>
      </c>
      <c r="W18" s="3"/>
      <c r="X18" s="3"/>
    </row>
    <row r="19" spans="1:24" x14ac:dyDescent="0.25">
      <c r="A19" s="4" t="s">
        <v>1615</v>
      </c>
      <c r="B19" s="4" t="s">
        <v>1599</v>
      </c>
      <c r="C19" s="4" t="s">
        <v>43</v>
      </c>
      <c r="D19" s="4">
        <v>15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127</v>
      </c>
      <c r="N19" s="4">
        <v>77</v>
      </c>
      <c r="O19" s="4">
        <v>1124</v>
      </c>
      <c r="P19" s="4">
        <v>6</v>
      </c>
      <c r="Q19" s="4">
        <v>0</v>
      </c>
      <c r="R19" s="4">
        <v>0</v>
      </c>
      <c r="S19" s="4">
        <v>225.4</v>
      </c>
      <c r="T19" s="4">
        <v>0.248046875</v>
      </c>
      <c r="U19" s="4"/>
      <c r="V19" s="4">
        <v>14.597402597402599</v>
      </c>
      <c r="W19" s="4"/>
      <c r="X19" s="4"/>
    </row>
    <row r="20" spans="1:24" x14ac:dyDescent="0.25">
      <c r="A20" s="3" t="s">
        <v>1616</v>
      </c>
      <c r="B20" s="3" t="s">
        <v>1599</v>
      </c>
      <c r="C20" s="3" t="s">
        <v>43</v>
      </c>
      <c r="D20" s="3">
        <v>13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70</v>
      </c>
      <c r="N20" s="3">
        <v>51</v>
      </c>
      <c r="O20" s="3">
        <v>426</v>
      </c>
      <c r="P20" s="3">
        <v>5</v>
      </c>
      <c r="Q20" s="3">
        <v>0</v>
      </c>
      <c r="R20" s="3">
        <v>0</v>
      </c>
      <c r="S20" s="3">
        <v>123.6</v>
      </c>
      <c r="T20" s="3">
        <v>0.13671875</v>
      </c>
      <c r="U20" s="3"/>
      <c r="V20" s="3">
        <v>8.3529411764705905</v>
      </c>
      <c r="W20" s="3"/>
      <c r="X20" s="3"/>
    </row>
    <row r="21" spans="1:24" x14ac:dyDescent="0.25">
      <c r="A21" s="4" t="s">
        <v>1617</v>
      </c>
      <c r="B21" s="4" t="s">
        <v>1599</v>
      </c>
      <c r="C21" s="4" t="s">
        <v>43</v>
      </c>
      <c r="D21" s="4">
        <v>11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1</v>
      </c>
      <c r="K21" s="4">
        <v>8</v>
      </c>
      <c r="L21" s="4">
        <v>0</v>
      </c>
      <c r="M21" s="4">
        <v>40</v>
      </c>
      <c r="N21" s="4">
        <v>23</v>
      </c>
      <c r="O21" s="4">
        <v>185</v>
      </c>
      <c r="P21" s="4">
        <v>0</v>
      </c>
      <c r="Q21" s="4">
        <v>0</v>
      </c>
      <c r="R21" s="4">
        <v>0</v>
      </c>
      <c r="S21" s="4">
        <v>42.3</v>
      </c>
      <c r="T21" s="4">
        <v>7.8125E-2</v>
      </c>
      <c r="U21" s="4">
        <v>8</v>
      </c>
      <c r="V21" s="4">
        <v>8.0434782608695592</v>
      </c>
      <c r="W21" s="4"/>
      <c r="X21" s="4"/>
    </row>
    <row r="30" spans="1:24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</row>
    <row r="31" spans="1:24" x14ac:dyDescent="0.25">
      <c r="A31" s="3" t="s">
        <v>1599</v>
      </c>
      <c r="B31" s="3">
        <v>6054</v>
      </c>
      <c r="C31" s="3">
        <v>4746</v>
      </c>
      <c r="D31" s="3">
        <v>386</v>
      </c>
      <c r="E31" s="3">
        <v>1308</v>
      </c>
      <c r="F31" s="3">
        <v>5</v>
      </c>
      <c r="G31" s="3">
        <v>1552.24</v>
      </c>
      <c r="H31" s="3">
        <v>751</v>
      </c>
      <c r="I31" s="3">
        <v>0.664447403462051</v>
      </c>
      <c r="J31" s="3">
        <v>26</v>
      </c>
      <c r="K31" s="3">
        <v>10</v>
      </c>
      <c r="L31" s="3">
        <v>5</v>
      </c>
    </row>
    <row r="32" spans="1:24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</row>
    <row r="33" spans="1:28" x14ac:dyDescent="0.25">
      <c r="A33" s="3" t="str">
        <f>A31</f>
        <v>TB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1618</v>
      </c>
      <c r="B36" s="3" t="s">
        <v>26</v>
      </c>
      <c r="C36" s="3">
        <v>28</v>
      </c>
      <c r="D36" s="3">
        <v>6</v>
      </c>
      <c r="E36" s="3" t="s">
        <v>68</v>
      </c>
      <c r="F36" s="3" t="s">
        <v>1599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">
        <v>0</v>
      </c>
      <c r="X36" s="3">
        <v>0</v>
      </c>
      <c r="Y36" s="3">
        <v>0</v>
      </c>
      <c r="Z36" s="3">
        <v>0</v>
      </c>
      <c r="AA36" s="3">
        <v>0</v>
      </c>
      <c r="AB36" s="3">
        <v>0</v>
      </c>
    </row>
    <row r="37" spans="1:28" x14ac:dyDescent="0.25">
      <c r="A37" s="4" t="s">
        <v>1619</v>
      </c>
      <c r="B37" s="4" t="s">
        <v>26</v>
      </c>
      <c r="C37" s="4">
        <v>25</v>
      </c>
      <c r="D37" s="4">
        <v>3</v>
      </c>
      <c r="E37" s="4" t="s">
        <v>178</v>
      </c>
      <c r="F37" s="4" t="s">
        <v>1599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</row>
    <row r="38" spans="1:28" x14ac:dyDescent="0.25">
      <c r="A38" s="3" t="s">
        <v>1620</v>
      </c>
      <c r="B38" s="3" t="s">
        <v>26</v>
      </c>
      <c r="C38" s="3">
        <v>27</v>
      </c>
      <c r="D38" s="3">
        <v>4</v>
      </c>
      <c r="E38" s="3" t="s">
        <v>95</v>
      </c>
      <c r="F38" s="3" t="s">
        <v>1599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v>0</v>
      </c>
      <c r="W38" s="3">
        <v>0</v>
      </c>
      <c r="X38" s="3">
        <v>0</v>
      </c>
      <c r="Y38" s="3">
        <v>0</v>
      </c>
      <c r="Z38" s="3">
        <v>0</v>
      </c>
      <c r="AA38" s="3">
        <v>0</v>
      </c>
      <c r="AB38" s="3"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1621</v>
      </c>
      <c r="B46" s="3" t="s">
        <v>31</v>
      </c>
      <c r="C46" s="3">
        <v>23</v>
      </c>
      <c r="D46" s="3">
        <v>0</v>
      </c>
      <c r="E46" s="3" t="s">
        <v>93</v>
      </c>
      <c r="F46" s="3" t="s">
        <v>1599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v>0</v>
      </c>
      <c r="W46" s="3">
        <v>0</v>
      </c>
      <c r="X46" s="3">
        <v>0</v>
      </c>
      <c r="Y46" s="3">
        <v>0</v>
      </c>
      <c r="Z46" s="3">
        <v>0</v>
      </c>
      <c r="AA46" s="3">
        <v>0</v>
      </c>
      <c r="AB46" s="3">
        <f t="shared" ref="AB46:AB51" si="0">($J46*Cp_yd)+($K46*Cp_td)+($L46*Cint)+($M46*Ccar)+($N46*Cr_td)+($O46*Cr_yd)+(Q46*Crec)+($R46*Crec_yd)+($S46*Crec_td)+($T46*Cfmb)+($U46*Ctp_c)</f>
        <v>0</v>
      </c>
    </row>
    <row r="47" spans="1:28" x14ac:dyDescent="0.25">
      <c r="A47" s="4" t="s">
        <v>1622</v>
      </c>
      <c r="B47" s="4" t="s">
        <v>31</v>
      </c>
      <c r="C47" s="4">
        <v>27</v>
      </c>
      <c r="D47" s="4">
        <v>6</v>
      </c>
      <c r="E47" s="4" t="s">
        <v>1623</v>
      </c>
      <c r="F47" s="4" t="s">
        <v>1599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f t="shared" si="0"/>
        <v>0</v>
      </c>
    </row>
    <row r="48" spans="1:28" x14ac:dyDescent="0.25">
      <c r="A48" s="3" t="s">
        <v>1624</v>
      </c>
      <c r="B48" s="3" t="s">
        <v>31</v>
      </c>
      <c r="C48" s="3">
        <v>28</v>
      </c>
      <c r="D48" s="3">
        <v>4</v>
      </c>
      <c r="E48" s="3" t="s">
        <v>666</v>
      </c>
      <c r="F48" s="3" t="s">
        <v>1599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v>0</v>
      </c>
      <c r="W48" s="3">
        <v>0</v>
      </c>
      <c r="X48" s="3">
        <v>0</v>
      </c>
      <c r="Y48" s="3">
        <v>0</v>
      </c>
      <c r="Z48" s="3">
        <v>0</v>
      </c>
      <c r="AA48" s="3">
        <v>0</v>
      </c>
      <c r="AB48" s="3">
        <f t="shared" si="0"/>
        <v>0</v>
      </c>
    </row>
    <row r="49" spans="1:28" x14ac:dyDescent="0.25">
      <c r="A49" s="4" t="s">
        <v>1625</v>
      </c>
      <c r="B49" s="4" t="s">
        <v>31</v>
      </c>
      <c r="C49" s="4">
        <v>21</v>
      </c>
      <c r="D49" s="4">
        <v>0</v>
      </c>
      <c r="E49" s="4" t="s">
        <v>1206</v>
      </c>
      <c r="F49" s="4" t="s">
        <v>1599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B49" s="4">
        <f t="shared" si="0"/>
        <v>0</v>
      </c>
    </row>
    <row r="50" spans="1:28" x14ac:dyDescent="0.25">
      <c r="A50" s="3" t="s">
        <v>1626</v>
      </c>
      <c r="B50" s="3" t="s">
        <v>31</v>
      </c>
      <c r="C50" s="3">
        <v>26</v>
      </c>
      <c r="D50" s="3">
        <v>4</v>
      </c>
      <c r="E50" s="3" t="s">
        <v>300</v>
      </c>
      <c r="F50" s="3" t="s">
        <v>1599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v>0</v>
      </c>
      <c r="W50" s="3">
        <v>0</v>
      </c>
      <c r="X50" s="3">
        <v>0</v>
      </c>
      <c r="Y50" s="3">
        <v>0</v>
      </c>
      <c r="Z50" s="3">
        <v>0</v>
      </c>
      <c r="AA50" s="3">
        <v>0</v>
      </c>
      <c r="AB50" s="3">
        <f t="shared" si="0"/>
        <v>0</v>
      </c>
    </row>
    <row r="51" spans="1:28" x14ac:dyDescent="0.25">
      <c r="A51" s="4" t="s">
        <v>1627</v>
      </c>
      <c r="B51" s="4" t="s">
        <v>31</v>
      </c>
      <c r="C51" s="4">
        <v>24</v>
      </c>
      <c r="D51" s="4">
        <v>2</v>
      </c>
      <c r="E51" s="4" t="s">
        <v>155</v>
      </c>
      <c r="F51" s="4" t="s">
        <v>1599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v>0</v>
      </c>
      <c r="W51" s="4">
        <v>0</v>
      </c>
      <c r="X51" s="4">
        <v>0</v>
      </c>
      <c r="Y51" s="4">
        <v>0</v>
      </c>
      <c r="Z51" s="4">
        <v>0</v>
      </c>
      <c r="AA51" s="4">
        <v>0</v>
      </c>
      <c r="AB51" s="4">
        <f t="shared" si="0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1628</v>
      </c>
      <c r="B61" s="3" t="s">
        <v>43</v>
      </c>
      <c r="C61" s="3">
        <v>23</v>
      </c>
      <c r="D61" s="3">
        <v>0</v>
      </c>
      <c r="E61" s="3" t="s">
        <v>76</v>
      </c>
      <c r="F61" s="3" t="s">
        <v>1599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v>0</v>
      </c>
      <c r="W61" s="3">
        <v>0</v>
      </c>
      <c r="X61" s="3">
        <v>0</v>
      </c>
      <c r="Y61" s="3">
        <v>0</v>
      </c>
      <c r="Z61" s="3">
        <v>0</v>
      </c>
      <c r="AA61" s="3">
        <v>0</v>
      </c>
      <c r="AB61" s="3">
        <v>0</v>
      </c>
    </row>
    <row r="62" spans="1:28" x14ac:dyDescent="0.25">
      <c r="A62" s="4" t="s">
        <v>1629</v>
      </c>
      <c r="B62" s="4" t="s">
        <v>43</v>
      </c>
      <c r="C62" s="4">
        <v>29</v>
      </c>
      <c r="D62" s="4">
        <v>10</v>
      </c>
      <c r="E62" s="4" t="s">
        <v>307</v>
      </c>
      <c r="F62" s="4" t="s">
        <v>1599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0</v>
      </c>
      <c r="X62" s="4">
        <v>0</v>
      </c>
      <c r="Y62" s="4">
        <v>0</v>
      </c>
      <c r="Z62" s="4">
        <v>0</v>
      </c>
      <c r="AA62" s="4">
        <v>0</v>
      </c>
      <c r="AB62" s="4">
        <v>0</v>
      </c>
    </row>
    <row r="63" spans="1:28" x14ac:dyDescent="0.25">
      <c r="A63" s="3" t="s">
        <v>1630</v>
      </c>
      <c r="B63" s="3" t="s">
        <v>43</v>
      </c>
      <c r="C63" s="3">
        <v>27</v>
      </c>
      <c r="D63" s="3">
        <v>6</v>
      </c>
      <c r="E63" s="3" t="s">
        <v>227</v>
      </c>
      <c r="F63" s="3" t="s">
        <v>1599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v>0</v>
      </c>
      <c r="W63" s="3">
        <v>0</v>
      </c>
      <c r="X63" s="3">
        <v>0</v>
      </c>
      <c r="Y63" s="3">
        <v>0</v>
      </c>
      <c r="Z63" s="3">
        <v>0</v>
      </c>
      <c r="AA63" s="3">
        <v>0</v>
      </c>
      <c r="AB63" s="3">
        <v>0</v>
      </c>
    </row>
    <row r="64" spans="1:28" x14ac:dyDescent="0.25">
      <c r="A64" s="4" t="s">
        <v>1631</v>
      </c>
      <c r="B64" s="4" t="s">
        <v>43</v>
      </c>
      <c r="C64" s="4">
        <v>25</v>
      </c>
      <c r="D64" s="4">
        <v>1</v>
      </c>
      <c r="E64" s="4" t="s">
        <v>511</v>
      </c>
      <c r="F64" s="4" t="s">
        <v>1599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</row>
    <row r="65" spans="1:28" x14ac:dyDescent="0.25">
      <c r="A65" s="3" t="s">
        <v>1632</v>
      </c>
      <c r="B65" s="3" t="s">
        <v>43</v>
      </c>
      <c r="C65" s="3">
        <v>27</v>
      </c>
      <c r="D65" s="3">
        <v>7</v>
      </c>
      <c r="E65" s="3" t="s">
        <v>339</v>
      </c>
      <c r="F65" s="3" t="s">
        <v>1599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v>0</v>
      </c>
      <c r="W65" s="3">
        <v>0</v>
      </c>
      <c r="X65" s="3">
        <v>0</v>
      </c>
      <c r="Y65" s="3">
        <v>0</v>
      </c>
      <c r="Z65" s="3">
        <v>0</v>
      </c>
      <c r="AA65" s="3">
        <v>0</v>
      </c>
      <c r="AB65" s="3">
        <v>0</v>
      </c>
    </row>
    <row r="66" spans="1:28" x14ac:dyDescent="0.25">
      <c r="A66" s="4" t="s">
        <v>1633</v>
      </c>
      <c r="B66" s="4" t="s">
        <v>43</v>
      </c>
      <c r="C66" s="4">
        <v>22</v>
      </c>
      <c r="D66" s="4">
        <v>0</v>
      </c>
      <c r="E66" s="4" t="s">
        <v>232</v>
      </c>
      <c r="F66" s="4" t="s">
        <v>1599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</row>
    <row r="67" spans="1:28" x14ac:dyDescent="0.25">
      <c r="A67" s="3" t="s">
        <v>1634</v>
      </c>
      <c r="B67" s="3" t="s">
        <v>43</v>
      </c>
      <c r="C67" s="3">
        <v>23</v>
      </c>
      <c r="D67" s="3">
        <v>0</v>
      </c>
      <c r="E67" s="3" t="s">
        <v>148</v>
      </c>
      <c r="F67" s="3" t="s">
        <v>1599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v>0</v>
      </c>
      <c r="W67" s="3">
        <v>0</v>
      </c>
      <c r="X67" s="3">
        <v>0</v>
      </c>
      <c r="Y67" s="3">
        <v>0</v>
      </c>
      <c r="Z67" s="3">
        <v>0</v>
      </c>
      <c r="AA67" s="3">
        <v>0</v>
      </c>
      <c r="AB67" s="3">
        <v>0</v>
      </c>
    </row>
    <row r="68" spans="1:28" x14ac:dyDescent="0.25">
      <c r="A68" s="4" t="s">
        <v>1635</v>
      </c>
      <c r="B68" s="4" t="s">
        <v>43</v>
      </c>
      <c r="C68" s="4">
        <v>23</v>
      </c>
      <c r="D68" s="4">
        <v>0</v>
      </c>
      <c r="E68" s="4" t="s">
        <v>1636</v>
      </c>
      <c r="F68" s="4" t="s">
        <v>1599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0</v>
      </c>
      <c r="X68" s="4">
        <v>0</v>
      </c>
      <c r="Y68" s="4">
        <v>0</v>
      </c>
      <c r="Z68" s="4">
        <v>0</v>
      </c>
      <c r="AA68" s="4">
        <v>0</v>
      </c>
      <c r="AB68" s="4">
        <v>0</v>
      </c>
    </row>
    <row r="69" spans="1:28" x14ac:dyDescent="0.25">
      <c r="A69" s="3" t="s">
        <v>1637</v>
      </c>
      <c r="B69" s="3" t="s">
        <v>43</v>
      </c>
      <c r="C69" s="3">
        <v>28</v>
      </c>
      <c r="D69" s="3">
        <v>5</v>
      </c>
      <c r="E69" s="3" t="s">
        <v>681</v>
      </c>
      <c r="F69" s="3" t="s">
        <v>1599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v>0</v>
      </c>
      <c r="W69" s="3">
        <v>0</v>
      </c>
      <c r="X69" s="3">
        <v>0</v>
      </c>
      <c r="Y69" s="3">
        <v>0</v>
      </c>
      <c r="Z69" s="3">
        <v>0</v>
      </c>
      <c r="AA69" s="3">
        <v>0</v>
      </c>
      <c r="AB69" s="3">
        <v>0</v>
      </c>
    </row>
    <row r="70" spans="1:28" x14ac:dyDescent="0.25">
      <c r="A70" s="4" t="s">
        <v>1638</v>
      </c>
      <c r="B70" s="4" t="s">
        <v>43</v>
      </c>
      <c r="C70" s="4">
        <v>22</v>
      </c>
      <c r="D70" s="4">
        <v>0</v>
      </c>
      <c r="E70" s="4" t="s">
        <v>248</v>
      </c>
      <c r="F70" s="4" t="s">
        <v>1599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0</v>
      </c>
      <c r="X70" s="4">
        <v>0</v>
      </c>
      <c r="Y70" s="4">
        <v>0</v>
      </c>
      <c r="Z70" s="4">
        <v>0</v>
      </c>
      <c r="AA70" s="4">
        <v>0</v>
      </c>
      <c r="AB70" s="4">
        <v>0</v>
      </c>
    </row>
    <row r="71" spans="1:28" x14ac:dyDescent="0.25">
      <c r="A71" s="3" t="s">
        <v>1639</v>
      </c>
      <c r="B71" s="3" t="s">
        <v>43</v>
      </c>
      <c r="C71" s="3">
        <v>23</v>
      </c>
      <c r="D71" s="3">
        <v>2</v>
      </c>
      <c r="E71" s="3" t="s">
        <v>89</v>
      </c>
      <c r="F71" s="3" t="s">
        <v>1599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v>0</v>
      </c>
      <c r="W71" s="3">
        <v>0</v>
      </c>
      <c r="X71" s="3">
        <v>0</v>
      </c>
      <c r="Y71" s="3">
        <v>0</v>
      </c>
      <c r="Z71" s="3">
        <v>0</v>
      </c>
      <c r="AA71" s="3">
        <v>0</v>
      </c>
      <c r="AB71" s="3">
        <v>0</v>
      </c>
    </row>
    <row r="72" spans="1:28" x14ac:dyDescent="0.25">
      <c r="A72" s="4" t="s">
        <v>1640</v>
      </c>
      <c r="B72" s="4" t="s">
        <v>43</v>
      </c>
      <c r="C72" s="4">
        <v>24</v>
      </c>
      <c r="D72" s="4">
        <v>0</v>
      </c>
      <c r="E72" s="4" t="s">
        <v>559</v>
      </c>
      <c r="F72" s="4" t="s">
        <v>1599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v>0</v>
      </c>
      <c r="W72" s="4">
        <v>0</v>
      </c>
      <c r="X72" s="4">
        <v>0</v>
      </c>
      <c r="Y72" s="4">
        <v>0</v>
      </c>
      <c r="Z72" s="4">
        <v>0</v>
      </c>
      <c r="AA72" s="4">
        <v>0</v>
      </c>
      <c r="AB72" s="4"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1641</v>
      </c>
      <c r="B76" s="3" t="s">
        <v>38</v>
      </c>
      <c r="C76" s="3">
        <v>26</v>
      </c>
      <c r="D76" s="3">
        <v>2</v>
      </c>
      <c r="E76" s="3" t="s">
        <v>423</v>
      </c>
      <c r="F76" s="3" t="s">
        <v>1599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v>0</v>
      </c>
      <c r="W76" s="3">
        <v>0</v>
      </c>
      <c r="X76" s="3">
        <v>0</v>
      </c>
      <c r="Y76" s="3">
        <v>0</v>
      </c>
      <c r="Z76" s="3">
        <v>0</v>
      </c>
      <c r="AA76" s="3">
        <v>0</v>
      </c>
      <c r="AB76" s="3">
        <v>0</v>
      </c>
    </row>
    <row r="77" spans="1:28" x14ac:dyDescent="0.25">
      <c r="A77" s="4" t="s">
        <v>1642</v>
      </c>
      <c r="B77" s="4" t="s">
        <v>38</v>
      </c>
      <c r="C77" s="4">
        <v>23</v>
      </c>
      <c r="D77" s="4">
        <v>0</v>
      </c>
      <c r="E77" s="4" t="s">
        <v>62</v>
      </c>
      <c r="F77" s="4" t="s">
        <v>1599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v>0</v>
      </c>
      <c r="W77" s="4">
        <v>0</v>
      </c>
      <c r="X77" s="4">
        <v>0</v>
      </c>
      <c r="Y77" s="4">
        <v>0</v>
      </c>
      <c r="Z77" s="4">
        <v>0</v>
      </c>
      <c r="AA77" s="4">
        <v>0</v>
      </c>
      <c r="AB77" s="4">
        <v>0</v>
      </c>
    </row>
    <row r="78" spans="1:28" x14ac:dyDescent="0.25">
      <c r="A78" s="3" t="s">
        <v>1643</v>
      </c>
      <c r="B78" s="3" t="s">
        <v>38</v>
      </c>
      <c r="C78" s="3">
        <v>25</v>
      </c>
      <c r="D78" s="3">
        <v>2</v>
      </c>
      <c r="E78" s="3" t="s">
        <v>225</v>
      </c>
      <c r="F78" s="3" t="s">
        <v>1599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v>0</v>
      </c>
      <c r="W78" s="3">
        <v>0</v>
      </c>
      <c r="X78" s="3">
        <v>0</v>
      </c>
      <c r="Y78" s="3">
        <v>0</v>
      </c>
      <c r="Z78" s="3">
        <v>0</v>
      </c>
      <c r="AA78" s="3">
        <v>0</v>
      </c>
      <c r="AB78" s="3">
        <v>0</v>
      </c>
    </row>
    <row r="79" spans="1:28" x14ac:dyDescent="0.25">
      <c r="A79" s="4" t="s">
        <v>1644</v>
      </c>
      <c r="B79" s="4" t="s">
        <v>38</v>
      </c>
      <c r="C79" s="4">
        <v>24</v>
      </c>
      <c r="D79" s="4">
        <v>2</v>
      </c>
      <c r="E79" s="4" t="s">
        <v>86</v>
      </c>
      <c r="F79" s="4" t="s">
        <v>1599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v>0</v>
      </c>
      <c r="W79" s="4">
        <v>0</v>
      </c>
      <c r="X79" s="4">
        <v>0</v>
      </c>
      <c r="Y79" s="4">
        <v>0</v>
      </c>
      <c r="Z79" s="4">
        <v>0</v>
      </c>
      <c r="AA79" s="4">
        <v>0</v>
      </c>
      <c r="AB79" s="4">
        <v>0</v>
      </c>
    </row>
    <row r="80" spans="1:28" x14ac:dyDescent="0.25">
      <c r="A80" s="3" t="s">
        <v>1645</v>
      </c>
      <c r="B80" s="3" t="s">
        <v>38</v>
      </c>
      <c r="C80" s="3">
        <v>24</v>
      </c>
      <c r="D80" s="3">
        <v>0</v>
      </c>
      <c r="E80" s="3" t="s">
        <v>1345</v>
      </c>
      <c r="F80" s="3" t="s">
        <v>1599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v>0</v>
      </c>
      <c r="W80" s="3">
        <v>0</v>
      </c>
      <c r="X80" s="3">
        <v>0</v>
      </c>
      <c r="Y80" s="3">
        <v>0</v>
      </c>
      <c r="Z80" s="3">
        <v>0</v>
      </c>
      <c r="AA80" s="3">
        <v>0</v>
      </c>
      <c r="AB80" s="3">
        <v>0</v>
      </c>
    </row>
    <row r="81" spans="1:28" x14ac:dyDescent="0.25">
      <c r="A81" s="4" t="s">
        <v>1646</v>
      </c>
      <c r="B81" s="4" t="s">
        <v>38</v>
      </c>
      <c r="C81" s="4">
        <v>28</v>
      </c>
      <c r="D81" s="4">
        <v>3</v>
      </c>
      <c r="E81" s="4" t="s">
        <v>795</v>
      </c>
      <c r="F81" s="4" t="s">
        <v>1599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v>0</v>
      </c>
      <c r="W81" s="4">
        <v>0</v>
      </c>
      <c r="X81" s="4">
        <v>0</v>
      </c>
      <c r="Y81" s="4">
        <v>0</v>
      </c>
      <c r="Z81" s="4">
        <v>0</v>
      </c>
      <c r="AA81" s="4">
        <v>0</v>
      </c>
      <c r="AB81" s="4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/>
  <dimension ref="A1:AB82"/>
  <sheetViews>
    <sheetView zoomScale="70" zoomScaleNormal="70" workbookViewId="0">
      <selection activeCell="AB46" sqref="AB46"/>
    </sheetView>
  </sheetViews>
  <sheetFormatPr defaultColWidth="11.42578125" defaultRowHeight="15" x14ac:dyDescent="0.25"/>
  <sheetData>
    <row r="1" spans="1:24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</row>
    <row r="2" spans="1:24" x14ac:dyDescent="0.25">
      <c r="A2" s="3" t="s">
        <v>1647</v>
      </c>
      <c r="B2" s="3" t="s">
        <v>1648</v>
      </c>
      <c r="C2" s="3" t="s">
        <v>26</v>
      </c>
      <c r="D2" s="3">
        <v>2</v>
      </c>
      <c r="E2" s="3">
        <v>68</v>
      </c>
      <c r="F2" s="3">
        <v>40</v>
      </c>
      <c r="G2" s="3">
        <v>411</v>
      </c>
      <c r="H2" s="3">
        <v>2</v>
      </c>
      <c r="I2" s="3">
        <v>2</v>
      </c>
      <c r="J2" s="3">
        <v>8</v>
      </c>
      <c r="K2" s="3">
        <v>44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2</v>
      </c>
      <c r="R2" s="3">
        <v>0</v>
      </c>
      <c r="S2" s="3">
        <v>20.84</v>
      </c>
      <c r="T2" s="3">
        <v>0</v>
      </c>
      <c r="U2" s="3">
        <v>5.5</v>
      </c>
      <c r="V2" s="3"/>
      <c r="W2" s="3">
        <v>0.58823529411764697</v>
      </c>
      <c r="X2" s="3">
        <v>2.9411764705882401E-2</v>
      </c>
    </row>
    <row r="3" spans="1:24" x14ac:dyDescent="0.25">
      <c r="A3" s="4" t="s">
        <v>1649</v>
      </c>
      <c r="B3" s="4" t="s">
        <v>1648</v>
      </c>
      <c r="C3" s="4" t="s">
        <v>26</v>
      </c>
      <c r="D3" s="4">
        <v>7</v>
      </c>
      <c r="E3" s="4">
        <v>61</v>
      </c>
      <c r="F3" s="4">
        <v>31</v>
      </c>
      <c r="G3" s="4">
        <v>276</v>
      </c>
      <c r="H3" s="4">
        <v>0</v>
      </c>
      <c r="I3" s="4">
        <v>3</v>
      </c>
      <c r="J3" s="4">
        <v>27</v>
      </c>
      <c r="K3" s="4">
        <v>123</v>
      </c>
      <c r="L3" s="4">
        <v>1</v>
      </c>
      <c r="M3" s="4">
        <v>0</v>
      </c>
      <c r="N3" s="4">
        <v>0</v>
      </c>
      <c r="O3" s="4">
        <v>0</v>
      </c>
      <c r="P3" s="4">
        <v>0</v>
      </c>
      <c r="Q3" s="4">
        <v>2</v>
      </c>
      <c r="R3" s="4">
        <v>0</v>
      </c>
      <c r="S3" s="4">
        <v>19.34</v>
      </c>
      <c r="T3" s="4">
        <v>0</v>
      </c>
      <c r="U3" s="4">
        <v>4.5555555555555598</v>
      </c>
      <c r="V3" s="4"/>
      <c r="W3" s="4">
        <v>0.50819672131147497</v>
      </c>
      <c r="X3" s="4">
        <v>0</v>
      </c>
    </row>
    <row r="4" spans="1:24" x14ac:dyDescent="0.25">
      <c r="A4" s="3" t="s">
        <v>1650</v>
      </c>
      <c r="B4" s="3" t="s">
        <v>1648</v>
      </c>
      <c r="C4" s="3" t="s">
        <v>26</v>
      </c>
      <c r="D4" s="3">
        <v>12</v>
      </c>
      <c r="E4" s="3">
        <v>325</v>
      </c>
      <c r="F4" s="3">
        <v>212</v>
      </c>
      <c r="G4" s="3">
        <v>2536</v>
      </c>
      <c r="H4" s="3">
        <v>14</v>
      </c>
      <c r="I4" s="3">
        <v>6</v>
      </c>
      <c r="J4" s="3">
        <v>34</v>
      </c>
      <c r="K4" s="3">
        <v>98</v>
      </c>
      <c r="L4" s="3">
        <v>2</v>
      </c>
      <c r="M4" s="3">
        <v>0</v>
      </c>
      <c r="N4" s="3">
        <v>0</v>
      </c>
      <c r="O4" s="3">
        <v>0</v>
      </c>
      <c r="P4" s="3">
        <v>0</v>
      </c>
      <c r="Q4" s="3">
        <v>2</v>
      </c>
      <c r="R4" s="3">
        <v>1</v>
      </c>
      <c r="S4" s="3">
        <v>165.24</v>
      </c>
      <c r="T4" s="3">
        <v>0</v>
      </c>
      <c r="U4" s="3">
        <v>2.8823529411764701</v>
      </c>
      <c r="V4" s="3"/>
      <c r="W4" s="3">
        <v>0.65230769230769203</v>
      </c>
      <c r="X4" s="3">
        <v>4.3076923076923103E-2</v>
      </c>
    </row>
    <row r="5" spans="1:24" x14ac:dyDescent="0.25">
      <c r="A5" s="4" t="s">
        <v>1651</v>
      </c>
      <c r="B5" s="4" t="s">
        <v>1648</v>
      </c>
      <c r="C5" s="4" t="s">
        <v>31</v>
      </c>
      <c r="D5" s="4">
        <v>16</v>
      </c>
      <c r="E5" s="4">
        <v>2</v>
      </c>
      <c r="F5" s="4">
        <v>2</v>
      </c>
      <c r="G5" s="4">
        <v>4</v>
      </c>
      <c r="H5" s="4">
        <v>1</v>
      </c>
      <c r="I5" s="4">
        <v>0</v>
      </c>
      <c r="J5" s="4">
        <v>349</v>
      </c>
      <c r="K5" s="4">
        <v>1538</v>
      </c>
      <c r="L5" s="4">
        <v>13</v>
      </c>
      <c r="M5" s="4">
        <v>41</v>
      </c>
      <c r="N5" s="4">
        <v>33</v>
      </c>
      <c r="O5" s="4">
        <v>398</v>
      </c>
      <c r="P5" s="4">
        <v>0</v>
      </c>
      <c r="Q5" s="4">
        <v>2</v>
      </c>
      <c r="R5" s="4">
        <v>0</v>
      </c>
      <c r="S5" s="4">
        <v>302.76</v>
      </c>
      <c r="T5" s="4">
        <v>5.4593874833555302E-2</v>
      </c>
      <c r="U5" s="4">
        <v>4.4068767908309496</v>
      </c>
      <c r="V5" s="4">
        <v>12.0606060606061</v>
      </c>
      <c r="W5" s="4">
        <v>1</v>
      </c>
      <c r="X5" s="4">
        <v>0.5</v>
      </c>
    </row>
    <row r="6" spans="1:24" x14ac:dyDescent="0.25">
      <c r="A6" s="3" t="s">
        <v>1652</v>
      </c>
      <c r="B6" s="3" t="s">
        <v>1648</v>
      </c>
      <c r="C6" s="3" t="s">
        <v>31</v>
      </c>
      <c r="D6" s="3">
        <v>11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22</v>
      </c>
      <c r="K6" s="3">
        <v>145</v>
      </c>
      <c r="L6" s="3">
        <v>0</v>
      </c>
      <c r="M6" s="3">
        <v>26</v>
      </c>
      <c r="N6" s="3">
        <v>21</v>
      </c>
      <c r="O6" s="3">
        <v>177</v>
      </c>
      <c r="P6" s="3">
        <v>4</v>
      </c>
      <c r="Q6" s="3">
        <v>0</v>
      </c>
      <c r="R6" s="3">
        <v>0</v>
      </c>
      <c r="S6" s="3">
        <v>77.2</v>
      </c>
      <c r="T6" s="3">
        <v>3.4620505992010699E-2</v>
      </c>
      <c r="U6" s="3">
        <v>6.5909090909090899</v>
      </c>
      <c r="V6" s="3">
        <v>8.4285714285714306</v>
      </c>
      <c r="W6" s="3"/>
      <c r="X6" s="3"/>
    </row>
    <row r="7" spans="1:24" x14ac:dyDescent="0.25">
      <c r="A7" s="4" t="s">
        <v>1653</v>
      </c>
      <c r="B7" s="4" t="s">
        <v>1648</v>
      </c>
      <c r="C7" s="4" t="s">
        <v>31</v>
      </c>
      <c r="D7" s="4">
        <v>7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25</v>
      </c>
      <c r="K7" s="4">
        <v>93</v>
      </c>
      <c r="L7" s="4">
        <v>0</v>
      </c>
      <c r="M7" s="4">
        <v>12</v>
      </c>
      <c r="N7" s="4">
        <v>11</v>
      </c>
      <c r="O7" s="4">
        <v>57</v>
      </c>
      <c r="P7" s="4">
        <v>0</v>
      </c>
      <c r="Q7" s="4">
        <v>0</v>
      </c>
      <c r="R7" s="4">
        <v>0</v>
      </c>
      <c r="S7" s="4">
        <v>26</v>
      </c>
      <c r="T7" s="4">
        <v>1.59786950732357E-2</v>
      </c>
      <c r="U7" s="4">
        <v>3.72</v>
      </c>
      <c r="V7" s="4">
        <v>5.1818181818181799</v>
      </c>
      <c r="W7" s="4"/>
      <c r="X7" s="4"/>
    </row>
    <row r="8" spans="1:24" x14ac:dyDescent="0.25">
      <c r="A8" s="3" t="s">
        <v>1654</v>
      </c>
      <c r="B8" s="3" t="s">
        <v>1648</v>
      </c>
      <c r="C8" s="3" t="s">
        <v>31</v>
      </c>
      <c r="D8" s="3">
        <v>3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9</v>
      </c>
      <c r="K8" s="3">
        <v>12</v>
      </c>
      <c r="L8" s="3">
        <v>0</v>
      </c>
      <c r="M8" s="3">
        <v>3</v>
      </c>
      <c r="N8" s="3">
        <v>3</v>
      </c>
      <c r="O8" s="3">
        <v>41</v>
      </c>
      <c r="P8" s="3">
        <v>0</v>
      </c>
      <c r="Q8" s="3">
        <v>0</v>
      </c>
      <c r="R8" s="3">
        <v>0</v>
      </c>
      <c r="S8" s="3">
        <v>8.3000000000000007</v>
      </c>
      <c r="T8" s="3">
        <v>3.9946737683089198E-3</v>
      </c>
      <c r="U8" s="3">
        <v>1.3333333333333299</v>
      </c>
      <c r="V8" s="3">
        <v>13.6666666666667</v>
      </c>
      <c r="W8" s="3"/>
      <c r="X8" s="3"/>
    </row>
    <row r="9" spans="1:24" x14ac:dyDescent="0.25">
      <c r="A9" s="4" t="s">
        <v>1655</v>
      </c>
      <c r="B9" s="4" t="s">
        <v>1648</v>
      </c>
      <c r="C9" s="4" t="s">
        <v>31</v>
      </c>
      <c r="D9" s="4">
        <v>2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5</v>
      </c>
      <c r="K9" s="4">
        <v>25</v>
      </c>
      <c r="L9" s="4">
        <v>0</v>
      </c>
      <c r="M9" s="4">
        <v>3</v>
      </c>
      <c r="N9" s="4">
        <v>2</v>
      </c>
      <c r="O9" s="4">
        <v>7</v>
      </c>
      <c r="P9" s="4">
        <v>0</v>
      </c>
      <c r="Q9" s="4">
        <v>0</v>
      </c>
      <c r="R9" s="4">
        <v>0</v>
      </c>
      <c r="S9" s="4">
        <v>5.2</v>
      </c>
      <c r="T9" s="4">
        <v>3.9946737683089198E-3</v>
      </c>
      <c r="U9" s="4">
        <v>5</v>
      </c>
      <c r="V9" s="4">
        <v>3.5</v>
      </c>
      <c r="W9" s="4"/>
      <c r="X9" s="4"/>
    </row>
    <row r="10" spans="1:24" x14ac:dyDescent="0.25">
      <c r="A10" s="3" t="s">
        <v>1656</v>
      </c>
      <c r="B10" s="3" t="s">
        <v>1648</v>
      </c>
      <c r="C10" s="3" t="s">
        <v>38</v>
      </c>
      <c r="D10" s="3">
        <v>17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60</v>
      </c>
      <c r="N10" s="3">
        <v>41</v>
      </c>
      <c r="O10" s="3">
        <v>444</v>
      </c>
      <c r="P10" s="3">
        <v>2</v>
      </c>
      <c r="Q10" s="3">
        <v>0</v>
      </c>
      <c r="R10" s="3">
        <v>0</v>
      </c>
      <c r="S10" s="3">
        <v>97.4</v>
      </c>
      <c r="T10" s="3">
        <v>7.9893475366178399E-2</v>
      </c>
      <c r="U10" s="3"/>
      <c r="V10" s="3">
        <v>10.829268292682899</v>
      </c>
      <c r="W10" s="3"/>
      <c r="X10" s="3"/>
    </row>
    <row r="11" spans="1:24" x14ac:dyDescent="0.25">
      <c r="A11" s="4" t="s">
        <v>1657</v>
      </c>
      <c r="B11" s="4" t="s">
        <v>1648</v>
      </c>
      <c r="C11" s="4" t="s">
        <v>38</v>
      </c>
      <c r="D11" s="4">
        <v>15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3</v>
      </c>
      <c r="K11" s="4">
        <v>2</v>
      </c>
      <c r="L11" s="4">
        <v>0</v>
      </c>
      <c r="M11" s="4">
        <v>46</v>
      </c>
      <c r="N11" s="4">
        <v>32</v>
      </c>
      <c r="O11" s="4">
        <v>450</v>
      </c>
      <c r="P11" s="4">
        <v>3</v>
      </c>
      <c r="Q11" s="4">
        <v>0</v>
      </c>
      <c r="R11" s="4">
        <v>0</v>
      </c>
      <c r="S11" s="4">
        <v>97.2</v>
      </c>
      <c r="T11" s="4">
        <v>6.12516644474035E-2</v>
      </c>
      <c r="U11" s="4">
        <v>0.66666666666666696</v>
      </c>
      <c r="V11" s="4">
        <v>14.0625</v>
      </c>
      <c r="W11" s="4"/>
      <c r="X11" s="4"/>
    </row>
    <row r="12" spans="1:24" x14ac:dyDescent="0.25">
      <c r="A12" s="3" t="s">
        <v>1658</v>
      </c>
      <c r="B12" s="3" t="s">
        <v>1648</v>
      </c>
      <c r="C12" s="3" t="s">
        <v>38</v>
      </c>
      <c r="D12" s="3">
        <v>11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16</v>
      </c>
      <c r="N12" s="3">
        <v>12</v>
      </c>
      <c r="O12" s="3">
        <v>58</v>
      </c>
      <c r="P12" s="3">
        <v>1</v>
      </c>
      <c r="Q12" s="3">
        <v>0</v>
      </c>
      <c r="R12" s="3">
        <v>0</v>
      </c>
      <c r="S12" s="3">
        <v>23.8</v>
      </c>
      <c r="T12" s="3">
        <v>2.1304926764314201E-2</v>
      </c>
      <c r="U12" s="3"/>
      <c r="V12" s="3">
        <v>4.8333333333333304</v>
      </c>
      <c r="W12" s="3"/>
      <c r="X12" s="3"/>
    </row>
    <row r="13" spans="1:24" x14ac:dyDescent="0.25">
      <c r="A13" s="4" t="s">
        <v>1659</v>
      </c>
      <c r="B13" s="4" t="s">
        <v>1648</v>
      </c>
      <c r="C13" s="4" t="s">
        <v>43</v>
      </c>
      <c r="D13" s="4">
        <v>1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1</v>
      </c>
      <c r="N13" s="4">
        <v>1</v>
      </c>
      <c r="O13" s="4">
        <v>6</v>
      </c>
      <c r="P13" s="4">
        <v>0</v>
      </c>
      <c r="Q13" s="4">
        <v>0</v>
      </c>
      <c r="R13" s="4">
        <v>0</v>
      </c>
      <c r="S13" s="4">
        <v>1.6</v>
      </c>
      <c r="T13" s="4">
        <v>1.3315579227696399E-3</v>
      </c>
      <c r="U13" s="4"/>
      <c r="V13" s="4">
        <v>6</v>
      </c>
      <c r="W13" s="4"/>
      <c r="X13" s="4"/>
    </row>
    <row r="14" spans="1:24" x14ac:dyDescent="0.25">
      <c r="A14" s="3" t="s">
        <v>770</v>
      </c>
      <c r="B14" s="3" t="s">
        <v>1648</v>
      </c>
      <c r="C14" s="3" t="s">
        <v>43</v>
      </c>
      <c r="D14" s="3">
        <v>3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5</v>
      </c>
      <c r="N14" s="3">
        <v>4</v>
      </c>
      <c r="O14" s="3">
        <v>46</v>
      </c>
      <c r="P14" s="3">
        <v>0</v>
      </c>
      <c r="Q14" s="3">
        <v>0</v>
      </c>
      <c r="R14" s="3">
        <v>0</v>
      </c>
      <c r="S14" s="3">
        <v>8.6</v>
      </c>
      <c r="T14" s="3">
        <v>6.6577896138481996E-3</v>
      </c>
      <c r="U14" s="3"/>
      <c r="V14" s="3">
        <v>11.5</v>
      </c>
      <c r="W14" s="3"/>
      <c r="X14" s="3"/>
    </row>
    <row r="15" spans="1:24" x14ac:dyDescent="0.25">
      <c r="A15" s="4" t="s">
        <v>1660</v>
      </c>
      <c r="B15" s="4" t="s">
        <v>1648</v>
      </c>
      <c r="C15" s="4" t="s">
        <v>43</v>
      </c>
      <c r="D15" s="4">
        <v>4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5</v>
      </c>
      <c r="N15" s="4">
        <v>3</v>
      </c>
      <c r="O15" s="4">
        <v>54</v>
      </c>
      <c r="P15" s="4">
        <v>0</v>
      </c>
      <c r="Q15" s="4">
        <v>0</v>
      </c>
      <c r="R15" s="4">
        <v>0</v>
      </c>
      <c r="S15" s="4">
        <v>8.4</v>
      </c>
      <c r="T15" s="4">
        <v>6.6577896138481996E-3</v>
      </c>
      <c r="U15" s="4"/>
      <c r="V15" s="4">
        <v>18</v>
      </c>
      <c r="W15" s="4"/>
      <c r="X15" s="4"/>
    </row>
    <row r="16" spans="1:24" x14ac:dyDescent="0.25">
      <c r="A16" s="3" t="s">
        <v>1661</v>
      </c>
      <c r="B16" s="3" t="s">
        <v>1648</v>
      </c>
      <c r="C16" s="3" t="s">
        <v>43</v>
      </c>
      <c r="D16" s="3">
        <v>1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1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3">
        <v>0</v>
      </c>
      <c r="T16" s="3">
        <v>1.3315579227696399E-3</v>
      </c>
      <c r="U16" s="3"/>
      <c r="V16" s="3"/>
      <c r="W16" s="3"/>
      <c r="X16" s="3"/>
    </row>
    <row r="17" spans="1:24" x14ac:dyDescent="0.25">
      <c r="A17" s="4" t="s">
        <v>1662</v>
      </c>
      <c r="B17" s="4" t="s">
        <v>1648</v>
      </c>
      <c r="C17" s="4" t="s">
        <v>43</v>
      </c>
      <c r="D17" s="4">
        <v>4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13</v>
      </c>
      <c r="N17" s="4">
        <v>8</v>
      </c>
      <c r="O17" s="4">
        <v>78</v>
      </c>
      <c r="P17" s="4">
        <v>0</v>
      </c>
      <c r="Q17" s="4">
        <v>0</v>
      </c>
      <c r="R17" s="4">
        <v>0</v>
      </c>
      <c r="S17" s="4">
        <v>15.8</v>
      </c>
      <c r="T17" s="4">
        <v>1.7310252996005301E-2</v>
      </c>
      <c r="U17" s="4"/>
      <c r="V17" s="4">
        <v>9.75</v>
      </c>
      <c r="W17" s="4"/>
      <c r="X17" s="4"/>
    </row>
    <row r="18" spans="1:24" x14ac:dyDescent="0.25">
      <c r="A18" s="3" t="s">
        <v>1663</v>
      </c>
      <c r="B18" s="3" t="s">
        <v>1648</v>
      </c>
      <c r="C18" s="3" t="s">
        <v>43</v>
      </c>
      <c r="D18" s="3">
        <v>1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1</v>
      </c>
      <c r="N18" s="3">
        <v>1</v>
      </c>
      <c r="O18" s="3">
        <v>3</v>
      </c>
      <c r="P18" s="3">
        <v>0</v>
      </c>
      <c r="Q18" s="3">
        <v>0</v>
      </c>
      <c r="R18" s="3">
        <v>0</v>
      </c>
      <c r="S18" s="3">
        <v>1.3</v>
      </c>
      <c r="T18" s="3">
        <v>1.3315579227696399E-3</v>
      </c>
      <c r="U18" s="3"/>
      <c r="V18" s="3">
        <v>3</v>
      </c>
      <c r="W18" s="3"/>
      <c r="X18" s="3"/>
    </row>
    <row r="19" spans="1:24" x14ac:dyDescent="0.25">
      <c r="A19" s="4" t="s">
        <v>1664</v>
      </c>
      <c r="B19" s="4" t="s">
        <v>1648</v>
      </c>
      <c r="C19" s="4" t="s">
        <v>43</v>
      </c>
      <c r="D19" s="4">
        <v>15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50</v>
      </c>
      <c r="N19" s="4">
        <v>25</v>
      </c>
      <c r="O19" s="4">
        <v>397</v>
      </c>
      <c r="P19" s="4">
        <v>3</v>
      </c>
      <c r="Q19" s="4">
        <v>0</v>
      </c>
      <c r="R19" s="4">
        <v>0</v>
      </c>
      <c r="S19" s="4">
        <v>82.7</v>
      </c>
      <c r="T19" s="4">
        <v>6.6577896138482001E-2</v>
      </c>
      <c r="U19" s="4"/>
      <c r="V19" s="4">
        <v>15.88</v>
      </c>
      <c r="W19" s="4"/>
      <c r="X19" s="4"/>
    </row>
    <row r="20" spans="1:24" x14ac:dyDescent="0.25">
      <c r="A20" s="3" t="s">
        <v>1665</v>
      </c>
      <c r="B20" s="3" t="s">
        <v>1648</v>
      </c>
      <c r="C20" s="3" t="s">
        <v>43</v>
      </c>
      <c r="D20" s="3">
        <v>4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1</v>
      </c>
      <c r="K20" s="3">
        <v>4</v>
      </c>
      <c r="L20" s="3">
        <v>0</v>
      </c>
      <c r="M20" s="3">
        <v>8</v>
      </c>
      <c r="N20" s="3">
        <v>2</v>
      </c>
      <c r="O20" s="3">
        <v>40</v>
      </c>
      <c r="P20" s="3">
        <v>0</v>
      </c>
      <c r="Q20" s="3">
        <v>0</v>
      </c>
      <c r="R20" s="3">
        <v>0</v>
      </c>
      <c r="S20" s="3">
        <v>6.4</v>
      </c>
      <c r="T20" s="3">
        <v>1.06524633821571E-2</v>
      </c>
      <c r="U20" s="3">
        <v>4</v>
      </c>
      <c r="V20" s="3">
        <v>20</v>
      </c>
      <c r="W20" s="3"/>
      <c r="X20" s="3"/>
    </row>
    <row r="21" spans="1:24" x14ac:dyDescent="0.25">
      <c r="A21" s="4" t="s">
        <v>1666</v>
      </c>
      <c r="B21" s="4" t="s">
        <v>1648</v>
      </c>
      <c r="C21" s="4" t="s">
        <v>43</v>
      </c>
      <c r="D21" s="4">
        <v>17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91</v>
      </c>
      <c r="N21" s="4">
        <v>53</v>
      </c>
      <c r="O21" s="4">
        <v>527</v>
      </c>
      <c r="P21" s="4">
        <v>2</v>
      </c>
      <c r="Q21" s="4">
        <v>0</v>
      </c>
      <c r="R21" s="4">
        <v>0</v>
      </c>
      <c r="S21" s="4">
        <v>117.7</v>
      </c>
      <c r="T21" s="4">
        <v>0.121171770972037</v>
      </c>
      <c r="U21" s="4"/>
      <c r="V21" s="4">
        <v>9.9433962264150892</v>
      </c>
      <c r="W21" s="4"/>
      <c r="X21" s="4"/>
    </row>
    <row r="22" spans="1:24" x14ac:dyDescent="0.25">
      <c r="A22" s="3" t="s">
        <v>1667</v>
      </c>
      <c r="B22" s="3" t="s">
        <v>1648</v>
      </c>
      <c r="C22" s="3" t="s">
        <v>43</v>
      </c>
      <c r="D22" s="3">
        <v>11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4</v>
      </c>
      <c r="K22" s="3">
        <v>47</v>
      </c>
      <c r="L22" s="3">
        <v>0</v>
      </c>
      <c r="M22" s="3">
        <v>54</v>
      </c>
      <c r="N22" s="3">
        <v>33</v>
      </c>
      <c r="O22" s="3">
        <v>444</v>
      </c>
      <c r="P22" s="3">
        <v>1</v>
      </c>
      <c r="Q22" s="3">
        <v>0</v>
      </c>
      <c r="R22" s="3">
        <v>0</v>
      </c>
      <c r="S22" s="3">
        <v>88.1</v>
      </c>
      <c r="T22" s="3">
        <v>7.1904127829560599E-2</v>
      </c>
      <c r="U22" s="3">
        <v>11.75</v>
      </c>
      <c r="V22" s="3">
        <v>13.454545454545499</v>
      </c>
      <c r="W22" s="3"/>
      <c r="X22" s="3"/>
    </row>
    <row r="30" spans="1:24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</row>
    <row r="31" spans="1:24" x14ac:dyDescent="0.25">
      <c r="A31" s="3" t="s">
        <v>1648</v>
      </c>
      <c r="B31" s="3">
        <v>5358</v>
      </c>
      <c r="C31" s="3">
        <v>3227</v>
      </c>
      <c r="D31" s="3">
        <v>487</v>
      </c>
      <c r="E31" s="3">
        <v>2131</v>
      </c>
      <c r="F31" s="3">
        <v>16</v>
      </c>
      <c r="G31" s="3">
        <v>1173.8800000000001</v>
      </c>
      <c r="H31" s="3">
        <v>456</v>
      </c>
      <c r="I31" s="3">
        <v>0.625</v>
      </c>
      <c r="J31" s="3">
        <v>17</v>
      </c>
      <c r="K31" s="3">
        <v>11</v>
      </c>
      <c r="L31" s="3">
        <v>8</v>
      </c>
    </row>
    <row r="32" spans="1:24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</row>
    <row r="33" spans="1:28" x14ac:dyDescent="0.25">
      <c r="A33" s="3" t="str">
        <f>A31</f>
        <v>TEN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1668</v>
      </c>
      <c r="B36" s="3" t="s">
        <v>26</v>
      </c>
      <c r="C36" s="3">
        <v>24</v>
      </c>
      <c r="D36" s="3">
        <v>0</v>
      </c>
      <c r="E36" s="3" t="s">
        <v>150</v>
      </c>
      <c r="F36" s="3" t="s">
        <v>1648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">
        <v>0</v>
      </c>
      <c r="X36" s="3">
        <v>0</v>
      </c>
      <c r="Y36" s="3">
        <v>0</v>
      </c>
      <c r="Z36" s="3">
        <v>0</v>
      </c>
      <c r="AA36" s="3">
        <v>0</v>
      </c>
      <c r="AB36" s="3">
        <v>0</v>
      </c>
    </row>
    <row r="37" spans="1:28" x14ac:dyDescent="0.25">
      <c r="A37" s="4" t="s">
        <v>1669</v>
      </c>
      <c r="B37" s="4" t="s">
        <v>26</v>
      </c>
      <c r="C37" s="4">
        <v>35</v>
      </c>
      <c r="D37" s="4">
        <v>12</v>
      </c>
      <c r="E37" s="4" t="s">
        <v>307</v>
      </c>
      <c r="F37" s="4" t="s">
        <v>1648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</row>
    <row r="38" spans="1:28" x14ac:dyDescent="0.25">
      <c r="A38" s="3" t="s">
        <v>1670</v>
      </c>
      <c r="B38" s="3" t="s">
        <v>26</v>
      </c>
      <c r="C38" s="3">
        <v>24</v>
      </c>
      <c r="D38" s="3">
        <v>2</v>
      </c>
      <c r="E38" s="3" t="s">
        <v>1251</v>
      </c>
      <c r="F38" s="3" t="s">
        <v>1648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v>0</v>
      </c>
      <c r="W38" s="3">
        <v>0</v>
      </c>
      <c r="X38" s="3">
        <v>0</v>
      </c>
      <c r="Y38" s="3">
        <v>0</v>
      </c>
      <c r="Z38" s="3">
        <v>0</v>
      </c>
      <c r="AA38" s="3">
        <v>0</v>
      </c>
      <c r="AB38" s="3"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1671</v>
      </c>
      <c r="B46" s="3" t="s">
        <v>31</v>
      </c>
      <c r="C46" s="3">
        <v>22</v>
      </c>
      <c r="D46" s="3">
        <v>0</v>
      </c>
      <c r="E46" s="3" t="s">
        <v>1672</v>
      </c>
      <c r="F46" s="3" t="s">
        <v>1648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v>0</v>
      </c>
      <c r="W46" s="3">
        <v>0</v>
      </c>
      <c r="X46" s="3">
        <v>0</v>
      </c>
      <c r="Y46" s="3">
        <v>0</v>
      </c>
      <c r="Z46" s="3">
        <v>0</v>
      </c>
      <c r="AA46" s="3">
        <v>0</v>
      </c>
      <c r="AB46" s="3">
        <f t="shared" ref="AB46:AB51" si="0">($J46*Cp_yd)+($K46*Cp_td)+($L46*Cint)+($M46*Ccar)+($N46*Cr_td)+($O46*Cr_yd)+(Q46*Crec)+($R46*Crec_yd)+($S46*Crec_td)+($T46*Cfmb)+($U46*Ctp_c)</f>
        <v>0</v>
      </c>
    </row>
    <row r="47" spans="1:28" x14ac:dyDescent="0.25">
      <c r="A47" s="4" t="s">
        <v>1673</v>
      </c>
      <c r="B47" s="4" t="s">
        <v>31</v>
      </c>
      <c r="C47" s="4">
        <v>23</v>
      </c>
      <c r="D47" s="4">
        <v>2</v>
      </c>
      <c r="E47" s="4" t="s">
        <v>105</v>
      </c>
      <c r="F47" s="4" t="s">
        <v>1648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f t="shared" si="0"/>
        <v>0</v>
      </c>
    </row>
    <row r="48" spans="1:28" x14ac:dyDescent="0.25">
      <c r="A48" s="3" t="s">
        <v>1674</v>
      </c>
      <c r="B48" s="3" t="s">
        <v>31</v>
      </c>
      <c r="C48" s="3">
        <v>29</v>
      </c>
      <c r="D48" s="3">
        <v>8</v>
      </c>
      <c r="E48" s="3" t="s">
        <v>153</v>
      </c>
      <c r="F48" s="3" t="s">
        <v>1648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v>0</v>
      </c>
      <c r="W48" s="3">
        <v>0</v>
      </c>
      <c r="X48" s="3">
        <v>0</v>
      </c>
      <c r="Y48" s="3">
        <v>0</v>
      </c>
      <c r="Z48" s="3">
        <v>0</v>
      </c>
      <c r="AA48" s="3">
        <v>0</v>
      </c>
      <c r="AB48" s="3">
        <f t="shared" si="0"/>
        <v>0</v>
      </c>
    </row>
    <row r="49" spans="1:28" x14ac:dyDescent="0.25">
      <c r="A49" s="4" t="s">
        <v>1675</v>
      </c>
      <c r="B49" s="4" t="s">
        <v>31</v>
      </c>
      <c r="C49" s="4">
        <v>26</v>
      </c>
      <c r="D49" s="4">
        <v>1</v>
      </c>
      <c r="E49" s="4" t="s">
        <v>1012</v>
      </c>
      <c r="F49" s="4" t="s">
        <v>1648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B49" s="4">
        <f t="shared" si="0"/>
        <v>0</v>
      </c>
    </row>
    <row r="50" spans="1:28" x14ac:dyDescent="0.25">
      <c r="A50" s="3" t="s">
        <v>1676</v>
      </c>
      <c r="B50" s="3" t="s">
        <v>31</v>
      </c>
      <c r="C50" s="3">
        <v>22</v>
      </c>
      <c r="D50" s="3">
        <v>0</v>
      </c>
      <c r="E50" s="3" t="s">
        <v>405</v>
      </c>
      <c r="F50" s="3" t="s">
        <v>1648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v>0</v>
      </c>
      <c r="W50" s="3">
        <v>0</v>
      </c>
      <c r="X50" s="3">
        <v>0</v>
      </c>
      <c r="Y50" s="3">
        <v>0</v>
      </c>
      <c r="Z50" s="3">
        <v>0</v>
      </c>
      <c r="AA50" s="3">
        <v>0</v>
      </c>
      <c r="AB50" s="3">
        <f t="shared" si="0"/>
        <v>0</v>
      </c>
    </row>
    <row r="51" spans="1:28" x14ac:dyDescent="0.25">
      <c r="A51" s="4" t="s">
        <v>1677</v>
      </c>
      <c r="B51" s="4" t="s">
        <v>31</v>
      </c>
      <c r="C51" s="4">
        <v>25</v>
      </c>
      <c r="D51" s="4">
        <v>4</v>
      </c>
      <c r="E51" s="4" t="s">
        <v>309</v>
      </c>
      <c r="F51" s="4" t="s">
        <v>1648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v>0</v>
      </c>
      <c r="W51" s="4">
        <v>0</v>
      </c>
      <c r="X51" s="4">
        <v>0</v>
      </c>
      <c r="Y51" s="4">
        <v>0</v>
      </c>
      <c r="Z51" s="4">
        <v>0</v>
      </c>
      <c r="AA51" s="4">
        <v>0</v>
      </c>
      <c r="AB51" s="4">
        <f t="shared" si="0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1678</v>
      </c>
      <c r="B61" s="3" t="s">
        <v>43</v>
      </c>
      <c r="C61" s="3">
        <v>23</v>
      </c>
      <c r="D61" s="3">
        <v>2</v>
      </c>
      <c r="E61" s="3" t="s">
        <v>175</v>
      </c>
      <c r="F61" s="3" t="s">
        <v>1648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v>0</v>
      </c>
      <c r="W61" s="3">
        <v>0</v>
      </c>
      <c r="X61" s="3">
        <v>0</v>
      </c>
      <c r="Y61" s="3">
        <v>0</v>
      </c>
      <c r="Z61" s="3">
        <v>0</v>
      </c>
      <c r="AA61" s="3">
        <v>0</v>
      </c>
      <c r="AB61" s="3">
        <v>0</v>
      </c>
    </row>
    <row r="62" spans="1:28" x14ac:dyDescent="0.25">
      <c r="A62" s="4" t="s">
        <v>1679</v>
      </c>
      <c r="B62" s="4" t="s">
        <v>43</v>
      </c>
      <c r="C62" s="4">
        <v>24</v>
      </c>
      <c r="D62" s="4">
        <v>0</v>
      </c>
      <c r="E62" s="4" t="s">
        <v>1045</v>
      </c>
      <c r="F62" s="4" t="s">
        <v>1648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0</v>
      </c>
      <c r="X62" s="4">
        <v>0</v>
      </c>
      <c r="Y62" s="4">
        <v>0</v>
      </c>
      <c r="Z62" s="4">
        <v>0</v>
      </c>
      <c r="AA62" s="4">
        <v>0</v>
      </c>
      <c r="AB62" s="4">
        <v>0</v>
      </c>
    </row>
    <row r="63" spans="1:28" x14ac:dyDescent="0.25">
      <c r="A63" s="3" t="s">
        <v>1680</v>
      </c>
      <c r="B63" s="3" t="s">
        <v>43</v>
      </c>
      <c r="C63" s="3">
        <v>23</v>
      </c>
      <c r="D63" s="3">
        <v>0</v>
      </c>
      <c r="E63" s="3" t="s">
        <v>111</v>
      </c>
      <c r="F63" s="3" t="s">
        <v>1648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v>0</v>
      </c>
      <c r="W63" s="3">
        <v>0</v>
      </c>
      <c r="X63" s="3">
        <v>0</v>
      </c>
      <c r="Y63" s="3">
        <v>0</v>
      </c>
      <c r="Z63" s="3">
        <v>0</v>
      </c>
      <c r="AA63" s="3">
        <v>0</v>
      </c>
      <c r="AB63" s="3">
        <v>0</v>
      </c>
    </row>
    <row r="64" spans="1:28" x14ac:dyDescent="0.25">
      <c r="A64" s="4" t="s">
        <v>1681</v>
      </c>
      <c r="B64" s="4" t="s">
        <v>43</v>
      </c>
      <c r="C64" s="4">
        <v>24</v>
      </c>
      <c r="D64" s="4">
        <v>0</v>
      </c>
      <c r="E64" s="4" t="s">
        <v>393</v>
      </c>
      <c r="F64" s="4" t="s">
        <v>1648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</row>
    <row r="65" spans="1:28" x14ac:dyDescent="0.25">
      <c r="A65" s="3" t="s">
        <v>1682</v>
      </c>
      <c r="B65" s="3" t="s">
        <v>43</v>
      </c>
      <c r="C65" s="3">
        <v>31</v>
      </c>
      <c r="D65" s="3">
        <v>10</v>
      </c>
      <c r="E65" s="3" t="s">
        <v>458</v>
      </c>
      <c r="F65" s="3" t="s">
        <v>1648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v>0</v>
      </c>
      <c r="W65" s="3">
        <v>0</v>
      </c>
      <c r="X65" s="3">
        <v>0</v>
      </c>
      <c r="Y65" s="3">
        <v>0</v>
      </c>
      <c r="Z65" s="3">
        <v>0</v>
      </c>
      <c r="AA65" s="3">
        <v>0</v>
      </c>
      <c r="AB65" s="3">
        <v>0</v>
      </c>
    </row>
    <row r="66" spans="1:28" x14ac:dyDescent="0.25">
      <c r="A66" s="4" t="s">
        <v>1683</v>
      </c>
      <c r="B66" s="4" t="s">
        <v>43</v>
      </c>
      <c r="C66" s="4">
        <v>23</v>
      </c>
      <c r="D66" s="4">
        <v>0</v>
      </c>
      <c r="E66" s="4" t="s">
        <v>173</v>
      </c>
      <c r="F66" s="4" t="s">
        <v>1648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</row>
    <row r="67" spans="1:28" x14ac:dyDescent="0.25">
      <c r="A67" s="3" t="s">
        <v>1684</v>
      </c>
      <c r="B67" s="3" t="s">
        <v>43</v>
      </c>
      <c r="C67" s="3">
        <v>24</v>
      </c>
      <c r="D67" s="3">
        <v>1</v>
      </c>
      <c r="E67" s="3" t="s">
        <v>1685</v>
      </c>
      <c r="F67" s="3" t="s">
        <v>1648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v>0</v>
      </c>
      <c r="W67" s="3">
        <v>0</v>
      </c>
      <c r="X67" s="3">
        <v>0</v>
      </c>
      <c r="Y67" s="3">
        <v>0</v>
      </c>
      <c r="Z67" s="3">
        <v>0</v>
      </c>
      <c r="AA67" s="3">
        <v>0</v>
      </c>
      <c r="AB67" s="3">
        <v>0</v>
      </c>
    </row>
    <row r="68" spans="1:28" x14ac:dyDescent="0.25">
      <c r="A68" s="4" t="s">
        <v>1686</v>
      </c>
      <c r="B68" s="4" t="s">
        <v>43</v>
      </c>
      <c r="C68" s="4">
        <v>24</v>
      </c>
      <c r="D68" s="4">
        <v>3</v>
      </c>
      <c r="E68" s="4" t="s">
        <v>227</v>
      </c>
      <c r="F68" s="4" t="s">
        <v>1648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0</v>
      </c>
      <c r="X68" s="4">
        <v>0</v>
      </c>
      <c r="Y68" s="4">
        <v>0</v>
      </c>
      <c r="Z68" s="4">
        <v>0</v>
      </c>
      <c r="AA68" s="4">
        <v>0</v>
      </c>
      <c r="AB68" s="4">
        <v>0</v>
      </c>
    </row>
    <row r="69" spans="1:28" x14ac:dyDescent="0.25">
      <c r="A69" s="3" t="s">
        <v>1687</v>
      </c>
      <c r="B69" s="3" t="s">
        <v>43</v>
      </c>
      <c r="C69" s="3">
        <v>30</v>
      </c>
      <c r="D69" s="3">
        <v>8</v>
      </c>
      <c r="E69" s="3" t="s">
        <v>136</v>
      </c>
      <c r="F69" s="3" t="s">
        <v>1648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v>0</v>
      </c>
      <c r="W69" s="3">
        <v>0</v>
      </c>
      <c r="X69" s="3">
        <v>0</v>
      </c>
      <c r="Y69" s="3">
        <v>0</v>
      </c>
      <c r="Z69" s="3">
        <v>0</v>
      </c>
      <c r="AA69" s="3">
        <v>0</v>
      </c>
      <c r="AB69" s="3">
        <v>0</v>
      </c>
    </row>
    <row r="70" spans="1:28" x14ac:dyDescent="0.25">
      <c r="A70" s="4" t="s">
        <v>1688</v>
      </c>
      <c r="B70" s="4" t="s">
        <v>43</v>
      </c>
      <c r="C70" s="4">
        <v>24</v>
      </c>
      <c r="D70" s="4">
        <v>2</v>
      </c>
      <c r="E70" s="4" t="s">
        <v>418</v>
      </c>
      <c r="F70" s="4" t="s">
        <v>1648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0</v>
      </c>
      <c r="X70" s="4">
        <v>0</v>
      </c>
      <c r="Y70" s="4">
        <v>0</v>
      </c>
      <c r="Z70" s="4">
        <v>0</v>
      </c>
      <c r="AA70" s="4">
        <v>0</v>
      </c>
      <c r="AB70" s="4">
        <v>0</v>
      </c>
    </row>
    <row r="71" spans="1:28" x14ac:dyDescent="0.25">
      <c r="A71" s="3" t="s">
        <v>1689</v>
      </c>
      <c r="B71" s="3" t="s">
        <v>43</v>
      </c>
      <c r="C71" s="3">
        <v>24</v>
      </c>
      <c r="D71" s="3">
        <v>1</v>
      </c>
      <c r="E71" s="3" t="s">
        <v>237</v>
      </c>
      <c r="F71" s="3" t="s">
        <v>1648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v>0</v>
      </c>
      <c r="W71" s="3">
        <v>0</v>
      </c>
      <c r="X71" s="3">
        <v>0</v>
      </c>
      <c r="Y71" s="3">
        <v>0</v>
      </c>
      <c r="Z71" s="3">
        <v>0</v>
      </c>
      <c r="AA71" s="3">
        <v>0</v>
      </c>
      <c r="AB71" s="3">
        <v>0</v>
      </c>
    </row>
    <row r="72" spans="1:28" x14ac:dyDescent="0.25">
      <c r="A72" s="4" t="s">
        <v>1690</v>
      </c>
      <c r="B72" s="4" t="s">
        <v>43</v>
      </c>
      <c r="C72" s="4">
        <v>26</v>
      </c>
      <c r="D72" s="4">
        <v>4</v>
      </c>
      <c r="E72" s="4" t="s">
        <v>360</v>
      </c>
      <c r="F72" s="4" t="s">
        <v>1648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v>0</v>
      </c>
      <c r="W72" s="4">
        <v>0</v>
      </c>
      <c r="X72" s="4">
        <v>0</v>
      </c>
      <c r="Y72" s="4">
        <v>0</v>
      </c>
      <c r="Z72" s="4">
        <v>0</v>
      </c>
      <c r="AA72" s="4">
        <v>0</v>
      </c>
      <c r="AB72" s="4"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1691</v>
      </c>
      <c r="B76" s="3" t="s">
        <v>38</v>
      </c>
      <c r="C76" s="3">
        <v>26</v>
      </c>
      <c r="D76" s="3">
        <v>1</v>
      </c>
      <c r="E76" s="3" t="s">
        <v>362</v>
      </c>
      <c r="F76" s="3" t="s">
        <v>1648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v>0</v>
      </c>
      <c r="W76" s="3">
        <v>0</v>
      </c>
      <c r="X76" s="3">
        <v>0</v>
      </c>
      <c r="Y76" s="3">
        <v>0</v>
      </c>
      <c r="Z76" s="3">
        <v>0</v>
      </c>
      <c r="AA76" s="3">
        <v>0</v>
      </c>
      <c r="AB76" s="3">
        <v>0</v>
      </c>
    </row>
    <row r="77" spans="1:28" x14ac:dyDescent="0.25">
      <c r="A77" s="4" t="s">
        <v>1692</v>
      </c>
      <c r="B77" s="4" t="s">
        <v>38</v>
      </c>
      <c r="C77" s="4">
        <v>26</v>
      </c>
      <c r="D77" s="4">
        <v>1</v>
      </c>
      <c r="E77" s="4" t="s">
        <v>170</v>
      </c>
      <c r="F77" s="4" t="s">
        <v>1648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v>0</v>
      </c>
      <c r="W77" s="4">
        <v>0</v>
      </c>
      <c r="X77" s="4">
        <v>0</v>
      </c>
      <c r="Y77" s="4">
        <v>0</v>
      </c>
      <c r="Z77" s="4">
        <v>0</v>
      </c>
      <c r="AA77" s="4">
        <v>0</v>
      </c>
      <c r="AB77" s="4">
        <v>0</v>
      </c>
    </row>
    <row r="78" spans="1:28" x14ac:dyDescent="0.25">
      <c r="A78" s="3" t="s">
        <v>1693</v>
      </c>
      <c r="B78" s="3" t="s">
        <v>38</v>
      </c>
      <c r="C78" s="3">
        <v>23</v>
      </c>
      <c r="D78" s="3">
        <v>2</v>
      </c>
      <c r="E78" s="3" t="s">
        <v>232</v>
      </c>
      <c r="F78" s="3" t="s">
        <v>1648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v>0</v>
      </c>
      <c r="W78" s="3">
        <v>0</v>
      </c>
      <c r="X78" s="3">
        <v>0</v>
      </c>
      <c r="Y78" s="3">
        <v>0</v>
      </c>
      <c r="Z78" s="3">
        <v>0</v>
      </c>
      <c r="AA78" s="3">
        <v>0</v>
      </c>
      <c r="AB78" s="3">
        <v>0</v>
      </c>
    </row>
    <row r="79" spans="1:28" x14ac:dyDescent="0.25">
      <c r="A79" s="4" t="s">
        <v>1694</v>
      </c>
      <c r="B79" s="4" t="s">
        <v>38</v>
      </c>
      <c r="C79" s="4">
        <v>28</v>
      </c>
      <c r="D79" s="4">
        <v>3</v>
      </c>
      <c r="E79" s="4" t="s">
        <v>616</v>
      </c>
      <c r="F79" s="4" t="s">
        <v>1648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v>0</v>
      </c>
      <c r="W79" s="4">
        <v>0</v>
      </c>
      <c r="X79" s="4">
        <v>0</v>
      </c>
      <c r="Y79" s="4">
        <v>0</v>
      </c>
      <c r="Z79" s="4">
        <v>0</v>
      </c>
      <c r="AA79" s="4">
        <v>0</v>
      </c>
      <c r="AB79" s="4">
        <v>0</v>
      </c>
    </row>
    <row r="80" spans="1:28" x14ac:dyDescent="0.25">
      <c r="A80" s="3" t="s">
        <v>1695</v>
      </c>
      <c r="B80" s="3" t="s">
        <v>38</v>
      </c>
      <c r="C80" s="3">
        <v>25</v>
      </c>
      <c r="D80" s="3">
        <v>1</v>
      </c>
      <c r="E80" s="3" t="s">
        <v>150</v>
      </c>
      <c r="F80" s="3" t="s">
        <v>1648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v>0</v>
      </c>
      <c r="W80" s="3">
        <v>0</v>
      </c>
      <c r="X80" s="3">
        <v>0</v>
      </c>
      <c r="Y80" s="3">
        <v>0</v>
      </c>
      <c r="Z80" s="3">
        <v>0</v>
      </c>
      <c r="AA80" s="3">
        <v>0</v>
      </c>
      <c r="AB80" s="3">
        <v>0</v>
      </c>
    </row>
    <row r="81" spans="1:28" x14ac:dyDescent="0.25">
      <c r="A81" s="4" t="s">
        <v>1696</v>
      </c>
      <c r="B81" s="4" t="s">
        <v>38</v>
      </c>
      <c r="C81" s="4">
        <v>27</v>
      </c>
      <c r="D81" s="4">
        <v>5</v>
      </c>
      <c r="E81" s="4" t="s">
        <v>344</v>
      </c>
      <c r="F81" s="4" t="s">
        <v>1648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v>0</v>
      </c>
      <c r="W81" s="4">
        <v>0</v>
      </c>
      <c r="X81" s="4">
        <v>0</v>
      </c>
      <c r="Y81" s="4">
        <v>0</v>
      </c>
      <c r="Z81" s="4">
        <v>0</v>
      </c>
      <c r="AA81" s="4">
        <v>0</v>
      </c>
      <c r="AB81" s="4">
        <v>0</v>
      </c>
    </row>
    <row r="82" spans="1:28" x14ac:dyDescent="0.25">
      <c r="A82" s="3" t="s">
        <v>1697</v>
      </c>
      <c r="B82" s="3" t="s">
        <v>38</v>
      </c>
      <c r="C82" s="3">
        <v>23</v>
      </c>
      <c r="D82" s="3">
        <v>0</v>
      </c>
      <c r="E82" s="3" t="s">
        <v>136</v>
      </c>
      <c r="F82" s="3" t="s">
        <v>1648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v>0</v>
      </c>
      <c r="W82" s="3">
        <v>0</v>
      </c>
      <c r="X82" s="3">
        <v>0</v>
      </c>
      <c r="Y82" s="3">
        <v>0</v>
      </c>
      <c r="Z82" s="3">
        <v>0</v>
      </c>
      <c r="AA82" s="3">
        <v>0</v>
      </c>
      <c r="AB82" s="3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AB81"/>
  <sheetViews>
    <sheetView topLeftCell="I19" workbookViewId="0">
      <selection activeCell="AC49" sqref="AC49"/>
    </sheetView>
  </sheetViews>
  <sheetFormatPr defaultColWidth="11.42578125" defaultRowHeight="15" x14ac:dyDescent="0.25"/>
  <sheetData>
    <row r="1" spans="1:24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</row>
    <row r="2" spans="1:24" x14ac:dyDescent="0.25">
      <c r="A2" s="3" t="s">
        <v>1698</v>
      </c>
      <c r="B2" s="3" t="s">
        <v>1699</v>
      </c>
      <c r="C2" s="3" t="s">
        <v>26</v>
      </c>
      <c r="D2" s="3">
        <v>8</v>
      </c>
      <c r="E2" s="3">
        <v>276</v>
      </c>
      <c r="F2" s="3">
        <v>172</v>
      </c>
      <c r="G2" s="3">
        <v>1755</v>
      </c>
      <c r="H2" s="3">
        <v>11</v>
      </c>
      <c r="I2" s="3">
        <v>9</v>
      </c>
      <c r="J2" s="3">
        <v>22</v>
      </c>
      <c r="K2" s="3">
        <v>86</v>
      </c>
      <c r="L2" s="3">
        <v>1</v>
      </c>
      <c r="M2" s="3">
        <v>0</v>
      </c>
      <c r="N2" s="3">
        <v>0</v>
      </c>
      <c r="O2" s="3">
        <v>0</v>
      </c>
      <c r="P2" s="3">
        <v>0</v>
      </c>
      <c r="Q2" s="3">
        <v>1</v>
      </c>
      <c r="R2" s="3">
        <v>2</v>
      </c>
      <c r="S2" s="3">
        <v>112.8</v>
      </c>
      <c r="T2" s="3">
        <v>0</v>
      </c>
      <c r="U2" s="3">
        <v>3.9090909090909101</v>
      </c>
      <c r="V2" s="3"/>
      <c r="W2" s="3">
        <v>0.623188405797101</v>
      </c>
      <c r="X2" s="3">
        <v>3.9855072463768099E-2</v>
      </c>
    </row>
    <row r="3" spans="1:24" x14ac:dyDescent="0.25">
      <c r="A3" s="4" t="s">
        <v>1700</v>
      </c>
      <c r="B3" s="4" t="s">
        <v>1699</v>
      </c>
      <c r="C3" s="4" t="s">
        <v>26</v>
      </c>
      <c r="D3" s="4">
        <v>1</v>
      </c>
      <c r="E3" s="4">
        <v>19</v>
      </c>
      <c r="F3" s="4">
        <v>11</v>
      </c>
      <c r="G3" s="4">
        <v>169</v>
      </c>
      <c r="H3" s="4">
        <v>1</v>
      </c>
      <c r="I3" s="4">
        <v>1</v>
      </c>
      <c r="J3" s="4">
        <v>5</v>
      </c>
      <c r="K3" s="4">
        <v>35</v>
      </c>
      <c r="L3" s="4">
        <v>1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18.260000000000002</v>
      </c>
      <c r="T3" s="4">
        <v>0</v>
      </c>
      <c r="U3" s="4">
        <v>7</v>
      </c>
      <c r="V3" s="4"/>
      <c r="W3" s="4">
        <v>0.57894736842105299</v>
      </c>
      <c r="X3" s="4">
        <v>5.2631578947368397E-2</v>
      </c>
    </row>
    <row r="4" spans="1:24" x14ac:dyDescent="0.25">
      <c r="A4" s="3" t="s">
        <v>1701</v>
      </c>
      <c r="B4" s="3" t="s">
        <v>1699</v>
      </c>
      <c r="C4" s="3" t="s">
        <v>26</v>
      </c>
      <c r="D4" s="3">
        <v>9</v>
      </c>
      <c r="E4" s="3">
        <v>259</v>
      </c>
      <c r="F4" s="3">
        <v>161</v>
      </c>
      <c r="G4" s="3">
        <v>1859</v>
      </c>
      <c r="H4" s="3">
        <v>12</v>
      </c>
      <c r="I4" s="3">
        <v>6</v>
      </c>
      <c r="J4" s="3">
        <v>28</v>
      </c>
      <c r="K4" s="3">
        <v>96</v>
      </c>
      <c r="L4" s="3">
        <v>1</v>
      </c>
      <c r="M4" s="3">
        <v>0</v>
      </c>
      <c r="N4" s="3">
        <v>0</v>
      </c>
      <c r="O4" s="3">
        <v>0</v>
      </c>
      <c r="P4" s="3">
        <v>0</v>
      </c>
      <c r="Q4" s="3">
        <v>5</v>
      </c>
      <c r="R4" s="3">
        <v>0</v>
      </c>
      <c r="S4" s="3">
        <v>115.96</v>
      </c>
      <c r="T4" s="3">
        <v>0</v>
      </c>
      <c r="U4" s="3">
        <v>3.4285714285714302</v>
      </c>
      <c r="V4" s="3"/>
      <c r="W4" s="3">
        <v>0.62162162162162204</v>
      </c>
      <c r="X4" s="3">
        <v>4.6332046332046302E-2</v>
      </c>
    </row>
    <row r="5" spans="1:24" x14ac:dyDescent="0.25">
      <c r="A5" s="4" t="s">
        <v>1702</v>
      </c>
      <c r="B5" s="4" t="s">
        <v>1699</v>
      </c>
      <c r="C5" s="4" t="s">
        <v>31</v>
      </c>
      <c r="D5" s="4">
        <v>15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149</v>
      </c>
      <c r="K5" s="4">
        <v>546</v>
      </c>
      <c r="L5" s="4">
        <v>3</v>
      </c>
      <c r="M5" s="4">
        <v>58</v>
      </c>
      <c r="N5" s="4">
        <v>46</v>
      </c>
      <c r="O5" s="4">
        <v>353</v>
      </c>
      <c r="P5" s="4">
        <v>2</v>
      </c>
      <c r="Q5" s="4">
        <v>0</v>
      </c>
      <c r="R5" s="4">
        <v>0</v>
      </c>
      <c r="S5" s="4">
        <v>165.9</v>
      </c>
      <c r="T5" s="4">
        <v>0.12719298245614</v>
      </c>
      <c r="U5" s="4">
        <v>3.6644295302013399</v>
      </c>
      <c r="V5" s="4">
        <v>7.6739130434782599</v>
      </c>
      <c r="W5" s="4"/>
      <c r="X5" s="4"/>
    </row>
    <row r="6" spans="1:24" x14ac:dyDescent="0.25">
      <c r="A6" s="3" t="s">
        <v>1703</v>
      </c>
      <c r="B6" s="3" t="s">
        <v>1699</v>
      </c>
      <c r="C6" s="3" t="s">
        <v>31</v>
      </c>
      <c r="D6" s="3">
        <v>12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205</v>
      </c>
      <c r="K6" s="3">
        <v>797</v>
      </c>
      <c r="L6" s="3">
        <v>2</v>
      </c>
      <c r="M6" s="3">
        <v>12</v>
      </c>
      <c r="N6" s="3">
        <v>9</v>
      </c>
      <c r="O6" s="3">
        <v>60</v>
      </c>
      <c r="P6" s="3">
        <v>1</v>
      </c>
      <c r="Q6" s="3">
        <v>0</v>
      </c>
      <c r="R6" s="3">
        <v>0</v>
      </c>
      <c r="S6" s="3">
        <v>112.7</v>
      </c>
      <c r="T6" s="3">
        <v>2.6315789473684199E-2</v>
      </c>
      <c r="U6" s="3">
        <v>3.8878048780487799</v>
      </c>
      <c r="V6" s="3">
        <v>6.6666666666666696</v>
      </c>
      <c r="W6" s="3"/>
      <c r="X6" s="3"/>
    </row>
    <row r="7" spans="1:24" x14ac:dyDescent="0.25">
      <c r="A7" s="4" t="s">
        <v>1704</v>
      </c>
      <c r="B7" s="4" t="s">
        <v>1699</v>
      </c>
      <c r="C7" s="4" t="s">
        <v>31</v>
      </c>
      <c r="D7" s="4">
        <v>8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22</v>
      </c>
      <c r="K7" s="4">
        <v>95</v>
      </c>
      <c r="L7" s="4">
        <v>0</v>
      </c>
      <c r="M7" s="4">
        <v>40</v>
      </c>
      <c r="N7" s="4">
        <v>27</v>
      </c>
      <c r="O7" s="4">
        <v>173</v>
      </c>
      <c r="P7" s="4">
        <v>0</v>
      </c>
      <c r="Q7" s="4">
        <v>0</v>
      </c>
      <c r="R7" s="4">
        <v>0</v>
      </c>
      <c r="S7" s="4">
        <v>55.8</v>
      </c>
      <c r="T7" s="4">
        <v>8.7719298245614002E-2</v>
      </c>
      <c r="U7" s="4">
        <v>4.3181818181818201</v>
      </c>
      <c r="V7" s="4">
        <v>6.4074074074074101</v>
      </c>
      <c r="W7" s="4"/>
      <c r="X7" s="4"/>
    </row>
    <row r="8" spans="1:24" x14ac:dyDescent="0.25">
      <c r="A8" s="3" t="s">
        <v>1705</v>
      </c>
      <c r="B8" s="3" t="s">
        <v>1699</v>
      </c>
      <c r="C8" s="3" t="s">
        <v>31</v>
      </c>
      <c r="D8" s="3">
        <v>1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17</v>
      </c>
      <c r="K8" s="3">
        <v>78</v>
      </c>
      <c r="L8" s="3">
        <v>0</v>
      </c>
      <c r="M8" s="3">
        <v>1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7.8</v>
      </c>
      <c r="T8" s="3">
        <v>2.1929824561403499E-3</v>
      </c>
      <c r="U8" s="3">
        <v>4.5882352941176503</v>
      </c>
      <c r="V8" s="3"/>
      <c r="W8" s="3"/>
      <c r="X8" s="3"/>
    </row>
    <row r="9" spans="1:24" x14ac:dyDescent="0.25">
      <c r="A9" s="4" t="s">
        <v>588</v>
      </c>
      <c r="B9" s="4" t="s">
        <v>1699</v>
      </c>
      <c r="C9" s="4" t="s">
        <v>31</v>
      </c>
      <c r="D9" s="4">
        <v>7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37</v>
      </c>
      <c r="K9" s="4">
        <v>152</v>
      </c>
      <c r="L9" s="4">
        <v>0</v>
      </c>
      <c r="M9" s="4">
        <v>10</v>
      </c>
      <c r="N9" s="4">
        <v>7</v>
      </c>
      <c r="O9" s="4">
        <v>40</v>
      </c>
      <c r="P9" s="4">
        <v>0</v>
      </c>
      <c r="Q9" s="4">
        <v>0</v>
      </c>
      <c r="R9" s="4">
        <v>0</v>
      </c>
      <c r="S9" s="4">
        <v>26.2</v>
      </c>
      <c r="T9" s="4">
        <v>2.1929824561403501E-2</v>
      </c>
      <c r="U9" s="4">
        <v>4.1081081081081097</v>
      </c>
      <c r="V9" s="4">
        <v>5.71428571428571</v>
      </c>
      <c r="W9" s="4"/>
      <c r="X9" s="4"/>
    </row>
    <row r="10" spans="1:24" x14ac:dyDescent="0.25">
      <c r="A10" s="3" t="s">
        <v>1706</v>
      </c>
      <c r="B10" s="3" t="s">
        <v>1699</v>
      </c>
      <c r="C10" s="3" t="s">
        <v>31</v>
      </c>
      <c r="D10" s="3">
        <v>1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3</v>
      </c>
      <c r="K10" s="3">
        <v>8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3">
        <v>0.8</v>
      </c>
      <c r="T10" s="3">
        <v>0</v>
      </c>
      <c r="U10" s="3">
        <v>2.6666666666666701</v>
      </c>
      <c r="V10" s="3"/>
      <c r="W10" s="3"/>
      <c r="X10" s="3"/>
    </row>
    <row r="11" spans="1:24" x14ac:dyDescent="0.25">
      <c r="A11" s="4" t="s">
        <v>1707</v>
      </c>
      <c r="B11" s="4" t="s">
        <v>1699</v>
      </c>
      <c r="C11" s="4" t="s">
        <v>38</v>
      </c>
      <c r="D11" s="4">
        <v>5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2</v>
      </c>
      <c r="K11" s="4">
        <v>26</v>
      </c>
      <c r="L11" s="4">
        <v>0</v>
      </c>
      <c r="M11" s="4">
        <v>6</v>
      </c>
      <c r="N11" s="4">
        <v>5</v>
      </c>
      <c r="O11" s="4">
        <v>64</v>
      </c>
      <c r="P11" s="4">
        <v>0</v>
      </c>
      <c r="Q11" s="4">
        <v>0</v>
      </c>
      <c r="R11" s="4">
        <v>0</v>
      </c>
      <c r="S11" s="4">
        <v>14</v>
      </c>
      <c r="T11" s="4">
        <v>1.3157894736842099E-2</v>
      </c>
      <c r="U11" s="4">
        <v>13</v>
      </c>
      <c r="V11" s="4">
        <v>12.8</v>
      </c>
      <c r="W11" s="4"/>
      <c r="X11" s="4"/>
    </row>
    <row r="12" spans="1:24" x14ac:dyDescent="0.25">
      <c r="A12" s="3" t="s">
        <v>1708</v>
      </c>
      <c r="B12" s="3" t="s">
        <v>1699</v>
      </c>
      <c r="C12" s="3" t="s">
        <v>38</v>
      </c>
      <c r="D12" s="3">
        <v>5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9</v>
      </c>
      <c r="N12" s="3">
        <v>2</v>
      </c>
      <c r="O12" s="3">
        <v>23</v>
      </c>
      <c r="P12" s="3">
        <v>0</v>
      </c>
      <c r="Q12" s="3">
        <v>0</v>
      </c>
      <c r="R12" s="3">
        <v>0</v>
      </c>
      <c r="S12" s="3">
        <v>4.3</v>
      </c>
      <c r="T12" s="3">
        <v>1.9736842105263198E-2</v>
      </c>
      <c r="U12" s="3"/>
      <c r="V12" s="3">
        <v>11.5</v>
      </c>
      <c r="W12" s="3"/>
      <c r="X12" s="3"/>
    </row>
    <row r="13" spans="1:24" x14ac:dyDescent="0.25">
      <c r="A13" s="4" t="s">
        <v>1709</v>
      </c>
      <c r="B13" s="4" t="s">
        <v>1699</v>
      </c>
      <c r="C13" s="4" t="s">
        <v>38</v>
      </c>
      <c r="D13" s="4">
        <v>9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22</v>
      </c>
      <c r="N13" s="4">
        <v>14</v>
      </c>
      <c r="O13" s="4">
        <v>108</v>
      </c>
      <c r="P13" s="4">
        <v>1</v>
      </c>
      <c r="Q13" s="4">
        <v>0</v>
      </c>
      <c r="R13" s="4">
        <v>0</v>
      </c>
      <c r="S13" s="4">
        <v>30.8</v>
      </c>
      <c r="T13" s="4">
        <v>4.8245614035087703E-2</v>
      </c>
      <c r="U13" s="4"/>
      <c r="V13" s="4">
        <v>7.71428571428571</v>
      </c>
      <c r="W13" s="4"/>
      <c r="X13" s="4"/>
    </row>
    <row r="14" spans="1:24" x14ac:dyDescent="0.25">
      <c r="A14" s="3" t="s">
        <v>1710</v>
      </c>
      <c r="B14" s="3" t="s">
        <v>1699</v>
      </c>
      <c r="C14" s="3" t="s">
        <v>38</v>
      </c>
      <c r="D14" s="3">
        <v>13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61</v>
      </c>
      <c r="N14" s="3">
        <v>39</v>
      </c>
      <c r="O14" s="3">
        <v>323</v>
      </c>
      <c r="P14" s="3">
        <v>1</v>
      </c>
      <c r="Q14" s="3">
        <v>0</v>
      </c>
      <c r="R14" s="3">
        <v>0</v>
      </c>
      <c r="S14" s="3">
        <v>77.3</v>
      </c>
      <c r="T14" s="3">
        <v>0.13377192982456099</v>
      </c>
      <c r="U14" s="3"/>
      <c r="V14" s="3">
        <v>8.2820512820512793</v>
      </c>
      <c r="W14" s="3"/>
      <c r="X14" s="3"/>
    </row>
    <row r="15" spans="1:24" x14ac:dyDescent="0.25">
      <c r="A15" s="4" t="s">
        <v>1711</v>
      </c>
      <c r="B15" s="4" t="s">
        <v>1699</v>
      </c>
      <c r="C15" s="4" t="s">
        <v>43</v>
      </c>
      <c r="D15" s="4">
        <v>17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38</v>
      </c>
      <c r="K15" s="4">
        <v>187</v>
      </c>
      <c r="L15" s="4">
        <v>1</v>
      </c>
      <c r="M15" s="4">
        <v>92</v>
      </c>
      <c r="N15" s="4">
        <v>64</v>
      </c>
      <c r="O15" s="4">
        <v>656</v>
      </c>
      <c r="P15" s="4">
        <v>4</v>
      </c>
      <c r="Q15" s="4">
        <v>1</v>
      </c>
      <c r="R15" s="4">
        <v>0</v>
      </c>
      <c r="S15" s="4">
        <v>176.3</v>
      </c>
      <c r="T15" s="4">
        <v>0.20175438596491199</v>
      </c>
      <c r="U15" s="4">
        <v>4.9210526315789496</v>
      </c>
      <c r="V15" s="4">
        <v>10.25</v>
      </c>
      <c r="W15" s="4"/>
      <c r="X15" s="4"/>
    </row>
    <row r="16" spans="1:24" x14ac:dyDescent="0.25">
      <c r="A16" s="3" t="s">
        <v>1712</v>
      </c>
      <c r="B16" s="3" t="s">
        <v>1699</v>
      </c>
      <c r="C16" s="3" t="s">
        <v>43</v>
      </c>
      <c r="D16" s="3">
        <v>12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18</v>
      </c>
      <c r="N16" s="3">
        <v>8</v>
      </c>
      <c r="O16" s="3">
        <v>89</v>
      </c>
      <c r="P16" s="3">
        <v>0</v>
      </c>
      <c r="Q16" s="3">
        <v>0</v>
      </c>
      <c r="R16" s="3">
        <v>0</v>
      </c>
      <c r="S16" s="3">
        <v>16.899999999999999</v>
      </c>
      <c r="T16" s="3">
        <v>3.94736842105263E-2</v>
      </c>
      <c r="U16" s="3"/>
      <c r="V16" s="3">
        <v>11.125</v>
      </c>
      <c r="W16" s="3"/>
      <c r="X16" s="3"/>
    </row>
    <row r="17" spans="1:24" x14ac:dyDescent="0.25">
      <c r="A17" s="4" t="s">
        <v>1713</v>
      </c>
      <c r="B17" s="4" t="s">
        <v>1699</v>
      </c>
      <c r="C17" s="4" t="s">
        <v>43</v>
      </c>
      <c r="D17" s="4">
        <v>7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1</v>
      </c>
      <c r="K17" s="4">
        <v>15</v>
      </c>
      <c r="L17" s="4">
        <v>0</v>
      </c>
      <c r="M17" s="4">
        <v>14</v>
      </c>
      <c r="N17" s="4">
        <v>5</v>
      </c>
      <c r="O17" s="4">
        <v>143</v>
      </c>
      <c r="P17" s="4">
        <v>2</v>
      </c>
      <c r="Q17" s="4">
        <v>0</v>
      </c>
      <c r="R17" s="4">
        <v>0</v>
      </c>
      <c r="S17" s="4">
        <v>32.799999999999997</v>
      </c>
      <c r="T17" s="4">
        <v>3.07017543859649E-2</v>
      </c>
      <c r="U17" s="4">
        <v>15</v>
      </c>
      <c r="V17" s="4">
        <v>28.6</v>
      </c>
      <c r="W17" s="4"/>
      <c r="X17" s="4"/>
    </row>
    <row r="18" spans="1:24" x14ac:dyDescent="0.25">
      <c r="A18" s="3" t="s">
        <v>1714</v>
      </c>
      <c r="B18" s="3" t="s">
        <v>1699</v>
      </c>
      <c r="C18" s="3" t="s">
        <v>43</v>
      </c>
      <c r="D18" s="3">
        <v>7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7</v>
      </c>
      <c r="N18" s="3">
        <v>6</v>
      </c>
      <c r="O18" s="3">
        <v>37</v>
      </c>
      <c r="P18" s="3">
        <v>1</v>
      </c>
      <c r="Q18" s="3">
        <v>0</v>
      </c>
      <c r="R18" s="3">
        <v>0</v>
      </c>
      <c r="S18" s="3">
        <v>15.7</v>
      </c>
      <c r="T18" s="3">
        <v>1.53508771929825E-2</v>
      </c>
      <c r="U18" s="3"/>
      <c r="V18" s="3">
        <v>6.1666666666666696</v>
      </c>
      <c r="W18" s="3"/>
      <c r="X18" s="3"/>
    </row>
    <row r="19" spans="1:24" x14ac:dyDescent="0.25">
      <c r="A19" s="4" t="s">
        <v>1715</v>
      </c>
      <c r="B19" s="4" t="s">
        <v>1699</v>
      </c>
      <c r="C19" s="4" t="s">
        <v>43</v>
      </c>
      <c r="D19" s="4">
        <v>12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2</v>
      </c>
      <c r="K19" s="4">
        <v>-7</v>
      </c>
      <c r="L19" s="4">
        <v>0</v>
      </c>
      <c r="M19" s="4">
        <v>61</v>
      </c>
      <c r="N19" s="4">
        <v>35</v>
      </c>
      <c r="O19" s="4">
        <v>523</v>
      </c>
      <c r="P19" s="4">
        <v>7</v>
      </c>
      <c r="Q19" s="4">
        <v>0</v>
      </c>
      <c r="R19" s="4">
        <v>0</v>
      </c>
      <c r="S19" s="4">
        <v>130.6</v>
      </c>
      <c r="T19" s="4">
        <v>0.13377192982456099</v>
      </c>
      <c r="U19" s="4">
        <v>-3.5</v>
      </c>
      <c r="V19" s="4">
        <v>14.9428571428571</v>
      </c>
      <c r="W19" s="4"/>
      <c r="X19" s="4"/>
    </row>
    <row r="20" spans="1:24" x14ac:dyDescent="0.25">
      <c r="A20" s="3" t="s">
        <v>1716</v>
      </c>
      <c r="B20" s="3" t="s">
        <v>1699</v>
      </c>
      <c r="C20" s="3" t="s">
        <v>43</v>
      </c>
      <c r="D20" s="3">
        <v>17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7</v>
      </c>
      <c r="K20" s="3">
        <v>29</v>
      </c>
      <c r="L20" s="3">
        <v>0</v>
      </c>
      <c r="M20" s="3">
        <v>120</v>
      </c>
      <c r="N20" s="3">
        <v>77</v>
      </c>
      <c r="O20" s="3">
        <v>1191</v>
      </c>
      <c r="P20" s="3">
        <v>5</v>
      </c>
      <c r="Q20" s="3">
        <v>0</v>
      </c>
      <c r="R20" s="3">
        <v>0</v>
      </c>
      <c r="S20" s="3">
        <v>229</v>
      </c>
      <c r="T20" s="3">
        <v>0.26315789473684198</v>
      </c>
      <c r="U20" s="3">
        <v>4.1428571428571397</v>
      </c>
      <c r="V20" s="3">
        <v>15.4675324675325</v>
      </c>
      <c r="W20" s="3"/>
      <c r="X20" s="3"/>
    </row>
    <row r="30" spans="1:24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</row>
    <row r="31" spans="1:24" x14ac:dyDescent="0.25">
      <c r="A31" s="3" t="s">
        <v>1699</v>
      </c>
      <c r="B31" s="3">
        <v>5926</v>
      </c>
      <c r="C31" s="3">
        <v>3783</v>
      </c>
      <c r="D31" s="3">
        <v>538</v>
      </c>
      <c r="E31" s="3">
        <v>2143</v>
      </c>
      <c r="F31" s="3">
        <v>9</v>
      </c>
      <c r="G31" s="3">
        <v>1343.92</v>
      </c>
      <c r="H31" s="3">
        <v>554</v>
      </c>
      <c r="I31" s="3">
        <v>0.62093862815884504</v>
      </c>
      <c r="J31" s="3">
        <v>24</v>
      </c>
      <c r="K31" s="3">
        <v>16</v>
      </c>
      <c r="L31" s="3">
        <v>7</v>
      </c>
    </row>
    <row r="32" spans="1:24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</row>
    <row r="33" spans="1:28" x14ac:dyDescent="0.25">
      <c r="A33" s="3" t="str">
        <f>A31</f>
        <v>WAS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1717</v>
      </c>
      <c r="B36" s="3" t="s">
        <v>26</v>
      </c>
      <c r="C36" s="3">
        <v>30</v>
      </c>
      <c r="D36" s="3">
        <v>8</v>
      </c>
      <c r="E36" s="3" t="s">
        <v>1113</v>
      </c>
      <c r="F36" s="3" t="s">
        <v>1699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">
        <v>0</v>
      </c>
      <c r="X36" s="3">
        <v>0</v>
      </c>
      <c r="Y36" s="3">
        <v>0</v>
      </c>
      <c r="Z36" s="3">
        <v>0</v>
      </c>
      <c r="AA36" s="3">
        <v>0</v>
      </c>
      <c r="AB36" s="3">
        <v>0</v>
      </c>
    </row>
    <row r="37" spans="1:28" x14ac:dyDescent="0.25">
      <c r="A37" s="4" t="s">
        <v>1718</v>
      </c>
      <c r="B37" s="4" t="s">
        <v>26</v>
      </c>
      <c r="C37" s="4">
        <v>25</v>
      </c>
      <c r="D37" s="4">
        <v>3</v>
      </c>
      <c r="E37" s="4" t="s">
        <v>173</v>
      </c>
      <c r="F37" s="4" t="s">
        <v>1699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</row>
    <row r="38" spans="1:28" x14ac:dyDescent="0.25">
      <c r="A38" s="3" t="s">
        <v>1719</v>
      </c>
      <c r="B38" s="3" t="s">
        <v>26</v>
      </c>
      <c r="C38" s="3">
        <v>22</v>
      </c>
      <c r="D38" s="3">
        <v>2</v>
      </c>
      <c r="E38" s="3" t="s">
        <v>163</v>
      </c>
      <c r="F38" s="3" t="s">
        <v>1699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v>0</v>
      </c>
      <c r="W38" s="3">
        <v>0</v>
      </c>
      <c r="X38" s="3">
        <v>0</v>
      </c>
      <c r="Y38" s="3">
        <v>0</v>
      </c>
      <c r="Z38" s="3">
        <v>0</v>
      </c>
      <c r="AA38" s="3">
        <v>0</v>
      </c>
      <c r="AB38" s="3"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1720</v>
      </c>
      <c r="B46" s="3" t="s">
        <v>31</v>
      </c>
      <c r="C46" s="3">
        <v>29</v>
      </c>
      <c r="D46" s="3">
        <v>5</v>
      </c>
      <c r="E46" s="3" t="s">
        <v>1721</v>
      </c>
      <c r="F46" s="3" t="s">
        <v>1699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v>0</v>
      </c>
      <c r="W46" s="3">
        <v>0</v>
      </c>
      <c r="X46" s="3">
        <v>0</v>
      </c>
      <c r="Y46" s="3">
        <v>0</v>
      </c>
      <c r="Z46" s="3">
        <v>0</v>
      </c>
      <c r="AA46" s="3">
        <v>0</v>
      </c>
      <c r="AB46" s="3">
        <f t="shared" ref="AB46:AB52" si="0">($J46*Cp_yd)+($K46*Cp_td)+($L46*Cint)+($M46*Ccar)+($N46*Cr_td)+($O46*Cr_yd)+(Q46*Crec)+($R46*Crec_yd)+($S46*Crec_td)+($T46*Cfmb)+($U46*Ctp_c)</f>
        <v>0</v>
      </c>
    </row>
    <row r="47" spans="1:28" x14ac:dyDescent="0.25">
      <c r="A47" s="4" t="s">
        <v>1722</v>
      </c>
      <c r="B47" s="4" t="s">
        <v>31</v>
      </c>
      <c r="C47" s="4">
        <v>25</v>
      </c>
      <c r="D47" s="4">
        <v>4</v>
      </c>
      <c r="E47" s="4" t="s">
        <v>557</v>
      </c>
      <c r="F47" s="4" t="s">
        <v>1699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f t="shared" si="0"/>
        <v>0</v>
      </c>
    </row>
    <row r="48" spans="1:28" x14ac:dyDescent="0.25">
      <c r="A48" s="3" t="s">
        <v>1723</v>
      </c>
      <c r="B48" s="3" t="s">
        <v>31</v>
      </c>
      <c r="C48" s="3">
        <v>28</v>
      </c>
      <c r="D48" s="3">
        <v>5</v>
      </c>
      <c r="E48" s="3" t="s">
        <v>909</v>
      </c>
      <c r="F48" s="3" t="s">
        <v>1699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v>0</v>
      </c>
      <c r="W48" s="3">
        <v>0</v>
      </c>
      <c r="X48" s="3">
        <v>0</v>
      </c>
      <c r="Y48" s="3">
        <v>0</v>
      </c>
      <c r="Z48" s="3">
        <v>0</v>
      </c>
      <c r="AA48" s="3">
        <v>0</v>
      </c>
      <c r="AB48" s="3">
        <f t="shared" si="0"/>
        <v>0</v>
      </c>
    </row>
    <row r="49" spans="1:28" x14ac:dyDescent="0.25">
      <c r="A49" s="4" t="s">
        <v>1724</v>
      </c>
      <c r="B49" s="4" t="s">
        <v>31</v>
      </c>
      <c r="C49" s="4">
        <v>23</v>
      </c>
      <c r="D49" s="4">
        <v>2</v>
      </c>
      <c r="E49" s="4" t="s">
        <v>806</v>
      </c>
      <c r="F49" s="4" t="s">
        <v>1699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B49" s="4">
        <f t="shared" si="0"/>
        <v>0</v>
      </c>
    </row>
    <row r="50" spans="1:28" x14ac:dyDescent="0.25">
      <c r="A50" s="3" t="s">
        <v>1725</v>
      </c>
      <c r="B50" s="3" t="s">
        <v>31</v>
      </c>
      <c r="C50" s="3">
        <v>24</v>
      </c>
      <c r="D50" s="3">
        <v>2</v>
      </c>
      <c r="E50" s="3" t="s">
        <v>153</v>
      </c>
      <c r="F50" s="3" t="s">
        <v>1699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v>0</v>
      </c>
      <c r="W50" s="3">
        <v>0</v>
      </c>
      <c r="X50" s="3">
        <v>0</v>
      </c>
      <c r="Y50" s="3">
        <v>0</v>
      </c>
      <c r="Z50" s="3">
        <v>0</v>
      </c>
      <c r="AA50" s="3">
        <v>0</v>
      </c>
      <c r="AB50" s="3">
        <f t="shared" si="0"/>
        <v>0</v>
      </c>
    </row>
    <row r="51" spans="1:28" x14ac:dyDescent="0.25">
      <c r="A51" s="4" t="s">
        <v>1726</v>
      </c>
      <c r="B51" s="4" t="s">
        <v>31</v>
      </c>
      <c r="C51" s="4">
        <v>23</v>
      </c>
      <c r="D51" s="4">
        <v>0</v>
      </c>
      <c r="E51" s="4" t="s">
        <v>150</v>
      </c>
      <c r="F51" s="4" t="s">
        <v>1699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v>0</v>
      </c>
      <c r="W51" s="4">
        <v>0</v>
      </c>
      <c r="X51" s="4">
        <v>0</v>
      </c>
      <c r="Y51" s="4">
        <v>0</v>
      </c>
      <c r="Z51" s="4">
        <v>0</v>
      </c>
      <c r="AA51" s="4">
        <v>0</v>
      </c>
      <c r="AB51" s="4">
        <f t="shared" si="0"/>
        <v>0</v>
      </c>
    </row>
    <row r="52" spans="1:28" x14ac:dyDescent="0.25">
      <c r="A52" s="3" t="s">
        <v>1727</v>
      </c>
      <c r="B52" s="3" t="s">
        <v>31</v>
      </c>
      <c r="C52" s="3">
        <v>29</v>
      </c>
      <c r="D52" s="3">
        <v>7</v>
      </c>
      <c r="E52" s="3" t="s">
        <v>175</v>
      </c>
      <c r="F52" s="3" t="s">
        <v>1699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v>0</v>
      </c>
      <c r="W52" s="3">
        <v>0</v>
      </c>
      <c r="X52" s="3">
        <v>0</v>
      </c>
      <c r="Y52" s="3">
        <v>0</v>
      </c>
      <c r="Z52" s="3">
        <v>0</v>
      </c>
      <c r="AA52" s="3">
        <v>0</v>
      </c>
      <c r="AB52" s="3">
        <f t="shared" si="0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1728</v>
      </c>
      <c r="B61" s="3" t="s">
        <v>43</v>
      </c>
      <c r="C61" s="3">
        <v>23</v>
      </c>
      <c r="D61" s="3">
        <v>0</v>
      </c>
      <c r="E61" s="3" t="s">
        <v>418</v>
      </c>
      <c r="F61" s="3" t="s">
        <v>1699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v>0</v>
      </c>
      <c r="W61" s="3">
        <v>0</v>
      </c>
      <c r="X61" s="3">
        <v>0</v>
      </c>
      <c r="Y61" s="3">
        <v>0</v>
      </c>
      <c r="Z61" s="3">
        <v>0</v>
      </c>
      <c r="AA61" s="3">
        <v>0</v>
      </c>
      <c r="AB61" s="3">
        <v>0</v>
      </c>
    </row>
    <row r="62" spans="1:28" x14ac:dyDescent="0.25">
      <c r="A62" s="4" t="s">
        <v>1729</v>
      </c>
      <c r="B62" s="4" t="s">
        <v>43</v>
      </c>
      <c r="C62" s="4">
        <v>24</v>
      </c>
      <c r="D62" s="4">
        <v>0</v>
      </c>
      <c r="E62" s="4" t="s">
        <v>803</v>
      </c>
      <c r="F62" s="4" t="s">
        <v>1699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0</v>
      </c>
      <c r="X62" s="4">
        <v>0</v>
      </c>
      <c r="Y62" s="4">
        <v>0</v>
      </c>
      <c r="Z62" s="4">
        <v>0</v>
      </c>
      <c r="AA62" s="4">
        <v>0</v>
      </c>
      <c r="AB62" s="4">
        <v>0</v>
      </c>
    </row>
    <row r="63" spans="1:28" x14ac:dyDescent="0.25">
      <c r="A63" s="3" t="s">
        <v>1730</v>
      </c>
      <c r="B63" s="3" t="s">
        <v>43</v>
      </c>
      <c r="C63" s="3">
        <v>23</v>
      </c>
      <c r="D63" s="3">
        <v>3</v>
      </c>
      <c r="E63" s="3" t="s">
        <v>163</v>
      </c>
      <c r="F63" s="3" t="s">
        <v>1699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v>0</v>
      </c>
      <c r="W63" s="3">
        <v>0</v>
      </c>
      <c r="X63" s="3">
        <v>0</v>
      </c>
      <c r="Y63" s="3">
        <v>0</v>
      </c>
      <c r="Z63" s="3">
        <v>0</v>
      </c>
      <c r="AA63" s="3">
        <v>0</v>
      </c>
      <c r="AB63" s="3">
        <v>0</v>
      </c>
    </row>
    <row r="64" spans="1:28" x14ac:dyDescent="0.25">
      <c r="A64" s="4" t="s">
        <v>1731</v>
      </c>
      <c r="B64" s="4" t="s">
        <v>43</v>
      </c>
      <c r="C64" s="4">
        <v>23</v>
      </c>
      <c r="D64" s="4">
        <v>2</v>
      </c>
      <c r="E64" s="4" t="s">
        <v>339</v>
      </c>
      <c r="F64" s="4" t="s">
        <v>1699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</row>
    <row r="65" spans="1:28" x14ac:dyDescent="0.25">
      <c r="A65" s="3" t="s">
        <v>1732</v>
      </c>
      <c r="B65" s="3" t="s">
        <v>43</v>
      </c>
      <c r="C65" s="3">
        <v>28</v>
      </c>
      <c r="D65" s="3">
        <v>5</v>
      </c>
      <c r="E65" s="3" t="s">
        <v>803</v>
      </c>
      <c r="F65" s="3" t="s">
        <v>1699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v>0</v>
      </c>
      <c r="W65" s="3">
        <v>0</v>
      </c>
      <c r="X65" s="3">
        <v>0</v>
      </c>
      <c r="Y65" s="3">
        <v>0</v>
      </c>
      <c r="Z65" s="3">
        <v>0</v>
      </c>
      <c r="AA65" s="3">
        <v>0</v>
      </c>
      <c r="AB65" s="3">
        <v>0</v>
      </c>
    </row>
    <row r="66" spans="1:28" x14ac:dyDescent="0.25">
      <c r="A66" s="4" t="s">
        <v>1733</v>
      </c>
      <c r="B66" s="4" t="s">
        <v>43</v>
      </c>
      <c r="C66" s="4">
        <v>23</v>
      </c>
      <c r="D66" s="4">
        <v>1</v>
      </c>
      <c r="E66" s="4" t="s">
        <v>455</v>
      </c>
      <c r="F66" s="4" t="s">
        <v>1699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</row>
    <row r="67" spans="1:28" x14ac:dyDescent="0.25">
      <c r="A67" s="3" t="s">
        <v>1734</v>
      </c>
      <c r="B67" s="3" t="s">
        <v>43</v>
      </c>
      <c r="C67" s="3">
        <v>27</v>
      </c>
      <c r="D67" s="3">
        <v>5</v>
      </c>
      <c r="E67" s="3" t="s">
        <v>213</v>
      </c>
      <c r="F67" s="3" t="s">
        <v>1699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v>0</v>
      </c>
      <c r="W67" s="3">
        <v>0</v>
      </c>
      <c r="X67" s="3">
        <v>0</v>
      </c>
      <c r="Y67" s="3">
        <v>0</v>
      </c>
      <c r="Z67" s="3">
        <v>0</v>
      </c>
      <c r="AA67" s="3">
        <v>0</v>
      </c>
      <c r="AB67" s="3">
        <v>0</v>
      </c>
    </row>
    <row r="68" spans="1:28" x14ac:dyDescent="0.25">
      <c r="A68" s="4" t="s">
        <v>1735</v>
      </c>
      <c r="B68" s="4" t="s">
        <v>43</v>
      </c>
      <c r="C68" s="4">
        <v>24</v>
      </c>
      <c r="D68" s="4">
        <v>3</v>
      </c>
      <c r="E68" s="4" t="s">
        <v>82</v>
      </c>
      <c r="F68" s="4" t="s">
        <v>1699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0</v>
      </c>
      <c r="X68" s="4">
        <v>0</v>
      </c>
      <c r="Y68" s="4">
        <v>0</v>
      </c>
      <c r="Z68" s="4">
        <v>0</v>
      </c>
      <c r="AA68" s="4">
        <v>0</v>
      </c>
      <c r="AB68" s="4">
        <v>0</v>
      </c>
    </row>
    <row r="69" spans="1:28" x14ac:dyDescent="0.25">
      <c r="A69" s="3" t="s">
        <v>1736</v>
      </c>
      <c r="B69" s="3" t="s">
        <v>43</v>
      </c>
      <c r="C69" s="3">
        <v>29</v>
      </c>
      <c r="D69" s="3">
        <v>6</v>
      </c>
      <c r="E69" s="3" t="s">
        <v>559</v>
      </c>
      <c r="F69" s="3" t="s">
        <v>1699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v>0</v>
      </c>
      <c r="W69" s="3">
        <v>0</v>
      </c>
      <c r="X69" s="3">
        <v>0</v>
      </c>
      <c r="Y69" s="3">
        <v>0</v>
      </c>
      <c r="Z69" s="3">
        <v>0</v>
      </c>
      <c r="AA69" s="3">
        <v>0</v>
      </c>
      <c r="AB69" s="3">
        <v>0</v>
      </c>
    </row>
    <row r="70" spans="1:28" x14ac:dyDescent="0.25">
      <c r="A70" s="4" t="s">
        <v>1737</v>
      </c>
      <c r="B70" s="4" t="s">
        <v>43</v>
      </c>
      <c r="C70" s="4">
        <v>24</v>
      </c>
      <c r="D70" s="4">
        <v>0</v>
      </c>
      <c r="E70" s="4" t="s">
        <v>702</v>
      </c>
      <c r="F70" s="4" t="s">
        <v>1699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0</v>
      </c>
      <c r="X70" s="4">
        <v>0</v>
      </c>
      <c r="Y70" s="4">
        <v>0</v>
      </c>
      <c r="Z70" s="4">
        <v>0</v>
      </c>
      <c r="AA70" s="4">
        <v>0</v>
      </c>
      <c r="AB70" s="4">
        <v>0</v>
      </c>
    </row>
    <row r="71" spans="1:28" x14ac:dyDescent="0.25">
      <c r="A71" s="3" t="s">
        <v>1738</v>
      </c>
      <c r="B71" s="3" t="s">
        <v>43</v>
      </c>
      <c r="C71" s="3">
        <v>27</v>
      </c>
      <c r="D71" s="3">
        <v>7</v>
      </c>
      <c r="E71" s="3" t="s">
        <v>213</v>
      </c>
      <c r="F71" s="3" t="s">
        <v>1699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v>0</v>
      </c>
      <c r="W71" s="3">
        <v>0</v>
      </c>
      <c r="X71" s="3">
        <v>0</v>
      </c>
      <c r="Y71" s="3">
        <v>0</v>
      </c>
      <c r="Z71" s="3">
        <v>0</v>
      </c>
      <c r="AA71" s="3">
        <v>0</v>
      </c>
      <c r="AB71" s="3">
        <v>0</v>
      </c>
    </row>
    <row r="72" spans="1:28" x14ac:dyDescent="0.25">
      <c r="A72" s="4" t="s">
        <v>1739</v>
      </c>
      <c r="B72" s="4" t="s">
        <v>43</v>
      </c>
      <c r="C72" s="4">
        <v>23</v>
      </c>
      <c r="D72" s="4">
        <v>0</v>
      </c>
      <c r="E72" s="4" t="s">
        <v>339</v>
      </c>
      <c r="F72" s="4" t="s">
        <v>1699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v>0</v>
      </c>
      <c r="W72" s="4">
        <v>0</v>
      </c>
      <c r="X72" s="4">
        <v>0</v>
      </c>
      <c r="Y72" s="4">
        <v>0</v>
      </c>
      <c r="Z72" s="4">
        <v>0</v>
      </c>
      <c r="AA72" s="4">
        <v>0</v>
      </c>
      <c r="AB72" s="4">
        <v>0</v>
      </c>
    </row>
    <row r="73" spans="1:28" x14ac:dyDescent="0.25">
      <c r="A73" s="3" t="s">
        <v>1740</v>
      </c>
      <c r="B73" s="3" t="s">
        <v>43</v>
      </c>
      <c r="C73" s="3">
        <v>23</v>
      </c>
      <c r="D73" s="3">
        <v>0</v>
      </c>
      <c r="E73" s="3" t="s">
        <v>102</v>
      </c>
      <c r="F73" s="3" t="s">
        <v>1699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v>0</v>
      </c>
      <c r="W73" s="3">
        <v>0</v>
      </c>
      <c r="X73" s="3">
        <v>0</v>
      </c>
      <c r="Y73" s="3">
        <v>0</v>
      </c>
      <c r="Z73" s="3">
        <v>0</v>
      </c>
      <c r="AA73" s="3">
        <v>0</v>
      </c>
      <c r="AB73" s="3"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1741</v>
      </c>
      <c r="B76" s="3" t="s">
        <v>38</v>
      </c>
      <c r="C76" s="3">
        <v>25</v>
      </c>
      <c r="D76" s="3">
        <v>3</v>
      </c>
      <c r="E76" s="3" t="s">
        <v>296</v>
      </c>
      <c r="F76" s="3" t="s">
        <v>1699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v>0</v>
      </c>
      <c r="W76" s="3">
        <v>0</v>
      </c>
      <c r="X76" s="3">
        <v>0</v>
      </c>
      <c r="Y76" s="3">
        <v>0</v>
      </c>
      <c r="Z76" s="3">
        <v>0</v>
      </c>
      <c r="AA76" s="3">
        <v>0</v>
      </c>
      <c r="AB76" s="3">
        <v>0</v>
      </c>
    </row>
    <row r="77" spans="1:28" x14ac:dyDescent="0.25">
      <c r="A77" s="4" t="s">
        <v>1742</v>
      </c>
      <c r="B77" s="4" t="s">
        <v>38</v>
      </c>
      <c r="C77" s="4">
        <v>26</v>
      </c>
      <c r="D77" s="4">
        <v>1</v>
      </c>
      <c r="E77" s="4" t="s">
        <v>1743</v>
      </c>
      <c r="F77" s="4" t="s">
        <v>1699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v>0</v>
      </c>
      <c r="W77" s="4">
        <v>0</v>
      </c>
      <c r="X77" s="4">
        <v>0</v>
      </c>
      <c r="Y77" s="4">
        <v>0</v>
      </c>
      <c r="Z77" s="4">
        <v>0</v>
      </c>
      <c r="AA77" s="4">
        <v>0</v>
      </c>
      <c r="AB77" s="4">
        <v>0</v>
      </c>
    </row>
    <row r="78" spans="1:28" x14ac:dyDescent="0.25">
      <c r="A78" s="3" t="s">
        <v>1744</v>
      </c>
      <c r="B78" s="3" t="s">
        <v>38</v>
      </c>
      <c r="C78" s="3">
        <v>24</v>
      </c>
      <c r="D78" s="3">
        <v>2</v>
      </c>
      <c r="E78" s="3" t="s">
        <v>155</v>
      </c>
      <c r="F78" s="3" t="s">
        <v>1699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v>0</v>
      </c>
      <c r="W78" s="3">
        <v>0</v>
      </c>
      <c r="X78" s="3">
        <v>0</v>
      </c>
      <c r="Y78" s="3">
        <v>0</v>
      </c>
      <c r="Z78" s="3">
        <v>0</v>
      </c>
      <c r="AA78" s="3">
        <v>0</v>
      </c>
      <c r="AB78" s="3">
        <v>0</v>
      </c>
    </row>
    <row r="79" spans="1:28" x14ac:dyDescent="0.25">
      <c r="A79" s="4" t="s">
        <v>1745</v>
      </c>
      <c r="B79" s="4" t="s">
        <v>38</v>
      </c>
      <c r="C79" s="4">
        <v>26</v>
      </c>
      <c r="D79" s="4">
        <v>4</v>
      </c>
      <c r="E79" s="4" t="s">
        <v>102</v>
      </c>
      <c r="F79" s="4" t="s">
        <v>1699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v>0</v>
      </c>
      <c r="W79" s="4">
        <v>0</v>
      </c>
      <c r="X79" s="4">
        <v>0</v>
      </c>
      <c r="Y79" s="4">
        <v>0</v>
      </c>
      <c r="Z79" s="4">
        <v>0</v>
      </c>
      <c r="AA79" s="4">
        <v>0</v>
      </c>
      <c r="AB79" s="4">
        <v>0</v>
      </c>
    </row>
    <row r="80" spans="1:28" x14ac:dyDescent="0.25">
      <c r="A80" s="3" t="s">
        <v>1746</v>
      </c>
      <c r="B80" s="3" t="s">
        <v>38</v>
      </c>
      <c r="C80" s="3">
        <v>32</v>
      </c>
      <c r="D80" s="3">
        <v>9</v>
      </c>
      <c r="E80" s="3" t="s">
        <v>333</v>
      </c>
      <c r="F80" s="3" t="s">
        <v>1699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v>0</v>
      </c>
      <c r="W80" s="3">
        <v>0</v>
      </c>
      <c r="X80" s="3">
        <v>0</v>
      </c>
      <c r="Y80" s="3">
        <v>0</v>
      </c>
      <c r="Z80" s="3">
        <v>0</v>
      </c>
      <c r="AA80" s="3">
        <v>0</v>
      </c>
      <c r="AB80" s="3">
        <v>0</v>
      </c>
    </row>
    <row r="81" spans="1:28" x14ac:dyDescent="0.25">
      <c r="A81" s="4" t="s">
        <v>1747</v>
      </c>
      <c r="B81" s="4" t="s">
        <v>38</v>
      </c>
      <c r="C81" s="4">
        <v>23</v>
      </c>
      <c r="D81" s="4">
        <v>2</v>
      </c>
      <c r="E81" s="4" t="s">
        <v>736</v>
      </c>
      <c r="F81" s="4" t="s">
        <v>1699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v>0</v>
      </c>
      <c r="W81" s="4">
        <v>0</v>
      </c>
      <c r="X81" s="4">
        <v>0</v>
      </c>
      <c r="Y81" s="4">
        <v>0</v>
      </c>
      <c r="Z81" s="4">
        <v>0</v>
      </c>
      <c r="AA81" s="4">
        <v>0</v>
      </c>
      <c r="AB81" s="4"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F125C-D8F2-4682-AE3F-11A74D169DAA}">
  <sheetPr codeName="Sheet34"/>
  <dimension ref="A1:AB83"/>
  <sheetViews>
    <sheetView topLeftCell="A46" workbookViewId="0">
      <selection activeCell="R8" sqref="R8"/>
    </sheetView>
  </sheetViews>
  <sheetFormatPr defaultRowHeight="15" x14ac:dyDescent="0.25"/>
  <cols>
    <col min="1" max="1" width="26.140625" bestFit="1" customWidth="1"/>
    <col min="2" max="2" width="6.7109375" customWidth="1"/>
    <col min="3" max="3" width="6.5703125" customWidth="1"/>
    <col min="4" max="4" width="6.28515625" customWidth="1"/>
    <col min="5" max="5" width="18" bestFit="1" customWidth="1"/>
    <col min="6" max="6" width="7.7109375" customWidth="1"/>
    <col min="7" max="7" width="4.140625" customWidth="1"/>
    <col min="8" max="8" width="7.7109375" customWidth="1"/>
    <col min="9" max="9" width="6.85546875" customWidth="1"/>
    <col min="10" max="10" width="7.42578125" customWidth="1"/>
    <col min="11" max="11" width="7.140625" customWidth="1"/>
    <col min="12" max="12" width="5.5703125" customWidth="1"/>
    <col min="13" max="13" width="5.7109375" customWidth="1"/>
    <col min="14" max="14" width="7" customWidth="1"/>
    <col min="15" max="15" width="6.7109375" customWidth="1"/>
    <col min="16" max="16" width="5.5703125" customWidth="1"/>
    <col min="17" max="17" width="5.85546875" customWidth="1"/>
    <col min="18" max="18" width="9" customWidth="1"/>
    <col min="19" max="19" width="8.7109375" customWidth="1"/>
    <col min="20" max="20" width="6.7109375" customWidth="1"/>
    <col min="21" max="21" width="6.85546875" customWidth="1"/>
    <col min="22" max="22" width="7.85546875" customWidth="1"/>
    <col min="23" max="23" width="11.42578125" customWidth="1"/>
    <col min="24" max="25" width="7.7109375" bestFit="1" customWidth="1"/>
    <col min="26" max="26" width="10.5703125" customWidth="1"/>
    <col min="27" max="27" width="9.5703125" customWidth="1"/>
    <col min="28" max="28" width="11.28515625" customWidth="1"/>
  </cols>
  <sheetData>
    <row r="1" spans="1:28" x14ac:dyDescent="0.25">
      <c r="A1" s="7" t="s">
        <v>55</v>
      </c>
      <c r="B1" s="7" t="s">
        <v>56</v>
      </c>
      <c r="C1" s="7" t="s">
        <v>57</v>
      </c>
      <c r="D1" s="7" t="s">
        <v>58</v>
      </c>
      <c r="E1" s="7" t="s">
        <v>59</v>
      </c>
      <c r="F1" s="7" t="s">
        <v>52</v>
      </c>
      <c r="G1" s="7" t="s">
        <v>3</v>
      </c>
      <c r="H1" s="7" t="s">
        <v>4</v>
      </c>
      <c r="I1" s="7" t="s">
        <v>5</v>
      </c>
      <c r="J1" s="7" t="s">
        <v>6</v>
      </c>
      <c r="K1" s="7" t="s">
        <v>7</v>
      </c>
      <c r="L1" s="7" t="s">
        <v>8</v>
      </c>
      <c r="M1" s="7" t="s">
        <v>9</v>
      </c>
      <c r="N1" s="7" t="s">
        <v>10</v>
      </c>
      <c r="O1" s="7" t="s">
        <v>11</v>
      </c>
      <c r="P1" s="7" t="s">
        <v>12</v>
      </c>
      <c r="Q1" s="7" t="s">
        <v>13</v>
      </c>
      <c r="R1" s="7" t="s">
        <v>14</v>
      </c>
      <c r="S1" s="7" t="s">
        <v>15</v>
      </c>
      <c r="T1" s="7" t="s">
        <v>16</v>
      </c>
      <c r="U1" s="7" t="s">
        <v>17</v>
      </c>
      <c r="V1" s="7" t="s">
        <v>18</v>
      </c>
      <c r="W1" s="7" t="s">
        <v>19</v>
      </c>
      <c r="X1" s="7" t="s">
        <v>20</v>
      </c>
      <c r="Y1" s="7" t="s">
        <v>21</v>
      </c>
      <c r="Z1" s="7" t="s">
        <v>22</v>
      </c>
      <c r="AA1" s="7" t="s">
        <v>23</v>
      </c>
      <c r="AB1" s="7" t="s">
        <v>60</v>
      </c>
    </row>
    <row r="2" spans="1:28" x14ac:dyDescent="0.25">
      <c r="A2" s="5" t="s">
        <v>61</v>
      </c>
      <c r="B2" s="5" t="s">
        <v>26</v>
      </c>
      <c r="C2" s="5">
        <v>28</v>
      </c>
      <c r="D2" s="5">
        <v>4</v>
      </c>
      <c r="E2" s="5" t="s">
        <v>62</v>
      </c>
      <c r="F2" s="5" t="s">
        <v>25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5">
        <v>1</v>
      </c>
      <c r="R2" s="5">
        <v>10</v>
      </c>
      <c r="S2" s="5">
        <v>0</v>
      </c>
      <c r="T2" s="5">
        <v>0</v>
      </c>
      <c r="U2" s="5">
        <v>0</v>
      </c>
      <c r="V2" s="5">
        <f>($J2*0.04)+($K2*4)+($L2*-2)+($N2*0.1)+($O2*6)+($Q2)+($R2*0.1)+($S2*6)+($T2*-2)</f>
        <v>2</v>
      </c>
      <c r="W2" s="5" t="e">
        <f>$P2/$H$33</f>
        <v>#DIV/0!</v>
      </c>
      <c r="X2" s="5" t="e">
        <f>$N2/$M2</f>
        <v>#DIV/0!</v>
      </c>
      <c r="Y2" s="5">
        <f>$R2/$Q2</f>
        <v>10</v>
      </c>
      <c r="Z2" s="5" t="e">
        <f>$I2/$H2</f>
        <v>#DIV/0!</v>
      </c>
      <c r="AA2" s="5" t="e">
        <f>$J2/$H2</f>
        <v>#DIV/0!</v>
      </c>
      <c r="AB2" s="5">
        <f>($J2*Cp_yd)+($K2*Cp_td)+($L2*Cint)+($M2*Ccar)+($N2*Cr_td)+($O2*Cr_yd)+(Q2*Crec)+($R2*Crec_yd)+($S2*Crec_td)+($T2*Cfmb)+($U2*Ctp_c)</f>
        <v>2</v>
      </c>
    </row>
    <row r="3" spans="1:28" x14ac:dyDescent="0.25">
      <c r="A3" s="6" t="s">
        <v>63</v>
      </c>
      <c r="B3" s="6" t="s">
        <v>26</v>
      </c>
      <c r="C3" s="6">
        <v>30</v>
      </c>
      <c r="D3" s="6">
        <v>8</v>
      </c>
      <c r="E3" s="6" t="s">
        <v>64</v>
      </c>
      <c r="F3" s="6" t="s">
        <v>25</v>
      </c>
      <c r="G3" s="6">
        <v>0</v>
      </c>
      <c r="H3" s="6">
        <v>0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  <c r="R3" s="6">
        <v>0</v>
      </c>
      <c r="S3" s="6">
        <v>0</v>
      </c>
      <c r="T3" s="6">
        <v>0</v>
      </c>
      <c r="U3" s="6">
        <v>0</v>
      </c>
      <c r="V3" s="6">
        <f t="shared" ref="V3:V5" si="0">($J3*0.04)+($K3*4)+($L3*-2)+($N3*0.1)+($O3*6)+($Q3)+($R3*0.1)+($S3*6)+($T3*-2)</f>
        <v>0</v>
      </c>
      <c r="W3" s="6" t="e">
        <f t="shared" ref="W3:W5" si="1">$P3/$H$33</f>
        <v>#DIV/0!</v>
      </c>
      <c r="X3" s="6" t="e">
        <f t="shared" ref="X3:X5" si="2">$N3/$M3</f>
        <v>#DIV/0!</v>
      </c>
      <c r="Y3" s="6" t="e">
        <f t="shared" ref="Y3:Y5" si="3">$R3/$Q3</f>
        <v>#DIV/0!</v>
      </c>
      <c r="Z3" s="6" t="e">
        <f t="shared" ref="Z3:Z5" si="4">$I3/$H3</f>
        <v>#DIV/0!</v>
      </c>
      <c r="AA3" s="6" t="e">
        <f t="shared" ref="AA3:AA5" si="5">$J3/$H3</f>
        <v>#DIV/0!</v>
      </c>
      <c r="AB3" s="6">
        <f>($J3*Cp_yd)+($K3*Cp_td)+($L3*Cint)+($M3*Ccar)+($N3*Cr_td)+($O3*Cr_yd)+(Q3*Crec)+($R3*Crec_yd)+($S3*Crec_td)+($T3*Cfmb)+($U3*Ctp_c)</f>
        <v>0</v>
      </c>
    </row>
    <row r="4" spans="1:28" x14ac:dyDescent="0.25">
      <c r="A4" s="5" t="s">
        <v>65</v>
      </c>
      <c r="B4" s="5" t="s">
        <v>26</v>
      </c>
      <c r="C4" s="5">
        <v>36</v>
      </c>
      <c r="D4" s="5">
        <v>14</v>
      </c>
      <c r="E4" s="5" t="s">
        <v>66</v>
      </c>
      <c r="F4" s="5" t="s">
        <v>25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f t="shared" si="0"/>
        <v>0</v>
      </c>
      <c r="W4" s="5" t="e">
        <f t="shared" si="1"/>
        <v>#DIV/0!</v>
      </c>
      <c r="X4" s="5" t="e">
        <f t="shared" si="2"/>
        <v>#DIV/0!</v>
      </c>
      <c r="Y4" s="5" t="e">
        <f t="shared" si="3"/>
        <v>#DIV/0!</v>
      </c>
      <c r="Z4" s="5" t="e">
        <f t="shared" si="4"/>
        <v>#DIV/0!</v>
      </c>
      <c r="AA4" s="5" t="e">
        <f t="shared" si="5"/>
        <v>#DIV/0!</v>
      </c>
      <c r="AB4" s="5">
        <f>($J4*Cp_yd)+($K4*Cp_td)+($L4*Cint)+($M4*Ccar)+($N4*Cr_td)+($O4*Cr_yd)+(Q4*Crec)+($R4*Crec_yd)+($S4*Crec_td)+($T4*Cfmb)+($U4*Ctp_c)</f>
        <v>0</v>
      </c>
    </row>
    <row r="5" spans="1:28" x14ac:dyDescent="0.25">
      <c r="A5" s="6" t="s">
        <v>67</v>
      </c>
      <c r="B5" s="6" t="s">
        <v>26</v>
      </c>
      <c r="C5" s="6">
        <v>26</v>
      </c>
      <c r="D5" s="6">
        <v>5</v>
      </c>
      <c r="E5" s="6" t="s">
        <v>68</v>
      </c>
      <c r="F5" s="6" t="s">
        <v>25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  <c r="P5" s="6">
        <v>0</v>
      </c>
      <c r="Q5" s="6">
        <v>0</v>
      </c>
      <c r="R5" s="6">
        <v>0</v>
      </c>
      <c r="S5" s="6">
        <v>0</v>
      </c>
      <c r="T5" s="6">
        <v>0</v>
      </c>
      <c r="U5" s="6">
        <v>0</v>
      </c>
      <c r="V5" s="6">
        <f t="shared" si="0"/>
        <v>0</v>
      </c>
      <c r="W5" s="6" t="e">
        <f t="shared" si="1"/>
        <v>#DIV/0!</v>
      </c>
      <c r="X5" s="6" t="e">
        <f t="shared" si="2"/>
        <v>#DIV/0!</v>
      </c>
      <c r="Y5" s="6" t="e">
        <f t="shared" si="3"/>
        <v>#DIV/0!</v>
      </c>
      <c r="Z5" s="6" t="e">
        <f t="shared" si="4"/>
        <v>#DIV/0!</v>
      </c>
      <c r="AA5" s="6" t="e">
        <f t="shared" si="5"/>
        <v>#DIV/0!</v>
      </c>
      <c r="AB5" s="6">
        <f>($J5*Cp_yd)+($K5*Cp_td)+($L5*Cint)+($M5*Ccar)+($N5*Cr_td)+($O5*Cr_yd)+(Q5*Crec)+($R5*Crec_yd)+($S5*Crec_td)+($T5*Cfmb)+($U5*Ctp_c)</f>
        <v>0</v>
      </c>
    </row>
    <row r="6" spans="1:28" x14ac:dyDescent="0.25">
      <c r="A6" s="5" t="s">
        <v>134</v>
      </c>
      <c r="B6" s="5" t="s">
        <v>26</v>
      </c>
      <c r="C6" s="5">
        <v>30</v>
      </c>
      <c r="D6" s="5">
        <v>6</v>
      </c>
      <c r="E6" s="5" t="s">
        <v>98</v>
      </c>
      <c r="F6" s="5" t="s">
        <v>114</v>
      </c>
      <c r="G6" s="5">
        <v>0</v>
      </c>
      <c r="H6" s="5">
        <v>4</v>
      </c>
      <c r="I6" s="5">
        <v>0</v>
      </c>
      <c r="J6" s="5">
        <v>0</v>
      </c>
      <c r="K6" s="5">
        <v>0</v>
      </c>
      <c r="L6" s="5">
        <v>0</v>
      </c>
      <c r="M6" s="5">
        <v>0</v>
      </c>
      <c r="N6" s="5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Z6" s="5">
        <v>0</v>
      </c>
      <c r="AA6" s="5">
        <v>0</v>
      </c>
      <c r="AB6" s="5">
        <v>0</v>
      </c>
    </row>
    <row r="7" spans="1:28" x14ac:dyDescent="0.25">
      <c r="A7" s="6" t="s">
        <v>135</v>
      </c>
      <c r="B7" s="6" t="s">
        <v>26</v>
      </c>
      <c r="C7" s="6">
        <v>23</v>
      </c>
      <c r="D7" s="6">
        <v>2</v>
      </c>
      <c r="E7" s="6" t="s">
        <v>136</v>
      </c>
      <c r="F7" s="6" t="s">
        <v>114</v>
      </c>
      <c r="G7" s="6">
        <v>0</v>
      </c>
      <c r="H7" s="6">
        <v>0</v>
      </c>
      <c r="I7" s="6">
        <v>0</v>
      </c>
      <c r="J7" s="6">
        <v>0</v>
      </c>
      <c r="K7" s="6">
        <v>0</v>
      </c>
      <c r="L7" s="6">
        <v>0</v>
      </c>
      <c r="M7" s="6">
        <v>0</v>
      </c>
      <c r="N7" s="6">
        <v>0</v>
      </c>
      <c r="O7" s="6">
        <v>0</v>
      </c>
      <c r="P7" s="6">
        <v>0</v>
      </c>
      <c r="Q7" s="6">
        <v>0</v>
      </c>
      <c r="R7" s="6">
        <v>0</v>
      </c>
      <c r="S7" s="6">
        <v>0</v>
      </c>
      <c r="T7" s="6">
        <v>0</v>
      </c>
      <c r="U7" s="6">
        <v>0</v>
      </c>
      <c r="V7" s="6">
        <v>0</v>
      </c>
      <c r="W7" s="6">
        <v>0</v>
      </c>
      <c r="X7" s="6">
        <v>0</v>
      </c>
      <c r="Y7" s="6">
        <v>0</v>
      </c>
      <c r="Z7" s="6">
        <v>0</v>
      </c>
      <c r="AA7" s="6">
        <v>0</v>
      </c>
      <c r="AB7" s="6">
        <v>0</v>
      </c>
    </row>
    <row r="8" spans="1:28" x14ac:dyDescent="0.25">
      <c r="A8" s="5" t="s">
        <v>204</v>
      </c>
      <c r="B8" s="5" t="s">
        <v>26</v>
      </c>
      <c r="C8" s="5">
        <v>25</v>
      </c>
      <c r="D8" s="5">
        <v>1</v>
      </c>
      <c r="E8" s="5" t="s">
        <v>205</v>
      </c>
      <c r="F8" s="5" t="s">
        <v>184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</row>
    <row r="9" spans="1:28" x14ac:dyDescent="0.25">
      <c r="A9" s="6" t="s">
        <v>206</v>
      </c>
      <c r="B9" s="6" t="s">
        <v>26</v>
      </c>
      <c r="C9" s="6">
        <v>25</v>
      </c>
      <c r="D9" s="6">
        <v>4</v>
      </c>
      <c r="E9" s="6" t="s">
        <v>207</v>
      </c>
      <c r="F9" s="6" t="s">
        <v>184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R9" s="6">
        <v>0</v>
      </c>
      <c r="S9" s="6">
        <v>0</v>
      </c>
      <c r="T9" s="6">
        <v>0</v>
      </c>
      <c r="U9" s="6">
        <v>0</v>
      </c>
      <c r="V9" s="6">
        <v>0</v>
      </c>
      <c r="W9" s="6">
        <v>0</v>
      </c>
      <c r="X9" s="6">
        <v>0</v>
      </c>
      <c r="Y9" s="6">
        <v>0</v>
      </c>
      <c r="Z9" s="6">
        <v>0</v>
      </c>
      <c r="AA9" s="6">
        <v>0</v>
      </c>
      <c r="AB9" s="6">
        <v>0</v>
      </c>
    </row>
    <row r="10" spans="1:28" x14ac:dyDescent="0.25">
      <c r="A10" s="5" t="s">
        <v>208</v>
      </c>
      <c r="B10" s="5" t="s">
        <v>26</v>
      </c>
      <c r="C10" s="5">
        <v>26</v>
      </c>
      <c r="D10" s="5">
        <v>6</v>
      </c>
      <c r="E10" s="5" t="s">
        <v>209</v>
      </c>
      <c r="F10" s="5" t="s">
        <v>184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</row>
    <row r="11" spans="1:28" x14ac:dyDescent="0.25">
      <c r="A11" s="5" t="s">
        <v>271</v>
      </c>
      <c r="B11" s="5" t="s">
        <v>26</v>
      </c>
      <c r="C11" s="5">
        <v>27</v>
      </c>
      <c r="D11" s="5">
        <v>6</v>
      </c>
      <c r="E11" s="5" t="s">
        <v>272</v>
      </c>
      <c r="F11" s="5" t="s">
        <v>250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</row>
    <row r="12" spans="1:28" x14ac:dyDescent="0.25">
      <c r="A12" s="6" t="s">
        <v>273</v>
      </c>
      <c r="B12" s="6" t="s">
        <v>26</v>
      </c>
      <c r="C12" s="6">
        <v>27</v>
      </c>
      <c r="D12" s="6">
        <v>5</v>
      </c>
      <c r="E12" s="6" t="s">
        <v>70</v>
      </c>
      <c r="F12" s="6" t="s">
        <v>250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v>0</v>
      </c>
      <c r="V12" s="6">
        <v>0</v>
      </c>
      <c r="W12" s="6">
        <v>0</v>
      </c>
      <c r="X12" s="6">
        <v>0</v>
      </c>
      <c r="Y12" s="6">
        <v>0</v>
      </c>
      <c r="Z12" s="6">
        <v>0</v>
      </c>
      <c r="AA12" s="6">
        <v>0</v>
      </c>
      <c r="AB12" s="6">
        <v>0</v>
      </c>
    </row>
    <row r="13" spans="1:28" x14ac:dyDescent="0.25">
      <c r="A13" s="5" t="s">
        <v>328</v>
      </c>
      <c r="B13" s="5" t="s">
        <v>26</v>
      </c>
      <c r="C13" s="5">
        <v>24</v>
      </c>
      <c r="D13" s="5">
        <v>0</v>
      </c>
      <c r="E13" s="5" t="s">
        <v>240</v>
      </c>
      <c r="F13" s="5" t="s">
        <v>311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</row>
    <row r="14" spans="1:28" x14ac:dyDescent="0.25">
      <c r="A14" s="6" t="s">
        <v>329</v>
      </c>
      <c r="B14" s="6" t="s">
        <v>26</v>
      </c>
      <c r="C14" s="6">
        <v>35</v>
      </c>
      <c r="D14" s="6">
        <v>12</v>
      </c>
      <c r="E14" s="6" t="s">
        <v>76</v>
      </c>
      <c r="F14" s="6" t="s">
        <v>311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S14" s="6">
        <v>0</v>
      </c>
      <c r="T14" s="6">
        <v>0</v>
      </c>
      <c r="U14" s="6">
        <v>0</v>
      </c>
      <c r="V14" s="6">
        <v>0</v>
      </c>
      <c r="W14" s="6">
        <v>0</v>
      </c>
      <c r="X14" s="6">
        <v>0</v>
      </c>
      <c r="Y14" s="6">
        <v>0</v>
      </c>
      <c r="Z14" s="6">
        <v>0</v>
      </c>
      <c r="AA14" s="6">
        <v>0</v>
      </c>
      <c r="AB14" s="6">
        <v>0</v>
      </c>
    </row>
    <row r="15" spans="1:28" x14ac:dyDescent="0.25">
      <c r="A15" s="5" t="s">
        <v>330</v>
      </c>
      <c r="B15" s="5" t="s">
        <v>26</v>
      </c>
      <c r="C15" s="5">
        <v>27</v>
      </c>
      <c r="D15" s="5">
        <v>3</v>
      </c>
      <c r="E15" s="5" t="s">
        <v>111</v>
      </c>
      <c r="F15" s="5" t="s">
        <v>311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</row>
    <row r="16" spans="1:28" x14ac:dyDescent="0.25">
      <c r="A16" s="5" t="s">
        <v>386</v>
      </c>
      <c r="B16" s="5" t="s">
        <v>26</v>
      </c>
      <c r="C16" s="5">
        <v>23</v>
      </c>
      <c r="D16" s="5">
        <v>0</v>
      </c>
      <c r="E16" s="5" t="s">
        <v>387</v>
      </c>
      <c r="F16" s="5" t="s">
        <v>364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</row>
    <row r="17" spans="1:28" x14ac:dyDescent="0.25">
      <c r="A17" s="6" t="s">
        <v>388</v>
      </c>
      <c r="B17" s="6" t="s">
        <v>26</v>
      </c>
      <c r="C17" s="6">
        <v>24</v>
      </c>
      <c r="D17" s="6">
        <v>3</v>
      </c>
      <c r="E17" s="6" t="s">
        <v>213</v>
      </c>
      <c r="F17" s="6" t="s">
        <v>364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</row>
    <row r="18" spans="1:28" x14ac:dyDescent="0.25">
      <c r="A18" s="5" t="s">
        <v>389</v>
      </c>
      <c r="B18" s="5" t="s">
        <v>26</v>
      </c>
      <c r="C18" s="5">
        <v>29</v>
      </c>
      <c r="D18" s="5">
        <v>7</v>
      </c>
      <c r="E18" s="5" t="s">
        <v>74</v>
      </c>
      <c r="F18" s="5" t="s">
        <v>364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</row>
    <row r="19" spans="1:28" x14ac:dyDescent="0.25">
      <c r="A19" s="5" t="s">
        <v>441</v>
      </c>
      <c r="B19" s="5" t="s">
        <v>26</v>
      </c>
      <c r="C19" s="5">
        <v>27</v>
      </c>
      <c r="D19" s="5">
        <v>1</v>
      </c>
      <c r="E19" s="5" t="s">
        <v>86</v>
      </c>
      <c r="F19" s="5" t="s">
        <v>425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</row>
    <row r="20" spans="1:28" x14ac:dyDescent="0.25">
      <c r="A20" s="6" t="s">
        <v>442</v>
      </c>
      <c r="B20" s="6" t="s">
        <v>26</v>
      </c>
      <c r="C20" s="6">
        <v>26</v>
      </c>
      <c r="D20" s="6">
        <v>4</v>
      </c>
      <c r="E20" s="6" t="s">
        <v>227</v>
      </c>
      <c r="F20" s="6" t="s">
        <v>425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R20" s="6">
        <v>0</v>
      </c>
      <c r="S20" s="6">
        <v>0</v>
      </c>
      <c r="T20" s="6">
        <v>0</v>
      </c>
      <c r="U20" s="6">
        <v>0</v>
      </c>
      <c r="V20" s="6">
        <v>0</v>
      </c>
      <c r="W20" s="6">
        <v>0</v>
      </c>
      <c r="X20" s="6">
        <v>0</v>
      </c>
      <c r="Y20" s="6">
        <v>0</v>
      </c>
      <c r="Z20" s="6">
        <v>0</v>
      </c>
      <c r="AA20" s="6">
        <v>0</v>
      </c>
      <c r="AB20" s="6">
        <v>0</v>
      </c>
    </row>
    <row r="21" spans="1:28" x14ac:dyDescent="0.25">
      <c r="A21" s="5" t="s">
        <v>443</v>
      </c>
      <c r="B21" s="5" t="s">
        <v>26</v>
      </c>
      <c r="C21" s="5">
        <v>31</v>
      </c>
      <c r="D21" s="5">
        <v>8</v>
      </c>
      <c r="E21" s="5" t="s">
        <v>141</v>
      </c>
      <c r="F21" s="5" t="s">
        <v>425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</row>
    <row r="22" spans="1:28" x14ac:dyDescent="0.25">
      <c r="A22" s="5" t="s">
        <v>495</v>
      </c>
      <c r="B22" s="5" t="s">
        <v>26</v>
      </c>
      <c r="C22" s="5">
        <v>28</v>
      </c>
      <c r="D22" s="5">
        <v>7</v>
      </c>
      <c r="E22" s="5" t="s">
        <v>143</v>
      </c>
      <c r="F22" s="5" t="s">
        <v>479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</row>
    <row r="23" spans="1:28" x14ac:dyDescent="0.25">
      <c r="A23" s="6" t="s">
        <v>496</v>
      </c>
      <c r="B23" s="6" t="s">
        <v>26</v>
      </c>
      <c r="C23" s="6">
        <v>24</v>
      </c>
      <c r="D23" s="6">
        <v>3</v>
      </c>
      <c r="E23" s="6" t="s">
        <v>307</v>
      </c>
      <c r="F23" s="6" t="s">
        <v>479</v>
      </c>
      <c r="G23" s="6">
        <v>0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R23" s="6">
        <v>0</v>
      </c>
      <c r="S23" s="6">
        <v>0</v>
      </c>
      <c r="T23" s="6">
        <v>0</v>
      </c>
      <c r="U23" s="6">
        <v>0</v>
      </c>
      <c r="V23" s="6">
        <v>0</v>
      </c>
      <c r="W23" s="6">
        <v>0</v>
      </c>
      <c r="X23" s="6">
        <v>0</v>
      </c>
      <c r="Y23" s="6">
        <v>0</v>
      </c>
      <c r="Z23" s="6">
        <v>0</v>
      </c>
      <c r="AA23" s="6">
        <v>0</v>
      </c>
      <c r="AB23" s="6">
        <v>0</v>
      </c>
    </row>
    <row r="24" spans="1:28" x14ac:dyDescent="0.25">
      <c r="A24" s="5" t="s">
        <v>497</v>
      </c>
      <c r="B24" s="5" t="s">
        <v>26</v>
      </c>
      <c r="C24" s="5">
        <v>23</v>
      </c>
      <c r="D24" s="5">
        <v>0</v>
      </c>
      <c r="E24" s="5" t="s">
        <v>418</v>
      </c>
      <c r="F24" s="5" t="s">
        <v>479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</row>
    <row r="25" spans="1:28" x14ac:dyDescent="0.25">
      <c r="A25" s="5" t="s">
        <v>547</v>
      </c>
      <c r="B25" s="5" t="s">
        <v>26</v>
      </c>
      <c r="C25" s="5">
        <v>28</v>
      </c>
      <c r="D25" s="5">
        <v>5</v>
      </c>
      <c r="E25" s="5" t="s">
        <v>344</v>
      </c>
      <c r="F25" s="5" t="s">
        <v>530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</row>
    <row r="26" spans="1:28" x14ac:dyDescent="0.25">
      <c r="A26" s="6" t="s">
        <v>548</v>
      </c>
      <c r="B26" s="6" t="s">
        <v>26</v>
      </c>
      <c r="C26" s="6">
        <v>30</v>
      </c>
      <c r="D26" s="6">
        <v>8</v>
      </c>
      <c r="E26" s="6" t="s">
        <v>549</v>
      </c>
      <c r="F26" s="6" t="s">
        <v>530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v>0</v>
      </c>
      <c r="W26" s="6">
        <v>0</v>
      </c>
      <c r="X26" s="6">
        <v>0</v>
      </c>
      <c r="Y26" s="6">
        <v>0</v>
      </c>
      <c r="Z26" s="6">
        <v>0</v>
      </c>
      <c r="AA26" s="6">
        <v>0</v>
      </c>
      <c r="AB26" s="6">
        <v>0</v>
      </c>
    </row>
    <row r="27" spans="1:28" x14ac:dyDescent="0.25">
      <c r="A27" s="5" t="s">
        <v>608</v>
      </c>
      <c r="B27" s="5" t="s">
        <v>26</v>
      </c>
      <c r="C27" s="5">
        <v>26</v>
      </c>
      <c r="D27" s="5">
        <v>2</v>
      </c>
      <c r="E27" s="5" t="s">
        <v>609</v>
      </c>
      <c r="F27" s="5" t="s">
        <v>584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</row>
    <row r="28" spans="1:28" x14ac:dyDescent="0.25">
      <c r="A28" s="6" t="s">
        <v>610</v>
      </c>
      <c r="B28" s="6" t="s">
        <v>26</v>
      </c>
      <c r="C28" s="6">
        <v>27</v>
      </c>
      <c r="D28" s="6">
        <v>4</v>
      </c>
      <c r="E28" s="6" t="s">
        <v>464</v>
      </c>
      <c r="F28" s="6" t="s">
        <v>584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S28" s="6">
        <v>0</v>
      </c>
      <c r="T28" s="6">
        <v>0</v>
      </c>
      <c r="U28" s="6">
        <v>0</v>
      </c>
      <c r="V28" s="6">
        <v>0</v>
      </c>
      <c r="W28" s="6">
        <v>0</v>
      </c>
      <c r="X28" s="6">
        <v>0</v>
      </c>
      <c r="Y28" s="6">
        <v>0</v>
      </c>
      <c r="Z28" s="6">
        <v>0</v>
      </c>
      <c r="AA28" s="6">
        <v>0</v>
      </c>
      <c r="AB28" s="6">
        <v>0</v>
      </c>
    </row>
    <row r="29" spans="1:28" x14ac:dyDescent="0.25">
      <c r="A29" s="5" t="s">
        <v>664</v>
      </c>
      <c r="B29" s="5" t="s">
        <v>26</v>
      </c>
      <c r="C29" s="5">
        <v>30</v>
      </c>
      <c r="D29" s="5">
        <v>10</v>
      </c>
      <c r="E29" s="5" t="s">
        <v>209</v>
      </c>
      <c r="F29" s="5" t="s">
        <v>647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</row>
    <row r="30" spans="1:28" x14ac:dyDescent="0.25">
      <c r="A30" s="6" t="s">
        <v>665</v>
      </c>
      <c r="B30" s="6" t="s">
        <v>26</v>
      </c>
      <c r="C30" s="6">
        <v>28</v>
      </c>
      <c r="D30" s="6">
        <v>8</v>
      </c>
      <c r="E30" s="6" t="s">
        <v>666</v>
      </c>
      <c r="F30" s="6" t="s">
        <v>647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R30" s="6">
        <v>0</v>
      </c>
      <c r="S30" s="6">
        <v>0</v>
      </c>
      <c r="T30" s="6">
        <v>0</v>
      </c>
      <c r="U30" s="6">
        <v>0</v>
      </c>
      <c r="V30" s="6">
        <v>0</v>
      </c>
      <c r="W30" s="6">
        <v>0</v>
      </c>
      <c r="X30" s="6">
        <v>0</v>
      </c>
      <c r="Y30" s="6">
        <v>0</v>
      </c>
      <c r="Z30" s="6">
        <v>0</v>
      </c>
      <c r="AA30" s="6">
        <v>0</v>
      </c>
      <c r="AB30" s="6">
        <v>0</v>
      </c>
    </row>
    <row r="31" spans="1:28" x14ac:dyDescent="0.25">
      <c r="A31" s="5" t="s">
        <v>667</v>
      </c>
      <c r="B31" s="5" t="s">
        <v>26</v>
      </c>
      <c r="C31" s="5">
        <v>25</v>
      </c>
      <c r="D31" s="5">
        <v>0</v>
      </c>
      <c r="E31" s="5" t="s">
        <v>143</v>
      </c>
      <c r="F31" s="5" t="s">
        <v>647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</row>
    <row r="32" spans="1:28" x14ac:dyDescent="0.25">
      <c r="A32" s="6" t="s">
        <v>668</v>
      </c>
      <c r="B32" s="6" t="s">
        <v>26</v>
      </c>
      <c r="C32" s="6">
        <v>23</v>
      </c>
      <c r="D32" s="6">
        <v>0</v>
      </c>
      <c r="E32" s="6" t="s">
        <v>559</v>
      </c>
      <c r="F32" s="6" t="s">
        <v>647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U32" s="6">
        <v>0</v>
      </c>
      <c r="V32" s="6">
        <v>0</v>
      </c>
      <c r="W32" s="6">
        <v>0</v>
      </c>
      <c r="X32" s="6">
        <v>0</v>
      </c>
      <c r="Y32" s="6">
        <v>0</v>
      </c>
      <c r="Z32" s="6">
        <v>0</v>
      </c>
      <c r="AA32" s="6">
        <v>0</v>
      </c>
      <c r="AB32" s="6">
        <v>0</v>
      </c>
    </row>
    <row r="33" spans="1:28" x14ac:dyDescent="0.25">
      <c r="A33" s="5" t="s">
        <v>720</v>
      </c>
      <c r="B33" s="5" t="s">
        <v>26</v>
      </c>
      <c r="C33" s="5">
        <v>25</v>
      </c>
      <c r="D33" s="5">
        <v>0</v>
      </c>
      <c r="E33" s="5" t="s">
        <v>339</v>
      </c>
      <c r="F33" s="5" t="s">
        <v>704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</row>
    <row r="34" spans="1:28" x14ac:dyDescent="0.25">
      <c r="A34" s="6" t="s">
        <v>721</v>
      </c>
      <c r="B34" s="6" t="s">
        <v>26</v>
      </c>
      <c r="C34" s="6">
        <v>24</v>
      </c>
      <c r="D34" s="6">
        <v>4</v>
      </c>
      <c r="E34" s="6" t="s">
        <v>89</v>
      </c>
      <c r="F34" s="6" t="s">
        <v>704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R34" s="6">
        <v>0</v>
      </c>
      <c r="S34" s="6">
        <v>0</v>
      </c>
      <c r="T34" s="6">
        <v>0</v>
      </c>
      <c r="U34" s="6">
        <v>0</v>
      </c>
      <c r="V34" s="6">
        <v>0</v>
      </c>
      <c r="W34" s="6">
        <v>0</v>
      </c>
      <c r="X34" s="6">
        <v>0</v>
      </c>
      <c r="Y34" s="6">
        <v>0</v>
      </c>
      <c r="Z34" s="6">
        <v>0</v>
      </c>
      <c r="AA34" s="6">
        <v>0</v>
      </c>
      <c r="AB34" s="6">
        <v>0</v>
      </c>
    </row>
    <row r="35" spans="1:28" x14ac:dyDescent="0.25">
      <c r="A35" s="5" t="s">
        <v>776</v>
      </c>
      <c r="B35" s="5" t="s">
        <v>26</v>
      </c>
      <c r="C35" s="5">
        <v>35</v>
      </c>
      <c r="D35" s="5">
        <v>11</v>
      </c>
      <c r="E35" s="5" t="s">
        <v>70</v>
      </c>
      <c r="F35" s="5" t="s">
        <v>756</v>
      </c>
      <c r="G35" s="5">
        <v>0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</row>
    <row r="36" spans="1:28" x14ac:dyDescent="0.25">
      <c r="A36" s="6" t="s">
        <v>777</v>
      </c>
      <c r="B36" s="6" t="s">
        <v>26</v>
      </c>
      <c r="C36" s="6">
        <v>24</v>
      </c>
      <c r="D36" s="6">
        <v>3</v>
      </c>
      <c r="E36" s="6" t="s">
        <v>102</v>
      </c>
      <c r="F36" s="6" t="s">
        <v>756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S36" s="6">
        <v>0</v>
      </c>
      <c r="T36" s="6">
        <v>0</v>
      </c>
      <c r="U36" s="6">
        <v>0</v>
      </c>
      <c r="V36" s="6">
        <v>0</v>
      </c>
      <c r="W36" s="6">
        <v>0</v>
      </c>
      <c r="X36" s="6">
        <v>0</v>
      </c>
      <c r="Y36" s="6">
        <v>0</v>
      </c>
      <c r="Z36" s="6">
        <v>0</v>
      </c>
      <c r="AA36" s="6">
        <v>0</v>
      </c>
      <c r="AB36" s="6">
        <v>0</v>
      </c>
    </row>
    <row r="37" spans="1:28" x14ac:dyDescent="0.25">
      <c r="A37" s="5" t="s">
        <v>778</v>
      </c>
      <c r="B37" s="5" t="s">
        <v>26</v>
      </c>
      <c r="C37" s="5">
        <v>25</v>
      </c>
      <c r="D37" s="5">
        <v>1</v>
      </c>
      <c r="E37" s="5" t="s">
        <v>779</v>
      </c>
      <c r="F37" s="5" t="s">
        <v>756</v>
      </c>
      <c r="G37" s="5">
        <v>0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Z37" s="5">
        <v>0</v>
      </c>
      <c r="AA37" s="5">
        <v>0</v>
      </c>
      <c r="AB37" s="5">
        <v>0</v>
      </c>
    </row>
    <row r="38" spans="1:28" x14ac:dyDescent="0.25">
      <c r="A38" s="5" t="s">
        <v>827</v>
      </c>
      <c r="B38" s="5" t="s">
        <v>26</v>
      </c>
      <c r="C38" s="5">
        <v>24</v>
      </c>
      <c r="D38" s="5">
        <v>3</v>
      </c>
      <c r="E38" s="5" t="s">
        <v>66</v>
      </c>
      <c r="F38" s="5" t="s">
        <v>811</v>
      </c>
      <c r="G38" s="5">
        <v>0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</row>
    <row r="39" spans="1:28" x14ac:dyDescent="0.25">
      <c r="A39" s="6" t="s">
        <v>828</v>
      </c>
      <c r="B39" s="6" t="s">
        <v>26</v>
      </c>
      <c r="C39" s="6">
        <v>27</v>
      </c>
      <c r="D39" s="6">
        <v>5</v>
      </c>
      <c r="E39" s="6" t="s">
        <v>294</v>
      </c>
      <c r="F39" s="6" t="s">
        <v>811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R39" s="6">
        <v>0</v>
      </c>
      <c r="S39" s="6">
        <v>0</v>
      </c>
      <c r="T39" s="6">
        <v>0</v>
      </c>
      <c r="U39" s="6">
        <v>0</v>
      </c>
      <c r="V39" s="6">
        <v>0</v>
      </c>
      <c r="W39" s="6">
        <v>0</v>
      </c>
      <c r="X39" s="6">
        <v>0</v>
      </c>
      <c r="Y39" s="6">
        <v>0</v>
      </c>
      <c r="Z39" s="6">
        <v>0</v>
      </c>
      <c r="AA39" s="6">
        <v>0</v>
      </c>
      <c r="AB39" s="6">
        <v>0</v>
      </c>
    </row>
    <row r="40" spans="1:28" x14ac:dyDescent="0.25">
      <c r="A40" s="5" t="s">
        <v>881</v>
      </c>
      <c r="B40" s="5" t="s">
        <v>26</v>
      </c>
      <c r="C40" s="5">
        <v>29</v>
      </c>
      <c r="D40" s="5">
        <v>7</v>
      </c>
      <c r="E40" s="5" t="s">
        <v>100</v>
      </c>
      <c r="F40" s="5" t="s">
        <v>866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Z40" s="5">
        <v>0</v>
      </c>
      <c r="AA40" s="5">
        <v>0</v>
      </c>
      <c r="AB40" s="5">
        <v>0</v>
      </c>
    </row>
    <row r="41" spans="1:28" x14ac:dyDescent="0.25">
      <c r="A41" s="6" t="s">
        <v>882</v>
      </c>
      <c r="B41" s="6" t="s">
        <v>26</v>
      </c>
      <c r="C41" s="6">
        <v>23</v>
      </c>
      <c r="D41" s="6">
        <v>3</v>
      </c>
      <c r="E41" s="6" t="s">
        <v>458</v>
      </c>
      <c r="F41" s="6" t="s">
        <v>866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R41" s="6">
        <v>0</v>
      </c>
      <c r="S41" s="6">
        <v>0</v>
      </c>
      <c r="T41" s="6">
        <v>0</v>
      </c>
      <c r="U41" s="6">
        <v>0</v>
      </c>
      <c r="V41" s="6">
        <v>0</v>
      </c>
      <c r="W41" s="6">
        <v>0</v>
      </c>
      <c r="X41" s="6">
        <v>0</v>
      </c>
      <c r="Y41" s="6">
        <v>0</v>
      </c>
      <c r="Z41" s="6">
        <v>0</v>
      </c>
      <c r="AA41" s="6">
        <v>0</v>
      </c>
      <c r="AB41" s="6">
        <v>0</v>
      </c>
    </row>
    <row r="42" spans="1:28" x14ac:dyDescent="0.25">
      <c r="A42" s="5" t="s">
        <v>933</v>
      </c>
      <c r="B42" s="5" t="s">
        <v>26</v>
      </c>
      <c r="C42" s="5">
        <v>25</v>
      </c>
      <c r="D42" s="5">
        <v>3</v>
      </c>
      <c r="E42" s="5" t="s">
        <v>237</v>
      </c>
      <c r="F42" s="5" t="s">
        <v>916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Z42" s="5">
        <v>0</v>
      </c>
      <c r="AA42" s="5">
        <v>0</v>
      </c>
      <c r="AB42" s="5">
        <v>0</v>
      </c>
    </row>
    <row r="43" spans="1:28" x14ac:dyDescent="0.25">
      <c r="A43" s="6" t="s">
        <v>934</v>
      </c>
      <c r="B43" s="6" t="s">
        <v>26</v>
      </c>
      <c r="C43" s="6">
        <v>33</v>
      </c>
      <c r="D43" s="6">
        <v>13</v>
      </c>
      <c r="E43" s="6" t="s">
        <v>613</v>
      </c>
      <c r="F43" s="6" t="s">
        <v>916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R43" s="6">
        <v>0</v>
      </c>
      <c r="S43" s="6">
        <v>0</v>
      </c>
      <c r="T43" s="6">
        <v>0</v>
      </c>
      <c r="U43" s="6">
        <v>0</v>
      </c>
      <c r="V43" s="6">
        <v>0</v>
      </c>
      <c r="W43" s="6">
        <v>0</v>
      </c>
      <c r="X43" s="6">
        <v>0</v>
      </c>
      <c r="Y43" s="6">
        <v>0</v>
      </c>
      <c r="Z43" s="6">
        <v>0</v>
      </c>
      <c r="AA43" s="6">
        <v>0</v>
      </c>
      <c r="AB43" s="6">
        <v>0</v>
      </c>
    </row>
    <row r="44" spans="1:28" x14ac:dyDescent="0.25">
      <c r="A44" s="5" t="s">
        <v>935</v>
      </c>
      <c r="B44" s="5" t="s">
        <v>26</v>
      </c>
      <c r="C44" s="5">
        <v>27</v>
      </c>
      <c r="D44" s="5">
        <v>7</v>
      </c>
      <c r="E44" s="5" t="s">
        <v>511</v>
      </c>
      <c r="F44" s="5" t="s">
        <v>916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Z44" s="5">
        <v>0</v>
      </c>
      <c r="AA44" s="5">
        <v>0</v>
      </c>
      <c r="AB44" s="5">
        <v>0</v>
      </c>
    </row>
    <row r="45" spans="1:28" x14ac:dyDescent="0.25">
      <c r="A45" s="5" t="s">
        <v>987</v>
      </c>
      <c r="B45" s="5" t="s">
        <v>26</v>
      </c>
      <c r="C45" s="5">
        <v>22</v>
      </c>
      <c r="D45" s="5">
        <v>0</v>
      </c>
      <c r="E45" s="5" t="s">
        <v>76</v>
      </c>
      <c r="F45" s="5" t="s">
        <v>969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Z45" s="5">
        <v>0</v>
      </c>
      <c r="AA45" s="5">
        <v>0</v>
      </c>
      <c r="AB45" s="5">
        <v>0</v>
      </c>
    </row>
    <row r="46" spans="1:28" x14ac:dyDescent="0.25">
      <c r="A46" s="6" t="s">
        <v>988</v>
      </c>
      <c r="B46" s="6" t="s">
        <v>26</v>
      </c>
      <c r="C46" s="6">
        <v>25</v>
      </c>
      <c r="D46" s="6">
        <v>4</v>
      </c>
      <c r="E46" s="6" t="s">
        <v>205</v>
      </c>
      <c r="F46" s="6" t="s">
        <v>969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R46" s="6">
        <v>0</v>
      </c>
      <c r="S46" s="6">
        <v>0</v>
      </c>
      <c r="T46" s="6">
        <v>0</v>
      </c>
      <c r="U46" s="6">
        <v>0</v>
      </c>
      <c r="V46" s="6">
        <v>0</v>
      </c>
      <c r="W46" s="6">
        <v>0</v>
      </c>
      <c r="X46" s="6">
        <v>0</v>
      </c>
      <c r="Y46" s="6">
        <v>0</v>
      </c>
      <c r="Z46" s="6">
        <v>0</v>
      </c>
      <c r="AA46" s="6">
        <v>0</v>
      </c>
      <c r="AB46" s="6">
        <v>0</v>
      </c>
    </row>
    <row r="47" spans="1:28" x14ac:dyDescent="0.25">
      <c r="A47" s="5" t="s">
        <v>1041</v>
      </c>
      <c r="B47" s="5" t="s">
        <v>26</v>
      </c>
      <c r="C47" s="5">
        <v>25</v>
      </c>
      <c r="D47" s="5">
        <v>0</v>
      </c>
      <c r="E47" s="5" t="s">
        <v>173</v>
      </c>
      <c r="F47" s="5" t="s">
        <v>1021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Z47" s="5">
        <v>0</v>
      </c>
      <c r="AA47" s="5">
        <v>0</v>
      </c>
      <c r="AB47" s="5">
        <v>0</v>
      </c>
    </row>
    <row r="48" spans="1:28" x14ac:dyDescent="0.25">
      <c r="A48" s="6" t="s">
        <v>1042</v>
      </c>
      <c r="B48" s="6" t="s">
        <v>26</v>
      </c>
      <c r="C48" s="6">
        <v>27</v>
      </c>
      <c r="D48" s="6">
        <v>4</v>
      </c>
      <c r="E48" s="6" t="s">
        <v>296</v>
      </c>
      <c r="F48" s="6" t="s">
        <v>1021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  <c r="S48" s="6">
        <v>0</v>
      </c>
      <c r="T48" s="6">
        <v>0</v>
      </c>
      <c r="U48" s="6">
        <v>0</v>
      </c>
      <c r="V48" s="6">
        <v>0</v>
      </c>
      <c r="W48" s="6">
        <v>0</v>
      </c>
      <c r="X48" s="6">
        <v>0</v>
      </c>
      <c r="Y48" s="6">
        <v>0</v>
      </c>
      <c r="Z48" s="6">
        <v>0</v>
      </c>
      <c r="AA48" s="6">
        <v>0</v>
      </c>
      <c r="AB48" s="6">
        <v>0</v>
      </c>
    </row>
    <row r="49" spans="1:28" x14ac:dyDescent="0.25">
      <c r="A49" s="5" t="s">
        <v>1043</v>
      </c>
      <c r="B49" s="5" t="s">
        <v>26</v>
      </c>
      <c r="C49" s="5">
        <v>35</v>
      </c>
      <c r="D49" s="5">
        <v>15</v>
      </c>
      <c r="E49" s="5" t="s">
        <v>173</v>
      </c>
      <c r="F49" s="5" t="s">
        <v>1021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>
        <v>0</v>
      </c>
      <c r="AA49" s="5">
        <v>0</v>
      </c>
      <c r="AB49" s="5">
        <v>0</v>
      </c>
    </row>
    <row r="50" spans="1:28" x14ac:dyDescent="0.25">
      <c r="A50" s="5" t="s">
        <v>1090</v>
      </c>
      <c r="B50" s="5" t="s">
        <v>26</v>
      </c>
      <c r="C50" s="5">
        <v>24</v>
      </c>
      <c r="D50" s="5">
        <v>1</v>
      </c>
      <c r="E50" s="5" t="s">
        <v>666</v>
      </c>
      <c r="F50" s="5" t="s">
        <v>1075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0</v>
      </c>
    </row>
    <row r="51" spans="1:28" x14ac:dyDescent="0.25">
      <c r="A51" s="6" t="s">
        <v>1091</v>
      </c>
      <c r="B51" s="6" t="s">
        <v>26</v>
      </c>
      <c r="C51" s="6">
        <v>31</v>
      </c>
      <c r="D51" s="6">
        <v>10</v>
      </c>
      <c r="E51" s="6" t="s">
        <v>1092</v>
      </c>
      <c r="F51" s="6" t="s">
        <v>1075</v>
      </c>
      <c r="G51" s="6">
        <v>0</v>
      </c>
      <c r="H51" s="6">
        <v>0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R51" s="6">
        <v>0</v>
      </c>
      <c r="S51" s="6">
        <v>0</v>
      </c>
      <c r="T51" s="6">
        <v>0</v>
      </c>
      <c r="U51" s="6">
        <v>0</v>
      </c>
      <c r="V51" s="6">
        <v>0</v>
      </c>
      <c r="W51" s="6">
        <v>0</v>
      </c>
      <c r="X51" s="6">
        <v>0</v>
      </c>
      <c r="Y51" s="6">
        <v>0</v>
      </c>
      <c r="Z51" s="6">
        <v>0</v>
      </c>
      <c r="AA51" s="6">
        <v>0</v>
      </c>
      <c r="AB51" s="6">
        <v>0</v>
      </c>
    </row>
    <row r="52" spans="1:28" x14ac:dyDescent="0.25">
      <c r="A52" s="5" t="s">
        <v>1093</v>
      </c>
      <c r="B52" s="5" t="s">
        <v>26</v>
      </c>
      <c r="C52" s="5">
        <v>37</v>
      </c>
      <c r="D52" s="5">
        <v>15</v>
      </c>
      <c r="E52" s="5" t="s">
        <v>744</v>
      </c>
      <c r="F52" s="5" t="s">
        <v>1075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</row>
    <row r="53" spans="1:28" x14ac:dyDescent="0.25">
      <c r="A53" s="5" t="s">
        <v>1145</v>
      </c>
      <c r="B53" s="5" t="s">
        <v>26</v>
      </c>
      <c r="C53" s="5">
        <v>25</v>
      </c>
      <c r="D53" s="5">
        <v>4</v>
      </c>
      <c r="E53" s="5" t="s">
        <v>153</v>
      </c>
      <c r="F53" s="5" t="s">
        <v>1127</v>
      </c>
      <c r="G53" s="5">
        <v>0</v>
      </c>
      <c r="H53" s="5">
        <v>0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Z53" s="5">
        <v>0</v>
      </c>
      <c r="AA53" s="5">
        <v>0</v>
      </c>
      <c r="AB53" s="5">
        <v>0</v>
      </c>
    </row>
    <row r="54" spans="1:28" x14ac:dyDescent="0.25">
      <c r="A54" s="6" t="s">
        <v>1146</v>
      </c>
      <c r="B54" s="6" t="s">
        <v>26</v>
      </c>
      <c r="C54" s="6">
        <v>26</v>
      </c>
      <c r="D54" s="6">
        <v>2</v>
      </c>
      <c r="E54" s="6" t="s">
        <v>559</v>
      </c>
      <c r="F54" s="6" t="s">
        <v>1127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R54" s="6">
        <v>0</v>
      </c>
      <c r="S54" s="6">
        <v>0</v>
      </c>
      <c r="T54" s="6">
        <v>0</v>
      </c>
      <c r="U54" s="6">
        <v>0</v>
      </c>
      <c r="V54" s="6">
        <v>0</v>
      </c>
      <c r="W54" s="6">
        <v>0</v>
      </c>
      <c r="X54" s="6">
        <v>0</v>
      </c>
      <c r="Y54" s="6">
        <v>0</v>
      </c>
      <c r="Z54" s="6">
        <v>0</v>
      </c>
      <c r="AA54" s="6">
        <v>0</v>
      </c>
      <c r="AB54" s="6">
        <v>0</v>
      </c>
    </row>
    <row r="55" spans="1:28" x14ac:dyDescent="0.25">
      <c r="A55" s="5" t="s">
        <v>1191</v>
      </c>
      <c r="B55" s="5" t="s">
        <v>26</v>
      </c>
      <c r="C55" s="5">
        <v>34</v>
      </c>
      <c r="D55" s="5">
        <v>12</v>
      </c>
      <c r="E55" s="5" t="s">
        <v>744</v>
      </c>
      <c r="F55" s="5" t="s">
        <v>1176</v>
      </c>
      <c r="G55" s="5">
        <v>0</v>
      </c>
      <c r="H55" s="5">
        <v>0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Z55" s="5">
        <v>0</v>
      </c>
      <c r="AA55" s="5">
        <v>0</v>
      </c>
      <c r="AB55" s="5">
        <v>0</v>
      </c>
    </row>
    <row r="56" spans="1:28" x14ac:dyDescent="0.25">
      <c r="A56" s="6" t="s">
        <v>1192</v>
      </c>
      <c r="B56" s="6" t="s">
        <v>26</v>
      </c>
      <c r="C56" s="6">
        <v>25</v>
      </c>
      <c r="D56" s="6">
        <v>0</v>
      </c>
      <c r="E56" s="6" t="s">
        <v>82</v>
      </c>
      <c r="F56" s="6" t="s">
        <v>1176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S56" s="6">
        <v>0</v>
      </c>
      <c r="T56" s="6">
        <v>0</v>
      </c>
      <c r="U56" s="6">
        <v>0</v>
      </c>
      <c r="V56" s="6">
        <v>0</v>
      </c>
      <c r="W56" s="6">
        <v>0</v>
      </c>
      <c r="X56" s="6">
        <v>0</v>
      </c>
      <c r="Y56" s="6">
        <v>0</v>
      </c>
      <c r="Z56" s="6">
        <v>0</v>
      </c>
      <c r="AA56" s="6">
        <v>0</v>
      </c>
      <c r="AB56" s="6">
        <v>0</v>
      </c>
    </row>
    <row r="57" spans="1:28" x14ac:dyDescent="0.25">
      <c r="A57" s="5" t="s">
        <v>1237</v>
      </c>
      <c r="B57" s="5" t="s">
        <v>26</v>
      </c>
      <c r="C57" s="5">
        <v>24</v>
      </c>
      <c r="D57" s="5">
        <v>0</v>
      </c>
      <c r="E57" s="5" t="s">
        <v>209</v>
      </c>
      <c r="F57" s="5" t="s">
        <v>1222</v>
      </c>
      <c r="G57" s="5">
        <v>0</v>
      </c>
      <c r="H57" s="5">
        <v>0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Z57" s="5">
        <v>0</v>
      </c>
      <c r="AA57" s="5">
        <v>0</v>
      </c>
      <c r="AB57" s="5">
        <v>0</v>
      </c>
    </row>
    <row r="58" spans="1:28" x14ac:dyDescent="0.25">
      <c r="A58" s="6" t="s">
        <v>1238</v>
      </c>
      <c r="B58" s="6" t="s">
        <v>26</v>
      </c>
      <c r="C58" s="6">
        <v>24</v>
      </c>
      <c r="D58" s="6">
        <v>3</v>
      </c>
      <c r="E58" s="6" t="s">
        <v>153</v>
      </c>
      <c r="F58" s="6" t="s">
        <v>1222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R58" s="6">
        <v>0</v>
      </c>
      <c r="S58" s="6">
        <v>0</v>
      </c>
      <c r="T58" s="6">
        <v>0</v>
      </c>
      <c r="U58" s="6">
        <v>0</v>
      </c>
      <c r="V58" s="6">
        <v>0</v>
      </c>
      <c r="W58" s="6">
        <v>0</v>
      </c>
      <c r="X58" s="6">
        <v>0</v>
      </c>
      <c r="Y58" s="6">
        <v>0</v>
      </c>
      <c r="Z58" s="6">
        <v>0</v>
      </c>
      <c r="AA58" s="6">
        <v>0</v>
      </c>
      <c r="AB58" s="6">
        <v>0</v>
      </c>
    </row>
    <row r="59" spans="1:28" x14ac:dyDescent="0.25">
      <c r="A59" s="5" t="s">
        <v>1239</v>
      </c>
      <c r="B59" s="5" t="s">
        <v>26</v>
      </c>
      <c r="C59" s="5">
        <v>27</v>
      </c>
      <c r="D59" s="5">
        <v>5</v>
      </c>
      <c r="E59" s="5" t="s">
        <v>339</v>
      </c>
      <c r="F59" s="5" t="s">
        <v>1222</v>
      </c>
      <c r="G59" s="5">
        <v>0</v>
      </c>
      <c r="H59" s="5">
        <v>0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</row>
    <row r="60" spans="1:28" x14ac:dyDescent="0.25">
      <c r="A60" s="5" t="s">
        <v>1287</v>
      </c>
      <c r="B60" s="5" t="s">
        <v>26</v>
      </c>
      <c r="C60" s="5">
        <v>32</v>
      </c>
      <c r="D60" s="5">
        <v>10</v>
      </c>
      <c r="E60" s="5" t="s">
        <v>280</v>
      </c>
      <c r="F60" s="5" t="s">
        <v>1270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</row>
    <row r="61" spans="1:28" x14ac:dyDescent="0.25">
      <c r="A61" s="6" t="s">
        <v>1288</v>
      </c>
      <c r="B61" s="6" t="s">
        <v>26</v>
      </c>
      <c r="C61" s="6">
        <v>24</v>
      </c>
      <c r="D61" s="6">
        <v>0</v>
      </c>
      <c r="E61" s="6" t="s">
        <v>280</v>
      </c>
      <c r="F61" s="6" t="s">
        <v>1270</v>
      </c>
      <c r="G61" s="6">
        <v>0</v>
      </c>
      <c r="H61" s="6">
        <v>0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R61" s="6">
        <v>0</v>
      </c>
      <c r="S61" s="6">
        <v>0</v>
      </c>
      <c r="T61" s="6">
        <v>0</v>
      </c>
      <c r="U61" s="6">
        <v>0</v>
      </c>
      <c r="V61" s="6">
        <v>0</v>
      </c>
      <c r="W61" s="6">
        <v>0</v>
      </c>
      <c r="X61" s="6">
        <v>0</v>
      </c>
      <c r="Y61" s="6">
        <v>0</v>
      </c>
      <c r="Z61" s="6">
        <v>0</v>
      </c>
      <c r="AA61" s="6">
        <v>0</v>
      </c>
      <c r="AB61" s="6">
        <v>0</v>
      </c>
    </row>
    <row r="62" spans="1:28" x14ac:dyDescent="0.25">
      <c r="A62" s="5" t="s">
        <v>1336</v>
      </c>
      <c r="B62" s="5" t="s">
        <v>26</v>
      </c>
      <c r="C62" s="5">
        <v>25</v>
      </c>
      <c r="D62" s="5">
        <v>0</v>
      </c>
      <c r="E62" s="5" t="s">
        <v>446</v>
      </c>
      <c r="F62" s="5" t="s">
        <v>1320</v>
      </c>
      <c r="G62" s="5">
        <v>0</v>
      </c>
      <c r="H62" s="5">
        <v>0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Z62" s="5">
        <v>0</v>
      </c>
      <c r="AA62" s="5">
        <v>0</v>
      </c>
      <c r="AB62" s="5">
        <v>0</v>
      </c>
    </row>
    <row r="63" spans="1:28" x14ac:dyDescent="0.25">
      <c r="A63" s="6" t="s">
        <v>1337</v>
      </c>
      <c r="B63" s="6" t="s">
        <v>26</v>
      </c>
      <c r="C63" s="6">
        <v>26</v>
      </c>
      <c r="D63" s="6">
        <v>5</v>
      </c>
      <c r="E63" s="6" t="s">
        <v>697</v>
      </c>
      <c r="F63" s="6" t="s">
        <v>1320</v>
      </c>
      <c r="G63" s="6">
        <v>0</v>
      </c>
      <c r="H63" s="6">
        <v>0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R63" s="6">
        <v>0</v>
      </c>
      <c r="S63" s="6">
        <v>0</v>
      </c>
      <c r="T63" s="6">
        <v>0</v>
      </c>
      <c r="U63" s="6">
        <v>0</v>
      </c>
      <c r="V63" s="6">
        <v>0</v>
      </c>
      <c r="W63" s="6">
        <v>0</v>
      </c>
      <c r="X63" s="6">
        <v>0</v>
      </c>
      <c r="Y63" s="6">
        <v>0</v>
      </c>
      <c r="Z63" s="6">
        <v>0</v>
      </c>
      <c r="AA63" s="6">
        <v>0</v>
      </c>
      <c r="AB63" s="6">
        <v>0</v>
      </c>
    </row>
    <row r="64" spans="1:28" x14ac:dyDescent="0.25">
      <c r="A64" s="5" t="s">
        <v>1380</v>
      </c>
      <c r="B64" s="5" t="s">
        <v>26</v>
      </c>
      <c r="C64" s="5">
        <v>28</v>
      </c>
      <c r="D64" s="5">
        <v>5</v>
      </c>
      <c r="E64" s="5" t="s">
        <v>1381</v>
      </c>
      <c r="F64" s="5" t="s">
        <v>1365</v>
      </c>
      <c r="G64" s="5">
        <v>0</v>
      </c>
      <c r="H64" s="5">
        <v>0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</row>
    <row r="65" spans="1:28" x14ac:dyDescent="0.25">
      <c r="A65" s="6" t="s">
        <v>1382</v>
      </c>
      <c r="B65" s="6" t="s">
        <v>26</v>
      </c>
      <c r="C65" s="6">
        <v>39</v>
      </c>
      <c r="D65" s="6">
        <v>19</v>
      </c>
      <c r="E65" s="6" t="s">
        <v>666</v>
      </c>
      <c r="F65" s="6" t="s">
        <v>1365</v>
      </c>
      <c r="G65" s="6">
        <v>0</v>
      </c>
      <c r="H65" s="6">
        <v>0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R65" s="6">
        <v>0</v>
      </c>
      <c r="S65" s="6">
        <v>0</v>
      </c>
      <c r="T65" s="6">
        <v>0</v>
      </c>
      <c r="U65" s="6">
        <v>0</v>
      </c>
      <c r="V65" s="6">
        <v>0</v>
      </c>
      <c r="W65" s="6">
        <v>0</v>
      </c>
      <c r="X65" s="6">
        <v>0</v>
      </c>
      <c r="Y65" s="6">
        <v>0</v>
      </c>
      <c r="Z65" s="6">
        <v>0</v>
      </c>
      <c r="AA65" s="6">
        <v>0</v>
      </c>
      <c r="AB65" s="6">
        <v>0</v>
      </c>
    </row>
    <row r="66" spans="1:28" x14ac:dyDescent="0.25">
      <c r="A66" s="5" t="s">
        <v>1426</v>
      </c>
      <c r="B66" s="5" t="s">
        <v>26</v>
      </c>
      <c r="C66" s="5">
        <v>25</v>
      </c>
      <c r="D66" s="5">
        <v>3</v>
      </c>
      <c r="E66" s="5" t="s">
        <v>362</v>
      </c>
      <c r="F66" s="5" t="s">
        <v>1413</v>
      </c>
      <c r="G66" s="5">
        <v>0</v>
      </c>
      <c r="H66" s="5">
        <v>0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</row>
    <row r="67" spans="1:28" x14ac:dyDescent="0.25">
      <c r="A67" s="6" t="s">
        <v>1427</v>
      </c>
      <c r="B67" s="6" t="s">
        <v>26</v>
      </c>
      <c r="C67" s="6">
        <v>25</v>
      </c>
      <c r="D67" s="6">
        <v>4</v>
      </c>
      <c r="E67" s="6" t="s">
        <v>68</v>
      </c>
      <c r="F67" s="6" t="s">
        <v>1413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R67" s="6">
        <v>0</v>
      </c>
      <c r="S67" s="6">
        <v>0</v>
      </c>
      <c r="T67" s="6">
        <v>0</v>
      </c>
      <c r="U67" s="6">
        <v>0</v>
      </c>
      <c r="V67" s="6">
        <v>0</v>
      </c>
      <c r="W67" s="6">
        <v>0</v>
      </c>
      <c r="X67" s="6">
        <v>0</v>
      </c>
      <c r="Y67" s="6">
        <v>0</v>
      </c>
      <c r="Z67" s="6">
        <v>0</v>
      </c>
      <c r="AA67" s="6">
        <v>0</v>
      </c>
      <c r="AB67" s="6">
        <v>0</v>
      </c>
    </row>
    <row r="68" spans="1:28" x14ac:dyDescent="0.25">
      <c r="A68" s="5" t="s">
        <v>1428</v>
      </c>
      <c r="B68" s="5" t="s">
        <v>26</v>
      </c>
      <c r="C68" s="5">
        <v>29</v>
      </c>
      <c r="D68" s="5">
        <v>9</v>
      </c>
      <c r="E68" s="5" t="s">
        <v>205</v>
      </c>
      <c r="F68" s="5" t="s">
        <v>1413</v>
      </c>
      <c r="G68" s="5">
        <v>0</v>
      </c>
      <c r="H68" s="5">
        <v>0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Z68" s="5">
        <v>0</v>
      </c>
      <c r="AA68" s="5">
        <v>0</v>
      </c>
      <c r="AB68" s="5">
        <v>0</v>
      </c>
    </row>
    <row r="69" spans="1:28" x14ac:dyDescent="0.25">
      <c r="A69" s="5" t="s">
        <v>1472</v>
      </c>
      <c r="B69" s="5" t="s">
        <v>26</v>
      </c>
      <c r="C69" s="5">
        <v>24</v>
      </c>
      <c r="D69" s="5">
        <v>0</v>
      </c>
      <c r="E69" s="5" t="s">
        <v>225</v>
      </c>
      <c r="F69" s="5" t="s">
        <v>1457</v>
      </c>
      <c r="G69" s="5">
        <v>0</v>
      </c>
      <c r="H69" s="5">
        <v>0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Z69" s="5">
        <v>0</v>
      </c>
      <c r="AA69" s="5">
        <v>0</v>
      </c>
      <c r="AB69" s="5">
        <v>0</v>
      </c>
    </row>
    <row r="70" spans="1:28" x14ac:dyDescent="0.25">
      <c r="A70" s="6" t="s">
        <v>1473</v>
      </c>
      <c r="B70" s="6" t="s">
        <v>26</v>
      </c>
      <c r="C70" s="6">
        <v>25</v>
      </c>
      <c r="D70" s="6">
        <v>2</v>
      </c>
      <c r="E70" s="6" t="s">
        <v>74</v>
      </c>
      <c r="F70" s="6" t="s">
        <v>1457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U70" s="6">
        <v>0</v>
      </c>
      <c r="V70" s="6">
        <v>0</v>
      </c>
      <c r="W70" s="6">
        <v>0</v>
      </c>
      <c r="X70" s="6">
        <v>0</v>
      </c>
      <c r="Y70" s="6">
        <v>0</v>
      </c>
      <c r="Z70" s="6">
        <v>0</v>
      </c>
      <c r="AA70" s="6">
        <v>0</v>
      </c>
      <c r="AB70" s="6">
        <v>0</v>
      </c>
    </row>
    <row r="71" spans="1:28" x14ac:dyDescent="0.25">
      <c r="A71" s="5" t="s">
        <v>1474</v>
      </c>
      <c r="B71" s="5" t="s">
        <v>26</v>
      </c>
      <c r="C71" s="5">
        <v>28</v>
      </c>
      <c r="D71" s="5">
        <v>6</v>
      </c>
      <c r="E71" s="5" t="s">
        <v>218</v>
      </c>
      <c r="F71" s="5" t="s">
        <v>1457</v>
      </c>
      <c r="G71" s="5">
        <v>0</v>
      </c>
      <c r="H71" s="5">
        <v>0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Z71" s="5">
        <v>0</v>
      </c>
      <c r="AA71" s="5">
        <v>0</v>
      </c>
      <c r="AB71" s="5">
        <v>0</v>
      </c>
    </row>
    <row r="72" spans="1:28" x14ac:dyDescent="0.25">
      <c r="A72" s="5" t="s">
        <v>1521</v>
      </c>
      <c r="B72" s="5" t="s">
        <v>26</v>
      </c>
      <c r="C72" s="5">
        <v>23</v>
      </c>
      <c r="D72" s="5">
        <v>0</v>
      </c>
      <c r="E72" s="5" t="s">
        <v>220</v>
      </c>
      <c r="F72" s="5" t="s">
        <v>1503</v>
      </c>
      <c r="G72" s="5">
        <v>0</v>
      </c>
      <c r="H72" s="5">
        <v>0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Z72" s="5">
        <v>0</v>
      </c>
      <c r="AA72" s="5">
        <v>0</v>
      </c>
      <c r="AB72" s="5">
        <v>0</v>
      </c>
    </row>
    <row r="73" spans="1:28" x14ac:dyDescent="0.25">
      <c r="A73" s="6" t="s">
        <v>1522</v>
      </c>
      <c r="B73" s="6" t="s">
        <v>26</v>
      </c>
      <c r="C73" s="6">
        <v>26</v>
      </c>
      <c r="D73" s="6">
        <v>5</v>
      </c>
      <c r="E73" s="6" t="s">
        <v>613</v>
      </c>
      <c r="F73" s="6" t="s">
        <v>1503</v>
      </c>
      <c r="G73" s="6">
        <v>0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R73" s="6">
        <v>0</v>
      </c>
      <c r="S73" s="6">
        <v>0</v>
      </c>
      <c r="T73" s="6">
        <v>0</v>
      </c>
      <c r="U73" s="6">
        <v>0</v>
      </c>
      <c r="V73" s="6">
        <v>0</v>
      </c>
      <c r="W73" s="6">
        <v>0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</row>
    <row r="74" spans="1:28" x14ac:dyDescent="0.25">
      <c r="A74" s="5" t="s">
        <v>1569</v>
      </c>
      <c r="B74" s="5" t="s">
        <v>26</v>
      </c>
      <c r="C74" s="5">
        <v>30</v>
      </c>
      <c r="D74" s="5">
        <v>7</v>
      </c>
      <c r="E74" s="5" t="s">
        <v>175</v>
      </c>
      <c r="F74" s="5" t="s">
        <v>1552</v>
      </c>
      <c r="G74" s="5">
        <v>0</v>
      </c>
      <c r="H74" s="5">
        <v>0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Z74" s="5">
        <v>0</v>
      </c>
      <c r="AA74" s="5">
        <v>0</v>
      </c>
      <c r="AB74" s="5">
        <v>0</v>
      </c>
    </row>
    <row r="75" spans="1:28" x14ac:dyDescent="0.25">
      <c r="A75" s="6" t="s">
        <v>1570</v>
      </c>
      <c r="B75" s="6" t="s">
        <v>26</v>
      </c>
      <c r="C75" s="6">
        <v>26</v>
      </c>
      <c r="D75" s="6">
        <v>6</v>
      </c>
      <c r="E75" s="6" t="s">
        <v>78</v>
      </c>
      <c r="F75" s="6" t="s">
        <v>1552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R75" s="6">
        <v>0</v>
      </c>
      <c r="S75" s="6">
        <v>0</v>
      </c>
      <c r="T75" s="6">
        <v>0</v>
      </c>
      <c r="U75" s="6">
        <v>0</v>
      </c>
      <c r="V75" s="6">
        <v>0</v>
      </c>
      <c r="W75" s="6">
        <v>0</v>
      </c>
      <c r="X75" s="6">
        <v>0</v>
      </c>
      <c r="Y75" s="6">
        <v>0</v>
      </c>
      <c r="Z75" s="6">
        <v>0</v>
      </c>
      <c r="AA75" s="6">
        <v>0</v>
      </c>
      <c r="AB75" s="6">
        <v>0</v>
      </c>
    </row>
    <row r="76" spans="1:28" x14ac:dyDescent="0.25">
      <c r="A76" s="5" t="s">
        <v>1571</v>
      </c>
      <c r="B76" s="5" t="s">
        <v>26</v>
      </c>
      <c r="C76" s="5">
        <v>23</v>
      </c>
      <c r="D76" s="5">
        <v>3</v>
      </c>
      <c r="E76" s="5" t="s">
        <v>555</v>
      </c>
      <c r="F76" s="5" t="s">
        <v>1552</v>
      </c>
      <c r="G76" s="5">
        <v>0</v>
      </c>
      <c r="H76" s="5">
        <v>0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 s="5">
        <v>0</v>
      </c>
      <c r="O76" s="5">
        <v>0</v>
      </c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Z76" s="5">
        <v>0</v>
      </c>
      <c r="AA76" s="5">
        <v>0</v>
      </c>
      <c r="AB76" s="5">
        <v>0</v>
      </c>
    </row>
    <row r="77" spans="1:28" x14ac:dyDescent="0.25">
      <c r="A77" s="5" t="s">
        <v>1618</v>
      </c>
      <c r="B77" s="5" t="s">
        <v>26</v>
      </c>
      <c r="C77" s="5">
        <v>28</v>
      </c>
      <c r="D77" s="5">
        <v>6</v>
      </c>
      <c r="E77" s="5" t="s">
        <v>68</v>
      </c>
      <c r="F77" s="5" t="s">
        <v>1599</v>
      </c>
      <c r="G77" s="5">
        <v>0</v>
      </c>
      <c r="H77" s="5">
        <v>0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 s="5">
        <v>0</v>
      </c>
      <c r="O77" s="5">
        <v>0</v>
      </c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0</v>
      </c>
      <c r="Z77" s="5">
        <v>0</v>
      </c>
      <c r="AA77" s="5">
        <v>0</v>
      </c>
      <c r="AB77" s="5">
        <v>0</v>
      </c>
    </row>
    <row r="78" spans="1:28" x14ac:dyDescent="0.25">
      <c r="A78" s="6" t="s">
        <v>1619</v>
      </c>
      <c r="B78" s="6" t="s">
        <v>26</v>
      </c>
      <c r="C78" s="6">
        <v>25</v>
      </c>
      <c r="D78" s="6">
        <v>3</v>
      </c>
      <c r="E78" s="6" t="s">
        <v>178</v>
      </c>
      <c r="F78" s="6" t="s">
        <v>1599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S78" s="6">
        <v>0</v>
      </c>
      <c r="T78" s="6">
        <v>0</v>
      </c>
      <c r="U78" s="6">
        <v>0</v>
      </c>
      <c r="V78" s="6">
        <v>0</v>
      </c>
      <c r="W78" s="6">
        <v>0</v>
      </c>
      <c r="X78" s="6">
        <v>0</v>
      </c>
      <c r="Y78" s="6">
        <v>0</v>
      </c>
      <c r="Z78" s="6">
        <v>0</v>
      </c>
      <c r="AA78" s="6">
        <v>0</v>
      </c>
      <c r="AB78" s="6">
        <v>0</v>
      </c>
    </row>
    <row r="79" spans="1:28" x14ac:dyDescent="0.25">
      <c r="A79" s="5" t="s">
        <v>1668</v>
      </c>
      <c r="B79" s="5" t="s">
        <v>26</v>
      </c>
      <c r="C79" s="5">
        <v>24</v>
      </c>
      <c r="D79" s="5">
        <v>0</v>
      </c>
      <c r="E79" s="5" t="s">
        <v>150</v>
      </c>
      <c r="F79" s="5" t="s">
        <v>1648</v>
      </c>
      <c r="G79" s="5">
        <v>0</v>
      </c>
      <c r="H79" s="5">
        <v>0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 s="5">
        <v>0</v>
      </c>
      <c r="O79" s="5">
        <v>0</v>
      </c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0</v>
      </c>
      <c r="Z79" s="5">
        <v>0</v>
      </c>
      <c r="AA79" s="5">
        <v>0</v>
      </c>
      <c r="AB79" s="5">
        <v>0</v>
      </c>
    </row>
    <row r="80" spans="1:28" x14ac:dyDescent="0.25">
      <c r="A80" s="6" t="s">
        <v>1669</v>
      </c>
      <c r="B80" s="6" t="s">
        <v>26</v>
      </c>
      <c r="C80" s="6">
        <v>35</v>
      </c>
      <c r="D80" s="6">
        <v>12</v>
      </c>
      <c r="E80" s="6" t="s">
        <v>307</v>
      </c>
      <c r="F80" s="6" t="s">
        <v>1648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S80" s="6">
        <v>0</v>
      </c>
      <c r="T80" s="6">
        <v>0</v>
      </c>
      <c r="U80" s="6">
        <v>0</v>
      </c>
      <c r="V80" s="6">
        <v>0</v>
      </c>
      <c r="W80" s="6">
        <v>0</v>
      </c>
      <c r="X80" s="6">
        <v>0</v>
      </c>
      <c r="Y80" s="6">
        <v>0</v>
      </c>
      <c r="Z80" s="6">
        <v>0</v>
      </c>
      <c r="AA80" s="6">
        <v>0</v>
      </c>
      <c r="AB80" s="6">
        <v>0</v>
      </c>
    </row>
    <row r="81" spans="1:28" x14ac:dyDescent="0.25">
      <c r="A81" s="5" t="s">
        <v>1717</v>
      </c>
      <c r="B81" s="5" t="s">
        <v>26</v>
      </c>
      <c r="C81" s="5">
        <v>30</v>
      </c>
      <c r="D81" s="5">
        <v>8</v>
      </c>
      <c r="E81" s="5" t="s">
        <v>1113</v>
      </c>
      <c r="F81" s="5" t="s">
        <v>1699</v>
      </c>
      <c r="G81" s="5">
        <v>0</v>
      </c>
      <c r="H81" s="5">
        <v>0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 s="5">
        <v>0</v>
      </c>
      <c r="O81" s="5">
        <v>0</v>
      </c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0</v>
      </c>
      <c r="Z81" s="5">
        <v>0</v>
      </c>
      <c r="AA81" s="5">
        <v>0</v>
      </c>
      <c r="AB81" s="5">
        <v>0</v>
      </c>
    </row>
    <row r="82" spans="1:28" x14ac:dyDescent="0.25">
      <c r="A82" s="6" t="s">
        <v>1718</v>
      </c>
      <c r="B82" s="6" t="s">
        <v>26</v>
      </c>
      <c r="C82" s="6">
        <v>25</v>
      </c>
      <c r="D82" s="6">
        <v>3</v>
      </c>
      <c r="E82" s="6" t="s">
        <v>173</v>
      </c>
      <c r="F82" s="6" t="s">
        <v>1699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6">
        <v>0</v>
      </c>
      <c r="O82" s="6">
        <v>0</v>
      </c>
      <c r="P82" s="6">
        <v>0</v>
      </c>
      <c r="Q82" s="6">
        <v>0</v>
      </c>
      <c r="R82" s="6">
        <v>0</v>
      </c>
      <c r="S82" s="6">
        <v>0</v>
      </c>
      <c r="T82" s="6">
        <v>0</v>
      </c>
      <c r="U82" s="6">
        <v>0</v>
      </c>
      <c r="V82" s="6">
        <v>0</v>
      </c>
      <c r="W82" s="6">
        <v>0</v>
      </c>
      <c r="X82" s="6">
        <v>0</v>
      </c>
      <c r="Y82" s="6">
        <v>0</v>
      </c>
      <c r="Z82" s="6">
        <v>0</v>
      </c>
      <c r="AA82" s="6">
        <v>0</v>
      </c>
      <c r="AB82" s="6">
        <v>0</v>
      </c>
    </row>
    <row r="83" spans="1:28" x14ac:dyDescent="0.25">
      <c r="A83" s="8" t="s">
        <v>1719</v>
      </c>
      <c r="B83" s="8" t="s">
        <v>26</v>
      </c>
      <c r="C83" s="8">
        <v>22</v>
      </c>
      <c r="D83" s="8">
        <v>2</v>
      </c>
      <c r="E83" s="8" t="s">
        <v>163</v>
      </c>
      <c r="F83" s="8" t="s">
        <v>1699</v>
      </c>
      <c r="G83" s="8">
        <v>0</v>
      </c>
      <c r="H83" s="8">
        <v>0</v>
      </c>
      <c r="I83" s="8">
        <v>0</v>
      </c>
      <c r="J83" s="8">
        <v>0</v>
      </c>
      <c r="K83" s="8">
        <v>0</v>
      </c>
      <c r="L83" s="8">
        <v>0</v>
      </c>
      <c r="M83" s="8">
        <v>0</v>
      </c>
      <c r="N83" s="8">
        <v>0</v>
      </c>
      <c r="O83" s="8">
        <v>0</v>
      </c>
      <c r="P83" s="8">
        <v>0</v>
      </c>
      <c r="Q83" s="8">
        <v>0</v>
      </c>
      <c r="R83" s="8">
        <v>0</v>
      </c>
      <c r="S83" s="8">
        <v>0</v>
      </c>
      <c r="T83" s="8">
        <v>0</v>
      </c>
      <c r="U83" s="8">
        <v>0</v>
      </c>
      <c r="V83" s="8">
        <v>0</v>
      </c>
      <c r="W83" s="8">
        <v>0</v>
      </c>
      <c r="X83" s="8">
        <v>0</v>
      </c>
      <c r="Y83" s="8">
        <v>0</v>
      </c>
      <c r="Z83" s="8">
        <v>0</v>
      </c>
      <c r="AA83" s="8">
        <v>0</v>
      </c>
      <c r="AB83" s="8">
        <v>0</v>
      </c>
    </row>
  </sheetData>
  <pageMargins left="0.7" right="0.7" top="0.75" bottom="0.75" header="0.3" footer="0.3"/>
  <tableParts count="1">
    <tablePart r:id="rId1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BB97D-119C-4451-B072-58993C8CD7C1}">
  <sheetPr codeName="Sheet35"/>
  <dimension ref="A1:AB167"/>
  <sheetViews>
    <sheetView workbookViewId="0"/>
  </sheetViews>
  <sheetFormatPr defaultRowHeight="15" x14ac:dyDescent="0.25"/>
  <cols>
    <col min="1" max="1" width="23.28515625" bestFit="1" customWidth="1"/>
    <col min="2" max="2" width="6.7109375" customWidth="1"/>
    <col min="3" max="3" width="6.5703125" customWidth="1"/>
    <col min="4" max="4" width="6.28515625" customWidth="1"/>
    <col min="5" max="5" width="19.85546875" bestFit="1" customWidth="1"/>
    <col min="6" max="6" width="7.7109375" customWidth="1"/>
    <col min="7" max="7" width="4.140625" customWidth="1"/>
    <col min="8" max="8" width="7.7109375" customWidth="1"/>
    <col min="9" max="9" width="6.85546875" customWidth="1"/>
    <col min="10" max="10" width="7.42578125" customWidth="1"/>
    <col min="11" max="11" width="7.140625" customWidth="1"/>
    <col min="12" max="12" width="5.5703125" customWidth="1"/>
    <col min="13" max="13" width="5.7109375" customWidth="1"/>
    <col min="14" max="14" width="7" customWidth="1"/>
    <col min="15" max="15" width="6.7109375" customWidth="1"/>
    <col min="16" max="16" width="5.5703125" customWidth="1"/>
    <col min="17" max="17" width="5.85546875" customWidth="1"/>
    <col min="18" max="18" width="9" customWidth="1"/>
    <col min="19" max="19" width="8.7109375" customWidth="1"/>
    <col min="20" max="20" width="6.7109375" customWidth="1"/>
    <col min="21" max="21" width="6.85546875" customWidth="1"/>
    <col min="22" max="22" width="7.85546875" customWidth="1"/>
    <col min="23" max="23" width="11.42578125" customWidth="1"/>
    <col min="24" max="25" width="7.7109375" bestFit="1" customWidth="1"/>
    <col min="26" max="26" width="10.5703125" customWidth="1"/>
    <col min="27" max="27" width="9.5703125" customWidth="1"/>
    <col min="28" max="28" width="11.28515625" customWidth="1"/>
  </cols>
  <sheetData>
    <row r="1" spans="1:28" x14ac:dyDescent="0.25">
      <c r="A1" s="7" t="s">
        <v>55</v>
      </c>
      <c r="B1" s="7" t="s">
        <v>56</v>
      </c>
      <c r="C1" s="7" t="s">
        <v>57</v>
      </c>
      <c r="D1" s="7" t="s">
        <v>58</v>
      </c>
      <c r="E1" s="7" t="s">
        <v>59</v>
      </c>
      <c r="F1" s="7" t="s">
        <v>52</v>
      </c>
      <c r="G1" s="7" t="s">
        <v>3</v>
      </c>
      <c r="H1" s="7" t="s">
        <v>4</v>
      </c>
      <c r="I1" s="7" t="s">
        <v>5</v>
      </c>
      <c r="J1" s="7" t="s">
        <v>6</v>
      </c>
      <c r="K1" s="7" t="s">
        <v>7</v>
      </c>
      <c r="L1" s="7" t="s">
        <v>8</v>
      </c>
      <c r="M1" s="7" t="s">
        <v>9</v>
      </c>
      <c r="N1" s="7" t="s">
        <v>10</v>
      </c>
      <c r="O1" s="7" t="s">
        <v>11</v>
      </c>
      <c r="P1" s="7" t="s">
        <v>12</v>
      </c>
      <c r="Q1" s="7" t="s">
        <v>13</v>
      </c>
      <c r="R1" s="7" t="s">
        <v>14</v>
      </c>
      <c r="S1" s="7" t="s">
        <v>15</v>
      </c>
      <c r="T1" s="7" t="s">
        <v>16</v>
      </c>
      <c r="U1" s="7" t="s">
        <v>17</v>
      </c>
      <c r="V1" s="7" t="s">
        <v>18</v>
      </c>
      <c r="W1" s="7" t="s">
        <v>19</v>
      </c>
      <c r="X1" s="7" t="s">
        <v>20</v>
      </c>
      <c r="Y1" s="7" t="s">
        <v>21</v>
      </c>
      <c r="Z1" s="7" t="s">
        <v>22</v>
      </c>
      <c r="AA1" s="7" t="s">
        <v>23</v>
      </c>
      <c r="AB1" s="7" t="s">
        <v>60</v>
      </c>
    </row>
    <row r="2" spans="1:28" x14ac:dyDescent="0.25">
      <c r="A2" s="5" t="s">
        <v>71</v>
      </c>
      <c r="B2" s="5" t="s">
        <v>31</v>
      </c>
      <c r="C2" s="5">
        <v>28</v>
      </c>
      <c r="D2" s="5">
        <v>7</v>
      </c>
      <c r="E2" s="5" t="s">
        <v>72</v>
      </c>
      <c r="F2" s="5" t="s">
        <v>25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f>($J2*0.04)+($K2*4)+($L2*-2)+($N2*0.1)+($O2*6)+($Q2)+($R2*0.1)+($S2*6)+($T2*-2)</f>
        <v>0</v>
      </c>
      <c r="W2" s="5" t="e">
        <f>$P2/$H$33</f>
        <v>#DIV/0!</v>
      </c>
      <c r="X2" s="5" t="e">
        <f>$N2/$M2</f>
        <v>#DIV/0!</v>
      </c>
      <c r="Y2" s="5" t="e">
        <f>$R2/$Q2</f>
        <v>#DIV/0!</v>
      </c>
      <c r="Z2" s="5" t="e">
        <f t="shared" ref="Z2:Z6" si="0">$R2/$Q2</f>
        <v>#DIV/0!</v>
      </c>
      <c r="AA2" s="5" t="e">
        <f>$J2/$H2</f>
        <v>#DIV/0!</v>
      </c>
      <c r="AB2" s="5">
        <f>($J2*Cp_yd)+($K2*Cp_td)+($L2*Cint)+($M2*Ccar)+($N2*Cr_td)+($O2*Cr_yd)+(Q2*Crec)+($R2*Crec_yd)+($S2*Crec_td)+($T2*Cfmb)+($U2*Ctp_c)</f>
        <v>0</v>
      </c>
    </row>
    <row r="3" spans="1:28" x14ac:dyDescent="0.25">
      <c r="A3" s="6" t="s">
        <v>73</v>
      </c>
      <c r="B3" s="6" t="s">
        <v>31</v>
      </c>
      <c r="C3" s="6">
        <v>28</v>
      </c>
      <c r="D3" s="6">
        <v>7</v>
      </c>
      <c r="E3" s="6" t="s">
        <v>74</v>
      </c>
      <c r="F3" s="6" t="s">
        <v>25</v>
      </c>
      <c r="G3" s="6">
        <v>0</v>
      </c>
      <c r="H3" s="6">
        <v>0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  <c r="R3" s="6">
        <v>0</v>
      </c>
      <c r="S3" s="6">
        <v>0</v>
      </c>
      <c r="T3" s="6">
        <v>0</v>
      </c>
      <c r="U3" s="6">
        <v>0</v>
      </c>
      <c r="V3" s="6">
        <f t="shared" ref="V3:V6" si="1">($J3*0.04)+($K3*4)+($L3*-2)+($N3*0.1)+($O3*6)+($Q3)+($R3*0.1)+($S3*6)+($T3*-2)</f>
        <v>0</v>
      </c>
      <c r="W3" s="6" t="e">
        <f t="shared" ref="W3:W6" si="2">$P3/$H$33</f>
        <v>#DIV/0!</v>
      </c>
      <c r="X3" s="6" t="e">
        <f t="shared" ref="X3:X6" si="3">$N3/$M3</f>
        <v>#DIV/0!</v>
      </c>
      <c r="Y3" s="6" t="e">
        <f t="shared" ref="Y3:Y6" si="4">$R3/$Q3</f>
        <v>#DIV/0!</v>
      </c>
      <c r="Z3" s="6" t="e">
        <f t="shared" si="0"/>
        <v>#DIV/0!</v>
      </c>
      <c r="AA3" s="6" t="e">
        <f t="shared" ref="AA3:AA6" si="5">$J3/$H3</f>
        <v>#DIV/0!</v>
      </c>
      <c r="AB3" s="6">
        <f t="shared" ref="AB3:AB16" si="6">($J3*Cp_yd)+($K3*Cp_td)+($L3*Cint)+($M3*Ccar)+($N3*Cr_td)+($O3*Cr_yd)+(Q3*Crec)+($R3*Crec_yd)+($S3*Crec_td)+($T3*Cfmb)+($U3*Ctp_c)</f>
        <v>0</v>
      </c>
    </row>
    <row r="4" spans="1:28" x14ac:dyDescent="0.25">
      <c r="A4" s="5" t="s">
        <v>75</v>
      </c>
      <c r="B4" s="5" t="s">
        <v>31</v>
      </c>
      <c r="C4" s="5">
        <v>24</v>
      </c>
      <c r="D4" s="5">
        <v>0</v>
      </c>
      <c r="E4" s="5" t="s">
        <v>76</v>
      </c>
      <c r="F4" s="5" t="s">
        <v>25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f t="shared" si="1"/>
        <v>0</v>
      </c>
      <c r="W4" s="5" t="e">
        <f t="shared" si="2"/>
        <v>#DIV/0!</v>
      </c>
      <c r="X4" s="5" t="e">
        <f t="shared" si="3"/>
        <v>#DIV/0!</v>
      </c>
      <c r="Y4" s="5" t="e">
        <f t="shared" si="4"/>
        <v>#DIV/0!</v>
      </c>
      <c r="Z4" s="5" t="e">
        <f t="shared" si="0"/>
        <v>#DIV/0!</v>
      </c>
      <c r="AA4" s="5" t="e">
        <f t="shared" si="5"/>
        <v>#DIV/0!</v>
      </c>
      <c r="AB4" s="5">
        <f t="shared" si="6"/>
        <v>0</v>
      </c>
    </row>
    <row r="5" spans="1:28" x14ac:dyDescent="0.25">
      <c r="A5" s="6" t="s">
        <v>77</v>
      </c>
      <c r="B5" s="6" t="s">
        <v>31</v>
      </c>
      <c r="C5" s="6">
        <v>23</v>
      </c>
      <c r="D5" s="6">
        <v>2</v>
      </c>
      <c r="E5" s="6" t="s">
        <v>78</v>
      </c>
      <c r="F5" s="6" t="s">
        <v>25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  <c r="P5" s="6">
        <v>0</v>
      </c>
      <c r="Q5" s="6">
        <v>0</v>
      </c>
      <c r="R5" s="6">
        <v>0</v>
      </c>
      <c r="S5" s="6">
        <v>0</v>
      </c>
      <c r="T5" s="6">
        <v>0</v>
      </c>
      <c r="U5" s="6">
        <v>0</v>
      </c>
      <c r="V5" s="6">
        <f t="shared" si="1"/>
        <v>0</v>
      </c>
      <c r="W5" s="6" t="e">
        <f t="shared" si="2"/>
        <v>#DIV/0!</v>
      </c>
      <c r="X5" s="6" t="e">
        <f t="shared" si="3"/>
        <v>#DIV/0!</v>
      </c>
      <c r="Y5" s="6" t="e">
        <f t="shared" si="4"/>
        <v>#DIV/0!</v>
      </c>
      <c r="Z5" s="6" t="e">
        <f t="shared" si="0"/>
        <v>#DIV/0!</v>
      </c>
      <c r="AA5" s="6" t="e">
        <f t="shared" si="5"/>
        <v>#DIV/0!</v>
      </c>
      <c r="AB5" s="6">
        <f t="shared" si="6"/>
        <v>0</v>
      </c>
    </row>
    <row r="6" spans="1:28" x14ac:dyDescent="0.25">
      <c r="A6" s="5" t="s">
        <v>79</v>
      </c>
      <c r="B6" s="5" t="s">
        <v>31</v>
      </c>
      <c r="C6" s="5">
        <v>27</v>
      </c>
      <c r="D6" s="5">
        <v>7</v>
      </c>
      <c r="E6" s="5" t="s">
        <v>80</v>
      </c>
      <c r="F6" s="5" t="s">
        <v>25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0</v>
      </c>
      <c r="N6" s="5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f t="shared" si="1"/>
        <v>0</v>
      </c>
      <c r="W6" s="5" t="e">
        <f t="shared" si="2"/>
        <v>#DIV/0!</v>
      </c>
      <c r="X6" s="5" t="e">
        <f t="shared" si="3"/>
        <v>#DIV/0!</v>
      </c>
      <c r="Y6" s="5" t="e">
        <f t="shared" si="4"/>
        <v>#DIV/0!</v>
      </c>
      <c r="Z6" s="5" t="e">
        <f t="shared" si="0"/>
        <v>#DIV/0!</v>
      </c>
      <c r="AA6" s="5" t="e">
        <f t="shared" si="5"/>
        <v>#DIV/0!</v>
      </c>
      <c r="AB6" s="5">
        <f t="shared" si="6"/>
        <v>0</v>
      </c>
    </row>
    <row r="7" spans="1:28" x14ac:dyDescent="0.25">
      <c r="A7" s="5" t="s">
        <v>139</v>
      </c>
      <c r="B7" s="5" t="s">
        <v>31</v>
      </c>
      <c r="C7" s="5">
        <v>23</v>
      </c>
      <c r="D7" s="5">
        <v>2</v>
      </c>
      <c r="E7" s="5" t="s">
        <v>82</v>
      </c>
      <c r="F7" s="5" t="s">
        <v>114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0</v>
      </c>
      <c r="N7" s="5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Z7" s="5">
        <v>0</v>
      </c>
      <c r="AA7" s="5">
        <v>0</v>
      </c>
      <c r="AB7" s="5">
        <f t="shared" si="6"/>
        <v>0</v>
      </c>
    </row>
    <row r="8" spans="1:28" x14ac:dyDescent="0.25">
      <c r="A8" s="6" t="s">
        <v>140</v>
      </c>
      <c r="B8" s="6" t="s">
        <v>31</v>
      </c>
      <c r="C8" s="6">
        <v>28</v>
      </c>
      <c r="D8" s="6">
        <v>5</v>
      </c>
      <c r="E8" s="6" t="s">
        <v>141</v>
      </c>
      <c r="F8" s="6" t="s">
        <v>114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S8" s="6">
        <v>0</v>
      </c>
      <c r="T8" s="6">
        <v>0</v>
      </c>
      <c r="U8" s="6">
        <v>0</v>
      </c>
      <c r="V8" s="6">
        <v>0</v>
      </c>
      <c r="W8" s="6">
        <v>0</v>
      </c>
      <c r="X8" s="6">
        <v>0</v>
      </c>
      <c r="Y8" s="6">
        <v>0</v>
      </c>
      <c r="Z8" s="6">
        <v>0</v>
      </c>
      <c r="AA8" s="6">
        <v>0</v>
      </c>
      <c r="AB8" s="6">
        <f t="shared" si="6"/>
        <v>0</v>
      </c>
    </row>
    <row r="9" spans="1:28" x14ac:dyDescent="0.25">
      <c r="A9" s="5" t="s">
        <v>142</v>
      </c>
      <c r="B9" s="5" t="s">
        <v>31</v>
      </c>
      <c r="C9" s="5">
        <v>32</v>
      </c>
      <c r="D9" s="5">
        <v>11</v>
      </c>
      <c r="E9" s="5" t="s">
        <v>143</v>
      </c>
      <c r="F9" s="5" t="s">
        <v>114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f t="shared" si="6"/>
        <v>0</v>
      </c>
    </row>
    <row r="10" spans="1:28" x14ac:dyDescent="0.25">
      <c r="A10" s="6" t="s">
        <v>144</v>
      </c>
      <c r="B10" s="6" t="s">
        <v>31</v>
      </c>
      <c r="C10" s="6">
        <v>25</v>
      </c>
      <c r="D10" s="6">
        <v>1</v>
      </c>
      <c r="E10" s="6" t="s">
        <v>145</v>
      </c>
      <c r="F10" s="6" t="s">
        <v>114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f t="shared" si="6"/>
        <v>0</v>
      </c>
    </row>
    <row r="11" spans="1:28" x14ac:dyDescent="0.25">
      <c r="A11" s="5" t="s">
        <v>146</v>
      </c>
      <c r="B11" s="5" t="s">
        <v>31</v>
      </c>
      <c r="C11" s="5">
        <v>21</v>
      </c>
      <c r="D11" s="5">
        <v>0</v>
      </c>
      <c r="E11" s="5" t="s">
        <v>66</v>
      </c>
      <c r="F11" s="5" t="s">
        <v>114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f t="shared" si="6"/>
        <v>0</v>
      </c>
    </row>
    <row r="12" spans="1:28" x14ac:dyDescent="0.25">
      <c r="A12" s="5" t="s">
        <v>212</v>
      </c>
      <c r="B12" s="5" t="s">
        <v>31</v>
      </c>
      <c r="C12" s="5">
        <v>24</v>
      </c>
      <c r="D12" s="5">
        <v>4</v>
      </c>
      <c r="E12" s="5" t="s">
        <v>213</v>
      </c>
      <c r="F12" s="5" t="s">
        <v>184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f t="shared" si="6"/>
        <v>0</v>
      </c>
    </row>
    <row r="13" spans="1:28" x14ac:dyDescent="0.25">
      <c r="A13" s="6" t="s">
        <v>214</v>
      </c>
      <c r="B13" s="6" t="s">
        <v>31</v>
      </c>
      <c r="C13" s="6">
        <v>28</v>
      </c>
      <c r="D13" s="6">
        <v>6</v>
      </c>
      <c r="E13" s="6" t="s">
        <v>215</v>
      </c>
      <c r="F13" s="6" t="s">
        <v>184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S13" s="6">
        <v>0</v>
      </c>
      <c r="T13" s="6">
        <v>0</v>
      </c>
      <c r="U13" s="6">
        <v>0</v>
      </c>
      <c r="V13" s="6">
        <v>0</v>
      </c>
      <c r="W13" s="6">
        <v>0</v>
      </c>
      <c r="X13" s="6">
        <v>0</v>
      </c>
      <c r="Y13" s="6">
        <v>0</v>
      </c>
      <c r="Z13" s="6">
        <v>0</v>
      </c>
      <c r="AA13" s="6">
        <v>0</v>
      </c>
      <c r="AB13" s="6">
        <f t="shared" si="6"/>
        <v>0</v>
      </c>
    </row>
    <row r="14" spans="1:28" x14ac:dyDescent="0.25">
      <c r="A14" s="5" t="s">
        <v>216</v>
      </c>
      <c r="B14" s="5" t="s">
        <v>31</v>
      </c>
      <c r="C14" s="5">
        <v>30</v>
      </c>
      <c r="D14" s="5">
        <v>9</v>
      </c>
      <c r="E14" s="5" t="s">
        <v>72</v>
      </c>
      <c r="F14" s="5" t="s">
        <v>184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f t="shared" si="6"/>
        <v>0</v>
      </c>
    </row>
    <row r="15" spans="1:28" x14ac:dyDescent="0.25">
      <c r="A15" s="6" t="s">
        <v>217</v>
      </c>
      <c r="B15" s="6" t="s">
        <v>31</v>
      </c>
      <c r="C15" s="6">
        <v>25</v>
      </c>
      <c r="D15" s="6">
        <v>5</v>
      </c>
      <c r="E15" s="6" t="s">
        <v>218</v>
      </c>
      <c r="F15" s="6" t="s">
        <v>184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R15" s="6">
        <v>0</v>
      </c>
      <c r="S15" s="6">
        <v>0</v>
      </c>
      <c r="T15" s="6">
        <v>0</v>
      </c>
      <c r="U15" s="6">
        <v>0</v>
      </c>
      <c r="V15" s="6">
        <v>0</v>
      </c>
      <c r="W15" s="6">
        <v>0</v>
      </c>
      <c r="X15" s="6">
        <v>0</v>
      </c>
      <c r="Y15" s="6">
        <v>0</v>
      </c>
      <c r="Z15" s="6">
        <v>0</v>
      </c>
      <c r="AA15" s="6">
        <v>0</v>
      </c>
      <c r="AB15" s="6">
        <f t="shared" si="6"/>
        <v>0</v>
      </c>
    </row>
    <row r="16" spans="1:28" x14ac:dyDescent="0.25">
      <c r="A16" s="5" t="s">
        <v>219</v>
      </c>
      <c r="B16" s="5" t="s">
        <v>31</v>
      </c>
      <c r="C16" s="5">
        <v>21</v>
      </c>
      <c r="D16" s="5">
        <v>0</v>
      </c>
      <c r="E16" s="5" t="s">
        <v>220</v>
      </c>
      <c r="F16" s="5" t="s">
        <v>184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f t="shared" si="6"/>
        <v>0</v>
      </c>
    </row>
    <row r="17" spans="1:28" x14ac:dyDescent="0.25">
      <c r="A17" s="5" t="s">
        <v>275</v>
      </c>
      <c r="B17" s="5" t="s">
        <v>31</v>
      </c>
      <c r="C17" s="5">
        <v>23</v>
      </c>
      <c r="D17" s="5">
        <v>2</v>
      </c>
      <c r="E17" s="5" t="s">
        <v>173</v>
      </c>
      <c r="F17" s="5" t="s">
        <v>250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f t="shared" ref="AB17:AB28" si="7">($J17*Cp_yd)+($K17*Cp_td)+($L17*Cint)+($M17*Ccar)+($N17*Cr_td)+($O17*Cr_yd)+(Q17*Crec)+($R17*Crec_yd)+($S17*Crec_td)+($T17*Cfmb)+($U17*Ctp_c)</f>
        <v>0</v>
      </c>
    </row>
    <row r="18" spans="1:28" x14ac:dyDescent="0.25">
      <c r="A18" s="6" t="s">
        <v>276</v>
      </c>
      <c r="B18" s="6" t="s">
        <v>31</v>
      </c>
      <c r="C18" s="6">
        <v>25</v>
      </c>
      <c r="D18" s="6">
        <v>4</v>
      </c>
      <c r="E18" s="6" t="s">
        <v>277</v>
      </c>
      <c r="F18" s="6" t="s">
        <v>250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S18" s="6">
        <v>0</v>
      </c>
      <c r="T18" s="6">
        <v>0</v>
      </c>
      <c r="U18" s="6">
        <v>0</v>
      </c>
      <c r="V18" s="6">
        <v>0</v>
      </c>
      <c r="W18" s="6">
        <v>0</v>
      </c>
      <c r="X18" s="6">
        <v>0</v>
      </c>
      <c r="Y18" s="6">
        <v>0</v>
      </c>
      <c r="Z18" s="6">
        <v>0</v>
      </c>
      <c r="AA18" s="6">
        <v>0</v>
      </c>
      <c r="AB18" s="6">
        <f t="shared" si="7"/>
        <v>0</v>
      </c>
    </row>
    <row r="19" spans="1:28" x14ac:dyDescent="0.25">
      <c r="A19" s="5" t="s">
        <v>278</v>
      </c>
      <c r="B19" s="5" t="s">
        <v>31</v>
      </c>
      <c r="C19" s="5">
        <v>26</v>
      </c>
      <c r="D19" s="5">
        <v>5</v>
      </c>
      <c r="E19" s="5" t="s">
        <v>153</v>
      </c>
      <c r="F19" s="5" t="s">
        <v>250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f t="shared" si="7"/>
        <v>0</v>
      </c>
    </row>
    <row r="20" spans="1:28" x14ac:dyDescent="0.25">
      <c r="A20" s="6" t="s">
        <v>279</v>
      </c>
      <c r="B20" s="6" t="s">
        <v>31</v>
      </c>
      <c r="C20" s="6">
        <v>24</v>
      </c>
      <c r="D20" s="6">
        <v>0</v>
      </c>
      <c r="E20" s="6" t="s">
        <v>280</v>
      </c>
      <c r="F20" s="6" t="s">
        <v>250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R20" s="6">
        <v>0</v>
      </c>
      <c r="S20" s="6">
        <v>0</v>
      </c>
      <c r="T20" s="6">
        <v>0</v>
      </c>
      <c r="U20" s="6">
        <v>0</v>
      </c>
      <c r="V20" s="6">
        <v>0</v>
      </c>
      <c r="W20" s="6">
        <v>0</v>
      </c>
      <c r="X20" s="6">
        <v>0</v>
      </c>
      <c r="Y20" s="6">
        <v>0</v>
      </c>
      <c r="Z20" s="6">
        <v>0</v>
      </c>
      <c r="AA20" s="6">
        <v>0</v>
      </c>
      <c r="AB20" s="6">
        <f t="shared" si="7"/>
        <v>0</v>
      </c>
    </row>
    <row r="21" spans="1:28" x14ac:dyDescent="0.25">
      <c r="A21" s="5" t="s">
        <v>332</v>
      </c>
      <c r="B21" s="5" t="s">
        <v>31</v>
      </c>
      <c r="C21" s="5">
        <v>25</v>
      </c>
      <c r="D21" s="5">
        <v>2</v>
      </c>
      <c r="E21" s="5" t="s">
        <v>333</v>
      </c>
      <c r="F21" s="5" t="s">
        <v>311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f t="shared" si="7"/>
        <v>0</v>
      </c>
    </row>
    <row r="22" spans="1:28" x14ac:dyDescent="0.25">
      <c r="A22" s="6" t="s">
        <v>334</v>
      </c>
      <c r="B22" s="6" t="s">
        <v>31</v>
      </c>
      <c r="C22" s="6">
        <v>24</v>
      </c>
      <c r="D22" s="6">
        <v>1</v>
      </c>
      <c r="E22" s="6" t="s">
        <v>335</v>
      </c>
      <c r="F22" s="6" t="s">
        <v>311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S22" s="6">
        <v>0</v>
      </c>
      <c r="T22" s="6">
        <v>0</v>
      </c>
      <c r="U22" s="6">
        <v>0</v>
      </c>
      <c r="V22" s="6">
        <v>0</v>
      </c>
      <c r="W22" s="6">
        <v>0</v>
      </c>
      <c r="X22" s="6">
        <v>0</v>
      </c>
      <c r="Y22" s="6">
        <v>0</v>
      </c>
      <c r="Z22" s="6">
        <v>0</v>
      </c>
      <c r="AA22" s="6">
        <v>0</v>
      </c>
      <c r="AB22" s="6">
        <f t="shared" si="7"/>
        <v>0</v>
      </c>
    </row>
    <row r="23" spans="1:28" x14ac:dyDescent="0.25">
      <c r="A23" s="5" t="s">
        <v>336</v>
      </c>
      <c r="B23" s="5" t="s">
        <v>31</v>
      </c>
      <c r="C23" s="5">
        <v>24</v>
      </c>
      <c r="D23" s="5">
        <v>3</v>
      </c>
      <c r="E23" s="5" t="s">
        <v>218</v>
      </c>
      <c r="F23" s="5" t="s">
        <v>311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f t="shared" si="7"/>
        <v>0</v>
      </c>
    </row>
    <row r="24" spans="1:28" x14ac:dyDescent="0.25">
      <c r="A24" s="6" t="s">
        <v>337</v>
      </c>
      <c r="B24" s="6" t="s">
        <v>31</v>
      </c>
      <c r="C24" s="6">
        <v>23</v>
      </c>
      <c r="D24" s="6">
        <v>0</v>
      </c>
      <c r="E24" s="6" t="s">
        <v>277</v>
      </c>
      <c r="F24" s="6" t="s">
        <v>311</v>
      </c>
      <c r="G24" s="6">
        <v>0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R24" s="6">
        <v>0</v>
      </c>
      <c r="S24" s="6">
        <v>0</v>
      </c>
      <c r="T24" s="6">
        <v>0</v>
      </c>
      <c r="U24" s="6">
        <v>0</v>
      </c>
      <c r="V24" s="6">
        <v>0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6">
        <f t="shared" si="7"/>
        <v>0</v>
      </c>
    </row>
    <row r="25" spans="1:28" x14ac:dyDescent="0.25">
      <c r="A25" s="5" t="s">
        <v>392</v>
      </c>
      <c r="B25" s="5" t="s">
        <v>31</v>
      </c>
      <c r="C25" s="5">
        <v>24</v>
      </c>
      <c r="D25" s="5">
        <v>2</v>
      </c>
      <c r="E25" s="5" t="s">
        <v>393</v>
      </c>
      <c r="F25" s="5" t="s">
        <v>364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f t="shared" si="7"/>
        <v>0</v>
      </c>
    </row>
    <row r="26" spans="1:28" x14ac:dyDescent="0.25">
      <c r="A26" s="6" t="s">
        <v>394</v>
      </c>
      <c r="B26" s="6" t="s">
        <v>31</v>
      </c>
      <c r="C26" s="6">
        <v>27</v>
      </c>
      <c r="D26" s="6">
        <v>6</v>
      </c>
      <c r="E26" s="6" t="s">
        <v>66</v>
      </c>
      <c r="F26" s="6" t="s">
        <v>364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v>0</v>
      </c>
      <c r="W26" s="6">
        <v>0</v>
      </c>
      <c r="X26" s="6">
        <v>0</v>
      </c>
      <c r="Y26" s="6">
        <v>0</v>
      </c>
      <c r="Z26" s="6">
        <v>0</v>
      </c>
      <c r="AA26" s="6">
        <v>0</v>
      </c>
      <c r="AB26" s="6">
        <f t="shared" si="7"/>
        <v>0</v>
      </c>
    </row>
    <row r="27" spans="1:28" x14ac:dyDescent="0.25">
      <c r="A27" s="5" t="s">
        <v>395</v>
      </c>
      <c r="B27" s="5" t="s">
        <v>31</v>
      </c>
      <c r="C27" s="5">
        <v>25</v>
      </c>
      <c r="D27" s="5">
        <v>3</v>
      </c>
      <c r="E27" s="5" t="s">
        <v>333</v>
      </c>
      <c r="F27" s="5" t="s">
        <v>364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f t="shared" si="7"/>
        <v>0</v>
      </c>
    </row>
    <row r="28" spans="1:28" x14ac:dyDescent="0.25">
      <c r="A28" s="6" t="s">
        <v>396</v>
      </c>
      <c r="B28" s="6" t="s">
        <v>31</v>
      </c>
      <c r="C28" s="6">
        <v>25</v>
      </c>
      <c r="D28" s="6">
        <v>5</v>
      </c>
      <c r="E28" s="6" t="s">
        <v>397</v>
      </c>
      <c r="F28" s="6" t="s">
        <v>364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S28" s="6">
        <v>0</v>
      </c>
      <c r="T28" s="6">
        <v>0</v>
      </c>
      <c r="U28" s="6">
        <v>0</v>
      </c>
      <c r="V28" s="6">
        <v>0</v>
      </c>
      <c r="W28" s="6">
        <v>0</v>
      </c>
      <c r="X28" s="6">
        <v>0</v>
      </c>
      <c r="Y28" s="6">
        <v>0</v>
      </c>
      <c r="Z28" s="6">
        <v>0</v>
      </c>
      <c r="AA28" s="6">
        <v>0</v>
      </c>
      <c r="AB28" s="6">
        <f t="shared" si="7"/>
        <v>0</v>
      </c>
    </row>
    <row r="29" spans="1:28" x14ac:dyDescent="0.25">
      <c r="A29" s="5" t="s">
        <v>445</v>
      </c>
      <c r="B29" s="5" t="s">
        <v>31</v>
      </c>
      <c r="C29" s="5">
        <v>23</v>
      </c>
      <c r="D29" s="5">
        <v>0</v>
      </c>
      <c r="E29" s="5" t="s">
        <v>446</v>
      </c>
      <c r="F29" s="5" t="s">
        <v>425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f t="shared" ref="AB29:AB61" si="8">($J29*Cp_yd)+($K29*Cp_td)+($L29*Cint)+($M29*Ccar)+($N29*Cr_td)+($O29*Cr_yd)+(Q29*Crec)+($R29*Crec_yd)+($S29*Crec_td)+($T29*Cfmb)+($U29*Ctp_c)</f>
        <v>0</v>
      </c>
    </row>
    <row r="30" spans="1:28" x14ac:dyDescent="0.25">
      <c r="A30" s="6" t="s">
        <v>447</v>
      </c>
      <c r="B30" s="6" t="s">
        <v>31</v>
      </c>
      <c r="C30" s="6">
        <v>25</v>
      </c>
      <c r="D30" s="6">
        <v>3</v>
      </c>
      <c r="E30" s="6" t="s">
        <v>105</v>
      </c>
      <c r="F30" s="6" t="s">
        <v>425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R30" s="6">
        <v>0</v>
      </c>
      <c r="S30" s="6">
        <v>0</v>
      </c>
      <c r="T30" s="6">
        <v>0</v>
      </c>
      <c r="U30" s="6">
        <v>0</v>
      </c>
      <c r="V30" s="6">
        <v>0</v>
      </c>
      <c r="W30" s="6">
        <v>0</v>
      </c>
      <c r="X30" s="6">
        <v>0</v>
      </c>
      <c r="Y30" s="6">
        <v>0</v>
      </c>
      <c r="Z30" s="6">
        <v>0</v>
      </c>
      <c r="AA30" s="6">
        <v>0</v>
      </c>
      <c r="AB30" s="6">
        <f t="shared" si="8"/>
        <v>0</v>
      </c>
    </row>
    <row r="31" spans="1:28" x14ac:dyDescent="0.25">
      <c r="A31" s="5" t="s">
        <v>448</v>
      </c>
      <c r="B31" s="5" t="s">
        <v>31</v>
      </c>
      <c r="C31" s="5">
        <v>27</v>
      </c>
      <c r="D31" s="5">
        <v>7</v>
      </c>
      <c r="E31" s="5" t="s">
        <v>68</v>
      </c>
      <c r="F31" s="5" t="s">
        <v>425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f t="shared" si="8"/>
        <v>0</v>
      </c>
    </row>
    <row r="32" spans="1:28" x14ac:dyDescent="0.25">
      <c r="A32" s="6" t="s">
        <v>449</v>
      </c>
      <c r="B32" s="6" t="s">
        <v>31</v>
      </c>
      <c r="C32" s="6">
        <v>23</v>
      </c>
      <c r="D32" s="6">
        <v>0</v>
      </c>
      <c r="E32" s="6" t="s">
        <v>450</v>
      </c>
      <c r="F32" s="6" t="s">
        <v>425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U32" s="6">
        <v>0</v>
      </c>
      <c r="V32" s="6">
        <v>0</v>
      </c>
      <c r="W32" s="6">
        <v>0</v>
      </c>
      <c r="X32" s="6">
        <v>0</v>
      </c>
      <c r="Y32" s="6">
        <v>0</v>
      </c>
      <c r="Z32" s="6">
        <v>0</v>
      </c>
      <c r="AA32" s="6">
        <v>0</v>
      </c>
      <c r="AB32" s="6">
        <f t="shared" si="8"/>
        <v>0</v>
      </c>
    </row>
    <row r="33" spans="1:28" x14ac:dyDescent="0.25">
      <c r="A33" s="5" t="s">
        <v>451</v>
      </c>
      <c r="B33" s="5" t="s">
        <v>31</v>
      </c>
      <c r="C33" s="5">
        <v>24</v>
      </c>
      <c r="D33" s="5">
        <v>0</v>
      </c>
      <c r="E33" s="5" t="s">
        <v>89</v>
      </c>
      <c r="F33" s="5" t="s">
        <v>425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f t="shared" si="8"/>
        <v>0</v>
      </c>
    </row>
    <row r="34" spans="1:28" x14ac:dyDescent="0.25">
      <c r="A34" s="5" t="s">
        <v>499</v>
      </c>
      <c r="B34" s="5" t="s">
        <v>31</v>
      </c>
      <c r="C34" s="5">
        <v>27</v>
      </c>
      <c r="D34" s="5">
        <v>6</v>
      </c>
      <c r="E34" s="5" t="s">
        <v>173</v>
      </c>
      <c r="F34" s="5" t="s">
        <v>479</v>
      </c>
      <c r="G34" s="5">
        <v>0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f t="shared" si="8"/>
        <v>0</v>
      </c>
    </row>
    <row r="35" spans="1:28" x14ac:dyDescent="0.25">
      <c r="A35" s="6" t="s">
        <v>500</v>
      </c>
      <c r="B35" s="6" t="s">
        <v>31</v>
      </c>
      <c r="C35" s="6">
        <v>25</v>
      </c>
      <c r="D35" s="6">
        <v>3</v>
      </c>
      <c r="E35" s="6" t="s">
        <v>418</v>
      </c>
      <c r="F35" s="6" t="s">
        <v>479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S35" s="6">
        <v>0</v>
      </c>
      <c r="T35" s="6">
        <v>0</v>
      </c>
      <c r="U35" s="6">
        <v>0</v>
      </c>
      <c r="V35" s="6">
        <v>0</v>
      </c>
      <c r="W35" s="6">
        <v>0</v>
      </c>
      <c r="X35" s="6">
        <v>0</v>
      </c>
      <c r="Y35" s="6">
        <v>0</v>
      </c>
      <c r="Z35" s="6">
        <v>0</v>
      </c>
      <c r="AA35" s="6">
        <v>0</v>
      </c>
      <c r="AB35" s="6">
        <f t="shared" si="8"/>
        <v>0</v>
      </c>
    </row>
    <row r="36" spans="1:28" x14ac:dyDescent="0.25">
      <c r="A36" s="5" t="s">
        <v>501</v>
      </c>
      <c r="B36" s="5" t="s">
        <v>31</v>
      </c>
      <c r="C36" s="5">
        <v>23</v>
      </c>
      <c r="D36" s="5">
        <v>2</v>
      </c>
      <c r="E36" s="5" t="s">
        <v>136</v>
      </c>
      <c r="F36" s="5" t="s">
        <v>479</v>
      </c>
      <c r="G36" s="5">
        <v>0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Z36" s="5">
        <v>0</v>
      </c>
      <c r="AA36" s="5">
        <v>0</v>
      </c>
      <c r="AB36" s="5">
        <f t="shared" si="8"/>
        <v>0</v>
      </c>
    </row>
    <row r="37" spans="1:28" x14ac:dyDescent="0.25">
      <c r="A37" s="6" t="s">
        <v>502</v>
      </c>
      <c r="B37" s="6" t="s">
        <v>31</v>
      </c>
      <c r="C37" s="6">
        <v>22</v>
      </c>
      <c r="D37" s="6">
        <v>0</v>
      </c>
      <c r="E37" s="6" t="s">
        <v>455</v>
      </c>
      <c r="F37" s="6" t="s">
        <v>479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R37" s="6">
        <v>0</v>
      </c>
      <c r="S37" s="6">
        <v>0</v>
      </c>
      <c r="T37" s="6">
        <v>0</v>
      </c>
      <c r="U37" s="6">
        <v>0</v>
      </c>
      <c r="V37" s="6">
        <v>0</v>
      </c>
      <c r="W37" s="6">
        <v>0</v>
      </c>
      <c r="X37" s="6">
        <v>0</v>
      </c>
      <c r="Y37" s="6">
        <v>0</v>
      </c>
      <c r="Z37" s="6">
        <v>0</v>
      </c>
      <c r="AA37" s="6">
        <v>0</v>
      </c>
      <c r="AB37" s="6">
        <f t="shared" si="8"/>
        <v>0</v>
      </c>
    </row>
    <row r="38" spans="1:28" x14ac:dyDescent="0.25">
      <c r="A38" s="5" t="s">
        <v>503</v>
      </c>
      <c r="B38" s="5" t="s">
        <v>31</v>
      </c>
      <c r="C38" s="5">
        <v>26</v>
      </c>
      <c r="D38" s="5">
        <v>2</v>
      </c>
      <c r="E38" s="5" t="s">
        <v>143</v>
      </c>
      <c r="F38" s="5" t="s">
        <v>479</v>
      </c>
      <c r="G38" s="5">
        <v>0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f t="shared" si="8"/>
        <v>0</v>
      </c>
    </row>
    <row r="39" spans="1:28" x14ac:dyDescent="0.25">
      <c r="A39" s="5" t="s">
        <v>551</v>
      </c>
      <c r="B39" s="5" t="s">
        <v>31</v>
      </c>
      <c r="C39" s="5">
        <v>24</v>
      </c>
      <c r="D39" s="5">
        <v>2</v>
      </c>
      <c r="E39" s="5" t="s">
        <v>178</v>
      </c>
      <c r="F39" s="5" t="s">
        <v>530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Z39" s="5">
        <v>0</v>
      </c>
      <c r="AA39" s="5">
        <v>0</v>
      </c>
      <c r="AB39" s="5">
        <f t="shared" si="8"/>
        <v>0</v>
      </c>
    </row>
    <row r="40" spans="1:28" x14ac:dyDescent="0.25">
      <c r="A40" s="6" t="s">
        <v>552</v>
      </c>
      <c r="B40" s="6" t="s">
        <v>31</v>
      </c>
      <c r="C40" s="6">
        <v>25</v>
      </c>
      <c r="D40" s="6">
        <v>4</v>
      </c>
      <c r="E40" s="6" t="s">
        <v>341</v>
      </c>
      <c r="F40" s="6" t="s">
        <v>530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R40" s="6">
        <v>0</v>
      </c>
      <c r="S40" s="6">
        <v>0</v>
      </c>
      <c r="T40" s="6">
        <v>0</v>
      </c>
      <c r="U40" s="6">
        <v>0</v>
      </c>
      <c r="V40" s="6">
        <v>0</v>
      </c>
      <c r="W40" s="6">
        <v>0</v>
      </c>
      <c r="X40" s="6">
        <v>0</v>
      </c>
      <c r="Y40" s="6">
        <v>0</v>
      </c>
      <c r="Z40" s="6">
        <v>0</v>
      </c>
      <c r="AA40" s="6">
        <v>0</v>
      </c>
      <c r="AB40" s="6">
        <f t="shared" si="8"/>
        <v>0</v>
      </c>
    </row>
    <row r="41" spans="1:28" x14ac:dyDescent="0.25">
      <c r="A41" s="5" t="s">
        <v>553</v>
      </c>
      <c r="B41" s="5" t="s">
        <v>31</v>
      </c>
      <c r="C41" s="5">
        <v>26</v>
      </c>
      <c r="D41" s="5">
        <v>6</v>
      </c>
      <c r="E41" s="5" t="s">
        <v>78</v>
      </c>
      <c r="F41" s="5" t="s">
        <v>530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f t="shared" si="8"/>
        <v>0</v>
      </c>
    </row>
    <row r="42" spans="1:28" x14ac:dyDescent="0.25">
      <c r="A42" s="6" t="s">
        <v>554</v>
      </c>
      <c r="B42" s="6" t="s">
        <v>31</v>
      </c>
      <c r="C42" s="6">
        <v>23</v>
      </c>
      <c r="D42" s="6">
        <v>0</v>
      </c>
      <c r="E42" s="6" t="s">
        <v>555</v>
      </c>
      <c r="F42" s="6" t="s">
        <v>530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R42" s="6">
        <v>0</v>
      </c>
      <c r="S42" s="6">
        <v>0</v>
      </c>
      <c r="T42" s="6">
        <v>0</v>
      </c>
      <c r="U42" s="6">
        <v>0</v>
      </c>
      <c r="V42" s="6">
        <v>0</v>
      </c>
      <c r="W42" s="6">
        <v>0</v>
      </c>
      <c r="X42" s="6">
        <v>0</v>
      </c>
      <c r="Y42" s="6">
        <v>0</v>
      </c>
      <c r="Z42" s="6">
        <v>0</v>
      </c>
      <c r="AA42" s="6">
        <v>0</v>
      </c>
      <c r="AB42" s="6">
        <f t="shared" si="8"/>
        <v>0</v>
      </c>
    </row>
    <row r="43" spans="1:28" x14ac:dyDescent="0.25">
      <c r="A43" s="5" t="s">
        <v>556</v>
      </c>
      <c r="B43" s="5" t="s">
        <v>31</v>
      </c>
      <c r="C43" s="5">
        <v>26</v>
      </c>
      <c r="D43" s="5">
        <v>5</v>
      </c>
      <c r="E43" s="5" t="s">
        <v>557</v>
      </c>
      <c r="F43" s="5" t="s">
        <v>530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Z43" s="5">
        <v>0</v>
      </c>
      <c r="AA43" s="5">
        <v>0</v>
      </c>
      <c r="AB43" s="5">
        <f t="shared" si="8"/>
        <v>0</v>
      </c>
    </row>
    <row r="44" spans="1:28" x14ac:dyDescent="0.25">
      <c r="A44" s="5" t="s">
        <v>612</v>
      </c>
      <c r="B44" s="5" t="s">
        <v>31</v>
      </c>
      <c r="C44" s="5">
        <v>23</v>
      </c>
      <c r="D44" s="5">
        <v>1</v>
      </c>
      <c r="E44" s="5" t="s">
        <v>613</v>
      </c>
      <c r="F44" s="5" t="s">
        <v>584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Z44" s="5">
        <v>0</v>
      </c>
      <c r="AA44" s="5">
        <v>0</v>
      </c>
      <c r="AB44" s="5">
        <f t="shared" si="8"/>
        <v>0</v>
      </c>
    </row>
    <row r="45" spans="1:28" x14ac:dyDescent="0.25">
      <c r="A45" s="6" t="s">
        <v>614</v>
      </c>
      <c r="B45" s="6" t="s">
        <v>31</v>
      </c>
      <c r="C45" s="6">
        <v>25</v>
      </c>
      <c r="D45" s="6">
        <v>3</v>
      </c>
      <c r="E45" s="6" t="s">
        <v>362</v>
      </c>
      <c r="F45" s="6" t="s">
        <v>584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R45" s="6">
        <v>0</v>
      </c>
      <c r="S45" s="6">
        <v>0</v>
      </c>
      <c r="T45" s="6">
        <v>0</v>
      </c>
      <c r="U45" s="6">
        <v>0</v>
      </c>
      <c r="V45" s="6">
        <v>0</v>
      </c>
      <c r="W45" s="6">
        <v>0</v>
      </c>
      <c r="X45" s="6">
        <v>0</v>
      </c>
      <c r="Y45" s="6">
        <v>0</v>
      </c>
      <c r="Z45" s="6">
        <v>0</v>
      </c>
      <c r="AA45" s="6">
        <v>0</v>
      </c>
      <c r="AB45" s="6">
        <f t="shared" si="8"/>
        <v>0</v>
      </c>
    </row>
    <row r="46" spans="1:28" x14ac:dyDescent="0.25">
      <c r="A46" s="5" t="s">
        <v>615</v>
      </c>
      <c r="B46" s="5" t="s">
        <v>31</v>
      </c>
      <c r="C46" s="5">
        <v>22</v>
      </c>
      <c r="D46" s="5">
        <v>0</v>
      </c>
      <c r="E46" s="5" t="s">
        <v>616</v>
      </c>
      <c r="F46" s="5" t="s">
        <v>584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>
        <v>0</v>
      </c>
      <c r="AA46" s="5">
        <v>0</v>
      </c>
      <c r="AB46" s="5">
        <f t="shared" si="8"/>
        <v>0</v>
      </c>
    </row>
    <row r="47" spans="1:28" x14ac:dyDescent="0.25">
      <c r="A47" s="6" t="s">
        <v>617</v>
      </c>
      <c r="B47" s="6" t="s">
        <v>31</v>
      </c>
      <c r="C47" s="6">
        <v>27</v>
      </c>
      <c r="D47" s="6">
        <v>7</v>
      </c>
      <c r="E47" s="6" t="s">
        <v>68</v>
      </c>
      <c r="F47" s="6" t="s">
        <v>584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R47" s="6">
        <v>0</v>
      </c>
      <c r="S47" s="6">
        <v>0</v>
      </c>
      <c r="T47" s="6">
        <v>0</v>
      </c>
      <c r="U47" s="6">
        <v>0</v>
      </c>
      <c r="V47" s="6">
        <v>0</v>
      </c>
      <c r="W47" s="6">
        <v>0</v>
      </c>
      <c r="X47" s="6">
        <v>0</v>
      </c>
      <c r="Y47" s="6">
        <v>0</v>
      </c>
      <c r="Z47" s="6">
        <v>0</v>
      </c>
      <c r="AA47" s="6">
        <v>0</v>
      </c>
      <c r="AB47" s="6">
        <f t="shared" si="8"/>
        <v>0</v>
      </c>
    </row>
    <row r="48" spans="1:28" x14ac:dyDescent="0.25">
      <c r="A48" s="5" t="s">
        <v>618</v>
      </c>
      <c r="B48" s="5" t="s">
        <v>31</v>
      </c>
      <c r="C48" s="5">
        <v>29</v>
      </c>
      <c r="D48" s="5">
        <v>8</v>
      </c>
      <c r="E48" s="5" t="s">
        <v>86</v>
      </c>
      <c r="F48" s="5" t="s">
        <v>584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Z48" s="5">
        <v>0</v>
      </c>
      <c r="AA48" s="5">
        <v>0</v>
      </c>
      <c r="AB48" s="5">
        <f t="shared" si="8"/>
        <v>0</v>
      </c>
    </row>
    <row r="49" spans="1:28" x14ac:dyDescent="0.25">
      <c r="A49" s="5" t="s">
        <v>670</v>
      </c>
      <c r="B49" s="5" t="s">
        <v>31</v>
      </c>
      <c r="C49" s="5">
        <v>21</v>
      </c>
      <c r="D49" s="5">
        <v>0</v>
      </c>
      <c r="E49" s="5" t="s">
        <v>153</v>
      </c>
      <c r="F49" s="5" t="s">
        <v>647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>
        <v>0</v>
      </c>
      <c r="AA49" s="5">
        <v>0</v>
      </c>
      <c r="AB49" s="5">
        <f t="shared" si="8"/>
        <v>0</v>
      </c>
    </row>
    <row r="50" spans="1:28" x14ac:dyDescent="0.25">
      <c r="A50" s="6" t="s">
        <v>671</v>
      </c>
      <c r="B50" s="6" t="s">
        <v>31</v>
      </c>
      <c r="C50" s="6">
        <v>23</v>
      </c>
      <c r="D50" s="6">
        <v>0</v>
      </c>
      <c r="E50" s="6" t="s">
        <v>225</v>
      </c>
      <c r="F50" s="6" t="s">
        <v>647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R50" s="6">
        <v>0</v>
      </c>
      <c r="S50" s="6">
        <v>0</v>
      </c>
      <c r="T50" s="6">
        <v>0</v>
      </c>
      <c r="U50" s="6">
        <v>0</v>
      </c>
      <c r="V50" s="6">
        <v>0</v>
      </c>
      <c r="W50" s="6">
        <v>0</v>
      </c>
      <c r="X50" s="6">
        <v>0</v>
      </c>
      <c r="Y50" s="6">
        <v>0</v>
      </c>
      <c r="Z50" s="6">
        <v>0</v>
      </c>
      <c r="AA50" s="6">
        <v>0</v>
      </c>
      <c r="AB50" s="6">
        <f t="shared" si="8"/>
        <v>0</v>
      </c>
    </row>
    <row r="51" spans="1:28" x14ac:dyDescent="0.25">
      <c r="A51" s="5" t="s">
        <v>672</v>
      </c>
      <c r="B51" s="5" t="s">
        <v>31</v>
      </c>
      <c r="C51" s="5">
        <v>27</v>
      </c>
      <c r="D51" s="5">
        <v>6</v>
      </c>
      <c r="E51" s="5" t="s">
        <v>141</v>
      </c>
      <c r="F51" s="5" t="s">
        <v>647</v>
      </c>
      <c r="G51" s="5">
        <v>0</v>
      </c>
      <c r="H51" s="5">
        <v>0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Z51" s="5">
        <v>0</v>
      </c>
      <c r="AA51" s="5">
        <v>0</v>
      </c>
      <c r="AB51" s="5">
        <f t="shared" si="8"/>
        <v>0</v>
      </c>
    </row>
    <row r="52" spans="1:28" x14ac:dyDescent="0.25">
      <c r="A52" s="6" t="s">
        <v>673</v>
      </c>
      <c r="B52" s="6" t="s">
        <v>31</v>
      </c>
      <c r="C52" s="6">
        <v>23</v>
      </c>
      <c r="D52" s="6">
        <v>2</v>
      </c>
      <c r="E52" s="6" t="s">
        <v>111</v>
      </c>
      <c r="F52" s="6" t="s">
        <v>647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S52" s="6">
        <v>0</v>
      </c>
      <c r="T52" s="6">
        <v>0</v>
      </c>
      <c r="U52" s="6">
        <v>0</v>
      </c>
      <c r="V52" s="6">
        <v>0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6">
        <f t="shared" si="8"/>
        <v>0</v>
      </c>
    </row>
    <row r="53" spans="1:28" x14ac:dyDescent="0.25">
      <c r="A53" s="5" t="s">
        <v>674</v>
      </c>
      <c r="B53" s="5" t="s">
        <v>31</v>
      </c>
      <c r="C53" s="5">
        <v>26</v>
      </c>
      <c r="D53" s="5">
        <v>5</v>
      </c>
      <c r="E53" s="5" t="s">
        <v>244</v>
      </c>
      <c r="F53" s="5" t="s">
        <v>647</v>
      </c>
      <c r="G53" s="5">
        <v>0</v>
      </c>
      <c r="H53" s="5">
        <v>0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Z53" s="5">
        <v>0</v>
      </c>
      <c r="AA53" s="5">
        <v>0</v>
      </c>
      <c r="AB53" s="5">
        <f t="shared" si="8"/>
        <v>0</v>
      </c>
    </row>
    <row r="54" spans="1:28" x14ac:dyDescent="0.25">
      <c r="A54" s="6" t="s">
        <v>675</v>
      </c>
      <c r="B54" s="6" t="s">
        <v>31</v>
      </c>
      <c r="C54" s="6">
        <v>26</v>
      </c>
      <c r="D54" s="6">
        <v>4</v>
      </c>
      <c r="E54" s="6" t="s">
        <v>248</v>
      </c>
      <c r="F54" s="6" t="s">
        <v>647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R54" s="6">
        <v>0</v>
      </c>
      <c r="S54" s="6">
        <v>0</v>
      </c>
      <c r="T54" s="6">
        <v>0</v>
      </c>
      <c r="U54" s="6">
        <v>0</v>
      </c>
      <c r="V54" s="6">
        <v>0</v>
      </c>
      <c r="W54" s="6">
        <v>0</v>
      </c>
      <c r="X54" s="6">
        <v>0</v>
      </c>
      <c r="Y54" s="6">
        <v>0</v>
      </c>
      <c r="Z54" s="6">
        <v>0</v>
      </c>
      <c r="AA54" s="6">
        <v>0</v>
      </c>
      <c r="AB54" s="6">
        <f t="shared" si="8"/>
        <v>0</v>
      </c>
    </row>
    <row r="55" spans="1:28" x14ac:dyDescent="0.25">
      <c r="A55" s="5" t="s">
        <v>676</v>
      </c>
      <c r="B55" s="5" t="s">
        <v>31</v>
      </c>
      <c r="C55" s="5">
        <v>27</v>
      </c>
      <c r="D55" s="5">
        <v>2</v>
      </c>
      <c r="E55" s="5" t="s">
        <v>677</v>
      </c>
      <c r="F55" s="5" t="s">
        <v>647</v>
      </c>
      <c r="G55" s="5">
        <v>0</v>
      </c>
      <c r="H55" s="5">
        <v>0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Z55" s="5">
        <v>0</v>
      </c>
      <c r="AA55" s="5">
        <v>0</v>
      </c>
      <c r="AB55" s="5">
        <f t="shared" si="8"/>
        <v>0</v>
      </c>
    </row>
    <row r="56" spans="1:28" x14ac:dyDescent="0.25">
      <c r="A56" s="5" t="s">
        <v>723</v>
      </c>
      <c r="B56" s="5" t="s">
        <v>31</v>
      </c>
      <c r="C56" s="5">
        <v>25</v>
      </c>
      <c r="D56" s="5">
        <v>4</v>
      </c>
      <c r="E56" s="5" t="s">
        <v>235</v>
      </c>
      <c r="F56" s="5" t="s">
        <v>704</v>
      </c>
      <c r="G56" s="5">
        <v>0</v>
      </c>
      <c r="H56" s="5">
        <v>0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Z56" s="5">
        <v>0</v>
      </c>
      <c r="AA56" s="5">
        <v>0</v>
      </c>
      <c r="AB56" s="5">
        <f t="shared" si="8"/>
        <v>0</v>
      </c>
    </row>
    <row r="57" spans="1:28" x14ac:dyDescent="0.25">
      <c r="A57" s="6" t="s">
        <v>724</v>
      </c>
      <c r="B57" s="6" t="s">
        <v>31</v>
      </c>
      <c r="C57" s="6">
        <v>22</v>
      </c>
      <c r="D57" s="6">
        <v>1</v>
      </c>
      <c r="E57" s="6" t="s">
        <v>100</v>
      </c>
      <c r="F57" s="6" t="s">
        <v>704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S57" s="6">
        <v>0</v>
      </c>
      <c r="T57" s="6">
        <v>0</v>
      </c>
      <c r="U57" s="6">
        <v>0</v>
      </c>
      <c r="V57" s="6">
        <v>0</v>
      </c>
      <c r="W57" s="6">
        <v>0</v>
      </c>
      <c r="X57" s="6">
        <v>0</v>
      </c>
      <c r="Y57" s="6">
        <v>0</v>
      </c>
      <c r="Z57" s="6">
        <v>0</v>
      </c>
      <c r="AA57" s="6">
        <v>0</v>
      </c>
      <c r="AB57" s="6">
        <f t="shared" si="8"/>
        <v>0</v>
      </c>
    </row>
    <row r="58" spans="1:28" x14ac:dyDescent="0.25">
      <c r="A58" s="5" t="s">
        <v>725</v>
      </c>
      <c r="B58" s="5" t="s">
        <v>31</v>
      </c>
      <c r="C58" s="5">
        <v>28</v>
      </c>
      <c r="D58" s="5">
        <v>7</v>
      </c>
      <c r="E58" s="5" t="s">
        <v>726</v>
      </c>
      <c r="F58" s="5" t="s">
        <v>704</v>
      </c>
      <c r="G58" s="5">
        <v>0</v>
      </c>
      <c r="H58" s="5">
        <v>0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Z58" s="5">
        <v>0</v>
      </c>
      <c r="AA58" s="5">
        <v>0</v>
      </c>
      <c r="AB58" s="5">
        <f t="shared" si="8"/>
        <v>0</v>
      </c>
    </row>
    <row r="59" spans="1:28" x14ac:dyDescent="0.25">
      <c r="A59" s="6" t="s">
        <v>727</v>
      </c>
      <c r="B59" s="6" t="s">
        <v>31</v>
      </c>
      <c r="C59" s="6">
        <v>24</v>
      </c>
      <c r="D59" s="6">
        <v>1</v>
      </c>
      <c r="E59" s="6" t="s">
        <v>728</v>
      </c>
      <c r="F59" s="6" t="s">
        <v>704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R59" s="6">
        <v>0</v>
      </c>
      <c r="S59" s="6">
        <v>0</v>
      </c>
      <c r="T59" s="6">
        <v>0</v>
      </c>
      <c r="U59" s="6">
        <v>0</v>
      </c>
      <c r="V59" s="6">
        <v>0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f t="shared" si="8"/>
        <v>0</v>
      </c>
    </row>
    <row r="60" spans="1:28" x14ac:dyDescent="0.25">
      <c r="A60" s="5" t="s">
        <v>729</v>
      </c>
      <c r="B60" s="5" t="s">
        <v>31</v>
      </c>
      <c r="C60" s="5">
        <v>22</v>
      </c>
      <c r="D60" s="5">
        <v>0</v>
      </c>
      <c r="E60" s="5" t="s">
        <v>309</v>
      </c>
      <c r="F60" s="5" t="s">
        <v>704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f t="shared" si="8"/>
        <v>0</v>
      </c>
    </row>
    <row r="61" spans="1:28" x14ac:dyDescent="0.25">
      <c r="A61" s="6" t="s">
        <v>730</v>
      </c>
      <c r="B61" s="6" t="s">
        <v>31</v>
      </c>
      <c r="C61" s="6">
        <v>25</v>
      </c>
      <c r="D61" s="6">
        <v>3</v>
      </c>
      <c r="E61" s="6" t="s">
        <v>557</v>
      </c>
      <c r="F61" s="6" t="s">
        <v>704</v>
      </c>
      <c r="G61" s="6">
        <v>0</v>
      </c>
      <c r="H61" s="6">
        <v>0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R61" s="6">
        <v>0</v>
      </c>
      <c r="S61" s="6">
        <v>0</v>
      </c>
      <c r="T61" s="6">
        <v>0</v>
      </c>
      <c r="U61" s="6">
        <v>0</v>
      </c>
      <c r="V61" s="6">
        <v>0</v>
      </c>
      <c r="W61" s="6">
        <v>0</v>
      </c>
      <c r="X61" s="6">
        <v>0</v>
      </c>
      <c r="Y61" s="6">
        <v>0</v>
      </c>
      <c r="Z61" s="6">
        <v>0</v>
      </c>
      <c r="AA61" s="6">
        <v>0</v>
      </c>
      <c r="AB61" s="6">
        <f t="shared" si="8"/>
        <v>0</v>
      </c>
    </row>
    <row r="62" spans="1:28" x14ac:dyDescent="0.25">
      <c r="A62" s="5" t="s">
        <v>781</v>
      </c>
      <c r="B62" s="5" t="s">
        <v>31</v>
      </c>
      <c r="C62" s="5">
        <v>28</v>
      </c>
      <c r="D62" s="5">
        <v>6</v>
      </c>
      <c r="E62" s="5" t="s">
        <v>136</v>
      </c>
      <c r="F62" s="5" t="s">
        <v>756</v>
      </c>
      <c r="G62" s="5">
        <v>0</v>
      </c>
      <c r="H62" s="5">
        <v>0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Z62" s="5">
        <v>0</v>
      </c>
      <c r="AA62" s="5">
        <v>0</v>
      </c>
      <c r="AB62" s="5">
        <f>($J62*Cp_yd)+($K62*Cp_td)+($L62*Cint)+($M62*Ccar)+($N62*Cr_td)+($O62*Cr_yd)+(Q62*Crec)+($R62*Crec_yd)+($S62*Crec_td)+($T62*Cfmb)+($U62*Ctp_c)</f>
        <v>0</v>
      </c>
    </row>
    <row r="63" spans="1:28" x14ac:dyDescent="0.25">
      <c r="A63" s="6" t="s">
        <v>782</v>
      </c>
      <c r="B63" s="6" t="s">
        <v>31</v>
      </c>
      <c r="C63" s="6">
        <v>25</v>
      </c>
      <c r="D63" s="6">
        <v>1</v>
      </c>
      <c r="E63" s="6" t="s">
        <v>136</v>
      </c>
      <c r="F63" s="6" t="s">
        <v>756</v>
      </c>
      <c r="G63" s="6">
        <v>0</v>
      </c>
      <c r="H63" s="6">
        <v>0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R63" s="6">
        <v>0</v>
      </c>
      <c r="S63" s="6">
        <v>0</v>
      </c>
      <c r="T63" s="6">
        <v>0</v>
      </c>
      <c r="U63" s="6">
        <v>0</v>
      </c>
      <c r="V63" s="6">
        <v>0</v>
      </c>
      <c r="W63" s="6">
        <v>0</v>
      </c>
      <c r="X63" s="6">
        <v>0</v>
      </c>
      <c r="Y63" s="6">
        <v>0</v>
      </c>
      <c r="Z63" s="6">
        <v>0</v>
      </c>
      <c r="AA63" s="6">
        <v>0</v>
      </c>
      <c r="AB63" s="6">
        <f>($J63*Cp_yd)+($K63*Cp_td)+($L63*Cint)+($M63*Ccar)+($N63*Cr_td)+($O63*Cr_yd)+(Q63*Crec)+($R63*Crec_yd)+($S63*Crec_td)+($T63*Cfmb)+($U63*Ctp_c)</f>
        <v>0</v>
      </c>
    </row>
    <row r="64" spans="1:28" x14ac:dyDescent="0.25">
      <c r="A64" s="5" t="s">
        <v>783</v>
      </c>
      <c r="B64" s="5" t="s">
        <v>31</v>
      </c>
      <c r="C64" s="5">
        <v>29</v>
      </c>
      <c r="D64" s="5">
        <v>5</v>
      </c>
      <c r="E64" s="5" t="s">
        <v>72</v>
      </c>
      <c r="F64" s="5" t="s">
        <v>756</v>
      </c>
      <c r="G64" s="5">
        <v>0</v>
      </c>
      <c r="H64" s="5">
        <v>0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f>($J64*Cp_yd)+($K64*Cp_td)+($L64*Cint)+($M64*Ccar)+($N64*Cr_td)+($O64*Cr_yd)+(Q64*Crec)+($R64*Crec_yd)+($S64*Crec_td)+($T64*Cfmb)+($U64*Ctp_c)</f>
        <v>0</v>
      </c>
    </row>
    <row r="65" spans="1:28" x14ac:dyDescent="0.25">
      <c r="A65" s="6" t="s">
        <v>784</v>
      </c>
      <c r="B65" s="6" t="s">
        <v>31</v>
      </c>
      <c r="C65" s="6">
        <v>23</v>
      </c>
      <c r="D65" s="6">
        <v>2</v>
      </c>
      <c r="E65" s="6" t="s">
        <v>178</v>
      </c>
      <c r="F65" s="6" t="s">
        <v>756</v>
      </c>
      <c r="G65" s="6">
        <v>0</v>
      </c>
      <c r="H65" s="6">
        <v>0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R65" s="6">
        <v>0</v>
      </c>
      <c r="S65" s="6">
        <v>0</v>
      </c>
      <c r="T65" s="6">
        <v>0</v>
      </c>
      <c r="U65" s="6">
        <v>0</v>
      </c>
      <c r="V65" s="6">
        <v>0</v>
      </c>
      <c r="W65" s="6">
        <v>0</v>
      </c>
      <c r="X65" s="6">
        <v>0</v>
      </c>
      <c r="Y65" s="6">
        <v>0</v>
      </c>
      <c r="Z65" s="6">
        <v>0</v>
      </c>
      <c r="AA65" s="6">
        <v>0</v>
      </c>
      <c r="AB65" s="6">
        <f>($J65*Cp_yd)+($K65*Cp_td)+($L65*Cint)+($M65*Ccar)+($N65*Cr_td)+($O65*Cr_yd)+(Q65*Crec)+($R65*Crec_yd)+($S65*Crec_td)+($T65*Cfmb)+($U65*Ctp_c)</f>
        <v>0</v>
      </c>
    </row>
    <row r="66" spans="1:28" x14ac:dyDescent="0.25">
      <c r="A66" s="5" t="s">
        <v>830</v>
      </c>
      <c r="B66" s="5" t="s">
        <v>31</v>
      </c>
      <c r="C66" s="5">
        <v>29</v>
      </c>
      <c r="D66" s="5">
        <v>8</v>
      </c>
      <c r="E66" s="5" t="s">
        <v>153</v>
      </c>
      <c r="F66" s="5" t="s">
        <v>811</v>
      </c>
      <c r="G66" s="5">
        <v>0</v>
      </c>
      <c r="H66" s="5">
        <v>0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f t="shared" ref="AB66:AB76" si="9">($J66*Cp_yd)+($K66*Cp_td)+($L66*Cint)+($M66*Ccar)+($N66*Cr_td)+($O66*Cr_yd)+(Q66*Crec)+($R66*Crec_yd)+($S66*Crec_td)+($T66*Cfmb)+($U66*Ctp_c)</f>
        <v>0</v>
      </c>
    </row>
    <row r="67" spans="1:28" x14ac:dyDescent="0.25">
      <c r="A67" s="6" t="s">
        <v>831</v>
      </c>
      <c r="B67" s="6" t="s">
        <v>31</v>
      </c>
      <c r="C67" s="6">
        <v>25</v>
      </c>
      <c r="D67" s="6">
        <v>3</v>
      </c>
      <c r="E67" s="6" t="s">
        <v>232</v>
      </c>
      <c r="F67" s="6" t="s">
        <v>811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R67" s="6">
        <v>0</v>
      </c>
      <c r="S67" s="6">
        <v>0</v>
      </c>
      <c r="T67" s="6">
        <v>0</v>
      </c>
      <c r="U67" s="6">
        <v>0</v>
      </c>
      <c r="V67" s="6">
        <v>0</v>
      </c>
      <c r="W67" s="6">
        <v>0</v>
      </c>
      <c r="X67" s="6">
        <v>0</v>
      </c>
      <c r="Y67" s="6">
        <v>0</v>
      </c>
      <c r="Z67" s="6">
        <v>0</v>
      </c>
      <c r="AA67" s="6">
        <v>0</v>
      </c>
      <c r="AB67" s="6">
        <f t="shared" si="9"/>
        <v>0</v>
      </c>
    </row>
    <row r="68" spans="1:28" x14ac:dyDescent="0.25">
      <c r="A68" s="5" t="s">
        <v>832</v>
      </c>
      <c r="B68" s="5" t="s">
        <v>31</v>
      </c>
      <c r="C68" s="5">
        <v>22</v>
      </c>
      <c r="D68" s="5">
        <v>0</v>
      </c>
      <c r="E68" s="5" t="s">
        <v>141</v>
      </c>
      <c r="F68" s="5" t="s">
        <v>811</v>
      </c>
      <c r="G68" s="5">
        <v>0</v>
      </c>
      <c r="H68" s="5">
        <v>0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Z68" s="5">
        <v>0</v>
      </c>
      <c r="AA68" s="5">
        <v>0</v>
      </c>
      <c r="AB68" s="5">
        <f t="shared" si="9"/>
        <v>0</v>
      </c>
    </row>
    <row r="69" spans="1:28" x14ac:dyDescent="0.25">
      <c r="A69" s="6" t="s">
        <v>833</v>
      </c>
      <c r="B69" s="6" t="s">
        <v>31</v>
      </c>
      <c r="C69" s="6">
        <v>25</v>
      </c>
      <c r="D69" s="6">
        <v>2</v>
      </c>
      <c r="E69" s="6" t="s">
        <v>834</v>
      </c>
      <c r="F69" s="6" t="s">
        <v>811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R69" s="6">
        <v>0</v>
      </c>
      <c r="S69" s="6">
        <v>0</v>
      </c>
      <c r="T69" s="6">
        <v>0</v>
      </c>
      <c r="U69" s="6">
        <v>0</v>
      </c>
      <c r="V69" s="6">
        <v>0</v>
      </c>
      <c r="W69" s="6">
        <v>0</v>
      </c>
      <c r="X69" s="6">
        <v>0</v>
      </c>
      <c r="Y69" s="6">
        <v>0</v>
      </c>
      <c r="Z69" s="6">
        <v>0</v>
      </c>
      <c r="AA69" s="6">
        <v>0</v>
      </c>
      <c r="AB69" s="6">
        <f t="shared" si="9"/>
        <v>0</v>
      </c>
    </row>
    <row r="70" spans="1:28" x14ac:dyDescent="0.25">
      <c r="A70" s="5" t="s">
        <v>835</v>
      </c>
      <c r="B70" s="5" t="s">
        <v>31</v>
      </c>
      <c r="C70" s="5">
        <v>24</v>
      </c>
      <c r="D70" s="5">
        <v>3</v>
      </c>
      <c r="E70" s="5" t="s">
        <v>697</v>
      </c>
      <c r="F70" s="5" t="s">
        <v>811</v>
      </c>
      <c r="G70" s="5">
        <v>0</v>
      </c>
      <c r="H70" s="5">
        <v>0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Z70" s="5">
        <v>0</v>
      </c>
      <c r="AA70" s="5">
        <v>0</v>
      </c>
      <c r="AB70" s="5">
        <f t="shared" si="9"/>
        <v>0</v>
      </c>
    </row>
    <row r="71" spans="1:28" x14ac:dyDescent="0.25">
      <c r="A71" s="6" t="s">
        <v>836</v>
      </c>
      <c r="B71" s="6" t="s">
        <v>31</v>
      </c>
      <c r="C71" s="6">
        <v>25</v>
      </c>
      <c r="D71" s="6">
        <v>4</v>
      </c>
      <c r="E71" s="6" t="s">
        <v>207</v>
      </c>
      <c r="F71" s="6" t="s">
        <v>811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  <c r="S71" s="6">
        <v>0</v>
      </c>
      <c r="T71" s="6">
        <v>0</v>
      </c>
      <c r="U71" s="6">
        <v>0</v>
      </c>
      <c r="V71" s="6">
        <v>0</v>
      </c>
      <c r="W71" s="6">
        <v>0</v>
      </c>
      <c r="X71" s="6">
        <v>0</v>
      </c>
      <c r="Y71" s="6">
        <v>0</v>
      </c>
      <c r="Z71" s="6">
        <v>0</v>
      </c>
      <c r="AA71" s="6">
        <v>0</v>
      </c>
      <c r="AB71" s="6">
        <f t="shared" si="9"/>
        <v>0</v>
      </c>
    </row>
    <row r="72" spans="1:28" x14ac:dyDescent="0.25">
      <c r="A72" s="5" t="s">
        <v>885</v>
      </c>
      <c r="B72" s="5" t="s">
        <v>31</v>
      </c>
      <c r="C72" s="5">
        <v>21</v>
      </c>
      <c r="D72" s="5">
        <v>0</v>
      </c>
      <c r="E72" s="5" t="s">
        <v>464</v>
      </c>
      <c r="F72" s="5" t="s">
        <v>866</v>
      </c>
      <c r="G72" s="5">
        <v>0</v>
      </c>
      <c r="H72" s="5">
        <v>0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Z72" s="5">
        <v>0</v>
      </c>
      <c r="AA72" s="5">
        <v>0</v>
      </c>
      <c r="AB72" s="5">
        <f t="shared" si="9"/>
        <v>0</v>
      </c>
    </row>
    <row r="73" spans="1:28" x14ac:dyDescent="0.25">
      <c r="A73" s="6" t="s">
        <v>886</v>
      </c>
      <c r="B73" s="6" t="s">
        <v>31</v>
      </c>
      <c r="C73" s="6">
        <v>23</v>
      </c>
      <c r="D73" s="6">
        <v>2</v>
      </c>
      <c r="E73" s="6" t="s">
        <v>240</v>
      </c>
      <c r="F73" s="6" t="s">
        <v>866</v>
      </c>
      <c r="G73" s="6">
        <v>0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R73" s="6">
        <v>0</v>
      </c>
      <c r="S73" s="6">
        <v>0</v>
      </c>
      <c r="T73" s="6">
        <v>0</v>
      </c>
      <c r="U73" s="6">
        <v>0</v>
      </c>
      <c r="V73" s="6">
        <v>0</v>
      </c>
      <c r="W73" s="6">
        <v>0</v>
      </c>
      <c r="X73" s="6">
        <v>0</v>
      </c>
      <c r="Y73" s="6">
        <v>0</v>
      </c>
      <c r="Z73" s="6">
        <v>0</v>
      </c>
      <c r="AA73" s="6">
        <v>0</v>
      </c>
      <c r="AB73" s="6">
        <f t="shared" si="9"/>
        <v>0</v>
      </c>
    </row>
    <row r="74" spans="1:28" x14ac:dyDescent="0.25">
      <c r="A74" s="5" t="s">
        <v>887</v>
      </c>
      <c r="B74" s="5" t="s">
        <v>31</v>
      </c>
      <c r="C74" s="5">
        <v>24</v>
      </c>
      <c r="D74" s="5">
        <v>3</v>
      </c>
      <c r="E74" s="5" t="s">
        <v>458</v>
      </c>
      <c r="F74" s="5" t="s">
        <v>866</v>
      </c>
      <c r="G74" s="5">
        <v>0</v>
      </c>
      <c r="H74" s="5">
        <v>0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Z74" s="5">
        <v>0</v>
      </c>
      <c r="AA74" s="5">
        <v>0</v>
      </c>
      <c r="AB74" s="5">
        <f t="shared" si="9"/>
        <v>0</v>
      </c>
    </row>
    <row r="75" spans="1:28" x14ac:dyDescent="0.25">
      <c r="A75" s="6" t="s">
        <v>888</v>
      </c>
      <c r="B75" s="6" t="s">
        <v>31</v>
      </c>
      <c r="C75" s="6">
        <v>26</v>
      </c>
      <c r="D75" s="6">
        <v>4</v>
      </c>
      <c r="E75" s="6" t="s">
        <v>393</v>
      </c>
      <c r="F75" s="6" t="s">
        <v>866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R75" s="6">
        <v>0</v>
      </c>
      <c r="S75" s="6">
        <v>0</v>
      </c>
      <c r="T75" s="6">
        <v>0</v>
      </c>
      <c r="U75" s="6">
        <v>0</v>
      </c>
      <c r="V75" s="6">
        <v>0</v>
      </c>
      <c r="W75" s="6">
        <v>0</v>
      </c>
      <c r="X75" s="6">
        <v>0</v>
      </c>
      <c r="Y75" s="6">
        <v>0</v>
      </c>
      <c r="Z75" s="6">
        <v>0</v>
      </c>
      <c r="AA75" s="6">
        <v>0</v>
      </c>
      <c r="AB75" s="6">
        <f t="shared" si="9"/>
        <v>0</v>
      </c>
    </row>
    <row r="76" spans="1:28" x14ac:dyDescent="0.25">
      <c r="A76" s="5" t="s">
        <v>889</v>
      </c>
      <c r="B76" s="5" t="s">
        <v>31</v>
      </c>
      <c r="C76" s="5">
        <v>27</v>
      </c>
      <c r="D76" s="5">
        <v>5</v>
      </c>
      <c r="E76" s="5" t="s">
        <v>80</v>
      </c>
      <c r="F76" s="5" t="s">
        <v>866</v>
      </c>
      <c r="G76" s="5">
        <v>0</v>
      </c>
      <c r="H76" s="5">
        <v>0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 s="5">
        <v>0</v>
      </c>
      <c r="O76" s="5">
        <v>0</v>
      </c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Z76" s="5">
        <v>0</v>
      </c>
      <c r="AA76" s="5">
        <v>0</v>
      </c>
      <c r="AB76" s="5">
        <f t="shared" si="9"/>
        <v>0</v>
      </c>
    </row>
    <row r="77" spans="1:28" x14ac:dyDescent="0.25">
      <c r="A77" s="5" t="s">
        <v>937</v>
      </c>
      <c r="B77" s="5" t="s">
        <v>31</v>
      </c>
      <c r="C77" s="5">
        <v>24</v>
      </c>
      <c r="D77" s="5">
        <v>4</v>
      </c>
      <c r="E77" s="5" t="s">
        <v>227</v>
      </c>
      <c r="F77" s="5" t="s">
        <v>916</v>
      </c>
      <c r="G77" s="5">
        <v>0</v>
      </c>
      <c r="H77" s="5">
        <v>0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 s="5">
        <v>0</v>
      </c>
      <c r="O77" s="5">
        <v>0</v>
      </c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0</v>
      </c>
      <c r="Z77" s="5">
        <v>0</v>
      </c>
      <c r="AA77" s="5">
        <v>0</v>
      </c>
      <c r="AB77" s="5">
        <f>($J77*Cp_yd)+($K77*Cp_td)+($L77*Cint)+($M77*Ccar)+($N77*Cr_td)+($O77*Cr_yd)+(Q77*Crec)+($R77*Crec_yd)+($S77*Crec_td)+($T77*Cfmb)+($U77*Ctp_c)</f>
        <v>0</v>
      </c>
    </row>
    <row r="78" spans="1:28" x14ac:dyDescent="0.25">
      <c r="A78" s="6" t="s">
        <v>938</v>
      </c>
      <c r="B78" s="6" t="s">
        <v>31</v>
      </c>
      <c r="C78" s="6">
        <v>31</v>
      </c>
      <c r="D78" s="6">
        <v>10</v>
      </c>
      <c r="E78" s="6" t="s">
        <v>939</v>
      </c>
      <c r="F78" s="6" t="s">
        <v>916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S78" s="6">
        <v>0</v>
      </c>
      <c r="T78" s="6">
        <v>0</v>
      </c>
      <c r="U78" s="6">
        <v>0</v>
      </c>
      <c r="V78" s="6">
        <v>0</v>
      </c>
      <c r="W78" s="6">
        <v>0</v>
      </c>
      <c r="X78" s="6">
        <v>0</v>
      </c>
      <c r="Y78" s="6">
        <v>0</v>
      </c>
      <c r="Z78" s="6">
        <v>0</v>
      </c>
      <c r="AA78" s="6">
        <v>0</v>
      </c>
      <c r="AB78" s="6">
        <f>($J78*Cp_yd)+($K78*Cp_td)+($L78*Cint)+($M78*Ccar)+($N78*Cr_td)+($O78*Cr_yd)+(Q78*Crec)+($R78*Crec_yd)+($S78*Crec_td)+($T78*Cfmb)+($U78*Ctp_c)</f>
        <v>0</v>
      </c>
    </row>
    <row r="79" spans="1:28" x14ac:dyDescent="0.25">
      <c r="A79" s="5" t="s">
        <v>940</v>
      </c>
      <c r="B79" s="5" t="s">
        <v>31</v>
      </c>
      <c r="C79" s="5">
        <v>24</v>
      </c>
      <c r="D79" s="5">
        <v>2</v>
      </c>
      <c r="E79" s="5" t="s">
        <v>215</v>
      </c>
      <c r="F79" s="5" t="s">
        <v>916</v>
      </c>
      <c r="G79" s="5">
        <v>0</v>
      </c>
      <c r="H79" s="5">
        <v>0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 s="5">
        <v>0</v>
      </c>
      <c r="O79" s="5">
        <v>0</v>
      </c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0</v>
      </c>
      <c r="Z79" s="5">
        <v>0</v>
      </c>
      <c r="AA79" s="5">
        <v>0</v>
      </c>
      <c r="AB79" s="5">
        <f>($J79*Cp_yd)+($K79*Cp_td)+($L79*Cint)+($M79*Ccar)+($N79*Cr_td)+($O79*Cr_yd)+(Q79*Crec)+($R79*Crec_yd)+($S79*Crec_td)+($T79*Cfmb)+($U79*Ctp_c)</f>
        <v>0</v>
      </c>
    </row>
    <row r="80" spans="1:28" x14ac:dyDescent="0.25">
      <c r="A80" s="6" t="s">
        <v>941</v>
      </c>
      <c r="B80" s="6" t="s">
        <v>31</v>
      </c>
      <c r="C80" s="6">
        <v>25</v>
      </c>
      <c r="D80" s="6">
        <v>3</v>
      </c>
      <c r="E80" s="6" t="s">
        <v>178</v>
      </c>
      <c r="F80" s="6" t="s">
        <v>916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S80" s="6">
        <v>0</v>
      </c>
      <c r="T80" s="6">
        <v>0</v>
      </c>
      <c r="U80" s="6">
        <v>0</v>
      </c>
      <c r="V80" s="6">
        <v>0</v>
      </c>
      <c r="W80" s="6">
        <v>0</v>
      </c>
      <c r="X80" s="6">
        <v>0</v>
      </c>
      <c r="Y80" s="6">
        <v>0</v>
      </c>
      <c r="Z80" s="6">
        <v>0</v>
      </c>
      <c r="AA80" s="6">
        <v>0</v>
      </c>
      <c r="AB80" s="6">
        <f>($J80*Cp_yd)+($K80*Cp_td)+($L80*Cint)+($M80*Ccar)+($N80*Cr_td)+($O80*Cr_yd)+(Q80*Crec)+($R80*Crec_yd)+($S80*Crec_td)+($T80*Cfmb)+($U80*Ctp_c)</f>
        <v>0</v>
      </c>
    </row>
    <row r="81" spans="1:28" x14ac:dyDescent="0.25">
      <c r="A81" s="5" t="s">
        <v>990</v>
      </c>
      <c r="B81" s="5" t="s">
        <v>31</v>
      </c>
      <c r="C81" s="5">
        <v>24</v>
      </c>
      <c r="D81" s="5">
        <v>0</v>
      </c>
      <c r="E81" s="5" t="s">
        <v>991</v>
      </c>
      <c r="F81" s="5" t="s">
        <v>969</v>
      </c>
      <c r="G81" s="5">
        <v>0</v>
      </c>
      <c r="H81" s="5">
        <v>0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 s="5">
        <v>0</v>
      </c>
      <c r="O81" s="5">
        <v>0</v>
      </c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0</v>
      </c>
      <c r="Z81" s="5">
        <v>0</v>
      </c>
      <c r="AA81" s="5">
        <v>0</v>
      </c>
      <c r="AB81" s="5">
        <f t="shared" ref="AB81:AB85" si="10">($J81*Cp_yd)+($K81*Cp_td)+($L81*Cint)+($M81*Ccar)+($N81*Cr_td)+($O81*Cr_yd)+(Q81*Crec)+($R81*Crec_yd)+($S81*Crec_td)+($T81*Cfmb)+($U81*Ctp_c)</f>
        <v>0</v>
      </c>
    </row>
    <row r="82" spans="1:28" x14ac:dyDescent="0.25">
      <c r="A82" s="6" t="s">
        <v>992</v>
      </c>
      <c r="B82" s="6" t="s">
        <v>31</v>
      </c>
      <c r="C82" s="6">
        <v>28</v>
      </c>
      <c r="D82" s="6">
        <v>7</v>
      </c>
      <c r="E82" s="6" t="s">
        <v>993</v>
      </c>
      <c r="F82" s="6" t="s">
        <v>969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6">
        <v>0</v>
      </c>
      <c r="O82" s="6">
        <v>0</v>
      </c>
      <c r="P82" s="6">
        <v>0</v>
      </c>
      <c r="Q82" s="6">
        <v>0</v>
      </c>
      <c r="R82" s="6">
        <v>0</v>
      </c>
      <c r="S82" s="6">
        <v>0</v>
      </c>
      <c r="T82" s="6">
        <v>0</v>
      </c>
      <c r="U82" s="6">
        <v>0</v>
      </c>
      <c r="V82" s="6">
        <v>0</v>
      </c>
      <c r="W82" s="6">
        <v>0</v>
      </c>
      <c r="X82" s="6">
        <v>0</v>
      </c>
      <c r="Y82" s="6">
        <v>0</v>
      </c>
      <c r="Z82" s="6">
        <v>0</v>
      </c>
      <c r="AA82" s="6">
        <v>0</v>
      </c>
      <c r="AB82" s="6">
        <f t="shared" si="10"/>
        <v>0</v>
      </c>
    </row>
    <row r="83" spans="1:28" x14ac:dyDescent="0.25">
      <c r="A83" s="5" t="s">
        <v>994</v>
      </c>
      <c r="B83" s="5" t="s">
        <v>31</v>
      </c>
      <c r="C83" s="5">
        <v>24</v>
      </c>
      <c r="D83" s="5">
        <v>0</v>
      </c>
      <c r="E83" s="5" t="s">
        <v>995</v>
      </c>
      <c r="F83" s="5" t="s">
        <v>969</v>
      </c>
      <c r="G83" s="5">
        <v>0</v>
      </c>
      <c r="H83" s="5">
        <v>0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 s="5">
        <v>0</v>
      </c>
      <c r="O83" s="5">
        <v>0</v>
      </c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0</v>
      </c>
      <c r="Z83" s="5">
        <v>0</v>
      </c>
      <c r="AA83" s="5">
        <v>0</v>
      </c>
      <c r="AB83" s="5">
        <f t="shared" si="10"/>
        <v>0</v>
      </c>
    </row>
    <row r="84" spans="1:28" x14ac:dyDescent="0.25">
      <c r="A84" s="6" t="s">
        <v>996</v>
      </c>
      <c r="B84" s="6" t="s">
        <v>31</v>
      </c>
      <c r="C84" s="6">
        <v>25</v>
      </c>
      <c r="D84" s="6">
        <v>4</v>
      </c>
      <c r="E84" s="6" t="s">
        <v>418</v>
      </c>
      <c r="F84" s="6" t="s">
        <v>969</v>
      </c>
      <c r="G84" s="6">
        <v>0</v>
      </c>
      <c r="H84" s="6">
        <v>0</v>
      </c>
      <c r="I84" s="6">
        <v>0</v>
      </c>
      <c r="J84" s="6">
        <v>0</v>
      </c>
      <c r="K84" s="6">
        <v>0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  <c r="S84" s="6">
        <v>0</v>
      </c>
      <c r="T84" s="6">
        <v>0</v>
      </c>
      <c r="U84" s="6">
        <v>0</v>
      </c>
      <c r="V84" s="6">
        <v>0</v>
      </c>
      <c r="W84" s="6">
        <v>0</v>
      </c>
      <c r="X84" s="6">
        <v>0</v>
      </c>
      <c r="Y84" s="6">
        <v>0</v>
      </c>
      <c r="Z84" s="6">
        <v>0</v>
      </c>
      <c r="AA84" s="6">
        <v>0</v>
      </c>
      <c r="AB84" s="6">
        <f t="shared" si="10"/>
        <v>0</v>
      </c>
    </row>
    <row r="85" spans="1:28" x14ac:dyDescent="0.25">
      <c r="A85" s="5" t="s">
        <v>997</v>
      </c>
      <c r="B85" s="5" t="s">
        <v>31</v>
      </c>
      <c r="C85" s="5">
        <v>23</v>
      </c>
      <c r="D85" s="5">
        <v>0</v>
      </c>
      <c r="E85" s="5" t="s">
        <v>998</v>
      </c>
      <c r="F85" s="5" t="s">
        <v>969</v>
      </c>
      <c r="G85" s="5">
        <v>0</v>
      </c>
      <c r="H85" s="5">
        <v>0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 s="5">
        <v>0</v>
      </c>
      <c r="O85" s="5">
        <v>0</v>
      </c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0</v>
      </c>
      <c r="Z85" s="5">
        <v>0</v>
      </c>
      <c r="AA85" s="5">
        <v>0</v>
      </c>
      <c r="AB85" s="5">
        <f t="shared" si="10"/>
        <v>0</v>
      </c>
    </row>
    <row r="86" spans="1:28" x14ac:dyDescent="0.25">
      <c r="A86" s="5" t="s">
        <v>1046</v>
      </c>
      <c r="B86" s="5" t="s">
        <v>31</v>
      </c>
      <c r="C86" s="5">
        <v>24</v>
      </c>
      <c r="D86" s="5">
        <v>3</v>
      </c>
      <c r="E86" s="5" t="s">
        <v>1012</v>
      </c>
      <c r="F86" s="5" t="s">
        <v>1021</v>
      </c>
      <c r="G86" s="5">
        <v>0</v>
      </c>
      <c r="H86" s="5">
        <v>0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 s="5">
        <v>0</v>
      </c>
      <c r="O86" s="5">
        <v>0</v>
      </c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0</v>
      </c>
      <c r="Z86" s="5">
        <v>0</v>
      </c>
      <c r="AA86" s="5">
        <v>0</v>
      </c>
      <c r="AB86" s="5">
        <f>($J86*Cp_yd)+($K86*Cp_td)+($L86*Cint)+($M86*Ccar)+($N86*Cr_td)+($O86*Cr_yd)+(Q86*Crec)+($R86*Crec_yd)+($S86*Crec_td)+($T86*Cfmb)+($U86*Ctp_c)</f>
        <v>0</v>
      </c>
    </row>
    <row r="87" spans="1:28" x14ac:dyDescent="0.25">
      <c r="A87" s="6" t="s">
        <v>1047</v>
      </c>
      <c r="B87" s="6" t="s">
        <v>31</v>
      </c>
      <c r="C87" s="6">
        <v>22</v>
      </c>
      <c r="D87" s="6">
        <v>0</v>
      </c>
      <c r="E87" s="6" t="s">
        <v>240</v>
      </c>
      <c r="F87" s="6" t="s">
        <v>1021</v>
      </c>
      <c r="G87" s="6">
        <v>0</v>
      </c>
      <c r="H87" s="6">
        <v>0</v>
      </c>
      <c r="I87" s="6">
        <v>0</v>
      </c>
      <c r="J87" s="6">
        <v>0</v>
      </c>
      <c r="K87" s="6">
        <v>0</v>
      </c>
      <c r="L87" s="6">
        <v>0</v>
      </c>
      <c r="M87" s="6">
        <v>0</v>
      </c>
      <c r="N87" s="6">
        <v>0</v>
      </c>
      <c r="O87" s="6">
        <v>0</v>
      </c>
      <c r="P87" s="6">
        <v>0</v>
      </c>
      <c r="Q87" s="6">
        <v>0</v>
      </c>
      <c r="R87" s="6">
        <v>0</v>
      </c>
      <c r="S87" s="6">
        <v>0</v>
      </c>
      <c r="T87" s="6">
        <v>0</v>
      </c>
      <c r="U87" s="6">
        <v>0</v>
      </c>
      <c r="V87" s="6">
        <v>0</v>
      </c>
      <c r="W87" s="6">
        <v>0</v>
      </c>
      <c r="X87" s="6">
        <v>0</v>
      </c>
      <c r="Y87" s="6">
        <v>0</v>
      </c>
      <c r="Z87" s="6">
        <v>0</v>
      </c>
      <c r="AA87" s="6">
        <v>0</v>
      </c>
      <c r="AB87" s="6">
        <f>($J87*Cp_yd)+($K87*Cp_td)+($L87*Cint)+($M87*Ccar)+($N87*Cr_td)+($O87*Cr_yd)+(Q87*Crec)+($R87*Crec_yd)+($S87*Crec_td)+($T87*Cfmb)+($U87*Ctp_c)</f>
        <v>0</v>
      </c>
    </row>
    <row r="88" spans="1:28" x14ac:dyDescent="0.25">
      <c r="A88" s="5" t="s">
        <v>1048</v>
      </c>
      <c r="B88" s="5" t="s">
        <v>31</v>
      </c>
      <c r="C88" s="5">
        <v>27</v>
      </c>
      <c r="D88" s="5">
        <v>5</v>
      </c>
      <c r="E88" s="5" t="s">
        <v>205</v>
      </c>
      <c r="F88" s="5" t="s">
        <v>1021</v>
      </c>
      <c r="G88" s="5">
        <v>0</v>
      </c>
      <c r="H88" s="5">
        <v>0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 s="5">
        <v>0</v>
      </c>
      <c r="O88" s="5">
        <v>0</v>
      </c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0</v>
      </c>
      <c r="Z88" s="5">
        <v>0</v>
      </c>
      <c r="AA88" s="5">
        <v>0</v>
      </c>
      <c r="AB88" s="5">
        <f>($J88*Cp_yd)+($K88*Cp_td)+($L88*Cint)+($M88*Ccar)+($N88*Cr_td)+($O88*Cr_yd)+(Q88*Crec)+($R88*Crec_yd)+($S88*Crec_td)+($T88*Cfmb)+($U88*Ctp_c)</f>
        <v>0</v>
      </c>
    </row>
    <row r="89" spans="1:28" x14ac:dyDescent="0.25">
      <c r="A89" s="6" t="s">
        <v>1049</v>
      </c>
      <c r="B89" s="6" t="s">
        <v>31</v>
      </c>
      <c r="C89" s="6">
        <v>24</v>
      </c>
      <c r="D89" s="6">
        <v>2</v>
      </c>
      <c r="E89" s="6" t="s">
        <v>280</v>
      </c>
      <c r="F89" s="6" t="s">
        <v>1021</v>
      </c>
      <c r="G89" s="6">
        <v>0</v>
      </c>
      <c r="H89" s="6">
        <v>0</v>
      </c>
      <c r="I89" s="6">
        <v>0</v>
      </c>
      <c r="J89" s="6">
        <v>0</v>
      </c>
      <c r="K89" s="6">
        <v>0</v>
      </c>
      <c r="L89" s="6">
        <v>0</v>
      </c>
      <c r="M89" s="6">
        <v>0</v>
      </c>
      <c r="N89" s="6">
        <v>0</v>
      </c>
      <c r="O89" s="6">
        <v>0</v>
      </c>
      <c r="P89" s="6">
        <v>0</v>
      </c>
      <c r="Q89" s="6">
        <v>0</v>
      </c>
      <c r="R89" s="6">
        <v>0</v>
      </c>
      <c r="S89" s="6">
        <v>0</v>
      </c>
      <c r="T89" s="6">
        <v>0</v>
      </c>
      <c r="U89" s="6">
        <v>0</v>
      </c>
      <c r="V89" s="6">
        <v>0</v>
      </c>
      <c r="W89" s="6">
        <v>0</v>
      </c>
      <c r="X89" s="6">
        <v>0</v>
      </c>
      <c r="Y89" s="6">
        <v>0</v>
      </c>
      <c r="Z89" s="6">
        <v>0</v>
      </c>
      <c r="AA89" s="6">
        <v>0</v>
      </c>
      <c r="AB89" s="6">
        <f>($J89*Cp_yd)+($K89*Cp_td)+($L89*Cint)+($M89*Ccar)+($N89*Cr_td)+($O89*Cr_yd)+(Q89*Crec)+($R89*Crec_yd)+($S89*Crec_td)+($T89*Cfmb)+($U89*Ctp_c)</f>
        <v>0</v>
      </c>
    </row>
    <row r="90" spans="1:28" x14ac:dyDescent="0.25">
      <c r="A90" s="5" t="s">
        <v>1095</v>
      </c>
      <c r="B90" s="5" t="s">
        <v>31</v>
      </c>
      <c r="C90" s="5">
        <v>30</v>
      </c>
      <c r="D90" s="5">
        <v>9</v>
      </c>
      <c r="E90" s="5" t="s">
        <v>248</v>
      </c>
      <c r="F90" s="5" t="s">
        <v>1075</v>
      </c>
      <c r="G90" s="5">
        <v>0</v>
      </c>
      <c r="H90" s="5">
        <v>0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 s="5">
        <v>0</v>
      </c>
      <c r="O90" s="5">
        <v>0</v>
      </c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0</v>
      </c>
      <c r="Z90" s="5">
        <v>0</v>
      </c>
      <c r="AA90" s="5">
        <v>0</v>
      </c>
      <c r="AB90" s="5">
        <f t="shared" ref="AB90:AB153" si="11">($J90*Cp_yd)+($K90*Cp_td)+($L90*Cint)+($M90*Ccar)+($N90*Cr_td)+($O90*Cr_yd)+(Q90*Crec)+($R90*Crec_yd)+($S90*Crec_td)+($T90*Cfmb)+($U90*Ctp_c)</f>
        <v>0</v>
      </c>
    </row>
    <row r="91" spans="1:28" x14ac:dyDescent="0.25">
      <c r="A91" s="6" t="s">
        <v>1096</v>
      </c>
      <c r="B91" s="6" t="s">
        <v>31</v>
      </c>
      <c r="C91" s="6">
        <v>33</v>
      </c>
      <c r="D91" s="6">
        <v>11</v>
      </c>
      <c r="E91" s="6" t="s">
        <v>240</v>
      </c>
      <c r="F91" s="6" t="s">
        <v>1075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R91" s="6">
        <v>0</v>
      </c>
      <c r="S91" s="6">
        <v>0</v>
      </c>
      <c r="T91" s="6">
        <v>0</v>
      </c>
      <c r="U91" s="6">
        <v>0</v>
      </c>
      <c r="V91" s="6">
        <v>0</v>
      </c>
      <c r="W91" s="6">
        <v>0</v>
      </c>
      <c r="X91" s="6">
        <v>0</v>
      </c>
      <c r="Y91" s="6">
        <v>0</v>
      </c>
      <c r="Z91" s="6">
        <v>0</v>
      </c>
      <c r="AA91" s="6">
        <v>0</v>
      </c>
      <c r="AB91" s="6">
        <f t="shared" si="11"/>
        <v>0</v>
      </c>
    </row>
    <row r="92" spans="1:28" x14ac:dyDescent="0.25">
      <c r="A92" s="5" t="s">
        <v>1097</v>
      </c>
      <c r="B92" s="5" t="s">
        <v>31</v>
      </c>
      <c r="C92" s="5">
        <v>25</v>
      </c>
      <c r="D92" s="5">
        <v>2</v>
      </c>
      <c r="E92" s="5" t="s">
        <v>418</v>
      </c>
      <c r="F92" s="5" t="s">
        <v>1075</v>
      </c>
      <c r="G92" s="5">
        <v>0</v>
      </c>
      <c r="H92" s="5">
        <v>0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Z92" s="5">
        <v>0</v>
      </c>
      <c r="AA92" s="5">
        <v>0</v>
      </c>
      <c r="AB92" s="5">
        <f t="shared" si="11"/>
        <v>0</v>
      </c>
    </row>
    <row r="93" spans="1:28" x14ac:dyDescent="0.25">
      <c r="A93" s="6" t="s">
        <v>1098</v>
      </c>
      <c r="B93" s="6" t="s">
        <v>31</v>
      </c>
      <c r="C93" s="6">
        <v>25</v>
      </c>
      <c r="D93" s="6">
        <v>5</v>
      </c>
      <c r="E93" s="6" t="s">
        <v>153</v>
      </c>
      <c r="F93" s="6" t="s">
        <v>1075</v>
      </c>
      <c r="G93" s="6">
        <v>0</v>
      </c>
      <c r="H93" s="6">
        <v>0</v>
      </c>
      <c r="I93" s="6">
        <v>0</v>
      </c>
      <c r="J93" s="6">
        <v>0</v>
      </c>
      <c r="K93" s="6">
        <v>0</v>
      </c>
      <c r="L93" s="6">
        <v>0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R93" s="6">
        <v>0</v>
      </c>
      <c r="S93" s="6">
        <v>0</v>
      </c>
      <c r="T93" s="6">
        <v>0</v>
      </c>
      <c r="U93" s="6">
        <v>0</v>
      </c>
      <c r="V93" s="6">
        <v>0</v>
      </c>
      <c r="W93" s="6">
        <v>0</v>
      </c>
      <c r="X93" s="6">
        <v>0</v>
      </c>
      <c r="Y93" s="6">
        <v>0</v>
      </c>
      <c r="Z93" s="6">
        <v>0</v>
      </c>
      <c r="AA93" s="6">
        <v>0</v>
      </c>
      <c r="AB93" s="6">
        <f t="shared" si="11"/>
        <v>0</v>
      </c>
    </row>
    <row r="94" spans="1:28" x14ac:dyDescent="0.25">
      <c r="A94" s="5" t="s">
        <v>1099</v>
      </c>
      <c r="B94" s="5" t="s">
        <v>31</v>
      </c>
      <c r="C94" s="5">
        <v>22</v>
      </c>
      <c r="D94" s="5">
        <v>2</v>
      </c>
      <c r="E94" s="5" t="s">
        <v>1100</v>
      </c>
      <c r="F94" s="5" t="s">
        <v>1075</v>
      </c>
      <c r="G94" s="5">
        <v>0</v>
      </c>
      <c r="H94" s="5">
        <v>0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Z94" s="5">
        <v>0</v>
      </c>
      <c r="AA94" s="5">
        <v>0</v>
      </c>
      <c r="AB94" s="5">
        <f t="shared" si="11"/>
        <v>0</v>
      </c>
    </row>
    <row r="95" spans="1:28" x14ac:dyDescent="0.25">
      <c r="A95" s="6" t="s">
        <v>1101</v>
      </c>
      <c r="B95" s="6" t="s">
        <v>31</v>
      </c>
      <c r="C95" s="6">
        <v>26</v>
      </c>
      <c r="D95" s="6">
        <v>3</v>
      </c>
      <c r="E95" s="6" t="s">
        <v>89</v>
      </c>
      <c r="F95" s="6" t="s">
        <v>1075</v>
      </c>
      <c r="G95" s="6">
        <v>0</v>
      </c>
      <c r="H95" s="6">
        <v>0</v>
      </c>
      <c r="I95" s="6">
        <v>0</v>
      </c>
      <c r="J95" s="6">
        <v>0</v>
      </c>
      <c r="K95" s="6">
        <v>0</v>
      </c>
      <c r="L95" s="6">
        <v>0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R95" s="6">
        <v>0</v>
      </c>
      <c r="S95" s="6">
        <v>0</v>
      </c>
      <c r="T95" s="6">
        <v>0</v>
      </c>
      <c r="U95" s="6">
        <v>0</v>
      </c>
      <c r="V95" s="6">
        <v>0</v>
      </c>
      <c r="W95" s="6">
        <v>0</v>
      </c>
      <c r="X95" s="6">
        <v>0</v>
      </c>
      <c r="Y95" s="6">
        <v>0</v>
      </c>
      <c r="Z95" s="6">
        <v>0</v>
      </c>
      <c r="AA95" s="6">
        <v>0</v>
      </c>
      <c r="AB95" s="6">
        <f t="shared" si="11"/>
        <v>0</v>
      </c>
    </row>
    <row r="96" spans="1:28" x14ac:dyDescent="0.25">
      <c r="A96" s="5" t="s">
        <v>1102</v>
      </c>
      <c r="B96" s="5" t="s">
        <v>31</v>
      </c>
      <c r="C96" s="5">
        <v>26</v>
      </c>
      <c r="D96" s="5">
        <v>3</v>
      </c>
      <c r="E96" s="5" t="s">
        <v>1065</v>
      </c>
      <c r="F96" s="5" t="s">
        <v>1075</v>
      </c>
      <c r="G96" s="5">
        <v>0</v>
      </c>
      <c r="H96" s="5">
        <v>0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 s="5">
        <v>0</v>
      </c>
      <c r="O96" s="5">
        <v>0</v>
      </c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Z96" s="5">
        <v>0</v>
      </c>
      <c r="AA96" s="5">
        <v>0</v>
      </c>
      <c r="AB96" s="5">
        <f t="shared" si="11"/>
        <v>0</v>
      </c>
    </row>
    <row r="97" spans="1:28" x14ac:dyDescent="0.25">
      <c r="A97" s="6" t="s">
        <v>1103</v>
      </c>
      <c r="B97" s="6" t="s">
        <v>31</v>
      </c>
      <c r="C97" s="6">
        <v>23</v>
      </c>
      <c r="D97" s="6">
        <v>2</v>
      </c>
      <c r="E97" s="6" t="s">
        <v>173</v>
      </c>
      <c r="F97" s="6" t="s">
        <v>1075</v>
      </c>
      <c r="G97" s="6">
        <v>0</v>
      </c>
      <c r="H97" s="6">
        <v>0</v>
      </c>
      <c r="I97" s="6">
        <v>0</v>
      </c>
      <c r="J97" s="6">
        <v>0</v>
      </c>
      <c r="K97" s="6">
        <v>0</v>
      </c>
      <c r="L97" s="6">
        <v>0</v>
      </c>
      <c r="M97" s="6">
        <v>0</v>
      </c>
      <c r="N97" s="6">
        <v>0</v>
      </c>
      <c r="O97" s="6">
        <v>0</v>
      </c>
      <c r="P97" s="6">
        <v>0</v>
      </c>
      <c r="Q97" s="6">
        <v>0</v>
      </c>
      <c r="R97" s="6">
        <v>0</v>
      </c>
      <c r="S97" s="6">
        <v>0</v>
      </c>
      <c r="T97" s="6">
        <v>0</v>
      </c>
      <c r="U97" s="6">
        <v>0</v>
      </c>
      <c r="V97" s="6">
        <v>0</v>
      </c>
      <c r="W97" s="6">
        <v>0</v>
      </c>
      <c r="X97" s="6">
        <v>0</v>
      </c>
      <c r="Y97" s="6">
        <v>0</v>
      </c>
      <c r="Z97" s="6">
        <v>0</v>
      </c>
      <c r="AA97" s="6">
        <v>0</v>
      </c>
      <c r="AB97" s="6">
        <f t="shared" si="11"/>
        <v>0</v>
      </c>
    </row>
    <row r="98" spans="1:28" x14ac:dyDescent="0.25">
      <c r="A98" s="5" t="s">
        <v>1148</v>
      </c>
      <c r="B98" s="5" t="s">
        <v>31</v>
      </c>
      <c r="C98" s="5">
        <v>21</v>
      </c>
      <c r="D98" s="5">
        <v>0</v>
      </c>
      <c r="E98" s="5" t="s">
        <v>307</v>
      </c>
      <c r="F98" s="5" t="s">
        <v>1127</v>
      </c>
      <c r="G98" s="5">
        <v>0</v>
      </c>
      <c r="H98" s="5">
        <v>0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 s="5">
        <v>0</v>
      </c>
      <c r="O98" s="5">
        <v>0</v>
      </c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Z98" s="5">
        <v>0</v>
      </c>
      <c r="AA98" s="5">
        <v>0</v>
      </c>
      <c r="AB98" s="5">
        <f t="shared" si="11"/>
        <v>0</v>
      </c>
    </row>
    <row r="99" spans="1:28" x14ac:dyDescent="0.25">
      <c r="A99" s="6" t="s">
        <v>1149</v>
      </c>
      <c r="B99" s="6" t="s">
        <v>31</v>
      </c>
      <c r="C99" s="6">
        <v>24</v>
      </c>
      <c r="D99" s="6">
        <v>4</v>
      </c>
      <c r="E99" s="6" t="s">
        <v>86</v>
      </c>
      <c r="F99" s="6" t="s">
        <v>1127</v>
      </c>
      <c r="G99" s="6">
        <v>0</v>
      </c>
      <c r="H99" s="6">
        <v>0</v>
      </c>
      <c r="I99" s="6">
        <v>0</v>
      </c>
      <c r="J99" s="6">
        <v>0</v>
      </c>
      <c r="K99" s="6">
        <v>0</v>
      </c>
      <c r="L99" s="6">
        <v>0</v>
      </c>
      <c r="M99" s="6">
        <v>0</v>
      </c>
      <c r="N99" s="6">
        <v>0</v>
      </c>
      <c r="O99" s="6">
        <v>0</v>
      </c>
      <c r="P99" s="6">
        <v>0</v>
      </c>
      <c r="Q99" s="6">
        <v>0</v>
      </c>
      <c r="R99" s="6">
        <v>0</v>
      </c>
      <c r="S99" s="6">
        <v>0</v>
      </c>
      <c r="T99" s="6">
        <v>0</v>
      </c>
      <c r="U99" s="6">
        <v>0</v>
      </c>
      <c r="V99" s="6">
        <v>0</v>
      </c>
      <c r="W99" s="6">
        <v>0</v>
      </c>
      <c r="X99" s="6">
        <v>0</v>
      </c>
      <c r="Y99" s="6">
        <v>0</v>
      </c>
      <c r="Z99" s="6">
        <v>0</v>
      </c>
      <c r="AA99" s="6">
        <v>0</v>
      </c>
      <c r="AB99" s="6">
        <f t="shared" si="11"/>
        <v>0</v>
      </c>
    </row>
    <row r="100" spans="1:28" x14ac:dyDescent="0.25">
      <c r="A100" s="5" t="s">
        <v>1150</v>
      </c>
      <c r="B100" s="5" t="s">
        <v>31</v>
      </c>
      <c r="C100" s="5">
        <v>23</v>
      </c>
      <c r="D100" s="5">
        <v>0</v>
      </c>
      <c r="E100" s="5" t="s">
        <v>82</v>
      </c>
      <c r="F100" s="5" t="s">
        <v>1127</v>
      </c>
      <c r="G100" s="5">
        <v>0</v>
      </c>
      <c r="H100" s="5">
        <v>0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Z100" s="5">
        <v>0</v>
      </c>
      <c r="AA100" s="5">
        <v>0</v>
      </c>
      <c r="AB100" s="5">
        <f t="shared" si="11"/>
        <v>0</v>
      </c>
    </row>
    <row r="101" spans="1:28" x14ac:dyDescent="0.25">
      <c r="A101" s="6" t="s">
        <v>1151</v>
      </c>
      <c r="B101" s="6" t="s">
        <v>31</v>
      </c>
      <c r="C101" s="6">
        <v>26</v>
      </c>
      <c r="D101" s="6">
        <v>5</v>
      </c>
      <c r="E101" s="6" t="s">
        <v>86</v>
      </c>
      <c r="F101" s="6" t="s">
        <v>1127</v>
      </c>
      <c r="G101" s="6">
        <v>0</v>
      </c>
      <c r="H101" s="6">
        <v>0</v>
      </c>
      <c r="I101" s="6">
        <v>0</v>
      </c>
      <c r="J101" s="6">
        <v>0</v>
      </c>
      <c r="K101" s="6">
        <v>0</v>
      </c>
      <c r="L101" s="6">
        <v>0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R101" s="6">
        <v>0</v>
      </c>
      <c r="S101" s="6">
        <v>0</v>
      </c>
      <c r="T101" s="6">
        <v>0</v>
      </c>
      <c r="U101" s="6">
        <v>0</v>
      </c>
      <c r="V101" s="6">
        <v>0</v>
      </c>
      <c r="W101" s="6">
        <v>0</v>
      </c>
      <c r="X101" s="6">
        <v>0</v>
      </c>
      <c r="Y101" s="6">
        <v>0</v>
      </c>
      <c r="Z101" s="6">
        <v>0</v>
      </c>
      <c r="AA101" s="6">
        <v>0</v>
      </c>
      <c r="AB101" s="6">
        <f t="shared" si="11"/>
        <v>0</v>
      </c>
    </row>
    <row r="102" spans="1:28" x14ac:dyDescent="0.25">
      <c r="A102" s="5" t="s">
        <v>1152</v>
      </c>
      <c r="B102" s="5" t="s">
        <v>31</v>
      </c>
      <c r="C102" s="5">
        <v>31</v>
      </c>
      <c r="D102" s="5">
        <v>9</v>
      </c>
      <c r="E102" s="5" t="s">
        <v>62</v>
      </c>
      <c r="F102" s="5" t="s">
        <v>1127</v>
      </c>
      <c r="G102" s="5">
        <v>0</v>
      </c>
      <c r="H102" s="5">
        <v>0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Z102" s="5">
        <v>0</v>
      </c>
      <c r="AA102" s="5">
        <v>0</v>
      </c>
      <c r="AB102" s="5">
        <f t="shared" si="11"/>
        <v>0</v>
      </c>
    </row>
    <row r="103" spans="1:28" x14ac:dyDescent="0.25">
      <c r="A103" s="5" t="s">
        <v>1194</v>
      </c>
      <c r="B103" s="5" t="s">
        <v>31</v>
      </c>
      <c r="C103" s="5">
        <v>25</v>
      </c>
      <c r="D103" s="5">
        <v>2</v>
      </c>
      <c r="E103" s="5" t="s">
        <v>163</v>
      </c>
      <c r="F103" s="5" t="s">
        <v>1176</v>
      </c>
      <c r="G103" s="5">
        <v>0</v>
      </c>
      <c r="H103" s="5">
        <v>0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Z103" s="5">
        <v>0</v>
      </c>
      <c r="AA103" s="5">
        <v>0</v>
      </c>
      <c r="AB103" s="5">
        <f t="shared" si="11"/>
        <v>0</v>
      </c>
    </row>
    <row r="104" spans="1:28" x14ac:dyDescent="0.25">
      <c r="A104" s="6" t="s">
        <v>1195</v>
      </c>
      <c r="B104" s="6" t="s">
        <v>31</v>
      </c>
      <c r="C104" s="6"/>
      <c r="D104" s="6">
        <v>0</v>
      </c>
      <c r="E104" s="6" t="s">
        <v>1196</v>
      </c>
      <c r="F104" s="6" t="s">
        <v>1176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R104" s="6">
        <v>0</v>
      </c>
      <c r="S104" s="6">
        <v>0</v>
      </c>
      <c r="T104" s="6">
        <v>0</v>
      </c>
      <c r="U104" s="6">
        <v>0</v>
      </c>
      <c r="V104" s="6">
        <v>0</v>
      </c>
      <c r="W104" s="6">
        <v>0</v>
      </c>
      <c r="X104" s="6">
        <v>0</v>
      </c>
      <c r="Y104" s="6">
        <v>0</v>
      </c>
      <c r="Z104" s="6">
        <v>0</v>
      </c>
      <c r="AA104" s="6">
        <v>0</v>
      </c>
      <c r="AB104" s="6">
        <f t="shared" si="11"/>
        <v>0</v>
      </c>
    </row>
    <row r="105" spans="1:28" x14ac:dyDescent="0.25">
      <c r="A105" s="5" t="s">
        <v>1197</v>
      </c>
      <c r="B105" s="5" t="s">
        <v>31</v>
      </c>
      <c r="C105" s="5">
        <v>25</v>
      </c>
      <c r="D105" s="5">
        <v>5</v>
      </c>
      <c r="E105" s="5" t="s">
        <v>296</v>
      </c>
      <c r="F105" s="5" t="s">
        <v>1176</v>
      </c>
      <c r="G105" s="5">
        <v>0</v>
      </c>
      <c r="H105" s="5">
        <v>0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Z105" s="5">
        <v>0</v>
      </c>
      <c r="AA105" s="5">
        <v>0</v>
      </c>
      <c r="AB105" s="5">
        <f t="shared" si="11"/>
        <v>0</v>
      </c>
    </row>
    <row r="106" spans="1:28" x14ac:dyDescent="0.25">
      <c r="A106" s="6" t="s">
        <v>1198</v>
      </c>
      <c r="B106" s="6" t="s">
        <v>31</v>
      </c>
      <c r="C106" s="6">
        <v>22</v>
      </c>
      <c r="D106" s="6">
        <v>0</v>
      </c>
      <c r="E106" s="6" t="s">
        <v>335</v>
      </c>
      <c r="F106" s="6" t="s">
        <v>1176</v>
      </c>
      <c r="G106" s="6">
        <v>0</v>
      </c>
      <c r="H106" s="6">
        <v>0</v>
      </c>
      <c r="I106" s="6">
        <v>0</v>
      </c>
      <c r="J106" s="6">
        <v>0</v>
      </c>
      <c r="K106" s="6">
        <v>0</v>
      </c>
      <c r="L106" s="6">
        <v>0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R106" s="6">
        <v>0</v>
      </c>
      <c r="S106" s="6">
        <v>0</v>
      </c>
      <c r="T106" s="6">
        <v>0</v>
      </c>
      <c r="U106" s="6">
        <v>0</v>
      </c>
      <c r="V106" s="6">
        <v>0</v>
      </c>
      <c r="W106" s="6">
        <v>0</v>
      </c>
      <c r="X106" s="6">
        <v>0</v>
      </c>
      <c r="Y106" s="6">
        <v>0</v>
      </c>
      <c r="Z106" s="6">
        <v>0</v>
      </c>
      <c r="AA106" s="6">
        <v>0</v>
      </c>
      <c r="AB106" s="6">
        <f t="shared" si="11"/>
        <v>0</v>
      </c>
    </row>
    <row r="107" spans="1:28" x14ac:dyDescent="0.25">
      <c r="A107" s="5" t="s">
        <v>1199</v>
      </c>
      <c r="B107" s="5" t="s">
        <v>31</v>
      </c>
      <c r="C107" s="5">
        <v>25</v>
      </c>
      <c r="D107" s="5">
        <v>3</v>
      </c>
      <c r="E107" s="5" t="s">
        <v>244</v>
      </c>
      <c r="F107" s="5" t="s">
        <v>1176</v>
      </c>
      <c r="G107" s="5">
        <v>0</v>
      </c>
      <c r="H107" s="5">
        <v>0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Z107" s="5">
        <v>0</v>
      </c>
      <c r="AA107" s="5">
        <v>0</v>
      </c>
      <c r="AB107" s="5">
        <f t="shared" si="11"/>
        <v>0</v>
      </c>
    </row>
    <row r="108" spans="1:28" x14ac:dyDescent="0.25">
      <c r="A108" s="5" t="s">
        <v>1241</v>
      </c>
      <c r="B108" s="5" t="s">
        <v>31</v>
      </c>
      <c r="C108" s="5">
        <v>28</v>
      </c>
      <c r="D108" s="5">
        <v>8</v>
      </c>
      <c r="E108" s="5" t="s">
        <v>213</v>
      </c>
      <c r="F108" s="5" t="s">
        <v>1222</v>
      </c>
      <c r="G108" s="5">
        <v>0</v>
      </c>
      <c r="H108" s="5">
        <v>0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Z108" s="5">
        <v>0</v>
      </c>
      <c r="AA108" s="5">
        <v>0</v>
      </c>
      <c r="AB108" s="5">
        <f t="shared" si="11"/>
        <v>0</v>
      </c>
    </row>
    <row r="109" spans="1:28" x14ac:dyDescent="0.25">
      <c r="A109" s="6" t="s">
        <v>1242</v>
      </c>
      <c r="B109" s="6" t="s">
        <v>31</v>
      </c>
      <c r="C109" s="6">
        <v>22</v>
      </c>
      <c r="D109" s="6">
        <v>2</v>
      </c>
      <c r="E109" s="6" t="s">
        <v>341</v>
      </c>
      <c r="F109" s="6" t="s">
        <v>1222</v>
      </c>
      <c r="G109" s="6">
        <v>0</v>
      </c>
      <c r="H109" s="6">
        <v>0</v>
      </c>
      <c r="I109" s="6">
        <v>0</v>
      </c>
      <c r="J109" s="6">
        <v>0</v>
      </c>
      <c r="K109" s="6">
        <v>0</v>
      </c>
      <c r="L109" s="6">
        <v>0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R109" s="6">
        <v>0</v>
      </c>
      <c r="S109" s="6">
        <v>0</v>
      </c>
      <c r="T109" s="6">
        <v>0</v>
      </c>
      <c r="U109" s="6">
        <v>0</v>
      </c>
      <c r="V109" s="6">
        <v>0</v>
      </c>
      <c r="W109" s="6">
        <v>0</v>
      </c>
      <c r="X109" s="6">
        <v>0</v>
      </c>
      <c r="Y109" s="6">
        <v>0</v>
      </c>
      <c r="Z109" s="6">
        <v>0</v>
      </c>
      <c r="AA109" s="6">
        <v>0</v>
      </c>
      <c r="AB109" s="6">
        <f t="shared" si="11"/>
        <v>0</v>
      </c>
    </row>
    <row r="110" spans="1:28" x14ac:dyDescent="0.25">
      <c r="A110" s="5" t="s">
        <v>1243</v>
      </c>
      <c r="B110" s="5" t="s">
        <v>31</v>
      </c>
      <c r="C110" s="5">
        <v>26</v>
      </c>
      <c r="D110" s="5">
        <v>1</v>
      </c>
      <c r="E110" s="5" t="s">
        <v>246</v>
      </c>
      <c r="F110" s="5" t="s">
        <v>1222</v>
      </c>
      <c r="G110" s="5">
        <v>0</v>
      </c>
      <c r="H110" s="5">
        <v>0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Z110" s="5">
        <v>0</v>
      </c>
      <c r="AA110" s="5">
        <v>0</v>
      </c>
      <c r="AB110" s="5">
        <f t="shared" si="11"/>
        <v>0</v>
      </c>
    </row>
    <row r="111" spans="1:28" x14ac:dyDescent="0.25">
      <c r="A111" s="6" t="s">
        <v>1244</v>
      </c>
      <c r="B111" s="6" t="s">
        <v>31</v>
      </c>
      <c r="C111" s="6">
        <v>25</v>
      </c>
      <c r="D111" s="6">
        <v>3</v>
      </c>
      <c r="E111" s="6" t="s">
        <v>68</v>
      </c>
      <c r="F111" s="6" t="s">
        <v>1222</v>
      </c>
      <c r="G111" s="6">
        <v>0</v>
      </c>
      <c r="H111" s="6">
        <v>0</v>
      </c>
      <c r="I111" s="6">
        <v>0</v>
      </c>
      <c r="J111" s="6">
        <v>0</v>
      </c>
      <c r="K111" s="6">
        <v>0</v>
      </c>
      <c r="L111" s="6">
        <v>0</v>
      </c>
      <c r="M111" s="6">
        <v>0</v>
      </c>
      <c r="N111" s="6">
        <v>0</v>
      </c>
      <c r="O111" s="6">
        <v>0</v>
      </c>
      <c r="P111" s="6">
        <v>0</v>
      </c>
      <c r="Q111" s="6">
        <v>0</v>
      </c>
      <c r="R111" s="6">
        <v>0</v>
      </c>
      <c r="S111" s="6">
        <v>0</v>
      </c>
      <c r="T111" s="6">
        <v>0</v>
      </c>
      <c r="U111" s="6">
        <v>0</v>
      </c>
      <c r="V111" s="6">
        <v>0</v>
      </c>
      <c r="W111" s="6">
        <v>0</v>
      </c>
      <c r="X111" s="6">
        <v>0</v>
      </c>
      <c r="Y111" s="6">
        <v>0</v>
      </c>
      <c r="Z111" s="6">
        <v>0</v>
      </c>
      <c r="AA111" s="6">
        <v>0</v>
      </c>
      <c r="AB111" s="6">
        <f t="shared" si="11"/>
        <v>0</v>
      </c>
    </row>
    <row r="112" spans="1:28" x14ac:dyDescent="0.25">
      <c r="A112" s="5" t="s">
        <v>1245</v>
      </c>
      <c r="B112" s="5" t="s">
        <v>31</v>
      </c>
      <c r="C112" s="5">
        <v>24</v>
      </c>
      <c r="D112" s="5">
        <v>2</v>
      </c>
      <c r="E112" s="5" t="s">
        <v>753</v>
      </c>
      <c r="F112" s="5" t="s">
        <v>1222</v>
      </c>
      <c r="G112" s="5">
        <v>0</v>
      </c>
      <c r="H112" s="5">
        <v>0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Z112" s="5">
        <v>0</v>
      </c>
      <c r="AA112" s="5">
        <v>0</v>
      </c>
      <c r="AB112" s="5">
        <f t="shared" si="11"/>
        <v>0</v>
      </c>
    </row>
    <row r="113" spans="1:28" x14ac:dyDescent="0.25">
      <c r="A113" s="5" t="s">
        <v>1290</v>
      </c>
      <c r="B113" s="5" t="s">
        <v>31</v>
      </c>
      <c r="C113" s="5">
        <v>26</v>
      </c>
      <c r="D113" s="5">
        <v>1</v>
      </c>
      <c r="E113" s="5" t="s">
        <v>163</v>
      </c>
      <c r="F113" s="5" t="s">
        <v>1270</v>
      </c>
      <c r="G113" s="5">
        <v>0</v>
      </c>
      <c r="H113" s="5">
        <v>0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Z113" s="5">
        <v>0</v>
      </c>
      <c r="AA113" s="5">
        <v>0</v>
      </c>
      <c r="AB113" s="5">
        <f t="shared" si="11"/>
        <v>0</v>
      </c>
    </row>
    <row r="114" spans="1:28" x14ac:dyDescent="0.25">
      <c r="A114" s="6" t="s">
        <v>1291</v>
      </c>
      <c r="B114" s="6" t="s">
        <v>31</v>
      </c>
      <c r="C114" s="6">
        <v>24</v>
      </c>
      <c r="D114" s="6">
        <v>4</v>
      </c>
      <c r="E114" s="6" t="s">
        <v>155</v>
      </c>
      <c r="F114" s="6" t="s">
        <v>1270</v>
      </c>
      <c r="G114" s="6">
        <v>0</v>
      </c>
      <c r="H114" s="6">
        <v>0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R114" s="6">
        <v>0</v>
      </c>
      <c r="S114" s="6">
        <v>0</v>
      </c>
      <c r="T114" s="6">
        <v>0</v>
      </c>
      <c r="U114" s="6">
        <v>0</v>
      </c>
      <c r="V114" s="6">
        <v>0</v>
      </c>
      <c r="W114" s="6">
        <v>0</v>
      </c>
      <c r="X114" s="6">
        <v>0</v>
      </c>
      <c r="Y114" s="6">
        <v>0</v>
      </c>
      <c r="Z114" s="6">
        <v>0</v>
      </c>
      <c r="AA114" s="6">
        <v>0</v>
      </c>
      <c r="AB114" s="6">
        <f t="shared" si="11"/>
        <v>0</v>
      </c>
    </row>
    <row r="115" spans="1:28" x14ac:dyDescent="0.25">
      <c r="A115" s="5" t="s">
        <v>1292</v>
      </c>
      <c r="B115" s="5" t="s">
        <v>31</v>
      </c>
      <c r="C115" s="5">
        <v>28</v>
      </c>
      <c r="D115" s="5">
        <v>7</v>
      </c>
      <c r="E115" s="5" t="s">
        <v>143</v>
      </c>
      <c r="F115" s="5" t="s">
        <v>1270</v>
      </c>
      <c r="G115" s="5">
        <v>0</v>
      </c>
      <c r="H115" s="5">
        <v>0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Z115" s="5">
        <v>0</v>
      </c>
      <c r="AA115" s="5">
        <v>0</v>
      </c>
      <c r="AB115" s="5">
        <f t="shared" si="11"/>
        <v>0</v>
      </c>
    </row>
    <row r="116" spans="1:28" x14ac:dyDescent="0.25">
      <c r="A116" s="6" t="s">
        <v>1293</v>
      </c>
      <c r="B116" s="6" t="s">
        <v>31</v>
      </c>
      <c r="C116" s="6">
        <v>24</v>
      </c>
      <c r="D116" s="6">
        <v>0</v>
      </c>
      <c r="E116" s="6" t="s">
        <v>291</v>
      </c>
      <c r="F116" s="6" t="s">
        <v>1270</v>
      </c>
      <c r="G116" s="6">
        <v>0</v>
      </c>
      <c r="H116" s="6">
        <v>0</v>
      </c>
      <c r="I116" s="6">
        <v>0</v>
      </c>
      <c r="J116" s="6">
        <v>0</v>
      </c>
      <c r="K116" s="6">
        <v>0</v>
      </c>
      <c r="L116" s="6">
        <v>0</v>
      </c>
      <c r="M116" s="6">
        <v>0</v>
      </c>
      <c r="N116" s="6">
        <v>0</v>
      </c>
      <c r="O116" s="6">
        <v>0</v>
      </c>
      <c r="P116" s="6">
        <v>0</v>
      </c>
      <c r="Q116" s="6">
        <v>0</v>
      </c>
      <c r="R116" s="6">
        <v>0</v>
      </c>
      <c r="S116" s="6">
        <v>0</v>
      </c>
      <c r="T116" s="6">
        <v>0</v>
      </c>
      <c r="U116" s="6">
        <v>0</v>
      </c>
      <c r="V116" s="6">
        <v>0</v>
      </c>
      <c r="W116" s="6">
        <v>0</v>
      </c>
      <c r="X116" s="6">
        <v>0</v>
      </c>
      <c r="Y116" s="6">
        <v>0</v>
      </c>
      <c r="Z116" s="6">
        <v>0</v>
      </c>
      <c r="AA116" s="6">
        <v>0</v>
      </c>
      <c r="AB116" s="6">
        <f t="shared" si="11"/>
        <v>0</v>
      </c>
    </row>
    <row r="117" spans="1:28" x14ac:dyDescent="0.25">
      <c r="A117" s="5" t="s">
        <v>1294</v>
      </c>
      <c r="B117" s="5" t="s">
        <v>31</v>
      </c>
      <c r="C117" s="5">
        <v>21</v>
      </c>
      <c r="D117" s="5">
        <v>0</v>
      </c>
      <c r="E117" s="5" t="s">
        <v>76</v>
      </c>
      <c r="F117" s="5" t="s">
        <v>1270</v>
      </c>
      <c r="G117" s="5">
        <v>0</v>
      </c>
      <c r="H117" s="5">
        <v>0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Z117" s="5">
        <v>0</v>
      </c>
      <c r="AA117" s="5">
        <v>0</v>
      </c>
      <c r="AB117" s="5">
        <f t="shared" si="11"/>
        <v>0</v>
      </c>
    </row>
    <row r="118" spans="1:28" x14ac:dyDescent="0.25">
      <c r="A118" s="6" t="s">
        <v>1295</v>
      </c>
      <c r="B118" s="6" t="s">
        <v>31</v>
      </c>
      <c r="C118" s="6">
        <v>28</v>
      </c>
      <c r="D118" s="6">
        <v>6</v>
      </c>
      <c r="E118" s="6" t="s">
        <v>227</v>
      </c>
      <c r="F118" s="6" t="s">
        <v>1270</v>
      </c>
      <c r="G118" s="6">
        <v>0</v>
      </c>
      <c r="H118" s="6">
        <v>0</v>
      </c>
      <c r="I118" s="6">
        <v>0</v>
      </c>
      <c r="J118" s="6">
        <v>0</v>
      </c>
      <c r="K118" s="6">
        <v>0</v>
      </c>
      <c r="L118" s="6">
        <v>0</v>
      </c>
      <c r="M118" s="6">
        <v>0</v>
      </c>
      <c r="N118" s="6">
        <v>0</v>
      </c>
      <c r="O118" s="6">
        <v>0</v>
      </c>
      <c r="P118" s="6">
        <v>0</v>
      </c>
      <c r="Q118" s="6">
        <v>0</v>
      </c>
      <c r="R118" s="6">
        <v>0</v>
      </c>
      <c r="S118" s="6">
        <v>0</v>
      </c>
      <c r="T118" s="6">
        <v>0</v>
      </c>
      <c r="U118" s="6">
        <v>0</v>
      </c>
      <c r="V118" s="6">
        <v>0</v>
      </c>
      <c r="W118" s="6">
        <v>0</v>
      </c>
      <c r="X118" s="6">
        <v>0</v>
      </c>
      <c r="Y118" s="6">
        <v>0</v>
      </c>
      <c r="Z118" s="6">
        <v>0</v>
      </c>
      <c r="AA118" s="6">
        <v>0</v>
      </c>
      <c r="AB118" s="6">
        <f t="shared" si="11"/>
        <v>0</v>
      </c>
    </row>
    <row r="119" spans="1:28" x14ac:dyDescent="0.25">
      <c r="A119" s="5" t="s">
        <v>1339</v>
      </c>
      <c r="B119" s="5" t="s">
        <v>31</v>
      </c>
      <c r="C119" s="5">
        <v>26</v>
      </c>
      <c r="D119" s="5">
        <v>6</v>
      </c>
      <c r="E119" s="5" t="s">
        <v>339</v>
      </c>
      <c r="F119" s="5" t="s">
        <v>1320</v>
      </c>
      <c r="G119" s="5">
        <v>0</v>
      </c>
      <c r="H119" s="5">
        <v>0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Z119" s="5">
        <v>0</v>
      </c>
      <c r="AA119" s="5">
        <v>0</v>
      </c>
      <c r="AB119" s="5">
        <f t="shared" si="11"/>
        <v>0</v>
      </c>
    </row>
    <row r="120" spans="1:28" x14ac:dyDescent="0.25">
      <c r="A120" s="6" t="s">
        <v>1340</v>
      </c>
      <c r="B120" s="6" t="s">
        <v>31</v>
      </c>
      <c r="C120" s="6">
        <v>28</v>
      </c>
      <c r="D120" s="6">
        <v>7</v>
      </c>
      <c r="E120" s="6" t="s">
        <v>939</v>
      </c>
      <c r="F120" s="6" t="s">
        <v>1320</v>
      </c>
      <c r="G120" s="6">
        <v>0</v>
      </c>
      <c r="H120" s="6">
        <v>0</v>
      </c>
      <c r="I120" s="6">
        <v>0</v>
      </c>
      <c r="J120" s="6">
        <v>0</v>
      </c>
      <c r="K120" s="6">
        <v>0</v>
      </c>
      <c r="L120" s="6">
        <v>0</v>
      </c>
      <c r="M120" s="6">
        <v>0</v>
      </c>
      <c r="N120" s="6">
        <v>0</v>
      </c>
      <c r="O120" s="6">
        <v>0</v>
      </c>
      <c r="P120" s="6">
        <v>0</v>
      </c>
      <c r="Q120" s="6">
        <v>0</v>
      </c>
      <c r="R120" s="6">
        <v>0</v>
      </c>
      <c r="S120" s="6">
        <v>0</v>
      </c>
      <c r="T120" s="6">
        <v>0</v>
      </c>
      <c r="U120" s="6">
        <v>0</v>
      </c>
      <c r="V120" s="6">
        <v>0</v>
      </c>
      <c r="W120" s="6">
        <v>0</v>
      </c>
      <c r="X120" s="6">
        <v>0</v>
      </c>
      <c r="Y120" s="6">
        <v>0</v>
      </c>
      <c r="Z120" s="6">
        <v>0</v>
      </c>
      <c r="AA120" s="6">
        <v>0</v>
      </c>
      <c r="AB120" s="6">
        <f t="shared" si="11"/>
        <v>0</v>
      </c>
    </row>
    <row r="121" spans="1:28" x14ac:dyDescent="0.25">
      <c r="A121" s="5" t="s">
        <v>1341</v>
      </c>
      <c r="B121" s="5" t="s">
        <v>31</v>
      </c>
      <c r="C121" s="5">
        <v>25</v>
      </c>
      <c r="D121" s="5">
        <v>3</v>
      </c>
      <c r="E121" s="5" t="s">
        <v>1247</v>
      </c>
      <c r="F121" s="5" t="s">
        <v>1320</v>
      </c>
      <c r="G121" s="5">
        <v>0</v>
      </c>
      <c r="H121" s="5">
        <v>0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Z121" s="5">
        <v>0</v>
      </c>
      <c r="AA121" s="5">
        <v>0</v>
      </c>
      <c r="AB121" s="5">
        <f t="shared" si="11"/>
        <v>0</v>
      </c>
    </row>
    <row r="122" spans="1:28" x14ac:dyDescent="0.25">
      <c r="A122" s="6" t="s">
        <v>1342</v>
      </c>
      <c r="B122" s="6" t="s">
        <v>31</v>
      </c>
      <c r="C122" s="6">
        <v>22</v>
      </c>
      <c r="D122" s="6">
        <v>1</v>
      </c>
      <c r="E122" s="6" t="s">
        <v>1012</v>
      </c>
      <c r="F122" s="6" t="s">
        <v>1320</v>
      </c>
      <c r="G122" s="6">
        <v>0</v>
      </c>
      <c r="H122" s="6">
        <v>0</v>
      </c>
      <c r="I122" s="6">
        <v>0</v>
      </c>
      <c r="J122" s="6">
        <v>0</v>
      </c>
      <c r="K122" s="6">
        <v>0</v>
      </c>
      <c r="L122" s="6">
        <v>0</v>
      </c>
      <c r="M122" s="6">
        <v>0</v>
      </c>
      <c r="N122" s="6">
        <v>0</v>
      </c>
      <c r="O122" s="6">
        <v>0</v>
      </c>
      <c r="P122" s="6">
        <v>0</v>
      </c>
      <c r="Q122" s="6">
        <v>0</v>
      </c>
      <c r="R122" s="6">
        <v>0</v>
      </c>
      <c r="S122" s="6">
        <v>0</v>
      </c>
      <c r="T122" s="6">
        <v>0</v>
      </c>
      <c r="U122" s="6">
        <v>0</v>
      </c>
      <c r="V122" s="6">
        <v>0</v>
      </c>
      <c r="W122" s="6">
        <v>0</v>
      </c>
      <c r="X122" s="6">
        <v>0</v>
      </c>
      <c r="Y122" s="6">
        <v>0</v>
      </c>
      <c r="Z122" s="6">
        <v>0</v>
      </c>
      <c r="AA122" s="6">
        <v>0</v>
      </c>
      <c r="AB122" s="6">
        <f t="shared" si="11"/>
        <v>0</v>
      </c>
    </row>
    <row r="123" spans="1:28" x14ac:dyDescent="0.25">
      <c r="A123" s="5" t="s">
        <v>1343</v>
      </c>
      <c r="B123" s="5" t="s">
        <v>31</v>
      </c>
      <c r="C123" s="5">
        <v>23</v>
      </c>
      <c r="D123" s="5">
        <v>0</v>
      </c>
      <c r="E123" s="5" t="s">
        <v>68</v>
      </c>
      <c r="F123" s="5" t="s">
        <v>1320</v>
      </c>
      <c r="G123" s="5">
        <v>0</v>
      </c>
      <c r="H123" s="5">
        <v>0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Z123" s="5">
        <v>0</v>
      </c>
      <c r="AA123" s="5">
        <v>0</v>
      </c>
      <c r="AB123" s="5">
        <f t="shared" si="11"/>
        <v>0</v>
      </c>
    </row>
    <row r="124" spans="1:28" x14ac:dyDescent="0.25">
      <c r="A124" s="5" t="s">
        <v>1384</v>
      </c>
      <c r="B124" s="5" t="s">
        <v>31</v>
      </c>
      <c r="C124" s="5">
        <v>20</v>
      </c>
      <c r="D124" s="5">
        <v>0</v>
      </c>
      <c r="E124" s="5" t="s">
        <v>74</v>
      </c>
      <c r="F124" s="5" t="s">
        <v>1365</v>
      </c>
      <c r="G124" s="5">
        <v>0</v>
      </c>
      <c r="H124" s="5">
        <v>0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Z124" s="5">
        <v>0</v>
      </c>
      <c r="AA124" s="5">
        <v>0</v>
      </c>
      <c r="AB124" s="5">
        <f t="shared" si="11"/>
        <v>0</v>
      </c>
    </row>
    <row r="125" spans="1:28" x14ac:dyDescent="0.25">
      <c r="A125" s="6" t="s">
        <v>1385</v>
      </c>
      <c r="B125" s="6" t="s">
        <v>31</v>
      </c>
      <c r="C125" s="6">
        <v>24</v>
      </c>
      <c r="D125" s="6">
        <v>3</v>
      </c>
      <c r="E125" s="6" t="s">
        <v>163</v>
      </c>
      <c r="F125" s="6" t="s">
        <v>1365</v>
      </c>
      <c r="G125" s="6">
        <v>0</v>
      </c>
      <c r="H125" s="6">
        <v>0</v>
      </c>
      <c r="I125" s="6">
        <v>0</v>
      </c>
      <c r="J125" s="6">
        <v>0</v>
      </c>
      <c r="K125" s="6">
        <v>0</v>
      </c>
      <c r="L125" s="6">
        <v>0</v>
      </c>
      <c r="M125" s="6">
        <v>0</v>
      </c>
      <c r="N125" s="6">
        <v>0</v>
      </c>
      <c r="O125" s="6">
        <v>0</v>
      </c>
      <c r="P125" s="6">
        <v>0</v>
      </c>
      <c r="Q125" s="6">
        <v>0</v>
      </c>
      <c r="R125" s="6">
        <v>0</v>
      </c>
      <c r="S125" s="6">
        <v>0</v>
      </c>
      <c r="T125" s="6">
        <v>0</v>
      </c>
      <c r="U125" s="6">
        <v>0</v>
      </c>
      <c r="V125" s="6">
        <v>0</v>
      </c>
      <c r="W125" s="6">
        <v>0</v>
      </c>
      <c r="X125" s="6">
        <v>0</v>
      </c>
      <c r="Y125" s="6">
        <v>0</v>
      </c>
      <c r="Z125" s="6">
        <v>0</v>
      </c>
      <c r="AA125" s="6">
        <v>0</v>
      </c>
      <c r="AB125" s="6">
        <f t="shared" si="11"/>
        <v>0</v>
      </c>
    </row>
    <row r="126" spans="1:28" x14ac:dyDescent="0.25">
      <c r="A126" s="5" t="s">
        <v>1386</v>
      </c>
      <c r="B126" s="5" t="s">
        <v>31</v>
      </c>
      <c r="C126" s="5">
        <v>28</v>
      </c>
      <c r="D126" s="5">
        <v>7</v>
      </c>
      <c r="E126" s="5" t="s">
        <v>1012</v>
      </c>
      <c r="F126" s="5" t="s">
        <v>1365</v>
      </c>
      <c r="G126" s="5">
        <v>0</v>
      </c>
      <c r="H126" s="5">
        <v>0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Z126" s="5">
        <v>0</v>
      </c>
      <c r="AA126" s="5">
        <v>0</v>
      </c>
      <c r="AB126" s="5">
        <f t="shared" si="11"/>
        <v>0</v>
      </c>
    </row>
    <row r="127" spans="1:28" x14ac:dyDescent="0.25">
      <c r="A127" s="6" t="s">
        <v>1387</v>
      </c>
      <c r="B127" s="6" t="s">
        <v>31</v>
      </c>
      <c r="C127" s="6">
        <v>23</v>
      </c>
      <c r="D127" s="6">
        <v>0</v>
      </c>
      <c r="E127" s="6" t="s">
        <v>78</v>
      </c>
      <c r="F127" s="6" t="s">
        <v>1365</v>
      </c>
      <c r="G127" s="6">
        <v>0</v>
      </c>
      <c r="H127" s="6">
        <v>0</v>
      </c>
      <c r="I127" s="6">
        <v>0</v>
      </c>
      <c r="J127" s="6">
        <v>0</v>
      </c>
      <c r="K127" s="6">
        <v>0</v>
      </c>
      <c r="L127" s="6">
        <v>0</v>
      </c>
      <c r="M127" s="6">
        <v>0</v>
      </c>
      <c r="N127" s="6">
        <v>0</v>
      </c>
      <c r="O127" s="6">
        <v>0</v>
      </c>
      <c r="P127" s="6">
        <v>0</v>
      </c>
      <c r="Q127" s="6">
        <v>0</v>
      </c>
      <c r="R127" s="6">
        <v>0</v>
      </c>
      <c r="S127" s="6">
        <v>0</v>
      </c>
      <c r="T127" s="6">
        <v>0</v>
      </c>
      <c r="U127" s="6">
        <v>0</v>
      </c>
      <c r="V127" s="6">
        <v>0</v>
      </c>
      <c r="W127" s="6">
        <v>0</v>
      </c>
      <c r="X127" s="6">
        <v>0</v>
      </c>
      <c r="Y127" s="6">
        <v>0</v>
      </c>
      <c r="Z127" s="6">
        <v>0</v>
      </c>
      <c r="AA127" s="6">
        <v>0</v>
      </c>
      <c r="AB127" s="6">
        <f t="shared" si="11"/>
        <v>0</v>
      </c>
    </row>
    <row r="128" spans="1:28" x14ac:dyDescent="0.25">
      <c r="A128" s="5" t="s">
        <v>1388</v>
      </c>
      <c r="B128" s="5" t="s">
        <v>31</v>
      </c>
      <c r="C128" s="5">
        <v>22</v>
      </c>
      <c r="D128" s="5">
        <v>2</v>
      </c>
      <c r="E128" s="5" t="s">
        <v>244</v>
      </c>
      <c r="F128" s="5" t="s">
        <v>1365</v>
      </c>
      <c r="G128" s="5">
        <v>0</v>
      </c>
      <c r="H128" s="5">
        <v>0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Z128" s="5">
        <v>0</v>
      </c>
      <c r="AA128" s="5">
        <v>0</v>
      </c>
      <c r="AB128" s="5">
        <f t="shared" si="11"/>
        <v>0</v>
      </c>
    </row>
    <row r="129" spans="1:28" x14ac:dyDescent="0.25">
      <c r="A129" s="5" t="s">
        <v>1430</v>
      </c>
      <c r="B129" s="5" t="s">
        <v>31</v>
      </c>
      <c r="C129" s="5">
        <v>24</v>
      </c>
      <c r="D129" s="5">
        <v>1</v>
      </c>
      <c r="E129" s="5" t="s">
        <v>68</v>
      </c>
      <c r="F129" s="5" t="s">
        <v>1413</v>
      </c>
      <c r="G129" s="5">
        <v>0</v>
      </c>
      <c r="H129" s="5">
        <v>0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0</v>
      </c>
      <c r="Q129" s="5">
        <v>0</v>
      </c>
      <c r="R129" s="5">
        <v>0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Z129" s="5">
        <v>0</v>
      </c>
      <c r="AA129" s="5">
        <v>0</v>
      </c>
      <c r="AB129" s="5">
        <f t="shared" si="11"/>
        <v>0</v>
      </c>
    </row>
    <row r="130" spans="1:28" x14ac:dyDescent="0.25">
      <c r="A130" s="6" t="s">
        <v>1431</v>
      </c>
      <c r="B130" s="6" t="s">
        <v>31</v>
      </c>
      <c r="C130" s="6">
        <v>24</v>
      </c>
      <c r="D130" s="6">
        <v>3</v>
      </c>
      <c r="E130" s="6" t="s">
        <v>557</v>
      </c>
      <c r="F130" s="6" t="s">
        <v>1413</v>
      </c>
      <c r="G130" s="6">
        <v>0</v>
      </c>
      <c r="H130" s="6">
        <v>0</v>
      </c>
      <c r="I130" s="6">
        <v>0</v>
      </c>
      <c r="J130" s="6">
        <v>0</v>
      </c>
      <c r="K130" s="6">
        <v>0</v>
      </c>
      <c r="L130" s="6">
        <v>0</v>
      </c>
      <c r="M130" s="6">
        <v>0</v>
      </c>
      <c r="N130" s="6">
        <v>0</v>
      </c>
      <c r="O130" s="6">
        <v>0</v>
      </c>
      <c r="P130" s="6">
        <v>0</v>
      </c>
      <c r="Q130" s="6">
        <v>0</v>
      </c>
      <c r="R130" s="6">
        <v>0</v>
      </c>
      <c r="S130" s="6">
        <v>0</v>
      </c>
      <c r="T130" s="6">
        <v>0</v>
      </c>
      <c r="U130" s="6">
        <v>0</v>
      </c>
      <c r="V130" s="6">
        <v>0</v>
      </c>
      <c r="W130" s="6">
        <v>0</v>
      </c>
      <c r="X130" s="6">
        <v>0</v>
      </c>
      <c r="Y130" s="6">
        <v>0</v>
      </c>
      <c r="Z130" s="6">
        <v>0</v>
      </c>
      <c r="AA130" s="6">
        <v>0</v>
      </c>
      <c r="AB130" s="6">
        <f t="shared" si="11"/>
        <v>0</v>
      </c>
    </row>
    <row r="131" spans="1:28" x14ac:dyDescent="0.25">
      <c r="A131" s="5" t="s">
        <v>1432</v>
      </c>
      <c r="B131" s="5" t="s">
        <v>31</v>
      </c>
      <c r="C131" s="5">
        <v>27</v>
      </c>
      <c r="D131" s="5">
        <v>6</v>
      </c>
      <c r="E131" s="5" t="s">
        <v>795</v>
      </c>
      <c r="F131" s="5" t="s">
        <v>1413</v>
      </c>
      <c r="G131" s="5">
        <v>0</v>
      </c>
      <c r="H131" s="5">
        <v>0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0</v>
      </c>
      <c r="Q131" s="5">
        <v>0</v>
      </c>
      <c r="R131" s="5">
        <v>0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Z131" s="5">
        <v>0</v>
      </c>
      <c r="AA131" s="5">
        <v>0</v>
      </c>
      <c r="AB131" s="5">
        <f t="shared" si="11"/>
        <v>0</v>
      </c>
    </row>
    <row r="132" spans="1:28" x14ac:dyDescent="0.25">
      <c r="A132" s="6" t="s">
        <v>1433</v>
      </c>
      <c r="B132" s="6" t="s">
        <v>31</v>
      </c>
      <c r="C132" s="6">
        <v>28</v>
      </c>
      <c r="D132" s="6">
        <v>5</v>
      </c>
      <c r="E132" s="6" t="s">
        <v>64</v>
      </c>
      <c r="F132" s="6" t="s">
        <v>1413</v>
      </c>
      <c r="G132" s="6">
        <v>0</v>
      </c>
      <c r="H132" s="6">
        <v>0</v>
      </c>
      <c r="I132" s="6">
        <v>0</v>
      </c>
      <c r="J132" s="6">
        <v>0</v>
      </c>
      <c r="K132" s="6">
        <v>0</v>
      </c>
      <c r="L132" s="6">
        <v>0</v>
      </c>
      <c r="M132" s="6">
        <v>0</v>
      </c>
      <c r="N132" s="6">
        <v>0</v>
      </c>
      <c r="O132" s="6">
        <v>0</v>
      </c>
      <c r="P132" s="6">
        <v>0</v>
      </c>
      <c r="Q132" s="6">
        <v>0</v>
      </c>
      <c r="R132" s="6">
        <v>0</v>
      </c>
      <c r="S132" s="6">
        <v>0</v>
      </c>
      <c r="T132" s="6">
        <v>0</v>
      </c>
      <c r="U132" s="6">
        <v>0</v>
      </c>
      <c r="V132" s="6">
        <v>0</v>
      </c>
      <c r="W132" s="6">
        <v>0</v>
      </c>
      <c r="X132" s="6">
        <v>0</v>
      </c>
      <c r="Y132" s="6">
        <v>0</v>
      </c>
      <c r="Z132" s="6">
        <v>0</v>
      </c>
      <c r="AA132" s="6">
        <v>0</v>
      </c>
      <c r="AB132" s="6">
        <f t="shared" si="11"/>
        <v>0</v>
      </c>
    </row>
    <row r="133" spans="1:28" x14ac:dyDescent="0.25">
      <c r="A133" s="5" t="s">
        <v>1434</v>
      </c>
      <c r="B133" s="5" t="s">
        <v>31</v>
      </c>
      <c r="C133" s="5">
        <v>24</v>
      </c>
      <c r="D133" s="5">
        <v>3</v>
      </c>
      <c r="E133" s="5" t="s">
        <v>213</v>
      </c>
      <c r="F133" s="5" t="s">
        <v>1413</v>
      </c>
      <c r="G133" s="5">
        <v>0</v>
      </c>
      <c r="H133" s="5">
        <v>0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0</v>
      </c>
      <c r="Q133" s="5">
        <v>0</v>
      </c>
      <c r="R133" s="5">
        <v>0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Z133" s="5">
        <v>0</v>
      </c>
      <c r="AA133" s="5">
        <v>0</v>
      </c>
      <c r="AB133" s="5">
        <f t="shared" si="11"/>
        <v>0</v>
      </c>
    </row>
    <row r="134" spans="1:28" x14ac:dyDescent="0.25">
      <c r="A134" s="5" t="s">
        <v>1476</v>
      </c>
      <c r="B134" s="5" t="s">
        <v>31</v>
      </c>
      <c r="C134" s="5">
        <v>25</v>
      </c>
      <c r="D134" s="5">
        <v>2</v>
      </c>
      <c r="E134" s="5" t="s">
        <v>795</v>
      </c>
      <c r="F134" s="5" t="s">
        <v>1457</v>
      </c>
      <c r="G134" s="5">
        <v>0</v>
      </c>
      <c r="H134" s="5">
        <v>0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 s="5">
        <v>0</v>
      </c>
      <c r="O134" s="5">
        <v>0</v>
      </c>
      <c r="P134" s="5">
        <v>0</v>
      </c>
      <c r="Q134" s="5">
        <v>0</v>
      </c>
      <c r="R134" s="5">
        <v>0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Z134" s="5">
        <v>0</v>
      </c>
      <c r="AA134" s="5">
        <v>0</v>
      </c>
      <c r="AB134" s="5">
        <f t="shared" si="11"/>
        <v>0</v>
      </c>
    </row>
    <row r="135" spans="1:28" x14ac:dyDescent="0.25">
      <c r="A135" s="6" t="s">
        <v>1477</v>
      </c>
      <c r="B135" s="6" t="s">
        <v>31</v>
      </c>
      <c r="C135" s="6">
        <v>23</v>
      </c>
      <c r="D135" s="6">
        <v>0</v>
      </c>
      <c r="E135" s="6" t="s">
        <v>1478</v>
      </c>
      <c r="F135" s="6" t="s">
        <v>1457</v>
      </c>
      <c r="G135" s="6">
        <v>0</v>
      </c>
      <c r="H135" s="6">
        <v>0</v>
      </c>
      <c r="I135" s="6">
        <v>0</v>
      </c>
      <c r="J135" s="6">
        <v>0</v>
      </c>
      <c r="K135" s="6">
        <v>0</v>
      </c>
      <c r="L135" s="6">
        <v>0</v>
      </c>
      <c r="M135" s="6">
        <v>0</v>
      </c>
      <c r="N135" s="6">
        <v>0</v>
      </c>
      <c r="O135" s="6">
        <v>0</v>
      </c>
      <c r="P135" s="6">
        <v>0</v>
      </c>
      <c r="Q135" s="6">
        <v>0</v>
      </c>
      <c r="R135" s="6">
        <v>0</v>
      </c>
      <c r="S135" s="6">
        <v>0</v>
      </c>
      <c r="T135" s="6">
        <v>0</v>
      </c>
      <c r="U135" s="6">
        <v>0</v>
      </c>
      <c r="V135" s="6">
        <v>0</v>
      </c>
      <c r="W135" s="6">
        <v>0</v>
      </c>
      <c r="X135" s="6">
        <v>0</v>
      </c>
      <c r="Y135" s="6">
        <v>0</v>
      </c>
      <c r="Z135" s="6">
        <v>0</v>
      </c>
      <c r="AA135" s="6">
        <v>0</v>
      </c>
      <c r="AB135" s="6">
        <f t="shared" si="11"/>
        <v>0</v>
      </c>
    </row>
    <row r="136" spans="1:28" x14ac:dyDescent="0.25">
      <c r="A136" s="5" t="s">
        <v>1479</v>
      </c>
      <c r="B136" s="5" t="s">
        <v>31</v>
      </c>
      <c r="C136" s="5">
        <v>24</v>
      </c>
      <c r="D136" s="5">
        <v>0</v>
      </c>
      <c r="E136" s="5" t="s">
        <v>1480</v>
      </c>
      <c r="F136" s="5" t="s">
        <v>1457</v>
      </c>
      <c r="G136" s="5">
        <v>0</v>
      </c>
      <c r="H136" s="5">
        <v>0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 s="5">
        <v>0</v>
      </c>
      <c r="O136" s="5">
        <v>0</v>
      </c>
      <c r="P136" s="5">
        <v>0</v>
      </c>
      <c r="Q136" s="5">
        <v>0</v>
      </c>
      <c r="R136" s="5">
        <v>0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Z136" s="5">
        <v>0</v>
      </c>
      <c r="AA136" s="5">
        <v>0</v>
      </c>
      <c r="AB136" s="5">
        <f t="shared" si="11"/>
        <v>0</v>
      </c>
    </row>
    <row r="137" spans="1:28" x14ac:dyDescent="0.25">
      <c r="A137" s="6" t="s">
        <v>1481</v>
      </c>
      <c r="B137" s="6" t="s">
        <v>31</v>
      </c>
      <c r="C137" s="6">
        <v>25</v>
      </c>
      <c r="D137" s="6">
        <v>3</v>
      </c>
      <c r="E137" s="6" t="s">
        <v>153</v>
      </c>
      <c r="F137" s="6" t="s">
        <v>1457</v>
      </c>
      <c r="G137" s="6">
        <v>0</v>
      </c>
      <c r="H137" s="6">
        <v>0</v>
      </c>
      <c r="I137" s="6">
        <v>0</v>
      </c>
      <c r="J137" s="6">
        <v>0</v>
      </c>
      <c r="K137" s="6">
        <v>0</v>
      </c>
      <c r="L137" s="6">
        <v>0</v>
      </c>
      <c r="M137" s="6">
        <v>0</v>
      </c>
      <c r="N137" s="6">
        <v>0</v>
      </c>
      <c r="O137" s="6">
        <v>0</v>
      </c>
      <c r="P137" s="6">
        <v>0</v>
      </c>
      <c r="Q137" s="6">
        <v>0</v>
      </c>
      <c r="R137" s="6">
        <v>0</v>
      </c>
      <c r="S137" s="6">
        <v>0</v>
      </c>
      <c r="T137" s="6">
        <v>0</v>
      </c>
      <c r="U137" s="6">
        <v>0</v>
      </c>
      <c r="V137" s="6">
        <v>0</v>
      </c>
      <c r="W137" s="6">
        <v>0</v>
      </c>
      <c r="X137" s="6">
        <v>0</v>
      </c>
      <c r="Y137" s="6">
        <v>0</v>
      </c>
      <c r="Z137" s="6">
        <v>0</v>
      </c>
      <c r="AA137" s="6">
        <v>0</v>
      </c>
      <c r="AB137" s="6">
        <f t="shared" si="11"/>
        <v>0</v>
      </c>
    </row>
    <row r="138" spans="1:28" x14ac:dyDescent="0.25">
      <c r="A138" s="5" t="s">
        <v>1482</v>
      </c>
      <c r="B138" s="5" t="s">
        <v>31</v>
      </c>
      <c r="C138" s="5">
        <v>24</v>
      </c>
      <c r="D138" s="5">
        <v>3</v>
      </c>
      <c r="E138" s="5" t="s">
        <v>232</v>
      </c>
      <c r="F138" s="5" t="s">
        <v>1457</v>
      </c>
      <c r="G138" s="5">
        <v>0</v>
      </c>
      <c r="H138" s="5">
        <v>0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 s="5">
        <v>0</v>
      </c>
      <c r="O138" s="5">
        <v>0</v>
      </c>
      <c r="P138" s="5">
        <v>0</v>
      </c>
      <c r="Q138" s="5">
        <v>0</v>
      </c>
      <c r="R138" s="5">
        <v>0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Z138" s="5">
        <v>0</v>
      </c>
      <c r="AA138" s="5">
        <v>0</v>
      </c>
      <c r="AB138" s="5">
        <f t="shared" si="11"/>
        <v>0</v>
      </c>
    </row>
    <row r="139" spans="1:28" x14ac:dyDescent="0.25">
      <c r="A139" s="6" t="s">
        <v>1483</v>
      </c>
      <c r="B139" s="6" t="s">
        <v>31</v>
      </c>
      <c r="C139" s="6">
        <v>25</v>
      </c>
      <c r="D139" s="6">
        <v>0</v>
      </c>
      <c r="E139" s="6" t="s">
        <v>155</v>
      </c>
      <c r="F139" s="6" t="s">
        <v>1457</v>
      </c>
      <c r="G139" s="6">
        <v>0</v>
      </c>
      <c r="H139" s="6">
        <v>0</v>
      </c>
      <c r="I139" s="6">
        <v>0</v>
      </c>
      <c r="J139" s="6">
        <v>0</v>
      </c>
      <c r="K139" s="6">
        <v>0</v>
      </c>
      <c r="L139" s="6">
        <v>0</v>
      </c>
      <c r="M139" s="6">
        <v>0</v>
      </c>
      <c r="N139" s="6">
        <v>0</v>
      </c>
      <c r="O139" s="6">
        <v>0</v>
      </c>
      <c r="P139" s="6">
        <v>0</v>
      </c>
      <c r="Q139" s="6">
        <v>0</v>
      </c>
      <c r="R139" s="6">
        <v>0</v>
      </c>
      <c r="S139" s="6">
        <v>0</v>
      </c>
      <c r="T139" s="6">
        <v>0</v>
      </c>
      <c r="U139" s="6">
        <v>0</v>
      </c>
      <c r="V139" s="6">
        <v>0</v>
      </c>
      <c r="W139" s="6">
        <v>0</v>
      </c>
      <c r="X139" s="6">
        <v>0</v>
      </c>
      <c r="Y139" s="6">
        <v>0</v>
      </c>
      <c r="Z139" s="6">
        <v>0</v>
      </c>
      <c r="AA139" s="6">
        <v>0</v>
      </c>
      <c r="AB139" s="6">
        <f t="shared" si="11"/>
        <v>0</v>
      </c>
    </row>
    <row r="140" spans="1:28" x14ac:dyDescent="0.25">
      <c r="A140" s="5" t="s">
        <v>1524</v>
      </c>
      <c r="B140" s="5" t="s">
        <v>31</v>
      </c>
      <c r="C140" s="5">
        <v>22</v>
      </c>
      <c r="D140" s="5">
        <v>0</v>
      </c>
      <c r="E140" s="5" t="s">
        <v>418</v>
      </c>
      <c r="F140" s="5" t="s">
        <v>1503</v>
      </c>
      <c r="G140" s="5">
        <v>0</v>
      </c>
      <c r="H140" s="5">
        <v>0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 s="5">
        <v>0</v>
      </c>
      <c r="O140" s="5">
        <v>0</v>
      </c>
      <c r="P140" s="5">
        <v>0</v>
      </c>
      <c r="Q140" s="5">
        <v>0</v>
      </c>
      <c r="R140" s="5">
        <v>0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Z140" s="5">
        <v>0</v>
      </c>
      <c r="AA140" s="5">
        <v>0</v>
      </c>
      <c r="AB140" s="5">
        <f t="shared" si="11"/>
        <v>0</v>
      </c>
    </row>
    <row r="141" spans="1:28" x14ac:dyDescent="0.25">
      <c r="A141" s="6" t="s">
        <v>1525</v>
      </c>
      <c r="B141" s="6" t="s">
        <v>31</v>
      </c>
      <c r="C141" s="6">
        <v>24</v>
      </c>
      <c r="D141" s="6">
        <v>4</v>
      </c>
      <c r="E141" s="6" t="s">
        <v>397</v>
      </c>
      <c r="F141" s="6" t="s">
        <v>1503</v>
      </c>
      <c r="G141" s="6">
        <v>0</v>
      </c>
      <c r="H141" s="6">
        <v>0</v>
      </c>
      <c r="I141" s="6">
        <v>0</v>
      </c>
      <c r="J141" s="6">
        <v>0</v>
      </c>
      <c r="K141" s="6">
        <v>0</v>
      </c>
      <c r="L141" s="6">
        <v>0</v>
      </c>
      <c r="M141" s="6">
        <v>0</v>
      </c>
      <c r="N141" s="6">
        <v>0</v>
      </c>
      <c r="O141" s="6">
        <v>0</v>
      </c>
      <c r="P141" s="6">
        <v>0</v>
      </c>
      <c r="Q141" s="6">
        <v>0</v>
      </c>
      <c r="R141" s="6">
        <v>0</v>
      </c>
      <c r="S141" s="6">
        <v>0</v>
      </c>
      <c r="T141" s="6">
        <v>0</v>
      </c>
      <c r="U141" s="6">
        <v>0</v>
      </c>
      <c r="V141" s="6">
        <v>0</v>
      </c>
      <c r="W141" s="6">
        <v>0</v>
      </c>
      <c r="X141" s="6">
        <v>0</v>
      </c>
      <c r="Y141" s="6">
        <v>0</v>
      </c>
      <c r="Z141" s="6">
        <v>0</v>
      </c>
      <c r="AA141" s="6">
        <v>0</v>
      </c>
      <c r="AB141" s="6">
        <f t="shared" si="11"/>
        <v>0</v>
      </c>
    </row>
    <row r="142" spans="1:28" x14ac:dyDescent="0.25">
      <c r="A142" s="5" t="s">
        <v>1526</v>
      </c>
      <c r="B142" s="5" t="s">
        <v>31</v>
      </c>
      <c r="C142" s="5">
        <v>25</v>
      </c>
      <c r="D142" s="5">
        <v>1</v>
      </c>
      <c r="E142" s="5" t="s">
        <v>138</v>
      </c>
      <c r="F142" s="5" t="s">
        <v>1503</v>
      </c>
      <c r="G142" s="5">
        <v>0</v>
      </c>
      <c r="H142" s="5">
        <v>0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 s="5">
        <v>0</v>
      </c>
      <c r="O142" s="5">
        <v>0</v>
      </c>
      <c r="P142" s="5">
        <v>0</v>
      </c>
      <c r="Q142" s="5">
        <v>0</v>
      </c>
      <c r="R142" s="5">
        <v>0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Z142" s="5">
        <v>0</v>
      </c>
      <c r="AA142" s="5">
        <v>0</v>
      </c>
      <c r="AB142" s="5">
        <f t="shared" si="11"/>
        <v>0</v>
      </c>
    </row>
    <row r="143" spans="1:28" x14ac:dyDescent="0.25">
      <c r="A143" s="6" t="s">
        <v>1527</v>
      </c>
      <c r="B143" s="6" t="s">
        <v>31</v>
      </c>
      <c r="C143" s="6">
        <v>23</v>
      </c>
      <c r="D143" s="6">
        <v>0</v>
      </c>
      <c r="E143" s="6" t="s">
        <v>173</v>
      </c>
      <c r="F143" s="6" t="s">
        <v>1503</v>
      </c>
      <c r="G143" s="6">
        <v>0</v>
      </c>
      <c r="H143" s="6">
        <v>0</v>
      </c>
      <c r="I143" s="6">
        <v>0</v>
      </c>
      <c r="J143" s="6">
        <v>0</v>
      </c>
      <c r="K143" s="6">
        <v>0</v>
      </c>
      <c r="L143" s="6">
        <v>0</v>
      </c>
      <c r="M143" s="6">
        <v>0</v>
      </c>
      <c r="N143" s="6">
        <v>0</v>
      </c>
      <c r="O143" s="6">
        <v>0</v>
      </c>
      <c r="P143" s="6">
        <v>0</v>
      </c>
      <c r="Q143" s="6">
        <v>0</v>
      </c>
      <c r="R143" s="6">
        <v>0</v>
      </c>
      <c r="S143" s="6">
        <v>0</v>
      </c>
      <c r="T143" s="6">
        <v>0</v>
      </c>
      <c r="U143" s="6">
        <v>0</v>
      </c>
      <c r="V143" s="6">
        <v>0</v>
      </c>
      <c r="W143" s="6">
        <v>0</v>
      </c>
      <c r="X143" s="6">
        <v>0</v>
      </c>
      <c r="Y143" s="6">
        <v>0</v>
      </c>
      <c r="Z143" s="6">
        <v>0</v>
      </c>
      <c r="AA143" s="6">
        <v>0</v>
      </c>
      <c r="AB143" s="6">
        <f t="shared" si="11"/>
        <v>0</v>
      </c>
    </row>
    <row r="144" spans="1:28" x14ac:dyDescent="0.25">
      <c r="A144" s="5" t="s">
        <v>1528</v>
      </c>
      <c r="B144" s="5" t="s">
        <v>31</v>
      </c>
      <c r="C144" s="5">
        <v>25</v>
      </c>
      <c r="D144" s="5">
        <v>0</v>
      </c>
      <c r="E144" s="5" t="s">
        <v>86</v>
      </c>
      <c r="F144" s="5" t="s">
        <v>1503</v>
      </c>
      <c r="G144" s="5">
        <v>0</v>
      </c>
      <c r="H144" s="5">
        <v>0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 s="5">
        <v>0</v>
      </c>
      <c r="O144" s="5">
        <v>0</v>
      </c>
      <c r="P144" s="5">
        <v>0</v>
      </c>
      <c r="Q144" s="5">
        <v>0</v>
      </c>
      <c r="R144" s="5">
        <v>0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Z144" s="5">
        <v>0</v>
      </c>
      <c r="AA144" s="5">
        <v>0</v>
      </c>
      <c r="AB144" s="5">
        <f t="shared" si="11"/>
        <v>0</v>
      </c>
    </row>
    <row r="145" spans="1:28" x14ac:dyDescent="0.25">
      <c r="A145" s="6" t="s">
        <v>1529</v>
      </c>
      <c r="B145" s="6" t="s">
        <v>31</v>
      </c>
      <c r="C145" s="6">
        <v>23</v>
      </c>
      <c r="D145" s="6">
        <v>1</v>
      </c>
      <c r="E145" s="6" t="s">
        <v>511</v>
      </c>
      <c r="F145" s="6" t="s">
        <v>1503</v>
      </c>
      <c r="G145" s="6">
        <v>0</v>
      </c>
      <c r="H145" s="6">
        <v>0</v>
      </c>
      <c r="I145" s="6">
        <v>0</v>
      </c>
      <c r="J145" s="6">
        <v>0</v>
      </c>
      <c r="K145" s="6">
        <v>0</v>
      </c>
      <c r="L145" s="6">
        <v>0</v>
      </c>
      <c r="M145" s="6">
        <v>0</v>
      </c>
      <c r="N145" s="6">
        <v>0</v>
      </c>
      <c r="O145" s="6">
        <v>0</v>
      </c>
      <c r="P145" s="6">
        <v>0</v>
      </c>
      <c r="Q145" s="6">
        <v>0</v>
      </c>
      <c r="R145" s="6">
        <v>0</v>
      </c>
      <c r="S145" s="6">
        <v>0</v>
      </c>
      <c r="T145" s="6">
        <v>0</v>
      </c>
      <c r="U145" s="6">
        <v>0</v>
      </c>
      <c r="V145" s="6">
        <v>0</v>
      </c>
      <c r="W145" s="6">
        <v>0</v>
      </c>
      <c r="X145" s="6">
        <v>0</v>
      </c>
      <c r="Y145" s="6">
        <v>0</v>
      </c>
      <c r="Z145" s="6">
        <v>0</v>
      </c>
      <c r="AA145" s="6">
        <v>0</v>
      </c>
      <c r="AB145" s="6">
        <f t="shared" si="11"/>
        <v>0</v>
      </c>
    </row>
    <row r="146" spans="1:28" x14ac:dyDescent="0.25">
      <c r="A146" s="5" t="s">
        <v>1573</v>
      </c>
      <c r="B146" s="5" t="s">
        <v>31</v>
      </c>
      <c r="C146" s="5">
        <v>22</v>
      </c>
      <c r="D146" s="5">
        <v>2</v>
      </c>
      <c r="E146" s="5" t="s">
        <v>227</v>
      </c>
      <c r="F146" s="5" t="s">
        <v>1552</v>
      </c>
      <c r="G146" s="5">
        <v>0</v>
      </c>
      <c r="H146" s="5">
        <v>0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 s="5">
        <v>0</v>
      </c>
      <c r="O146" s="5">
        <v>0</v>
      </c>
      <c r="P146" s="5">
        <v>0</v>
      </c>
      <c r="Q146" s="5">
        <v>0</v>
      </c>
      <c r="R146" s="5">
        <v>0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Z146" s="5">
        <v>0</v>
      </c>
      <c r="AA146" s="5">
        <v>0</v>
      </c>
      <c r="AB146" s="5">
        <f t="shared" si="11"/>
        <v>0</v>
      </c>
    </row>
    <row r="147" spans="1:28" x14ac:dyDescent="0.25">
      <c r="A147" s="6" t="s">
        <v>1574</v>
      </c>
      <c r="B147" s="6" t="s">
        <v>31</v>
      </c>
      <c r="C147" s="6">
        <v>24</v>
      </c>
      <c r="D147" s="6">
        <v>0</v>
      </c>
      <c r="E147" s="6" t="s">
        <v>1575</v>
      </c>
      <c r="F147" s="6" t="s">
        <v>1552</v>
      </c>
      <c r="G147" s="6">
        <v>0</v>
      </c>
      <c r="H147" s="6">
        <v>0</v>
      </c>
      <c r="I147" s="6">
        <v>0</v>
      </c>
      <c r="J147" s="6">
        <v>0</v>
      </c>
      <c r="K147" s="6">
        <v>0</v>
      </c>
      <c r="L147" s="6">
        <v>0</v>
      </c>
      <c r="M147" s="6">
        <v>0</v>
      </c>
      <c r="N147" s="6">
        <v>0</v>
      </c>
      <c r="O147" s="6">
        <v>0</v>
      </c>
      <c r="P147" s="6">
        <v>0</v>
      </c>
      <c r="Q147" s="6">
        <v>0</v>
      </c>
      <c r="R147" s="6">
        <v>0</v>
      </c>
      <c r="S147" s="6">
        <v>0</v>
      </c>
      <c r="T147" s="6">
        <v>0</v>
      </c>
      <c r="U147" s="6">
        <v>0</v>
      </c>
      <c r="V147" s="6">
        <v>0</v>
      </c>
      <c r="W147" s="6">
        <v>0</v>
      </c>
      <c r="X147" s="6">
        <v>0</v>
      </c>
      <c r="Y147" s="6">
        <v>0</v>
      </c>
      <c r="Z147" s="6">
        <v>0</v>
      </c>
      <c r="AA147" s="6">
        <v>0</v>
      </c>
      <c r="AB147" s="6">
        <f t="shared" si="11"/>
        <v>0</v>
      </c>
    </row>
    <row r="148" spans="1:28" x14ac:dyDescent="0.25">
      <c r="A148" s="5" t="s">
        <v>1576</v>
      </c>
      <c r="B148" s="5" t="s">
        <v>31</v>
      </c>
      <c r="C148" s="5">
        <v>24</v>
      </c>
      <c r="D148" s="5">
        <v>2</v>
      </c>
      <c r="E148" s="5" t="s">
        <v>455</v>
      </c>
      <c r="F148" s="5" t="s">
        <v>1552</v>
      </c>
      <c r="G148" s="5">
        <v>0</v>
      </c>
      <c r="H148" s="5">
        <v>0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 s="5">
        <v>0</v>
      </c>
      <c r="O148" s="5">
        <v>0</v>
      </c>
      <c r="P148" s="5">
        <v>0</v>
      </c>
      <c r="Q148" s="5">
        <v>0</v>
      </c>
      <c r="R148" s="5">
        <v>0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Z148" s="5">
        <v>0</v>
      </c>
      <c r="AA148" s="5">
        <v>0</v>
      </c>
      <c r="AB148" s="5">
        <f t="shared" si="11"/>
        <v>0</v>
      </c>
    </row>
    <row r="149" spans="1:28" x14ac:dyDescent="0.25">
      <c r="A149" s="6" t="s">
        <v>1577</v>
      </c>
      <c r="B149" s="6" t="s">
        <v>31</v>
      </c>
      <c r="C149" s="6">
        <v>27</v>
      </c>
      <c r="D149" s="6">
        <v>7</v>
      </c>
      <c r="E149" s="6" t="s">
        <v>102</v>
      </c>
      <c r="F149" s="6" t="s">
        <v>1552</v>
      </c>
      <c r="G149" s="6">
        <v>0</v>
      </c>
      <c r="H149" s="6">
        <v>0</v>
      </c>
      <c r="I149" s="6">
        <v>0</v>
      </c>
      <c r="J149" s="6">
        <v>0</v>
      </c>
      <c r="K149" s="6">
        <v>0</v>
      </c>
      <c r="L149" s="6">
        <v>0</v>
      </c>
      <c r="M149" s="6">
        <v>0</v>
      </c>
      <c r="N149" s="6">
        <v>0</v>
      </c>
      <c r="O149" s="6">
        <v>0</v>
      </c>
      <c r="P149" s="6">
        <v>0</v>
      </c>
      <c r="Q149" s="6">
        <v>0</v>
      </c>
      <c r="R149" s="6">
        <v>0</v>
      </c>
      <c r="S149" s="6">
        <v>0</v>
      </c>
      <c r="T149" s="6">
        <v>0</v>
      </c>
      <c r="U149" s="6">
        <v>0</v>
      </c>
      <c r="V149" s="6">
        <v>0</v>
      </c>
      <c r="W149" s="6">
        <v>0</v>
      </c>
      <c r="X149" s="6">
        <v>0</v>
      </c>
      <c r="Y149" s="6">
        <v>0</v>
      </c>
      <c r="Z149" s="6">
        <v>0</v>
      </c>
      <c r="AA149" s="6">
        <v>0</v>
      </c>
      <c r="AB149" s="6">
        <f t="shared" si="11"/>
        <v>0</v>
      </c>
    </row>
    <row r="150" spans="1:28" x14ac:dyDescent="0.25">
      <c r="A150" s="5" t="s">
        <v>1578</v>
      </c>
      <c r="B150" s="5" t="s">
        <v>31</v>
      </c>
      <c r="C150" s="5">
        <v>27</v>
      </c>
      <c r="D150" s="5">
        <v>4</v>
      </c>
      <c r="E150" s="5" t="s">
        <v>296</v>
      </c>
      <c r="F150" s="5" t="s">
        <v>1552</v>
      </c>
      <c r="G150" s="5">
        <v>0</v>
      </c>
      <c r="H150" s="5">
        <v>0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 s="5">
        <v>0</v>
      </c>
      <c r="O150" s="5">
        <v>0</v>
      </c>
      <c r="P150" s="5">
        <v>0</v>
      </c>
      <c r="Q150" s="5">
        <v>0</v>
      </c>
      <c r="R150" s="5">
        <v>0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Z150" s="5">
        <v>0</v>
      </c>
      <c r="AA150" s="5">
        <v>0</v>
      </c>
      <c r="AB150" s="5">
        <f t="shared" si="11"/>
        <v>0</v>
      </c>
    </row>
    <row r="151" spans="1:28" x14ac:dyDescent="0.25">
      <c r="A151" s="5" t="s">
        <v>1621</v>
      </c>
      <c r="B151" s="5" t="s">
        <v>31</v>
      </c>
      <c r="C151" s="5">
        <v>23</v>
      </c>
      <c r="D151" s="5">
        <v>0</v>
      </c>
      <c r="E151" s="5" t="s">
        <v>93</v>
      </c>
      <c r="F151" s="5" t="s">
        <v>1599</v>
      </c>
      <c r="G151" s="5">
        <v>0</v>
      </c>
      <c r="H151" s="5">
        <v>0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 s="5">
        <v>0</v>
      </c>
      <c r="O151" s="5">
        <v>0</v>
      </c>
      <c r="P151" s="5">
        <v>0</v>
      </c>
      <c r="Q151" s="5">
        <v>0</v>
      </c>
      <c r="R151" s="5">
        <v>0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Z151" s="5">
        <v>0</v>
      </c>
      <c r="AA151" s="5">
        <v>0</v>
      </c>
      <c r="AB151" s="5">
        <f t="shared" si="11"/>
        <v>0</v>
      </c>
    </row>
    <row r="152" spans="1:28" x14ac:dyDescent="0.25">
      <c r="A152" s="6" t="s">
        <v>1622</v>
      </c>
      <c r="B152" s="6" t="s">
        <v>31</v>
      </c>
      <c r="C152" s="6">
        <v>27</v>
      </c>
      <c r="D152" s="6">
        <v>6</v>
      </c>
      <c r="E152" s="6" t="s">
        <v>1623</v>
      </c>
      <c r="F152" s="6" t="s">
        <v>1599</v>
      </c>
      <c r="G152" s="6">
        <v>0</v>
      </c>
      <c r="H152" s="6">
        <v>0</v>
      </c>
      <c r="I152" s="6">
        <v>0</v>
      </c>
      <c r="J152" s="6">
        <v>0</v>
      </c>
      <c r="K152" s="6">
        <v>0</v>
      </c>
      <c r="L152" s="6">
        <v>0</v>
      </c>
      <c r="M152" s="6">
        <v>0</v>
      </c>
      <c r="N152" s="6">
        <v>0</v>
      </c>
      <c r="O152" s="6">
        <v>0</v>
      </c>
      <c r="P152" s="6">
        <v>0</v>
      </c>
      <c r="Q152" s="6">
        <v>0</v>
      </c>
      <c r="R152" s="6">
        <v>0</v>
      </c>
      <c r="S152" s="6">
        <v>0</v>
      </c>
      <c r="T152" s="6">
        <v>0</v>
      </c>
      <c r="U152" s="6">
        <v>0</v>
      </c>
      <c r="V152" s="6">
        <v>0</v>
      </c>
      <c r="W152" s="6">
        <v>0</v>
      </c>
      <c r="X152" s="6">
        <v>0</v>
      </c>
      <c r="Y152" s="6">
        <v>0</v>
      </c>
      <c r="Z152" s="6">
        <v>0</v>
      </c>
      <c r="AA152" s="6">
        <v>0</v>
      </c>
      <c r="AB152" s="6">
        <f t="shared" si="11"/>
        <v>0</v>
      </c>
    </row>
    <row r="153" spans="1:28" x14ac:dyDescent="0.25">
      <c r="A153" s="5" t="s">
        <v>1624</v>
      </c>
      <c r="B153" s="5" t="s">
        <v>31</v>
      </c>
      <c r="C153" s="5">
        <v>28</v>
      </c>
      <c r="D153" s="5">
        <v>4</v>
      </c>
      <c r="E153" s="5" t="s">
        <v>666</v>
      </c>
      <c r="F153" s="5" t="s">
        <v>1599</v>
      </c>
      <c r="G153" s="5">
        <v>0</v>
      </c>
      <c r="H153" s="5">
        <v>0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 s="5">
        <v>0</v>
      </c>
      <c r="O153" s="5">
        <v>0</v>
      </c>
      <c r="P153" s="5">
        <v>0</v>
      </c>
      <c r="Q153" s="5">
        <v>0</v>
      </c>
      <c r="R153" s="5">
        <v>0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Z153" s="5">
        <v>0</v>
      </c>
      <c r="AA153" s="5">
        <v>0</v>
      </c>
      <c r="AB153" s="5">
        <f t="shared" si="11"/>
        <v>0</v>
      </c>
    </row>
    <row r="154" spans="1:28" x14ac:dyDescent="0.25">
      <c r="A154" s="6" t="s">
        <v>1625</v>
      </c>
      <c r="B154" s="6" t="s">
        <v>31</v>
      </c>
      <c r="C154" s="6">
        <v>21</v>
      </c>
      <c r="D154" s="6">
        <v>0</v>
      </c>
      <c r="E154" s="6" t="s">
        <v>1206</v>
      </c>
      <c r="F154" s="6" t="s">
        <v>1599</v>
      </c>
      <c r="G154" s="6">
        <v>0</v>
      </c>
      <c r="H154" s="6">
        <v>0</v>
      </c>
      <c r="I154" s="6">
        <v>0</v>
      </c>
      <c r="J154" s="6">
        <v>0</v>
      </c>
      <c r="K154" s="6">
        <v>0</v>
      </c>
      <c r="L154" s="6">
        <v>0</v>
      </c>
      <c r="M154" s="6">
        <v>0</v>
      </c>
      <c r="N154" s="6">
        <v>0</v>
      </c>
      <c r="O154" s="6">
        <v>0</v>
      </c>
      <c r="P154" s="6">
        <v>0</v>
      </c>
      <c r="Q154" s="6">
        <v>0</v>
      </c>
      <c r="R154" s="6">
        <v>0</v>
      </c>
      <c r="S154" s="6">
        <v>0</v>
      </c>
      <c r="T154" s="6">
        <v>0</v>
      </c>
      <c r="U154" s="6">
        <v>0</v>
      </c>
      <c r="V154" s="6">
        <v>0</v>
      </c>
      <c r="W154" s="6">
        <v>0</v>
      </c>
      <c r="X154" s="6">
        <v>0</v>
      </c>
      <c r="Y154" s="6">
        <v>0</v>
      </c>
      <c r="Z154" s="6">
        <v>0</v>
      </c>
      <c r="AA154" s="6">
        <v>0</v>
      </c>
      <c r="AB154" s="6">
        <f t="shared" ref="AB154:AB167" si="12">($J154*Cp_yd)+($K154*Cp_td)+($L154*Cint)+($M154*Ccar)+($N154*Cr_td)+($O154*Cr_yd)+(Q154*Crec)+($R154*Crec_yd)+($S154*Crec_td)+($T154*Cfmb)+($U154*Ctp_c)</f>
        <v>0</v>
      </c>
    </row>
    <row r="155" spans="1:28" x14ac:dyDescent="0.25">
      <c r="A155" s="5" t="s">
        <v>1626</v>
      </c>
      <c r="B155" s="5" t="s">
        <v>31</v>
      </c>
      <c r="C155" s="5">
        <v>26</v>
      </c>
      <c r="D155" s="5">
        <v>4</v>
      </c>
      <c r="E155" s="5" t="s">
        <v>300</v>
      </c>
      <c r="F155" s="5" t="s">
        <v>1599</v>
      </c>
      <c r="G155" s="5">
        <v>0</v>
      </c>
      <c r="H155" s="5">
        <v>0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 s="5">
        <v>0</v>
      </c>
      <c r="O155" s="5">
        <v>0</v>
      </c>
      <c r="P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Z155" s="5">
        <v>0</v>
      </c>
      <c r="AA155" s="5">
        <v>0</v>
      </c>
      <c r="AB155" s="5">
        <f t="shared" si="12"/>
        <v>0</v>
      </c>
    </row>
    <row r="156" spans="1:28" x14ac:dyDescent="0.25">
      <c r="A156" s="5" t="s">
        <v>1671</v>
      </c>
      <c r="B156" s="5" t="s">
        <v>31</v>
      </c>
      <c r="C156" s="5">
        <v>22</v>
      </c>
      <c r="D156" s="5">
        <v>0</v>
      </c>
      <c r="E156" s="5" t="s">
        <v>1672</v>
      </c>
      <c r="F156" s="5" t="s">
        <v>1648</v>
      </c>
      <c r="G156" s="5">
        <v>0</v>
      </c>
      <c r="H156" s="5">
        <v>0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 s="5">
        <v>0</v>
      </c>
      <c r="O156" s="5">
        <v>0</v>
      </c>
      <c r="P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Z156" s="5">
        <v>0</v>
      </c>
      <c r="AA156" s="5">
        <v>0</v>
      </c>
      <c r="AB156" s="5">
        <f t="shared" si="12"/>
        <v>0</v>
      </c>
    </row>
    <row r="157" spans="1:28" x14ac:dyDescent="0.25">
      <c r="A157" s="6" t="s">
        <v>1673</v>
      </c>
      <c r="B157" s="6" t="s">
        <v>31</v>
      </c>
      <c r="C157" s="6">
        <v>23</v>
      </c>
      <c r="D157" s="6">
        <v>2</v>
      </c>
      <c r="E157" s="6" t="s">
        <v>105</v>
      </c>
      <c r="F157" s="6" t="s">
        <v>1648</v>
      </c>
      <c r="G157" s="6">
        <v>0</v>
      </c>
      <c r="H157" s="6">
        <v>0</v>
      </c>
      <c r="I157" s="6">
        <v>0</v>
      </c>
      <c r="J157" s="6">
        <v>0</v>
      </c>
      <c r="K157" s="6">
        <v>0</v>
      </c>
      <c r="L157" s="6">
        <v>0</v>
      </c>
      <c r="M157" s="6">
        <v>0</v>
      </c>
      <c r="N157" s="6">
        <v>0</v>
      </c>
      <c r="O157" s="6">
        <v>0</v>
      </c>
      <c r="P157" s="6">
        <v>0</v>
      </c>
      <c r="Q157" s="6">
        <v>0</v>
      </c>
      <c r="R157" s="6">
        <v>0</v>
      </c>
      <c r="S157" s="6">
        <v>0</v>
      </c>
      <c r="T157" s="6">
        <v>0</v>
      </c>
      <c r="U157" s="6">
        <v>0</v>
      </c>
      <c r="V157" s="6">
        <v>0</v>
      </c>
      <c r="W157" s="6">
        <v>0</v>
      </c>
      <c r="X157" s="6">
        <v>0</v>
      </c>
      <c r="Y157" s="6">
        <v>0</v>
      </c>
      <c r="Z157" s="6">
        <v>0</v>
      </c>
      <c r="AA157" s="6">
        <v>0</v>
      </c>
      <c r="AB157" s="6">
        <f t="shared" si="12"/>
        <v>0</v>
      </c>
    </row>
    <row r="158" spans="1:28" x14ac:dyDescent="0.25">
      <c r="A158" s="5" t="s">
        <v>1674</v>
      </c>
      <c r="B158" s="5" t="s">
        <v>31</v>
      </c>
      <c r="C158" s="5">
        <v>29</v>
      </c>
      <c r="D158" s="5">
        <v>8</v>
      </c>
      <c r="E158" s="5" t="s">
        <v>153</v>
      </c>
      <c r="F158" s="5" t="s">
        <v>1648</v>
      </c>
      <c r="G158" s="5">
        <v>0</v>
      </c>
      <c r="H158" s="5">
        <v>0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 s="5">
        <v>0</v>
      </c>
      <c r="O158" s="5">
        <v>0</v>
      </c>
      <c r="P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Z158" s="5">
        <v>0</v>
      </c>
      <c r="AA158" s="5">
        <v>0</v>
      </c>
      <c r="AB158" s="5">
        <f t="shared" si="12"/>
        <v>0</v>
      </c>
    </row>
    <row r="159" spans="1:28" x14ac:dyDescent="0.25">
      <c r="A159" s="6" t="s">
        <v>1675</v>
      </c>
      <c r="B159" s="6" t="s">
        <v>31</v>
      </c>
      <c r="C159" s="6">
        <v>26</v>
      </c>
      <c r="D159" s="6">
        <v>1</v>
      </c>
      <c r="E159" s="6" t="s">
        <v>1012</v>
      </c>
      <c r="F159" s="6" t="s">
        <v>1648</v>
      </c>
      <c r="G159" s="6">
        <v>0</v>
      </c>
      <c r="H159" s="6">
        <v>0</v>
      </c>
      <c r="I159" s="6">
        <v>0</v>
      </c>
      <c r="J159" s="6">
        <v>0</v>
      </c>
      <c r="K159" s="6">
        <v>0</v>
      </c>
      <c r="L159" s="6">
        <v>0</v>
      </c>
      <c r="M159" s="6">
        <v>0</v>
      </c>
      <c r="N159" s="6">
        <v>0</v>
      </c>
      <c r="O159" s="6">
        <v>0</v>
      </c>
      <c r="P159" s="6">
        <v>0</v>
      </c>
      <c r="Q159" s="6">
        <v>0</v>
      </c>
      <c r="R159" s="6">
        <v>0</v>
      </c>
      <c r="S159" s="6">
        <v>0</v>
      </c>
      <c r="T159" s="6">
        <v>0</v>
      </c>
      <c r="U159" s="6">
        <v>0</v>
      </c>
      <c r="V159" s="6">
        <v>0</v>
      </c>
      <c r="W159" s="6">
        <v>0</v>
      </c>
      <c r="X159" s="6">
        <v>0</v>
      </c>
      <c r="Y159" s="6">
        <v>0</v>
      </c>
      <c r="Z159" s="6">
        <v>0</v>
      </c>
      <c r="AA159" s="6">
        <v>0</v>
      </c>
      <c r="AB159" s="6">
        <f t="shared" si="12"/>
        <v>0</v>
      </c>
    </row>
    <row r="160" spans="1:28" x14ac:dyDescent="0.25">
      <c r="A160" s="5" t="s">
        <v>1676</v>
      </c>
      <c r="B160" s="5" t="s">
        <v>31</v>
      </c>
      <c r="C160" s="5">
        <v>22</v>
      </c>
      <c r="D160" s="5">
        <v>0</v>
      </c>
      <c r="E160" s="5" t="s">
        <v>405</v>
      </c>
      <c r="F160" s="5" t="s">
        <v>1648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0</v>
      </c>
      <c r="O160" s="5">
        <v>0</v>
      </c>
      <c r="P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Z160" s="5">
        <v>0</v>
      </c>
      <c r="AA160" s="5">
        <v>0</v>
      </c>
      <c r="AB160" s="5">
        <f t="shared" si="12"/>
        <v>0</v>
      </c>
    </row>
    <row r="161" spans="1:28" x14ac:dyDescent="0.25">
      <c r="A161" s="5" t="s">
        <v>1720</v>
      </c>
      <c r="B161" s="5" t="s">
        <v>31</v>
      </c>
      <c r="C161" s="5">
        <v>29</v>
      </c>
      <c r="D161" s="5">
        <v>5</v>
      </c>
      <c r="E161" s="5" t="s">
        <v>1721</v>
      </c>
      <c r="F161" s="5" t="s">
        <v>1699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0</v>
      </c>
      <c r="O161" s="5">
        <v>0</v>
      </c>
      <c r="P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Z161" s="5">
        <v>0</v>
      </c>
      <c r="AA161" s="5">
        <v>0</v>
      </c>
      <c r="AB161" s="5">
        <f t="shared" si="12"/>
        <v>0</v>
      </c>
    </row>
    <row r="162" spans="1:28" x14ac:dyDescent="0.25">
      <c r="A162" s="6" t="s">
        <v>1722</v>
      </c>
      <c r="B162" s="6" t="s">
        <v>31</v>
      </c>
      <c r="C162" s="6">
        <v>25</v>
      </c>
      <c r="D162" s="6">
        <v>4</v>
      </c>
      <c r="E162" s="6" t="s">
        <v>557</v>
      </c>
      <c r="F162" s="6" t="s">
        <v>1699</v>
      </c>
      <c r="G162" s="6">
        <v>0</v>
      </c>
      <c r="H162" s="6">
        <v>0</v>
      </c>
      <c r="I162" s="6">
        <v>0</v>
      </c>
      <c r="J162" s="6">
        <v>0</v>
      </c>
      <c r="K162" s="6">
        <v>0</v>
      </c>
      <c r="L162" s="6">
        <v>0</v>
      </c>
      <c r="M162" s="6">
        <v>0</v>
      </c>
      <c r="N162" s="6">
        <v>0</v>
      </c>
      <c r="O162" s="6">
        <v>0</v>
      </c>
      <c r="P162" s="6">
        <v>0</v>
      </c>
      <c r="Q162" s="6">
        <v>0</v>
      </c>
      <c r="R162" s="6">
        <v>0</v>
      </c>
      <c r="S162" s="6">
        <v>0</v>
      </c>
      <c r="T162" s="6">
        <v>0</v>
      </c>
      <c r="U162" s="6">
        <v>0</v>
      </c>
      <c r="V162" s="6">
        <v>0</v>
      </c>
      <c r="W162" s="6">
        <v>0</v>
      </c>
      <c r="X162" s="6">
        <v>0</v>
      </c>
      <c r="Y162" s="6">
        <v>0</v>
      </c>
      <c r="Z162" s="6">
        <v>0</v>
      </c>
      <c r="AA162" s="6">
        <v>0</v>
      </c>
      <c r="AB162" s="6">
        <f t="shared" si="12"/>
        <v>0</v>
      </c>
    </row>
    <row r="163" spans="1:28" x14ac:dyDescent="0.25">
      <c r="A163" s="5" t="s">
        <v>1723</v>
      </c>
      <c r="B163" s="5" t="s">
        <v>31</v>
      </c>
      <c r="C163" s="5">
        <v>28</v>
      </c>
      <c r="D163" s="5">
        <v>5</v>
      </c>
      <c r="E163" s="5" t="s">
        <v>909</v>
      </c>
      <c r="F163" s="5" t="s">
        <v>1699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0</v>
      </c>
      <c r="O163" s="5">
        <v>0</v>
      </c>
      <c r="P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Z163" s="5">
        <v>0</v>
      </c>
      <c r="AA163" s="5">
        <v>0</v>
      </c>
      <c r="AB163" s="5">
        <f t="shared" si="12"/>
        <v>0</v>
      </c>
    </row>
    <row r="164" spans="1:28" x14ac:dyDescent="0.25">
      <c r="A164" s="6" t="s">
        <v>1724</v>
      </c>
      <c r="B164" s="6" t="s">
        <v>31</v>
      </c>
      <c r="C164" s="6">
        <v>23</v>
      </c>
      <c r="D164" s="6">
        <v>2</v>
      </c>
      <c r="E164" s="6" t="s">
        <v>806</v>
      </c>
      <c r="F164" s="6" t="s">
        <v>1699</v>
      </c>
      <c r="G164" s="6">
        <v>0</v>
      </c>
      <c r="H164" s="6">
        <v>0</v>
      </c>
      <c r="I164" s="6">
        <v>0</v>
      </c>
      <c r="J164" s="6">
        <v>0</v>
      </c>
      <c r="K164" s="6">
        <v>0</v>
      </c>
      <c r="L164" s="6">
        <v>0</v>
      </c>
      <c r="M164" s="6">
        <v>0</v>
      </c>
      <c r="N164" s="6">
        <v>0</v>
      </c>
      <c r="O164" s="6">
        <v>0</v>
      </c>
      <c r="P164" s="6">
        <v>0</v>
      </c>
      <c r="Q164" s="6">
        <v>0</v>
      </c>
      <c r="R164" s="6">
        <v>0</v>
      </c>
      <c r="S164" s="6">
        <v>0</v>
      </c>
      <c r="T164" s="6">
        <v>0</v>
      </c>
      <c r="U164" s="6">
        <v>0</v>
      </c>
      <c r="V164" s="6">
        <v>0</v>
      </c>
      <c r="W164" s="6">
        <v>0</v>
      </c>
      <c r="X164" s="6">
        <v>0</v>
      </c>
      <c r="Y164" s="6">
        <v>0</v>
      </c>
      <c r="Z164" s="6">
        <v>0</v>
      </c>
      <c r="AA164" s="6">
        <v>0</v>
      </c>
      <c r="AB164" s="6">
        <f t="shared" si="12"/>
        <v>0</v>
      </c>
    </row>
    <row r="165" spans="1:28" x14ac:dyDescent="0.25">
      <c r="A165" s="5" t="s">
        <v>1725</v>
      </c>
      <c r="B165" s="5" t="s">
        <v>31</v>
      </c>
      <c r="C165" s="5">
        <v>24</v>
      </c>
      <c r="D165" s="5">
        <v>2</v>
      </c>
      <c r="E165" s="5" t="s">
        <v>153</v>
      </c>
      <c r="F165" s="5" t="s">
        <v>1699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0</v>
      </c>
      <c r="O165" s="5">
        <v>0</v>
      </c>
      <c r="P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Z165" s="5">
        <v>0</v>
      </c>
      <c r="AA165" s="5">
        <v>0</v>
      </c>
      <c r="AB165" s="5">
        <f t="shared" si="12"/>
        <v>0</v>
      </c>
    </row>
    <row r="166" spans="1:28" x14ac:dyDescent="0.25">
      <c r="A166" s="6" t="s">
        <v>1726</v>
      </c>
      <c r="B166" s="6" t="s">
        <v>31</v>
      </c>
      <c r="C166" s="6">
        <v>23</v>
      </c>
      <c r="D166" s="6">
        <v>0</v>
      </c>
      <c r="E166" s="6" t="s">
        <v>150</v>
      </c>
      <c r="F166" s="6" t="s">
        <v>1699</v>
      </c>
      <c r="G166" s="6">
        <v>0</v>
      </c>
      <c r="H166" s="6">
        <v>0</v>
      </c>
      <c r="I166" s="6">
        <v>0</v>
      </c>
      <c r="J166" s="6">
        <v>0</v>
      </c>
      <c r="K166" s="6">
        <v>0</v>
      </c>
      <c r="L166" s="6">
        <v>0</v>
      </c>
      <c r="M166" s="6">
        <v>0</v>
      </c>
      <c r="N166" s="6">
        <v>0</v>
      </c>
      <c r="O166" s="6">
        <v>0</v>
      </c>
      <c r="P166" s="6">
        <v>0</v>
      </c>
      <c r="Q166" s="6">
        <v>0</v>
      </c>
      <c r="R166" s="6">
        <v>0</v>
      </c>
      <c r="S166" s="6">
        <v>0</v>
      </c>
      <c r="T166" s="6">
        <v>0</v>
      </c>
      <c r="U166" s="6">
        <v>0</v>
      </c>
      <c r="V166" s="6">
        <v>0</v>
      </c>
      <c r="W166" s="6">
        <v>0</v>
      </c>
      <c r="X166" s="6">
        <v>0</v>
      </c>
      <c r="Y166" s="6">
        <v>0</v>
      </c>
      <c r="Z166" s="6">
        <v>0</v>
      </c>
      <c r="AA166" s="6">
        <v>0</v>
      </c>
      <c r="AB166" s="6">
        <f t="shared" si="12"/>
        <v>0</v>
      </c>
    </row>
    <row r="167" spans="1:28" x14ac:dyDescent="0.25">
      <c r="A167" s="8" t="s">
        <v>1727</v>
      </c>
      <c r="B167" s="8" t="s">
        <v>31</v>
      </c>
      <c r="C167" s="8">
        <v>29</v>
      </c>
      <c r="D167" s="8">
        <v>7</v>
      </c>
      <c r="E167" s="8" t="s">
        <v>175</v>
      </c>
      <c r="F167" s="8" t="s">
        <v>1699</v>
      </c>
      <c r="G167" s="8">
        <v>0</v>
      </c>
      <c r="H167" s="8">
        <v>0</v>
      </c>
      <c r="I167" s="8">
        <v>0</v>
      </c>
      <c r="J167" s="8">
        <v>0</v>
      </c>
      <c r="K167" s="8">
        <v>0</v>
      </c>
      <c r="L167" s="8">
        <v>0</v>
      </c>
      <c r="M167" s="8">
        <v>0</v>
      </c>
      <c r="N167" s="8">
        <v>0</v>
      </c>
      <c r="O167" s="8">
        <v>0</v>
      </c>
      <c r="P167" s="8">
        <v>0</v>
      </c>
      <c r="Q167" s="8">
        <v>0</v>
      </c>
      <c r="R167" s="8">
        <v>0</v>
      </c>
      <c r="S167" s="8">
        <v>0</v>
      </c>
      <c r="T167" s="8">
        <v>0</v>
      </c>
      <c r="U167" s="8">
        <v>0</v>
      </c>
      <c r="V167" s="8">
        <v>0</v>
      </c>
      <c r="W167" s="8">
        <v>0</v>
      </c>
      <c r="X167" s="8">
        <v>0</v>
      </c>
      <c r="Y167" s="8">
        <v>0</v>
      </c>
      <c r="Z167" s="8">
        <v>0</v>
      </c>
      <c r="AA167" s="8">
        <v>0</v>
      </c>
      <c r="AB167" s="8">
        <f t="shared" si="12"/>
        <v>0</v>
      </c>
    </row>
  </sheetData>
  <pageMargins left="0.7" right="0.7" top="0.75" bottom="0.75" header="0.3" footer="0.3"/>
  <tableParts count="1">
    <tablePart r:id="rId1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DDA0E-EE9F-48C3-AFAE-576B16DE138F}">
  <sheetPr codeName="Sheet36"/>
  <dimension ref="A1:AB365"/>
  <sheetViews>
    <sheetView topLeftCell="D1" workbookViewId="0"/>
  </sheetViews>
  <sheetFormatPr defaultRowHeight="15" x14ac:dyDescent="0.25"/>
  <cols>
    <col min="1" max="1" width="24.28515625" bestFit="1" customWidth="1"/>
    <col min="2" max="2" width="6.7109375" customWidth="1"/>
    <col min="3" max="3" width="6.5703125" customWidth="1"/>
    <col min="4" max="4" width="6.28515625" customWidth="1"/>
    <col min="5" max="5" width="27.85546875" bestFit="1" customWidth="1"/>
    <col min="6" max="6" width="7.7109375" customWidth="1"/>
    <col min="7" max="7" width="4.140625" customWidth="1"/>
    <col min="8" max="8" width="7.7109375" customWidth="1"/>
    <col min="9" max="9" width="6.85546875" customWidth="1"/>
    <col min="10" max="10" width="7.42578125" customWidth="1"/>
    <col min="11" max="11" width="7.140625" customWidth="1"/>
    <col min="12" max="12" width="5.5703125" customWidth="1"/>
    <col min="13" max="13" width="5.7109375" customWidth="1"/>
    <col min="14" max="14" width="7" customWidth="1"/>
    <col min="15" max="15" width="6.7109375" customWidth="1"/>
    <col min="16" max="16" width="5.5703125" customWidth="1"/>
    <col min="17" max="17" width="5.85546875" customWidth="1"/>
    <col min="18" max="18" width="9" customWidth="1"/>
    <col min="19" max="19" width="8.7109375" customWidth="1"/>
    <col min="20" max="20" width="6.7109375" customWidth="1"/>
    <col min="21" max="21" width="6.85546875" customWidth="1"/>
    <col min="22" max="22" width="7.85546875" customWidth="1"/>
    <col min="23" max="23" width="11.42578125" customWidth="1"/>
    <col min="24" max="25" width="7.7109375" bestFit="1" customWidth="1"/>
    <col min="26" max="26" width="10.5703125" customWidth="1"/>
    <col min="27" max="27" width="9.5703125" customWidth="1"/>
    <col min="28" max="28" width="11.28515625" customWidth="1"/>
  </cols>
  <sheetData>
    <row r="1" spans="1:28" x14ac:dyDescent="0.25">
      <c r="A1" s="7" t="s">
        <v>55</v>
      </c>
      <c r="B1" s="7" t="s">
        <v>56</v>
      </c>
      <c r="C1" s="7" t="s">
        <v>57</v>
      </c>
      <c r="D1" s="7" t="s">
        <v>58</v>
      </c>
      <c r="E1" s="7" t="s">
        <v>59</v>
      </c>
      <c r="F1" s="7" t="s">
        <v>52</v>
      </c>
      <c r="G1" s="7" t="s">
        <v>3</v>
      </c>
      <c r="H1" s="7" t="s">
        <v>4</v>
      </c>
      <c r="I1" s="7" t="s">
        <v>5</v>
      </c>
      <c r="J1" s="7" t="s">
        <v>6</v>
      </c>
      <c r="K1" s="7" t="s">
        <v>7</v>
      </c>
      <c r="L1" s="7" t="s">
        <v>8</v>
      </c>
      <c r="M1" s="7" t="s">
        <v>9</v>
      </c>
      <c r="N1" s="7" t="s">
        <v>10</v>
      </c>
      <c r="O1" s="7" t="s">
        <v>11</v>
      </c>
      <c r="P1" s="7" t="s">
        <v>12</v>
      </c>
      <c r="Q1" s="7" t="s">
        <v>13</v>
      </c>
      <c r="R1" s="7" t="s">
        <v>14</v>
      </c>
      <c r="S1" s="7" t="s">
        <v>15</v>
      </c>
      <c r="T1" s="7" t="s">
        <v>16</v>
      </c>
      <c r="U1" s="7" t="s">
        <v>17</v>
      </c>
      <c r="V1" s="7" t="s">
        <v>18</v>
      </c>
      <c r="W1" s="7" t="s">
        <v>19</v>
      </c>
      <c r="X1" s="7" t="s">
        <v>20</v>
      </c>
      <c r="Y1" s="7" t="s">
        <v>21</v>
      </c>
      <c r="Z1" s="7" t="s">
        <v>22</v>
      </c>
      <c r="AA1" s="7" t="s">
        <v>23</v>
      </c>
      <c r="AB1" s="7" t="s">
        <v>60</v>
      </c>
    </row>
    <row r="2" spans="1:28" x14ac:dyDescent="0.25">
      <c r="A2" s="5" t="s">
        <v>83</v>
      </c>
      <c r="B2" s="5" t="s">
        <v>43</v>
      </c>
      <c r="C2" s="5">
        <v>24</v>
      </c>
      <c r="D2" s="5">
        <v>0</v>
      </c>
      <c r="E2" s="5" t="s">
        <v>84</v>
      </c>
      <c r="F2" s="5" t="s">
        <v>25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f>($J2*0.04)+($K2*4)+($L2*-2)+($N2*0.1)+($O2*6)+($Q2)+($R2*0.1)+($S2*6)+($T2*-2)</f>
        <v>0</v>
      </c>
      <c r="W2" s="5" t="e">
        <f t="shared" ref="W2:W11" si="0">$P2/$H$33</f>
        <v>#DIV/0!</v>
      </c>
      <c r="X2" s="5" t="e">
        <f t="shared" ref="X2:X11" si="1">$N2/$M2</f>
        <v>#DIV/0!</v>
      </c>
      <c r="Y2" s="5" t="e">
        <f t="shared" ref="Y2:Z11" si="2">$R2/$Q2</f>
        <v>#DIV/0!</v>
      </c>
      <c r="Z2" s="5" t="e">
        <f t="shared" si="2"/>
        <v>#DIV/0!</v>
      </c>
      <c r="AA2" s="5" t="e">
        <f t="shared" ref="AA2:AA11" si="3">$J2/$H2</f>
        <v>#DIV/0!</v>
      </c>
      <c r="AB2" s="5">
        <f t="shared" ref="AB2:AB11" si="4">($J2*Cp_yd)+($K2*Cp_td)+($L2*Cint)+($M2*Ccar)+($N2*Cr_td)+($O2*Cr_yd)+(Q2*Crec)+($R2*Crec_yd)+($S2*Crec_td)+($T2*Cfmb)+($U2*Ctp_c)</f>
        <v>0</v>
      </c>
    </row>
    <row r="3" spans="1:28" x14ac:dyDescent="0.25">
      <c r="A3" s="6" t="s">
        <v>85</v>
      </c>
      <c r="B3" s="6" t="s">
        <v>43</v>
      </c>
      <c r="C3" s="6">
        <v>26</v>
      </c>
      <c r="D3" s="6">
        <v>2</v>
      </c>
      <c r="E3" s="6" t="s">
        <v>86</v>
      </c>
      <c r="F3" s="6" t="s">
        <v>25</v>
      </c>
      <c r="G3" s="6">
        <v>0</v>
      </c>
      <c r="H3" s="6">
        <v>0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  <c r="R3" s="6">
        <v>0</v>
      </c>
      <c r="S3" s="6">
        <v>0</v>
      </c>
      <c r="T3" s="6">
        <v>0</v>
      </c>
      <c r="U3" s="6">
        <v>0</v>
      </c>
      <c r="V3" s="6">
        <f t="shared" ref="V3:V11" si="5">($J3*0.04)+($K3*4)+($L3*-2)+($N3*0.1)+($O3*6)+($Q3)+($R3*0.1)+($S3*6)+($T3*-2)</f>
        <v>0</v>
      </c>
      <c r="W3" s="6" t="e">
        <f t="shared" si="0"/>
        <v>#DIV/0!</v>
      </c>
      <c r="X3" s="6" t="e">
        <f t="shared" si="1"/>
        <v>#DIV/0!</v>
      </c>
      <c r="Y3" s="6" t="e">
        <f t="shared" si="2"/>
        <v>#DIV/0!</v>
      </c>
      <c r="Z3" s="6" t="e">
        <f t="shared" si="2"/>
        <v>#DIV/0!</v>
      </c>
      <c r="AA3" s="6" t="e">
        <f t="shared" si="3"/>
        <v>#DIV/0!</v>
      </c>
      <c r="AB3" s="6">
        <f t="shared" si="4"/>
        <v>0</v>
      </c>
    </row>
    <row r="4" spans="1:28" x14ac:dyDescent="0.25">
      <c r="A4" s="5" t="s">
        <v>87</v>
      </c>
      <c r="B4" s="5" t="s">
        <v>43</v>
      </c>
      <c r="C4" s="5">
        <v>26</v>
      </c>
      <c r="D4" s="5">
        <v>5</v>
      </c>
      <c r="E4" s="5" t="s">
        <v>68</v>
      </c>
      <c r="F4" s="5" t="s">
        <v>25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f t="shared" si="5"/>
        <v>0</v>
      </c>
      <c r="W4" s="5" t="e">
        <f t="shared" si="0"/>
        <v>#DIV/0!</v>
      </c>
      <c r="X4" s="5" t="e">
        <f t="shared" si="1"/>
        <v>#DIV/0!</v>
      </c>
      <c r="Y4" s="5" t="e">
        <f t="shared" si="2"/>
        <v>#DIV/0!</v>
      </c>
      <c r="Z4" s="5" t="e">
        <f t="shared" si="2"/>
        <v>#DIV/0!</v>
      </c>
      <c r="AA4" s="5" t="e">
        <f t="shared" si="3"/>
        <v>#DIV/0!</v>
      </c>
      <c r="AB4" s="5">
        <f t="shared" si="4"/>
        <v>0</v>
      </c>
    </row>
    <row r="5" spans="1:28" x14ac:dyDescent="0.25">
      <c r="A5" s="6" t="s">
        <v>88</v>
      </c>
      <c r="B5" s="6" t="s">
        <v>43</v>
      </c>
      <c r="C5" s="6">
        <v>23</v>
      </c>
      <c r="D5" s="6">
        <v>0</v>
      </c>
      <c r="E5" s="6" t="s">
        <v>89</v>
      </c>
      <c r="F5" s="6" t="s">
        <v>25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  <c r="P5" s="6">
        <v>0</v>
      </c>
      <c r="Q5" s="6">
        <v>0</v>
      </c>
      <c r="R5" s="6">
        <v>0</v>
      </c>
      <c r="S5" s="6">
        <v>0</v>
      </c>
      <c r="T5" s="6">
        <v>0</v>
      </c>
      <c r="U5" s="6">
        <v>0</v>
      </c>
      <c r="V5" s="6">
        <f t="shared" si="5"/>
        <v>0</v>
      </c>
      <c r="W5" s="6" t="e">
        <f t="shared" si="0"/>
        <v>#DIV/0!</v>
      </c>
      <c r="X5" s="6" t="e">
        <f t="shared" si="1"/>
        <v>#DIV/0!</v>
      </c>
      <c r="Y5" s="6" t="e">
        <f t="shared" si="2"/>
        <v>#DIV/0!</v>
      </c>
      <c r="Z5" s="6" t="e">
        <f t="shared" si="2"/>
        <v>#DIV/0!</v>
      </c>
      <c r="AA5" s="6" t="e">
        <f t="shared" si="3"/>
        <v>#DIV/0!</v>
      </c>
      <c r="AB5" s="6">
        <f t="shared" si="4"/>
        <v>0</v>
      </c>
    </row>
    <row r="6" spans="1:28" x14ac:dyDescent="0.25">
      <c r="A6" s="5" t="s">
        <v>90</v>
      </c>
      <c r="B6" s="5" t="s">
        <v>43</v>
      </c>
      <c r="C6" s="5">
        <v>26</v>
      </c>
      <c r="D6" s="5">
        <v>2</v>
      </c>
      <c r="E6" s="5" t="s">
        <v>91</v>
      </c>
      <c r="F6" s="5" t="s">
        <v>25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0</v>
      </c>
      <c r="N6" s="5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f t="shared" si="5"/>
        <v>0</v>
      </c>
      <c r="W6" s="5" t="e">
        <f t="shared" si="0"/>
        <v>#DIV/0!</v>
      </c>
      <c r="X6" s="5" t="e">
        <f t="shared" si="1"/>
        <v>#DIV/0!</v>
      </c>
      <c r="Y6" s="5" t="e">
        <f t="shared" si="2"/>
        <v>#DIV/0!</v>
      </c>
      <c r="Z6" s="5" t="e">
        <f t="shared" si="2"/>
        <v>#DIV/0!</v>
      </c>
      <c r="AA6" s="5" t="e">
        <f t="shared" si="3"/>
        <v>#DIV/0!</v>
      </c>
      <c r="AB6" s="5">
        <f t="shared" si="4"/>
        <v>0</v>
      </c>
    </row>
    <row r="7" spans="1:28" x14ac:dyDescent="0.25">
      <c r="A7" s="6" t="s">
        <v>92</v>
      </c>
      <c r="B7" s="6" t="s">
        <v>43</v>
      </c>
      <c r="C7" s="6">
        <v>24</v>
      </c>
      <c r="D7" s="6">
        <v>1</v>
      </c>
      <c r="E7" s="6" t="s">
        <v>93</v>
      </c>
      <c r="F7" s="6" t="s">
        <v>25</v>
      </c>
      <c r="G7" s="6">
        <v>0</v>
      </c>
      <c r="H7" s="6">
        <v>0</v>
      </c>
      <c r="I7" s="6">
        <v>0</v>
      </c>
      <c r="J7" s="6">
        <v>0</v>
      </c>
      <c r="K7" s="6">
        <v>0</v>
      </c>
      <c r="L7" s="6">
        <v>0</v>
      </c>
      <c r="M7" s="6">
        <v>0</v>
      </c>
      <c r="N7" s="6">
        <v>0</v>
      </c>
      <c r="O7" s="6">
        <v>0</v>
      </c>
      <c r="P7" s="6">
        <v>0</v>
      </c>
      <c r="Q7" s="6">
        <v>0</v>
      </c>
      <c r="R7" s="6">
        <v>0</v>
      </c>
      <c r="S7" s="6">
        <v>0</v>
      </c>
      <c r="T7" s="6">
        <v>0</v>
      </c>
      <c r="U7" s="6">
        <v>0</v>
      </c>
      <c r="V7" s="6">
        <f t="shared" si="5"/>
        <v>0</v>
      </c>
      <c r="W7" s="6" t="e">
        <f t="shared" si="0"/>
        <v>#DIV/0!</v>
      </c>
      <c r="X7" s="6" t="e">
        <f t="shared" si="1"/>
        <v>#DIV/0!</v>
      </c>
      <c r="Y7" s="6" t="e">
        <f t="shared" si="2"/>
        <v>#DIV/0!</v>
      </c>
      <c r="Z7" s="6" t="e">
        <f t="shared" si="2"/>
        <v>#DIV/0!</v>
      </c>
      <c r="AA7" s="6" t="e">
        <f t="shared" si="3"/>
        <v>#DIV/0!</v>
      </c>
      <c r="AB7" s="6">
        <f t="shared" si="4"/>
        <v>0</v>
      </c>
    </row>
    <row r="8" spans="1:28" x14ac:dyDescent="0.25">
      <c r="A8" s="5" t="s">
        <v>94</v>
      </c>
      <c r="B8" s="5" t="s">
        <v>43</v>
      </c>
      <c r="C8" s="5">
        <v>25</v>
      </c>
      <c r="D8" s="5">
        <v>3</v>
      </c>
      <c r="E8" s="5" t="s">
        <v>95</v>
      </c>
      <c r="F8" s="5" t="s">
        <v>25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f t="shared" si="5"/>
        <v>0</v>
      </c>
      <c r="W8" s="5" t="e">
        <f t="shared" si="0"/>
        <v>#DIV/0!</v>
      </c>
      <c r="X8" s="5" t="e">
        <f t="shared" si="1"/>
        <v>#DIV/0!</v>
      </c>
      <c r="Y8" s="5" t="e">
        <f t="shared" si="2"/>
        <v>#DIV/0!</v>
      </c>
      <c r="Z8" s="5" t="e">
        <f t="shared" si="2"/>
        <v>#DIV/0!</v>
      </c>
      <c r="AA8" s="5" t="e">
        <f t="shared" si="3"/>
        <v>#DIV/0!</v>
      </c>
      <c r="AB8" s="5">
        <f t="shared" si="4"/>
        <v>0</v>
      </c>
    </row>
    <row r="9" spans="1:28" x14ac:dyDescent="0.25">
      <c r="A9" s="6" t="s">
        <v>96</v>
      </c>
      <c r="B9" s="6" t="s">
        <v>43</v>
      </c>
      <c r="C9" s="6">
        <v>23</v>
      </c>
      <c r="D9" s="6">
        <v>3</v>
      </c>
      <c r="E9" s="6" t="s">
        <v>62</v>
      </c>
      <c r="F9" s="6" t="s">
        <v>25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R9" s="6">
        <v>0</v>
      </c>
      <c r="S9" s="6">
        <v>0</v>
      </c>
      <c r="T9" s="6">
        <v>0</v>
      </c>
      <c r="U9" s="6">
        <v>0</v>
      </c>
      <c r="V9" s="6">
        <f t="shared" si="5"/>
        <v>0</v>
      </c>
      <c r="W9" s="6" t="e">
        <f t="shared" si="0"/>
        <v>#DIV/0!</v>
      </c>
      <c r="X9" s="6" t="e">
        <f t="shared" si="1"/>
        <v>#DIV/0!</v>
      </c>
      <c r="Y9" s="6" t="e">
        <f t="shared" si="2"/>
        <v>#DIV/0!</v>
      </c>
      <c r="Z9" s="6" t="e">
        <f t="shared" si="2"/>
        <v>#DIV/0!</v>
      </c>
      <c r="AA9" s="6" t="e">
        <f t="shared" si="3"/>
        <v>#DIV/0!</v>
      </c>
      <c r="AB9" s="6">
        <f t="shared" si="4"/>
        <v>0</v>
      </c>
    </row>
    <row r="10" spans="1:28" x14ac:dyDescent="0.25">
      <c r="A10" s="5" t="s">
        <v>97</v>
      </c>
      <c r="B10" s="5" t="s">
        <v>43</v>
      </c>
      <c r="C10" s="5">
        <v>28</v>
      </c>
      <c r="D10" s="5">
        <v>6</v>
      </c>
      <c r="E10" s="5" t="s">
        <v>98</v>
      </c>
      <c r="F10" s="5" t="s">
        <v>25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f t="shared" si="5"/>
        <v>0</v>
      </c>
      <c r="W10" s="5" t="e">
        <f t="shared" si="0"/>
        <v>#DIV/0!</v>
      </c>
      <c r="X10" s="5" t="e">
        <f t="shared" si="1"/>
        <v>#DIV/0!</v>
      </c>
      <c r="Y10" s="5" t="e">
        <f t="shared" si="2"/>
        <v>#DIV/0!</v>
      </c>
      <c r="Z10" s="5" t="e">
        <f t="shared" si="2"/>
        <v>#DIV/0!</v>
      </c>
      <c r="AA10" s="5" t="e">
        <f t="shared" si="3"/>
        <v>#DIV/0!</v>
      </c>
      <c r="AB10" s="5">
        <f t="shared" si="4"/>
        <v>0</v>
      </c>
    </row>
    <row r="11" spans="1:28" x14ac:dyDescent="0.25">
      <c r="A11" s="6" t="s">
        <v>99</v>
      </c>
      <c r="B11" s="6" t="s">
        <v>43</v>
      </c>
      <c r="C11" s="6">
        <v>24</v>
      </c>
      <c r="D11" s="6">
        <v>1</v>
      </c>
      <c r="E11" s="6" t="s">
        <v>100</v>
      </c>
      <c r="F11" s="6" t="s">
        <v>25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S11" s="6">
        <v>0</v>
      </c>
      <c r="T11" s="6">
        <v>0</v>
      </c>
      <c r="U11" s="6">
        <v>0</v>
      </c>
      <c r="V11" s="6">
        <f t="shared" si="5"/>
        <v>0</v>
      </c>
      <c r="W11" s="6" t="e">
        <f t="shared" si="0"/>
        <v>#DIV/0!</v>
      </c>
      <c r="X11" s="6" t="e">
        <f t="shared" si="1"/>
        <v>#DIV/0!</v>
      </c>
      <c r="Y11" s="6" t="e">
        <f t="shared" si="2"/>
        <v>#DIV/0!</v>
      </c>
      <c r="Z11" s="6" t="e">
        <f t="shared" si="2"/>
        <v>#DIV/0!</v>
      </c>
      <c r="AA11" s="6" t="e">
        <f t="shared" si="3"/>
        <v>#DIV/0!</v>
      </c>
      <c r="AB11" s="6">
        <f t="shared" si="4"/>
        <v>0</v>
      </c>
    </row>
    <row r="12" spans="1:28" x14ac:dyDescent="0.25">
      <c r="A12" s="5" t="s">
        <v>149</v>
      </c>
      <c r="B12" s="5" t="s">
        <v>43</v>
      </c>
      <c r="C12" s="5">
        <v>24</v>
      </c>
      <c r="D12" s="5">
        <v>1</v>
      </c>
      <c r="E12" s="5" t="s">
        <v>150</v>
      </c>
      <c r="F12" s="5" t="s">
        <v>114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</row>
    <row r="13" spans="1:28" x14ac:dyDescent="0.25">
      <c r="A13" s="6" t="s">
        <v>151</v>
      </c>
      <c r="B13" s="6" t="s">
        <v>43</v>
      </c>
      <c r="C13" s="6">
        <v>26</v>
      </c>
      <c r="D13" s="6">
        <v>4</v>
      </c>
      <c r="E13" s="6" t="s">
        <v>102</v>
      </c>
      <c r="F13" s="6" t="s">
        <v>114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S13" s="6">
        <v>0</v>
      </c>
      <c r="T13" s="6">
        <v>0</v>
      </c>
      <c r="U13" s="6">
        <v>0</v>
      </c>
      <c r="V13" s="6">
        <v>0</v>
      </c>
      <c r="W13" s="6">
        <v>0</v>
      </c>
      <c r="X13" s="6">
        <v>0</v>
      </c>
      <c r="Y13" s="6">
        <v>0</v>
      </c>
      <c r="Z13" s="6">
        <v>0</v>
      </c>
      <c r="AA13" s="6">
        <v>0</v>
      </c>
      <c r="AB13" s="6">
        <v>0</v>
      </c>
    </row>
    <row r="14" spans="1:28" x14ac:dyDescent="0.25">
      <c r="A14" s="5" t="s">
        <v>152</v>
      </c>
      <c r="B14" s="5" t="s">
        <v>43</v>
      </c>
      <c r="C14" s="5">
        <v>24</v>
      </c>
      <c r="D14" s="5">
        <v>2</v>
      </c>
      <c r="E14" s="5" t="s">
        <v>153</v>
      </c>
      <c r="F14" s="5" t="s">
        <v>114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</row>
    <row r="15" spans="1:28" x14ac:dyDescent="0.25">
      <c r="A15" s="6" t="s">
        <v>154</v>
      </c>
      <c r="B15" s="6" t="s">
        <v>43</v>
      </c>
      <c r="C15" s="6">
        <v>25</v>
      </c>
      <c r="D15" s="6">
        <v>3</v>
      </c>
      <c r="E15" s="6" t="s">
        <v>155</v>
      </c>
      <c r="F15" s="6" t="s">
        <v>114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R15" s="6">
        <v>0</v>
      </c>
      <c r="S15" s="6">
        <v>0</v>
      </c>
      <c r="T15" s="6">
        <v>0</v>
      </c>
      <c r="U15" s="6">
        <v>0</v>
      </c>
      <c r="V15" s="6">
        <v>0</v>
      </c>
      <c r="W15" s="6">
        <v>0</v>
      </c>
      <c r="X15" s="6">
        <v>0</v>
      </c>
      <c r="Y15" s="6">
        <v>0</v>
      </c>
      <c r="Z15" s="6">
        <v>0</v>
      </c>
      <c r="AA15" s="6">
        <v>0</v>
      </c>
      <c r="AB15" s="6">
        <v>0</v>
      </c>
    </row>
    <row r="16" spans="1:28" x14ac:dyDescent="0.25">
      <c r="A16" s="5" t="s">
        <v>156</v>
      </c>
      <c r="B16" s="5" t="s">
        <v>43</v>
      </c>
      <c r="C16" s="5">
        <v>22</v>
      </c>
      <c r="D16" s="5">
        <v>0</v>
      </c>
      <c r="E16" s="5" t="s">
        <v>157</v>
      </c>
      <c r="F16" s="5" t="s">
        <v>114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</row>
    <row r="17" spans="1:28" x14ac:dyDescent="0.25">
      <c r="A17" s="6" t="s">
        <v>158</v>
      </c>
      <c r="B17" s="6" t="s">
        <v>43</v>
      </c>
      <c r="C17" s="6">
        <v>27</v>
      </c>
      <c r="D17" s="6">
        <v>4</v>
      </c>
      <c r="E17" s="6" t="s">
        <v>159</v>
      </c>
      <c r="F17" s="6" t="s">
        <v>114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</row>
    <row r="18" spans="1:28" x14ac:dyDescent="0.25">
      <c r="A18" s="5" t="s">
        <v>160</v>
      </c>
      <c r="B18" s="5" t="s">
        <v>43</v>
      </c>
      <c r="C18" s="5">
        <v>28</v>
      </c>
      <c r="D18" s="5">
        <v>6</v>
      </c>
      <c r="E18" s="5" t="s">
        <v>161</v>
      </c>
      <c r="F18" s="5" t="s">
        <v>114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</row>
    <row r="19" spans="1:28" x14ac:dyDescent="0.25">
      <c r="A19" s="6" t="s">
        <v>162</v>
      </c>
      <c r="B19" s="6" t="s">
        <v>43</v>
      </c>
      <c r="C19" s="6">
        <v>29</v>
      </c>
      <c r="D19" s="6">
        <v>7</v>
      </c>
      <c r="E19" s="6" t="s">
        <v>163</v>
      </c>
      <c r="F19" s="6" t="s">
        <v>114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R19" s="6">
        <v>0</v>
      </c>
      <c r="S19" s="6">
        <v>0</v>
      </c>
      <c r="T19" s="6">
        <v>0</v>
      </c>
      <c r="U19" s="6">
        <v>0</v>
      </c>
      <c r="V19" s="6">
        <v>0</v>
      </c>
      <c r="W19" s="6">
        <v>0</v>
      </c>
      <c r="X19" s="6">
        <v>0</v>
      </c>
      <c r="Y19" s="6">
        <v>0</v>
      </c>
      <c r="Z19" s="6">
        <v>0</v>
      </c>
      <c r="AA19" s="6">
        <v>0</v>
      </c>
      <c r="AB19" s="6">
        <v>0</v>
      </c>
    </row>
    <row r="20" spans="1:28" x14ac:dyDescent="0.25">
      <c r="A20" s="5" t="s">
        <v>164</v>
      </c>
      <c r="B20" s="5" t="s">
        <v>43</v>
      </c>
      <c r="C20" s="5">
        <v>22</v>
      </c>
      <c r="D20" s="5">
        <v>2</v>
      </c>
      <c r="E20" s="5" t="s">
        <v>78</v>
      </c>
      <c r="F20" s="5" t="s">
        <v>114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</row>
    <row r="21" spans="1:28" x14ac:dyDescent="0.25">
      <c r="A21" s="6" t="s">
        <v>165</v>
      </c>
      <c r="B21" s="6" t="s">
        <v>43</v>
      </c>
      <c r="C21" s="6">
        <v>23</v>
      </c>
      <c r="D21" s="6">
        <v>0</v>
      </c>
      <c r="E21" s="6" t="s">
        <v>166</v>
      </c>
      <c r="F21" s="6" t="s">
        <v>114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R21" s="6">
        <v>0</v>
      </c>
      <c r="S21" s="6">
        <v>0</v>
      </c>
      <c r="T21" s="6">
        <v>0</v>
      </c>
      <c r="U21" s="6">
        <v>0</v>
      </c>
      <c r="V21" s="6">
        <v>0</v>
      </c>
      <c r="W21" s="6">
        <v>0</v>
      </c>
      <c r="X21" s="6">
        <v>0</v>
      </c>
      <c r="Y21" s="6">
        <v>0</v>
      </c>
      <c r="Z21" s="6">
        <v>0</v>
      </c>
      <c r="AA21" s="6">
        <v>0</v>
      </c>
      <c r="AB21" s="6">
        <v>0</v>
      </c>
    </row>
    <row r="22" spans="1:28" x14ac:dyDescent="0.25">
      <c r="A22" s="5" t="s">
        <v>167</v>
      </c>
      <c r="B22" s="5" t="s">
        <v>43</v>
      </c>
      <c r="C22" s="5">
        <v>26</v>
      </c>
      <c r="D22" s="5">
        <v>5</v>
      </c>
      <c r="E22" s="5" t="s">
        <v>168</v>
      </c>
      <c r="F22" s="5" t="s">
        <v>114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</row>
    <row r="23" spans="1:28" x14ac:dyDescent="0.25">
      <c r="A23" s="5" t="s">
        <v>223</v>
      </c>
      <c r="B23" s="5" t="s">
        <v>43</v>
      </c>
      <c r="C23" s="5">
        <v>30</v>
      </c>
      <c r="D23" s="5">
        <v>9</v>
      </c>
      <c r="E23" s="5" t="s">
        <v>78</v>
      </c>
      <c r="F23" s="5" t="s">
        <v>184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</row>
    <row r="24" spans="1:28" x14ac:dyDescent="0.25">
      <c r="A24" s="6" t="s">
        <v>224</v>
      </c>
      <c r="B24" s="6" t="s">
        <v>43</v>
      </c>
      <c r="C24" s="6">
        <v>23</v>
      </c>
      <c r="D24" s="6">
        <v>3</v>
      </c>
      <c r="E24" s="6" t="s">
        <v>225</v>
      </c>
      <c r="F24" s="6" t="s">
        <v>184</v>
      </c>
      <c r="G24" s="6">
        <v>0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R24" s="6">
        <v>0</v>
      </c>
      <c r="S24" s="6">
        <v>0</v>
      </c>
      <c r="T24" s="6">
        <v>0</v>
      </c>
      <c r="U24" s="6">
        <v>0</v>
      </c>
      <c r="V24" s="6">
        <v>0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</row>
    <row r="25" spans="1:28" x14ac:dyDescent="0.25">
      <c r="A25" s="5" t="s">
        <v>226</v>
      </c>
      <c r="B25" s="5" t="s">
        <v>43</v>
      </c>
      <c r="C25" s="5">
        <v>30</v>
      </c>
      <c r="D25" s="5">
        <v>9</v>
      </c>
      <c r="E25" s="5" t="s">
        <v>227</v>
      </c>
      <c r="F25" s="5" t="s">
        <v>184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</row>
    <row r="26" spans="1:28" x14ac:dyDescent="0.25">
      <c r="A26" s="6" t="s">
        <v>228</v>
      </c>
      <c r="B26" s="6" t="s">
        <v>43</v>
      </c>
      <c r="C26" s="6">
        <v>25</v>
      </c>
      <c r="D26" s="6">
        <v>1</v>
      </c>
      <c r="E26" s="6" t="s">
        <v>66</v>
      </c>
      <c r="F26" s="6" t="s">
        <v>184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v>0</v>
      </c>
      <c r="W26" s="6">
        <v>0</v>
      </c>
      <c r="X26" s="6">
        <v>0</v>
      </c>
      <c r="Y26" s="6">
        <v>0</v>
      </c>
      <c r="Z26" s="6">
        <v>0</v>
      </c>
      <c r="AA26" s="6">
        <v>0</v>
      </c>
      <c r="AB26" s="6">
        <v>0</v>
      </c>
    </row>
    <row r="27" spans="1:28" x14ac:dyDescent="0.25">
      <c r="A27" s="5" t="s">
        <v>229</v>
      </c>
      <c r="B27" s="5" t="s">
        <v>43</v>
      </c>
      <c r="C27" s="5">
        <v>25</v>
      </c>
      <c r="D27" s="5">
        <v>1</v>
      </c>
      <c r="E27" s="5" t="s">
        <v>230</v>
      </c>
      <c r="F27" s="5" t="s">
        <v>184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</row>
    <row r="28" spans="1:28" x14ac:dyDescent="0.25">
      <c r="A28" s="6" t="s">
        <v>231</v>
      </c>
      <c r="B28" s="6" t="s">
        <v>43</v>
      </c>
      <c r="C28" s="6">
        <v>22</v>
      </c>
      <c r="D28" s="6">
        <v>0</v>
      </c>
      <c r="E28" s="6" t="s">
        <v>232</v>
      </c>
      <c r="F28" s="6" t="s">
        <v>184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S28" s="6">
        <v>0</v>
      </c>
      <c r="T28" s="6">
        <v>0</v>
      </c>
      <c r="U28" s="6">
        <v>0</v>
      </c>
      <c r="V28" s="6">
        <v>0</v>
      </c>
      <c r="W28" s="6">
        <v>0</v>
      </c>
      <c r="X28" s="6">
        <v>0</v>
      </c>
      <c r="Y28" s="6">
        <v>0</v>
      </c>
      <c r="Z28" s="6">
        <v>0</v>
      </c>
      <c r="AA28" s="6">
        <v>0</v>
      </c>
      <c r="AB28" s="6">
        <v>0</v>
      </c>
    </row>
    <row r="29" spans="1:28" x14ac:dyDescent="0.25">
      <c r="A29" s="5" t="s">
        <v>233</v>
      </c>
      <c r="B29" s="5" t="s">
        <v>43</v>
      </c>
      <c r="C29" s="5">
        <v>25</v>
      </c>
      <c r="D29" s="5">
        <v>4</v>
      </c>
      <c r="E29" s="5" t="s">
        <v>66</v>
      </c>
      <c r="F29" s="5" t="s">
        <v>184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</row>
    <row r="30" spans="1:28" x14ac:dyDescent="0.25">
      <c r="A30" s="6" t="s">
        <v>234</v>
      </c>
      <c r="B30" s="6" t="s">
        <v>43</v>
      </c>
      <c r="C30" s="6">
        <v>22</v>
      </c>
      <c r="D30" s="6">
        <v>0</v>
      </c>
      <c r="E30" s="6" t="s">
        <v>235</v>
      </c>
      <c r="F30" s="6" t="s">
        <v>184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R30" s="6">
        <v>0</v>
      </c>
      <c r="S30" s="6">
        <v>0</v>
      </c>
      <c r="T30" s="6">
        <v>0</v>
      </c>
      <c r="U30" s="6">
        <v>0</v>
      </c>
      <c r="V30" s="6">
        <v>0</v>
      </c>
      <c r="W30" s="6">
        <v>0</v>
      </c>
      <c r="X30" s="6">
        <v>0</v>
      </c>
      <c r="Y30" s="6">
        <v>0</v>
      </c>
      <c r="Z30" s="6">
        <v>0</v>
      </c>
      <c r="AA30" s="6">
        <v>0</v>
      </c>
      <c r="AB30" s="6">
        <v>0</v>
      </c>
    </row>
    <row r="31" spans="1:28" x14ac:dyDescent="0.25">
      <c r="A31" s="5" t="s">
        <v>236</v>
      </c>
      <c r="B31" s="5" t="s">
        <v>43</v>
      </c>
      <c r="C31" s="5">
        <v>26</v>
      </c>
      <c r="D31" s="5">
        <v>4</v>
      </c>
      <c r="E31" s="5" t="s">
        <v>237</v>
      </c>
      <c r="F31" s="5" t="s">
        <v>184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</row>
    <row r="32" spans="1:28" x14ac:dyDescent="0.25">
      <c r="A32" s="6" t="s">
        <v>238</v>
      </c>
      <c r="B32" s="6" t="s">
        <v>43</v>
      </c>
      <c r="C32" s="6">
        <v>24</v>
      </c>
      <c r="D32" s="6">
        <v>0</v>
      </c>
      <c r="E32" s="6" t="s">
        <v>215</v>
      </c>
      <c r="F32" s="6" t="s">
        <v>184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U32" s="6">
        <v>0</v>
      </c>
      <c r="V32" s="6">
        <v>0</v>
      </c>
      <c r="W32" s="6">
        <v>0</v>
      </c>
      <c r="X32" s="6">
        <v>0</v>
      </c>
      <c r="Y32" s="6">
        <v>0</v>
      </c>
      <c r="Z32" s="6">
        <v>0</v>
      </c>
      <c r="AA32" s="6">
        <v>0</v>
      </c>
      <c r="AB32" s="6">
        <v>0</v>
      </c>
    </row>
    <row r="33" spans="1:28" x14ac:dyDescent="0.25">
      <c r="A33" s="5" t="s">
        <v>239</v>
      </c>
      <c r="B33" s="5" t="s">
        <v>43</v>
      </c>
      <c r="C33" s="5">
        <v>28</v>
      </c>
      <c r="D33" s="5">
        <v>5</v>
      </c>
      <c r="E33" s="5" t="s">
        <v>240</v>
      </c>
      <c r="F33" s="5" t="s">
        <v>184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</row>
    <row r="34" spans="1:28" x14ac:dyDescent="0.25">
      <c r="A34" s="5" t="s">
        <v>283</v>
      </c>
      <c r="B34" s="5" t="s">
        <v>43</v>
      </c>
      <c r="C34" s="5">
        <v>28</v>
      </c>
      <c r="D34" s="5">
        <v>3</v>
      </c>
      <c r="E34" s="5" t="s">
        <v>218</v>
      </c>
      <c r="F34" s="5" t="s">
        <v>250</v>
      </c>
      <c r="G34" s="5">
        <v>0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</row>
    <row r="35" spans="1:28" x14ac:dyDescent="0.25">
      <c r="A35" s="6" t="s">
        <v>284</v>
      </c>
      <c r="B35" s="6" t="s">
        <v>43</v>
      </c>
      <c r="C35" s="6">
        <v>24</v>
      </c>
      <c r="D35" s="6">
        <v>2</v>
      </c>
      <c r="E35" s="6" t="s">
        <v>285</v>
      </c>
      <c r="F35" s="6" t="s">
        <v>250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S35" s="6">
        <v>0</v>
      </c>
      <c r="T35" s="6">
        <v>0</v>
      </c>
      <c r="U35" s="6">
        <v>0</v>
      </c>
      <c r="V35" s="6">
        <v>0</v>
      </c>
      <c r="W35" s="6">
        <v>0</v>
      </c>
      <c r="X35" s="6">
        <v>0</v>
      </c>
      <c r="Y35" s="6">
        <v>0</v>
      </c>
      <c r="Z35" s="6">
        <v>0</v>
      </c>
      <c r="AA35" s="6">
        <v>0</v>
      </c>
      <c r="AB35" s="6">
        <v>0</v>
      </c>
    </row>
    <row r="36" spans="1:28" x14ac:dyDescent="0.25">
      <c r="A36" s="5" t="s">
        <v>286</v>
      </c>
      <c r="B36" s="5" t="s">
        <v>43</v>
      </c>
      <c r="C36" s="5">
        <v>24</v>
      </c>
      <c r="D36" s="5">
        <v>4</v>
      </c>
      <c r="E36" s="5" t="s">
        <v>282</v>
      </c>
      <c r="F36" s="5" t="s">
        <v>250</v>
      </c>
      <c r="G36" s="5">
        <v>0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Z36" s="5">
        <v>0</v>
      </c>
      <c r="AA36" s="5">
        <v>0</v>
      </c>
      <c r="AB36" s="5">
        <v>0</v>
      </c>
    </row>
    <row r="37" spans="1:28" x14ac:dyDescent="0.25">
      <c r="A37" s="6" t="s">
        <v>287</v>
      </c>
      <c r="B37" s="6" t="s">
        <v>43</v>
      </c>
      <c r="C37" s="6">
        <v>29</v>
      </c>
      <c r="D37" s="6">
        <v>9</v>
      </c>
      <c r="E37" s="6" t="s">
        <v>232</v>
      </c>
      <c r="F37" s="6" t="s">
        <v>250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R37" s="6">
        <v>0</v>
      </c>
      <c r="S37" s="6">
        <v>0</v>
      </c>
      <c r="T37" s="6">
        <v>0</v>
      </c>
      <c r="U37" s="6">
        <v>0</v>
      </c>
      <c r="V37" s="6">
        <v>0</v>
      </c>
      <c r="W37" s="6">
        <v>0</v>
      </c>
      <c r="X37" s="6">
        <v>0</v>
      </c>
      <c r="Y37" s="6">
        <v>0</v>
      </c>
      <c r="Z37" s="6">
        <v>0</v>
      </c>
      <c r="AA37" s="6">
        <v>0</v>
      </c>
      <c r="AB37" s="6">
        <v>0</v>
      </c>
    </row>
    <row r="38" spans="1:28" x14ac:dyDescent="0.25">
      <c r="A38" s="5" t="s">
        <v>288</v>
      </c>
      <c r="B38" s="5" t="s">
        <v>43</v>
      </c>
      <c r="C38" s="5">
        <v>25</v>
      </c>
      <c r="D38" s="5">
        <v>5</v>
      </c>
      <c r="E38" s="5" t="s">
        <v>289</v>
      </c>
      <c r="F38" s="5" t="s">
        <v>250</v>
      </c>
      <c r="G38" s="5">
        <v>0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</row>
    <row r="39" spans="1:28" x14ac:dyDescent="0.25">
      <c r="A39" s="6" t="s">
        <v>290</v>
      </c>
      <c r="B39" s="6" t="s">
        <v>43</v>
      </c>
      <c r="C39" s="6">
        <v>26</v>
      </c>
      <c r="D39" s="6">
        <v>5</v>
      </c>
      <c r="E39" s="6" t="s">
        <v>291</v>
      </c>
      <c r="F39" s="6" t="s">
        <v>250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R39" s="6">
        <v>0</v>
      </c>
      <c r="S39" s="6">
        <v>0</v>
      </c>
      <c r="T39" s="6">
        <v>0</v>
      </c>
      <c r="U39" s="6">
        <v>0</v>
      </c>
      <c r="V39" s="6">
        <v>0</v>
      </c>
      <c r="W39" s="6">
        <v>0</v>
      </c>
      <c r="X39" s="6">
        <v>0</v>
      </c>
      <c r="Y39" s="6">
        <v>0</v>
      </c>
      <c r="Z39" s="6">
        <v>0</v>
      </c>
      <c r="AA39" s="6">
        <v>0</v>
      </c>
      <c r="AB39" s="6">
        <v>0</v>
      </c>
    </row>
    <row r="40" spans="1:28" x14ac:dyDescent="0.25">
      <c r="A40" s="5" t="s">
        <v>292</v>
      </c>
      <c r="B40" s="5" t="s">
        <v>43</v>
      </c>
      <c r="C40" s="5">
        <v>26</v>
      </c>
      <c r="D40" s="5">
        <v>3</v>
      </c>
      <c r="E40" s="5" t="s">
        <v>280</v>
      </c>
      <c r="F40" s="5" t="s">
        <v>250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Z40" s="5">
        <v>0</v>
      </c>
      <c r="AA40" s="5">
        <v>0</v>
      </c>
      <c r="AB40" s="5">
        <v>0</v>
      </c>
    </row>
    <row r="41" spans="1:28" x14ac:dyDescent="0.25">
      <c r="A41" s="6" t="s">
        <v>293</v>
      </c>
      <c r="B41" s="6" t="s">
        <v>43</v>
      </c>
      <c r="C41" s="6">
        <v>25</v>
      </c>
      <c r="D41" s="6">
        <v>3</v>
      </c>
      <c r="E41" s="6" t="s">
        <v>294</v>
      </c>
      <c r="F41" s="6" t="s">
        <v>250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R41" s="6">
        <v>0</v>
      </c>
      <c r="S41" s="6">
        <v>0</v>
      </c>
      <c r="T41" s="6">
        <v>0</v>
      </c>
      <c r="U41" s="6">
        <v>0</v>
      </c>
      <c r="V41" s="6">
        <v>0</v>
      </c>
      <c r="W41" s="6">
        <v>0</v>
      </c>
      <c r="X41" s="6">
        <v>0</v>
      </c>
      <c r="Y41" s="6">
        <v>0</v>
      </c>
      <c r="Z41" s="6">
        <v>0</v>
      </c>
      <c r="AA41" s="6">
        <v>0</v>
      </c>
      <c r="AB41" s="6">
        <v>0</v>
      </c>
    </row>
    <row r="42" spans="1:28" x14ac:dyDescent="0.25">
      <c r="A42" s="5" t="s">
        <v>295</v>
      </c>
      <c r="B42" s="5" t="s">
        <v>43</v>
      </c>
      <c r="C42" s="5">
        <v>23</v>
      </c>
      <c r="D42" s="5">
        <v>2</v>
      </c>
      <c r="E42" s="5" t="s">
        <v>296</v>
      </c>
      <c r="F42" s="5" t="s">
        <v>250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Z42" s="5">
        <v>0</v>
      </c>
      <c r="AA42" s="5">
        <v>0</v>
      </c>
      <c r="AB42" s="5">
        <v>0</v>
      </c>
    </row>
    <row r="43" spans="1:28" x14ac:dyDescent="0.25">
      <c r="A43" s="6" t="s">
        <v>297</v>
      </c>
      <c r="B43" s="6" t="s">
        <v>43</v>
      </c>
      <c r="C43" s="6">
        <v>23</v>
      </c>
      <c r="D43" s="6">
        <v>0</v>
      </c>
      <c r="E43" s="6" t="s">
        <v>298</v>
      </c>
      <c r="F43" s="6" t="s">
        <v>250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R43" s="6">
        <v>0</v>
      </c>
      <c r="S43" s="6">
        <v>0</v>
      </c>
      <c r="T43" s="6">
        <v>0</v>
      </c>
      <c r="U43" s="6">
        <v>0</v>
      </c>
      <c r="V43" s="6">
        <v>0</v>
      </c>
      <c r="W43" s="6">
        <v>0</v>
      </c>
      <c r="X43" s="6">
        <v>0</v>
      </c>
      <c r="Y43" s="6">
        <v>0</v>
      </c>
      <c r="Z43" s="6">
        <v>0</v>
      </c>
      <c r="AA43" s="6">
        <v>0</v>
      </c>
      <c r="AB43" s="6">
        <v>0</v>
      </c>
    </row>
    <row r="44" spans="1:28" x14ac:dyDescent="0.25">
      <c r="A44" s="5" t="s">
        <v>299</v>
      </c>
      <c r="B44" s="5" t="s">
        <v>43</v>
      </c>
      <c r="C44" s="5">
        <v>27</v>
      </c>
      <c r="D44" s="5">
        <v>6</v>
      </c>
      <c r="E44" s="5" t="s">
        <v>300</v>
      </c>
      <c r="F44" s="5" t="s">
        <v>250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Z44" s="5">
        <v>0</v>
      </c>
      <c r="AA44" s="5">
        <v>0</v>
      </c>
      <c r="AB44" s="5">
        <v>0</v>
      </c>
    </row>
    <row r="45" spans="1:28" x14ac:dyDescent="0.25">
      <c r="A45" s="6" t="s">
        <v>301</v>
      </c>
      <c r="B45" s="6" t="s">
        <v>43</v>
      </c>
      <c r="C45" s="6">
        <v>23</v>
      </c>
      <c r="D45" s="6">
        <v>0</v>
      </c>
      <c r="E45" s="6" t="s">
        <v>178</v>
      </c>
      <c r="F45" s="6" t="s">
        <v>250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R45" s="6">
        <v>0</v>
      </c>
      <c r="S45" s="6">
        <v>0</v>
      </c>
      <c r="T45" s="6">
        <v>0</v>
      </c>
      <c r="U45" s="6">
        <v>0</v>
      </c>
      <c r="V45" s="6">
        <v>0</v>
      </c>
      <c r="W45" s="6">
        <v>0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</row>
    <row r="46" spans="1:28" x14ac:dyDescent="0.25">
      <c r="A46" s="5" t="s">
        <v>340</v>
      </c>
      <c r="B46" s="5" t="s">
        <v>43</v>
      </c>
      <c r="C46" s="5">
        <v>30</v>
      </c>
      <c r="D46" s="5">
        <v>7</v>
      </c>
      <c r="E46" s="5" t="s">
        <v>341</v>
      </c>
      <c r="F46" s="5" t="s">
        <v>311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>
        <v>0</v>
      </c>
      <c r="AA46" s="5">
        <v>0</v>
      </c>
      <c r="AB46" s="5">
        <v>0</v>
      </c>
    </row>
    <row r="47" spans="1:28" x14ac:dyDescent="0.25">
      <c r="A47" s="6" t="s">
        <v>342</v>
      </c>
      <c r="B47" s="6" t="s">
        <v>43</v>
      </c>
      <c r="C47" s="6">
        <v>26</v>
      </c>
      <c r="D47" s="6">
        <v>6</v>
      </c>
      <c r="E47" s="6" t="s">
        <v>227</v>
      </c>
      <c r="F47" s="6" t="s">
        <v>311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R47" s="6">
        <v>0</v>
      </c>
      <c r="S47" s="6">
        <v>0</v>
      </c>
      <c r="T47" s="6">
        <v>0</v>
      </c>
      <c r="U47" s="6">
        <v>0</v>
      </c>
      <c r="V47" s="6">
        <v>0</v>
      </c>
      <c r="W47" s="6">
        <v>0</v>
      </c>
      <c r="X47" s="6">
        <v>0</v>
      </c>
      <c r="Y47" s="6">
        <v>0</v>
      </c>
      <c r="Z47" s="6">
        <v>0</v>
      </c>
      <c r="AA47" s="6">
        <v>0</v>
      </c>
      <c r="AB47" s="6">
        <v>0</v>
      </c>
    </row>
    <row r="48" spans="1:28" x14ac:dyDescent="0.25">
      <c r="A48" s="5" t="s">
        <v>343</v>
      </c>
      <c r="B48" s="5" t="s">
        <v>43</v>
      </c>
      <c r="C48" s="5">
        <v>26</v>
      </c>
      <c r="D48" s="5">
        <v>2</v>
      </c>
      <c r="E48" s="5" t="s">
        <v>344</v>
      </c>
      <c r="F48" s="5" t="s">
        <v>311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Z48" s="5">
        <v>0</v>
      </c>
      <c r="AA48" s="5">
        <v>0</v>
      </c>
      <c r="AB48" s="5">
        <v>0</v>
      </c>
    </row>
    <row r="49" spans="1:28" x14ac:dyDescent="0.25">
      <c r="A49" s="6" t="s">
        <v>345</v>
      </c>
      <c r="B49" s="6" t="s">
        <v>43</v>
      </c>
      <c r="C49" s="6">
        <v>23</v>
      </c>
      <c r="D49" s="6">
        <v>3</v>
      </c>
      <c r="E49" s="6" t="s">
        <v>227</v>
      </c>
      <c r="F49" s="6" t="s">
        <v>311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R49" s="6">
        <v>0</v>
      </c>
      <c r="S49" s="6">
        <v>0</v>
      </c>
      <c r="T49" s="6">
        <v>0</v>
      </c>
      <c r="U49" s="6">
        <v>0</v>
      </c>
      <c r="V49" s="6">
        <v>0</v>
      </c>
      <c r="W49" s="6">
        <v>0</v>
      </c>
      <c r="X49" s="6">
        <v>0</v>
      </c>
      <c r="Y49" s="6">
        <v>0</v>
      </c>
      <c r="Z49" s="6">
        <v>0</v>
      </c>
      <c r="AA49" s="6">
        <v>0</v>
      </c>
      <c r="AB49" s="6">
        <v>0</v>
      </c>
    </row>
    <row r="50" spans="1:28" x14ac:dyDescent="0.25">
      <c r="A50" s="5" t="s">
        <v>346</v>
      </c>
      <c r="B50" s="5" t="s">
        <v>43</v>
      </c>
      <c r="C50" s="5">
        <v>22</v>
      </c>
      <c r="D50" s="5">
        <v>0</v>
      </c>
      <c r="E50" s="5" t="s">
        <v>240</v>
      </c>
      <c r="F50" s="5" t="s">
        <v>311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0</v>
      </c>
    </row>
    <row r="51" spans="1:28" x14ac:dyDescent="0.25">
      <c r="A51" s="6" t="s">
        <v>347</v>
      </c>
      <c r="B51" s="6" t="s">
        <v>43</v>
      </c>
      <c r="C51" s="6">
        <v>26</v>
      </c>
      <c r="D51" s="6">
        <v>1</v>
      </c>
      <c r="E51" s="6" t="s">
        <v>213</v>
      </c>
      <c r="F51" s="6" t="s">
        <v>311</v>
      </c>
      <c r="G51" s="6">
        <v>0</v>
      </c>
      <c r="H51" s="6">
        <v>0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R51" s="6">
        <v>0</v>
      </c>
      <c r="S51" s="6">
        <v>0</v>
      </c>
      <c r="T51" s="6">
        <v>0</v>
      </c>
      <c r="U51" s="6">
        <v>0</v>
      </c>
      <c r="V51" s="6">
        <v>0</v>
      </c>
      <c r="W51" s="6">
        <v>0</v>
      </c>
      <c r="X51" s="6">
        <v>0</v>
      </c>
      <c r="Y51" s="6">
        <v>0</v>
      </c>
      <c r="Z51" s="6">
        <v>0</v>
      </c>
      <c r="AA51" s="6">
        <v>0</v>
      </c>
      <c r="AB51" s="6">
        <v>0</v>
      </c>
    </row>
    <row r="52" spans="1:28" x14ac:dyDescent="0.25">
      <c r="A52" s="5" t="s">
        <v>348</v>
      </c>
      <c r="B52" s="5" t="s">
        <v>43</v>
      </c>
      <c r="C52" s="5">
        <v>24</v>
      </c>
      <c r="D52" s="5">
        <v>4</v>
      </c>
      <c r="E52" s="5" t="s">
        <v>84</v>
      </c>
      <c r="F52" s="5" t="s">
        <v>311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</row>
    <row r="53" spans="1:28" x14ac:dyDescent="0.25">
      <c r="A53" s="6" t="s">
        <v>349</v>
      </c>
      <c r="B53" s="6" t="s">
        <v>43</v>
      </c>
      <c r="C53" s="6">
        <v>24</v>
      </c>
      <c r="D53" s="6">
        <v>3</v>
      </c>
      <c r="E53" s="6" t="s">
        <v>341</v>
      </c>
      <c r="F53" s="6" t="s">
        <v>311</v>
      </c>
      <c r="G53" s="6">
        <v>0</v>
      </c>
      <c r="H53" s="6">
        <v>0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R53" s="6">
        <v>0</v>
      </c>
      <c r="S53" s="6">
        <v>0</v>
      </c>
      <c r="T53" s="6">
        <v>0</v>
      </c>
      <c r="U53" s="6">
        <v>0</v>
      </c>
      <c r="V53" s="6">
        <v>0</v>
      </c>
      <c r="W53" s="6">
        <v>0</v>
      </c>
      <c r="X53" s="6">
        <v>0</v>
      </c>
      <c r="Y53" s="6">
        <v>0</v>
      </c>
      <c r="Z53" s="6">
        <v>0</v>
      </c>
      <c r="AA53" s="6">
        <v>0</v>
      </c>
      <c r="AB53" s="6">
        <v>0</v>
      </c>
    </row>
    <row r="54" spans="1:28" x14ac:dyDescent="0.25">
      <c r="A54" s="5" t="s">
        <v>350</v>
      </c>
      <c r="B54" s="5" t="s">
        <v>43</v>
      </c>
      <c r="C54" s="5">
        <v>32</v>
      </c>
      <c r="D54" s="5">
        <v>10</v>
      </c>
      <c r="E54" s="5" t="s">
        <v>351</v>
      </c>
      <c r="F54" s="5" t="s">
        <v>311</v>
      </c>
      <c r="G54" s="5">
        <v>0</v>
      </c>
      <c r="H54" s="5">
        <v>0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Z54" s="5">
        <v>0</v>
      </c>
      <c r="AA54" s="5">
        <v>0</v>
      </c>
      <c r="AB54" s="5">
        <v>0</v>
      </c>
    </row>
    <row r="55" spans="1:28" x14ac:dyDescent="0.25">
      <c r="A55" s="6" t="s">
        <v>352</v>
      </c>
      <c r="B55" s="6" t="s">
        <v>43</v>
      </c>
      <c r="C55" s="6">
        <v>23</v>
      </c>
      <c r="D55" s="6">
        <v>0</v>
      </c>
      <c r="E55" s="6" t="s">
        <v>341</v>
      </c>
      <c r="F55" s="6" t="s">
        <v>311</v>
      </c>
      <c r="G55" s="6">
        <v>0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R55" s="6">
        <v>0</v>
      </c>
      <c r="S55" s="6">
        <v>0</v>
      </c>
      <c r="T55" s="6">
        <v>0</v>
      </c>
      <c r="U55" s="6">
        <v>0</v>
      </c>
      <c r="V55" s="6">
        <v>0</v>
      </c>
      <c r="W55" s="6">
        <v>0</v>
      </c>
      <c r="X55" s="6">
        <v>0</v>
      </c>
      <c r="Y55" s="6">
        <v>0</v>
      </c>
      <c r="Z55" s="6">
        <v>0</v>
      </c>
      <c r="AA55" s="6">
        <v>0</v>
      </c>
      <c r="AB55" s="6">
        <v>0</v>
      </c>
    </row>
    <row r="56" spans="1:28" x14ac:dyDescent="0.25">
      <c r="A56" s="5" t="s">
        <v>353</v>
      </c>
      <c r="B56" s="5" t="s">
        <v>43</v>
      </c>
      <c r="C56" s="5">
        <v>28</v>
      </c>
      <c r="D56" s="5">
        <v>4</v>
      </c>
      <c r="E56" s="5" t="s">
        <v>173</v>
      </c>
      <c r="F56" s="5" t="s">
        <v>311</v>
      </c>
      <c r="G56" s="5">
        <v>0</v>
      </c>
      <c r="H56" s="5">
        <v>0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Z56" s="5">
        <v>0</v>
      </c>
      <c r="AA56" s="5">
        <v>0</v>
      </c>
      <c r="AB56" s="5">
        <v>0</v>
      </c>
    </row>
    <row r="57" spans="1:28" x14ac:dyDescent="0.25">
      <c r="A57" s="5" t="s">
        <v>399</v>
      </c>
      <c r="B57" s="5" t="s">
        <v>43</v>
      </c>
      <c r="C57" s="5">
        <v>25</v>
      </c>
      <c r="D57" s="5">
        <v>4</v>
      </c>
      <c r="E57" s="5" t="s">
        <v>362</v>
      </c>
      <c r="F57" s="5" t="s">
        <v>364</v>
      </c>
      <c r="G57" s="5">
        <v>0</v>
      </c>
      <c r="H57" s="5">
        <v>0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Z57" s="5">
        <v>0</v>
      </c>
      <c r="AA57" s="5">
        <v>0</v>
      </c>
      <c r="AB57" s="5">
        <v>0</v>
      </c>
    </row>
    <row r="58" spans="1:28" x14ac:dyDescent="0.25">
      <c r="A58" s="6" t="s">
        <v>400</v>
      </c>
      <c r="B58" s="6" t="s">
        <v>43</v>
      </c>
      <c r="C58" s="6">
        <v>27</v>
      </c>
      <c r="D58" s="6">
        <v>5</v>
      </c>
      <c r="E58" s="6" t="s">
        <v>333</v>
      </c>
      <c r="F58" s="6" t="s">
        <v>364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R58" s="6">
        <v>0</v>
      </c>
      <c r="S58" s="6">
        <v>0</v>
      </c>
      <c r="T58" s="6">
        <v>0</v>
      </c>
      <c r="U58" s="6">
        <v>0</v>
      </c>
      <c r="V58" s="6">
        <v>0</v>
      </c>
      <c r="W58" s="6">
        <v>0</v>
      </c>
      <c r="X58" s="6">
        <v>0</v>
      </c>
      <c r="Y58" s="6">
        <v>0</v>
      </c>
      <c r="Z58" s="6">
        <v>0</v>
      </c>
      <c r="AA58" s="6">
        <v>0</v>
      </c>
      <c r="AB58" s="6">
        <v>0</v>
      </c>
    </row>
    <row r="59" spans="1:28" x14ac:dyDescent="0.25">
      <c r="A59" s="5" t="s">
        <v>401</v>
      </c>
      <c r="B59" s="5" t="s">
        <v>43</v>
      </c>
      <c r="C59" s="5">
        <v>27</v>
      </c>
      <c r="D59" s="5">
        <v>4</v>
      </c>
      <c r="E59" s="5" t="s">
        <v>402</v>
      </c>
      <c r="F59" s="5" t="s">
        <v>364</v>
      </c>
      <c r="G59" s="5">
        <v>0</v>
      </c>
      <c r="H59" s="5">
        <v>0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</row>
    <row r="60" spans="1:28" x14ac:dyDescent="0.25">
      <c r="A60" s="6" t="s">
        <v>403</v>
      </c>
      <c r="B60" s="6" t="s">
        <v>43</v>
      </c>
      <c r="C60" s="6">
        <v>26</v>
      </c>
      <c r="D60" s="6">
        <v>2</v>
      </c>
      <c r="E60" s="6" t="s">
        <v>143</v>
      </c>
      <c r="F60" s="6" t="s">
        <v>364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  <c r="S60" s="6">
        <v>0</v>
      </c>
      <c r="T60" s="6">
        <v>0</v>
      </c>
      <c r="U60" s="6">
        <v>0</v>
      </c>
      <c r="V60" s="6">
        <v>0</v>
      </c>
      <c r="W60" s="6">
        <v>0</v>
      </c>
      <c r="X60" s="6">
        <v>0</v>
      </c>
      <c r="Y60" s="6">
        <v>0</v>
      </c>
      <c r="Z60" s="6">
        <v>0</v>
      </c>
      <c r="AA60" s="6">
        <v>0</v>
      </c>
      <c r="AB60" s="6">
        <v>0</v>
      </c>
    </row>
    <row r="61" spans="1:28" x14ac:dyDescent="0.25">
      <c r="A61" s="5" t="s">
        <v>404</v>
      </c>
      <c r="B61" s="5" t="s">
        <v>43</v>
      </c>
      <c r="C61" s="5">
        <v>25</v>
      </c>
      <c r="D61" s="5">
        <v>4</v>
      </c>
      <c r="E61" s="5" t="s">
        <v>405</v>
      </c>
      <c r="F61" s="5" t="s">
        <v>364</v>
      </c>
      <c r="G61" s="5">
        <v>0</v>
      </c>
      <c r="H61" s="5">
        <v>0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</row>
    <row r="62" spans="1:28" x14ac:dyDescent="0.25">
      <c r="A62" s="6" t="s">
        <v>406</v>
      </c>
      <c r="B62" s="6" t="s">
        <v>43</v>
      </c>
      <c r="C62" s="6">
        <v>26</v>
      </c>
      <c r="D62" s="6">
        <v>6</v>
      </c>
      <c r="E62" s="6" t="s">
        <v>232</v>
      </c>
      <c r="F62" s="6" t="s">
        <v>364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R62" s="6">
        <v>0</v>
      </c>
      <c r="S62" s="6">
        <v>0</v>
      </c>
      <c r="T62" s="6">
        <v>0</v>
      </c>
      <c r="U62" s="6">
        <v>0</v>
      </c>
      <c r="V62" s="6">
        <v>0</v>
      </c>
      <c r="W62" s="6">
        <v>0</v>
      </c>
      <c r="X62" s="6">
        <v>0</v>
      </c>
      <c r="Y62" s="6">
        <v>0</v>
      </c>
      <c r="Z62" s="6">
        <v>0</v>
      </c>
      <c r="AA62" s="6">
        <v>0</v>
      </c>
      <c r="AB62" s="6">
        <v>0</v>
      </c>
    </row>
    <row r="63" spans="1:28" x14ac:dyDescent="0.25">
      <c r="A63" s="5" t="s">
        <v>407</v>
      </c>
      <c r="B63" s="5" t="s">
        <v>43</v>
      </c>
      <c r="C63" s="5">
        <v>27</v>
      </c>
      <c r="D63" s="5">
        <v>6</v>
      </c>
      <c r="E63" s="5" t="s">
        <v>86</v>
      </c>
      <c r="F63" s="5" t="s">
        <v>364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</row>
    <row r="64" spans="1:28" x14ac:dyDescent="0.25">
      <c r="A64" s="6" t="s">
        <v>408</v>
      </c>
      <c r="B64" s="6" t="s">
        <v>43</v>
      </c>
      <c r="C64" s="6">
        <v>25</v>
      </c>
      <c r="D64" s="6">
        <v>2</v>
      </c>
      <c r="E64" s="6" t="s">
        <v>409</v>
      </c>
      <c r="F64" s="6" t="s">
        <v>364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R64" s="6">
        <v>0</v>
      </c>
      <c r="S64" s="6">
        <v>0</v>
      </c>
      <c r="T64" s="6">
        <v>0</v>
      </c>
      <c r="U64" s="6">
        <v>0</v>
      </c>
      <c r="V64" s="6">
        <v>0</v>
      </c>
      <c r="W64" s="6">
        <v>0</v>
      </c>
      <c r="X64" s="6">
        <v>0</v>
      </c>
      <c r="Y64" s="6">
        <v>0</v>
      </c>
      <c r="Z64" s="6">
        <v>0</v>
      </c>
      <c r="AA64" s="6">
        <v>0</v>
      </c>
      <c r="AB64" s="6">
        <v>0</v>
      </c>
    </row>
    <row r="65" spans="1:28" x14ac:dyDescent="0.25">
      <c r="A65" s="5" t="s">
        <v>410</v>
      </c>
      <c r="B65" s="5" t="s">
        <v>43</v>
      </c>
      <c r="C65" s="5">
        <v>21</v>
      </c>
      <c r="D65" s="5">
        <v>0</v>
      </c>
      <c r="E65" s="5" t="s">
        <v>136</v>
      </c>
      <c r="F65" s="5" t="s">
        <v>364</v>
      </c>
      <c r="G65" s="5">
        <v>0</v>
      </c>
      <c r="H65" s="5">
        <v>0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Z65" s="5">
        <v>0</v>
      </c>
      <c r="AA65" s="5">
        <v>0</v>
      </c>
      <c r="AB65" s="5">
        <v>0</v>
      </c>
    </row>
    <row r="66" spans="1:28" x14ac:dyDescent="0.25">
      <c r="A66" s="6" t="s">
        <v>411</v>
      </c>
      <c r="B66" s="6" t="s">
        <v>43</v>
      </c>
      <c r="C66" s="6">
        <v>26</v>
      </c>
      <c r="D66" s="6">
        <v>6</v>
      </c>
      <c r="E66" s="6" t="s">
        <v>362</v>
      </c>
      <c r="F66" s="6" t="s">
        <v>364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R66" s="6">
        <v>0</v>
      </c>
      <c r="S66" s="6">
        <v>0</v>
      </c>
      <c r="T66" s="6">
        <v>0</v>
      </c>
      <c r="U66" s="6">
        <v>0</v>
      </c>
      <c r="V66" s="6">
        <v>0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</row>
    <row r="67" spans="1:28" x14ac:dyDescent="0.25">
      <c r="A67" s="5" t="s">
        <v>453</v>
      </c>
      <c r="B67" s="5" t="s">
        <v>43</v>
      </c>
      <c r="C67" s="5">
        <v>29</v>
      </c>
      <c r="D67" s="5">
        <v>8</v>
      </c>
      <c r="E67" s="5" t="s">
        <v>74</v>
      </c>
      <c r="F67" s="5" t="s">
        <v>425</v>
      </c>
      <c r="G67" s="5">
        <v>0</v>
      </c>
      <c r="H67" s="5">
        <v>0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Z67" s="5">
        <v>0</v>
      </c>
      <c r="AA67" s="5">
        <v>0</v>
      </c>
      <c r="AB67" s="5">
        <v>0</v>
      </c>
    </row>
    <row r="68" spans="1:28" x14ac:dyDescent="0.25">
      <c r="A68" s="6" t="s">
        <v>454</v>
      </c>
      <c r="B68" s="6" t="s">
        <v>43</v>
      </c>
      <c r="C68" s="6">
        <v>23</v>
      </c>
      <c r="D68" s="6">
        <v>0</v>
      </c>
      <c r="E68" s="6" t="s">
        <v>455</v>
      </c>
      <c r="F68" s="6" t="s">
        <v>425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R68" s="6">
        <v>0</v>
      </c>
      <c r="S68" s="6">
        <v>0</v>
      </c>
      <c r="T68" s="6">
        <v>0</v>
      </c>
      <c r="U68" s="6">
        <v>0</v>
      </c>
      <c r="V68" s="6">
        <v>0</v>
      </c>
      <c r="W68" s="6">
        <v>0</v>
      </c>
      <c r="X68" s="6">
        <v>0</v>
      </c>
      <c r="Y68" s="6">
        <v>0</v>
      </c>
      <c r="Z68" s="6">
        <v>0</v>
      </c>
      <c r="AA68" s="6">
        <v>0</v>
      </c>
      <c r="AB68" s="6">
        <v>0</v>
      </c>
    </row>
    <row r="69" spans="1:28" x14ac:dyDescent="0.25">
      <c r="A69" s="5" t="s">
        <v>456</v>
      </c>
      <c r="B69" s="5" t="s">
        <v>43</v>
      </c>
      <c r="C69" s="5">
        <v>23</v>
      </c>
      <c r="D69" s="5">
        <v>3</v>
      </c>
      <c r="E69" s="5" t="s">
        <v>227</v>
      </c>
      <c r="F69" s="5" t="s">
        <v>425</v>
      </c>
      <c r="G69" s="5">
        <v>0</v>
      </c>
      <c r="H69" s="5">
        <v>0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Z69" s="5">
        <v>0</v>
      </c>
      <c r="AA69" s="5">
        <v>0</v>
      </c>
      <c r="AB69" s="5">
        <v>0</v>
      </c>
    </row>
    <row r="70" spans="1:28" x14ac:dyDescent="0.25">
      <c r="A70" s="6" t="s">
        <v>457</v>
      </c>
      <c r="B70" s="6" t="s">
        <v>43</v>
      </c>
      <c r="C70" s="6">
        <v>24</v>
      </c>
      <c r="D70" s="6">
        <v>4</v>
      </c>
      <c r="E70" s="6" t="s">
        <v>458</v>
      </c>
      <c r="F70" s="6" t="s">
        <v>425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U70" s="6">
        <v>0</v>
      </c>
      <c r="V70" s="6">
        <v>0</v>
      </c>
      <c r="W70" s="6">
        <v>0</v>
      </c>
      <c r="X70" s="6">
        <v>0</v>
      </c>
      <c r="Y70" s="6">
        <v>0</v>
      </c>
      <c r="Z70" s="6">
        <v>0</v>
      </c>
      <c r="AA70" s="6">
        <v>0</v>
      </c>
      <c r="AB70" s="6">
        <v>0</v>
      </c>
    </row>
    <row r="71" spans="1:28" x14ac:dyDescent="0.25">
      <c r="A71" s="5" t="s">
        <v>459</v>
      </c>
      <c r="B71" s="5" t="s">
        <v>43</v>
      </c>
      <c r="C71" s="5">
        <v>24</v>
      </c>
      <c r="D71" s="5">
        <v>0</v>
      </c>
      <c r="E71" s="5" t="s">
        <v>460</v>
      </c>
      <c r="F71" s="5" t="s">
        <v>425</v>
      </c>
      <c r="G71" s="5">
        <v>0</v>
      </c>
      <c r="H71" s="5">
        <v>0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Z71" s="5">
        <v>0</v>
      </c>
      <c r="AA71" s="5">
        <v>0</v>
      </c>
      <c r="AB71" s="5">
        <v>0</v>
      </c>
    </row>
    <row r="72" spans="1:28" x14ac:dyDescent="0.25">
      <c r="A72" s="6" t="s">
        <v>461</v>
      </c>
      <c r="B72" s="6" t="s">
        <v>43</v>
      </c>
      <c r="C72" s="6">
        <v>23</v>
      </c>
      <c r="D72" s="6">
        <v>0</v>
      </c>
      <c r="E72" s="6" t="s">
        <v>415</v>
      </c>
      <c r="F72" s="6" t="s">
        <v>425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S72" s="6">
        <v>0</v>
      </c>
      <c r="T72" s="6">
        <v>0</v>
      </c>
      <c r="U72" s="6">
        <v>0</v>
      </c>
      <c r="V72" s="6">
        <v>0</v>
      </c>
      <c r="W72" s="6">
        <v>0</v>
      </c>
      <c r="X72" s="6">
        <v>0</v>
      </c>
      <c r="Y72" s="6">
        <v>0</v>
      </c>
      <c r="Z72" s="6">
        <v>0</v>
      </c>
      <c r="AA72" s="6">
        <v>0</v>
      </c>
      <c r="AB72" s="6">
        <v>0</v>
      </c>
    </row>
    <row r="73" spans="1:28" x14ac:dyDescent="0.25">
      <c r="A73" s="5" t="s">
        <v>462</v>
      </c>
      <c r="B73" s="5" t="s">
        <v>43</v>
      </c>
      <c r="C73" s="5">
        <v>27</v>
      </c>
      <c r="D73" s="5">
        <v>3</v>
      </c>
      <c r="E73" s="5" t="s">
        <v>102</v>
      </c>
      <c r="F73" s="5" t="s">
        <v>425</v>
      </c>
      <c r="G73" s="5">
        <v>0</v>
      </c>
      <c r="H73" s="5">
        <v>0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Z73" s="5">
        <v>0</v>
      </c>
      <c r="AA73" s="5">
        <v>0</v>
      </c>
      <c r="AB73" s="5">
        <v>0</v>
      </c>
    </row>
    <row r="74" spans="1:28" x14ac:dyDescent="0.25">
      <c r="A74" s="6" t="s">
        <v>463</v>
      </c>
      <c r="B74" s="6" t="s">
        <v>43</v>
      </c>
      <c r="C74" s="6">
        <v>23</v>
      </c>
      <c r="D74" s="6">
        <v>0</v>
      </c>
      <c r="E74" s="6" t="s">
        <v>464</v>
      </c>
      <c r="F74" s="6" t="s">
        <v>425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S74" s="6">
        <v>0</v>
      </c>
      <c r="T74" s="6">
        <v>0</v>
      </c>
      <c r="U74" s="6">
        <v>0</v>
      </c>
      <c r="V74" s="6">
        <v>0</v>
      </c>
      <c r="W74" s="6">
        <v>0</v>
      </c>
      <c r="X74" s="6">
        <v>0</v>
      </c>
      <c r="Y74" s="6">
        <v>0</v>
      </c>
      <c r="Z74" s="6">
        <v>0</v>
      </c>
      <c r="AA74" s="6">
        <v>0</v>
      </c>
      <c r="AB74" s="6">
        <v>0</v>
      </c>
    </row>
    <row r="75" spans="1:28" x14ac:dyDescent="0.25">
      <c r="A75" s="5" t="s">
        <v>465</v>
      </c>
      <c r="B75" s="5" t="s">
        <v>43</v>
      </c>
      <c r="C75" s="5">
        <v>24</v>
      </c>
      <c r="D75" s="5">
        <v>0</v>
      </c>
      <c r="E75" s="5" t="s">
        <v>62</v>
      </c>
      <c r="F75" s="5" t="s">
        <v>425</v>
      </c>
      <c r="G75" s="5">
        <v>0</v>
      </c>
      <c r="H75" s="5">
        <v>0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 s="5">
        <v>0</v>
      </c>
      <c r="O75" s="5">
        <v>0</v>
      </c>
      <c r="P75" s="5">
        <v>0</v>
      </c>
      <c r="Q75" s="5">
        <v>0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Z75" s="5">
        <v>0</v>
      </c>
      <c r="AA75" s="5">
        <v>0</v>
      </c>
      <c r="AB75" s="5">
        <v>0</v>
      </c>
    </row>
    <row r="76" spans="1:28" x14ac:dyDescent="0.25">
      <c r="A76" s="6" t="s">
        <v>466</v>
      </c>
      <c r="B76" s="6" t="s">
        <v>43</v>
      </c>
      <c r="C76" s="6">
        <v>25</v>
      </c>
      <c r="D76" s="6">
        <v>1</v>
      </c>
      <c r="E76" s="6" t="s">
        <v>467</v>
      </c>
      <c r="F76" s="6" t="s">
        <v>425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R76" s="6">
        <v>0</v>
      </c>
      <c r="S76" s="6">
        <v>0</v>
      </c>
      <c r="T76" s="6">
        <v>0</v>
      </c>
      <c r="U76" s="6">
        <v>0</v>
      </c>
      <c r="V76" s="6">
        <v>0</v>
      </c>
      <c r="W76" s="6">
        <v>0</v>
      </c>
      <c r="X76" s="6">
        <v>0</v>
      </c>
      <c r="Y76" s="6">
        <v>0</v>
      </c>
      <c r="Z76" s="6">
        <v>0</v>
      </c>
      <c r="AA76" s="6">
        <v>0</v>
      </c>
      <c r="AB76" s="6">
        <v>0</v>
      </c>
    </row>
    <row r="77" spans="1:28" x14ac:dyDescent="0.25">
      <c r="A77" s="5" t="s">
        <v>468</v>
      </c>
      <c r="B77" s="5" t="s">
        <v>43</v>
      </c>
      <c r="C77" s="5">
        <v>26</v>
      </c>
      <c r="D77" s="5">
        <v>5</v>
      </c>
      <c r="E77" s="5" t="s">
        <v>248</v>
      </c>
      <c r="F77" s="5" t="s">
        <v>425</v>
      </c>
      <c r="G77" s="5">
        <v>0</v>
      </c>
      <c r="H77" s="5">
        <v>0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 s="5">
        <v>0</v>
      </c>
      <c r="O77" s="5">
        <v>0</v>
      </c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0</v>
      </c>
      <c r="Z77" s="5">
        <v>0</v>
      </c>
      <c r="AA77" s="5">
        <v>0</v>
      </c>
      <c r="AB77" s="5">
        <v>0</v>
      </c>
    </row>
    <row r="78" spans="1:28" x14ac:dyDescent="0.25">
      <c r="A78" s="5" t="s">
        <v>505</v>
      </c>
      <c r="B78" s="5" t="s">
        <v>43</v>
      </c>
      <c r="C78" s="5">
        <v>22</v>
      </c>
      <c r="D78" s="5">
        <v>2</v>
      </c>
      <c r="E78" s="5" t="s">
        <v>62</v>
      </c>
      <c r="F78" s="5" t="s">
        <v>479</v>
      </c>
      <c r="G78" s="5">
        <v>0</v>
      </c>
      <c r="H78" s="5">
        <v>0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 s="5">
        <v>0</v>
      </c>
      <c r="O78" s="5">
        <v>0</v>
      </c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0</v>
      </c>
      <c r="Z78" s="5">
        <v>0</v>
      </c>
      <c r="AA78" s="5">
        <v>0</v>
      </c>
      <c r="AB78" s="5">
        <v>0</v>
      </c>
    </row>
    <row r="79" spans="1:28" x14ac:dyDescent="0.25">
      <c r="A79" s="6" t="s">
        <v>506</v>
      </c>
      <c r="B79" s="6" t="s">
        <v>43</v>
      </c>
      <c r="C79" s="6">
        <v>29</v>
      </c>
      <c r="D79" s="6">
        <v>9</v>
      </c>
      <c r="E79" s="6" t="s">
        <v>153</v>
      </c>
      <c r="F79" s="6" t="s">
        <v>479</v>
      </c>
      <c r="G79" s="6">
        <v>0</v>
      </c>
      <c r="H79" s="6">
        <v>0</v>
      </c>
      <c r="I79" s="6">
        <v>0</v>
      </c>
      <c r="J79" s="6">
        <v>0</v>
      </c>
      <c r="K79" s="6">
        <v>0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R79" s="6">
        <v>0</v>
      </c>
      <c r="S79" s="6">
        <v>0</v>
      </c>
      <c r="T79" s="6">
        <v>0</v>
      </c>
      <c r="U79" s="6">
        <v>0</v>
      </c>
      <c r="V79" s="6">
        <v>0</v>
      </c>
      <c r="W79" s="6">
        <v>0</v>
      </c>
      <c r="X79" s="6">
        <v>0</v>
      </c>
      <c r="Y79" s="6">
        <v>0</v>
      </c>
      <c r="Z79" s="6">
        <v>0</v>
      </c>
      <c r="AA79" s="6">
        <v>0</v>
      </c>
      <c r="AB79" s="6">
        <v>0</v>
      </c>
    </row>
    <row r="80" spans="1:28" x14ac:dyDescent="0.25">
      <c r="A80" s="5" t="s">
        <v>507</v>
      </c>
      <c r="B80" s="5" t="s">
        <v>43</v>
      </c>
      <c r="C80" s="5">
        <v>24</v>
      </c>
      <c r="D80" s="5">
        <v>3</v>
      </c>
      <c r="E80" s="5" t="s">
        <v>508</v>
      </c>
      <c r="F80" s="5" t="s">
        <v>479</v>
      </c>
      <c r="G80" s="5">
        <v>0</v>
      </c>
      <c r="H80" s="5">
        <v>0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 s="5">
        <v>0</v>
      </c>
      <c r="O80" s="5">
        <v>0</v>
      </c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0</v>
      </c>
      <c r="Z80" s="5">
        <v>0</v>
      </c>
      <c r="AA80" s="5">
        <v>0</v>
      </c>
      <c r="AB80" s="5">
        <v>0</v>
      </c>
    </row>
    <row r="81" spans="1:28" x14ac:dyDescent="0.25">
      <c r="A81" s="6" t="s">
        <v>509</v>
      </c>
      <c r="B81" s="6" t="s">
        <v>43</v>
      </c>
      <c r="C81" s="6">
        <v>32</v>
      </c>
      <c r="D81" s="6">
        <v>10</v>
      </c>
      <c r="E81" s="6" t="s">
        <v>66</v>
      </c>
      <c r="F81" s="6" t="s">
        <v>479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0</v>
      </c>
      <c r="O81" s="6">
        <v>0</v>
      </c>
      <c r="P81" s="6">
        <v>0</v>
      </c>
      <c r="Q81" s="6">
        <v>0</v>
      </c>
      <c r="R81" s="6">
        <v>0</v>
      </c>
      <c r="S81" s="6">
        <v>0</v>
      </c>
      <c r="T81" s="6">
        <v>0</v>
      </c>
      <c r="U81" s="6">
        <v>0</v>
      </c>
      <c r="V81" s="6">
        <v>0</v>
      </c>
      <c r="W81" s="6">
        <v>0</v>
      </c>
      <c r="X81" s="6">
        <v>0</v>
      </c>
      <c r="Y81" s="6">
        <v>0</v>
      </c>
      <c r="Z81" s="6">
        <v>0</v>
      </c>
      <c r="AA81" s="6">
        <v>0</v>
      </c>
      <c r="AB81" s="6">
        <v>0</v>
      </c>
    </row>
    <row r="82" spans="1:28" x14ac:dyDescent="0.25">
      <c r="A82" s="5" t="s">
        <v>510</v>
      </c>
      <c r="B82" s="5" t="s">
        <v>43</v>
      </c>
      <c r="C82" s="5">
        <v>30</v>
      </c>
      <c r="D82" s="5">
        <v>8</v>
      </c>
      <c r="E82" s="5" t="s">
        <v>511</v>
      </c>
      <c r="F82" s="5" t="s">
        <v>479</v>
      </c>
      <c r="G82" s="5">
        <v>0</v>
      </c>
      <c r="H82" s="5">
        <v>0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 s="5">
        <v>0</v>
      </c>
      <c r="O82" s="5">
        <v>0</v>
      </c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0</v>
      </c>
      <c r="Z82" s="5">
        <v>0</v>
      </c>
      <c r="AA82" s="5">
        <v>0</v>
      </c>
      <c r="AB82" s="5">
        <v>0</v>
      </c>
    </row>
    <row r="83" spans="1:28" x14ac:dyDescent="0.25">
      <c r="A83" s="6" t="s">
        <v>512</v>
      </c>
      <c r="B83" s="6" t="s">
        <v>43</v>
      </c>
      <c r="C83" s="6">
        <v>25</v>
      </c>
      <c r="D83" s="6">
        <v>1</v>
      </c>
      <c r="E83" s="6" t="s">
        <v>397</v>
      </c>
      <c r="F83" s="6" t="s">
        <v>479</v>
      </c>
      <c r="G83" s="6">
        <v>0</v>
      </c>
      <c r="H83" s="6">
        <v>0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 s="6">
        <v>0</v>
      </c>
      <c r="O83" s="6">
        <v>0</v>
      </c>
      <c r="P83" s="6">
        <v>0</v>
      </c>
      <c r="Q83" s="6">
        <v>0</v>
      </c>
      <c r="R83" s="6">
        <v>0</v>
      </c>
      <c r="S83" s="6">
        <v>0</v>
      </c>
      <c r="T83" s="6">
        <v>0</v>
      </c>
      <c r="U83" s="6">
        <v>0</v>
      </c>
      <c r="V83" s="6">
        <v>0</v>
      </c>
      <c r="W83" s="6">
        <v>0</v>
      </c>
      <c r="X83" s="6">
        <v>0</v>
      </c>
      <c r="Y83" s="6">
        <v>0</v>
      </c>
      <c r="Z83" s="6">
        <v>0</v>
      </c>
      <c r="AA83" s="6">
        <v>0</v>
      </c>
      <c r="AB83" s="6">
        <v>0</v>
      </c>
    </row>
    <row r="84" spans="1:28" x14ac:dyDescent="0.25">
      <c r="A84" s="5" t="s">
        <v>513</v>
      </c>
      <c r="B84" s="5" t="s">
        <v>43</v>
      </c>
      <c r="C84" s="5">
        <v>23</v>
      </c>
      <c r="D84" s="5">
        <v>3</v>
      </c>
      <c r="E84" s="5" t="s">
        <v>240</v>
      </c>
      <c r="F84" s="5" t="s">
        <v>479</v>
      </c>
      <c r="G84" s="5">
        <v>0</v>
      </c>
      <c r="H84" s="5">
        <v>0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 s="5">
        <v>0</v>
      </c>
      <c r="O84" s="5">
        <v>0</v>
      </c>
      <c r="P84" s="5">
        <v>0</v>
      </c>
      <c r="Q84" s="5">
        <v>0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0</v>
      </c>
      <c r="Z84" s="5">
        <v>0</v>
      </c>
      <c r="AA84" s="5">
        <v>0</v>
      </c>
      <c r="AB84" s="5">
        <v>0</v>
      </c>
    </row>
    <row r="85" spans="1:28" x14ac:dyDescent="0.25">
      <c r="A85" s="6" t="s">
        <v>514</v>
      </c>
      <c r="B85" s="6" t="s">
        <v>43</v>
      </c>
      <c r="C85" s="6">
        <v>24</v>
      </c>
      <c r="D85" s="6">
        <v>4</v>
      </c>
      <c r="E85" s="6" t="s">
        <v>105</v>
      </c>
      <c r="F85" s="6" t="s">
        <v>479</v>
      </c>
      <c r="G85" s="6">
        <v>0</v>
      </c>
      <c r="H85" s="6">
        <v>0</v>
      </c>
      <c r="I85" s="6">
        <v>0</v>
      </c>
      <c r="J85" s="6">
        <v>0</v>
      </c>
      <c r="K85" s="6">
        <v>0</v>
      </c>
      <c r="L85" s="6">
        <v>0</v>
      </c>
      <c r="M85" s="6">
        <v>0</v>
      </c>
      <c r="N85" s="6">
        <v>0</v>
      </c>
      <c r="O85" s="6">
        <v>0</v>
      </c>
      <c r="P85" s="6">
        <v>0</v>
      </c>
      <c r="Q85" s="6">
        <v>0</v>
      </c>
      <c r="R85" s="6">
        <v>0</v>
      </c>
      <c r="S85" s="6">
        <v>0</v>
      </c>
      <c r="T85" s="6">
        <v>0</v>
      </c>
      <c r="U85" s="6">
        <v>0</v>
      </c>
      <c r="V85" s="6">
        <v>0</v>
      </c>
      <c r="W85" s="6">
        <v>0</v>
      </c>
      <c r="X85" s="6">
        <v>0</v>
      </c>
      <c r="Y85" s="6">
        <v>0</v>
      </c>
      <c r="Z85" s="6">
        <v>0</v>
      </c>
      <c r="AA85" s="6">
        <v>0</v>
      </c>
      <c r="AB85" s="6">
        <v>0</v>
      </c>
    </row>
    <row r="86" spans="1:28" x14ac:dyDescent="0.25">
      <c r="A86" s="5" t="s">
        <v>515</v>
      </c>
      <c r="B86" s="5" t="s">
        <v>43</v>
      </c>
      <c r="C86" s="5">
        <v>22</v>
      </c>
      <c r="D86" s="5">
        <v>3</v>
      </c>
      <c r="E86" s="5" t="s">
        <v>464</v>
      </c>
      <c r="F86" s="5" t="s">
        <v>479</v>
      </c>
      <c r="G86" s="5">
        <v>0</v>
      </c>
      <c r="H86" s="5">
        <v>0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 s="5">
        <v>0</v>
      </c>
      <c r="O86" s="5">
        <v>0</v>
      </c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0</v>
      </c>
      <c r="Z86" s="5">
        <v>0</v>
      </c>
      <c r="AA86" s="5">
        <v>0</v>
      </c>
      <c r="AB86" s="5">
        <v>0</v>
      </c>
    </row>
    <row r="87" spans="1:28" x14ac:dyDescent="0.25">
      <c r="A87" s="6" t="s">
        <v>516</v>
      </c>
      <c r="B87" s="6" t="s">
        <v>43</v>
      </c>
      <c r="C87" s="6">
        <v>23</v>
      </c>
      <c r="D87" s="6">
        <v>0</v>
      </c>
      <c r="E87" s="6" t="s">
        <v>143</v>
      </c>
      <c r="F87" s="6" t="s">
        <v>479</v>
      </c>
      <c r="G87" s="6">
        <v>0</v>
      </c>
      <c r="H87" s="6">
        <v>0</v>
      </c>
      <c r="I87" s="6">
        <v>0</v>
      </c>
      <c r="J87" s="6">
        <v>0</v>
      </c>
      <c r="K87" s="6">
        <v>0</v>
      </c>
      <c r="L87" s="6">
        <v>0</v>
      </c>
      <c r="M87" s="6">
        <v>0</v>
      </c>
      <c r="N87" s="6">
        <v>0</v>
      </c>
      <c r="O87" s="6">
        <v>0</v>
      </c>
      <c r="P87" s="6">
        <v>0</v>
      </c>
      <c r="Q87" s="6">
        <v>0</v>
      </c>
      <c r="R87" s="6">
        <v>0</v>
      </c>
      <c r="S87" s="6">
        <v>0</v>
      </c>
      <c r="T87" s="6">
        <v>0</v>
      </c>
      <c r="U87" s="6">
        <v>0</v>
      </c>
      <c r="V87" s="6">
        <v>0</v>
      </c>
      <c r="W87" s="6">
        <v>0</v>
      </c>
      <c r="X87" s="6">
        <v>0</v>
      </c>
      <c r="Y87" s="6">
        <v>0</v>
      </c>
      <c r="Z87" s="6">
        <v>0</v>
      </c>
      <c r="AA87" s="6">
        <v>0</v>
      </c>
      <c r="AB87" s="6">
        <v>0</v>
      </c>
    </row>
    <row r="88" spans="1:28" x14ac:dyDescent="0.25">
      <c r="A88" s="5" t="s">
        <v>517</v>
      </c>
      <c r="B88" s="5" t="s">
        <v>43</v>
      </c>
      <c r="C88" s="5">
        <v>25</v>
      </c>
      <c r="D88" s="5">
        <v>1</v>
      </c>
      <c r="E88" s="5" t="s">
        <v>335</v>
      </c>
      <c r="F88" s="5" t="s">
        <v>479</v>
      </c>
      <c r="G88" s="5">
        <v>0</v>
      </c>
      <c r="H88" s="5">
        <v>0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 s="5">
        <v>0</v>
      </c>
      <c r="O88" s="5">
        <v>0</v>
      </c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0</v>
      </c>
      <c r="Z88" s="5">
        <v>0</v>
      </c>
      <c r="AA88" s="5">
        <v>0</v>
      </c>
      <c r="AB88" s="5">
        <v>0</v>
      </c>
    </row>
    <row r="89" spans="1:28" x14ac:dyDescent="0.25">
      <c r="A89" s="6" t="s">
        <v>518</v>
      </c>
      <c r="B89" s="6" t="s">
        <v>43</v>
      </c>
      <c r="C89" s="6">
        <v>24</v>
      </c>
      <c r="D89" s="6">
        <v>1</v>
      </c>
      <c r="E89" s="6" t="s">
        <v>519</v>
      </c>
      <c r="F89" s="6" t="s">
        <v>479</v>
      </c>
      <c r="G89" s="6">
        <v>0</v>
      </c>
      <c r="H89" s="6">
        <v>0</v>
      </c>
      <c r="I89" s="6">
        <v>0</v>
      </c>
      <c r="J89" s="6">
        <v>0</v>
      </c>
      <c r="K89" s="6">
        <v>0</v>
      </c>
      <c r="L89" s="6">
        <v>0</v>
      </c>
      <c r="M89" s="6">
        <v>0</v>
      </c>
      <c r="N89" s="6">
        <v>0</v>
      </c>
      <c r="O89" s="6">
        <v>0</v>
      </c>
      <c r="P89" s="6">
        <v>0</v>
      </c>
      <c r="Q89" s="6">
        <v>0</v>
      </c>
      <c r="R89" s="6">
        <v>0</v>
      </c>
      <c r="S89" s="6">
        <v>0</v>
      </c>
      <c r="T89" s="6">
        <v>0</v>
      </c>
      <c r="U89" s="6">
        <v>0</v>
      </c>
      <c r="V89" s="6">
        <v>0</v>
      </c>
      <c r="W89" s="6">
        <v>0</v>
      </c>
      <c r="X89" s="6">
        <v>0</v>
      </c>
      <c r="Y89" s="6">
        <v>0</v>
      </c>
      <c r="Z89" s="6">
        <v>0</v>
      </c>
      <c r="AA89" s="6">
        <v>0</v>
      </c>
      <c r="AB89" s="6">
        <v>0</v>
      </c>
    </row>
    <row r="90" spans="1:28" x14ac:dyDescent="0.25">
      <c r="A90" s="5" t="s">
        <v>560</v>
      </c>
      <c r="B90" s="5" t="s">
        <v>43</v>
      </c>
      <c r="C90" s="5">
        <v>23</v>
      </c>
      <c r="D90" s="5">
        <v>0</v>
      </c>
      <c r="E90" s="5" t="s">
        <v>391</v>
      </c>
      <c r="F90" s="5" t="s">
        <v>530</v>
      </c>
      <c r="G90" s="5">
        <v>0</v>
      </c>
      <c r="H90" s="5">
        <v>0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 s="5">
        <v>0</v>
      </c>
      <c r="O90" s="5">
        <v>0</v>
      </c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0</v>
      </c>
      <c r="Z90" s="5">
        <v>0</v>
      </c>
      <c r="AA90" s="5">
        <v>0</v>
      </c>
      <c r="AB90" s="5">
        <v>0</v>
      </c>
    </row>
    <row r="91" spans="1:28" x14ac:dyDescent="0.25">
      <c r="A91" s="6" t="s">
        <v>561</v>
      </c>
      <c r="B91" s="6" t="s">
        <v>43</v>
      </c>
      <c r="C91" s="6">
        <v>23</v>
      </c>
      <c r="D91" s="6">
        <v>0</v>
      </c>
      <c r="E91" s="6" t="s">
        <v>341</v>
      </c>
      <c r="F91" s="6" t="s">
        <v>530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R91" s="6">
        <v>0</v>
      </c>
      <c r="S91" s="6">
        <v>0</v>
      </c>
      <c r="T91" s="6">
        <v>0</v>
      </c>
      <c r="U91" s="6">
        <v>0</v>
      </c>
      <c r="V91" s="6">
        <v>0</v>
      </c>
      <c r="W91" s="6">
        <v>0</v>
      </c>
      <c r="X91" s="6">
        <v>0</v>
      </c>
      <c r="Y91" s="6">
        <v>0</v>
      </c>
      <c r="Z91" s="6">
        <v>0</v>
      </c>
      <c r="AA91" s="6">
        <v>0</v>
      </c>
      <c r="AB91" s="6">
        <v>0</v>
      </c>
    </row>
    <row r="92" spans="1:28" x14ac:dyDescent="0.25">
      <c r="A92" s="5" t="s">
        <v>562</v>
      </c>
      <c r="B92" s="5" t="s">
        <v>43</v>
      </c>
      <c r="C92" s="5">
        <v>29</v>
      </c>
      <c r="D92" s="5">
        <v>10</v>
      </c>
      <c r="E92" s="5" t="s">
        <v>111</v>
      </c>
      <c r="F92" s="5" t="s">
        <v>530</v>
      </c>
      <c r="G92" s="5">
        <v>0</v>
      </c>
      <c r="H92" s="5">
        <v>0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Z92" s="5">
        <v>0</v>
      </c>
      <c r="AA92" s="5">
        <v>0</v>
      </c>
      <c r="AB92" s="5">
        <v>0</v>
      </c>
    </row>
    <row r="93" spans="1:28" x14ac:dyDescent="0.25">
      <c r="A93" s="6" t="s">
        <v>563</v>
      </c>
      <c r="B93" s="6" t="s">
        <v>43</v>
      </c>
      <c r="C93" s="6">
        <v>25</v>
      </c>
      <c r="D93" s="6">
        <v>1</v>
      </c>
      <c r="E93" s="6" t="s">
        <v>240</v>
      </c>
      <c r="F93" s="6" t="s">
        <v>530</v>
      </c>
      <c r="G93" s="6">
        <v>0</v>
      </c>
      <c r="H93" s="6">
        <v>0</v>
      </c>
      <c r="I93" s="6">
        <v>0</v>
      </c>
      <c r="J93" s="6">
        <v>0</v>
      </c>
      <c r="K93" s="6">
        <v>0</v>
      </c>
      <c r="L93" s="6">
        <v>0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R93" s="6">
        <v>0</v>
      </c>
      <c r="S93" s="6">
        <v>0</v>
      </c>
      <c r="T93" s="6">
        <v>0</v>
      </c>
      <c r="U93" s="6">
        <v>0</v>
      </c>
      <c r="V93" s="6">
        <v>0</v>
      </c>
      <c r="W93" s="6">
        <v>0</v>
      </c>
      <c r="X93" s="6">
        <v>0</v>
      </c>
      <c r="Y93" s="6">
        <v>0</v>
      </c>
      <c r="Z93" s="6">
        <v>0</v>
      </c>
      <c r="AA93" s="6">
        <v>0</v>
      </c>
      <c r="AB93" s="6">
        <v>0</v>
      </c>
    </row>
    <row r="94" spans="1:28" x14ac:dyDescent="0.25">
      <c r="A94" s="5" t="s">
        <v>564</v>
      </c>
      <c r="B94" s="5" t="s">
        <v>43</v>
      </c>
      <c r="C94" s="5">
        <v>24</v>
      </c>
      <c r="D94" s="5">
        <v>0</v>
      </c>
      <c r="E94" s="5" t="s">
        <v>565</v>
      </c>
      <c r="F94" s="5" t="s">
        <v>530</v>
      </c>
      <c r="G94" s="5">
        <v>0</v>
      </c>
      <c r="H94" s="5">
        <v>0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Z94" s="5">
        <v>0</v>
      </c>
      <c r="AA94" s="5">
        <v>0</v>
      </c>
      <c r="AB94" s="5">
        <v>0</v>
      </c>
    </row>
    <row r="95" spans="1:28" x14ac:dyDescent="0.25">
      <c r="A95" s="6" t="s">
        <v>566</v>
      </c>
      <c r="B95" s="6" t="s">
        <v>43</v>
      </c>
      <c r="C95" s="6">
        <v>25</v>
      </c>
      <c r="D95" s="6">
        <v>3</v>
      </c>
      <c r="E95" s="6" t="s">
        <v>102</v>
      </c>
      <c r="F95" s="6" t="s">
        <v>530</v>
      </c>
      <c r="G95" s="6">
        <v>0</v>
      </c>
      <c r="H95" s="6">
        <v>0</v>
      </c>
      <c r="I95" s="6">
        <v>0</v>
      </c>
      <c r="J95" s="6">
        <v>0</v>
      </c>
      <c r="K95" s="6">
        <v>0</v>
      </c>
      <c r="L95" s="6">
        <v>0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R95" s="6">
        <v>0</v>
      </c>
      <c r="S95" s="6">
        <v>0</v>
      </c>
      <c r="T95" s="6">
        <v>0</v>
      </c>
      <c r="U95" s="6">
        <v>0</v>
      </c>
      <c r="V95" s="6">
        <v>0</v>
      </c>
      <c r="W95" s="6">
        <v>0</v>
      </c>
      <c r="X95" s="6">
        <v>0</v>
      </c>
      <c r="Y95" s="6">
        <v>0</v>
      </c>
      <c r="Z95" s="6">
        <v>0</v>
      </c>
      <c r="AA95" s="6">
        <v>0</v>
      </c>
      <c r="AB95" s="6">
        <v>0</v>
      </c>
    </row>
    <row r="96" spans="1:28" x14ac:dyDescent="0.25">
      <c r="A96" s="5" t="s">
        <v>567</v>
      </c>
      <c r="B96" s="5" t="s">
        <v>43</v>
      </c>
      <c r="C96" s="5">
        <v>27</v>
      </c>
      <c r="D96" s="5">
        <v>6</v>
      </c>
      <c r="E96" s="5" t="s">
        <v>107</v>
      </c>
      <c r="F96" s="5" t="s">
        <v>530</v>
      </c>
      <c r="G96" s="5">
        <v>0</v>
      </c>
      <c r="H96" s="5">
        <v>0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 s="5">
        <v>0</v>
      </c>
      <c r="O96" s="5">
        <v>0</v>
      </c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Z96" s="5">
        <v>0</v>
      </c>
      <c r="AA96" s="5">
        <v>0</v>
      </c>
      <c r="AB96" s="5">
        <v>0</v>
      </c>
    </row>
    <row r="97" spans="1:28" x14ac:dyDescent="0.25">
      <c r="A97" s="6" t="s">
        <v>568</v>
      </c>
      <c r="B97" s="6" t="s">
        <v>43</v>
      </c>
      <c r="C97" s="6">
        <v>24</v>
      </c>
      <c r="D97" s="6">
        <v>1</v>
      </c>
      <c r="E97" s="6" t="s">
        <v>569</v>
      </c>
      <c r="F97" s="6" t="s">
        <v>530</v>
      </c>
      <c r="G97" s="6">
        <v>0</v>
      </c>
      <c r="H97" s="6">
        <v>0</v>
      </c>
      <c r="I97" s="6">
        <v>0</v>
      </c>
      <c r="J97" s="6">
        <v>0</v>
      </c>
      <c r="K97" s="6">
        <v>0</v>
      </c>
      <c r="L97" s="6">
        <v>0</v>
      </c>
      <c r="M97" s="6">
        <v>0</v>
      </c>
      <c r="N97" s="6">
        <v>0</v>
      </c>
      <c r="O97" s="6">
        <v>0</v>
      </c>
      <c r="P97" s="6">
        <v>0</v>
      </c>
      <c r="Q97" s="6">
        <v>0</v>
      </c>
      <c r="R97" s="6">
        <v>0</v>
      </c>
      <c r="S97" s="6">
        <v>0</v>
      </c>
      <c r="T97" s="6">
        <v>0</v>
      </c>
      <c r="U97" s="6">
        <v>0</v>
      </c>
      <c r="V97" s="6">
        <v>0</v>
      </c>
      <c r="W97" s="6">
        <v>0</v>
      </c>
      <c r="X97" s="6">
        <v>0</v>
      </c>
      <c r="Y97" s="6">
        <v>0</v>
      </c>
      <c r="Z97" s="6">
        <v>0</v>
      </c>
      <c r="AA97" s="6">
        <v>0</v>
      </c>
      <c r="AB97" s="6">
        <v>0</v>
      </c>
    </row>
    <row r="98" spans="1:28" x14ac:dyDescent="0.25">
      <c r="A98" s="5" t="s">
        <v>570</v>
      </c>
      <c r="B98" s="5" t="s">
        <v>43</v>
      </c>
      <c r="C98" s="5">
        <v>27</v>
      </c>
      <c r="D98" s="5">
        <v>4</v>
      </c>
      <c r="E98" s="5" t="s">
        <v>218</v>
      </c>
      <c r="F98" s="5" t="s">
        <v>530</v>
      </c>
      <c r="G98" s="5">
        <v>0</v>
      </c>
      <c r="H98" s="5">
        <v>0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 s="5">
        <v>0</v>
      </c>
      <c r="O98" s="5">
        <v>0</v>
      </c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Z98" s="5">
        <v>0</v>
      </c>
      <c r="AA98" s="5">
        <v>0</v>
      </c>
      <c r="AB98" s="5">
        <v>0</v>
      </c>
    </row>
    <row r="99" spans="1:28" x14ac:dyDescent="0.25">
      <c r="A99" s="6" t="s">
        <v>571</v>
      </c>
      <c r="B99" s="6" t="s">
        <v>43</v>
      </c>
      <c r="C99" s="6">
        <v>24</v>
      </c>
      <c r="D99" s="6">
        <v>4</v>
      </c>
      <c r="E99" s="6" t="s">
        <v>68</v>
      </c>
      <c r="F99" s="6" t="s">
        <v>530</v>
      </c>
      <c r="G99" s="6">
        <v>0</v>
      </c>
      <c r="H99" s="6">
        <v>0</v>
      </c>
      <c r="I99" s="6">
        <v>0</v>
      </c>
      <c r="J99" s="6">
        <v>0</v>
      </c>
      <c r="K99" s="6">
        <v>0</v>
      </c>
      <c r="L99" s="6">
        <v>0</v>
      </c>
      <c r="M99" s="6">
        <v>0</v>
      </c>
      <c r="N99" s="6">
        <v>0</v>
      </c>
      <c r="O99" s="6">
        <v>0</v>
      </c>
      <c r="P99" s="6">
        <v>0</v>
      </c>
      <c r="Q99" s="6">
        <v>0</v>
      </c>
      <c r="R99" s="6">
        <v>0</v>
      </c>
      <c r="S99" s="6">
        <v>0</v>
      </c>
      <c r="T99" s="6">
        <v>0</v>
      </c>
      <c r="U99" s="6">
        <v>0</v>
      </c>
      <c r="V99" s="6">
        <v>0</v>
      </c>
      <c r="W99" s="6">
        <v>0</v>
      </c>
      <c r="X99" s="6">
        <v>0</v>
      </c>
      <c r="Y99" s="6">
        <v>0</v>
      </c>
      <c r="Z99" s="6">
        <v>0</v>
      </c>
      <c r="AA99" s="6">
        <v>0</v>
      </c>
      <c r="AB99" s="6">
        <v>0</v>
      </c>
    </row>
    <row r="100" spans="1:28" x14ac:dyDescent="0.25">
      <c r="A100" s="5" t="s">
        <v>572</v>
      </c>
      <c r="B100" s="5" t="s">
        <v>43</v>
      </c>
      <c r="C100" s="5">
        <v>22</v>
      </c>
      <c r="D100" s="5">
        <v>0</v>
      </c>
      <c r="E100" s="5" t="s">
        <v>280</v>
      </c>
      <c r="F100" s="5" t="s">
        <v>530</v>
      </c>
      <c r="G100" s="5">
        <v>0</v>
      </c>
      <c r="H100" s="5">
        <v>0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Z100" s="5">
        <v>0</v>
      </c>
      <c r="AA100" s="5">
        <v>0</v>
      </c>
      <c r="AB100" s="5">
        <v>0</v>
      </c>
    </row>
    <row r="101" spans="1:28" x14ac:dyDescent="0.25">
      <c r="A101" s="6" t="s">
        <v>573</v>
      </c>
      <c r="B101" s="6" t="s">
        <v>43</v>
      </c>
      <c r="C101" s="6">
        <v>23</v>
      </c>
      <c r="D101" s="6">
        <v>0</v>
      </c>
      <c r="E101" s="6" t="s">
        <v>574</v>
      </c>
      <c r="F101" s="6" t="s">
        <v>530</v>
      </c>
      <c r="G101" s="6">
        <v>0</v>
      </c>
      <c r="H101" s="6">
        <v>0</v>
      </c>
      <c r="I101" s="6">
        <v>0</v>
      </c>
      <c r="J101" s="6">
        <v>0</v>
      </c>
      <c r="K101" s="6">
        <v>0</v>
      </c>
      <c r="L101" s="6">
        <v>0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R101" s="6">
        <v>0</v>
      </c>
      <c r="S101" s="6">
        <v>0</v>
      </c>
      <c r="T101" s="6">
        <v>0</v>
      </c>
      <c r="U101" s="6">
        <v>0</v>
      </c>
      <c r="V101" s="6">
        <v>0</v>
      </c>
      <c r="W101" s="6">
        <v>0</v>
      </c>
      <c r="X101" s="6">
        <v>0</v>
      </c>
      <c r="Y101" s="6">
        <v>0</v>
      </c>
      <c r="Z101" s="6">
        <v>0</v>
      </c>
      <c r="AA101" s="6">
        <v>0</v>
      </c>
      <c r="AB101" s="6">
        <v>0</v>
      </c>
    </row>
    <row r="102" spans="1:28" x14ac:dyDescent="0.25">
      <c r="A102" s="5" t="s">
        <v>575</v>
      </c>
      <c r="B102" s="5" t="s">
        <v>43</v>
      </c>
      <c r="C102" s="5">
        <v>24</v>
      </c>
      <c r="D102" s="5">
        <v>2</v>
      </c>
      <c r="E102" s="5" t="s">
        <v>519</v>
      </c>
      <c r="F102" s="5" t="s">
        <v>530</v>
      </c>
      <c r="G102" s="5">
        <v>0</v>
      </c>
      <c r="H102" s="5">
        <v>0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Z102" s="5">
        <v>0</v>
      </c>
      <c r="AA102" s="5">
        <v>0</v>
      </c>
      <c r="AB102" s="5">
        <v>0</v>
      </c>
    </row>
    <row r="103" spans="1:28" x14ac:dyDescent="0.25">
      <c r="A103" s="5" t="s">
        <v>620</v>
      </c>
      <c r="B103" s="5" t="s">
        <v>43</v>
      </c>
      <c r="C103" s="5">
        <v>25</v>
      </c>
      <c r="D103" s="5">
        <v>2</v>
      </c>
      <c r="E103" s="5" t="s">
        <v>211</v>
      </c>
      <c r="F103" s="5" t="s">
        <v>584</v>
      </c>
      <c r="G103" s="5">
        <v>0</v>
      </c>
      <c r="H103" s="5">
        <v>0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Z103" s="5">
        <v>0</v>
      </c>
      <c r="AA103" s="5">
        <v>0</v>
      </c>
      <c r="AB103" s="5">
        <v>0</v>
      </c>
    </row>
    <row r="104" spans="1:28" x14ac:dyDescent="0.25">
      <c r="A104" s="6" t="s">
        <v>621</v>
      </c>
      <c r="B104" s="6" t="s">
        <v>43</v>
      </c>
      <c r="C104" s="6">
        <v>25</v>
      </c>
      <c r="D104" s="6">
        <v>4</v>
      </c>
      <c r="E104" s="6" t="s">
        <v>143</v>
      </c>
      <c r="F104" s="6" t="s">
        <v>584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R104" s="6">
        <v>0</v>
      </c>
      <c r="S104" s="6">
        <v>0</v>
      </c>
      <c r="T104" s="6">
        <v>0</v>
      </c>
      <c r="U104" s="6">
        <v>0</v>
      </c>
      <c r="V104" s="6">
        <v>0</v>
      </c>
      <c r="W104" s="6">
        <v>0</v>
      </c>
      <c r="X104" s="6">
        <v>0</v>
      </c>
      <c r="Y104" s="6">
        <v>0</v>
      </c>
      <c r="Z104" s="6">
        <v>0</v>
      </c>
      <c r="AA104" s="6">
        <v>0</v>
      </c>
      <c r="AB104" s="6">
        <v>0</v>
      </c>
    </row>
    <row r="105" spans="1:28" x14ac:dyDescent="0.25">
      <c r="A105" s="5" t="s">
        <v>622</v>
      </c>
      <c r="B105" s="5" t="s">
        <v>43</v>
      </c>
      <c r="C105" s="5">
        <v>23</v>
      </c>
      <c r="D105" s="5">
        <v>0</v>
      </c>
      <c r="E105" s="5" t="s">
        <v>623</v>
      </c>
      <c r="F105" s="5" t="s">
        <v>584</v>
      </c>
      <c r="G105" s="5">
        <v>0</v>
      </c>
      <c r="H105" s="5">
        <v>0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Z105" s="5">
        <v>0</v>
      </c>
      <c r="AA105" s="5">
        <v>0</v>
      </c>
      <c r="AB105" s="5">
        <v>0</v>
      </c>
    </row>
    <row r="106" spans="1:28" x14ac:dyDescent="0.25">
      <c r="A106" s="6" t="s">
        <v>624</v>
      </c>
      <c r="B106" s="6" t="s">
        <v>43</v>
      </c>
      <c r="C106" s="6">
        <v>26</v>
      </c>
      <c r="D106" s="6">
        <v>3</v>
      </c>
      <c r="E106" s="6" t="s">
        <v>95</v>
      </c>
      <c r="F106" s="6" t="s">
        <v>584</v>
      </c>
      <c r="G106" s="6">
        <v>0</v>
      </c>
      <c r="H106" s="6">
        <v>0</v>
      </c>
      <c r="I106" s="6">
        <v>0</v>
      </c>
      <c r="J106" s="6">
        <v>0</v>
      </c>
      <c r="K106" s="6">
        <v>0</v>
      </c>
      <c r="L106" s="6">
        <v>0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R106" s="6">
        <v>0</v>
      </c>
      <c r="S106" s="6">
        <v>0</v>
      </c>
      <c r="T106" s="6">
        <v>0</v>
      </c>
      <c r="U106" s="6">
        <v>0</v>
      </c>
      <c r="V106" s="6">
        <v>0</v>
      </c>
      <c r="W106" s="6">
        <v>0</v>
      </c>
      <c r="X106" s="6">
        <v>0</v>
      </c>
      <c r="Y106" s="6">
        <v>0</v>
      </c>
      <c r="Z106" s="6">
        <v>0</v>
      </c>
      <c r="AA106" s="6">
        <v>0</v>
      </c>
      <c r="AB106" s="6">
        <v>0</v>
      </c>
    </row>
    <row r="107" spans="1:28" x14ac:dyDescent="0.25">
      <c r="A107" s="5" t="s">
        <v>625</v>
      </c>
      <c r="B107" s="5" t="s">
        <v>43</v>
      </c>
      <c r="C107" s="5">
        <v>25</v>
      </c>
      <c r="D107" s="5">
        <v>4</v>
      </c>
      <c r="E107" s="5" t="s">
        <v>66</v>
      </c>
      <c r="F107" s="5" t="s">
        <v>584</v>
      </c>
      <c r="G107" s="5">
        <v>0</v>
      </c>
      <c r="H107" s="5">
        <v>0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Z107" s="5">
        <v>0</v>
      </c>
      <c r="AA107" s="5">
        <v>0</v>
      </c>
      <c r="AB107" s="5">
        <v>0</v>
      </c>
    </row>
    <row r="108" spans="1:28" x14ac:dyDescent="0.25">
      <c r="A108" s="6" t="s">
        <v>626</v>
      </c>
      <c r="B108" s="6" t="s">
        <v>43</v>
      </c>
      <c r="C108" s="6">
        <v>24</v>
      </c>
      <c r="D108" s="6">
        <v>4</v>
      </c>
      <c r="E108" s="6" t="s">
        <v>153</v>
      </c>
      <c r="F108" s="6" t="s">
        <v>584</v>
      </c>
      <c r="G108" s="6">
        <v>0</v>
      </c>
      <c r="H108" s="6">
        <v>0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R108" s="6">
        <v>0</v>
      </c>
      <c r="S108" s="6">
        <v>0</v>
      </c>
      <c r="T108" s="6">
        <v>0</v>
      </c>
      <c r="U108" s="6">
        <v>0</v>
      </c>
      <c r="V108" s="6">
        <v>0</v>
      </c>
      <c r="W108" s="6">
        <v>0</v>
      </c>
      <c r="X108" s="6">
        <v>0</v>
      </c>
      <c r="Y108" s="6">
        <v>0</v>
      </c>
      <c r="Z108" s="6">
        <v>0</v>
      </c>
      <c r="AA108" s="6">
        <v>0</v>
      </c>
      <c r="AB108" s="6">
        <v>0</v>
      </c>
    </row>
    <row r="109" spans="1:28" x14ac:dyDescent="0.25">
      <c r="A109" s="5" t="s">
        <v>627</v>
      </c>
      <c r="B109" s="5" t="s">
        <v>43</v>
      </c>
      <c r="C109" s="5">
        <v>25</v>
      </c>
      <c r="D109" s="5">
        <v>2</v>
      </c>
      <c r="E109" s="5" t="s">
        <v>282</v>
      </c>
      <c r="F109" s="5" t="s">
        <v>584</v>
      </c>
      <c r="G109" s="5">
        <v>0</v>
      </c>
      <c r="H109" s="5">
        <v>0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Z109" s="5">
        <v>0</v>
      </c>
      <c r="AA109" s="5">
        <v>0</v>
      </c>
      <c r="AB109" s="5">
        <v>0</v>
      </c>
    </row>
    <row r="110" spans="1:28" x14ac:dyDescent="0.25">
      <c r="A110" s="6" t="s">
        <v>628</v>
      </c>
      <c r="B110" s="6" t="s">
        <v>43</v>
      </c>
      <c r="C110" s="6">
        <v>26</v>
      </c>
      <c r="D110" s="6">
        <v>2</v>
      </c>
      <c r="E110" s="6" t="s">
        <v>629</v>
      </c>
      <c r="F110" s="6" t="s">
        <v>584</v>
      </c>
      <c r="G110" s="6">
        <v>0</v>
      </c>
      <c r="H110" s="6">
        <v>0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R110" s="6">
        <v>0</v>
      </c>
      <c r="S110" s="6">
        <v>0</v>
      </c>
      <c r="T110" s="6">
        <v>0</v>
      </c>
      <c r="U110" s="6">
        <v>0</v>
      </c>
      <c r="V110" s="6">
        <v>0</v>
      </c>
      <c r="W110" s="6">
        <v>0</v>
      </c>
      <c r="X110" s="6">
        <v>0</v>
      </c>
      <c r="Y110" s="6">
        <v>0</v>
      </c>
      <c r="Z110" s="6">
        <v>0</v>
      </c>
      <c r="AA110" s="6">
        <v>0</v>
      </c>
      <c r="AB110" s="6">
        <v>0</v>
      </c>
    </row>
    <row r="111" spans="1:28" x14ac:dyDescent="0.25">
      <c r="A111" s="5" t="s">
        <v>630</v>
      </c>
      <c r="B111" s="5" t="s">
        <v>43</v>
      </c>
      <c r="C111" s="5">
        <v>21</v>
      </c>
      <c r="D111" s="5">
        <v>0</v>
      </c>
      <c r="E111" s="5" t="s">
        <v>68</v>
      </c>
      <c r="F111" s="5" t="s">
        <v>584</v>
      </c>
      <c r="G111" s="5">
        <v>0</v>
      </c>
      <c r="H111" s="5">
        <v>0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Z111" s="5">
        <v>0</v>
      </c>
      <c r="AA111" s="5">
        <v>0</v>
      </c>
      <c r="AB111" s="5">
        <v>0</v>
      </c>
    </row>
    <row r="112" spans="1:28" x14ac:dyDescent="0.25">
      <c r="A112" s="6" t="s">
        <v>631</v>
      </c>
      <c r="B112" s="6" t="s">
        <v>43</v>
      </c>
      <c r="C112" s="6">
        <v>29</v>
      </c>
      <c r="D112" s="6">
        <v>6</v>
      </c>
      <c r="E112" s="6" t="s">
        <v>207</v>
      </c>
      <c r="F112" s="6" t="s">
        <v>584</v>
      </c>
      <c r="G112" s="6">
        <v>0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">
        <v>0</v>
      </c>
      <c r="P112" s="6">
        <v>0</v>
      </c>
      <c r="Q112" s="6">
        <v>0</v>
      </c>
      <c r="R112" s="6">
        <v>0</v>
      </c>
      <c r="S112" s="6">
        <v>0</v>
      </c>
      <c r="T112" s="6">
        <v>0</v>
      </c>
      <c r="U112" s="6">
        <v>0</v>
      </c>
      <c r="V112" s="6">
        <v>0</v>
      </c>
      <c r="W112" s="6">
        <v>0</v>
      </c>
      <c r="X112" s="6">
        <v>0</v>
      </c>
      <c r="Y112" s="6">
        <v>0</v>
      </c>
      <c r="Z112" s="6">
        <v>0</v>
      </c>
      <c r="AA112" s="6">
        <v>0</v>
      </c>
      <c r="AB112" s="6">
        <v>0</v>
      </c>
    </row>
    <row r="113" spans="1:28" x14ac:dyDescent="0.25">
      <c r="A113" s="5" t="s">
        <v>632</v>
      </c>
      <c r="B113" s="5" t="s">
        <v>43</v>
      </c>
      <c r="C113" s="5">
        <v>27</v>
      </c>
      <c r="D113" s="5">
        <v>6</v>
      </c>
      <c r="E113" s="5" t="s">
        <v>237</v>
      </c>
      <c r="F113" s="5" t="s">
        <v>584</v>
      </c>
      <c r="G113" s="5">
        <v>0</v>
      </c>
      <c r="H113" s="5">
        <v>0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Z113" s="5">
        <v>0</v>
      </c>
      <c r="AA113" s="5">
        <v>0</v>
      </c>
      <c r="AB113" s="5">
        <v>0</v>
      </c>
    </row>
    <row r="114" spans="1:28" x14ac:dyDescent="0.25">
      <c r="A114" s="6" t="s">
        <v>633</v>
      </c>
      <c r="B114" s="6" t="s">
        <v>43</v>
      </c>
      <c r="C114" s="6">
        <v>25</v>
      </c>
      <c r="D114" s="6">
        <v>2</v>
      </c>
      <c r="E114" s="6" t="s">
        <v>277</v>
      </c>
      <c r="F114" s="6" t="s">
        <v>584</v>
      </c>
      <c r="G114" s="6">
        <v>0</v>
      </c>
      <c r="H114" s="6">
        <v>0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R114" s="6">
        <v>0</v>
      </c>
      <c r="S114" s="6">
        <v>0</v>
      </c>
      <c r="T114" s="6">
        <v>0</v>
      </c>
      <c r="U114" s="6">
        <v>0</v>
      </c>
      <c r="V114" s="6">
        <v>0</v>
      </c>
      <c r="W114" s="6">
        <v>0</v>
      </c>
      <c r="X114" s="6">
        <v>0</v>
      </c>
      <c r="Y114" s="6">
        <v>0</v>
      </c>
      <c r="Z114" s="6">
        <v>0</v>
      </c>
      <c r="AA114" s="6">
        <v>0</v>
      </c>
      <c r="AB114" s="6">
        <v>0</v>
      </c>
    </row>
    <row r="115" spans="1:28" x14ac:dyDescent="0.25">
      <c r="A115" s="5" t="s">
        <v>634</v>
      </c>
      <c r="B115" s="5" t="s">
        <v>43</v>
      </c>
      <c r="C115" s="5">
        <v>24</v>
      </c>
      <c r="D115" s="5">
        <v>2</v>
      </c>
      <c r="E115" s="5" t="s">
        <v>635</v>
      </c>
      <c r="F115" s="5" t="s">
        <v>584</v>
      </c>
      <c r="G115" s="5">
        <v>0</v>
      </c>
      <c r="H115" s="5">
        <v>0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Z115" s="5">
        <v>0</v>
      </c>
      <c r="AA115" s="5">
        <v>0</v>
      </c>
      <c r="AB115" s="5">
        <v>0</v>
      </c>
    </row>
    <row r="116" spans="1:28" x14ac:dyDescent="0.25">
      <c r="A116" s="5" t="s">
        <v>679</v>
      </c>
      <c r="B116" s="5" t="s">
        <v>43</v>
      </c>
      <c r="C116" s="5">
        <v>26</v>
      </c>
      <c r="D116" s="5">
        <v>1</v>
      </c>
      <c r="E116" s="5" t="s">
        <v>182</v>
      </c>
      <c r="F116" s="5" t="s">
        <v>647</v>
      </c>
      <c r="G116" s="5">
        <v>0</v>
      </c>
      <c r="H116" s="5">
        <v>0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Z116" s="5">
        <v>0</v>
      </c>
      <c r="AA116" s="5">
        <v>0</v>
      </c>
      <c r="AB116" s="5">
        <v>0</v>
      </c>
    </row>
    <row r="117" spans="1:28" x14ac:dyDescent="0.25">
      <c r="A117" s="6" t="s">
        <v>680</v>
      </c>
      <c r="B117" s="6" t="s">
        <v>43</v>
      </c>
      <c r="C117" s="6">
        <v>26</v>
      </c>
      <c r="D117" s="6">
        <v>3</v>
      </c>
      <c r="E117" s="6" t="s">
        <v>681</v>
      </c>
      <c r="F117" s="6" t="s">
        <v>647</v>
      </c>
      <c r="G117" s="6">
        <v>0</v>
      </c>
      <c r="H117" s="6">
        <v>0</v>
      </c>
      <c r="I117" s="6">
        <v>0</v>
      </c>
      <c r="J117" s="6">
        <v>0</v>
      </c>
      <c r="K117" s="6">
        <v>0</v>
      </c>
      <c r="L117" s="6">
        <v>0</v>
      </c>
      <c r="M117" s="6">
        <v>0</v>
      </c>
      <c r="N117" s="6">
        <v>0</v>
      </c>
      <c r="O117" s="6">
        <v>0</v>
      </c>
      <c r="P117" s="6">
        <v>0</v>
      </c>
      <c r="Q117" s="6">
        <v>0</v>
      </c>
      <c r="R117" s="6">
        <v>0</v>
      </c>
      <c r="S117" s="6">
        <v>0</v>
      </c>
      <c r="T117" s="6">
        <v>0</v>
      </c>
      <c r="U117" s="6">
        <v>0</v>
      </c>
      <c r="V117" s="6">
        <v>0</v>
      </c>
      <c r="W117" s="6">
        <v>0</v>
      </c>
      <c r="X117" s="6">
        <v>0</v>
      </c>
      <c r="Y117" s="6">
        <v>0</v>
      </c>
      <c r="Z117" s="6">
        <v>0</v>
      </c>
      <c r="AA117" s="6">
        <v>0</v>
      </c>
      <c r="AB117" s="6">
        <v>0</v>
      </c>
    </row>
    <row r="118" spans="1:28" x14ac:dyDescent="0.25">
      <c r="A118" s="5" t="s">
        <v>682</v>
      </c>
      <c r="B118" s="5" t="s">
        <v>43</v>
      </c>
      <c r="C118" s="5">
        <v>23</v>
      </c>
      <c r="D118" s="5">
        <v>0</v>
      </c>
      <c r="E118" s="5" t="s">
        <v>205</v>
      </c>
      <c r="F118" s="5" t="s">
        <v>647</v>
      </c>
      <c r="G118" s="5">
        <v>0</v>
      </c>
      <c r="H118" s="5">
        <v>0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Z118" s="5">
        <v>0</v>
      </c>
      <c r="AA118" s="5">
        <v>0</v>
      </c>
      <c r="AB118" s="5">
        <v>0</v>
      </c>
    </row>
    <row r="119" spans="1:28" x14ac:dyDescent="0.25">
      <c r="A119" s="6" t="s">
        <v>683</v>
      </c>
      <c r="B119" s="6" t="s">
        <v>43</v>
      </c>
      <c r="C119" s="6"/>
      <c r="D119" s="6">
        <v>0</v>
      </c>
      <c r="E119" s="6" t="s">
        <v>362</v>
      </c>
      <c r="F119" s="6" t="s">
        <v>647</v>
      </c>
      <c r="G119" s="6">
        <v>0</v>
      </c>
      <c r="H119" s="6">
        <v>0</v>
      </c>
      <c r="I119" s="6">
        <v>0</v>
      </c>
      <c r="J119" s="6">
        <v>0</v>
      </c>
      <c r="K119" s="6">
        <v>0</v>
      </c>
      <c r="L119" s="6">
        <v>0</v>
      </c>
      <c r="M119" s="6">
        <v>0</v>
      </c>
      <c r="N119" s="6">
        <v>0</v>
      </c>
      <c r="O119" s="6">
        <v>0</v>
      </c>
      <c r="P119" s="6">
        <v>0</v>
      </c>
      <c r="Q119" s="6">
        <v>0</v>
      </c>
      <c r="R119" s="6">
        <v>0</v>
      </c>
      <c r="S119" s="6">
        <v>0</v>
      </c>
      <c r="T119" s="6">
        <v>0</v>
      </c>
      <c r="U119" s="6">
        <v>0</v>
      </c>
      <c r="V119" s="6">
        <v>0</v>
      </c>
      <c r="W119" s="6">
        <v>0</v>
      </c>
      <c r="X119" s="6">
        <v>0</v>
      </c>
      <c r="Y119" s="6">
        <v>0</v>
      </c>
      <c r="Z119" s="6">
        <v>0</v>
      </c>
      <c r="AA119" s="6">
        <v>0</v>
      </c>
      <c r="AB119" s="6">
        <v>0</v>
      </c>
    </row>
    <row r="120" spans="1:28" x14ac:dyDescent="0.25">
      <c r="A120" s="5" t="s">
        <v>684</v>
      </c>
      <c r="B120" s="5" t="s">
        <v>43</v>
      </c>
      <c r="C120" s="5">
        <v>23</v>
      </c>
      <c r="D120" s="5">
        <v>0</v>
      </c>
      <c r="E120" s="5" t="s">
        <v>170</v>
      </c>
      <c r="F120" s="5" t="s">
        <v>647</v>
      </c>
      <c r="G120" s="5">
        <v>0</v>
      </c>
      <c r="H120" s="5">
        <v>0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Z120" s="5">
        <v>0</v>
      </c>
      <c r="AA120" s="5">
        <v>0</v>
      </c>
      <c r="AB120" s="5">
        <v>0</v>
      </c>
    </row>
    <row r="121" spans="1:28" x14ac:dyDescent="0.25">
      <c r="A121" s="6" t="s">
        <v>685</v>
      </c>
      <c r="B121" s="6" t="s">
        <v>43</v>
      </c>
      <c r="C121" s="6">
        <v>23</v>
      </c>
      <c r="D121" s="6">
        <v>0</v>
      </c>
      <c r="E121" s="6" t="s">
        <v>163</v>
      </c>
      <c r="F121" s="6" t="s">
        <v>647</v>
      </c>
      <c r="G121" s="6">
        <v>0</v>
      </c>
      <c r="H121" s="6">
        <v>0</v>
      </c>
      <c r="I121" s="6">
        <v>0</v>
      </c>
      <c r="J121" s="6">
        <v>0</v>
      </c>
      <c r="K121" s="6">
        <v>0</v>
      </c>
      <c r="L121" s="6">
        <v>0</v>
      </c>
      <c r="M121" s="6">
        <v>0</v>
      </c>
      <c r="N121" s="6">
        <v>0</v>
      </c>
      <c r="O121" s="6">
        <v>0</v>
      </c>
      <c r="P121" s="6">
        <v>0</v>
      </c>
      <c r="Q121" s="6">
        <v>0</v>
      </c>
      <c r="R121" s="6">
        <v>0</v>
      </c>
      <c r="S121" s="6">
        <v>0</v>
      </c>
      <c r="T121" s="6">
        <v>0</v>
      </c>
      <c r="U121" s="6">
        <v>0</v>
      </c>
      <c r="V121" s="6">
        <v>0</v>
      </c>
      <c r="W121" s="6">
        <v>0</v>
      </c>
      <c r="X121" s="6">
        <v>0</v>
      </c>
      <c r="Y121" s="6">
        <v>0</v>
      </c>
      <c r="Z121" s="6">
        <v>0</v>
      </c>
      <c r="AA121" s="6">
        <v>0</v>
      </c>
      <c r="AB121" s="6">
        <v>0</v>
      </c>
    </row>
    <row r="122" spans="1:28" x14ac:dyDescent="0.25">
      <c r="A122" s="5" t="s">
        <v>686</v>
      </c>
      <c r="B122" s="5" t="s">
        <v>43</v>
      </c>
      <c r="C122" s="5">
        <v>33</v>
      </c>
      <c r="D122" s="5">
        <v>12</v>
      </c>
      <c r="E122" s="5" t="s">
        <v>666</v>
      </c>
      <c r="F122" s="5" t="s">
        <v>647</v>
      </c>
      <c r="G122" s="5">
        <v>0</v>
      </c>
      <c r="H122" s="5">
        <v>0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Z122" s="5">
        <v>0</v>
      </c>
      <c r="AA122" s="5">
        <v>0</v>
      </c>
      <c r="AB122" s="5">
        <v>0</v>
      </c>
    </row>
    <row r="123" spans="1:28" x14ac:dyDescent="0.25">
      <c r="A123" s="6" t="s">
        <v>687</v>
      </c>
      <c r="B123" s="6" t="s">
        <v>43</v>
      </c>
      <c r="C123" s="6">
        <v>27</v>
      </c>
      <c r="D123" s="6">
        <v>3</v>
      </c>
      <c r="E123" s="6" t="s">
        <v>688</v>
      </c>
      <c r="F123" s="6" t="s">
        <v>647</v>
      </c>
      <c r="G123" s="6">
        <v>0</v>
      </c>
      <c r="H123" s="6">
        <v>0</v>
      </c>
      <c r="I123" s="6">
        <v>0</v>
      </c>
      <c r="J123" s="6">
        <v>0</v>
      </c>
      <c r="K123" s="6">
        <v>0</v>
      </c>
      <c r="L123" s="6">
        <v>0</v>
      </c>
      <c r="M123" s="6">
        <v>0</v>
      </c>
      <c r="N123" s="6">
        <v>0</v>
      </c>
      <c r="O123" s="6">
        <v>0</v>
      </c>
      <c r="P123" s="6">
        <v>0</v>
      </c>
      <c r="Q123" s="6">
        <v>0</v>
      </c>
      <c r="R123" s="6">
        <v>0</v>
      </c>
      <c r="S123" s="6">
        <v>0</v>
      </c>
      <c r="T123" s="6">
        <v>0</v>
      </c>
      <c r="U123" s="6">
        <v>0</v>
      </c>
      <c r="V123" s="6">
        <v>0</v>
      </c>
      <c r="W123" s="6">
        <v>0</v>
      </c>
      <c r="X123" s="6">
        <v>0</v>
      </c>
      <c r="Y123" s="6">
        <v>0</v>
      </c>
      <c r="Z123" s="6">
        <v>0</v>
      </c>
      <c r="AA123" s="6">
        <v>0</v>
      </c>
      <c r="AB123" s="6">
        <v>0</v>
      </c>
    </row>
    <row r="124" spans="1:28" x14ac:dyDescent="0.25">
      <c r="A124" s="5" t="s">
        <v>689</v>
      </c>
      <c r="B124" s="5" t="s">
        <v>43</v>
      </c>
      <c r="C124" s="5">
        <v>25</v>
      </c>
      <c r="D124" s="5">
        <v>4</v>
      </c>
      <c r="E124" s="5" t="s">
        <v>393</v>
      </c>
      <c r="F124" s="5" t="s">
        <v>647</v>
      </c>
      <c r="G124" s="5">
        <v>0</v>
      </c>
      <c r="H124" s="5">
        <v>0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Z124" s="5">
        <v>0</v>
      </c>
      <c r="AA124" s="5">
        <v>0</v>
      </c>
      <c r="AB124" s="5">
        <v>0</v>
      </c>
    </row>
    <row r="125" spans="1:28" x14ac:dyDescent="0.25">
      <c r="A125" s="6" t="s">
        <v>690</v>
      </c>
      <c r="B125" s="6" t="s">
        <v>43</v>
      </c>
      <c r="C125" s="6">
        <v>29</v>
      </c>
      <c r="D125" s="6">
        <v>7</v>
      </c>
      <c r="E125" s="6" t="s">
        <v>691</v>
      </c>
      <c r="F125" s="6" t="s">
        <v>647</v>
      </c>
      <c r="G125" s="6">
        <v>0</v>
      </c>
      <c r="H125" s="6">
        <v>0</v>
      </c>
      <c r="I125" s="6">
        <v>0</v>
      </c>
      <c r="J125" s="6">
        <v>0</v>
      </c>
      <c r="K125" s="6">
        <v>0</v>
      </c>
      <c r="L125" s="6">
        <v>0</v>
      </c>
      <c r="M125" s="6">
        <v>0</v>
      </c>
      <c r="N125" s="6">
        <v>0</v>
      </c>
      <c r="O125" s="6">
        <v>0</v>
      </c>
      <c r="P125" s="6">
        <v>0</v>
      </c>
      <c r="Q125" s="6">
        <v>0</v>
      </c>
      <c r="R125" s="6">
        <v>0</v>
      </c>
      <c r="S125" s="6">
        <v>0</v>
      </c>
      <c r="T125" s="6">
        <v>0</v>
      </c>
      <c r="U125" s="6">
        <v>0</v>
      </c>
      <c r="V125" s="6">
        <v>0</v>
      </c>
      <c r="W125" s="6">
        <v>0</v>
      </c>
      <c r="X125" s="6">
        <v>0</v>
      </c>
      <c r="Y125" s="6">
        <v>0</v>
      </c>
      <c r="Z125" s="6">
        <v>0</v>
      </c>
      <c r="AA125" s="6">
        <v>0</v>
      </c>
      <c r="AB125" s="6">
        <v>0</v>
      </c>
    </row>
    <row r="126" spans="1:28" x14ac:dyDescent="0.25">
      <c r="A126" s="5" t="s">
        <v>692</v>
      </c>
      <c r="B126" s="5" t="s">
        <v>43</v>
      </c>
      <c r="C126" s="5">
        <v>28</v>
      </c>
      <c r="D126" s="5">
        <v>7</v>
      </c>
      <c r="E126" s="5" t="s">
        <v>307</v>
      </c>
      <c r="F126" s="5" t="s">
        <v>647</v>
      </c>
      <c r="G126" s="5">
        <v>0</v>
      </c>
      <c r="H126" s="5">
        <v>0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Z126" s="5">
        <v>0</v>
      </c>
      <c r="AA126" s="5">
        <v>0</v>
      </c>
      <c r="AB126" s="5">
        <v>0</v>
      </c>
    </row>
    <row r="127" spans="1:28" x14ac:dyDescent="0.25">
      <c r="A127" s="6" t="s">
        <v>693</v>
      </c>
      <c r="B127" s="6" t="s">
        <v>43</v>
      </c>
      <c r="C127" s="6">
        <v>23</v>
      </c>
      <c r="D127" s="6">
        <v>3</v>
      </c>
      <c r="E127" s="6" t="s">
        <v>78</v>
      </c>
      <c r="F127" s="6" t="s">
        <v>647</v>
      </c>
      <c r="G127" s="6">
        <v>0</v>
      </c>
      <c r="H127" s="6">
        <v>0</v>
      </c>
      <c r="I127" s="6">
        <v>0</v>
      </c>
      <c r="J127" s="6">
        <v>0</v>
      </c>
      <c r="K127" s="6">
        <v>0</v>
      </c>
      <c r="L127" s="6">
        <v>0</v>
      </c>
      <c r="M127" s="6">
        <v>0</v>
      </c>
      <c r="N127" s="6">
        <v>0</v>
      </c>
      <c r="O127" s="6">
        <v>0</v>
      </c>
      <c r="P127" s="6">
        <v>0</v>
      </c>
      <c r="Q127" s="6">
        <v>0</v>
      </c>
      <c r="R127" s="6">
        <v>0</v>
      </c>
      <c r="S127" s="6">
        <v>0</v>
      </c>
      <c r="T127" s="6">
        <v>0</v>
      </c>
      <c r="U127" s="6">
        <v>0</v>
      </c>
      <c r="V127" s="6">
        <v>0</v>
      </c>
      <c r="W127" s="6">
        <v>0</v>
      </c>
      <c r="X127" s="6">
        <v>0</v>
      </c>
      <c r="Y127" s="6">
        <v>0</v>
      </c>
      <c r="Z127" s="6">
        <v>0</v>
      </c>
      <c r="AA127" s="6">
        <v>0</v>
      </c>
      <c r="AB127" s="6">
        <v>0</v>
      </c>
    </row>
    <row r="128" spans="1:28" x14ac:dyDescent="0.25">
      <c r="A128" s="5" t="s">
        <v>732</v>
      </c>
      <c r="B128" s="5" t="s">
        <v>43</v>
      </c>
      <c r="C128" s="5">
        <v>23</v>
      </c>
      <c r="D128" s="5">
        <v>0</v>
      </c>
      <c r="E128" s="5" t="s">
        <v>733</v>
      </c>
      <c r="F128" s="5" t="s">
        <v>704</v>
      </c>
      <c r="G128" s="5">
        <v>0</v>
      </c>
      <c r="H128" s="5">
        <v>0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Z128" s="5">
        <v>0</v>
      </c>
      <c r="AA128" s="5">
        <v>0</v>
      </c>
      <c r="AB128" s="5">
        <v>0</v>
      </c>
    </row>
    <row r="129" spans="1:28" x14ac:dyDescent="0.25">
      <c r="A129" s="6" t="s">
        <v>734</v>
      </c>
      <c r="B129" s="6" t="s">
        <v>43</v>
      </c>
      <c r="C129" s="6"/>
      <c r="D129" s="6">
        <v>0</v>
      </c>
      <c r="E129" s="6" t="s">
        <v>91</v>
      </c>
      <c r="F129" s="6" t="s">
        <v>704</v>
      </c>
      <c r="G129" s="6">
        <v>0</v>
      </c>
      <c r="H129" s="6">
        <v>0</v>
      </c>
      <c r="I129" s="6">
        <v>0</v>
      </c>
      <c r="J129" s="6">
        <v>0</v>
      </c>
      <c r="K129" s="6">
        <v>0</v>
      </c>
      <c r="L129" s="6">
        <v>0</v>
      </c>
      <c r="M129" s="6">
        <v>0</v>
      </c>
      <c r="N129" s="6">
        <v>0</v>
      </c>
      <c r="O129" s="6">
        <v>0</v>
      </c>
      <c r="P129" s="6">
        <v>0</v>
      </c>
      <c r="Q129" s="6">
        <v>0</v>
      </c>
      <c r="R129" s="6">
        <v>0</v>
      </c>
      <c r="S129" s="6">
        <v>0</v>
      </c>
      <c r="T129" s="6">
        <v>0</v>
      </c>
      <c r="U129" s="6">
        <v>0</v>
      </c>
      <c r="V129" s="6">
        <v>0</v>
      </c>
      <c r="W129" s="6">
        <v>0</v>
      </c>
      <c r="X129" s="6">
        <v>0</v>
      </c>
      <c r="Y129" s="6">
        <v>0</v>
      </c>
      <c r="Z129" s="6">
        <v>0</v>
      </c>
      <c r="AA129" s="6">
        <v>0</v>
      </c>
      <c r="AB129" s="6">
        <v>0</v>
      </c>
    </row>
    <row r="130" spans="1:28" x14ac:dyDescent="0.25">
      <c r="A130" s="5" t="s">
        <v>735</v>
      </c>
      <c r="B130" s="5" t="s">
        <v>43</v>
      </c>
      <c r="C130" s="5">
        <v>23</v>
      </c>
      <c r="D130" s="5">
        <v>2</v>
      </c>
      <c r="E130" s="5" t="s">
        <v>736</v>
      </c>
      <c r="F130" s="5" t="s">
        <v>704</v>
      </c>
      <c r="G130" s="5">
        <v>0</v>
      </c>
      <c r="H130" s="5">
        <v>0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0</v>
      </c>
      <c r="Q130" s="5">
        <v>0</v>
      </c>
      <c r="R130" s="5">
        <v>0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Z130" s="5">
        <v>0</v>
      </c>
      <c r="AA130" s="5">
        <v>0</v>
      </c>
      <c r="AB130" s="5">
        <v>0</v>
      </c>
    </row>
    <row r="131" spans="1:28" x14ac:dyDescent="0.25">
      <c r="A131" s="6" t="s">
        <v>737</v>
      </c>
      <c r="B131" s="6" t="s">
        <v>43</v>
      </c>
      <c r="C131" s="6">
        <v>22</v>
      </c>
      <c r="D131" s="6">
        <v>0</v>
      </c>
      <c r="E131" s="6" t="s">
        <v>738</v>
      </c>
      <c r="F131" s="6" t="s">
        <v>704</v>
      </c>
      <c r="G131" s="6">
        <v>0</v>
      </c>
      <c r="H131" s="6">
        <v>0</v>
      </c>
      <c r="I131" s="6">
        <v>0</v>
      </c>
      <c r="J131" s="6">
        <v>0</v>
      </c>
      <c r="K131" s="6">
        <v>0</v>
      </c>
      <c r="L131" s="6">
        <v>0</v>
      </c>
      <c r="M131" s="6">
        <v>0</v>
      </c>
      <c r="N131" s="6">
        <v>0</v>
      </c>
      <c r="O131" s="6">
        <v>0</v>
      </c>
      <c r="P131" s="6">
        <v>0</v>
      </c>
      <c r="Q131" s="6">
        <v>0</v>
      </c>
      <c r="R131" s="6">
        <v>0</v>
      </c>
      <c r="S131" s="6">
        <v>0</v>
      </c>
      <c r="T131" s="6">
        <v>0</v>
      </c>
      <c r="U131" s="6">
        <v>0</v>
      </c>
      <c r="V131" s="6">
        <v>0</v>
      </c>
      <c r="W131" s="6">
        <v>0</v>
      </c>
      <c r="X131" s="6">
        <v>0</v>
      </c>
      <c r="Y131" s="6">
        <v>0</v>
      </c>
      <c r="Z131" s="6">
        <v>0</v>
      </c>
      <c r="AA131" s="6">
        <v>0</v>
      </c>
      <c r="AB131" s="6">
        <v>0</v>
      </c>
    </row>
    <row r="132" spans="1:28" x14ac:dyDescent="0.25">
      <c r="A132" s="5" t="s">
        <v>739</v>
      </c>
      <c r="B132" s="5" t="s">
        <v>43</v>
      </c>
      <c r="C132" s="5">
        <v>23</v>
      </c>
      <c r="D132" s="5">
        <v>0</v>
      </c>
      <c r="E132" s="5" t="s">
        <v>240</v>
      </c>
      <c r="F132" s="5" t="s">
        <v>704</v>
      </c>
      <c r="G132" s="5">
        <v>0</v>
      </c>
      <c r="H132" s="5">
        <v>0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0</v>
      </c>
      <c r="Q132" s="5">
        <v>0</v>
      </c>
      <c r="R132" s="5">
        <v>0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Z132" s="5">
        <v>0</v>
      </c>
      <c r="AA132" s="5">
        <v>0</v>
      </c>
      <c r="AB132" s="5">
        <v>0</v>
      </c>
    </row>
    <row r="133" spans="1:28" x14ac:dyDescent="0.25">
      <c r="A133" s="6" t="s">
        <v>740</v>
      </c>
      <c r="B133" s="6" t="s">
        <v>43</v>
      </c>
      <c r="C133" s="6">
        <v>24</v>
      </c>
      <c r="D133" s="6">
        <v>1</v>
      </c>
      <c r="E133" s="6" t="s">
        <v>215</v>
      </c>
      <c r="F133" s="6" t="s">
        <v>704</v>
      </c>
      <c r="G133" s="6">
        <v>0</v>
      </c>
      <c r="H133" s="6">
        <v>0</v>
      </c>
      <c r="I133" s="6">
        <v>0</v>
      </c>
      <c r="J133" s="6">
        <v>0</v>
      </c>
      <c r="K133" s="6">
        <v>0</v>
      </c>
      <c r="L133" s="6">
        <v>0</v>
      </c>
      <c r="M133" s="6">
        <v>0</v>
      </c>
      <c r="N133" s="6">
        <v>0</v>
      </c>
      <c r="O133" s="6">
        <v>0</v>
      </c>
      <c r="P133" s="6">
        <v>0</v>
      </c>
      <c r="Q133" s="6">
        <v>0</v>
      </c>
      <c r="R133" s="6">
        <v>0</v>
      </c>
      <c r="S133" s="6">
        <v>0</v>
      </c>
      <c r="T133" s="6">
        <v>0</v>
      </c>
      <c r="U133" s="6">
        <v>0</v>
      </c>
      <c r="V133" s="6">
        <v>0</v>
      </c>
      <c r="W133" s="6">
        <v>0</v>
      </c>
      <c r="X133" s="6">
        <v>0</v>
      </c>
      <c r="Y133" s="6">
        <v>0</v>
      </c>
      <c r="Z133" s="6">
        <v>0</v>
      </c>
      <c r="AA133" s="6">
        <v>0</v>
      </c>
      <c r="AB133" s="6">
        <v>0</v>
      </c>
    </row>
    <row r="134" spans="1:28" x14ac:dyDescent="0.25">
      <c r="A134" s="5" t="s">
        <v>741</v>
      </c>
      <c r="B134" s="5" t="s">
        <v>43</v>
      </c>
      <c r="C134" s="5">
        <v>25</v>
      </c>
      <c r="D134" s="5">
        <v>1</v>
      </c>
      <c r="E134" s="5" t="s">
        <v>742</v>
      </c>
      <c r="F134" s="5" t="s">
        <v>704</v>
      </c>
      <c r="G134" s="5">
        <v>0</v>
      </c>
      <c r="H134" s="5">
        <v>0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 s="5">
        <v>0</v>
      </c>
      <c r="O134" s="5">
        <v>0</v>
      </c>
      <c r="P134" s="5">
        <v>0</v>
      </c>
      <c r="Q134" s="5">
        <v>0</v>
      </c>
      <c r="R134" s="5">
        <v>0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Z134" s="5">
        <v>0</v>
      </c>
      <c r="AA134" s="5">
        <v>0</v>
      </c>
      <c r="AB134" s="5">
        <v>0</v>
      </c>
    </row>
    <row r="135" spans="1:28" x14ac:dyDescent="0.25">
      <c r="A135" s="6" t="s">
        <v>743</v>
      </c>
      <c r="B135" s="6" t="s">
        <v>43</v>
      </c>
      <c r="C135" s="6">
        <v>23</v>
      </c>
      <c r="D135" s="6">
        <v>0</v>
      </c>
      <c r="E135" s="6" t="s">
        <v>744</v>
      </c>
      <c r="F135" s="6" t="s">
        <v>704</v>
      </c>
      <c r="G135" s="6">
        <v>0</v>
      </c>
      <c r="H135" s="6">
        <v>0</v>
      </c>
      <c r="I135" s="6">
        <v>0</v>
      </c>
      <c r="J135" s="6">
        <v>0</v>
      </c>
      <c r="K135" s="6">
        <v>0</v>
      </c>
      <c r="L135" s="6">
        <v>0</v>
      </c>
      <c r="M135" s="6">
        <v>0</v>
      </c>
      <c r="N135" s="6">
        <v>0</v>
      </c>
      <c r="O135" s="6">
        <v>0</v>
      </c>
      <c r="P135" s="6">
        <v>0</v>
      </c>
      <c r="Q135" s="6">
        <v>0</v>
      </c>
      <c r="R135" s="6">
        <v>0</v>
      </c>
      <c r="S135" s="6">
        <v>0</v>
      </c>
      <c r="T135" s="6">
        <v>0</v>
      </c>
      <c r="U135" s="6">
        <v>0</v>
      </c>
      <c r="V135" s="6">
        <v>0</v>
      </c>
      <c r="W135" s="6">
        <v>0</v>
      </c>
      <c r="X135" s="6">
        <v>0</v>
      </c>
      <c r="Y135" s="6">
        <v>0</v>
      </c>
      <c r="Z135" s="6">
        <v>0</v>
      </c>
      <c r="AA135" s="6">
        <v>0</v>
      </c>
      <c r="AB135" s="6">
        <v>0</v>
      </c>
    </row>
    <row r="136" spans="1:28" x14ac:dyDescent="0.25">
      <c r="A136" s="5" t="s">
        <v>745</v>
      </c>
      <c r="B136" s="5" t="s">
        <v>43</v>
      </c>
      <c r="C136" s="5">
        <v>25</v>
      </c>
      <c r="D136" s="5">
        <v>2</v>
      </c>
      <c r="E136" s="5" t="s">
        <v>248</v>
      </c>
      <c r="F136" s="5" t="s">
        <v>704</v>
      </c>
      <c r="G136" s="5">
        <v>0</v>
      </c>
      <c r="H136" s="5">
        <v>0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 s="5">
        <v>0</v>
      </c>
      <c r="O136" s="5">
        <v>0</v>
      </c>
      <c r="P136" s="5">
        <v>0</v>
      </c>
      <c r="Q136" s="5">
        <v>0</v>
      </c>
      <c r="R136" s="5">
        <v>0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Z136" s="5">
        <v>0</v>
      </c>
      <c r="AA136" s="5">
        <v>0</v>
      </c>
      <c r="AB136" s="5">
        <v>0</v>
      </c>
    </row>
    <row r="137" spans="1:28" x14ac:dyDescent="0.25">
      <c r="A137" s="6" t="s">
        <v>746</v>
      </c>
      <c r="B137" s="6" t="s">
        <v>43</v>
      </c>
      <c r="C137" s="6">
        <v>24</v>
      </c>
      <c r="D137" s="6">
        <v>2</v>
      </c>
      <c r="E137" s="6" t="s">
        <v>555</v>
      </c>
      <c r="F137" s="6" t="s">
        <v>704</v>
      </c>
      <c r="G137" s="6">
        <v>0</v>
      </c>
      <c r="H137" s="6">
        <v>0</v>
      </c>
      <c r="I137" s="6">
        <v>0</v>
      </c>
      <c r="J137" s="6">
        <v>0</v>
      </c>
      <c r="K137" s="6">
        <v>0</v>
      </c>
      <c r="L137" s="6">
        <v>0</v>
      </c>
      <c r="M137" s="6">
        <v>0</v>
      </c>
      <c r="N137" s="6">
        <v>0</v>
      </c>
      <c r="O137" s="6">
        <v>0</v>
      </c>
      <c r="P137" s="6">
        <v>0</v>
      </c>
      <c r="Q137" s="6">
        <v>0</v>
      </c>
      <c r="R137" s="6">
        <v>0</v>
      </c>
      <c r="S137" s="6">
        <v>0</v>
      </c>
      <c r="T137" s="6">
        <v>0</v>
      </c>
      <c r="U137" s="6">
        <v>0</v>
      </c>
      <c r="V137" s="6">
        <v>0</v>
      </c>
      <c r="W137" s="6">
        <v>0</v>
      </c>
      <c r="X137" s="6">
        <v>0</v>
      </c>
      <c r="Y137" s="6">
        <v>0</v>
      </c>
      <c r="Z137" s="6">
        <v>0</v>
      </c>
      <c r="AA137" s="6">
        <v>0</v>
      </c>
      <c r="AB137" s="6">
        <v>0</v>
      </c>
    </row>
    <row r="138" spans="1:28" x14ac:dyDescent="0.25">
      <c r="A138" s="5" t="s">
        <v>747</v>
      </c>
      <c r="B138" s="5" t="s">
        <v>43</v>
      </c>
      <c r="C138" s="5">
        <v>23</v>
      </c>
      <c r="D138" s="5">
        <v>0</v>
      </c>
      <c r="E138" s="5" t="s">
        <v>405</v>
      </c>
      <c r="F138" s="5" t="s">
        <v>704</v>
      </c>
      <c r="G138" s="5">
        <v>0</v>
      </c>
      <c r="H138" s="5">
        <v>0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 s="5">
        <v>0</v>
      </c>
      <c r="O138" s="5">
        <v>0</v>
      </c>
      <c r="P138" s="5">
        <v>0</v>
      </c>
      <c r="Q138" s="5">
        <v>0</v>
      </c>
      <c r="R138" s="5">
        <v>0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Z138" s="5">
        <v>0</v>
      </c>
      <c r="AA138" s="5">
        <v>0</v>
      </c>
      <c r="AB138" s="5">
        <v>0</v>
      </c>
    </row>
    <row r="139" spans="1:28" x14ac:dyDescent="0.25">
      <c r="A139" s="5" t="s">
        <v>786</v>
      </c>
      <c r="B139" s="5" t="s">
        <v>43</v>
      </c>
      <c r="C139" s="5">
        <v>27</v>
      </c>
      <c r="D139" s="5">
        <v>1</v>
      </c>
      <c r="E139" s="5" t="s">
        <v>95</v>
      </c>
      <c r="F139" s="5" t="s">
        <v>756</v>
      </c>
      <c r="G139" s="5">
        <v>0</v>
      </c>
      <c r="H139" s="5">
        <v>0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 s="5">
        <v>0</v>
      </c>
      <c r="O139" s="5">
        <v>0</v>
      </c>
      <c r="P139" s="5">
        <v>0</v>
      </c>
      <c r="Q139" s="5">
        <v>0</v>
      </c>
      <c r="R139" s="5">
        <v>0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Z139" s="5">
        <v>0</v>
      </c>
      <c r="AA139" s="5">
        <v>0</v>
      </c>
      <c r="AB139" s="5">
        <v>0</v>
      </c>
    </row>
    <row r="140" spans="1:28" x14ac:dyDescent="0.25">
      <c r="A140" s="6" t="s">
        <v>787</v>
      </c>
      <c r="B140" s="6" t="s">
        <v>43</v>
      </c>
      <c r="C140" s="6">
        <v>27</v>
      </c>
      <c r="D140" s="6">
        <v>7</v>
      </c>
      <c r="E140" s="6" t="s">
        <v>213</v>
      </c>
      <c r="F140" s="6" t="s">
        <v>756</v>
      </c>
      <c r="G140" s="6">
        <v>0</v>
      </c>
      <c r="H140" s="6">
        <v>0</v>
      </c>
      <c r="I140" s="6">
        <v>0</v>
      </c>
      <c r="J140" s="6">
        <v>0</v>
      </c>
      <c r="K140" s="6">
        <v>0</v>
      </c>
      <c r="L140" s="6">
        <v>0</v>
      </c>
      <c r="M140" s="6">
        <v>0</v>
      </c>
      <c r="N140" s="6">
        <v>0</v>
      </c>
      <c r="O140" s="6">
        <v>0</v>
      </c>
      <c r="P140" s="6">
        <v>0</v>
      </c>
      <c r="Q140" s="6">
        <v>0</v>
      </c>
      <c r="R140" s="6">
        <v>0</v>
      </c>
      <c r="S140" s="6">
        <v>0</v>
      </c>
      <c r="T140" s="6">
        <v>0</v>
      </c>
      <c r="U140" s="6">
        <v>0</v>
      </c>
      <c r="V140" s="6">
        <v>0</v>
      </c>
      <c r="W140" s="6">
        <v>0</v>
      </c>
      <c r="X140" s="6">
        <v>0</v>
      </c>
      <c r="Y140" s="6">
        <v>0</v>
      </c>
      <c r="Z140" s="6">
        <v>0</v>
      </c>
      <c r="AA140" s="6">
        <v>0</v>
      </c>
      <c r="AB140" s="6">
        <v>0</v>
      </c>
    </row>
    <row r="141" spans="1:28" x14ac:dyDescent="0.25">
      <c r="A141" s="5" t="s">
        <v>788</v>
      </c>
      <c r="B141" s="5" t="s">
        <v>43</v>
      </c>
      <c r="C141" s="5">
        <v>25</v>
      </c>
      <c r="D141" s="5">
        <v>1</v>
      </c>
      <c r="E141" s="5" t="s">
        <v>455</v>
      </c>
      <c r="F141" s="5" t="s">
        <v>756</v>
      </c>
      <c r="G141" s="5">
        <v>0</v>
      </c>
      <c r="H141" s="5">
        <v>0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 s="5">
        <v>0</v>
      </c>
      <c r="O141" s="5">
        <v>0</v>
      </c>
      <c r="P141" s="5">
        <v>0</v>
      </c>
      <c r="Q141" s="5">
        <v>0</v>
      </c>
      <c r="R141" s="5">
        <v>0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Z141" s="5">
        <v>0</v>
      </c>
      <c r="AA141" s="5">
        <v>0</v>
      </c>
      <c r="AB141" s="5">
        <v>0</v>
      </c>
    </row>
    <row r="142" spans="1:28" x14ac:dyDescent="0.25">
      <c r="A142" s="6" t="s">
        <v>789</v>
      </c>
      <c r="B142" s="6" t="s">
        <v>43</v>
      </c>
      <c r="C142" s="6">
        <v>24</v>
      </c>
      <c r="D142" s="6">
        <v>3</v>
      </c>
      <c r="E142" s="6" t="s">
        <v>105</v>
      </c>
      <c r="F142" s="6" t="s">
        <v>756</v>
      </c>
      <c r="G142" s="6">
        <v>0</v>
      </c>
      <c r="H142" s="6">
        <v>0</v>
      </c>
      <c r="I142" s="6">
        <v>0</v>
      </c>
      <c r="J142" s="6">
        <v>0</v>
      </c>
      <c r="K142" s="6">
        <v>0</v>
      </c>
      <c r="L142" s="6">
        <v>0</v>
      </c>
      <c r="M142" s="6">
        <v>0</v>
      </c>
      <c r="N142" s="6">
        <v>0</v>
      </c>
      <c r="O142" s="6">
        <v>0</v>
      </c>
      <c r="P142" s="6">
        <v>0</v>
      </c>
      <c r="Q142" s="6">
        <v>0</v>
      </c>
      <c r="R142" s="6">
        <v>0</v>
      </c>
      <c r="S142" s="6">
        <v>0</v>
      </c>
      <c r="T142" s="6">
        <v>0</v>
      </c>
      <c r="U142" s="6">
        <v>0</v>
      </c>
      <c r="V142" s="6">
        <v>0</v>
      </c>
      <c r="W142" s="6">
        <v>0</v>
      </c>
      <c r="X142" s="6">
        <v>0</v>
      </c>
      <c r="Y142" s="6">
        <v>0</v>
      </c>
      <c r="Z142" s="6">
        <v>0</v>
      </c>
      <c r="AA142" s="6">
        <v>0</v>
      </c>
      <c r="AB142" s="6">
        <v>0</v>
      </c>
    </row>
    <row r="143" spans="1:28" x14ac:dyDescent="0.25">
      <c r="A143" s="5" t="s">
        <v>790</v>
      </c>
      <c r="B143" s="5" t="s">
        <v>43</v>
      </c>
      <c r="C143" s="5">
        <v>23</v>
      </c>
      <c r="D143" s="5">
        <v>0</v>
      </c>
      <c r="E143" s="5" t="s">
        <v>70</v>
      </c>
      <c r="F143" s="5" t="s">
        <v>756</v>
      </c>
      <c r="G143" s="5">
        <v>0</v>
      </c>
      <c r="H143" s="5">
        <v>0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 s="5">
        <v>0</v>
      </c>
      <c r="O143" s="5">
        <v>0</v>
      </c>
      <c r="P143" s="5">
        <v>0</v>
      </c>
      <c r="Q143" s="5">
        <v>0</v>
      </c>
      <c r="R143" s="5">
        <v>0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Z143" s="5">
        <v>0</v>
      </c>
      <c r="AA143" s="5">
        <v>0</v>
      </c>
      <c r="AB143" s="5">
        <v>0</v>
      </c>
    </row>
    <row r="144" spans="1:28" x14ac:dyDescent="0.25">
      <c r="A144" s="6" t="s">
        <v>791</v>
      </c>
      <c r="B144" s="6" t="s">
        <v>43</v>
      </c>
      <c r="C144" s="6">
        <v>30</v>
      </c>
      <c r="D144" s="6">
        <v>8</v>
      </c>
      <c r="E144" s="6" t="s">
        <v>458</v>
      </c>
      <c r="F144" s="6" t="s">
        <v>756</v>
      </c>
      <c r="G144" s="6">
        <v>0</v>
      </c>
      <c r="H144" s="6">
        <v>0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 s="6">
        <v>0</v>
      </c>
      <c r="O144" s="6">
        <v>0</v>
      </c>
      <c r="P144" s="6">
        <v>0</v>
      </c>
      <c r="Q144" s="6">
        <v>0</v>
      </c>
      <c r="R144" s="6">
        <v>0</v>
      </c>
      <c r="S144" s="6">
        <v>0</v>
      </c>
      <c r="T144" s="6">
        <v>0</v>
      </c>
      <c r="U144" s="6">
        <v>0</v>
      </c>
      <c r="V144" s="6">
        <v>0</v>
      </c>
      <c r="W144" s="6">
        <v>0</v>
      </c>
      <c r="X144" s="6">
        <v>0</v>
      </c>
      <c r="Y144" s="6">
        <v>0</v>
      </c>
      <c r="Z144" s="6">
        <v>0</v>
      </c>
      <c r="AA144" s="6">
        <v>0</v>
      </c>
      <c r="AB144" s="6">
        <v>0</v>
      </c>
    </row>
    <row r="145" spans="1:28" x14ac:dyDescent="0.25">
      <c r="A145" s="5" t="s">
        <v>792</v>
      </c>
      <c r="B145" s="5" t="s">
        <v>43</v>
      </c>
      <c r="C145" s="5">
        <v>23</v>
      </c>
      <c r="D145" s="5">
        <v>0</v>
      </c>
      <c r="E145" s="5" t="s">
        <v>244</v>
      </c>
      <c r="F145" s="5" t="s">
        <v>756</v>
      </c>
      <c r="G145" s="5">
        <v>0</v>
      </c>
      <c r="H145" s="5">
        <v>0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 s="5">
        <v>0</v>
      </c>
      <c r="O145" s="5">
        <v>0</v>
      </c>
      <c r="P145" s="5">
        <v>0</v>
      </c>
      <c r="Q145" s="5">
        <v>0</v>
      </c>
      <c r="R145" s="5">
        <v>0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Z145" s="5">
        <v>0</v>
      </c>
      <c r="AA145" s="5">
        <v>0</v>
      </c>
      <c r="AB145" s="5">
        <v>0</v>
      </c>
    </row>
    <row r="146" spans="1:28" x14ac:dyDescent="0.25">
      <c r="A146" s="6" t="s">
        <v>793</v>
      </c>
      <c r="B146" s="6" t="s">
        <v>43</v>
      </c>
      <c r="C146" s="6">
        <v>24</v>
      </c>
      <c r="D146" s="6">
        <v>1</v>
      </c>
      <c r="E146" s="6" t="s">
        <v>205</v>
      </c>
      <c r="F146" s="6" t="s">
        <v>756</v>
      </c>
      <c r="G146" s="6">
        <v>0</v>
      </c>
      <c r="H146" s="6">
        <v>0</v>
      </c>
      <c r="I146" s="6">
        <v>0</v>
      </c>
      <c r="J146" s="6">
        <v>0</v>
      </c>
      <c r="K146" s="6">
        <v>0</v>
      </c>
      <c r="L146" s="6">
        <v>0</v>
      </c>
      <c r="M146" s="6">
        <v>0</v>
      </c>
      <c r="N146" s="6">
        <v>0</v>
      </c>
      <c r="O146" s="6">
        <v>0</v>
      </c>
      <c r="P146" s="6">
        <v>0</v>
      </c>
      <c r="Q146" s="6">
        <v>0</v>
      </c>
      <c r="R146" s="6">
        <v>0</v>
      </c>
      <c r="S146" s="6">
        <v>0</v>
      </c>
      <c r="T146" s="6">
        <v>0</v>
      </c>
      <c r="U146" s="6">
        <v>0</v>
      </c>
      <c r="V146" s="6">
        <v>0</v>
      </c>
      <c r="W146" s="6">
        <v>0</v>
      </c>
      <c r="X146" s="6">
        <v>0</v>
      </c>
      <c r="Y146" s="6">
        <v>0</v>
      </c>
      <c r="Z146" s="6">
        <v>0</v>
      </c>
      <c r="AA146" s="6">
        <v>0</v>
      </c>
      <c r="AB146" s="6">
        <v>0</v>
      </c>
    </row>
    <row r="147" spans="1:28" x14ac:dyDescent="0.25">
      <c r="A147" s="5" t="s">
        <v>794</v>
      </c>
      <c r="B147" s="5" t="s">
        <v>43</v>
      </c>
      <c r="C147" s="5">
        <v>24</v>
      </c>
      <c r="D147" s="5">
        <v>0</v>
      </c>
      <c r="E147" s="5" t="s">
        <v>795</v>
      </c>
      <c r="F147" s="5" t="s">
        <v>756</v>
      </c>
      <c r="G147" s="5">
        <v>0</v>
      </c>
      <c r="H147" s="5">
        <v>0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 s="5">
        <v>0</v>
      </c>
      <c r="O147" s="5">
        <v>0</v>
      </c>
      <c r="P147" s="5">
        <v>0</v>
      </c>
      <c r="Q147" s="5">
        <v>0</v>
      </c>
      <c r="R147" s="5">
        <v>0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Z147" s="5">
        <v>0</v>
      </c>
      <c r="AA147" s="5">
        <v>0</v>
      </c>
      <c r="AB147" s="5">
        <v>0</v>
      </c>
    </row>
    <row r="148" spans="1:28" x14ac:dyDescent="0.25">
      <c r="A148" s="6" t="s">
        <v>796</v>
      </c>
      <c r="B148" s="6" t="s">
        <v>43</v>
      </c>
      <c r="C148" s="6">
        <v>23</v>
      </c>
      <c r="D148" s="6">
        <v>1</v>
      </c>
      <c r="E148" s="6" t="s">
        <v>153</v>
      </c>
      <c r="F148" s="6" t="s">
        <v>756</v>
      </c>
      <c r="G148" s="6">
        <v>0</v>
      </c>
      <c r="H148" s="6">
        <v>0</v>
      </c>
      <c r="I148" s="6">
        <v>0</v>
      </c>
      <c r="J148" s="6">
        <v>0</v>
      </c>
      <c r="K148" s="6">
        <v>0</v>
      </c>
      <c r="L148" s="6">
        <v>0</v>
      </c>
      <c r="M148" s="6">
        <v>0</v>
      </c>
      <c r="N148" s="6">
        <v>0</v>
      </c>
      <c r="O148" s="6">
        <v>0</v>
      </c>
      <c r="P148" s="6">
        <v>0</v>
      </c>
      <c r="Q148" s="6">
        <v>0</v>
      </c>
      <c r="R148" s="6">
        <v>0</v>
      </c>
      <c r="S148" s="6">
        <v>0</v>
      </c>
      <c r="T148" s="6">
        <v>0</v>
      </c>
      <c r="U148" s="6">
        <v>0</v>
      </c>
      <c r="V148" s="6">
        <v>0</v>
      </c>
      <c r="W148" s="6">
        <v>0</v>
      </c>
      <c r="X148" s="6">
        <v>0</v>
      </c>
      <c r="Y148" s="6">
        <v>0</v>
      </c>
      <c r="Z148" s="6">
        <v>0</v>
      </c>
      <c r="AA148" s="6">
        <v>0</v>
      </c>
      <c r="AB148" s="6">
        <v>0</v>
      </c>
    </row>
    <row r="149" spans="1:28" x14ac:dyDescent="0.25">
      <c r="A149" s="5" t="s">
        <v>797</v>
      </c>
      <c r="B149" s="5" t="s">
        <v>43</v>
      </c>
      <c r="C149" s="5">
        <v>26</v>
      </c>
      <c r="D149" s="5">
        <v>4</v>
      </c>
      <c r="E149" s="5" t="s">
        <v>467</v>
      </c>
      <c r="F149" s="5" t="s">
        <v>756</v>
      </c>
      <c r="G149" s="5">
        <v>0</v>
      </c>
      <c r="H149" s="5">
        <v>0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 s="5">
        <v>0</v>
      </c>
      <c r="O149" s="5">
        <v>0</v>
      </c>
      <c r="P149" s="5">
        <v>0</v>
      </c>
      <c r="Q149" s="5">
        <v>0</v>
      </c>
      <c r="R149" s="5">
        <v>0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Z149" s="5">
        <v>0</v>
      </c>
      <c r="AA149" s="5">
        <v>0</v>
      </c>
      <c r="AB149" s="5">
        <v>0</v>
      </c>
    </row>
    <row r="150" spans="1:28" x14ac:dyDescent="0.25">
      <c r="A150" s="6" t="s">
        <v>798</v>
      </c>
      <c r="B150" s="6" t="s">
        <v>43</v>
      </c>
      <c r="C150" s="6">
        <v>22</v>
      </c>
      <c r="D150" s="6">
        <v>0</v>
      </c>
      <c r="E150" s="6" t="s">
        <v>74</v>
      </c>
      <c r="F150" s="6" t="s">
        <v>756</v>
      </c>
      <c r="G150" s="6">
        <v>0</v>
      </c>
      <c r="H150" s="6">
        <v>0</v>
      </c>
      <c r="I150" s="6">
        <v>0</v>
      </c>
      <c r="J150" s="6">
        <v>0</v>
      </c>
      <c r="K150" s="6">
        <v>0</v>
      </c>
      <c r="L150" s="6">
        <v>0</v>
      </c>
      <c r="M150" s="6">
        <v>0</v>
      </c>
      <c r="N150" s="6">
        <v>0</v>
      </c>
      <c r="O150" s="6">
        <v>0</v>
      </c>
      <c r="P150" s="6">
        <v>0</v>
      </c>
      <c r="Q150" s="6">
        <v>0</v>
      </c>
      <c r="R150" s="6">
        <v>0</v>
      </c>
      <c r="S150" s="6">
        <v>0</v>
      </c>
      <c r="T150" s="6">
        <v>0</v>
      </c>
      <c r="U150" s="6">
        <v>0</v>
      </c>
      <c r="V150" s="6">
        <v>0</v>
      </c>
      <c r="W150" s="6">
        <v>0</v>
      </c>
      <c r="X150" s="6">
        <v>0</v>
      </c>
      <c r="Y150" s="6">
        <v>0</v>
      </c>
      <c r="Z150" s="6">
        <v>0</v>
      </c>
      <c r="AA150" s="6">
        <v>0</v>
      </c>
      <c r="AB150" s="6">
        <v>0</v>
      </c>
    </row>
    <row r="151" spans="1:28" x14ac:dyDescent="0.25">
      <c r="A151" s="5" t="s">
        <v>838</v>
      </c>
      <c r="B151" s="5" t="s">
        <v>43</v>
      </c>
      <c r="C151" s="5"/>
      <c r="D151" s="5">
        <v>0</v>
      </c>
      <c r="E151" s="5" t="s">
        <v>839</v>
      </c>
      <c r="F151" s="5" t="s">
        <v>811</v>
      </c>
      <c r="G151" s="5">
        <v>0</v>
      </c>
      <c r="H151" s="5">
        <v>0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 s="5">
        <v>0</v>
      </c>
      <c r="O151" s="5">
        <v>0</v>
      </c>
      <c r="P151" s="5">
        <v>0</v>
      </c>
      <c r="Q151" s="5">
        <v>0</v>
      </c>
      <c r="R151" s="5">
        <v>0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Z151" s="5">
        <v>0</v>
      </c>
      <c r="AA151" s="5">
        <v>0</v>
      </c>
      <c r="AB151" s="5">
        <v>0</v>
      </c>
    </row>
    <row r="152" spans="1:28" x14ac:dyDescent="0.25">
      <c r="A152" s="6" t="s">
        <v>840</v>
      </c>
      <c r="B152" s="6" t="s">
        <v>43</v>
      </c>
      <c r="C152" s="6">
        <v>24</v>
      </c>
      <c r="D152" s="6">
        <v>0</v>
      </c>
      <c r="E152" s="6" t="s">
        <v>446</v>
      </c>
      <c r="F152" s="6" t="s">
        <v>811</v>
      </c>
      <c r="G152" s="6">
        <v>0</v>
      </c>
      <c r="H152" s="6">
        <v>0</v>
      </c>
      <c r="I152" s="6">
        <v>0</v>
      </c>
      <c r="J152" s="6">
        <v>0</v>
      </c>
      <c r="K152" s="6">
        <v>0</v>
      </c>
      <c r="L152" s="6">
        <v>0</v>
      </c>
      <c r="M152" s="6">
        <v>0</v>
      </c>
      <c r="N152" s="6">
        <v>0</v>
      </c>
      <c r="O152" s="6">
        <v>0</v>
      </c>
      <c r="P152" s="6">
        <v>0</v>
      </c>
      <c r="Q152" s="6">
        <v>0</v>
      </c>
      <c r="R152" s="6">
        <v>0</v>
      </c>
      <c r="S152" s="6">
        <v>0</v>
      </c>
      <c r="T152" s="6">
        <v>0</v>
      </c>
      <c r="U152" s="6">
        <v>0</v>
      </c>
      <c r="V152" s="6">
        <v>0</v>
      </c>
      <c r="W152" s="6">
        <v>0</v>
      </c>
      <c r="X152" s="6">
        <v>0</v>
      </c>
      <c r="Y152" s="6">
        <v>0</v>
      </c>
      <c r="Z152" s="6">
        <v>0</v>
      </c>
      <c r="AA152" s="6">
        <v>0</v>
      </c>
      <c r="AB152" s="6">
        <v>0</v>
      </c>
    </row>
    <row r="153" spans="1:28" x14ac:dyDescent="0.25">
      <c r="A153" s="5" t="s">
        <v>841</v>
      </c>
      <c r="B153" s="5" t="s">
        <v>43</v>
      </c>
      <c r="C153" s="5">
        <v>22</v>
      </c>
      <c r="D153" s="5">
        <v>0</v>
      </c>
      <c r="E153" s="5" t="s">
        <v>163</v>
      </c>
      <c r="F153" s="5" t="s">
        <v>811</v>
      </c>
      <c r="G153" s="5">
        <v>0</v>
      </c>
      <c r="H153" s="5">
        <v>0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 s="5">
        <v>0</v>
      </c>
      <c r="O153" s="5">
        <v>0</v>
      </c>
      <c r="P153" s="5">
        <v>0</v>
      </c>
      <c r="Q153" s="5">
        <v>0</v>
      </c>
      <c r="R153" s="5">
        <v>0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Z153" s="5">
        <v>0</v>
      </c>
      <c r="AA153" s="5">
        <v>0</v>
      </c>
      <c r="AB153" s="5">
        <v>0</v>
      </c>
    </row>
    <row r="154" spans="1:28" x14ac:dyDescent="0.25">
      <c r="A154" s="6" t="s">
        <v>842</v>
      </c>
      <c r="B154" s="6" t="s">
        <v>43</v>
      </c>
      <c r="C154" s="6">
        <v>26</v>
      </c>
      <c r="D154" s="6">
        <v>5</v>
      </c>
      <c r="E154" s="6" t="s">
        <v>843</v>
      </c>
      <c r="F154" s="6" t="s">
        <v>811</v>
      </c>
      <c r="G154" s="6">
        <v>0</v>
      </c>
      <c r="H154" s="6">
        <v>0</v>
      </c>
      <c r="I154" s="6">
        <v>0</v>
      </c>
      <c r="J154" s="6">
        <v>0</v>
      </c>
      <c r="K154" s="6">
        <v>0</v>
      </c>
      <c r="L154" s="6">
        <v>0</v>
      </c>
      <c r="M154" s="6">
        <v>0</v>
      </c>
      <c r="N154" s="6">
        <v>0</v>
      </c>
      <c r="O154" s="6">
        <v>0</v>
      </c>
      <c r="P154" s="6">
        <v>0</v>
      </c>
      <c r="Q154" s="6">
        <v>0</v>
      </c>
      <c r="R154" s="6">
        <v>0</v>
      </c>
      <c r="S154" s="6">
        <v>0</v>
      </c>
      <c r="T154" s="6">
        <v>0</v>
      </c>
      <c r="U154" s="6">
        <v>0</v>
      </c>
      <c r="V154" s="6">
        <v>0</v>
      </c>
      <c r="W154" s="6">
        <v>0</v>
      </c>
      <c r="X154" s="6">
        <v>0</v>
      </c>
      <c r="Y154" s="6">
        <v>0</v>
      </c>
      <c r="Z154" s="6">
        <v>0</v>
      </c>
      <c r="AA154" s="6">
        <v>0</v>
      </c>
      <c r="AB154" s="6">
        <v>0</v>
      </c>
    </row>
    <row r="155" spans="1:28" x14ac:dyDescent="0.25">
      <c r="A155" s="5" t="s">
        <v>844</v>
      </c>
      <c r="B155" s="5" t="s">
        <v>43</v>
      </c>
      <c r="C155" s="5">
        <v>28</v>
      </c>
      <c r="D155" s="5">
        <v>7</v>
      </c>
      <c r="E155" s="5" t="s">
        <v>173</v>
      </c>
      <c r="F155" s="5" t="s">
        <v>811</v>
      </c>
      <c r="G155" s="5">
        <v>0</v>
      </c>
      <c r="H155" s="5">
        <v>0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 s="5">
        <v>0</v>
      </c>
      <c r="O155" s="5">
        <v>0</v>
      </c>
      <c r="P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Z155" s="5">
        <v>0</v>
      </c>
      <c r="AA155" s="5">
        <v>0</v>
      </c>
      <c r="AB155" s="5">
        <v>0</v>
      </c>
    </row>
    <row r="156" spans="1:28" x14ac:dyDescent="0.25">
      <c r="A156" s="6" t="s">
        <v>845</v>
      </c>
      <c r="B156" s="6" t="s">
        <v>43</v>
      </c>
      <c r="C156" s="6">
        <v>29</v>
      </c>
      <c r="D156" s="6">
        <v>9</v>
      </c>
      <c r="E156" s="6" t="s">
        <v>282</v>
      </c>
      <c r="F156" s="6" t="s">
        <v>811</v>
      </c>
      <c r="G156" s="6">
        <v>0</v>
      </c>
      <c r="H156" s="6">
        <v>0</v>
      </c>
      <c r="I156" s="6">
        <v>0</v>
      </c>
      <c r="J156" s="6">
        <v>0</v>
      </c>
      <c r="K156" s="6">
        <v>0</v>
      </c>
      <c r="L156" s="6">
        <v>0</v>
      </c>
      <c r="M156" s="6">
        <v>0</v>
      </c>
      <c r="N156" s="6">
        <v>0</v>
      </c>
      <c r="O156" s="6">
        <v>0</v>
      </c>
      <c r="P156" s="6">
        <v>0</v>
      </c>
      <c r="Q156" s="6">
        <v>0</v>
      </c>
      <c r="R156" s="6">
        <v>0</v>
      </c>
      <c r="S156" s="6">
        <v>0</v>
      </c>
      <c r="T156" s="6">
        <v>0</v>
      </c>
      <c r="U156" s="6">
        <v>0</v>
      </c>
      <c r="V156" s="6">
        <v>0</v>
      </c>
      <c r="W156" s="6">
        <v>0</v>
      </c>
      <c r="X156" s="6">
        <v>0</v>
      </c>
      <c r="Y156" s="6">
        <v>0</v>
      </c>
      <c r="Z156" s="6">
        <v>0</v>
      </c>
      <c r="AA156" s="6">
        <v>0</v>
      </c>
      <c r="AB156" s="6">
        <v>0</v>
      </c>
    </row>
    <row r="157" spans="1:28" x14ac:dyDescent="0.25">
      <c r="A157" s="5" t="s">
        <v>846</v>
      </c>
      <c r="B157" s="5" t="s">
        <v>43</v>
      </c>
      <c r="C157" s="5">
        <v>23</v>
      </c>
      <c r="D157" s="5">
        <v>2</v>
      </c>
      <c r="E157" s="5" t="s">
        <v>136</v>
      </c>
      <c r="F157" s="5" t="s">
        <v>811</v>
      </c>
      <c r="G157" s="5">
        <v>0</v>
      </c>
      <c r="H157" s="5">
        <v>0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 s="5">
        <v>0</v>
      </c>
      <c r="O157" s="5">
        <v>0</v>
      </c>
      <c r="P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Z157" s="5">
        <v>0</v>
      </c>
      <c r="AA157" s="5">
        <v>0</v>
      </c>
      <c r="AB157" s="5">
        <v>0</v>
      </c>
    </row>
    <row r="158" spans="1:28" x14ac:dyDescent="0.25">
      <c r="A158" s="6" t="s">
        <v>847</v>
      </c>
      <c r="B158" s="6" t="s">
        <v>43</v>
      </c>
      <c r="C158" s="6">
        <v>25</v>
      </c>
      <c r="D158" s="6">
        <v>4</v>
      </c>
      <c r="E158" s="6" t="s">
        <v>78</v>
      </c>
      <c r="F158" s="6" t="s">
        <v>811</v>
      </c>
      <c r="G158" s="6">
        <v>0</v>
      </c>
      <c r="H158" s="6">
        <v>0</v>
      </c>
      <c r="I158" s="6">
        <v>0</v>
      </c>
      <c r="J158" s="6">
        <v>0</v>
      </c>
      <c r="K158" s="6">
        <v>0</v>
      </c>
      <c r="L158" s="6">
        <v>0</v>
      </c>
      <c r="M158" s="6">
        <v>0</v>
      </c>
      <c r="N158" s="6">
        <v>0</v>
      </c>
      <c r="O158" s="6">
        <v>0</v>
      </c>
      <c r="P158" s="6">
        <v>0</v>
      </c>
      <c r="Q158" s="6">
        <v>0</v>
      </c>
      <c r="R158" s="6">
        <v>0</v>
      </c>
      <c r="S158" s="6">
        <v>0</v>
      </c>
      <c r="T158" s="6">
        <v>0</v>
      </c>
      <c r="U158" s="6">
        <v>0</v>
      </c>
      <c r="V158" s="6">
        <v>0</v>
      </c>
      <c r="W158" s="6">
        <v>0</v>
      </c>
      <c r="X158" s="6">
        <v>0</v>
      </c>
      <c r="Y158" s="6">
        <v>0</v>
      </c>
      <c r="Z158" s="6">
        <v>0</v>
      </c>
      <c r="AA158" s="6">
        <v>0</v>
      </c>
      <c r="AB158" s="6">
        <v>0</v>
      </c>
    </row>
    <row r="159" spans="1:28" x14ac:dyDescent="0.25">
      <c r="A159" s="5" t="s">
        <v>848</v>
      </c>
      <c r="B159" s="5" t="s">
        <v>43</v>
      </c>
      <c r="C159" s="5">
        <v>23</v>
      </c>
      <c r="D159" s="5">
        <v>3</v>
      </c>
      <c r="E159" s="5" t="s">
        <v>458</v>
      </c>
      <c r="F159" s="5" t="s">
        <v>811</v>
      </c>
      <c r="G159" s="5">
        <v>0</v>
      </c>
      <c r="H159" s="5">
        <v>0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 s="5">
        <v>0</v>
      </c>
      <c r="O159" s="5">
        <v>0</v>
      </c>
      <c r="P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Z159" s="5">
        <v>0</v>
      </c>
      <c r="AA159" s="5">
        <v>0</v>
      </c>
      <c r="AB159" s="5">
        <v>0</v>
      </c>
    </row>
    <row r="160" spans="1:28" x14ac:dyDescent="0.25">
      <c r="A160" s="6" t="s">
        <v>849</v>
      </c>
      <c r="B160" s="6" t="s">
        <v>43</v>
      </c>
      <c r="C160" s="6">
        <v>27</v>
      </c>
      <c r="D160" s="6">
        <v>4</v>
      </c>
      <c r="E160" s="6" t="s">
        <v>850</v>
      </c>
      <c r="F160" s="6" t="s">
        <v>811</v>
      </c>
      <c r="G160" s="6">
        <v>0</v>
      </c>
      <c r="H160" s="6">
        <v>0</v>
      </c>
      <c r="I160" s="6">
        <v>0</v>
      </c>
      <c r="J160" s="6">
        <v>0</v>
      </c>
      <c r="K160" s="6">
        <v>0</v>
      </c>
      <c r="L160" s="6">
        <v>0</v>
      </c>
      <c r="M160" s="6">
        <v>0</v>
      </c>
      <c r="N160" s="6">
        <v>0</v>
      </c>
      <c r="O160" s="6">
        <v>0</v>
      </c>
      <c r="P160" s="6">
        <v>0</v>
      </c>
      <c r="Q160" s="6">
        <v>0</v>
      </c>
      <c r="R160" s="6">
        <v>0</v>
      </c>
      <c r="S160" s="6">
        <v>0</v>
      </c>
      <c r="T160" s="6">
        <v>0</v>
      </c>
      <c r="U160" s="6">
        <v>0</v>
      </c>
      <c r="V160" s="6">
        <v>0</v>
      </c>
      <c r="W160" s="6">
        <v>0</v>
      </c>
      <c r="X160" s="6">
        <v>0</v>
      </c>
      <c r="Y160" s="6">
        <v>0</v>
      </c>
      <c r="Z160" s="6">
        <v>0</v>
      </c>
      <c r="AA160" s="6">
        <v>0</v>
      </c>
      <c r="AB160" s="6">
        <v>0</v>
      </c>
    </row>
    <row r="161" spans="1:28" x14ac:dyDescent="0.25">
      <c r="A161" s="5" t="s">
        <v>851</v>
      </c>
      <c r="B161" s="5" t="s">
        <v>43</v>
      </c>
      <c r="C161" s="5">
        <v>26</v>
      </c>
      <c r="D161" s="5">
        <v>3</v>
      </c>
      <c r="E161" s="5" t="s">
        <v>852</v>
      </c>
      <c r="F161" s="5" t="s">
        <v>811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0</v>
      </c>
      <c r="O161" s="5">
        <v>0</v>
      </c>
      <c r="P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Z161" s="5">
        <v>0</v>
      </c>
      <c r="AA161" s="5">
        <v>0</v>
      </c>
      <c r="AB161" s="5">
        <v>0</v>
      </c>
    </row>
    <row r="162" spans="1:28" x14ac:dyDescent="0.25">
      <c r="A162" s="6" t="s">
        <v>853</v>
      </c>
      <c r="B162" s="6" t="s">
        <v>43</v>
      </c>
      <c r="C162" s="6">
        <v>27</v>
      </c>
      <c r="D162" s="6">
        <v>5</v>
      </c>
      <c r="E162" s="6" t="s">
        <v>446</v>
      </c>
      <c r="F162" s="6" t="s">
        <v>811</v>
      </c>
      <c r="G162" s="6">
        <v>0</v>
      </c>
      <c r="H162" s="6">
        <v>0</v>
      </c>
      <c r="I162" s="6">
        <v>0</v>
      </c>
      <c r="J162" s="6">
        <v>0</v>
      </c>
      <c r="K162" s="6">
        <v>0</v>
      </c>
      <c r="L162" s="6">
        <v>0</v>
      </c>
      <c r="M162" s="6">
        <v>0</v>
      </c>
      <c r="N162" s="6">
        <v>0</v>
      </c>
      <c r="O162" s="6">
        <v>0</v>
      </c>
      <c r="P162" s="6">
        <v>0</v>
      </c>
      <c r="Q162" s="6">
        <v>0</v>
      </c>
      <c r="R162" s="6">
        <v>0</v>
      </c>
      <c r="S162" s="6">
        <v>0</v>
      </c>
      <c r="T162" s="6">
        <v>0</v>
      </c>
      <c r="U162" s="6">
        <v>0</v>
      </c>
      <c r="V162" s="6">
        <v>0</v>
      </c>
      <c r="W162" s="6">
        <v>0</v>
      </c>
      <c r="X162" s="6">
        <v>0</v>
      </c>
      <c r="Y162" s="6">
        <v>0</v>
      </c>
      <c r="Z162" s="6">
        <v>0</v>
      </c>
      <c r="AA162" s="6">
        <v>0</v>
      </c>
      <c r="AB162" s="6">
        <v>0</v>
      </c>
    </row>
    <row r="163" spans="1:28" x14ac:dyDescent="0.25">
      <c r="A163" s="5" t="s">
        <v>891</v>
      </c>
      <c r="B163" s="5" t="s">
        <v>43</v>
      </c>
      <c r="C163" s="5">
        <v>28</v>
      </c>
      <c r="D163" s="5">
        <v>7</v>
      </c>
      <c r="E163" s="5" t="s">
        <v>211</v>
      </c>
      <c r="F163" s="5" t="s">
        <v>866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0</v>
      </c>
      <c r="O163" s="5">
        <v>0</v>
      </c>
      <c r="P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Z163" s="5">
        <v>0</v>
      </c>
      <c r="AA163" s="5">
        <v>0</v>
      </c>
      <c r="AB163" s="5">
        <v>0</v>
      </c>
    </row>
    <row r="164" spans="1:28" x14ac:dyDescent="0.25">
      <c r="A164" s="6" t="s">
        <v>892</v>
      </c>
      <c r="B164" s="6" t="s">
        <v>43</v>
      </c>
      <c r="C164" s="6">
        <v>23</v>
      </c>
      <c r="D164" s="6">
        <v>1</v>
      </c>
      <c r="E164" s="6" t="s">
        <v>362</v>
      </c>
      <c r="F164" s="6" t="s">
        <v>866</v>
      </c>
      <c r="G164" s="6">
        <v>0</v>
      </c>
      <c r="H164" s="6">
        <v>0</v>
      </c>
      <c r="I164" s="6">
        <v>0</v>
      </c>
      <c r="J164" s="6">
        <v>0</v>
      </c>
      <c r="K164" s="6">
        <v>0</v>
      </c>
      <c r="L164" s="6">
        <v>0</v>
      </c>
      <c r="M164" s="6">
        <v>0</v>
      </c>
      <c r="N164" s="6">
        <v>0</v>
      </c>
      <c r="O164" s="6">
        <v>0</v>
      </c>
      <c r="P164" s="6">
        <v>0</v>
      </c>
      <c r="Q164" s="6">
        <v>0</v>
      </c>
      <c r="R164" s="6">
        <v>0</v>
      </c>
      <c r="S164" s="6">
        <v>0</v>
      </c>
      <c r="T164" s="6">
        <v>0</v>
      </c>
      <c r="U164" s="6">
        <v>0</v>
      </c>
      <c r="V164" s="6">
        <v>0</v>
      </c>
      <c r="W164" s="6">
        <v>0</v>
      </c>
      <c r="X164" s="6">
        <v>0</v>
      </c>
      <c r="Y164" s="6">
        <v>0</v>
      </c>
      <c r="Z164" s="6">
        <v>0</v>
      </c>
      <c r="AA164" s="6">
        <v>0</v>
      </c>
      <c r="AB164" s="6">
        <v>0</v>
      </c>
    </row>
    <row r="165" spans="1:28" x14ac:dyDescent="0.25">
      <c r="A165" s="5" t="s">
        <v>893</v>
      </c>
      <c r="B165" s="5" t="s">
        <v>43</v>
      </c>
      <c r="C165" s="5">
        <v>24</v>
      </c>
      <c r="D165" s="5">
        <v>0</v>
      </c>
      <c r="E165" s="5" t="s">
        <v>894</v>
      </c>
      <c r="F165" s="5" t="s">
        <v>866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0</v>
      </c>
      <c r="O165" s="5">
        <v>0</v>
      </c>
      <c r="P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Z165" s="5">
        <v>0</v>
      </c>
      <c r="AA165" s="5">
        <v>0</v>
      </c>
      <c r="AB165" s="5">
        <v>0</v>
      </c>
    </row>
    <row r="166" spans="1:28" x14ac:dyDescent="0.25">
      <c r="A166" s="6" t="s">
        <v>895</v>
      </c>
      <c r="B166" s="6" t="s">
        <v>43</v>
      </c>
      <c r="C166" s="6">
        <v>26</v>
      </c>
      <c r="D166" s="6">
        <v>3</v>
      </c>
      <c r="E166" s="6" t="s">
        <v>282</v>
      </c>
      <c r="F166" s="6" t="s">
        <v>866</v>
      </c>
      <c r="G166" s="6">
        <v>0</v>
      </c>
      <c r="H166" s="6">
        <v>0</v>
      </c>
      <c r="I166" s="6">
        <v>0</v>
      </c>
      <c r="J166" s="6">
        <v>0</v>
      </c>
      <c r="K166" s="6">
        <v>0</v>
      </c>
      <c r="L166" s="6">
        <v>0</v>
      </c>
      <c r="M166" s="6">
        <v>0</v>
      </c>
      <c r="N166" s="6">
        <v>0</v>
      </c>
      <c r="O166" s="6">
        <v>0</v>
      </c>
      <c r="P166" s="6">
        <v>0</v>
      </c>
      <c r="Q166" s="6">
        <v>0</v>
      </c>
      <c r="R166" s="6">
        <v>0</v>
      </c>
      <c r="S166" s="6">
        <v>0</v>
      </c>
      <c r="T166" s="6">
        <v>0</v>
      </c>
      <c r="U166" s="6">
        <v>0</v>
      </c>
      <c r="V166" s="6">
        <v>0</v>
      </c>
      <c r="W166" s="6">
        <v>0</v>
      </c>
      <c r="X166" s="6">
        <v>0</v>
      </c>
      <c r="Y166" s="6">
        <v>0</v>
      </c>
      <c r="Z166" s="6">
        <v>0</v>
      </c>
      <c r="AA166" s="6">
        <v>0</v>
      </c>
      <c r="AB166" s="6">
        <v>0</v>
      </c>
    </row>
    <row r="167" spans="1:28" x14ac:dyDescent="0.25">
      <c r="A167" s="5" t="s">
        <v>896</v>
      </c>
      <c r="B167" s="5" t="s">
        <v>43</v>
      </c>
      <c r="C167" s="5">
        <v>23</v>
      </c>
      <c r="D167" s="5">
        <v>0</v>
      </c>
      <c r="E167" s="5" t="s">
        <v>227</v>
      </c>
      <c r="F167" s="5" t="s">
        <v>866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0</v>
      </c>
      <c r="O167" s="5">
        <v>0</v>
      </c>
      <c r="P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Z167" s="5">
        <v>0</v>
      </c>
      <c r="AA167" s="5">
        <v>0</v>
      </c>
      <c r="AB167" s="5">
        <v>0</v>
      </c>
    </row>
    <row r="168" spans="1:28" x14ac:dyDescent="0.25">
      <c r="A168" s="6" t="s">
        <v>897</v>
      </c>
      <c r="B168" s="6" t="s">
        <v>43</v>
      </c>
      <c r="C168" s="6">
        <v>25</v>
      </c>
      <c r="D168" s="6">
        <v>2</v>
      </c>
      <c r="E168" s="6" t="s">
        <v>898</v>
      </c>
      <c r="F168" s="6" t="s">
        <v>866</v>
      </c>
      <c r="G168" s="6">
        <v>0</v>
      </c>
      <c r="H168" s="6">
        <v>0</v>
      </c>
      <c r="I168" s="6">
        <v>0</v>
      </c>
      <c r="J168" s="6">
        <v>0</v>
      </c>
      <c r="K168" s="6">
        <v>0</v>
      </c>
      <c r="L168" s="6">
        <v>0</v>
      </c>
      <c r="M168" s="6">
        <v>0</v>
      </c>
      <c r="N168" s="6">
        <v>0</v>
      </c>
      <c r="O168" s="6">
        <v>0</v>
      </c>
      <c r="P168" s="6">
        <v>0</v>
      </c>
      <c r="Q168" s="6">
        <v>0</v>
      </c>
      <c r="R168" s="6">
        <v>0</v>
      </c>
      <c r="S168" s="6">
        <v>0</v>
      </c>
      <c r="T168" s="6">
        <v>0</v>
      </c>
      <c r="U168" s="6">
        <v>0</v>
      </c>
      <c r="V168" s="6">
        <v>0</v>
      </c>
      <c r="W168" s="6">
        <v>0</v>
      </c>
      <c r="X168" s="6">
        <v>0</v>
      </c>
      <c r="Y168" s="6">
        <v>0</v>
      </c>
      <c r="Z168" s="6">
        <v>0</v>
      </c>
      <c r="AA168" s="6">
        <v>0</v>
      </c>
      <c r="AB168" s="6">
        <v>0</v>
      </c>
    </row>
    <row r="169" spans="1:28" x14ac:dyDescent="0.25">
      <c r="A169" s="5" t="s">
        <v>899</v>
      </c>
      <c r="B169" s="5" t="s">
        <v>43</v>
      </c>
      <c r="C169" s="5">
        <v>28</v>
      </c>
      <c r="D169" s="5">
        <v>7</v>
      </c>
      <c r="E169" s="5" t="s">
        <v>220</v>
      </c>
      <c r="F169" s="5" t="s">
        <v>866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0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Z169" s="5">
        <v>0</v>
      </c>
      <c r="AA169" s="5">
        <v>0</v>
      </c>
      <c r="AB169" s="5">
        <v>0</v>
      </c>
    </row>
    <row r="170" spans="1:28" x14ac:dyDescent="0.25">
      <c r="A170" s="6" t="s">
        <v>900</v>
      </c>
      <c r="B170" s="6" t="s">
        <v>43</v>
      </c>
      <c r="C170" s="6">
        <v>26</v>
      </c>
      <c r="D170" s="6">
        <v>6</v>
      </c>
      <c r="E170" s="6" t="s">
        <v>307</v>
      </c>
      <c r="F170" s="6" t="s">
        <v>866</v>
      </c>
      <c r="G170" s="6">
        <v>0</v>
      </c>
      <c r="H170" s="6">
        <v>0</v>
      </c>
      <c r="I170" s="6">
        <v>0</v>
      </c>
      <c r="J170" s="6">
        <v>0</v>
      </c>
      <c r="K170" s="6">
        <v>0</v>
      </c>
      <c r="L170" s="6">
        <v>0</v>
      </c>
      <c r="M170" s="6">
        <v>0</v>
      </c>
      <c r="N170" s="6">
        <v>0</v>
      </c>
      <c r="O170" s="6">
        <v>0</v>
      </c>
      <c r="P170" s="6">
        <v>0</v>
      </c>
      <c r="Q170" s="6">
        <v>0</v>
      </c>
      <c r="R170" s="6">
        <v>0</v>
      </c>
      <c r="S170" s="6">
        <v>0</v>
      </c>
      <c r="T170" s="6">
        <v>0</v>
      </c>
      <c r="U170" s="6">
        <v>0</v>
      </c>
      <c r="V170" s="6">
        <v>0</v>
      </c>
      <c r="W170" s="6">
        <v>0</v>
      </c>
      <c r="X170" s="6">
        <v>0</v>
      </c>
      <c r="Y170" s="6">
        <v>0</v>
      </c>
      <c r="Z170" s="6">
        <v>0</v>
      </c>
      <c r="AA170" s="6">
        <v>0</v>
      </c>
      <c r="AB170" s="6">
        <v>0</v>
      </c>
    </row>
    <row r="171" spans="1:28" x14ac:dyDescent="0.25">
      <c r="A171" s="5" t="s">
        <v>901</v>
      </c>
      <c r="B171" s="5" t="s">
        <v>43</v>
      </c>
      <c r="C171" s="5">
        <v>24</v>
      </c>
      <c r="D171" s="5">
        <v>0</v>
      </c>
      <c r="E171" s="5" t="s">
        <v>248</v>
      </c>
      <c r="F171" s="5" t="s">
        <v>866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0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Z171" s="5">
        <v>0</v>
      </c>
      <c r="AA171" s="5">
        <v>0</v>
      </c>
      <c r="AB171" s="5">
        <v>0</v>
      </c>
    </row>
    <row r="172" spans="1:28" x14ac:dyDescent="0.25">
      <c r="A172" s="6" t="s">
        <v>902</v>
      </c>
      <c r="B172" s="6" t="s">
        <v>43</v>
      </c>
      <c r="C172" s="6">
        <v>25</v>
      </c>
      <c r="D172" s="6">
        <v>2</v>
      </c>
      <c r="E172" s="6" t="s">
        <v>72</v>
      </c>
      <c r="F172" s="6" t="s">
        <v>866</v>
      </c>
      <c r="G172" s="6">
        <v>0</v>
      </c>
      <c r="H172" s="6">
        <v>0</v>
      </c>
      <c r="I172" s="6">
        <v>0</v>
      </c>
      <c r="J172" s="6">
        <v>0</v>
      </c>
      <c r="K172" s="6">
        <v>0</v>
      </c>
      <c r="L172" s="6">
        <v>0</v>
      </c>
      <c r="M172" s="6">
        <v>0</v>
      </c>
      <c r="N172" s="6">
        <v>0</v>
      </c>
      <c r="O172" s="6">
        <v>0</v>
      </c>
      <c r="P172" s="6">
        <v>0</v>
      </c>
      <c r="Q172" s="6">
        <v>0</v>
      </c>
      <c r="R172" s="6">
        <v>0</v>
      </c>
      <c r="S172" s="6">
        <v>0</v>
      </c>
      <c r="T172" s="6">
        <v>0</v>
      </c>
      <c r="U172" s="6">
        <v>0</v>
      </c>
      <c r="V172" s="6">
        <v>0</v>
      </c>
      <c r="W172" s="6">
        <v>0</v>
      </c>
      <c r="X172" s="6">
        <v>0</v>
      </c>
      <c r="Y172" s="6">
        <v>0</v>
      </c>
      <c r="Z172" s="6">
        <v>0</v>
      </c>
      <c r="AA172" s="6">
        <v>0</v>
      </c>
      <c r="AB172" s="6">
        <v>0</v>
      </c>
    </row>
    <row r="173" spans="1:28" x14ac:dyDescent="0.25">
      <c r="A173" s="5" t="s">
        <v>903</v>
      </c>
      <c r="B173" s="5" t="s">
        <v>43</v>
      </c>
      <c r="C173" s="5">
        <v>28</v>
      </c>
      <c r="D173" s="5">
        <v>5</v>
      </c>
      <c r="E173" s="5" t="s">
        <v>153</v>
      </c>
      <c r="F173" s="5" t="s">
        <v>866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0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Z173" s="5">
        <v>0</v>
      </c>
      <c r="AA173" s="5">
        <v>0</v>
      </c>
      <c r="AB173" s="5">
        <v>0</v>
      </c>
    </row>
    <row r="174" spans="1:28" x14ac:dyDescent="0.25">
      <c r="A174" s="6" t="s">
        <v>904</v>
      </c>
      <c r="B174" s="6" t="s">
        <v>43</v>
      </c>
      <c r="C174" s="6">
        <v>21</v>
      </c>
      <c r="D174" s="6">
        <v>0</v>
      </c>
      <c r="E174" s="6" t="s">
        <v>339</v>
      </c>
      <c r="F174" s="6" t="s">
        <v>866</v>
      </c>
      <c r="G174" s="6">
        <v>0</v>
      </c>
      <c r="H174" s="6">
        <v>0</v>
      </c>
      <c r="I174" s="6">
        <v>0</v>
      </c>
      <c r="J174" s="6">
        <v>0</v>
      </c>
      <c r="K174" s="6">
        <v>0</v>
      </c>
      <c r="L174" s="6">
        <v>0</v>
      </c>
      <c r="M174" s="6">
        <v>0</v>
      </c>
      <c r="N174" s="6">
        <v>0</v>
      </c>
      <c r="O174" s="6">
        <v>0</v>
      </c>
      <c r="P174" s="6">
        <v>0</v>
      </c>
      <c r="Q174" s="6">
        <v>0</v>
      </c>
      <c r="R174" s="6">
        <v>0</v>
      </c>
      <c r="S174" s="6">
        <v>0</v>
      </c>
      <c r="T174" s="6">
        <v>0</v>
      </c>
      <c r="U174" s="6">
        <v>0</v>
      </c>
      <c r="V174" s="6">
        <v>0</v>
      </c>
      <c r="W174" s="6">
        <v>0</v>
      </c>
      <c r="X174" s="6">
        <v>0</v>
      </c>
      <c r="Y174" s="6">
        <v>0</v>
      </c>
      <c r="Z174" s="6">
        <v>0</v>
      </c>
      <c r="AA174" s="6">
        <v>0</v>
      </c>
      <c r="AB174" s="6">
        <v>0</v>
      </c>
    </row>
    <row r="175" spans="1:28" x14ac:dyDescent="0.25">
      <c r="A175" s="5" t="s">
        <v>944</v>
      </c>
      <c r="B175" s="5" t="s">
        <v>43</v>
      </c>
      <c r="C175" s="5">
        <v>25</v>
      </c>
      <c r="D175" s="5">
        <v>0</v>
      </c>
      <c r="E175" s="5" t="s">
        <v>666</v>
      </c>
      <c r="F175" s="5" t="s">
        <v>916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0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Z175" s="5">
        <v>0</v>
      </c>
      <c r="AA175" s="5">
        <v>0</v>
      </c>
      <c r="AB175" s="5">
        <v>0</v>
      </c>
    </row>
    <row r="176" spans="1:28" x14ac:dyDescent="0.25">
      <c r="A176" s="6" t="s">
        <v>945</v>
      </c>
      <c r="B176" s="6" t="s">
        <v>43</v>
      </c>
      <c r="C176" s="6">
        <v>22</v>
      </c>
      <c r="D176" s="6">
        <v>1</v>
      </c>
      <c r="E176" s="6" t="s">
        <v>240</v>
      </c>
      <c r="F176" s="6" t="s">
        <v>916</v>
      </c>
      <c r="G176" s="6">
        <v>0</v>
      </c>
      <c r="H176" s="6">
        <v>0</v>
      </c>
      <c r="I176" s="6">
        <v>0</v>
      </c>
      <c r="J176" s="6">
        <v>0</v>
      </c>
      <c r="K176" s="6">
        <v>0</v>
      </c>
      <c r="L176" s="6">
        <v>0</v>
      </c>
      <c r="M176" s="6">
        <v>0</v>
      </c>
      <c r="N176" s="6">
        <v>0</v>
      </c>
      <c r="O176" s="6">
        <v>0</v>
      </c>
      <c r="P176" s="6">
        <v>0</v>
      </c>
      <c r="Q176" s="6">
        <v>0</v>
      </c>
      <c r="R176" s="6">
        <v>0</v>
      </c>
      <c r="S176" s="6">
        <v>0</v>
      </c>
      <c r="T176" s="6">
        <v>0</v>
      </c>
      <c r="U176" s="6">
        <v>0</v>
      </c>
      <c r="V176" s="6">
        <v>0</v>
      </c>
      <c r="W176" s="6">
        <v>0</v>
      </c>
      <c r="X176" s="6">
        <v>0</v>
      </c>
      <c r="Y176" s="6">
        <v>0</v>
      </c>
      <c r="Z176" s="6">
        <v>0</v>
      </c>
      <c r="AA176" s="6">
        <v>0</v>
      </c>
      <c r="AB176" s="6">
        <v>0</v>
      </c>
    </row>
    <row r="177" spans="1:28" x14ac:dyDescent="0.25">
      <c r="A177" s="5" t="s">
        <v>946</v>
      </c>
      <c r="B177" s="5" t="s">
        <v>43</v>
      </c>
      <c r="C177" s="5">
        <v>24</v>
      </c>
      <c r="D177" s="5">
        <v>1</v>
      </c>
      <c r="E177" s="5" t="s">
        <v>360</v>
      </c>
      <c r="F177" s="5" t="s">
        <v>916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0</v>
      </c>
      <c r="O177" s="5">
        <v>0</v>
      </c>
      <c r="P177" s="5">
        <v>0</v>
      </c>
      <c r="Q177" s="5">
        <v>0</v>
      </c>
      <c r="R177" s="5">
        <v>0</v>
      </c>
      <c r="S177" s="5">
        <v>0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Z177" s="5">
        <v>0</v>
      </c>
      <c r="AA177" s="5">
        <v>0</v>
      </c>
      <c r="AB177" s="5">
        <v>0</v>
      </c>
    </row>
    <row r="178" spans="1:28" x14ac:dyDescent="0.25">
      <c r="A178" s="6" t="s">
        <v>947</v>
      </c>
      <c r="B178" s="6" t="s">
        <v>43</v>
      </c>
      <c r="C178" s="6">
        <v>27</v>
      </c>
      <c r="D178" s="6">
        <v>6</v>
      </c>
      <c r="E178" s="6" t="s">
        <v>298</v>
      </c>
      <c r="F178" s="6" t="s">
        <v>916</v>
      </c>
      <c r="G178" s="6">
        <v>0</v>
      </c>
      <c r="H178" s="6">
        <v>0</v>
      </c>
      <c r="I178" s="6">
        <v>0</v>
      </c>
      <c r="J178" s="6">
        <v>0</v>
      </c>
      <c r="K178" s="6">
        <v>0</v>
      </c>
      <c r="L178" s="6">
        <v>0</v>
      </c>
      <c r="M178" s="6">
        <v>0</v>
      </c>
      <c r="N178" s="6">
        <v>0</v>
      </c>
      <c r="O178" s="6">
        <v>0</v>
      </c>
      <c r="P178" s="6">
        <v>0</v>
      </c>
      <c r="Q178" s="6">
        <v>0</v>
      </c>
      <c r="R178" s="6">
        <v>0</v>
      </c>
      <c r="S178" s="6">
        <v>0</v>
      </c>
      <c r="T178" s="6">
        <v>0</v>
      </c>
      <c r="U178" s="6">
        <v>0</v>
      </c>
      <c r="V178" s="6">
        <v>0</v>
      </c>
      <c r="W178" s="6">
        <v>0</v>
      </c>
      <c r="X178" s="6">
        <v>0</v>
      </c>
      <c r="Y178" s="6">
        <v>0</v>
      </c>
      <c r="Z178" s="6">
        <v>0</v>
      </c>
      <c r="AA178" s="6">
        <v>0</v>
      </c>
      <c r="AB178" s="6">
        <v>0</v>
      </c>
    </row>
    <row r="179" spans="1:28" x14ac:dyDescent="0.25">
      <c r="A179" s="5" t="s">
        <v>948</v>
      </c>
      <c r="B179" s="5" t="s">
        <v>43</v>
      </c>
      <c r="C179" s="5">
        <v>22</v>
      </c>
      <c r="D179" s="5">
        <v>2</v>
      </c>
      <c r="E179" s="5" t="s">
        <v>357</v>
      </c>
      <c r="F179" s="5" t="s">
        <v>916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0</v>
      </c>
      <c r="O179" s="5">
        <v>0</v>
      </c>
      <c r="P179" s="5">
        <v>0</v>
      </c>
      <c r="Q179" s="5">
        <v>0</v>
      </c>
      <c r="R179" s="5">
        <v>0</v>
      </c>
      <c r="S179" s="5">
        <v>0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Z179" s="5">
        <v>0</v>
      </c>
      <c r="AA179" s="5">
        <v>0</v>
      </c>
      <c r="AB179" s="5">
        <v>0</v>
      </c>
    </row>
    <row r="180" spans="1:28" x14ac:dyDescent="0.25">
      <c r="A180" s="6" t="s">
        <v>949</v>
      </c>
      <c r="B180" s="6" t="s">
        <v>43</v>
      </c>
      <c r="C180" s="6">
        <v>25</v>
      </c>
      <c r="D180" s="6">
        <v>1</v>
      </c>
      <c r="E180" s="6" t="s">
        <v>458</v>
      </c>
      <c r="F180" s="6" t="s">
        <v>916</v>
      </c>
      <c r="G180" s="6">
        <v>0</v>
      </c>
      <c r="H180" s="6">
        <v>0</v>
      </c>
      <c r="I180" s="6">
        <v>0</v>
      </c>
      <c r="J180" s="6">
        <v>0</v>
      </c>
      <c r="K180" s="6">
        <v>0</v>
      </c>
      <c r="L180" s="6">
        <v>0</v>
      </c>
      <c r="M180" s="6">
        <v>0</v>
      </c>
      <c r="N180" s="6">
        <v>0</v>
      </c>
      <c r="O180" s="6">
        <v>0</v>
      </c>
      <c r="P180" s="6">
        <v>0</v>
      </c>
      <c r="Q180" s="6">
        <v>0</v>
      </c>
      <c r="R180" s="6">
        <v>0</v>
      </c>
      <c r="S180" s="6">
        <v>0</v>
      </c>
      <c r="T180" s="6">
        <v>0</v>
      </c>
      <c r="U180" s="6">
        <v>0</v>
      </c>
      <c r="V180" s="6">
        <v>0</v>
      </c>
      <c r="W180" s="6">
        <v>0</v>
      </c>
      <c r="X180" s="6">
        <v>0</v>
      </c>
      <c r="Y180" s="6">
        <v>0</v>
      </c>
      <c r="Z180" s="6">
        <v>0</v>
      </c>
      <c r="AA180" s="6">
        <v>0</v>
      </c>
      <c r="AB180" s="6">
        <v>0</v>
      </c>
    </row>
    <row r="181" spans="1:28" x14ac:dyDescent="0.25">
      <c r="A181" s="5" t="s">
        <v>950</v>
      </c>
      <c r="B181" s="5" t="s">
        <v>43</v>
      </c>
      <c r="C181" s="5">
        <v>23</v>
      </c>
      <c r="D181" s="5">
        <v>0</v>
      </c>
      <c r="E181" s="5" t="s">
        <v>280</v>
      </c>
      <c r="F181" s="5" t="s">
        <v>916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0</v>
      </c>
      <c r="O181" s="5">
        <v>0</v>
      </c>
      <c r="P181" s="5">
        <v>0</v>
      </c>
      <c r="Q181" s="5">
        <v>0</v>
      </c>
      <c r="R181" s="5">
        <v>0</v>
      </c>
      <c r="S181" s="5">
        <v>0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Z181" s="5">
        <v>0</v>
      </c>
      <c r="AA181" s="5">
        <v>0</v>
      </c>
      <c r="AB181" s="5">
        <v>0</v>
      </c>
    </row>
    <row r="182" spans="1:28" x14ac:dyDescent="0.25">
      <c r="A182" s="6" t="s">
        <v>951</v>
      </c>
      <c r="B182" s="6" t="s">
        <v>43</v>
      </c>
      <c r="C182" s="6">
        <v>23</v>
      </c>
      <c r="D182" s="6">
        <v>0</v>
      </c>
      <c r="E182" s="6" t="s">
        <v>237</v>
      </c>
      <c r="F182" s="6" t="s">
        <v>916</v>
      </c>
      <c r="G182" s="6">
        <v>0</v>
      </c>
      <c r="H182" s="6">
        <v>0</v>
      </c>
      <c r="I182" s="6">
        <v>0</v>
      </c>
      <c r="J182" s="6">
        <v>0</v>
      </c>
      <c r="K182" s="6">
        <v>0</v>
      </c>
      <c r="L182" s="6">
        <v>0</v>
      </c>
      <c r="M182" s="6">
        <v>0</v>
      </c>
      <c r="N182" s="6">
        <v>0</v>
      </c>
      <c r="O182" s="6">
        <v>0</v>
      </c>
      <c r="P182" s="6">
        <v>0</v>
      </c>
      <c r="Q182" s="6">
        <v>0</v>
      </c>
      <c r="R182" s="6">
        <v>0</v>
      </c>
      <c r="S182" s="6">
        <v>0</v>
      </c>
      <c r="T182" s="6">
        <v>0</v>
      </c>
      <c r="U182" s="6">
        <v>0</v>
      </c>
      <c r="V182" s="6">
        <v>0</v>
      </c>
      <c r="W182" s="6">
        <v>0</v>
      </c>
      <c r="X182" s="6">
        <v>0</v>
      </c>
      <c r="Y182" s="6">
        <v>0</v>
      </c>
      <c r="Z182" s="6">
        <v>0</v>
      </c>
      <c r="AA182" s="6">
        <v>0</v>
      </c>
      <c r="AB182" s="6">
        <v>0</v>
      </c>
    </row>
    <row r="183" spans="1:28" x14ac:dyDescent="0.25">
      <c r="A183" s="5" t="s">
        <v>952</v>
      </c>
      <c r="B183" s="5" t="s">
        <v>43</v>
      </c>
      <c r="C183" s="5">
        <v>23</v>
      </c>
      <c r="D183" s="5">
        <v>2</v>
      </c>
      <c r="E183" s="5" t="s">
        <v>458</v>
      </c>
      <c r="F183" s="5" t="s">
        <v>916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0</v>
      </c>
      <c r="O183" s="5">
        <v>0</v>
      </c>
      <c r="P183" s="5">
        <v>0</v>
      </c>
      <c r="Q183" s="5">
        <v>0</v>
      </c>
      <c r="R183" s="5">
        <v>0</v>
      </c>
      <c r="S183" s="5">
        <v>0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Z183" s="5">
        <v>0</v>
      </c>
      <c r="AA183" s="5">
        <v>0</v>
      </c>
      <c r="AB183" s="5">
        <v>0</v>
      </c>
    </row>
    <row r="184" spans="1:28" x14ac:dyDescent="0.25">
      <c r="A184" s="6" t="s">
        <v>953</v>
      </c>
      <c r="B184" s="6" t="s">
        <v>43</v>
      </c>
      <c r="C184" s="6">
        <v>24</v>
      </c>
      <c r="D184" s="6">
        <v>0</v>
      </c>
      <c r="E184" s="6" t="s">
        <v>954</v>
      </c>
      <c r="F184" s="6" t="s">
        <v>916</v>
      </c>
      <c r="G184" s="6">
        <v>0</v>
      </c>
      <c r="H184" s="6">
        <v>0</v>
      </c>
      <c r="I184" s="6">
        <v>0</v>
      </c>
      <c r="J184" s="6">
        <v>0</v>
      </c>
      <c r="K184" s="6">
        <v>0</v>
      </c>
      <c r="L184" s="6">
        <v>0</v>
      </c>
      <c r="M184" s="6">
        <v>0</v>
      </c>
      <c r="N184" s="6">
        <v>0</v>
      </c>
      <c r="O184" s="6">
        <v>0</v>
      </c>
      <c r="P184" s="6">
        <v>0</v>
      </c>
      <c r="Q184" s="6">
        <v>0</v>
      </c>
      <c r="R184" s="6">
        <v>0</v>
      </c>
      <c r="S184" s="6">
        <v>0</v>
      </c>
      <c r="T184" s="6">
        <v>0</v>
      </c>
      <c r="U184" s="6">
        <v>0</v>
      </c>
      <c r="V184" s="6">
        <v>0</v>
      </c>
      <c r="W184" s="6">
        <v>0</v>
      </c>
      <c r="X184" s="6">
        <v>0</v>
      </c>
      <c r="Y184" s="6">
        <v>0</v>
      </c>
      <c r="Z184" s="6">
        <v>0</v>
      </c>
      <c r="AA184" s="6">
        <v>0</v>
      </c>
      <c r="AB184" s="6">
        <v>0</v>
      </c>
    </row>
    <row r="185" spans="1:28" x14ac:dyDescent="0.25">
      <c r="A185" s="5" t="s">
        <v>955</v>
      </c>
      <c r="B185" s="5" t="s">
        <v>43</v>
      </c>
      <c r="C185" s="5">
        <v>23</v>
      </c>
      <c r="D185" s="5">
        <v>3</v>
      </c>
      <c r="E185" s="5" t="s">
        <v>100</v>
      </c>
      <c r="F185" s="5" t="s">
        <v>916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0</v>
      </c>
      <c r="O185" s="5">
        <v>0</v>
      </c>
      <c r="P185" s="5">
        <v>0</v>
      </c>
      <c r="Q185" s="5">
        <v>0</v>
      </c>
      <c r="R185" s="5">
        <v>0</v>
      </c>
      <c r="S185" s="5">
        <v>0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Z185" s="5">
        <v>0</v>
      </c>
      <c r="AA185" s="5">
        <v>0</v>
      </c>
      <c r="AB185" s="5">
        <v>0</v>
      </c>
    </row>
    <row r="186" spans="1:28" x14ac:dyDescent="0.25">
      <c r="A186" s="6" t="s">
        <v>956</v>
      </c>
      <c r="B186" s="6" t="s">
        <v>43</v>
      </c>
      <c r="C186" s="6">
        <v>24</v>
      </c>
      <c r="D186" s="6">
        <v>3</v>
      </c>
      <c r="E186" s="6" t="s">
        <v>178</v>
      </c>
      <c r="F186" s="6" t="s">
        <v>916</v>
      </c>
      <c r="G186" s="6">
        <v>0</v>
      </c>
      <c r="H186" s="6">
        <v>0</v>
      </c>
      <c r="I186" s="6">
        <v>0</v>
      </c>
      <c r="J186" s="6">
        <v>0</v>
      </c>
      <c r="K186" s="6">
        <v>0</v>
      </c>
      <c r="L186" s="6">
        <v>0</v>
      </c>
      <c r="M186" s="6">
        <v>0</v>
      </c>
      <c r="N186" s="6">
        <v>0</v>
      </c>
      <c r="O186" s="6">
        <v>0</v>
      </c>
      <c r="P186" s="6">
        <v>0</v>
      </c>
      <c r="Q186" s="6">
        <v>0</v>
      </c>
      <c r="R186" s="6">
        <v>0</v>
      </c>
      <c r="S186" s="6">
        <v>0</v>
      </c>
      <c r="T186" s="6">
        <v>0</v>
      </c>
      <c r="U186" s="6">
        <v>0</v>
      </c>
      <c r="V186" s="6">
        <v>0</v>
      </c>
      <c r="W186" s="6">
        <v>0</v>
      </c>
      <c r="X186" s="6">
        <v>0</v>
      </c>
      <c r="Y186" s="6">
        <v>0</v>
      </c>
      <c r="Z186" s="6">
        <v>0</v>
      </c>
      <c r="AA186" s="6">
        <v>0</v>
      </c>
      <c r="AB186" s="6">
        <v>0</v>
      </c>
    </row>
    <row r="187" spans="1:28" x14ac:dyDescent="0.25">
      <c r="A187" s="5" t="s">
        <v>957</v>
      </c>
      <c r="B187" s="5" t="s">
        <v>43</v>
      </c>
      <c r="C187" s="5">
        <v>28</v>
      </c>
      <c r="D187" s="5">
        <v>6</v>
      </c>
      <c r="E187" s="5" t="s">
        <v>80</v>
      </c>
      <c r="F187" s="5" t="s">
        <v>916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0</v>
      </c>
      <c r="O187" s="5">
        <v>0</v>
      </c>
      <c r="P187" s="5">
        <v>0</v>
      </c>
      <c r="Q187" s="5">
        <v>0</v>
      </c>
      <c r="R187" s="5">
        <v>0</v>
      </c>
      <c r="S187" s="5">
        <v>0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Z187" s="5">
        <v>0</v>
      </c>
      <c r="AA187" s="5">
        <v>0</v>
      </c>
      <c r="AB187" s="5">
        <v>0</v>
      </c>
    </row>
    <row r="188" spans="1:28" x14ac:dyDescent="0.25">
      <c r="A188" s="5" t="s">
        <v>1000</v>
      </c>
      <c r="B188" s="5" t="s">
        <v>43</v>
      </c>
      <c r="C188" s="5">
        <v>31</v>
      </c>
      <c r="D188" s="5">
        <v>11</v>
      </c>
      <c r="E188" s="5" t="s">
        <v>666</v>
      </c>
      <c r="F188" s="5" t="s">
        <v>969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0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Z188" s="5">
        <v>0</v>
      </c>
      <c r="AA188" s="5">
        <v>0</v>
      </c>
      <c r="AB188" s="5">
        <v>0</v>
      </c>
    </row>
    <row r="189" spans="1:28" x14ac:dyDescent="0.25">
      <c r="A189" s="6" t="s">
        <v>1001</v>
      </c>
      <c r="B189" s="6" t="s">
        <v>43</v>
      </c>
      <c r="C189" s="6">
        <v>25</v>
      </c>
      <c r="D189" s="6">
        <v>0</v>
      </c>
      <c r="E189" s="6" t="s">
        <v>78</v>
      </c>
      <c r="F189" s="6" t="s">
        <v>969</v>
      </c>
      <c r="G189" s="6">
        <v>0</v>
      </c>
      <c r="H189" s="6">
        <v>0</v>
      </c>
      <c r="I189" s="6">
        <v>0</v>
      </c>
      <c r="J189" s="6">
        <v>0</v>
      </c>
      <c r="K189" s="6">
        <v>0</v>
      </c>
      <c r="L189" s="6">
        <v>0</v>
      </c>
      <c r="M189" s="6">
        <v>0</v>
      </c>
      <c r="N189" s="6">
        <v>0</v>
      </c>
      <c r="O189" s="6">
        <v>0</v>
      </c>
      <c r="P189" s="6">
        <v>0</v>
      </c>
      <c r="Q189" s="6">
        <v>0</v>
      </c>
      <c r="R189" s="6">
        <v>0</v>
      </c>
      <c r="S189" s="6">
        <v>0</v>
      </c>
      <c r="T189" s="6">
        <v>0</v>
      </c>
      <c r="U189" s="6">
        <v>0</v>
      </c>
      <c r="V189" s="6">
        <v>0</v>
      </c>
      <c r="W189" s="6">
        <v>0</v>
      </c>
      <c r="X189" s="6">
        <v>0</v>
      </c>
      <c r="Y189" s="6">
        <v>0</v>
      </c>
      <c r="Z189" s="6">
        <v>0</v>
      </c>
      <c r="AA189" s="6">
        <v>0</v>
      </c>
      <c r="AB189" s="6">
        <v>0</v>
      </c>
    </row>
    <row r="190" spans="1:28" x14ac:dyDescent="0.25">
      <c r="A190" s="5" t="s">
        <v>1002</v>
      </c>
      <c r="B190" s="5" t="s">
        <v>43</v>
      </c>
      <c r="C190" s="5">
        <v>22</v>
      </c>
      <c r="D190" s="5">
        <v>0</v>
      </c>
      <c r="E190" s="5" t="s">
        <v>76</v>
      </c>
      <c r="F190" s="5" t="s">
        <v>969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0</v>
      </c>
      <c r="O190" s="5">
        <v>0</v>
      </c>
      <c r="P190" s="5">
        <v>0</v>
      </c>
      <c r="Q190" s="5">
        <v>0</v>
      </c>
      <c r="R190" s="5">
        <v>0</v>
      </c>
      <c r="S190" s="5">
        <v>0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Z190" s="5">
        <v>0</v>
      </c>
      <c r="AA190" s="5">
        <v>0</v>
      </c>
      <c r="AB190" s="5">
        <v>0</v>
      </c>
    </row>
    <row r="191" spans="1:28" x14ac:dyDescent="0.25">
      <c r="A191" s="6" t="s">
        <v>1003</v>
      </c>
      <c r="B191" s="6" t="s">
        <v>43</v>
      </c>
      <c r="C191" s="6">
        <v>27</v>
      </c>
      <c r="D191" s="6">
        <v>2</v>
      </c>
      <c r="E191" s="6" t="s">
        <v>1004</v>
      </c>
      <c r="F191" s="6" t="s">
        <v>969</v>
      </c>
      <c r="G191" s="6">
        <v>0</v>
      </c>
      <c r="H191" s="6">
        <v>0</v>
      </c>
      <c r="I191" s="6">
        <v>0</v>
      </c>
      <c r="J191" s="6">
        <v>0</v>
      </c>
      <c r="K191" s="6">
        <v>0</v>
      </c>
      <c r="L191" s="6">
        <v>0</v>
      </c>
      <c r="M191" s="6">
        <v>0</v>
      </c>
      <c r="N191" s="6">
        <v>0</v>
      </c>
      <c r="O191" s="6">
        <v>0</v>
      </c>
      <c r="P191" s="6">
        <v>0</v>
      </c>
      <c r="Q191" s="6">
        <v>0</v>
      </c>
      <c r="R191" s="6">
        <v>0</v>
      </c>
      <c r="S191" s="6">
        <v>0</v>
      </c>
      <c r="T191" s="6">
        <v>0</v>
      </c>
      <c r="U191" s="6">
        <v>0</v>
      </c>
      <c r="V191" s="6">
        <v>0</v>
      </c>
      <c r="W191" s="6">
        <v>0</v>
      </c>
      <c r="X191" s="6">
        <v>0</v>
      </c>
      <c r="Y191" s="6">
        <v>0</v>
      </c>
      <c r="Z191" s="6">
        <v>0</v>
      </c>
      <c r="AA191" s="6">
        <v>0</v>
      </c>
      <c r="AB191" s="6">
        <v>0</v>
      </c>
    </row>
    <row r="192" spans="1:28" x14ac:dyDescent="0.25">
      <c r="A192" s="5" t="s">
        <v>1005</v>
      </c>
      <c r="B192" s="5" t="s">
        <v>43</v>
      </c>
      <c r="C192" s="5">
        <v>26</v>
      </c>
      <c r="D192" s="5">
        <v>4</v>
      </c>
      <c r="E192" s="5" t="s">
        <v>508</v>
      </c>
      <c r="F192" s="5" t="s">
        <v>969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0</v>
      </c>
      <c r="O192" s="5">
        <v>0</v>
      </c>
      <c r="P192" s="5">
        <v>0</v>
      </c>
      <c r="Q192" s="5">
        <v>0</v>
      </c>
      <c r="R192" s="5">
        <v>0</v>
      </c>
      <c r="S192" s="5">
        <v>0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Z192" s="5">
        <v>0</v>
      </c>
      <c r="AA192" s="5">
        <v>0</v>
      </c>
      <c r="AB192" s="5">
        <v>0</v>
      </c>
    </row>
    <row r="193" spans="1:28" x14ac:dyDescent="0.25">
      <c r="A193" s="6" t="s">
        <v>1006</v>
      </c>
      <c r="B193" s="6" t="s">
        <v>43</v>
      </c>
      <c r="C193" s="6">
        <v>27</v>
      </c>
      <c r="D193" s="6">
        <v>2</v>
      </c>
      <c r="E193" s="6" t="s">
        <v>296</v>
      </c>
      <c r="F193" s="6" t="s">
        <v>969</v>
      </c>
      <c r="G193" s="6">
        <v>0</v>
      </c>
      <c r="H193" s="6">
        <v>0</v>
      </c>
      <c r="I193" s="6">
        <v>0</v>
      </c>
      <c r="J193" s="6">
        <v>0</v>
      </c>
      <c r="K193" s="6">
        <v>0</v>
      </c>
      <c r="L193" s="6">
        <v>0</v>
      </c>
      <c r="M193" s="6">
        <v>0</v>
      </c>
      <c r="N193" s="6">
        <v>0</v>
      </c>
      <c r="O193" s="6">
        <v>0</v>
      </c>
      <c r="P193" s="6">
        <v>0</v>
      </c>
      <c r="Q193" s="6">
        <v>0</v>
      </c>
      <c r="R193" s="6">
        <v>0</v>
      </c>
      <c r="S193" s="6">
        <v>0</v>
      </c>
      <c r="T193" s="6">
        <v>0</v>
      </c>
      <c r="U193" s="6">
        <v>0</v>
      </c>
      <c r="V193" s="6">
        <v>0</v>
      </c>
      <c r="W193" s="6">
        <v>0</v>
      </c>
      <c r="X193" s="6">
        <v>0</v>
      </c>
      <c r="Y193" s="6">
        <v>0</v>
      </c>
      <c r="Z193" s="6">
        <v>0</v>
      </c>
      <c r="AA193" s="6">
        <v>0</v>
      </c>
      <c r="AB193" s="6">
        <v>0</v>
      </c>
    </row>
    <row r="194" spans="1:28" x14ac:dyDescent="0.25">
      <c r="A194" s="5" t="s">
        <v>1007</v>
      </c>
      <c r="B194" s="5" t="s">
        <v>43</v>
      </c>
      <c r="C194" s="5">
        <v>21</v>
      </c>
      <c r="D194" s="5">
        <v>0</v>
      </c>
      <c r="E194" s="5" t="s">
        <v>76</v>
      </c>
      <c r="F194" s="5" t="s">
        <v>969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0</v>
      </c>
      <c r="O194" s="5">
        <v>0</v>
      </c>
      <c r="P194" s="5">
        <v>0</v>
      </c>
      <c r="Q194" s="5">
        <v>0</v>
      </c>
      <c r="R194" s="5">
        <v>0</v>
      </c>
      <c r="S194" s="5">
        <v>0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Z194" s="5">
        <v>0</v>
      </c>
      <c r="AA194" s="5">
        <v>0</v>
      </c>
      <c r="AB194" s="5">
        <v>0</v>
      </c>
    </row>
    <row r="195" spans="1:28" x14ac:dyDescent="0.25">
      <c r="A195" s="6" t="s">
        <v>1008</v>
      </c>
      <c r="B195" s="6" t="s">
        <v>43</v>
      </c>
      <c r="C195" s="6">
        <v>23</v>
      </c>
      <c r="D195" s="6">
        <v>3</v>
      </c>
      <c r="E195" s="6" t="s">
        <v>143</v>
      </c>
      <c r="F195" s="6" t="s">
        <v>969</v>
      </c>
      <c r="G195" s="6">
        <v>0</v>
      </c>
      <c r="H195" s="6">
        <v>0</v>
      </c>
      <c r="I195" s="6">
        <v>0</v>
      </c>
      <c r="J195" s="6">
        <v>0</v>
      </c>
      <c r="K195" s="6">
        <v>0</v>
      </c>
      <c r="L195" s="6">
        <v>0</v>
      </c>
      <c r="M195" s="6">
        <v>0</v>
      </c>
      <c r="N195" s="6">
        <v>0</v>
      </c>
      <c r="O195" s="6">
        <v>0</v>
      </c>
      <c r="P195" s="6">
        <v>0</v>
      </c>
      <c r="Q195" s="6">
        <v>0</v>
      </c>
      <c r="R195" s="6">
        <v>0</v>
      </c>
      <c r="S195" s="6">
        <v>0</v>
      </c>
      <c r="T195" s="6">
        <v>0</v>
      </c>
      <c r="U195" s="6">
        <v>0</v>
      </c>
      <c r="V195" s="6">
        <v>0</v>
      </c>
      <c r="W195" s="6">
        <v>0</v>
      </c>
      <c r="X195" s="6">
        <v>0</v>
      </c>
      <c r="Y195" s="6">
        <v>0</v>
      </c>
      <c r="Z195" s="6">
        <v>0</v>
      </c>
      <c r="AA195" s="6">
        <v>0</v>
      </c>
      <c r="AB195" s="6">
        <v>0</v>
      </c>
    </row>
    <row r="196" spans="1:28" x14ac:dyDescent="0.25">
      <c r="A196" s="5" t="s">
        <v>1009</v>
      </c>
      <c r="B196" s="5" t="s">
        <v>43</v>
      </c>
      <c r="C196" s="5">
        <v>27</v>
      </c>
      <c r="D196" s="5">
        <v>3</v>
      </c>
      <c r="E196" s="5" t="s">
        <v>555</v>
      </c>
      <c r="F196" s="5" t="s">
        <v>969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0</v>
      </c>
      <c r="O196" s="5">
        <v>0</v>
      </c>
      <c r="P196" s="5">
        <v>0</v>
      </c>
      <c r="Q196" s="5">
        <v>0</v>
      </c>
      <c r="R196" s="5">
        <v>0</v>
      </c>
      <c r="S196" s="5">
        <v>0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Z196" s="5">
        <v>0</v>
      </c>
      <c r="AA196" s="5">
        <v>0</v>
      </c>
      <c r="AB196" s="5">
        <v>0</v>
      </c>
    </row>
    <row r="197" spans="1:28" x14ac:dyDescent="0.25">
      <c r="A197" s="6" t="s">
        <v>1010</v>
      </c>
      <c r="B197" s="6" t="s">
        <v>43</v>
      </c>
      <c r="C197" s="6">
        <v>28</v>
      </c>
      <c r="D197" s="6">
        <v>7</v>
      </c>
      <c r="E197" s="6" t="s">
        <v>458</v>
      </c>
      <c r="F197" s="6" t="s">
        <v>969</v>
      </c>
      <c r="G197" s="6">
        <v>0</v>
      </c>
      <c r="H197" s="6">
        <v>0</v>
      </c>
      <c r="I197" s="6">
        <v>0</v>
      </c>
      <c r="J197" s="6">
        <v>0</v>
      </c>
      <c r="K197" s="6">
        <v>0</v>
      </c>
      <c r="L197" s="6">
        <v>0</v>
      </c>
      <c r="M197" s="6">
        <v>0</v>
      </c>
      <c r="N197" s="6">
        <v>0</v>
      </c>
      <c r="O197" s="6">
        <v>0</v>
      </c>
      <c r="P197" s="6">
        <v>0</v>
      </c>
      <c r="Q197" s="6">
        <v>0</v>
      </c>
      <c r="R197" s="6">
        <v>0</v>
      </c>
      <c r="S197" s="6">
        <v>0</v>
      </c>
      <c r="T197" s="6">
        <v>0</v>
      </c>
      <c r="U197" s="6">
        <v>0</v>
      </c>
      <c r="V197" s="6">
        <v>0</v>
      </c>
      <c r="W197" s="6">
        <v>0</v>
      </c>
      <c r="X197" s="6">
        <v>0</v>
      </c>
      <c r="Y197" s="6">
        <v>0</v>
      </c>
      <c r="Z197" s="6">
        <v>0</v>
      </c>
      <c r="AA197" s="6">
        <v>0</v>
      </c>
      <c r="AB197" s="6">
        <v>0</v>
      </c>
    </row>
    <row r="198" spans="1:28" x14ac:dyDescent="0.25">
      <c r="A198" s="5" t="s">
        <v>1011</v>
      </c>
      <c r="B198" s="5" t="s">
        <v>43</v>
      </c>
      <c r="C198" s="5">
        <v>24</v>
      </c>
      <c r="D198" s="5">
        <v>0</v>
      </c>
      <c r="E198" s="5" t="s">
        <v>1012</v>
      </c>
      <c r="F198" s="5" t="s">
        <v>969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0</v>
      </c>
      <c r="O198" s="5">
        <v>0</v>
      </c>
      <c r="P198" s="5">
        <v>0</v>
      </c>
      <c r="Q198" s="5">
        <v>0</v>
      </c>
      <c r="R198" s="5">
        <v>0</v>
      </c>
      <c r="S198" s="5">
        <v>0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Z198" s="5">
        <v>0</v>
      </c>
      <c r="AA198" s="5">
        <v>0</v>
      </c>
      <c r="AB198" s="5">
        <v>0</v>
      </c>
    </row>
    <row r="199" spans="1:28" x14ac:dyDescent="0.25">
      <c r="A199" s="5" t="s">
        <v>1051</v>
      </c>
      <c r="B199" s="5" t="s">
        <v>43</v>
      </c>
      <c r="C199" s="5">
        <v>23</v>
      </c>
      <c r="D199" s="5">
        <v>3</v>
      </c>
      <c r="E199" s="5" t="s">
        <v>209</v>
      </c>
      <c r="F199" s="5" t="s">
        <v>1021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0</v>
      </c>
      <c r="O199" s="5">
        <v>0</v>
      </c>
      <c r="P199" s="5">
        <v>0</v>
      </c>
      <c r="Q199" s="5">
        <v>0</v>
      </c>
      <c r="R199" s="5">
        <v>0</v>
      </c>
      <c r="S199" s="5">
        <v>0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Z199" s="5">
        <v>0</v>
      </c>
      <c r="AA199" s="5">
        <v>0</v>
      </c>
      <c r="AB199" s="5">
        <v>0</v>
      </c>
    </row>
    <row r="200" spans="1:28" x14ac:dyDescent="0.25">
      <c r="A200" s="6" t="s">
        <v>1052</v>
      </c>
      <c r="B200" s="6" t="s">
        <v>43</v>
      </c>
      <c r="C200" s="6">
        <v>24</v>
      </c>
      <c r="D200" s="6">
        <v>0</v>
      </c>
      <c r="E200" s="6" t="s">
        <v>795</v>
      </c>
      <c r="F200" s="6" t="s">
        <v>1021</v>
      </c>
      <c r="G200" s="6">
        <v>0</v>
      </c>
      <c r="H200" s="6">
        <v>0</v>
      </c>
      <c r="I200" s="6">
        <v>0</v>
      </c>
      <c r="J200" s="6">
        <v>0</v>
      </c>
      <c r="K200" s="6">
        <v>0</v>
      </c>
      <c r="L200" s="6">
        <v>0</v>
      </c>
      <c r="M200" s="6">
        <v>0</v>
      </c>
      <c r="N200" s="6">
        <v>0</v>
      </c>
      <c r="O200" s="6">
        <v>0</v>
      </c>
      <c r="P200" s="6">
        <v>0</v>
      </c>
      <c r="Q200" s="6">
        <v>0</v>
      </c>
      <c r="R200" s="6">
        <v>0</v>
      </c>
      <c r="S200" s="6">
        <v>0</v>
      </c>
      <c r="T200" s="6">
        <v>0</v>
      </c>
      <c r="U200" s="6">
        <v>0</v>
      </c>
      <c r="V200" s="6">
        <v>0</v>
      </c>
      <c r="W200" s="6">
        <v>0</v>
      </c>
      <c r="X200" s="6">
        <v>0</v>
      </c>
      <c r="Y200" s="6">
        <v>0</v>
      </c>
      <c r="Z200" s="6">
        <v>0</v>
      </c>
      <c r="AA200" s="6">
        <v>0</v>
      </c>
      <c r="AB200" s="6">
        <v>0</v>
      </c>
    </row>
    <row r="201" spans="1:28" x14ac:dyDescent="0.25">
      <c r="A201" s="5" t="s">
        <v>1053</v>
      </c>
      <c r="B201" s="5" t="s">
        <v>43</v>
      </c>
      <c r="C201" s="5">
        <v>22</v>
      </c>
      <c r="D201" s="5">
        <v>0</v>
      </c>
      <c r="E201" s="5" t="s">
        <v>209</v>
      </c>
      <c r="F201" s="5" t="s">
        <v>1021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0</v>
      </c>
      <c r="O201" s="5">
        <v>0</v>
      </c>
      <c r="P201" s="5">
        <v>0</v>
      </c>
      <c r="Q201" s="5">
        <v>0</v>
      </c>
      <c r="R201" s="5">
        <v>0</v>
      </c>
      <c r="S201" s="5">
        <v>0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Z201" s="5">
        <v>0</v>
      </c>
      <c r="AA201" s="5">
        <v>0</v>
      </c>
      <c r="AB201" s="5">
        <v>0</v>
      </c>
    </row>
    <row r="202" spans="1:28" x14ac:dyDescent="0.25">
      <c r="A202" s="6" t="s">
        <v>1054</v>
      </c>
      <c r="B202" s="6" t="s">
        <v>43</v>
      </c>
      <c r="C202" s="6">
        <v>27</v>
      </c>
      <c r="D202" s="6">
        <v>4</v>
      </c>
      <c r="E202" s="6" t="s">
        <v>178</v>
      </c>
      <c r="F202" s="6" t="s">
        <v>1021</v>
      </c>
      <c r="G202" s="6">
        <v>0</v>
      </c>
      <c r="H202" s="6">
        <v>0</v>
      </c>
      <c r="I202" s="6">
        <v>0</v>
      </c>
      <c r="J202" s="6">
        <v>0</v>
      </c>
      <c r="K202" s="6">
        <v>0</v>
      </c>
      <c r="L202" s="6">
        <v>0</v>
      </c>
      <c r="M202" s="6">
        <v>0</v>
      </c>
      <c r="N202" s="6">
        <v>0</v>
      </c>
      <c r="O202" s="6">
        <v>0</v>
      </c>
      <c r="P202" s="6">
        <v>0</v>
      </c>
      <c r="Q202" s="6">
        <v>0</v>
      </c>
      <c r="R202" s="6">
        <v>0</v>
      </c>
      <c r="S202" s="6">
        <v>0</v>
      </c>
      <c r="T202" s="6">
        <v>0</v>
      </c>
      <c r="U202" s="6">
        <v>0</v>
      </c>
      <c r="V202" s="6">
        <v>0</v>
      </c>
      <c r="W202" s="6">
        <v>0</v>
      </c>
      <c r="X202" s="6">
        <v>0</v>
      </c>
      <c r="Y202" s="6">
        <v>0</v>
      </c>
      <c r="Z202" s="6">
        <v>0</v>
      </c>
      <c r="AA202" s="6">
        <v>0</v>
      </c>
      <c r="AB202" s="6">
        <v>0</v>
      </c>
    </row>
    <row r="203" spans="1:28" x14ac:dyDescent="0.25">
      <c r="A203" s="5" t="s">
        <v>1055</v>
      </c>
      <c r="B203" s="5" t="s">
        <v>43</v>
      </c>
      <c r="C203" s="5">
        <v>24</v>
      </c>
      <c r="D203" s="5">
        <v>4</v>
      </c>
      <c r="E203" s="5" t="s">
        <v>225</v>
      </c>
      <c r="F203" s="5" t="s">
        <v>1021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0</v>
      </c>
      <c r="O203" s="5">
        <v>0</v>
      </c>
      <c r="P203" s="5">
        <v>0</v>
      </c>
      <c r="Q203" s="5">
        <v>0</v>
      </c>
      <c r="R203" s="5">
        <v>0</v>
      </c>
      <c r="S203" s="5">
        <v>0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Z203" s="5">
        <v>0</v>
      </c>
      <c r="AA203" s="5">
        <v>0</v>
      </c>
      <c r="AB203" s="5">
        <v>0</v>
      </c>
    </row>
    <row r="204" spans="1:28" x14ac:dyDescent="0.25">
      <c r="A204" s="6" t="s">
        <v>1056</v>
      </c>
      <c r="B204" s="6" t="s">
        <v>43</v>
      </c>
      <c r="C204" s="6">
        <v>30</v>
      </c>
      <c r="D204" s="6">
        <v>7</v>
      </c>
      <c r="E204" s="6" t="s">
        <v>413</v>
      </c>
      <c r="F204" s="6" t="s">
        <v>1021</v>
      </c>
      <c r="G204" s="6">
        <v>0</v>
      </c>
      <c r="H204" s="6">
        <v>0</v>
      </c>
      <c r="I204" s="6">
        <v>0</v>
      </c>
      <c r="J204" s="6">
        <v>0</v>
      </c>
      <c r="K204" s="6">
        <v>0</v>
      </c>
      <c r="L204" s="6">
        <v>0</v>
      </c>
      <c r="M204" s="6">
        <v>0</v>
      </c>
      <c r="N204" s="6">
        <v>0</v>
      </c>
      <c r="O204" s="6">
        <v>0</v>
      </c>
      <c r="P204" s="6">
        <v>0</v>
      </c>
      <c r="Q204" s="6">
        <v>0</v>
      </c>
      <c r="R204" s="6">
        <v>0</v>
      </c>
      <c r="S204" s="6">
        <v>0</v>
      </c>
      <c r="T204" s="6">
        <v>0</v>
      </c>
      <c r="U204" s="6">
        <v>0</v>
      </c>
      <c r="V204" s="6">
        <v>0</v>
      </c>
      <c r="W204" s="6">
        <v>0</v>
      </c>
      <c r="X204" s="6">
        <v>0</v>
      </c>
      <c r="Y204" s="6">
        <v>0</v>
      </c>
      <c r="Z204" s="6">
        <v>0</v>
      </c>
      <c r="AA204" s="6">
        <v>0</v>
      </c>
      <c r="AB204" s="6">
        <v>0</v>
      </c>
    </row>
    <row r="205" spans="1:28" x14ac:dyDescent="0.25">
      <c r="A205" s="5" t="s">
        <v>1057</v>
      </c>
      <c r="B205" s="5" t="s">
        <v>43</v>
      </c>
      <c r="C205" s="5">
        <v>24</v>
      </c>
      <c r="D205" s="5">
        <v>2</v>
      </c>
      <c r="E205" s="5" t="s">
        <v>1058</v>
      </c>
      <c r="F205" s="5" t="s">
        <v>1021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0</v>
      </c>
      <c r="O205" s="5">
        <v>0</v>
      </c>
      <c r="P205" s="5">
        <v>0</v>
      </c>
      <c r="Q205" s="5">
        <v>0</v>
      </c>
      <c r="R205" s="5">
        <v>0</v>
      </c>
      <c r="S205" s="5">
        <v>0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Z205" s="5">
        <v>0</v>
      </c>
      <c r="AA205" s="5">
        <v>0</v>
      </c>
      <c r="AB205" s="5">
        <v>0</v>
      </c>
    </row>
    <row r="206" spans="1:28" x14ac:dyDescent="0.25">
      <c r="A206" s="6" t="s">
        <v>1059</v>
      </c>
      <c r="B206" s="6" t="s">
        <v>43</v>
      </c>
      <c r="C206" s="6">
        <v>23</v>
      </c>
      <c r="D206" s="6">
        <v>0</v>
      </c>
      <c r="E206" s="6" t="s">
        <v>82</v>
      </c>
      <c r="F206" s="6" t="s">
        <v>1021</v>
      </c>
      <c r="G206" s="6">
        <v>0</v>
      </c>
      <c r="H206" s="6">
        <v>0</v>
      </c>
      <c r="I206" s="6">
        <v>0</v>
      </c>
      <c r="J206" s="6">
        <v>0</v>
      </c>
      <c r="K206" s="6">
        <v>0</v>
      </c>
      <c r="L206" s="6">
        <v>0</v>
      </c>
      <c r="M206" s="6">
        <v>0</v>
      </c>
      <c r="N206" s="6">
        <v>0</v>
      </c>
      <c r="O206" s="6">
        <v>0</v>
      </c>
      <c r="P206" s="6">
        <v>0</v>
      </c>
      <c r="Q206" s="6">
        <v>0</v>
      </c>
      <c r="R206" s="6">
        <v>0</v>
      </c>
      <c r="S206" s="6">
        <v>0</v>
      </c>
      <c r="T206" s="6">
        <v>0</v>
      </c>
      <c r="U206" s="6">
        <v>0</v>
      </c>
      <c r="V206" s="6">
        <v>0</v>
      </c>
      <c r="W206" s="6">
        <v>0</v>
      </c>
      <c r="X206" s="6">
        <v>0</v>
      </c>
      <c r="Y206" s="6">
        <v>0</v>
      </c>
      <c r="Z206" s="6">
        <v>0</v>
      </c>
      <c r="AA206" s="6">
        <v>0</v>
      </c>
      <c r="AB206" s="6">
        <v>0</v>
      </c>
    </row>
    <row r="207" spans="1:28" x14ac:dyDescent="0.25">
      <c r="A207" s="5" t="s">
        <v>1060</v>
      </c>
      <c r="B207" s="5" t="s">
        <v>43</v>
      </c>
      <c r="C207" s="5">
        <v>28</v>
      </c>
      <c r="D207" s="5">
        <v>8</v>
      </c>
      <c r="E207" s="5" t="s">
        <v>178</v>
      </c>
      <c r="F207" s="5" t="s">
        <v>1021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0</v>
      </c>
      <c r="O207" s="5">
        <v>0</v>
      </c>
      <c r="P207" s="5">
        <v>0</v>
      </c>
      <c r="Q207" s="5">
        <v>0</v>
      </c>
      <c r="R207" s="5">
        <v>0</v>
      </c>
      <c r="S207" s="5">
        <v>0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Z207" s="5">
        <v>0</v>
      </c>
      <c r="AA207" s="5">
        <v>0</v>
      </c>
      <c r="AB207" s="5">
        <v>0</v>
      </c>
    </row>
    <row r="208" spans="1:28" x14ac:dyDescent="0.25">
      <c r="A208" s="6" t="s">
        <v>1061</v>
      </c>
      <c r="B208" s="6" t="s">
        <v>43</v>
      </c>
      <c r="C208" s="6">
        <v>26</v>
      </c>
      <c r="D208" s="6">
        <v>3</v>
      </c>
      <c r="E208" s="6" t="s">
        <v>362</v>
      </c>
      <c r="F208" s="6" t="s">
        <v>1021</v>
      </c>
      <c r="G208" s="6">
        <v>0</v>
      </c>
      <c r="H208" s="6">
        <v>0</v>
      </c>
      <c r="I208" s="6">
        <v>0</v>
      </c>
      <c r="J208" s="6">
        <v>0</v>
      </c>
      <c r="K208" s="6">
        <v>0</v>
      </c>
      <c r="L208" s="6">
        <v>0</v>
      </c>
      <c r="M208" s="6">
        <v>0</v>
      </c>
      <c r="N208" s="6">
        <v>0</v>
      </c>
      <c r="O208" s="6">
        <v>0</v>
      </c>
      <c r="P208" s="6">
        <v>0</v>
      </c>
      <c r="Q208" s="6">
        <v>0</v>
      </c>
      <c r="R208" s="6">
        <v>0</v>
      </c>
      <c r="S208" s="6">
        <v>0</v>
      </c>
      <c r="T208" s="6">
        <v>0</v>
      </c>
      <c r="U208" s="6">
        <v>0</v>
      </c>
      <c r="V208" s="6">
        <v>0</v>
      </c>
      <c r="W208" s="6">
        <v>0</v>
      </c>
      <c r="X208" s="6">
        <v>0</v>
      </c>
      <c r="Y208" s="6">
        <v>0</v>
      </c>
      <c r="Z208" s="6">
        <v>0</v>
      </c>
      <c r="AA208" s="6">
        <v>0</v>
      </c>
      <c r="AB208" s="6">
        <v>0</v>
      </c>
    </row>
    <row r="209" spans="1:28" x14ac:dyDescent="0.25">
      <c r="A209" s="5" t="s">
        <v>1062</v>
      </c>
      <c r="B209" s="5" t="s">
        <v>43</v>
      </c>
      <c r="C209" s="5">
        <v>25</v>
      </c>
      <c r="D209" s="5">
        <v>0</v>
      </c>
      <c r="E209" s="5" t="s">
        <v>1063</v>
      </c>
      <c r="F209" s="5" t="s">
        <v>1021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0</v>
      </c>
      <c r="O209" s="5">
        <v>0</v>
      </c>
      <c r="P209" s="5">
        <v>0</v>
      </c>
      <c r="Q209" s="5">
        <v>0</v>
      </c>
      <c r="R209" s="5">
        <v>0</v>
      </c>
      <c r="S209" s="5">
        <v>0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Z209" s="5">
        <v>0</v>
      </c>
      <c r="AA209" s="5">
        <v>0</v>
      </c>
      <c r="AB209" s="5">
        <v>0</v>
      </c>
    </row>
    <row r="210" spans="1:28" x14ac:dyDescent="0.25">
      <c r="A210" s="5" t="s">
        <v>1105</v>
      </c>
      <c r="B210" s="5" t="s">
        <v>43</v>
      </c>
      <c r="C210" s="5">
        <v>30</v>
      </c>
      <c r="D210" s="5">
        <v>10</v>
      </c>
      <c r="E210" s="5" t="s">
        <v>280</v>
      </c>
      <c r="F210" s="5" t="s">
        <v>1075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0</v>
      </c>
      <c r="O210" s="5">
        <v>0</v>
      </c>
      <c r="P210" s="5">
        <v>0</v>
      </c>
      <c r="Q210" s="5">
        <v>0</v>
      </c>
      <c r="R210" s="5">
        <v>0</v>
      </c>
      <c r="S210" s="5">
        <v>0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Z210" s="5">
        <v>0</v>
      </c>
      <c r="AA210" s="5">
        <v>0</v>
      </c>
      <c r="AB210" s="5">
        <v>0</v>
      </c>
    </row>
    <row r="211" spans="1:28" x14ac:dyDescent="0.25">
      <c r="A211" s="6" t="s">
        <v>1106</v>
      </c>
      <c r="B211" s="6" t="s">
        <v>43</v>
      </c>
      <c r="C211" s="6">
        <v>30</v>
      </c>
      <c r="D211" s="6">
        <v>6</v>
      </c>
      <c r="E211" s="6" t="s">
        <v>1107</v>
      </c>
      <c r="F211" s="6" t="s">
        <v>1075</v>
      </c>
      <c r="G211" s="6">
        <v>0</v>
      </c>
      <c r="H211" s="6">
        <v>0</v>
      </c>
      <c r="I211" s="6">
        <v>0</v>
      </c>
      <c r="J211" s="6">
        <v>0</v>
      </c>
      <c r="K211" s="6">
        <v>0</v>
      </c>
      <c r="L211" s="6">
        <v>0</v>
      </c>
      <c r="M211" s="6">
        <v>0</v>
      </c>
      <c r="N211" s="6">
        <v>0</v>
      </c>
      <c r="O211" s="6">
        <v>0</v>
      </c>
      <c r="P211" s="6">
        <v>0</v>
      </c>
      <c r="Q211" s="6">
        <v>0</v>
      </c>
      <c r="R211" s="6">
        <v>0</v>
      </c>
      <c r="S211" s="6">
        <v>0</v>
      </c>
      <c r="T211" s="6">
        <v>0</v>
      </c>
      <c r="U211" s="6">
        <v>0</v>
      </c>
      <c r="V211" s="6">
        <v>0</v>
      </c>
      <c r="W211" s="6">
        <v>0</v>
      </c>
      <c r="X211" s="6">
        <v>0</v>
      </c>
      <c r="Y211" s="6">
        <v>0</v>
      </c>
      <c r="Z211" s="6">
        <v>0</v>
      </c>
      <c r="AA211" s="6">
        <v>0</v>
      </c>
      <c r="AB211" s="6">
        <v>0</v>
      </c>
    </row>
    <row r="212" spans="1:28" x14ac:dyDescent="0.25">
      <c r="A212" s="5" t="s">
        <v>1108</v>
      </c>
      <c r="B212" s="5" t="s">
        <v>43</v>
      </c>
      <c r="C212" s="5">
        <v>30</v>
      </c>
      <c r="D212" s="5">
        <v>7</v>
      </c>
      <c r="E212" s="5" t="s">
        <v>1109</v>
      </c>
      <c r="F212" s="5" t="s">
        <v>1075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0</v>
      </c>
      <c r="O212" s="5">
        <v>0</v>
      </c>
      <c r="P212" s="5">
        <v>0</v>
      </c>
      <c r="Q212" s="5">
        <v>0</v>
      </c>
      <c r="R212" s="5">
        <v>0</v>
      </c>
      <c r="S212" s="5">
        <v>0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Z212" s="5">
        <v>0</v>
      </c>
      <c r="AA212" s="5">
        <v>0</v>
      </c>
      <c r="AB212" s="5">
        <v>0</v>
      </c>
    </row>
    <row r="213" spans="1:28" x14ac:dyDescent="0.25">
      <c r="A213" s="6" t="s">
        <v>1110</v>
      </c>
      <c r="B213" s="6" t="s">
        <v>43</v>
      </c>
      <c r="C213" s="6">
        <v>30</v>
      </c>
      <c r="D213" s="6">
        <v>9</v>
      </c>
      <c r="E213" s="6" t="s">
        <v>397</v>
      </c>
      <c r="F213" s="6" t="s">
        <v>1075</v>
      </c>
      <c r="G213" s="6">
        <v>0</v>
      </c>
      <c r="H213" s="6">
        <v>0</v>
      </c>
      <c r="I213" s="6">
        <v>0</v>
      </c>
      <c r="J213" s="6">
        <v>0</v>
      </c>
      <c r="K213" s="6">
        <v>0</v>
      </c>
      <c r="L213" s="6">
        <v>0</v>
      </c>
      <c r="M213" s="6">
        <v>0</v>
      </c>
      <c r="N213" s="6">
        <v>0</v>
      </c>
      <c r="O213" s="6">
        <v>0</v>
      </c>
      <c r="P213" s="6">
        <v>0</v>
      </c>
      <c r="Q213" s="6">
        <v>0</v>
      </c>
      <c r="R213" s="6">
        <v>0</v>
      </c>
      <c r="S213" s="6">
        <v>0</v>
      </c>
      <c r="T213" s="6">
        <v>0</v>
      </c>
      <c r="U213" s="6">
        <v>0</v>
      </c>
      <c r="V213" s="6">
        <v>0</v>
      </c>
      <c r="W213" s="6">
        <v>0</v>
      </c>
      <c r="X213" s="6">
        <v>0</v>
      </c>
      <c r="Y213" s="6">
        <v>0</v>
      </c>
      <c r="Z213" s="6">
        <v>0</v>
      </c>
      <c r="AA213" s="6">
        <v>0</v>
      </c>
      <c r="AB213" s="6">
        <v>0</v>
      </c>
    </row>
    <row r="214" spans="1:28" x14ac:dyDescent="0.25">
      <c r="A214" s="5" t="s">
        <v>1111</v>
      </c>
      <c r="B214" s="5" t="s">
        <v>43</v>
      </c>
      <c r="C214" s="5">
        <v>27</v>
      </c>
      <c r="D214" s="5">
        <v>1</v>
      </c>
      <c r="E214" s="5" t="s">
        <v>218</v>
      </c>
      <c r="F214" s="5" t="s">
        <v>1075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0</v>
      </c>
      <c r="O214" s="5">
        <v>0</v>
      </c>
      <c r="P214" s="5">
        <v>0</v>
      </c>
      <c r="Q214" s="5">
        <v>0</v>
      </c>
      <c r="R214" s="5">
        <v>0</v>
      </c>
      <c r="S214" s="5">
        <v>0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Z214" s="5">
        <v>0</v>
      </c>
      <c r="AA214" s="5">
        <v>0</v>
      </c>
      <c r="AB214" s="5">
        <v>0</v>
      </c>
    </row>
    <row r="215" spans="1:28" x14ac:dyDescent="0.25">
      <c r="A215" s="6" t="s">
        <v>1112</v>
      </c>
      <c r="B215" s="6" t="s">
        <v>43</v>
      </c>
      <c r="C215" s="6">
        <v>26</v>
      </c>
      <c r="D215" s="6">
        <v>5</v>
      </c>
      <c r="E215" s="6" t="s">
        <v>1113</v>
      </c>
      <c r="F215" s="6" t="s">
        <v>1075</v>
      </c>
      <c r="G215" s="6">
        <v>0</v>
      </c>
      <c r="H215" s="6">
        <v>0</v>
      </c>
      <c r="I215" s="6">
        <v>0</v>
      </c>
      <c r="J215" s="6">
        <v>0</v>
      </c>
      <c r="K215" s="6">
        <v>0</v>
      </c>
      <c r="L215" s="6">
        <v>0</v>
      </c>
      <c r="M215" s="6">
        <v>0</v>
      </c>
      <c r="N215" s="6">
        <v>0</v>
      </c>
      <c r="O215" s="6">
        <v>0</v>
      </c>
      <c r="P215" s="6">
        <v>0</v>
      </c>
      <c r="Q215" s="6">
        <v>0</v>
      </c>
      <c r="R215" s="6">
        <v>0</v>
      </c>
      <c r="S215" s="6">
        <v>0</v>
      </c>
      <c r="T215" s="6">
        <v>0</v>
      </c>
      <c r="U215" s="6">
        <v>0</v>
      </c>
      <c r="V215" s="6">
        <v>0</v>
      </c>
      <c r="W215" s="6">
        <v>0</v>
      </c>
      <c r="X215" s="6">
        <v>0</v>
      </c>
      <c r="Y215" s="6">
        <v>0</v>
      </c>
      <c r="Z215" s="6">
        <v>0</v>
      </c>
      <c r="AA215" s="6">
        <v>0</v>
      </c>
      <c r="AB215" s="6">
        <v>0</v>
      </c>
    </row>
    <row r="216" spans="1:28" x14ac:dyDescent="0.25">
      <c r="A216" s="5" t="s">
        <v>1114</v>
      </c>
      <c r="B216" s="5" t="s">
        <v>43</v>
      </c>
      <c r="C216" s="5">
        <v>27</v>
      </c>
      <c r="D216" s="5">
        <v>5</v>
      </c>
      <c r="E216" s="5" t="s">
        <v>458</v>
      </c>
      <c r="F216" s="5" t="s">
        <v>1075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0</v>
      </c>
      <c r="O216" s="5">
        <v>0</v>
      </c>
      <c r="P216" s="5">
        <v>0</v>
      </c>
      <c r="Q216" s="5">
        <v>0</v>
      </c>
      <c r="R216" s="5">
        <v>0</v>
      </c>
      <c r="S216" s="5">
        <v>0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Z216" s="5">
        <v>0</v>
      </c>
      <c r="AA216" s="5">
        <v>0</v>
      </c>
      <c r="AB216" s="5">
        <v>0</v>
      </c>
    </row>
    <row r="217" spans="1:28" x14ac:dyDescent="0.25">
      <c r="A217" s="6" t="s">
        <v>1115</v>
      </c>
      <c r="B217" s="6" t="s">
        <v>43</v>
      </c>
      <c r="C217" s="6">
        <v>27</v>
      </c>
      <c r="D217" s="6">
        <v>6</v>
      </c>
      <c r="E217" s="6" t="s">
        <v>153</v>
      </c>
      <c r="F217" s="6" t="s">
        <v>1075</v>
      </c>
      <c r="G217" s="6">
        <v>0</v>
      </c>
      <c r="H217" s="6">
        <v>0</v>
      </c>
      <c r="I217" s="6">
        <v>0</v>
      </c>
      <c r="J217" s="6">
        <v>0</v>
      </c>
      <c r="K217" s="6">
        <v>0</v>
      </c>
      <c r="L217" s="6">
        <v>0</v>
      </c>
      <c r="M217" s="6">
        <v>0</v>
      </c>
      <c r="N217" s="6">
        <v>0</v>
      </c>
      <c r="O217" s="6">
        <v>0</v>
      </c>
      <c r="P217" s="6">
        <v>0</v>
      </c>
      <c r="Q217" s="6">
        <v>0</v>
      </c>
      <c r="R217" s="6">
        <v>0</v>
      </c>
      <c r="S217" s="6">
        <v>0</v>
      </c>
      <c r="T217" s="6">
        <v>0</v>
      </c>
      <c r="U217" s="6">
        <v>0</v>
      </c>
      <c r="V217" s="6">
        <v>0</v>
      </c>
      <c r="W217" s="6">
        <v>0</v>
      </c>
      <c r="X217" s="6">
        <v>0</v>
      </c>
      <c r="Y217" s="6">
        <v>0</v>
      </c>
      <c r="Z217" s="6">
        <v>0</v>
      </c>
      <c r="AA217" s="6">
        <v>0</v>
      </c>
      <c r="AB217" s="6">
        <v>0</v>
      </c>
    </row>
    <row r="218" spans="1:28" x14ac:dyDescent="0.25">
      <c r="A218" s="5" t="s">
        <v>1116</v>
      </c>
      <c r="B218" s="5" t="s">
        <v>43</v>
      </c>
      <c r="C218" s="5">
        <v>22</v>
      </c>
      <c r="D218" s="5">
        <v>0</v>
      </c>
      <c r="E218" s="5" t="s">
        <v>136</v>
      </c>
      <c r="F218" s="5" t="s">
        <v>1075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0</v>
      </c>
      <c r="O218" s="5">
        <v>0</v>
      </c>
      <c r="P218" s="5">
        <v>0</v>
      </c>
      <c r="Q218" s="5">
        <v>0</v>
      </c>
      <c r="R218" s="5">
        <v>0</v>
      </c>
      <c r="S218" s="5">
        <v>0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Z218" s="5">
        <v>0</v>
      </c>
      <c r="AA218" s="5">
        <v>0</v>
      </c>
      <c r="AB218" s="5">
        <v>0</v>
      </c>
    </row>
    <row r="219" spans="1:28" x14ac:dyDescent="0.25">
      <c r="A219" s="6" t="s">
        <v>1117</v>
      </c>
      <c r="B219" s="6" t="s">
        <v>43</v>
      </c>
      <c r="C219" s="6">
        <v>26</v>
      </c>
      <c r="D219" s="6">
        <v>1</v>
      </c>
      <c r="E219" s="6" t="s">
        <v>1118</v>
      </c>
      <c r="F219" s="6" t="s">
        <v>1075</v>
      </c>
      <c r="G219" s="6">
        <v>0</v>
      </c>
      <c r="H219" s="6">
        <v>0</v>
      </c>
      <c r="I219" s="6">
        <v>0</v>
      </c>
      <c r="J219" s="6">
        <v>0</v>
      </c>
      <c r="K219" s="6">
        <v>0</v>
      </c>
      <c r="L219" s="6">
        <v>0</v>
      </c>
      <c r="M219" s="6">
        <v>0</v>
      </c>
      <c r="N219" s="6">
        <v>0</v>
      </c>
      <c r="O219" s="6">
        <v>0</v>
      </c>
      <c r="P219" s="6">
        <v>0</v>
      </c>
      <c r="Q219" s="6">
        <v>0</v>
      </c>
      <c r="R219" s="6">
        <v>0</v>
      </c>
      <c r="S219" s="6">
        <v>0</v>
      </c>
      <c r="T219" s="6">
        <v>0</v>
      </c>
      <c r="U219" s="6">
        <v>0</v>
      </c>
      <c r="V219" s="6">
        <v>0</v>
      </c>
      <c r="W219" s="6">
        <v>0</v>
      </c>
      <c r="X219" s="6">
        <v>0</v>
      </c>
      <c r="Y219" s="6">
        <v>0</v>
      </c>
      <c r="Z219" s="6">
        <v>0</v>
      </c>
      <c r="AA219" s="6">
        <v>0</v>
      </c>
      <c r="AB219" s="6">
        <v>0</v>
      </c>
    </row>
    <row r="220" spans="1:28" x14ac:dyDescent="0.25">
      <c r="A220" s="5" t="s">
        <v>1154</v>
      </c>
      <c r="B220" s="5" t="s">
        <v>43</v>
      </c>
      <c r="C220" s="5">
        <v>27</v>
      </c>
      <c r="D220" s="5">
        <v>6</v>
      </c>
      <c r="E220" s="5" t="s">
        <v>397</v>
      </c>
      <c r="F220" s="5" t="s">
        <v>1127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0</v>
      </c>
      <c r="O220" s="5">
        <v>0</v>
      </c>
      <c r="P220" s="5">
        <v>0</v>
      </c>
      <c r="Q220" s="5">
        <v>0</v>
      </c>
      <c r="R220" s="5">
        <v>0</v>
      </c>
      <c r="S220" s="5">
        <v>0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Z220" s="5">
        <v>0</v>
      </c>
      <c r="AA220" s="5">
        <v>0</v>
      </c>
      <c r="AB220" s="5">
        <v>0</v>
      </c>
    </row>
    <row r="221" spans="1:28" x14ac:dyDescent="0.25">
      <c r="A221" s="6" t="s">
        <v>1155</v>
      </c>
      <c r="B221" s="6" t="s">
        <v>43</v>
      </c>
      <c r="C221" s="6">
        <v>30</v>
      </c>
      <c r="D221" s="6">
        <v>8</v>
      </c>
      <c r="E221" s="6" t="s">
        <v>391</v>
      </c>
      <c r="F221" s="6" t="s">
        <v>1127</v>
      </c>
      <c r="G221" s="6">
        <v>0</v>
      </c>
      <c r="H221" s="6">
        <v>0</v>
      </c>
      <c r="I221" s="6">
        <v>0</v>
      </c>
      <c r="J221" s="6">
        <v>0</v>
      </c>
      <c r="K221" s="6">
        <v>0</v>
      </c>
      <c r="L221" s="6">
        <v>0</v>
      </c>
      <c r="M221" s="6">
        <v>0</v>
      </c>
      <c r="N221" s="6">
        <v>0</v>
      </c>
      <c r="O221" s="6">
        <v>0</v>
      </c>
      <c r="P221" s="6">
        <v>0</v>
      </c>
      <c r="Q221" s="6">
        <v>0</v>
      </c>
      <c r="R221" s="6">
        <v>0</v>
      </c>
      <c r="S221" s="6">
        <v>0</v>
      </c>
      <c r="T221" s="6">
        <v>0</v>
      </c>
      <c r="U221" s="6">
        <v>0</v>
      </c>
      <c r="V221" s="6">
        <v>0</v>
      </c>
      <c r="W221" s="6">
        <v>0</v>
      </c>
      <c r="X221" s="6">
        <v>0</v>
      </c>
      <c r="Y221" s="6">
        <v>0</v>
      </c>
      <c r="Z221" s="6">
        <v>0</v>
      </c>
      <c r="AA221" s="6">
        <v>0</v>
      </c>
      <c r="AB221" s="6">
        <v>0</v>
      </c>
    </row>
    <row r="222" spans="1:28" x14ac:dyDescent="0.25">
      <c r="A222" s="5" t="s">
        <v>1156</v>
      </c>
      <c r="B222" s="5" t="s">
        <v>43</v>
      </c>
      <c r="C222" s="5">
        <v>24</v>
      </c>
      <c r="D222" s="5">
        <v>0</v>
      </c>
      <c r="E222" s="5" t="s">
        <v>629</v>
      </c>
      <c r="F222" s="5" t="s">
        <v>1127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0</v>
      </c>
      <c r="O222" s="5">
        <v>0</v>
      </c>
      <c r="P222" s="5">
        <v>0</v>
      </c>
      <c r="Q222" s="5">
        <v>0</v>
      </c>
      <c r="R222" s="5">
        <v>0</v>
      </c>
      <c r="S222" s="5">
        <v>0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Z222" s="5">
        <v>0</v>
      </c>
      <c r="AA222" s="5">
        <v>0</v>
      </c>
      <c r="AB222" s="5">
        <v>0</v>
      </c>
    </row>
    <row r="223" spans="1:28" x14ac:dyDescent="0.25">
      <c r="A223" s="6" t="s">
        <v>1157</v>
      </c>
      <c r="B223" s="6" t="s">
        <v>43</v>
      </c>
      <c r="C223" s="6">
        <v>26</v>
      </c>
      <c r="D223" s="6">
        <v>5</v>
      </c>
      <c r="E223" s="6" t="s">
        <v>511</v>
      </c>
      <c r="F223" s="6" t="s">
        <v>1127</v>
      </c>
      <c r="G223" s="6">
        <v>0</v>
      </c>
      <c r="H223" s="6">
        <v>0</v>
      </c>
      <c r="I223" s="6">
        <v>0</v>
      </c>
      <c r="J223" s="6">
        <v>0</v>
      </c>
      <c r="K223" s="6">
        <v>0</v>
      </c>
      <c r="L223" s="6">
        <v>0</v>
      </c>
      <c r="M223" s="6">
        <v>0</v>
      </c>
      <c r="N223" s="6">
        <v>0</v>
      </c>
      <c r="O223" s="6">
        <v>0</v>
      </c>
      <c r="P223" s="6">
        <v>0</v>
      </c>
      <c r="Q223" s="6">
        <v>0</v>
      </c>
      <c r="R223" s="6">
        <v>0</v>
      </c>
      <c r="S223" s="6">
        <v>0</v>
      </c>
      <c r="T223" s="6">
        <v>0</v>
      </c>
      <c r="U223" s="6">
        <v>0</v>
      </c>
      <c r="V223" s="6">
        <v>0</v>
      </c>
      <c r="W223" s="6">
        <v>0</v>
      </c>
      <c r="X223" s="6">
        <v>0</v>
      </c>
      <c r="Y223" s="6">
        <v>0</v>
      </c>
      <c r="Z223" s="6">
        <v>0</v>
      </c>
      <c r="AA223" s="6">
        <v>0</v>
      </c>
      <c r="AB223" s="6">
        <v>0</v>
      </c>
    </row>
    <row r="224" spans="1:28" x14ac:dyDescent="0.25">
      <c r="A224" s="5" t="s">
        <v>1158</v>
      </c>
      <c r="B224" s="5" t="s">
        <v>43</v>
      </c>
      <c r="C224" s="5">
        <v>28</v>
      </c>
      <c r="D224" s="5">
        <v>5</v>
      </c>
      <c r="E224" s="5" t="s">
        <v>294</v>
      </c>
      <c r="F224" s="5" t="s">
        <v>1127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0</v>
      </c>
      <c r="O224" s="5">
        <v>0</v>
      </c>
      <c r="P224" s="5">
        <v>0</v>
      </c>
      <c r="Q224" s="5">
        <v>0</v>
      </c>
      <c r="R224" s="5">
        <v>0</v>
      </c>
      <c r="S224" s="5">
        <v>0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Z224" s="5">
        <v>0</v>
      </c>
      <c r="AA224" s="5">
        <v>0</v>
      </c>
      <c r="AB224" s="5">
        <v>0</v>
      </c>
    </row>
    <row r="225" spans="1:28" x14ac:dyDescent="0.25">
      <c r="A225" s="6" t="s">
        <v>1159</v>
      </c>
      <c r="B225" s="6" t="s">
        <v>43</v>
      </c>
      <c r="C225" s="6">
        <v>24</v>
      </c>
      <c r="D225" s="6">
        <v>0</v>
      </c>
      <c r="E225" s="6" t="s">
        <v>1068</v>
      </c>
      <c r="F225" s="6" t="s">
        <v>1127</v>
      </c>
      <c r="G225" s="6">
        <v>0</v>
      </c>
      <c r="H225" s="6">
        <v>0</v>
      </c>
      <c r="I225" s="6">
        <v>0</v>
      </c>
      <c r="J225" s="6">
        <v>0</v>
      </c>
      <c r="K225" s="6">
        <v>0</v>
      </c>
      <c r="L225" s="6">
        <v>0</v>
      </c>
      <c r="M225" s="6">
        <v>0</v>
      </c>
      <c r="N225" s="6">
        <v>0</v>
      </c>
      <c r="O225" s="6">
        <v>0</v>
      </c>
      <c r="P225" s="6">
        <v>0</v>
      </c>
      <c r="Q225" s="6">
        <v>0</v>
      </c>
      <c r="R225" s="6">
        <v>0</v>
      </c>
      <c r="S225" s="6">
        <v>0</v>
      </c>
      <c r="T225" s="6">
        <v>0</v>
      </c>
      <c r="U225" s="6">
        <v>0</v>
      </c>
      <c r="V225" s="6">
        <v>0</v>
      </c>
      <c r="W225" s="6">
        <v>0</v>
      </c>
      <c r="X225" s="6">
        <v>0</v>
      </c>
      <c r="Y225" s="6">
        <v>0</v>
      </c>
      <c r="Z225" s="6">
        <v>0</v>
      </c>
      <c r="AA225" s="6">
        <v>0</v>
      </c>
      <c r="AB225" s="6">
        <v>0</v>
      </c>
    </row>
    <row r="226" spans="1:28" x14ac:dyDescent="0.25">
      <c r="A226" s="5" t="s">
        <v>1160</v>
      </c>
      <c r="B226" s="5" t="s">
        <v>43</v>
      </c>
      <c r="C226" s="5">
        <v>23</v>
      </c>
      <c r="D226" s="5">
        <v>2</v>
      </c>
      <c r="E226" s="5" t="s">
        <v>511</v>
      </c>
      <c r="F226" s="5" t="s">
        <v>1127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0</v>
      </c>
      <c r="P226" s="5">
        <v>0</v>
      </c>
      <c r="Q226" s="5">
        <v>0</v>
      </c>
      <c r="R226" s="5">
        <v>0</v>
      </c>
      <c r="S226" s="5">
        <v>0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Z226" s="5">
        <v>0</v>
      </c>
      <c r="AA226" s="5">
        <v>0</v>
      </c>
      <c r="AB226" s="5">
        <v>0</v>
      </c>
    </row>
    <row r="227" spans="1:28" x14ac:dyDescent="0.25">
      <c r="A227" s="6" t="s">
        <v>1161</v>
      </c>
      <c r="B227" s="6" t="s">
        <v>43</v>
      </c>
      <c r="C227" s="6">
        <v>29</v>
      </c>
      <c r="D227" s="6">
        <v>8</v>
      </c>
      <c r="E227" s="6" t="s">
        <v>1162</v>
      </c>
      <c r="F227" s="6" t="s">
        <v>1127</v>
      </c>
      <c r="G227" s="6">
        <v>0</v>
      </c>
      <c r="H227" s="6">
        <v>0</v>
      </c>
      <c r="I227" s="6">
        <v>0</v>
      </c>
      <c r="J227" s="6">
        <v>0</v>
      </c>
      <c r="K227" s="6">
        <v>0</v>
      </c>
      <c r="L227" s="6">
        <v>0</v>
      </c>
      <c r="M227" s="6">
        <v>0</v>
      </c>
      <c r="N227" s="6">
        <v>0</v>
      </c>
      <c r="O227" s="6">
        <v>0</v>
      </c>
      <c r="P227" s="6">
        <v>0</v>
      </c>
      <c r="Q227" s="6">
        <v>0</v>
      </c>
      <c r="R227" s="6">
        <v>0</v>
      </c>
      <c r="S227" s="6">
        <v>0</v>
      </c>
      <c r="T227" s="6">
        <v>0</v>
      </c>
      <c r="U227" s="6">
        <v>0</v>
      </c>
      <c r="V227" s="6">
        <v>0</v>
      </c>
      <c r="W227" s="6">
        <v>0</v>
      </c>
      <c r="X227" s="6">
        <v>0</v>
      </c>
      <c r="Y227" s="6">
        <v>0</v>
      </c>
      <c r="Z227" s="6">
        <v>0</v>
      </c>
      <c r="AA227" s="6">
        <v>0</v>
      </c>
      <c r="AB227" s="6">
        <v>0</v>
      </c>
    </row>
    <row r="228" spans="1:28" x14ac:dyDescent="0.25">
      <c r="A228" s="5" t="s">
        <v>1163</v>
      </c>
      <c r="B228" s="5" t="s">
        <v>43</v>
      </c>
      <c r="C228" s="5">
        <v>24</v>
      </c>
      <c r="D228" s="5">
        <v>1</v>
      </c>
      <c r="E228" s="5" t="s">
        <v>240</v>
      </c>
      <c r="F228" s="5" t="s">
        <v>1127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0</v>
      </c>
      <c r="P228" s="5">
        <v>0</v>
      </c>
      <c r="Q228" s="5">
        <v>0</v>
      </c>
      <c r="R228" s="5">
        <v>0</v>
      </c>
      <c r="S228" s="5">
        <v>0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Z228" s="5">
        <v>0</v>
      </c>
      <c r="AA228" s="5">
        <v>0</v>
      </c>
      <c r="AB228" s="5">
        <v>0</v>
      </c>
    </row>
    <row r="229" spans="1:28" x14ac:dyDescent="0.25">
      <c r="A229" s="6" t="s">
        <v>1164</v>
      </c>
      <c r="B229" s="6" t="s">
        <v>43</v>
      </c>
      <c r="C229" s="6">
        <v>24</v>
      </c>
      <c r="D229" s="6">
        <v>3</v>
      </c>
      <c r="E229" s="6" t="s">
        <v>153</v>
      </c>
      <c r="F229" s="6" t="s">
        <v>1127</v>
      </c>
      <c r="G229" s="6">
        <v>0</v>
      </c>
      <c r="H229" s="6">
        <v>0</v>
      </c>
      <c r="I229" s="6">
        <v>0</v>
      </c>
      <c r="J229" s="6">
        <v>0</v>
      </c>
      <c r="K229" s="6">
        <v>0</v>
      </c>
      <c r="L229" s="6">
        <v>0</v>
      </c>
      <c r="M229" s="6">
        <v>0</v>
      </c>
      <c r="N229" s="6">
        <v>0</v>
      </c>
      <c r="O229" s="6">
        <v>0</v>
      </c>
      <c r="P229" s="6">
        <v>0</v>
      </c>
      <c r="Q229" s="6">
        <v>0</v>
      </c>
      <c r="R229" s="6">
        <v>0</v>
      </c>
      <c r="S229" s="6">
        <v>0</v>
      </c>
      <c r="T229" s="6">
        <v>0</v>
      </c>
      <c r="U229" s="6">
        <v>0</v>
      </c>
      <c r="V229" s="6">
        <v>0</v>
      </c>
      <c r="W229" s="6">
        <v>0</v>
      </c>
      <c r="X229" s="6">
        <v>0</v>
      </c>
      <c r="Y229" s="6">
        <v>0</v>
      </c>
      <c r="Z229" s="6">
        <v>0</v>
      </c>
      <c r="AA229" s="6">
        <v>0</v>
      </c>
      <c r="AB229" s="6">
        <v>0</v>
      </c>
    </row>
    <row r="230" spans="1:28" x14ac:dyDescent="0.25">
      <c r="A230" s="5" t="s">
        <v>1201</v>
      </c>
      <c r="B230" s="5" t="s">
        <v>43</v>
      </c>
      <c r="C230" s="5">
        <v>21</v>
      </c>
      <c r="D230" s="5">
        <v>0</v>
      </c>
      <c r="E230" s="5" t="s">
        <v>78</v>
      </c>
      <c r="F230" s="5" t="s">
        <v>1176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Z230" s="5">
        <v>0</v>
      </c>
      <c r="AA230" s="5">
        <v>0</v>
      </c>
      <c r="AB230" s="5">
        <v>0</v>
      </c>
    </row>
    <row r="231" spans="1:28" x14ac:dyDescent="0.25">
      <c r="A231" s="6" t="s">
        <v>1202</v>
      </c>
      <c r="B231" s="6" t="s">
        <v>43</v>
      </c>
      <c r="C231" s="6">
        <v>24</v>
      </c>
      <c r="D231" s="6">
        <v>1</v>
      </c>
      <c r="E231" s="6" t="s">
        <v>232</v>
      </c>
      <c r="F231" s="6" t="s">
        <v>1176</v>
      </c>
      <c r="G231" s="6">
        <v>0</v>
      </c>
      <c r="H231" s="6">
        <v>0</v>
      </c>
      <c r="I231" s="6">
        <v>0</v>
      </c>
      <c r="J231" s="6">
        <v>0</v>
      </c>
      <c r="K231" s="6">
        <v>0</v>
      </c>
      <c r="L231" s="6">
        <v>0</v>
      </c>
      <c r="M231" s="6">
        <v>0</v>
      </c>
      <c r="N231" s="6">
        <v>0</v>
      </c>
      <c r="O231" s="6">
        <v>0</v>
      </c>
      <c r="P231" s="6">
        <v>0</v>
      </c>
      <c r="Q231" s="6">
        <v>0</v>
      </c>
      <c r="R231" s="6">
        <v>0</v>
      </c>
      <c r="S231" s="6">
        <v>0</v>
      </c>
      <c r="T231" s="6">
        <v>0</v>
      </c>
      <c r="U231" s="6">
        <v>0</v>
      </c>
      <c r="V231" s="6">
        <v>0</v>
      </c>
      <c r="W231" s="6">
        <v>0</v>
      </c>
      <c r="X231" s="6">
        <v>0</v>
      </c>
      <c r="Y231" s="6">
        <v>0</v>
      </c>
      <c r="Z231" s="6">
        <v>0</v>
      </c>
      <c r="AA231" s="6">
        <v>0</v>
      </c>
      <c r="AB231" s="6">
        <v>0</v>
      </c>
    </row>
    <row r="232" spans="1:28" x14ac:dyDescent="0.25">
      <c r="A232" s="5" t="s">
        <v>1203</v>
      </c>
      <c r="B232" s="5" t="s">
        <v>43</v>
      </c>
      <c r="C232" s="5">
        <v>25</v>
      </c>
      <c r="D232" s="5">
        <v>5</v>
      </c>
      <c r="E232" s="5" t="s">
        <v>155</v>
      </c>
      <c r="F232" s="5" t="s">
        <v>1176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Z232" s="5">
        <v>0</v>
      </c>
      <c r="AA232" s="5">
        <v>0</v>
      </c>
      <c r="AB232" s="5">
        <v>0</v>
      </c>
    </row>
    <row r="233" spans="1:28" x14ac:dyDescent="0.25">
      <c r="A233" s="6" t="s">
        <v>1204</v>
      </c>
      <c r="B233" s="6" t="s">
        <v>43</v>
      </c>
      <c r="C233" s="6">
        <v>26</v>
      </c>
      <c r="D233" s="6">
        <v>0</v>
      </c>
      <c r="E233" s="6" t="s">
        <v>1068</v>
      </c>
      <c r="F233" s="6" t="s">
        <v>1176</v>
      </c>
      <c r="G233" s="6">
        <v>0</v>
      </c>
      <c r="H233" s="6">
        <v>0</v>
      </c>
      <c r="I233" s="6">
        <v>0</v>
      </c>
      <c r="J233" s="6">
        <v>0</v>
      </c>
      <c r="K233" s="6">
        <v>0</v>
      </c>
      <c r="L233" s="6">
        <v>0</v>
      </c>
      <c r="M233" s="6">
        <v>0</v>
      </c>
      <c r="N233" s="6">
        <v>0</v>
      </c>
      <c r="O233" s="6">
        <v>0</v>
      </c>
      <c r="P233" s="6">
        <v>0</v>
      </c>
      <c r="Q233" s="6">
        <v>0</v>
      </c>
      <c r="R233" s="6">
        <v>0</v>
      </c>
      <c r="S233" s="6">
        <v>0</v>
      </c>
      <c r="T233" s="6">
        <v>0</v>
      </c>
      <c r="U233" s="6">
        <v>0</v>
      </c>
      <c r="V233" s="6">
        <v>0</v>
      </c>
      <c r="W233" s="6">
        <v>0</v>
      </c>
      <c r="X233" s="6">
        <v>0</v>
      </c>
      <c r="Y233" s="6">
        <v>0</v>
      </c>
      <c r="Z233" s="6">
        <v>0</v>
      </c>
      <c r="AA233" s="6">
        <v>0</v>
      </c>
      <c r="AB233" s="6">
        <v>0</v>
      </c>
    </row>
    <row r="234" spans="1:28" x14ac:dyDescent="0.25">
      <c r="A234" s="5" t="s">
        <v>1205</v>
      </c>
      <c r="B234" s="5" t="s">
        <v>43</v>
      </c>
      <c r="C234" s="5">
        <v>25</v>
      </c>
      <c r="D234" s="5">
        <v>2</v>
      </c>
      <c r="E234" s="5" t="s">
        <v>1206</v>
      </c>
      <c r="F234" s="5" t="s">
        <v>1176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0</v>
      </c>
      <c r="P234" s="5">
        <v>0</v>
      </c>
      <c r="Q234" s="5">
        <v>0</v>
      </c>
      <c r="R234" s="5">
        <v>0</v>
      </c>
      <c r="S234" s="5">
        <v>0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Z234" s="5">
        <v>0</v>
      </c>
      <c r="AA234" s="5">
        <v>0</v>
      </c>
      <c r="AB234" s="5">
        <v>0</v>
      </c>
    </row>
    <row r="235" spans="1:28" x14ac:dyDescent="0.25">
      <c r="A235" s="6" t="s">
        <v>1207</v>
      </c>
      <c r="B235" s="6" t="s">
        <v>43</v>
      </c>
      <c r="C235" s="6">
        <v>24</v>
      </c>
      <c r="D235" s="6">
        <v>4</v>
      </c>
      <c r="E235" s="6" t="s">
        <v>227</v>
      </c>
      <c r="F235" s="6" t="s">
        <v>1176</v>
      </c>
      <c r="G235" s="6">
        <v>0</v>
      </c>
      <c r="H235" s="6">
        <v>0</v>
      </c>
      <c r="I235" s="6">
        <v>0</v>
      </c>
      <c r="J235" s="6">
        <v>0</v>
      </c>
      <c r="K235" s="6">
        <v>0</v>
      </c>
      <c r="L235" s="6">
        <v>0</v>
      </c>
      <c r="M235" s="6">
        <v>0</v>
      </c>
      <c r="N235" s="6">
        <v>0</v>
      </c>
      <c r="O235" s="6">
        <v>0</v>
      </c>
      <c r="P235" s="6">
        <v>0</v>
      </c>
      <c r="Q235" s="6">
        <v>0</v>
      </c>
      <c r="R235" s="6">
        <v>0</v>
      </c>
      <c r="S235" s="6">
        <v>0</v>
      </c>
      <c r="T235" s="6">
        <v>0</v>
      </c>
      <c r="U235" s="6">
        <v>0</v>
      </c>
      <c r="V235" s="6">
        <v>0</v>
      </c>
      <c r="W235" s="6">
        <v>0</v>
      </c>
      <c r="X235" s="6">
        <v>0</v>
      </c>
      <c r="Y235" s="6">
        <v>0</v>
      </c>
      <c r="Z235" s="6">
        <v>0</v>
      </c>
      <c r="AA235" s="6">
        <v>0</v>
      </c>
      <c r="AB235" s="6">
        <v>0</v>
      </c>
    </row>
    <row r="236" spans="1:28" x14ac:dyDescent="0.25">
      <c r="A236" s="5" t="s">
        <v>1208</v>
      </c>
      <c r="B236" s="5" t="s">
        <v>43</v>
      </c>
      <c r="C236" s="5">
        <v>23</v>
      </c>
      <c r="D236" s="5">
        <v>0</v>
      </c>
      <c r="E236" s="5" t="s">
        <v>995</v>
      </c>
      <c r="F236" s="5" t="s">
        <v>1176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0</v>
      </c>
      <c r="P236" s="5">
        <v>0</v>
      </c>
      <c r="Q236" s="5">
        <v>0</v>
      </c>
      <c r="R236" s="5">
        <v>0</v>
      </c>
      <c r="S236" s="5">
        <v>0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Z236" s="5">
        <v>0</v>
      </c>
      <c r="AA236" s="5">
        <v>0</v>
      </c>
      <c r="AB236" s="5">
        <v>0</v>
      </c>
    </row>
    <row r="237" spans="1:28" x14ac:dyDescent="0.25">
      <c r="A237" s="6" t="s">
        <v>1209</v>
      </c>
      <c r="B237" s="6" t="s">
        <v>43</v>
      </c>
      <c r="C237" s="6">
        <v>24</v>
      </c>
      <c r="D237" s="6">
        <v>2</v>
      </c>
      <c r="E237" s="6" t="s">
        <v>744</v>
      </c>
      <c r="F237" s="6" t="s">
        <v>1176</v>
      </c>
      <c r="G237" s="6">
        <v>0</v>
      </c>
      <c r="H237" s="6">
        <v>0</v>
      </c>
      <c r="I237" s="6">
        <v>0</v>
      </c>
      <c r="J237" s="6">
        <v>0</v>
      </c>
      <c r="K237" s="6">
        <v>0</v>
      </c>
      <c r="L237" s="6">
        <v>0</v>
      </c>
      <c r="M237" s="6">
        <v>0</v>
      </c>
      <c r="N237" s="6">
        <v>0</v>
      </c>
      <c r="O237" s="6">
        <v>0</v>
      </c>
      <c r="P237" s="6">
        <v>0</v>
      </c>
      <c r="Q237" s="6">
        <v>0</v>
      </c>
      <c r="R237" s="6">
        <v>0</v>
      </c>
      <c r="S237" s="6">
        <v>0</v>
      </c>
      <c r="T237" s="6">
        <v>0</v>
      </c>
      <c r="U237" s="6">
        <v>0</v>
      </c>
      <c r="V237" s="6">
        <v>0</v>
      </c>
      <c r="W237" s="6">
        <v>0</v>
      </c>
      <c r="X237" s="6">
        <v>0</v>
      </c>
      <c r="Y237" s="6">
        <v>0</v>
      </c>
      <c r="Z237" s="6">
        <v>0</v>
      </c>
      <c r="AA237" s="6">
        <v>0</v>
      </c>
      <c r="AB237" s="6">
        <v>0</v>
      </c>
    </row>
    <row r="238" spans="1:28" x14ac:dyDescent="0.25">
      <c r="A238" s="5" t="s">
        <v>1210</v>
      </c>
      <c r="B238" s="5" t="s">
        <v>43</v>
      </c>
      <c r="C238" s="5">
        <v>26</v>
      </c>
      <c r="D238" s="5">
        <v>4</v>
      </c>
      <c r="E238" s="5" t="s">
        <v>397</v>
      </c>
      <c r="F238" s="5" t="s">
        <v>1176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0</v>
      </c>
      <c r="P238" s="5">
        <v>0</v>
      </c>
      <c r="Q238" s="5">
        <v>0</v>
      </c>
      <c r="R238" s="5">
        <v>0</v>
      </c>
      <c r="S238" s="5">
        <v>0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Z238" s="5">
        <v>0</v>
      </c>
      <c r="AA238" s="5">
        <v>0</v>
      </c>
      <c r="AB238" s="5">
        <v>0</v>
      </c>
    </row>
    <row r="239" spans="1:28" x14ac:dyDescent="0.25">
      <c r="A239" s="6" t="s">
        <v>1211</v>
      </c>
      <c r="B239" s="6" t="s">
        <v>43</v>
      </c>
      <c r="C239" s="6">
        <v>27</v>
      </c>
      <c r="D239" s="6">
        <v>6</v>
      </c>
      <c r="E239" s="6" t="s">
        <v>178</v>
      </c>
      <c r="F239" s="6" t="s">
        <v>1176</v>
      </c>
      <c r="G239" s="6">
        <v>0</v>
      </c>
      <c r="H239" s="6">
        <v>0</v>
      </c>
      <c r="I239" s="6">
        <v>0</v>
      </c>
      <c r="J239" s="6">
        <v>0</v>
      </c>
      <c r="K239" s="6">
        <v>0</v>
      </c>
      <c r="L239" s="6">
        <v>0</v>
      </c>
      <c r="M239" s="6">
        <v>0</v>
      </c>
      <c r="N239" s="6">
        <v>0</v>
      </c>
      <c r="O239" s="6">
        <v>0</v>
      </c>
      <c r="P239" s="6">
        <v>0</v>
      </c>
      <c r="Q239" s="6">
        <v>0</v>
      </c>
      <c r="R239" s="6">
        <v>0</v>
      </c>
      <c r="S239" s="6">
        <v>0</v>
      </c>
      <c r="T239" s="6">
        <v>0</v>
      </c>
      <c r="U239" s="6">
        <v>0</v>
      </c>
      <c r="V239" s="6">
        <v>0</v>
      </c>
      <c r="W239" s="6">
        <v>0</v>
      </c>
      <c r="X239" s="6">
        <v>0</v>
      </c>
      <c r="Y239" s="6">
        <v>0</v>
      </c>
      <c r="Z239" s="6">
        <v>0</v>
      </c>
      <c r="AA239" s="6">
        <v>0</v>
      </c>
      <c r="AB239" s="6">
        <v>0</v>
      </c>
    </row>
    <row r="240" spans="1:28" x14ac:dyDescent="0.25">
      <c r="A240" s="5" t="s">
        <v>1212</v>
      </c>
      <c r="B240" s="5" t="s">
        <v>43</v>
      </c>
      <c r="C240" s="5">
        <v>24</v>
      </c>
      <c r="D240" s="5">
        <v>3</v>
      </c>
      <c r="E240" s="5" t="s">
        <v>220</v>
      </c>
      <c r="F240" s="5" t="s">
        <v>1176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0</v>
      </c>
      <c r="P240" s="5">
        <v>0</v>
      </c>
      <c r="Q240" s="5">
        <v>0</v>
      </c>
      <c r="R240" s="5">
        <v>0</v>
      </c>
      <c r="S240" s="5">
        <v>0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Z240" s="5">
        <v>0</v>
      </c>
      <c r="AA240" s="5">
        <v>0</v>
      </c>
      <c r="AB240" s="5">
        <v>0</v>
      </c>
    </row>
    <row r="241" spans="1:28" x14ac:dyDescent="0.25">
      <c r="A241" s="6" t="s">
        <v>1213</v>
      </c>
      <c r="B241" s="6" t="s">
        <v>43</v>
      </c>
      <c r="C241" s="6">
        <v>24</v>
      </c>
      <c r="D241" s="6">
        <v>4</v>
      </c>
      <c r="E241" s="6" t="s">
        <v>76</v>
      </c>
      <c r="F241" s="6" t="s">
        <v>1176</v>
      </c>
      <c r="G241" s="6">
        <v>0</v>
      </c>
      <c r="H241" s="6">
        <v>0</v>
      </c>
      <c r="I241" s="6">
        <v>0</v>
      </c>
      <c r="J241" s="6">
        <v>0</v>
      </c>
      <c r="K241" s="6">
        <v>0</v>
      </c>
      <c r="L241" s="6">
        <v>0</v>
      </c>
      <c r="M241" s="6">
        <v>0</v>
      </c>
      <c r="N241" s="6">
        <v>0</v>
      </c>
      <c r="O241" s="6">
        <v>0</v>
      </c>
      <c r="P241" s="6">
        <v>0</v>
      </c>
      <c r="Q241" s="6">
        <v>0</v>
      </c>
      <c r="R241" s="6">
        <v>0</v>
      </c>
      <c r="S241" s="6">
        <v>0</v>
      </c>
      <c r="T241" s="6">
        <v>0</v>
      </c>
      <c r="U241" s="6">
        <v>0</v>
      </c>
      <c r="V241" s="6">
        <v>0</v>
      </c>
      <c r="W241" s="6">
        <v>0</v>
      </c>
      <c r="X241" s="6">
        <v>0</v>
      </c>
      <c r="Y241" s="6">
        <v>0</v>
      </c>
      <c r="Z241" s="6">
        <v>0</v>
      </c>
      <c r="AA241" s="6">
        <v>0</v>
      </c>
      <c r="AB241" s="6">
        <v>0</v>
      </c>
    </row>
    <row r="242" spans="1:28" x14ac:dyDescent="0.25">
      <c r="A242" s="5" t="s">
        <v>1248</v>
      </c>
      <c r="B242" s="5" t="s">
        <v>43</v>
      </c>
      <c r="C242" s="5">
        <v>28</v>
      </c>
      <c r="D242" s="5">
        <v>7</v>
      </c>
      <c r="E242" s="5" t="s">
        <v>413</v>
      </c>
      <c r="F242" s="5" t="s">
        <v>1222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0</v>
      </c>
      <c r="P242" s="5">
        <v>0</v>
      </c>
      <c r="Q242" s="5">
        <v>0</v>
      </c>
      <c r="R242" s="5">
        <v>0</v>
      </c>
      <c r="S242" s="5">
        <v>0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Z242" s="5">
        <v>0</v>
      </c>
      <c r="AA242" s="5">
        <v>0</v>
      </c>
      <c r="AB242" s="5">
        <v>0</v>
      </c>
    </row>
    <row r="243" spans="1:28" x14ac:dyDescent="0.25">
      <c r="A243" s="6" t="s">
        <v>1249</v>
      </c>
      <c r="B243" s="6" t="s">
        <v>43</v>
      </c>
      <c r="C243" s="6">
        <v>21</v>
      </c>
      <c r="D243" s="6">
        <v>0</v>
      </c>
      <c r="E243" s="6" t="s">
        <v>227</v>
      </c>
      <c r="F243" s="6" t="s">
        <v>1222</v>
      </c>
      <c r="G243" s="6">
        <v>0</v>
      </c>
      <c r="H243" s="6">
        <v>0</v>
      </c>
      <c r="I243" s="6">
        <v>0</v>
      </c>
      <c r="J243" s="6">
        <v>0</v>
      </c>
      <c r="K243" s="6">
        <v>0</v>
      </c>
      <c r="L243" s="6">
        <v>0</v>
      </c>
      <c r="M243" s="6">
        <v>0</v>
      </c>
      <c r="N243" s="6">
        <v>0</v>
      </c>
      <c r="O243" s="6">
        <v>0</v>
      </c>
      <c r="P243" s="6">
        <v>0</v>
      </c>
      <c r="Q243" s="6">
        <v>0</v>
      </c>
      <c r="R243" s="6">
        <v>0</v>
      </c>
      <c r="S243" s="6">
        <v>0</v>
      </c>
      <c r="T243" s="6">
        <v>0</v>
      </c>
      <c r="U243" s="6">
        <v>0</v>
      </c>
      <c r="V243" s="6">
        <v>0</v>
      </c>
      <c r="W243" s="6">
        <v>0</v>
      </c>
      <c r="X243" s="6">
        <v>0</v>
      </c>
      <c r="Y243" s="6">
        <v>0</v>
      </c>
      <c r="Z243" s="6">
        <v>0</v>
      </c>
      <c r="AA243" s="6">
        <v>0</v>
      </c>
      <c r="AB243" s="6">
        <v>0</v>
      </c>
    </row>
    <row r="244" spans="1:28" x14ac:dyDescent="0.25">
      <c r="A244" s="5" t="s">
        <v>1250</v>
      </c>
      <c r="B244" s="5" t="s">
        <v>43</v>
      </c>
      <c r="C244" s="5">
        <v>22</v>
      </c>
      <c r="D244" s="5">
        <v>0</v>
      </c>
      <c r="E244" s="5" t="s">
        <v>1251</v>
      </c>
      <c r="F244" s="5" t="s">
        <v>1222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0</v>
      </c>
      <c r="P244" s="5">
        <v>0</v>
      </c>
      <c r="Q244" s="5">
        <v>0</v>
      </c>
      <c r="R244" s="5">
        <v>0</v>
      </c>
      <c r="S244" s="5">
        <v>0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Z244" s="5">
        <v>0</v>
      </c>
      <c r="AA244" s="5">
        <v>0</v>
      </c>
      <c r="AB244" s="5">
        <v>0</v>
      </c>
    </row>
    <row r="245" spans="1:28" x14ac:dyDescent="0.25">
      <c r="A245" s="6" t="s">
        <v>1252</v>
      </c>
      <c r="B245" s="6" t="s">
        <v>43</v>
      </c>
      <c r="C245" s="6">
        <v>27</v>
      </c>
      <c r="D245" s="6">
        <v>4</v>
      </c>
      <c r="E245" s="6" t="s">
        <v>393</v>
      </c>
      <c r="F245" s="6" t="s">
        <v>1222</v>
      </c>
      <c r="G245" s="6">
        <v>0</v>
      </c>
      <c r="H245" s="6">
        <v>0</v>
      </c>
      <c r="I245" s="6">
        <v>0</v>
      </c>
      <c r="J245" s="6">
        <v>0</v>
      </c>
      <c r="K245" s="6">
        <v>0</v>
      </c>
      <c r="L245" s="6">
        <v>0</v>
      </c>
      <c r="M245" s="6">
        <v>0</v>
      </c>
      <c r="N245" s="6">
        <v>0</v>
      </c>
      <c r="O245" s="6">
        <v>0</v>
      </c>
      <c r="P245" s="6">
        <v>0</v>
      </c>
      <c r="Q245" s="6">
        <v>0</v>
      </c>
      <c r="R245" s="6">
        <v>0</v>
      </c>
      <c r="S245" s="6">
        <v>0</v>
      </c>
      <c r="T245" s="6">
        <v>0</v>
      </c>
      <c r="U245" s="6">
        <v>0</v>
      </c>
      <c r="V245" s="6">
        <v>0</v>
      </c>
      <c r="W245" s="6">
        <v>0</v>
      </c>
      <c r="X245" s="6">
        <v>0</v>
      </c>
      <c r="Y245" s="6">
        <v>0</v>
      </c>
      <c r="Z245" s="6">
        <v>0</v>
      </c>
      <c r="AA245" s="6">
        <v>0</v>
      </c>
      <c r="AB245" s="6">
        <v>0</v>
      </c>
    </row>
    <row r="246" spans="1:28" x14ac:dyDescent="0.25">
      <c r="A246" s="5" t="s">
        <v>1253</v>
      </c>
      <c r="B246" s="5" t="s">
        <v>43</v>
      </c>
      <c r="C246" s="5">
        <v>30</v>
      </c>
      <c r="D246" s="5">
        <v>9</v>
      </c>
      <c r="E246" s="5" t="s">
        <v>102</v>
      </c>
      <c r="F246" s="5" t="s">
        <v>1222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0</v>
      </c>
      <c r="P246" s="5">
        <v>0</v>
      </c>
      <c r="Q246" s="5">
        <v>0</v>
      </c>
      <c r="R246" s="5">
        <v>0</v>
      </c>
      <c r="S246" s="5">
        <v>0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Z246" s="5">
        <v>0</v>
      </c>
      <c r="AA246" s="5">
        <v>0</v>
      </c>
      <c r="AB246" s="5">
        <v>0</v>
      </c>
    </row>
    <row r="247" spans="1:28" x14ac:dyDescent="0.25">
      <c r="A247" s="6" t="s">
        <v>1254</v>
      </c>
      <c r="B247" s="6" t="s">
        <v>43</v>
      </c>
      <c r="C247" s="6">
        <v>25</v>
      </c>
      <c r="D247" s="6">
        <v>1</v>
      </c>
      <c r="E247" s="6" t="s">
        <v>282</v>
      </c>
      <c r="F247" s="6" t="s">
        <v>1222</v>
      </c>
      <c r="G247" s="6">
        <v>0</v>
      </c>
      <c r="H247" s="6">
        <v>0</v>
      </c>
      <c r="I247" s="6">
        <v>0</v>
      </c>
      <c r="J247" s="6">
        <v>0</v>
      </c>
      <c r="K247" s="6">
        <v>0</v>
      </c>
      <c r="L247" s="6">
        <v>0</v>
      </c>
      <c r="M247" s="6">
        <v>0</v>
      </c>
      <c r="N247" s="6">
        <v>0</v>
      </c>
      <c r="O247" s="6">
        <v>0</v>
      </c>
      <c r="P247" s="6">
        <v>0</v>
      </c>
      <c r="Q247" s="6">
        <v>0</v>
      </c>
      <c r="R247" s="6">
        <v>0</v>
      </c>
      <c r="S247" s="6">
        <v>0</v>
      </c>
      <c r="T247" s="6">
        <v>0</v>
      </c>
      <c r="U247" s="6">
        <v>0</v>
      </c>
      <c r="V247" s="6">
        <v>0</v>
      </c>
      <c r="W247" s="6">
        <v>0</v>
      </c>
      <c r="X247" s="6">
        <v>0</v>
      </c>
      <c r="Y247" s="6">
        <v>0</v>
      </c>
      <c r="Z247" s="6">
        <v>0</v>
      </c>
      <c r="AA247" s="6">
        <v>0</v>
      </c>
      <c r="AB247" s="6">
        <v>0</v>
      </c>
    </row>
    <row r="248" spans="1:28" x14ac:dyDescent="0.25">
      <c r="A248" s="5" t="s">
        <v>1255</v>
      </c>
      <c r="B248" s="5" t="s">
        <v>43</v>
      </c>
      <c r="C248" s="5">
        <v>30</v>
      </c>
      <c r="D248" s="5">
        <v>9</v>
      </c>
      <c r="E248" s="5" t="s">
        <v>209</v>
      </c>
      <c r="F248" s="5" t="s">
        <v>1222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0</v>
      </c>
      <c r="P248" s="5">
        <v>0</v>
      </c>
      <c r="Q248" s="5">
        <v>0</v>
      </c>
      <c r="R248" s="5">
        <v>0</v>
      </c>
      <c r="S248" s="5">
        <v>0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Z248" s="5">
        <v>0</v>
      </c>
      <c r="AA248" s="5">
        <v>0</v>
      </c>
      <c r="AB248" s="5">
        <v>0</v>
      </c>
    </row>
    <row r="249" spans="1:28" x14ac:dyDescent="0.25">
      <c r="A249" s="6" t="s">
        <v>1256</v>
      </c>
      <c r="B249" s="6" t="s">
        <v>43</v>
      </c>
      <c r="C249" s="6">
        <v>22</v>
      </c>
      <c r="D249" s="6">
        <v>0</v>
      </c>
      <c r="E249" s="6" t="s">
        <v>1257</v>
      </c>
      <c r="F249" s="6" t="s">
        <v>1222</v>
      </c>
      <c r="G249" s="6">
        <v>0</v>
      </c>
      <c r="H249" s="6">
        <v>0</v>
      </c>
      <c r="I249" s="6">
        <v>0</v>
      </c>
      <c r="J249" s="6">
        <v>0</v>
      </c>
      <c r="K249" s="6">
        <v>0</v>
      </c>
      <c r="L249" s="6">
        <v>0</v>
      </c>
      <c r="M249" s="6">
        <v>0</v>
      </c>
      <c r="N249" s="6">
        <v>0</v>
      </c>
      <c r="O249" s="6">
        <v>0</v>
      </c>
      <c r="P249" s="6">
        <v>0</v>
      </c>
      <c r="Q249" s="6">
        <v>0</v>
      </c>
      <c r="R249" s="6">
        <v>0</v>
      </c>
      <c r="S249" s="6">
        <v>0</v>
      </c>
      <c r="T249" s="6">
        <v>0</v>
      </c>
      <c r="U249" s="6">
        <v>0</v>
      </c>
      <c r="V249" s="6">
        <v>0</v>
      </c>
      <c r="W249" s="6">
        <v>0</v>
      </c>
      <c r="X249" s="6">
        <v>0</v>
      </c>
      <c r="Y249" s="6">
        <v>0</v>
      </c>
      <c r="Z249" s="6">
        <v>0</v>
      </c>
      <c r="AA249" s="6">
        <v>0</v>
      </c>
      <c r="AB249" s="6">
        <v>0</v>
      </c>
    </row>
    <row r="250" spans="1:28" x14ac:dyDescent="0.25">
      <c r="A250" s="5" t="s">
        <v>1258</v>
      </c>
      <c r="B250" s="5" t="s">
        <v>43</v>
      </c>
      <c r="C250" s="5">
        <v>37</v>
      </c>
      <c r="D250" s="5">
        <v>16</v>
      </c>
      <c r="E250" s="5" t="s">
        <v>418</v>
      </c>
      <c r="F250" s="5" t="s">
        <v>1222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0</v>
      </c>
      <c r="P250" s="5">
        <v>0</v>
      </c>
      <c r="Q250" s="5">
        <v>0</v>
      </c>
      <c r="R250" s="5">
        <v>0</v>
      </c>
      <c r="S250" s="5">
        <v>0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Z250" s="5">
        <v>0</v>
      </c>
      <c r="AA250" s="5">
        <v>0</v>
      </c>
      <c r="AB250" s="5">
        <v>0</v>
      </c>
    </row>
    <row r="251" spans="1:28" x14ac:dyDescent="0.25">
      <c r="A251" s="6" t="s">
        <v>1259</v>
      </c>
      <c r="B251" s="6" t="s">
        <v>43</v>
      </c>
      <c r="C251" s="6">
        <v>26</v>
      </c>
      <c r="D251" s="6">
        <v>7</v>
      </c>
      <c r="E251" s="6" t="s">
        <v>78</v>
      </c>
      <c r="F251" s="6" t="s">
        <v>1222</v>
      </c>
      <c r="G251" s="6">
        <v>0</v>
      </c>
      <c r="H251" s="6">
        <v>0</v>
      </c>
      <c r="I251" s="6">
        <v>0</v>
      </c>
      <c r="J251" s="6">
        <v>0</v>
      </c>
      <c r="K251" s="6">
        <v>0</v>
      </c>
      <c r="L251" s="6">
        <v>0</v>
      </c>
      <c r="M251" s="6">
        <v>0</v>
      </c>
      <c r="N251" s="6">
        <v>0</v>
      </c>
      <c r="O251" s="6">
        <v>0</v>
      </c>
      <c r="P251" s="6">
        <v>0</v>
      </c>
      <c r="Q251" s="6">
        <v>0</v>
      </c>
      <c r="R251" s="6">
        <v>0</v>
      </c>
      <c r="S251" s="6">
        <v>0</v>
      </c>
      <c r="T251" s="6">
        <v>0</v>
      </c>
      <c r="U251" s="6">
        <v>0</v>
      </c>
      <c r="V251" s="6">
        <v>0</v>
      </c>
      <c r="W251" s="6">
        <v>0</v>
      </c>
      <c r="X251" s="6">
        <v>0</v>
      </c>
      <c r="Y251" s="6">
        <v>0</v>
      </c>
      <c r="Z251" s="6">
        <v>0</v>
      </c>
      <c r="AA251" s="6">
        <v>0</v>
      </c>
      <c r="AB251" s="6">
        <v>0</v>
      </c>
    </row>
    <row r="252" spans="1:28" x14ac:dyDescent="0.25">
      <c r="A252" s="5" t="s">
        <v>1260</v>
      </c>
      <c r="B252" s="5" t="s">
        <v>43</v>
      </c>
      <c r="C252" s="5">
        <v>23</v>
      </c>
      <c r="D252" s="5">
        <v>2</v>
      </c>
      <c r="E252" s="5" t="s">
        <v>393</v>
      </c>
      <c r="F252" s="5" t="s">
        <v>1222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0</v>
      </c>
      <c r="P252" s="5">
        <v>0</v>
      </c>
      <c r="Q252" s="5">
        <v>0</v>
      </c>
      <c r="R252" s="5">
        <v>0</v>
      </c>
      <c r="S252" s="5">
        <v>0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Z252" s="5">
        <v>0</v>
      </c>
      <c r="AA252" s="5">
        <v>0</v>
      </c>
      <c r="AB252" s="5">
        <v>0</v>
      </c>
    </row>
    <row r="253" spans="1:28" x14ac:dyDescent="0.25">
      <c r="A253" s="5" t="s">
        <v>1297</v>
      </c>
      <c r="B253" s="5" t="s">
        <v>43</v>
      </c>
      <c r="C253" s="5">
        <v>24</v>
      </c>
      <c r="D253" s="5">
        <v>1</v>
      </c>
      <c r="E253" s="5" t="s">
        <v>519</v>
      </c>
      <c r="F253" s="5" t="s">
        <v>1270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0</v>
      </c>
      <c r="P253" s="5">
        <v>0</v>
      </c>
      <c r="Q253" s="5">
        <v>0</v>
      </c>
      <c r="R253" s="5">
        <v>0</v>
      </c>
      <c r="S253" s="5">
        <v>0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Z253" s="5">
        <v>0</v>
      </c>
      <c r="AA253" s="5">
        <v>0</v>
      </c>
      <c r="AB253" s="5">
        <v>0</v>
      </c>
    </row>
    <row r="254" spans="1:28" x14ac:dyDescent="0.25">
      <c r="A254" s="6" t="s">
        <v>1298</v>
      </c>
      <c r="B254" s="6" t="s">
        <v>43</v>
      </c>
      <c r="C254" s="6">
        <v>25</v>
      </c>
      <c r="D254" s="6">
        <v>3</v>
      </c>
      <c r="E254" s="6" t="s">
        <v>150</v>
      </c>
      <c r="F254" s="6" t="s">
        <v>1270</v>
      </c>
      <c r="G254" s="6">
        <v>0</v>
      </c>
      <c r="H254" s="6">
        <v>0</v>
      </c>
      <c r="I254" s="6">
        <v>0</v>
      </c>
      <c r="J254" s="6">
        <v>0</v>
      </c>
      <c r="K254" s="6">
        <v>0</v>
      </c>
      <c r="L254" s="6">
        <v>0</v>
      </c>
      <c r="M254" s="6">
        <v>0</v>
      </c>
      <c r="N254" s="6">
        <v>0</v>
      </c>
      <c r="O254" s="6">
        <v>0</v>
      </c>
      <c r="P254" s="6">
        <v>0</v>
      </c>
      <c r="Q254" s="6">
        <v>0</v>
      </c>
      <c r="R254" s="6">
        <v>0</v>
      </c>
      <c r="S254" s="6">
        <v>0</v>
      </c>
      <c r="T254" s="6">
        <v>0</v>
      </c>
      <c r="U254" s="6">
        <v>0</v>
      </c>
      <c r="V254" s="6">
        <v>0</v>
      </c>
      <c r="W254" s="6">
        <v>0</v>
      </c>
      <c r="X254" s="6">
        <v>0</v>
      </c>
      <c r="Y254" s="6">
        <v>0</v>
      </c>
      <c r="Z254" s="6">
        <v>0</v>
      </c>
      <c r="AA254" s="6">
        <v>0</v>
      </c>
      <c r="AB254" s="6">
        <v>0</v>
      </c>
    </row>
    <row r="255" spans="1:28" x14ac:dyDescent="0.25">
      <c r="A255" s="5" t="s">
        <v>1299</v>
      </c>
      <c r="B255" s="5" t="s">
        <v>43</v>
      </c>
      <c r="C255" s="5">
        <v>23</v>
      </c>
      <c r="D255" s="5">
        <v>0</v>
      </c>
      <c r="E255" s="5" t="s">
        <v>1300</v>
      </c>
      <c r="F255" s="5" t="s">
        <v>1270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0</v>
      </c>
      <c r="P255" s="5">
        <v>0</v>
      </c>
      <c r="Q255" s="5">
        <v>0</v>
      </c>
      <c r="R255" s="5">
        <v>0</v>
      </c>
      <c r="S255" s="5">
        <v>0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Z255" s="5">
        <v>0</v>
      </c>
      <c r="AA255" s="5">
        <v>0</v>
      </c>
      <c r="AB255" s="5">
        <v>0</v>
      </c>
    </row>
    <row r="256" spans="1:28" x14ac:dyDescent="0.25">
      <c r="A256" s="6" t="s">
        <v>1301</v>
      </c>
      <c r="B256" s="6" t="s">
        <v>43</v>
      </c>
      <c r="C256" s="6">
        <v>24</v>
      </c>
      <c r="D256" s="6">
        <v>4</v>
      </c>
      <c r="E256" s="6" t="s">
        <v>341</v>
      </c>
      <c r="F256" s="6" t="s">
        <v>1270</v>
      </c>
      <c r="G256" s="6">
        <v>0</v>
      </c>
      <c r="H256" s="6">
        <v>0</v>
      </c>
      <c r="I256" s="6">
        <v>0</v>
      </c>
      <c r="J256" s="6">
        <v>0</v>
      </c>
      <c r="K256" s="6">
        <v>0</v>
      </c>
      <c r="L256" s="6">
        <v>0</v>
      </c>
      <c r="M256" s="6">
        <v>0</v>
      </c>
      <c r="N256" s="6">
        <v>0</v>
      </c>
      <c r="O256" s="6">
        <v>0</v>
      </c>
      <c r="P256" s="6">
        <v>0</v>
      </c>
      <c r="Q256" s="6">
        <v>0</v>
      </c>
      <c r="R256" s="6">
        <v>0</v>
      </c>
      <c r="S256" s="6">
        <v>0</v>
      </c>
      <c r="T256" s="6">
        <v>0</v>
      </c>
      <c r="U256" s="6">
        <v>0</v>
      </c>
      <c r="V256" s="6">
        <v>0</v>
      </c>
      <c r="W256" s="6">
        <v>0</v>
      </c>
      <c r="X256" s="6">
        <v>0</v>
      </c>
      <c r="Y256" s="6">
        <v>0</v>
      </c>
      <c r="Z256" s="6">
        <v>0</v>
      </c>
      <c r="AA256" s="6">
        <v>0</v>
      </c>
      <c r="AB256" s="6">
        <v>0</v>
      </c>
    </row>
    <row r="257" spans="1:28" x14ac:dyDescent="0.25">
      <c r="A257" s="5" t="s">
        <v>1302</v>
      </c>
      <c r="B257" s="5" t="s">
        <v>43</v>
      </c>
      <c r="C257" s="5">
        <v>24</v>
      </c>
      <c r="D257" s="5">
        <v>1</v>
      </c>
      <c r="E257" s="5" t="s">
        <v>227</v>
      </c>
      <c r="F257" s="5" t="s">
        <v>1270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0</v>
      </c>
      <c r="P257" s="5">
        <v>0</v>
      </c>
      <c r="Q257" s="5">
        <v>0</v>
      </c>
      <c r="R257" s="5">
        <v>0</v>
      </c>
      <c r="S257" s="5">
        <v>0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Z257" s="5">
        <v>0</v>
      </c>
      <c r="AA257" s="5">
        <v>0</v>
      </c>
      <c r="AB257" s="5">
        <v>0</v>
      </c>
    </row>
    <row r="258" spans="1:28" x14ac:dyDescent="0.25">
      <c r="A258" s="6" t="s">
        <v>1303</v>
      </c>
      <c r="B258" s="6" t="s">
        <v>43</v>
      </c>
      <c r="C258" s="6">
        <v>29</v>
      </c>
      <c r="D258" s="6">
        <v>4</v>
      </c>
      <c r="E258" s="6" t="s">
        <v>391</v>
      </c>
      <c r="F258" s="6" t="s">
        <v>1270</v>
      </c>
      <c r="G258" s="6">
        <v>0</v>
      </c>
      <c r="H258" s="6">
        <v>0</v>
      </c>
      <c r="I258" s="6">
        <v>0</v>
      </c>
      <c r="J258" s="6">
        <v>0</v>
      </c>
      <c r="K258" s="6">
        <v>0</v>
      </c>
      <c r="L258" s="6">
        <v>0</v>
      </c>
      <c r="M258" s="6">
        <v>0</v>
      </c>
      <c r="N258" s="6">
        <v>0</v>
      </c>
      <c r="O258" s="6">
        <v>0</v>
      </c>
      <c r="P258" s="6">
        <v>0</v>
      </c>
      <c r="Q258" s="6">
        <v>0</v>
      </c>
      <c r="R258" s="6">
        <v>0</v>
      </c>
      <c r="S258" s="6">
        <v>0</v>
      </c>
      <c r="T258" s="6">
        <v>0</v>
      </c>
      <c r="U258" s="6">
        <v>0</v>
      </c>
      <c r="V258" s="6">
        <v>0</v>
      </c>
      <c r="W258" s="6">
        <v>0</v>
      </c>
      <c r="X258" s="6">
        <v>0</v>
      </c>
      <c r="Y258" s="6">
        <v>0</v>
      </c>
      <c r="Z258" s="6">
        <v>0</v>
      </c>
      <c r="AA258" s="6">
        <v>0</v>
      </c>
      <c r="AB258" s="6">
        <v>0</v>
      </c>
    </row>
    <row r="259" spans="1:28" x14ac:dyDescent="0.25">
      <c r="A259" s="5" t="s">
        <v>1304</v>
      </c>
      <c r="B259" s="5" t="s">
        <v>43</v>
      </c>
      <c r="C259" s="5">
        <v>26</v>
      </c>
      <c r="D259" s="5">
        <v>1</v>
      </c>
      <c r="E259" s="5" t="s">
        <v>1305</v>
      </c>
      <c r="F259" s="5" t="s">
        <v>1270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0</v>
      </c>
      <c r="P259" s="5">
        <v>0</v>
      </c>
      <c r="Q259" s="5">
        <v>0</v>
      </c>
      <c r="R259" s="5">
        <v>0</v>
      </c>
      <c r="S259" s="5">
        <v>0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Z259" s="5">
        <v>0</v>
      </c>
      <c r="AA259" s="5">
        <v>0</v>
      </c>
      <c r="AB259" s="5">
        <v>0</v>
      </c>
    </row>
    <row r="260" spans="1:28" x14ac:dyDescent="0.25">
      <c r="A260" s="6" t="s">
        <v>1306</v>
      </c>
      <c r="B260" s="6" t="s">
        <v>43</v>
      </c>
      <c r="C260" s="6">
        <v>23</v>
      </c>
      <c r="D260" s="6">
        <v>2</v>
      </c>
      <c r="E260" s="6" t="s">
        <v>213</v>
      </c>
      <c r="F260" s="6" t="s">
        <v>1270</v>
      </c>
      <c r="G260" s="6">
        <v>0</v>
      </c>
      <c r="H260" s="6">
        <v>0</v>
      </c>
      <c r="I260" s="6">
        <v>0</v>
      </c>
      <c r="J260" s="6">
        <v>0</v>
      </c>
      <c r="K260" s="6">
        <v>0</v>
      </c>
      <c r="L260" s="6">
        <v>0</v>
      </c>
      <c r="M260" s="6">
        <v>0</v>
      </c>
      <c r="N260" s="6">
        <v>0</v>
      </c>
      <c r="O260" s="6">
        <v>0</v>
      </c>
      <c r="P260" s="6">
        <v>0</v>
      </c>
      <c r="Q260" s="6">
        <v>0</v>
      </c>
      <c r="R260" s="6">
        <v>0</v>
      </c>
      <c r="S260" s="6">
        <v>0</v>
      </c>
      <c r="T260" s="6">
        <v>0</v>
      </c>
      <c r="U260" s="6">
        <v>0</v>
      </c>
      <c r="V260" s="6">
        <v>0</v>
      </c>
      <c r="W260" s="6">
        <v>0</v>
      </c>
      <c r="X260" s="6">
        <v>0</v>
      </c>
      <c r="Y260" s="6">
        <v>0</v>
      </c>
      <c r="Z260" s="6">
        <v>0</v>
      </c>
      <c r="AA260" s="6">
        <v>0</v>
      </c>
      <c r="AB260" s="6">
        <v>0</v>
      </c>
    </row>
    <row r="261" spans="1:28" x14ac:dyDescent="0.25">
      <c r="A261" s="5" t="s">
        <v>1307</v>
      </c>
      <c r="B261" s="5" t="s">
        <v>43</v>
      </c>
      <c r="C261" s="5">
        <v>23</v>
      </c>
      <c r="D261" s="5">
        <v>0</v>
      </c>
      <c r="E261" s="5" t="s">
        <v>95</v>
      </c>
      <c r="F261" s="5" t="s">
        <v>1270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0</v>
      </c>
      <c r="P261" s="5">
        <v>0</v>
      </c>
      <c r="Q261" s="5">
        <v>0</v>
      </c>
      <c r="R261" s="5">
        <v>0</v>
      </c>
      <c r="S261" s="5">
        <v>0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Z261" s="5">
        <v>0</v>
      </c>
      <c r="AA261" s="5">
        <v>0</v>
      </c>
      <c r="AB261" s="5">
        <v>0</v>
      </c>
    </row>
    <row r="262" spans="1:28" x14ac:dyDescent="0.25">
      <c r="A262" s="6" t="s">
        <v>1308</v>
      </c>
      <c r="B262" s="6" t="s">
        <v>43</v>
      </c>
      <c r="C262" s="6">
        <v>24</v>
      </c>
      <c r="D262" s="6">
        <v>2</v>
      </c>
      <c r="E262" s="6" t="s">
        <v>1309</v>
      </c>
      <c r="F262" s="6" t="s">
        <v>1270</v>
      </c>
      <c r="G262" s="6">
        <v>0</v>
      </c>
      <c r="H262" s="6">
        <v>0</v>
      </c>
      <c r="I262" s="6">
        <v>0</v>
      </c>
      <c r="J262" s="6">
        <v>0</v>
      </c>
      <c r="K262" s="6">
        <v>0</v>
      </c>
      <c r="L262" s="6">
        <v>0</v>
      </c>
      <c r="M262" s="6">
        <v>0</v>
      </c>
      <c r="N262" s="6">
        <v>0</v>
      </c>
      <c r="O262" s="6">
        <v>0</v>
      </c>
      <c r="P262" s="6">
        <v>0</v>
      </c>
      <c r="Q262" s="6">
        <v>0</v>
      </c>
      <c r="R262" s="6">
        <v>0</v>
      </c>
      <c r="S262" s="6">
        <v>0</v>
      </c>
      <c r="T262" s="6">
        <v>0</v>
      </c>
      <c r="U262" s="6">
        <v>0</v>
      </c>
      <c r="V262" s="6">
        <v>0</v>
      </c>
      <c r="W262" s="6">
        <v>0</v>
      </c>
      <c r="X262" s="6">
        <v>0</v>
      </c>
      <c r="Y262" s="6">
        <v>0</v>
      </c>
      <c r="Z262" s="6">
        <v>0</v>
      </c>
      <c r="AA262" s="6">
        <v>0</v>
      </c>
      <c r="AB262" s="6">
        <v>0</v>
      </c>
    </row>
    <row r="263" spans="1:28" x14ac:dyDescent="0.25">
      <c r="A263" s="5" t="s">
        <v>1310</v>
      </c>
      <c r="B263" s="5" t="s">
        <v>43</v>
      </c>
      <c r="C263" s="5">
        <v>27</v>
      </c>
      <c r="D263" s="5">
        <v>6</v>
      </c>
      <c r="E263" s="5" t="s">
        <v>282</v>
      </c>
      <c r="F263" s="5" t="s">
        <v>1270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0</v>
      </c>
      <c r="P263" s="5">
        <v>0</v>
      </c>
      <c r="Q263" s="5">
        <v>0</v>
      </c>
      <c r="R263" s="5">
        <v>0</v>
      </c>
      <c r="S263" s="5">
        <v>0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Z263" s="5">
        <v>0</v>
      </c>
      <c r="AA263" s="5">
        <v>0</v>
      </c>
      <c r="AB263" s="5">
        <v>0</v>
      </c>
    </row>
    <row r="264" spans="1:28" x14ac:dyDescent="0.25">
      <c r="A264" s="5" t="s">
        <v>1346</v>
      </c>
      <c r="B264" s="5" t="s">
        <v>43</v>
      </c>
      <c r="C264" s="5">
        <v>34</v>
      </c>
      <c r="D264" s="5">
        <v>12</v>
      </c>
      <c r="E264" s="5" t="s">
        <v>237</v>
      </c>
      <c r="F264" s="5" t="s">
        <v>1320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0</v>
      </c>
      <c r="P264" s="5">
        <v>0</v>
      </c>
      <c r="Q264" s="5">
        <v>0</v>
      </c>
      <c r="R264" s="5">
        <v>0</v>
      </c>
      <c r="S264" s="5">
        <v>0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Z264" s="5">
        <v>0</v>
      </c>
      <c r="AA264" s="5">
        <v>0</v>
      </c>
      <c r="AB264" s="5">
        <v>0</v>
      </c>
    </row>
    <row r="265" spans="1:28" x14ac:dyDescent="0.25">
      <c r="A265" s="6" t="s">
        <v>1347</v>
      </c>
      <c r="B265" s="6" t="s">
        <v>43</v>
      </c>
      <c r="C265" s="6">
        <v>26</v>
      </c>
      <c r="D265" s="6">
        <v>5</v>
      </c>
      <c r="E265" s="6" t="s">
        <v>213</v>
      </c>
      <c r="F265" s="6" t="s">
        <v>1320</v>
      </c>
      <c r="G265" s="6">
        <v>0</v>
      </c>
      <c r="H265" s="6">
        <v>0</v>
      </c>
      <c r="I265" s="6">
        <v>0</v>
      </c>
      <c r="J265" s="6">
        <v>0</v>
      </c>
      <c r="K265" s="6">
        <v>0</v>
      </c>
      <c r="L265" s="6">
        <v>0</v>
      </c>
      <c r="M265" s="6">
        <v>0</v>
      </c>
      <c r="N265" s="6">
        <v>0</v>
      </c>
      <c r="O265" s="6">
        <v>0</v>
      </c>
      <c r="P265" s="6">
        <v>0</v>
      </c>
      <c r="Q265" s="6">
        <v>0</v>
      </c>
      <c r="R265" s="6">
        <v>0</v>
      </c>
      <c r="S265" s="6">
        <v>0</v>
      </c>
      <c r="T265" s="6">
        <v>0</v>
      </c>
      <c r="U265" s="6">
        <v>0</v>
      </c>
      <c r="V265" s="6">
        <v>0</v>
      </c>
      <c r="W265" s="6">
        <v>0</v>
      </c>
      <c r="X265" s="6">
        <v>0</v>
      </c>
      <c r="Y265" s="6">
        <v>0</v>
      </c>
      <c r="Z265" s="6">
        <v>0</v>
      </c>
      <c r="AA265" s="6">
        <v>0</v>
      </c>
      <c r="AB265" s="6">
        <v>0</v>
      </c>
    </row>
    <row r="266" spans="1:28" x14ac:dyDescent="0.25">
      <c r="A266" s="5" t="s">
        <v>1348</v>
      </c>
      <c r="B266" s="5" t="s">
        <v>43</v>
      </c>
      <c r="C266" s="5">
        <v>30</v>
      </c>
      <c r="D266" s="5">
        <v>9</v>
      </c>
      <c r="E266" s="5" t="s">
        <v>697</v>
      </c>
      <c r="F266" s="5" t="s">
        <v>1320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0</v>
      </c>
      <c r="P266" s="5">
        <v>0</v>
      </c>
      <c r="Q266" s="5">
        <v>0</v>
      </c>
      <c r="R266" s="5">
        <v>0</v>
      </c>
      <c r="S266" s="5">
        <v>0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Z266" s="5">
        <v>0</v>
      </c>
      <c r="AA266" s="5">
        <v>0</v>
      </c>
      <c r="AB266" s="5">
        <v>0</v>
      </c>
    </row>
    <row r="267" spans="1:28" x14ac:dyDescent="0.25">
      <c r="A267" s="6" t="s">
        <v>1349</v>
      </c>
      <c r="B267" s="6" t="s">
        <v>43</v>
      </c>
      <c r="C267" s="6">
        <v>23</v>
      </c>
      <c r="D267" s="6">
        <v>0</v>
      </c>
      <c r="E267" s="6" t="s">
        <v>344</v>
      </c>
      <c r="F267" s="6" t="s">
        <v>1320</v>
      </c>
      <c r="G267" s="6">
        <v>0</v>
      </c>
      <c r="H267" s="6">
        <v>0</v>
      </c>
      <c r="I267" s="6">
        <v>0</v>
      </c>
      <c r="J267" s="6">
        <v>0</v>
      </c>
      <c r="K267" s="6">
        <v>0</v>
      </c>
      <c r="L267" s="6">
        <v>0</v>
      </c>
      <c r="M267" s="6">
        <v>0</v>
      </c>
      <c r="N267" s="6">
        <v>0</v>
      </c>
      <c r="O267" s="6">
        <v>0</v>
      </c>
      <c r="P267" s="6">
        <v>0</v>
      </c>
      <c r="Q267" s="6">
        <v>0</v>
      </c>
      <c r="R267" s="6">
        <v>0</v>
      </c>
      <c r="S267" s="6">
        <v>0</v>
      </c>
      <c r="T267" s="6">
        <v>0</v>
      </c>
      <c r="U267" s="6">
        <v>0</v>
      </c>
      <c r="V267" s="6">
        <v>0</v>
      </c>
      <c r="W267" s="6">
        <v>0</v>
      </c>
      <c r="X267" s="6">
        <v>0</v>
      </c>
      <c r="Y267" s="6">
        <v>0</v>
      </c>
      <c r="Z267" s="6">
        <v>0</v>
      </c>
      <c r="AA267" s="6">
        <v>0</v>
      </c>
      <c r="AB267" s="6">
        <v>0</v>
      </c>
    </row>
    <row r="268" spans="1:28" x14ac:dyDescent="0.25">
      <c r="A268" s="5" t="s">
        <v>1350</v>
      </c>
      <c r="B268" s="5" t="s">
        <v>43</v>
      </c>
      <c r="C268" s="5">
        <v>24</v>
      </c>
      <c r="D268" s="5">
        <v>3</v>
      </c>
      <c r="E268" s="5" t="s">
        <v>111</v>
      </c>
      <c r="F268" s="5" t="s">
        <v>1320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0</v>
      </c>
      <c r="P268" s="5">
        <v>0</v>
      </c>
      <c r="Q268" s="5">
        <v>0</v>
      </c>
      <c r="R268" s="5">
        <v>0</v>
      </c>
      <c r="S268" s="5">
        <v>0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Z268" s="5">
        <v>0</v>
      </c>
      <c r="AA268" s="5">
        <v>0</v>
      </c>
      <c r="AB268" s="5">
        <v>0</v>
      </c>
    </row>
    <row r="269" spans="1:28" x14ac:dyDescent="0.25">
      <c r="A269" s="6" t="s">
        <v>1351</v>
      </c>
      <c r="B269" s="6" t="s">
        <v>43</v>
      </c>
      <c r="C269" s="6">
        <v>21</v>
      </c>
      <c r="D269" s="6">
        <v>0</v>
      </c>
      <c r="E269" s="6" t="s">
        <v>143</v>
      </c>
      <c r="F269" s="6" t="s">
        <v>1320</v>
      </c>
      <c r="G269" s="6">
        <v>0</v>
      </c>
      <c r="H269" s="6">
        <v>0</v>
      </c>
      <c r="I269" s="6">
        <v>0</v>
      </c>
      <c r="J269" s="6">
        <v>0</v>
      </c>
      <c r="K269" s="6">
        <v>0</v>
      </c>
      <c r="L269" s="6">
        <v>0</v>
      </c>
      <c r="M269" s="6">
        <v>0</v>
      </c>
      <c r="N269" s="6">
        <v>0</v>
      </c>
      <c r="O269" s="6">
        <v>0</v>
      </c>
      <c r="P269" s="6">
        <v>0</v>
      </c>
      <c r="Q269" s="6">
        <v>0</v>
      </c>
      <c r="R269" s="6">
        <v>0</v>
      </c>
      <c r="S269" s="6">
        <v>0</v>
      </c>
      <c r="T269" s="6">
        <v>0</v>
      </c>
      <c r="U269" s="6">
        <v>0</v>
      </c>
      <c r="V269" s="6">
        <v>0</v>
      </c>
      <c r="W269" s="6">
        <v>0</v>
      </c>
      <c r="X269" s="6">
        <v>0</v>
      </c>
      <c r="Y269" s="6">
        <v>0</v>
      </c>
      <c r="Z269" s="6">
        <v>0</v>
      </c>
      <c r="AA269" s="6">
        <v>0</v>
      </c>
      <c r="AB269" s="6">
        <v>0</v>
      </c>
    </row>
    <row r="270" spans="1:28" x14ac:dyDescent="0.25">
      <c r="A270" s="5" t="s">
        <v>1352</v>
      </c>
      <c r="B270" s="5" t="s">
        <v>43</v>
      </c>
      <c r="C270" s="5">
        <v>25</v>
      </c>
      <c r="D270" s="5">
        <v>4</v>
      </c>
      <c r="E270" s="5" t="s">
        <v>66</v>
      </c>
      <c r="F270" s="5" t="s">
        <v>1320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0</v>
      </c>
      <c r="P270" s="5">
        <v>0</v>
      </c>
      <c r="Q270" s="5">
        <v>0</v>
      </c>
      <c r="R270" s="5">
        <v>0</v>
      </c>
      <c r="S270" s="5">
        <v>0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Z270" s="5">
        <v>0</v>
      </c>
      <c r="AA270" s="5">
        <v>0</v>
      </c>
      <c r="AB270" s="5">
        <v>0</v>
      </c>
    </row>
    <row r="271" spans="1:28" x14ac:dyDescent="0.25">
      <c r="A271" s="6" t="s">
        <v>1353</v>
      </c>
      <c r="B271" s="6" t="s">
        <v>43</v>
      </c>
      <c r="C271" s="6">
        <v>29</v>
      </c>
      <c r="D271" s="6">
        <v>5</v>
      </c>
      <c r="E271" s="6" t="s">
        <v>86</v>
      </c>
      <c r="F271" s="6" t="s">
        <v>1320</v>
      </c>
      <c r="G271" s="6">
        <v>0</v>
      </c>
      <c r="H271" s="6">
        <v>0</v>
      </c>
      <c r="I271" s="6">
        <v>0</v>
      </c>
      <c r="J271" s="6">
        <v>0</v>
      </c>
      <c r="K271" s="6">
        <v>0</v>
      </c>
      <c r="L271" s="6">
        <v>0</v>
      </c>
      <c r="M271" s="6">
        <v>0</v>
      </c>
      <c r="N271" s="6">
        <v>0</v>
      </c>
      <c r="O271" s="6">
        <v>0</v>
      </c>
      <c r="P271" s="6">
        <v>0</v>
      </c>
      <c r="Q271" s="6">
        <v>0</v>
      </c>
      <c r="R271" s="6">
        <v>0</v>
      </c>
      <c r="S271" s="6">
        <v>0</v>
      </c>
      <c r="T271" s="6">
        <v>0</v>
      </c>
      <c r="U271" s="6">
        <v>0</v>
      </c>
      <c r="V271" s="6">
        <v>0</v>
      </c>
      <c r="W271" s="6">
        <v>0</v>
      </c>
      <c r="X271" s="6">
        <v>0</v>
      </c>
      <c r="Y271" s="6">
        <v>0</v>
      </c>
      <c r="Z271" s="6">
        <v>0</v>
      </c>
      <c r="AA271" s="6">
        <v>0</v>
      </c>
      <c r="AB271" s="6">
        <v>0</v>
      </c>
    </row>
    <row r="272" spans="1:28" x14ac:dyDescent="0.25">
      <c r="A272" s="5" t="s">
        <v>1354</v>
      </c>
      <c r="B272" s="5" t="s">
        <v>43</v>
      </c>
      <c r="C272" s="5">
        <v>24</v>
      </c>
      <c r="D272" s="5">
        <v>1</v>
      </c>
      <c r="E272" s="5" t="s">
        <v>309</v>
      </c>
      <c r="F272" s="5" t="s">
        <v>1320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0</v>
      </c>
      <c r="P272" s="5">
        <v>0</v>
      </c>
      <c r="Q272" s="5">
        <v>0</v>
      </c>
      <c r="R272" s="5">
        <v>0</v>
      </c>
      <c r="S272" s="5">
        <v>0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Z272" s="5">
        <v>0</v>
      </c>
      <c r="AA272" s="5">
        <v>0</v>
      </c>
      <c r="AB272" s="5">
        <v>0</v>
      </c>
    </row>
    <row r="273" spans="1:28" x14ac:dyDescent="0.25">
      <c r="A273" s="6" t="s">
        <v>1355</v>
      </c>
      <c r="B273" s="6" t="s">
        <v>43</v>
      </c>
      <c r="C273" s="6">
        <v>22</v>
      </c>
      <c r="D273" s="6">
        <v>2</v>
      </c>
      <c r="E273" s="6" t="s">
        <v>150</v>
      </c>
      <c r="F273" s="6" t="s">
        <v>1320</v>
      </c>
      <c r="G273" s="6">
        <v>0</v>
      </c>
      <c r="H273" s="6">
        <v>0</v>
      </c>
      <c r="I273" s="6">
        <v>0</v>
      </c>
      <c r="J273" s="6">
        <v>0</v>
      </c>
      <c r="K273" s="6">
        <v>0</v>
      </c>
      <c r="L273" s="6">
        <v>0</v>
      </c>
      <c r="M273" s="6">
        <v>0</v>
      </c>
      <c r="N273" s="6">
        <v>0</v>
      </c>
      <c r="O273" s="6">
        <v>0</v>
      </c>
      <c r="P273" s="6">
        <v>0</v>
      </c>
      <c r="Q273" s="6">
        <v>0</v>
      </c>
      <c r="R273" s="6">
        <v>0</v>
      </c>
      <c r="S273" s="6">
        <v>0</v>
      </c>
      <c r="T273" s="6">
        <v>0</v>
      </c>
      <c r="U273" s="6">
        <v>0</v>
      </c>
      <c r="V273" s="6">
        <v>0</v>
      </c>
      <c r="W273" s="6">
        <v>0</v>
      </c>
      <c r="X273" s="6">
        <v>0</v>
      </c>
      <c r="Y273" s="6">
        <v>0</v>
      </c>
      <c r="Z273" s="6">
        <v>0</v>
      </c>
      <c r="AA273" s="6">
        <v>0</v>
      </c>
      <c r="AB273" s="6">
        <v>0</v>
      </c>
    </row>
    <row r="274" spans="1:28" x14ac:dyDescent="0.25">
      <c r="A274" s="5" t="s">
        <v>1356</v>
      </c>
      <c r="B274" s="5" t="s">
        <v>43</v>
      </c>
      <c r="C274" s="5">
        <v>30</v>
      </c>
      <c r="D274" s="5">
        <v>8</v>
      </c>
      <c r="E274" s="5" t="s">
        <v>68</v>
      </c>
      <c r="F274" s="5" t="s">
        <v>1320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0</v>
      </c>
      <c r="P274" s="5">
        <v>0</v>
      </c>
      <c r="Q274" s="5">
        <v>0</v>
      </c>
      <c r="R274" s="5">
        <v>0</v>
      </c>
      <c r="S274" s="5">
        <v>0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Z274" s="5">
        <v>0</v>
      </c>
      <c r="AA274" s="5">
        <v>0</v>
      </c>
      <c r="AB274" s="5">
        <v>0</v>
      </c>
    </row>
    <row r="275" spans="1:28" x14ac:dyDescent="0.25">
      <c r="A275" s="6" t="s">
        <v>1357</v>
      </c>
      <c r="B275" s="6" t="s">
        <v>43</v>
      </c>
      <c r="C275" s="6">
        <v>27</v>
      </c>
      <c r="D275" s="6">
        <v>3</v>
      </c>
      <c r="E275" s="6" t="s">
        <v>344</v>
      </c>
      <c r="F275" s="6" t="s">
        <v>1320</v>
      </c>
      <c r="G275" s="6">
        <v>0</v>
      </c>
      <c r="H275" s="6">
        <v>0</v>
      </c>
      <c r="I275" s="6">
        <v>0</v>
      </c>
      <c r="J275" s="6">
        <v>0</v>
      </c>
      <c r="K275" s="6">
        <v>0</v>
      </c>
      <c r="L275" s="6">
        <v>0</v>
      </c>
      <c r="M275" s="6">
        <v>0</v>
      </c>
      <c r="N275" s="6">
        <v>0</v>
      </c>
      <c r="O275" s="6">
        <v>0</v>
      </c>
      <c r="P275" s="6">
        <v>0</v>
      </c>
      <c r="Q275" s="6">
        <v>0</v>
      </c>
      <c r="R275" s="6">
        <v>0</v>
      </c>
      <c r="S275" s="6">
        <v>0</v>
      </c>
      <c r="T275" s="6">
        <v>0</v>
      </c>
      <c r="U275" s="6">
        <v>0</v>
      </c>
      <c r="V275" s="6">
        <v>0</v>
      </c>
      <c r="W275" s="6">
        <v>0</v>
      </c>
      <c r="X275" s="6">
        <v>0</v>
      </c>
      <c r="Y275" s="6">
        <v>0</v>
      </c>
      <c r="Z275" s="6">
        <v>0</v>
      </c>
      <c r="AA275" s="6">
        <v>0</v>
      </c>
      <c r="AB275" s="6">
        <v>0</v>
      </c>
    </row>
    <row r="276" spans="1:28" x14ac:dyDescent="0.25">
      <c r="A276" s="5" t="s">
        <v>1390</v>
      </c>
      <c r="B276" s="5" t="s">
        <v>43</v>
      </c>
      <c r="C276" s="5">
        <v>24</v>
      </c>
      <c r="D276" s="5">
        <v>0</v>
      </c>
      <c r="E276" s="5" t="s">
        <v>898</v>
      </c>
      <c r="F276" s="5" t="s">
        <v>1365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0</v>
      </c>
      <c r="P276" s="5">
        <v>0</v>
      </c>
      <c r="Q276" s="5">
        <v>0</v>
      </c>
      <c r="R276" s="5">
        <v>0</v>
      </c>
      <c r="S276" s="5">
        <v>0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Z276" s="5">
        <v>0</v>
      </c>
      <c r="AA276" s="5">
        <v>0</v>
      </c>
      <c r="AB276" s="5">
        <v>0</v>
      </c>
    </row>
    <row r="277" spans="1:28" x14ac:dyDescent="0.25">
      <c r="A277" s="6" t="s">
        <v>1391</v>
      </c>
      <c r="B277" s="6" t="s">
        <v>43</v>
      </c>
      <c r="C277" s="6">
        <v>26</v>
      </c>
      <c r="D277" s="6">
        <v>1</v>
      </c>
      <c r="E277" s="6" t="s">
        <v>1392</v>
      </c>
      <c r="F277" s="6" t="s">
        <v>1365</v>
      </c>
      <c r="G277" s="6">
        <v>0</v>
      </c>
      <c r="H277" s="6">
        <v>0</v>
      </c>
      <c r="I277" s="6">
        <v>0</v>
      </c>
      <c r="J277" s="6">
        <v>0</v>
      </c>
      <c r="K277" s="6">
        <v>0</v>
      </c>
      <c r="L277" s="6">
        <v>0</v>
      </c>
      <c r="M277" s="6">
        <v>0</v>
      </c>
      <c r="N277" s="6">
        <v>0</v>
      </c>
      <c r="O277" s="6">
        <v>0</v>
      </c>
      <c r="P277" s="6">
        <v>0</v>
      </c>
      <c r="Q277" s="6">
        <v>0</v>
      </c>
      <c r="R277" s="6">
        <v>0</v>
      </c>
      <c r="S277" s="6">
        <v>0</v>
      </c>
      <c r="T277" s="6">
        <v>0</v>
      </c>
      <c r="U277" s="6">
        <v>0</v>
      </c>
      <c r="V277" s="6">
        <v>0</v>
      </c>
      <c r="W277" s="6">
        <v>0</v>
      </c>
      <c r="X277" s="6">
        <v>0</v>
      </c>
      <c r="Y277" s="6">
        <v>0</v>
      </c>
      <c r="Z277" s="6">
        <v>0</v>
      </c>
      <c r="AA277" s="6">
        <v>0</v>
      </c>
      <c r="AB277" s="6">
        <v>0</v>
      </c>
    </row>
    <row r="278" spans="1:28" x14ac:dyDescent="0.25">
      <c r="A278" s="5" t="s">
        <v>1393</v>
      </c>
      <c r="B278" s="5" t="s">
        <v>43</v>
      </c>
      <c r="C278" s="5">
        <v>32</v>
      </c>
      <c r="D278" s="5">
        <v>13</v>
      </c>
      <c r="E278" s="5" t="s">
        <v>150</v>
      </c>
      <c r="F278" s="5" t="s">
        <v>1365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0</v>
      </c>
      <c r="U278" s="5">
        <v>0</v>
      </c>
      <c r="V278" s="5">
        <v>0</v>
      </c>
      <c r="W278" s="5">
        <v>0</v>
      </c>
      <c r="X278" s="5">
        <v>0</v>
      </c>
      <c r="Y278" s="5">
        <v>0</v>
      </c>
      <c r="Z278" s="5">
        <v>0</v>
      </c>
      <c r="AA278" s="5">
        <v>0</v>
      </c>
      <c r="AB278" s="5">
        <v>0</v>
      </c>
    </row>
    <row r="279" spans="1:28" x14ac:dyDescent="0.25">
      <c r="A279" s="6" t="s">
        <v>1394</v>
      </c>
      <c r="B279" s="6" t="s">
        <v>43</v>
      </c>
      <c r="C279" s="6">
        <v>28</v>
      </c>
      <c r="D279" s="6">
        <v>7</v>
      </c>
      <c r="E279" s="6" t="s">
        <v>357</v>
      </c>
      <c r="F279" s="6" t="s">
        <v>1365</v>
      </c>
      <c r="G279" s="6">
        <v>0</v>
      </c>
      <c r="H279" s="6">
        <v>0</v>
      </c>
      <c r="I279" s="6">
        <v>0</v>
      </c>
      <c r="J279" s="6">
        <v>0</v>
      </c>
      <c r="K279" s="6">
        <v>0</v>
      </c>
      <c r="L279" s="6">
        <v>0</v>
      </c>
      <c r="M279" s="6">
        <v>0</v>
      </c>
      <c r="N279" s="6">
        <v>0</v>
      </c>
      <c r="O279" s="6">
        <v>0</v>
      </c>
      <c r="P279" s="6">
        <v>0</v>
      </c>
      <c r="Q279" s="6">
        <v>0</v>
      </c>
      <c r="R279" s="6">
        <v>0</v>
      </c>
      <c r="S279" s="6">
        <v>0</v>
      </c>
      <c r="T279" s="6">
        <v>0</v>
      </c>
      <c r="U279" s="6">
        <v>0</v>
      </c>
      <c r="V279" s="6">
        <v>0</v>
      </c>
      <c r="W279" s="6">
        <v>0</v>
      </c>
      <c r="X279" s="6">
        <v>0</v>
      </c>
      <c r="Y279" s="6">
        <v>0</v>
      </c>
      <c r="Z279" s="6">
        <v>0</v>
      </c>
      <c r="AA279" s="6">
        <v>0</v>
      </c>
      <c r="AB279" s="6">
        <v>0</v>
      </c>
    </row>
    <row r="280" spans="1:28" x14ac:dyDescent="0.25">
      <c r="A280" s="5" t="s">
        <v>1395</v>
      </c>
      <c r="B280" s="5" t="s">
        <v>43</v>
      </c>
      <c r="C280" s="5">
        <v>30</v>
      </c>
      <c r="D280" s="5">
        <v>7</v>
      </c>
      <c r="E280" s="5" t="s">
        <v>72</v>
      </c>
      <c r="F280" s="5" t="s">
        <v>1365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0</v>
      </c>
      <c r="U280" s="5">
        <v>0</v>
      </c>
      <c r="V280" s="5">
        <v>0</v>
      </c>
      <c r="W280" s="5">
        <v>0</v>
      </c>
      <c r="X280" s="5">
        <v>0</v>
      </c>
      <c r="Y280" s="5">
        <v>0</v>
      </c>
      <c r="Z280" s="5">
        <v>0</v>
      </c>
      <c r="AA280" s="5">
        <v>0</v>
      </c>
      <c r="AB280" s="5">
        <v>0</v>
      </c>
    </row>
    <row r="281" spans="1:28" x14ac:dyDescent="0.25">
      <c r="A281" s="6" t="s">
        <v>1396</v>
      </c>
      <c r="B281" s="6" t="s">
        <v>43</v>
      </c>
      <c r="C281" s="6">
        <v>22</v>
      </c>
      <c r="D281" s="6">
        <v>0</v>
      </c>
      <c r="E281" s="6" t="s">
        <v>1397</v>
      </c>
      <c r="F281" s="6" t="s">
        <v>1365</v>
      </c>
      <c r="G281" s="6">
        <v>0</v>
      </c>
      <c r="H281" s="6">
        <v>0</v>
      </c>
      <c r="I281" s="6">
        <v>0</v>
      </c>
      <c r="J281" s="6">
        <v>0</v>
      </c>
      <c r="K281" s="6">
        <v>0</v>
      </c>
      <c r="L281" s="6">
        <v>0</v>
      </c>
      <c r="M281" s="6">
        <v>0</v>
      </c>
      <c r="N281" s="6">
        <v>0</v>
      </c>
      <c r="O281" s="6">
        <v>0</v>
      </c>
      <c r="P281" s="6">
        <v>0</v>
      </c>
      <c r="Q281" s="6">
        <v>0</v>
      </c>
      <c r="R281" s="6">
        <v>0</v>
      </c>
      <c r="S281" s="6">
        <v>0</v>
      </c>
      <c r="T281" s="6">
        <v>0</v>
      </c>
      <c r="U281" s="6">
        <v>0</v>
      </c>
      <c r="V281" s="6">
        <v>0</v>
      </c>
      <c r="W281" s="6">
        <v>0</v>
      </c>
      <c r="X281" s="6">
        <v>0</v>
      </c>
      <c r="Y281" s="6">
        <v>0</v>
      </c>
      <c r="Z281" s="6">
        <v>0</v>
      </c>
      <c r="AA281" s="6">
        <v>0</v>
      </c>
      <c r="AB281" s="6">
        <v>0</v>
      </c>
    </row>
    <row r="282" spans="1:28" x14ac:dyDescent="0.25">
      <c r="A282" s="5" t="s">
        <v>1398</v>
      </c>
      <c r="B282" s="5" t="s">
        <v>43</v>
      </c>
      <c r="C282" s="5">
        <v>25</v>
      </c>
      <c r="D282" s="5">
        <v>5</v>
      </c>
      <c r="E282" s="5" t="s">
        <v>173</v>
      </c>
      <c r="F282" s="5" t="s">
        <v>1365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0</v>
      </c>
      <c r="U282" s="5">
        <v>0</v>
      </c>
      <c r="V282" s="5">
        <v>0</v>
      </c>
      <c r="W282" s="5">
        <v>0</v>
      </c>
      <c r="X282" s="5">
        <v>0</v>
      </c>
      <c r="Y282" s="5">
        <v>0</v>
      </c>
      <c r="Z282" s="5">
        <v>0</v>
      </c>
      <c r="AA282" s="5">
        <v>0</v>
      </c>
      <c r="AB282" s="5">
        <v>0</v>
      </c>
    </row>
    <row r="283" spans="1:28" x14ac:dyDescent="0.25">
      <c r="A283" s="6" t="s">
        <v>1399</v>
      </c>
      <c r="B283" s="6" t="s">
        <v>43</v>
      </c>
      <c r="C283" s="6">
        <v>24</v>
      </c>
      <c r="D283" s="6">
        <v>0</v>
      </c>
      <c r="E283" s="6" t="s">
        <v>677</v>
      </c>
      <c r="F283" s="6" t="s">
        <v>1365</v>
      </c>
      <c r="G283" s="6">
        <v>0</v>
      </c>
      <c r="H283" s="6">
        <v>0</v>
      </c>
      <c r="I283" s="6">
        <v>0</v>
      </c>
      <c r="J283" s="6">
        <v>0</v>
      </c>
      <c r="K283" s="6">
        <v>0</v>
      </c>
      <c r="L283" s="6">
        <v>0</v>
      </c>
      <c r="M283" s="6">
        <v>0</v>
      </c>
      <c r="N283" s="6">
        <v>0</v>
      </c>
      <c r="O283" s="6">
        <v>0</v>
      </c>
      <c r="P283" s="6">
        <v>0</v>
      </c>
      <c r="Q283" s="6">
        <v>0</v>
      </c>
      <c r="R283" s="6">
        <v>0</v>
      </c>
      <c r="S283" s="6">
        <v>0</v>
      </c>
      <c r="T283" s="6">
        <v>0</v>
      </c>
      <c r="U283" s="6">
        <v>0</v>
      </c>
      <c r="V283" s="6">
        <v>0</v>
      </c>
      <c r="W283" s="6">
        <v>0</v>
      </c>
      <c r="X283" s="6">
        <v>0</v>
      </c>
      <c r="Y283" s="6">
        <v>0</v>
      </c>
      <c r="Z283" s="6">
        <v>0</v>
      </c>
      <c r="AA283" s="6">
        <v>0</v>
      </c>
      <c r="AB283" s="6">
        <v>0</v>
      </c>
    </row>
    <row r="284" spans="1:28" x14ac:dyDescent="0.25">
      <c r="A284" s="5" t="s">
        <v>1400</v>
      </c>
      <c r="B284" s="5" t="s">
        <v>43</v>
      </c>
      <c r="C284" s="5">
        <v>27</v>
      </c>
      <c r="D284" s="5">
        <v>5</v>
      </c>
      <c r="E284" s="5" t="s">
        <v>244</v>
      </c>
      <c r="F284" s="5" t="s">
        <v>1365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0</v>
      </c>
      <c r="U284" s="5">
        <v>0</v>
      </c>
      <c r="V284" s="5">
        <v>0</v>
      </c>
      <c r="W284" s="5">
        <v>0</v>
      </c>
      <c r="X284" s="5">
        <v>0</v>
      </c>
      <c r="Y284" s="5">
        <v>0</v>
      </c>
      <c r="Z284" s="5">
        <v>0</v>
      </c>
      <c r="AA284" s="5">
        <v>0</v>
      </c>
      <c r="AB284" s="5">
        <v>0</v>
      </c>
    </row>
    <row r="285" spans="1:28" x14ac:dyDescent="0.25">
      <c r="A285" s="6" t="s">
        <v>1401</v>
      </c>
      <c r="B285" s="6" t="s">
        <v>43</v>
      </c>
      <c r="C285" s="6">
        <v>23</v>
      </c>
      <c r="D285" s="6">
        <v>0</v>
      </c>
      <c r="E285" s="6" t="s">
        <v>1402</v>
      </c>
      <c r="F285" s="6" t="s">
        <v>1365</v>
      </c>
      <c r="G285" s="6">
        <v>0</v>
      </c>
      <c r="H285" s="6">
        <v>0</v>
      </c>
      <c r="I285" s="6">
        <v>0</v>
      </c>
      <c r="J285" s="6">
        <v>0</v>
      </c>
      <c r="K285" s="6">
        <v>0</v>
      </c>
      <c r="L285" s="6">
        <v>0</v>
      </c>
      <c r="M285" s="6">
        <v>0</v>
      </c>
      <c r="N285" s="6">
        <v>0</v>
      </c>
      <c r="O285" s="6">
        <v>0</v>
      </c>
      <c r="P285" s="6">
        <v>0</v>
      </c>
      <c r="Q285" s="6">
        <v>0</v>
      </c>
      <c r="R285" s="6">
        <v>0</v>
      </c>
      <c r="S285" s="6">
        <v>0</v>
      </c>
      <c r="T285" s="6">
        <v>0</v>
      </c>
      <c r="U285" s="6">
        <v>0</v>
      </c>
      <c r="V285" s="6">
        <v>0</v>
      </c>
      <c r="W285" s="6">
        <v>0</v>
      </c>
      <c r="X285" s="6">
        <v>0</v>
      </c>
      <c r="Y285" s="6">
        <v>0</v>
      </c>
      <c r="Z285" s="6">
        <v>0</v>
      </c>
      <c r="AA285" s="6">
        <v>0</v>
      </c>
      <c r="AB285" s="6">
        <v>0</v>
      </c>
    </row>
    <row r="286" spans="1:28" x14ac:dyDescent="0.25">
      <c r="A286" s="5" t="s">
        <v>1403</v>
      </c>
      <c r="B286" s="5" t="s">
        <v>43</v>
      </c>
      <c r="C286" s="5">
        <v>27</v>
      </c>
      <c r="D286" s="5">
        <v>3</v>
      </c>
      <c r="E286" s="5" t="s">
        <v>1404</v>
      </c>
      <c r="F286" s="5" t="s">
        <v>1365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0</v>
      </c>
      <c r="U286" s="5">
        <v>0</v>
      </c>
      <c r="V286" s="5">
        <v>0</v>
      </c>
      <c r="W286" s="5">
        <v>0</v>
      </c>
      <c r="X286" s="5">
        <v>0</v>
      </c>
      <c r="Y286" s="5">
        <v>0</v>
      </c>
      <c r="Z286" s="5">
        <v>0</v>
      </c>
      <c r="AA286" s="5">
        <v>0</v>
      </c>
      <c r="AB286" s="5">
        <v>0</v>
      </c>
    </row>
    <row r="287" spans="1:28" x14ac:dyDescent="0.25">
      <c r="A287" s="5" t="s">
        <v>1436</v>
      </c>
      <c r="B287" s="5" t="s">
        <v>43</v>
      </c>
      <c r="C287" s="5">
        <v>28</v>
      </c>
      <c r="D287" s="5">
        <v>1</v>
      </c>
      <c r="E287" s="5" t="s">
        <v>205</v>
      </c>
      <c r="F287" s="5" t="s">
        <v>1413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0</v>
      </c>
      <c r="U287" s="5">
        <v>0</v>
      </c>
      <c r="V287" s="5">
        <v>0</v>
      </c>
      <c r="W287" s="5">
        <v>0</v>
      </c>
      <c r="X287" s="5">
        <v>0</v>
      </c>
      <c r="Y287" s="5">
        <v>0</v>
      </c>
      <c r="Z287" s="5">
        <v>0</v>
      </c>
      <c r="AA287" s="5">
        <v>0</v>
      </c>
      <c r="AB287" s="5">
        <v>0</v>
      </c>
    </row>
    <row r="288" spans="1:28" x14ac:dyDescent="0.25">
      <c r="A288" s="6" t="s">
        <v>1437</v>
      </c>
      <c r="B288" s="6" t="s">
        <v>43</v>
      </c>
      <c r="C288" s="6">
        <v>26</v>
      </c>
      <c r="D288" s="6">
        <v>5</v>
      </c>
      <c r="E288" s="6" t="s">
        <v>240</v>
      </c>
      <c r="F288" s="6" t="s">
        <v>1413</v>
      </c>
      <c r="G288" s="6">
        <v>0</v>
      </c>
      <c r="H288" s="6">
        <v>0</v>
      </c>
      <c r="I288" s="6">
        <v>0</v>
      </c>
      <c r="J288" s="6">
        <v>0</v>
      </c>
      <c r="K288" s="6">
        <v>0</v>
      </c>
      <c r="L288" s="6">
        <v>0</v>
      </c>
      <c r="M288" s="6">
        <v>0</v>
      </c>
      <c r="N288" s="6">
        <v>0</v>
      </c>
      <c r="O288" s="6">
        <v>0</v>
      </c>
      <c r="P288" s="6">
        <v>0</v>
      </c>
      <c r="Q288" s="6">
        <v>0</v>
      </c>
      <c r="R288" s="6">
        <v>0</v>
      </c>
      <c r="S288" s="6">
        <v>0</v>
      </c>
      <c r="T288" s="6">
        <v>0</v>
      </c>
      <c r="U288" s="6">
        <v>0</v>
      </c>
      <c r="V288" s="6">
        <v>0</v>
      </c>
      <c r="W288" s="6">
        <v>0</v>
      </c>
      <c r="X288" s="6">
        <v>0</v>
      </c>
      <c r="Y288" s="6">
        <v>0</v>
      </c>
      <c r="Z288" s="6">
        <v>0</v>
      </c>
      <c r="AA288" s="6">
        <v>0</v>
      </c>
      <c r="AB288" s="6">
        <v>0</v>
      </c>
    </row>
    <row r="289" spans="1:28" x14ac:dyDescent="0.25">
      <c r="A289" s="5" t="s">
        <v>1438</v>
      </c>
      <c r="B289" s="5" t="s">
        <v>43</v>
      </c>
      <c r="C289" s="5">
        <v>27</v>
      </c>
      <c r="D289" s="5">
        <v>3</v>
      </c>
      <c r="E289" s="5" t="s">
        <v>458</v>
      </c>
      <c r="F289" s="5" t="s">
        <v>1413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0</v>
      </c>
      <c r="U289" s="5">
        <v>0</v>
      </c>
      <c r="V289" s="5">
        <v>0</v>
      </c>
      <c r="W289" s="5">
        <v>0</v>
      </c>
      <c r="X289" s="5">
        <v>0</v>
      </c>
      <c r="Y289" s="5">
        <v>0</v>
      </c>
      <c r="Z289" s="5">
        <v>0</v>
      </c>
      <c r="AA289" s="5">
        <v>0</v>
      </c>
      <c r="AB289" s="5">
        <v>0</v>
      </c>
    </row>
    <row r="290" spans="1:28" x14ac:dyDescent="0.25">
      <c r="A290" s="6" t="s">
        <v>1439</v>
      </c>
      <c r="B290" s="6" t="s">
        <v>43</v>
      </c>
      <c r="C290" s="6">
        <v>25</v>
      </c>
      <c r="D290" s="6">
        <v>4</v>
      </c>
      <c r="E290" s="6" t="s">
        <v>178</v>
      </c>
      <c r="F290" s="6" t="s">
        <v>1413</v>
      </c>
      <c r="G290" s="6">
        <v>0</v>
      </c>
      <c r="H290" s="6">
        <v>0</v>
      </c>
      <c r="I290" s="6">
        <v>0</v>
      </c>
      <c r="J290" s="6">
        <v>0</v>
      </c>
      <c r="K290" s="6">
        <v>0</v>
      </c>
      <c r="L290" s="6">
        <v>0</v>
      </c>
      <c r="M290" s="6">
        <v>0</v>
      </c>
      <c r="N290" s="6">
        <v>0</v>
      </c>
      <c r="O290" s="6">
        <v>0</v>
      </c>
      <c r="P290" s="6">
        <v>0</v>
      </c>
      <c r="Q290" s="6">
        <v>0</v>
      </c>
      <c r="R290" s="6">
        <v>0</v>
      </c>
      <c r="S290" s="6">
        <v>0</v>
      </c>
      <c r="T290" s="6">
        <v>0</v>
      </c>
      <c r="U290" s="6">
        <v>0</v>
      </c>
      <c r="V290" s="6">
        <v>0</v>
      </c>
      <c r="W290" s="6">
        <v>0</v>
      </c>
      <c r="X290" s="6">
        <v>0</v>
      </c>
      <c r="Y290" s="6">
        <v>0</v>
      </c>
      <c r="Z290" s="6">
        <v>0</v>
      </c>
      <c r="AA290" s="6">
        <v>0</v>
      </c>
      <c r="AB290" s="6">
        <v>0</v>
      </c>
    </row>
    <row r="291" spans="1:28" x14ac:dyDescent="0.25">
      <c r="A291" s="5" t="s">
        <v>1440</v>
      </c>
      <c r="B291" s="5" t="s">
        <v>43</v>
      </c>
      <c r="C291" s="5">
        <v>26</v>
      </c>
      <c r="D291" s="5">
        <v>2</v>
      </c>
      <c r="E291" s="5" t="s">
        <v>207</v>
      </c>
      <c r="F291" s="5" t="s">
        <v>1413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0</v>
      </c>
      <c r="U291" s="5">
        <v>0</v>
      </c>
      <c r="V291" s="5">
        <v>0</v>
      </c>
      <c r="W291" s="5">
        <v>0</v>
      </c>
      <c r="X291" s="5">
        <v>0</v>
      </c>
      <c r="Y291" s="5">
        <v>0</v>
      </c>
      <c r="Z291" s="5">
        <v>0</v>
      </c>
      <c r="AA291" s="5">
        <v>0</v>
      </c>
      <c r="AB291" s="5">
        <v>0</v>
      </c>
    </row>
    <row r="292" spans="1:28" x14ac:dyDescent="0.25">
      <c r="A292" s="6" t="s">
        <v>1441</v>
      </c>
      <c r="B292" s="6" t="s">
        <v>43</v>
      </c>
      <c r="C292" s="6">
        <v>22</v>
      </c>
      <c r="D292" s="6">
        <v>0</v>
      </c>
      <c r="E292" s="6" t="s">
        <v>175</v>
      </c>
      <c r="F292" s="6" t="s">
        <v>1413</v>
      </c>
      <c r="G292" s="6">
        <v>0</v>
      </c>
      <c r="H292" s="6">
        <v>0</v>
      </c>
      <c r="I292" s="6">
        <v>0</v>
      </c>
      <c r="J292" s="6">
        <v>0</v>
      </c>
      <c r="K292" s="6">
        <v>0</v>
      </c>
      <c r="L292" s="6">
        <v>0</v>
      </c>
      <c r="M292" s="6">
        <v>0</v>
      </c>
      <c r="N292" s="6">
        <v>0</v>
      </c>
      <c r="O292" s="6">
        <v>0</v>
      </c>
      <c r="P292" s="6">
        <v>0</v>
      </c>
      <c r="Q292" s="6">
        <v>0</v>
      </c>
      <c r="R292" s="6">
        <v>0</v>
      </c>
      <c r="S292" s="6">
        <v>0</v>
      </c>
      <c r="T292" s="6">
        <v>0</v>
      </c>
      <c r="U292" s="6">
        <v>0</v>
      </c>
      <c r="V292" s="6">
        <v>0</v>
      </c>
      <c r="W292" s="6">
        <v>0</v>
      </c>
      <c r="X292" s="6">
        <v>0</v>
      </c>
      <c r="Y292" s="6">
        <v>0</v>
      </c>
      <c r="Z292" s="6">
        <v>0</v>
      </c>
      <c r="AA292" s="6">
        <v>0</v>
      </c>
      <c r="AB292" s="6">
        <v>0</v>
      </c>
    </row>
    <row r="293" spans="1:28" x14ac:dyDescent="0.25">
      <c r="A293" s="5" t="s">
        <v>1442</v>
      </c>
      <c r="B293" s="5" t="s">
        <v>43</v>
      </c>
      <c r="C293" s="5">
        <v>23</v>
      </c>
      <c r="D293" s="5">
        <v>0</v>
      </c>
      <c r="E293" s="5" t="s">
        <v>1118</v>
      </c>
      <c r="F293" s="5" t="s">
        <v>1413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0</v>
      </c>
      <c r="U293" s="5">
        <v>0</v>
      </c>
      <c r="V293" s="5">
        <v>0</v>
      </c>
      <c r="W293" s="5">
        <v>0</v>
      </c>
      <c r="X293" s="5">
        <v>0</v>
      </c>
      <c r="Y293" s="5">
        <v>0</v>
      </c>
      <c r="Z293" s="5">
        <v>0</v>
      </c>
      <c r="AA293" s="5">
        <v>0</v>
      </c>
      <c r="AB293" s="5">
        <v>0</v>
      </c>
    </row>
    <row r="294" spans="1:28" x14ac:dyDescent="0.25">
      <c r="A294" s="6" t="s">
        <v>1443</v>
      </c>
      <c r="B294" s="6" t="s">
        <v>43</v>
      </c>
      <c r="C294" s="6">
        <v>22</v>
      </c>
      <c r="D294" s="6">
        <v>0</v>
      </c>
      <c r="E294" s="6" t="s">
        <v>458</v>
      </c>
      <c r="F294" s="6" t="s">
        <v>1413</v>
      </c>
      <c r="G294" s="6">
        <v>0</v>
      </c>
      <c r="H294" s="6">
        <v>0</v>
      </c>
      <c r="I294" s="6">
        <v>0</v>
      </c>
      <c r="J294" s="6">
        <v>0</v>
      </c>
      <c r="K294" s="6">
        <v>0</v>
      </c>
      <c r="L294" s="6">
        <v>0</v>
      </c>
      <c r="M294" s="6">
        <v>0</v>
      </c>
      <c r="N294" s="6">
        <v>0</v>
      </c>
      <c r="O294" s="6">
        <v>0</v>
      </c>
      <c r="P294" s="6">
        <v>0</v>
      </c>
      <c r="Q294" s="6">
        <v>0</v>
      </c>
      <c r="R294" s="6">
        <v>0</v>
      </c>
      <c r="S294" s="6">
        <v>0</v>
      </c>
      <c r="T294" s="6">
        <v>0</v>
      </c>
      <c r="U294" s="6">
        <v>0</v>
      </c>
      <c r="V294" s="6">
        <v>0</v>
      </c>
      <c r="W294" s="6">
        <v>0</v>
      </c>
      <c r="X294" s="6">
        <v>0</v>
      </c>
      <c r="Y294" s="6">
        <v>0</v>
      </c>
      <c r="Z294" s="6">
        <v>0</v>
      </c>
      <c r="AA294" s="6">
        <v>0</v>
      </c>
      <c r="AB294" s="6">
        <v>0</v>
      </c>
    </row>
    <row r="295" spans="1:28" x14ac:dyDescent="0.25">
      <c r="A295" s="5" t="s">
        <v>1444</v>
      </c>
      <c r="B295" s="5" t="s">
        <v>43</v>
      </c>
      <c r="C295" s="5">
        <v>24</v>
      </c>
      <c r="D295" s="5">
        <v>1</v>
      </c>
      <c r="E295" s="5" t="s">
        <v>397</v>
      </c>
      <c r="F295" s="5" t="s">
        <v>1413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0</v>
      </c>
      <c r="U295" s="5">
        <v>0</v>
      </c>
      <c r="V295" s="5">
        <v>0</v>
      </c>
      <c r="W295" s="5">
        <v>0</v>
      </c>
      <c r="X295" s="5">
        <v>0</v>
      </c>
      <c r="Y295" s="5">
        <v>0</v>
      </c>
      <c r="Z295" s="5">
        <v>0</v>
      </c>
      <c r="AA295" s="5">
        <v>0</v>
      </c>
      <c r="AB295" s="5">
        <v>0</v>
      </c>
    </row>
    <row r="296" spans="1:28" x14ac:dyDescent="0.25">
      <c r="A296" s="6" t="s">
        <v>1445</v>
      </c>
      <c r="B296" s="6" t="s">
        <v>43</v>
      </c>
      <c r="C296" s="6">
        <v>24</v>
      </c>
      <c r="D296" s="6">
        <v>3</v>
      </c>
      <c r="E296" s="6" t="s">
        <v>153</v>
      </c>
      <c r="F296" s="6" t="s">
        <v>1413</v>
      </c>
      <c r="G296" s="6">
        <v>0</v>
      </c>
      <c r="H296" s="6">
        <v>0</v>
      </c>
      <c r="I296" s="6">
        <v>0</v>
      </c>
      <c r="J296" s="6">
        <v>0</v>
      </c>
      <c r="K296" s="6">
        <v>0</v>
      </c>
      <c r="L296" s="6">
        <v>0</v>
      </c>
      <c r="M296" s="6">
        <v>0</v>
      </c>
      <c r="N296" s="6">
        <v>0</v>
      </c>
      <c r="O296" s="6">
        <v>0</v>
      </c>
      <c r="P296" s="6">
        <v>0</v>
      </c>
      <c r="Q296" s="6">
        <v>0</v>
      </c>
      <c r="R296" s="6">
        <v>0</v>
      </c>
      <c r="S296" s="6">
        <v>0</v>
      </c>
      <c r="T296" s="6">
        <v>0</v>
      </c>
      <c r="U296" s="6">
        <v>0</v>
      </c>
      <c r="V296" s="6">
        <v>0</v>
      </c>
      <c r="W296" s="6">
        <v>0</v>
      </c>
      <c r="X296" s="6">
        <v>0</v>
      </c>
      <c r="Y296" s="6">
        <v>0</v>
      </c>
      <c r="Z296" s="6">
        <v>0</v>
      </c>
      <c r="AA296" s="6">
        <v>0</v>
      </c>
      <c r="AB296" s="6">
        <v>0</v>
      </c>
    </row>
    <row r="297" spans="1:28" x14ac:dyDescent="0.25">
      <c r="A297" s="5" t="s">
        <v>1446</v>
      </c>
      <c r="B297" s="5" t="s">
        <v>43</v>
      </c>
      <c r="C297" s="5">
        <v>28</v>
      </c>
      <c r="D297" s="5">
        <v>4</v>
      </c>
      <c r="E297" s="5" t="s">
        <v>70</v>
      </c>
      <c r="F297" s="5" t="s">
        <v>1413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0</v>
      </c>
      <c r="U297" s="5">
        <v>0</v>
      </c>
      <c r="V297" s="5">
        <v>0</v>
      </c>
      <c r="W297" s="5">
        <v>0</v>
      </c>
      <c r="X297" s="5">
        <v>0</v>
      </c>
      <c r="Y297" s="5">
        <v>0</v>
      </c>
      <c r="Z297" s="5">
        <v>0</v>
      </c>
      <c r="AA297" s="5">
        <v>0</v>
      </c>
      <c r="AB297" s="5">
        <v>0</v>
      </c>
    </row>
    <row r="298" spans="1:28" x14ac:dyDescent="0.25">
      <c r="A298" s="6" t="s">
        <v>1447</v>
      </c>
      <c r="B298" s="6" t="s">
        <v>43</v>
      </c>
      <c r="C298" s="6">
        <v>25</v>
      </c>
      <c r="D298" s="6">
        <v>4</v>
      </c>
      <c r="E298" s="6" t="s">
        <v>898</v>
      </c>
      <c r="F298" s="6" t="s">
        <v>1413</v>
      </c>
      <c r="G298" s="6">
        <v>0</v>
      </c>
      <c r="H298" s="6">
        <v>0</v>
      </c>
      <c r="I298" s="6">
        <v>0</v>
      </c>
      <c r="J298" s="6">
        <v>0</v>
      </c>
      <c r="K298" s="6">
        <v>0</v>
      </c>
      <c r="L298" s="6">
        <v>0</v>
      </c>
      <c r="M298" s="6">
        <v>0</v>
      </c>
      <c r="N298" s="6">
        <v>0</v>
      </c>
      <c r="O298" s="6">
        <v>0</v>
      </c>
      <c r="P298" s="6">
        <v>0</v>
      </c>
      <c r="Q298" s="6">
        <v>0</v>
      </c>
      <c r="R298" s="6">
        <v>0</v>
      </c>
      <c r="S298" s="6">
        <v>0</v>
      </c>
      <c r="T298" s="6">
        <v>0</v>
      </c>
      <c r="U298" s="6">
        <v>0</v>
      </c>
      <c r="V298" s="6">
        <v>0</v>
      </c>
      <c r="W298" s="6">
        <v>0</v>
      </c>
      <c r="X298" s="6">
        <v>0</v>
      </c>
      <c r="Y298" s="6">
        <v>0</v>
      </c>
      <c r="Z298" s="6">
        <v>0</v>
      </c>
      <c r="AA298" s="6">
        <v>0</v>
      </c>
      <c r="AB298" s="6">
        <v>0</v>
      </c>
    </row>
    <row r="299" spans="1:28" x14ac:dyDescent="0.25">
      <c r="A299" s="5" t="s">
        <v>1485</v>
      </c>
      <c r="B299" s="5" t="s">
        <v>43</v>
      </c>
      <c r="C299" s="5">
        <v>24</v>
      </c>
      <c r="D299" s="5">
        <v>2</v>
      </c>
      <c r="E299" s="5" t="s">
        <v>557</v>
      </c>
      <c r="F299" s="5" t="s">
        <v>1457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0</v>
      </c>
      <c r="U299" s="5">
        <v>0</v>
      </c>
      <c r="V299" s="5">
        <v>0</v>
      </c>
      <c r="W299" s="5">
        <v>0</v>
      </c>
      <c r="X299" s="5">
        <v>0</v>
      </c>
      <c r="Y299" s="5">
        <v>0</v>
      </c>
      <c r="Z299" s="5">
        <v>0</v>
      </c>
      <c r="AA299" s="5">
        <v>0</v>
      </c>
      <c r="AB299" s="5">
        <v>0</v>
      </c>
    </row>
    <row r="300" spans="1:28" x14ac:dyDescent="0.25">
      <c r="A300" s="6" t="s">
        <v>1486</v>
      </c>
      <c r="B300" s="6" t="s">
        <v>43</v>
      </c>
      <c r="C300" s="6">
        <v>26</v>
      </c>
      <c r="D300" s="6">
        <v>5</v>
      </c>
      <c r="E300" s="6" t="s">
        <v>362</v>
      </c>
      <c r="F300" s="6" t="s">
        <v>1457</v>
      </c>
      <c r="G300" s="6">
        <v>0</v>
      </c>
      <c r="H300" s="6">
        <v>0</v>
      </c>
      <c r="I300" s="6">
        <v>0</v>
      </c>
      <c r="J300" s="6">
        <v>0</v>
      </c>
      <c r="K300" s="6">
        <v>0</v>
      </c>
      <c r="L300" s="6">
        <v>0</v>
      </c>
      <c r="M300" s="6">
        <v>0</v>
      </c>
      <c r="N300" s="6">
        <v>0</v>
      </c>
      <c r="O300" s="6">
        <v>0</v>
      </c>
      <c r="P300" s="6">
        <v>0</v>
      </c>
      <c r="Q300" s="6">
        <v>0</v>
      </c>
      <c r="R300" s="6">
        <v>0</v>
      </c>
      <c r="S300" s="6">
        <v>0</v>
      </c>
      <c r="T300" s="6">
        <v>0</v>
      </c>
      <c r="U300" s="6">
        <v>0</v>
      </c>
      <c r="V300" s="6">
        <v>0</v>
      </c>
      <c r="W300" s="6">
        <v>0</v>
      </c>
      <c r="X300" s="6">
        <v>0</v>
      </c>
      <c r="Y300" s="6">
        <v>0</v>
      </c>
      <c r="Z300" s="6">
        <v>0</v>
      </c>
      <c r="AA300" s="6">
        <v>0</v>
      </c>
      <c r="AB300" s="6">
        <v>0</v>
      </c>
    </row>
    <row r="301" spans="1:28" x14ac:dyDescent="0.25">
      <c r="A301" s="5" t="s">
        <v>1487</v>
      </c>
      <c r="B301" s="5" t="s">
        <v>43</v>
      </c>
      <c r="C301" s="5">
        <v>27</v>
      </c>
      <c r="D301" s="5">
        <v>2</v>
      </c>
      <c r="E301" s="5" t="s">
        <v>244</v>
      </c>
      <c r="F301" s="5" t="s">
        <v>1457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0</v>
      </c>
      <c r="U301" s="5">
        <v>0</v>
      </c>
      <c r="V301" s="5">
        <v>0</v>
      </c>
      <c r="W301" s="5">
        <v>0</v>
      </c>
      <c r="X301" s="5">
        <v>0</v>
      </c>
      <c r="Y301" s="5">
        <v>0</v>
      </c>
      <c r="Z301" s="5">
        <v>0</v>
      </c>
      <c r="AA301" s="5">
        <v>0</v>
      </c>
      <c r="AB301" s="5">
        <v>0</v>
      </c>
    </row>
    <row r="302" spans="1:28" x14ac:dyDescent="0.25">
      <c r="A302" s="6" t="s">
        <v>1488</v>
      </c>
      <c r="B302" s="6" t="s">
        <v>43</v>
      </c>
      <c r="C302" s="6">
        <v>23</v>
      </c>
      <c r="D302" s="6">
        <v>0</v>
      </c>
      <c r="E302" s="6" t="s">
        <v>795</v>
      </c>
      <c r="F302" s="6" t="s">
        <v>1457</v>
      </c>
      <c r="G302" s="6">
        <v>0</v>
      </c>
      <c r="H302" s="6">
        <v>0</v>
      </c>
      <c r="I302" s="6">
        <v>0</v>
      </c>
      <c r="J302" s="6">
        <v>0</v>
      </c>
      <c r="K302" s="6">
        <v>0</v>
      </c>
      <c r="L302" s="6">
        <v>0</v>
      </c>
      <c r="M302" s="6">
        <v>0</v>
      </c>
      <c r="N302" s="6">
        <v>0</v>
      </c>
      <c r="O302" s="6">
        <v>0</v>
      </c>
      <c r="P302" s="6">
        <v>0</v>
      </c>
      <c r="Q302" s="6">
        <v>0</v>
      </c>
      <c r="R302" s="6">
        <v>0</v>
      </c>
      <c r="S302" s="6">
        <v>0</v>
      </c>
      <c r="T302" s="6">
        <v>0</v>
      </c>
      <c r="U302" s="6">
        <v>0</v>
      </c>
      <c r="V302" s="6">
        <v>0</v>
      </c>
      <c r="W302" s="6">
        <v>0</v>
      </c>
      <c r="X302" s="6">
        <v>0</v>
      </c>
      <c r="Y302" s="6">
        <v>0</v>
      </c>
      <c r="Z302" s="6">
        <v>0</v>
      </c>
      <c r="AA302" s="6">
        <v>0</v>
      </c>
      <c r="AB302" s="6">
        <v>0</v>
      </c>
    </row>
    <row r="303" spans="1:28" x14ac:dyDescent="0.25">
      <c r="A303" s="5" t="s">
        <v>1489</v>
      </c>
      <c r="B303" s="5" t="s">
        <v>43</v>
      </c>
      <c r="C303" s="5">
        <v>26</v>
      </c>
      <c r="D303" s="5">
        <v>3</v>
      </c>
      <c r="E303" s="5" t="s">
        <v>339</v>
      </c>
      <c r="F303" s="5" t="s">
        <v>1457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0</v>
      </c>
      <c r="U303" s="5">
        <v>0</v>
      </c>
      <c r="V303" s="5">
        <v>0</v>
      </c>
      <c r="W303" s="5">
        <v>0</v>
      </c>
      <c r="X303" s="5">
        <v>0</v>
      </c>
      <c r="Y303" s="5">
        <v>0</v>
      </c>
      <c r="Z303" s="5">
        <v>0</v>
      </c>
      <c r="AA303" s="5">
        <v>0</v>
      </c>
      <c r="AB303" s="5">
        <v>0</v>
      </c>
    </row>
    <row r="304" spans="1:28" x14ac:dyDescent="0.25">
      <c r="A304" s="6" t="s">
        <v>1490</v>
      </c>
      <c r="B304" s="6" t="s">
        <v>43</v>
      </c>
      <c r="C304" s="6">
        <v>25</v>
      </c>
      <c r="D304" s="6">
        <v>2</v>
      </c>
      <c r="E304" s="6" t="s">
        <v>209</v>
      </c>
      <c r="F304" s="6" t="s">
        <v>1457</v>
      </c>
      <c r="G304" s="6">
        <v>0</v>
      </c>
      <c r="H304" s="6">
        <v>0</v>
      </c>
      <c r="I304" s="6">
        <v>0</v>
      </c>
      <c r="J304" s="6">
        <v>0</v>
      </c>
      <c r="K304" s="6">
        <v>0</v>
      </c>
      <c r="L304" s="6">
        <v>0</v>
      </c>
      <c r="M304" s="6">
        <v>0</v>
      </c>
      <c r="N304" s="6">
        <v>0</v>
      </c>
      <c r="O304" s="6">
        <v>0</v>
      </c>
      <c r="P304" s="6">
        <v>0</v>
      </c>
      <c r="Q304" s="6">
        <v>0</v>
      </c>
      <c r="R304" s="6">
        <v>0</v>
      </c>
      <c r="S304" s="6">
        <v>0</v>
      </c>
      <c r="T304" s="6">
        <v>0</v>
      </c>
      <c r="U304" s="6">
        <v>0</v>
      </c>
      <c r="V304" s="6">
        <v>0</v>
      </c>
      <c r="W304" s="6">
        <v>0</v>
      </c>
      <c r="X304" s="6">
        <v>0</v>
      </c>
      <c r="Y304" s="6">
        <v>0</v>
      </c>
      <c r="Z304" s="6">
        <v>0</v>
      </c>
      <c r="AA304" s="6">
        <v>0</v>
      </c>
      <c r="AB304" s="6">
        <v>0</v>
      </c>
    </row>
    <row r="305" spans="1:28" x14ac:dyDescent="0.25">
      <c r="A305" s="5" t="s">
        <v>1491</v>
      </c>
      <c r="B305" s="5" t="s">
        <v>43</v>
      </c>
      <c r="C305" s="5">
        <v>27</v>
      </c>
      <c r="D305" s="5">
        <v>5</v>
      </c>
      <c r="E305" s="5" t="s">
        <v>138</v>
      </c>
      <c r="F305" s="5" t="s">
        <v>1457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0</v>
      </c>
      <c r="U305" s="5">
        <v>0</v>
      </c>
      <c r="V305" s="5">
        <v>0</v>
      </c>
      <c r="W305" s="5">
        <v>0</v>
      </c>
      <c r="X305" s="5">
        <v>0</v>
      </c>
      <c r="Y305" s="5">
        <v>0</v>
      </c>
      <c r="Z305" s="5">
        <v>0</v>
      </c>
      <c r="AA305" s="5">
        <v>0</v>
      </c>
      <c r="AB305" s="5">
        <v>0</v>
      </c>
    </row>
    <row r="306" spans="1:28" x14ac:dyDescent="0.25">
      <c r="A306" s="6" t="s">
        <v>1492</v>
      </c>
      <c r="B306" s="6" t="s">
        <v>43</v>
      </c>
      <c r="C306" s="6">
        <v>26</v>
      </c>
      <c r="D306" s="6">
        <v>5</v>
      </c>
      <c r="E306" s="6" t="s">
        <v>1493</v>
      </c>
      <c r="F306" s="6" t="s">
        <v>1457</v>
      </c>
      <c r="G306" s="6">
        <v>0</v>
      </c>
      <c r="H306" s="6">
        <v>0</v>
      </c>
      <c r="I306" s="6">
        <v>0</v>
      </c>
      <c r="J306" s="6">
        <v>0</v>
      </c>
      <c r="K306" s="6">
        <v>0</v>
      </c>
      <c r="L306" s="6">
        <v>0</v>
      </c>
      <c r="M306" s="6">
        <v>0</v>
      </c>
      <c r="N306" s="6">
        <v>0</v>
      </c>
      <c r="O306" s="6">
        <v>0</v>
      </c>
      <c r="P306" s="6">
        <v>0</v>
      </c>
      <c r="Q306" s="6">
        <v>0</v>
      </c>
      <c r="R306" s="6">
        <v>0</v>
      </c>
      <c r="S306" s="6">
        <v>0</v>
      </c>
      <c r="T306" s="6">
        <v>0</v>
      </c>
      <c r="U306" s="6">
        <v>0</v>
      </c>
      <c r="V306" s="6">
        <v>0</v>
      </c>
      <c r="W306" s="6">
        <v>0</v>
      </c>
      <c r="X306" s="6">
        <v>0</v>
      </c>
      <c r="Y306" s="6">
        <v>0</v>
      </c>
      <c r="Z306" s="6">
        <v>0</v>
      </c>
      <c r="AA306" s="6">
        <v>0</v>
      </c>
      <c r="AB306" s="6">
        <v>0</v>
      </c>
    </row>
    <row r="307" spans="1:28" x14ac:dyDescent="0.25">
      <c r="A307" s="5" t="s">
        <v>1494</v>
      </c>
      <c r="B307" s="5" t="s">
        <v>43</v>
      </c>
      <c r="C307" s="5">
        <v>22</v>
      </c>
      <c r="D307" s="5">
        <v>2</v>
      </c>
      <c r="E307" s="5" t="s">
        <v>173</v>
      </c>
      <c r="F307" s="5" t="s">
        <v>1457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0</v>
      </c>
      <c r="U307" s="5">
        <v>0</v>
      </c>
      <c r="V307" s="5">
        <v>0</v>
      </c>
      <c r="W307" s="5">
        <v>0</v>
      </c>
      <c r="X307" s="5">
        <v>0</v>
      </c>
      <c r="Y307" s="5">
        <v>0</v>
      </c>
      <c r="Z307" s="5">
        <v>0</v>
      </c>
      <c r="AA307" s="5">
        <v>0</v>
      </c>
      <c r="AB307" s="5">
        <v>0</v>
      </c>
    </row>
    <row r="308" spans="1:28" x14ac:dyDescent="0.25">
      <c r="A308" s="6" t="s">
        <v>1495</v>
      </c>
      <c r="B308" s="6" t="s">
        <v>43</v>
      </c>
      <c r="C308" s="6">
        <v>29</v>
      </c>
      <c r="D308" s="6">
        <v>10</v>
      </c>
      <c r="E308" s="6" t="s">
        <v>339</v>
      </c>
      <c r="F308" s="6" t="s">
        <v>1457</v>
      </c>
      <c r="G308" s="6">
        <v>0</v>
      </c>
      <c r="H308" s="6">
        <v>0</v>
      </c>
      <c r="I308" s="6">
        <v>0</v>
      </c>
      <c r="J308" s="6">
        <v>0</v>
      </c>
      <c r="K308" s="6">
        <v>0</v>
      </c>
      <c r="L308" s="6">
        <v>0</v>
      </c>
      <c r="M308" s="6">
        <v>0</v>
      </c>
      <c r="N308" s="6">
        <v>0</v>
      </c>
      <c r="O308" s="6">
        <v>0</v>
      </c>
      <c r="P308" s="6">
        <v>0</v>
      </c>
      <c r="Q308" s="6">
        <v>0</v>
      </c>
      <c r="R308" s="6">
        <v>0</v>
      </c>
      <c r="S308" s="6">
        <v>0</v>
      </c>
      <c r="T308" s="6">
        <v>0</v>
      </c>
      <c r="U308" s="6">
        <v>0</v>
      </c>
      <c r="V308" s="6">
        <v>0</v>
      </c>
      <c r="W308" s="6">
        <v>0</v>
      </c>
      <c r="X308" s="6">
        <v>0</v>
      </c>
      <c r="Y308" s="6">
        <v>0</v>
      </c>
      <c r="Z308" s="6">
        <v>0</v>
      </c>
      <c r="AA308" s="6">
        <v>0</v>
      </c>
      <c r="AB308" s="6">
        <v>0</v>
      </c>
    </row>
    <row r="309" spans="1:28" x14ac:dyDescent="0.25">
      <c r="A309" s="5" t="s">
        <v>1531</v>
      </c>
      <c r="B309" s="5" t="s">
        <v>43</v>
      </c>
      <c r="C309" s="5">
        <v>25</v>
      </c>
      <c r="D309" s="5">
        <v>0</v>
      </c>
      <c r="E309" s="5" t="s">
        <v>418</v>
      </c>
      <c r="F309" s="5" t="s">
        <v>1503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0</v>
      </c>
      <c r="U309" s="5">
        <v>0</v>
      </c>
      <c r="V309" s="5">
        <v>0</v>
      </c>
      <c r="W309" s="5">
        <v>0</v>
      </c>
      <c r="X309" s="5">
        <v>0</v>
      </c>
      <c r="Y309" s="5">
        <v>0</v>
      </c>
      <c r="Z309" s="5">
        <v>0</v>
      </c>
      <c r="AA309" s="5">
        <v>0</v>
      </c>
      <c r="AB309" s="5">
        <v>0</v>
      </c>
    </row>
    <row r="310" spans="1:28" x14ac:dyDescent="0.25">
      <c r="A310" s="6" t="s">
        <v>1532</v>
      </c>
      <c r="B310" s="6" t="s">
        <v>43</v>
      </c>
      <c r="C310" s="6">
        <v>26</v>
      </c>
      <c r="D310" s="6">
        <v>3</v>
      </c>
      <c r="E310" s="6" t="s">
        <v>357</v>
      </c>
      <c r="F310" s="6" t="s">
        <v>1503</v>
      </c>
      <c r="G310" s="6">
        <v>0</v>
      </c>
      <c r="H310" s="6">
        <v>0</v>
      </c>
      <c r="I310" s="6">
        <v>0</v>
      </c>
      <c r="J310" s="6">
        <v>0</v>
      </c>
      <c r="K310" s="6">
        <v>0</v>
      </c>
      <c r="L310" s="6">
        <v>0</v>
      </c>
      <c r="M310" s="6">
        <v>0</v>
      </c>
      <c r="N310" s="6">
        <v>0</v>
      </c>
      <c r="O310" s="6">
        <v>0</v>
      </c>
      <c r="P310" s="6">
        <v>0</v>
      </c>
      <c r="Q310" s="6">
        <v>0</v>
      </c>
      <c r="R310" s="6">
        <v>0</v>
      </c>
      <c r="S310" s="6">
        <v>0</v>
      </c>
      <c r="T310" s="6">
        <v>0</v>
      </c>
      <c r="U310" s="6">
        <v>0</v>
      </c>
      <c r="V310" s="6">
        <v>0</v>
      </c>
      <c r="W310" s="6">
        <v>0</v>
      </c>
      <c r="X310" s="6">
        <v>0</v>
      </c>
      <c r="Y310" s="6">
        <v>0</v>
      </c>
      <c r="Z310" s="6">
        <v>0</v>
      </c>
      <c r="AA310" s="6">
        <v>0</v>
      </c>
      <c r="AB310" s="6">
        <v>0</v>
      </c>
    </row>
    <row r="311" spans="1:28" x14ac:dyDescent="0.25">
      <c r="A311" s="5" t="s">
        <v>1533</v>
      </c>
      <c r="B311" s="5" t="s">
        <v>43</v>
      </c>
      <c r="C311" s="5">
        <v>25</v>
      </c>
      <c r="D311" s="5">
        <v>0</v>
      </c>
      <c r="E311" s="5" t="s">
        <v>1534</v>
      </c>
      <c r="F311" s="5" t="s">
        <v>1503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0</v>
      </c>
      <c r="U311" s="5">
        <v>0</v>
      </c>
      <c r="V311" s="5">
        <v>0</v>
      </c>
      <c r="W311" s="5">
        <v>0</v>
      </c>
      <c r="X311" s="5">
        <v>0</v>
      </c>
      <c r="Y311" s="5">
        <v>0</v>
      </c>
      <c r="Z311" s="5">
        <v>0</v>
      </c>
      <c r="AA311" s="5">
        <v>0</v>
      </c>
      <c r="AB311" s="5">
        <v>0</v>
      </c>
    </row>
    <row r="312" spans="1:28" x14ac:dyDescent="0.25">
      <c r="A312" s="6" t="s">
        <v>1535</v>
      </c>
      <c r="B312" s="6" t="s">
        <v>43</v>
      </c>
      <c r="C312" s="6">
        <v>25</v>
      </c>
      <c r="D312" s="6">
        <v>1</v>
      </c>
      <c r="E312" s="6" t="s">
        <v>753</v>
      </c>
      <c r="F312" s="6" t="s">
        <v>1503</v>
      </c>
      <c r="G312" s="6">
        <v>0</v>
      </c>
      <c r="H312" s="6">
        <v>0</v>
      </c>
      <c r="I312" s="6">
        <v>0</v>
      </c>
      <c r="J312" s="6">
        <v>0</v>
      </c>
      <c r="K312" s="6">
        <v>0</v>
      </c>
      <c r="L312" s="6">
        <v>0</v>
      </c>
      <c r="M312" s="6">
        <v>0</v>
      </c>
      <c r="N312" s="6">
        <v>0</v>
      </c>
      <c r="O312" s="6">
        <v>0</v>
      </c>
      <c r="P312" s="6">
        <v>0</v>
      </c>
      <c r="Q312" s="6">
        <v>0</v>
      </c>
      <c r="R312" s="6">
        <v>0</v>
      </c>
      <c r="S312" s="6">
        <v>0</v>
      </c>
      <c r="T312" s="6">
        <v>0</v>
      </c>
      <c r="U312" s="6">
        <v>0</v>
      </c>
      <c r="V312" s="6">
        <v>0</v>
      </c>
      <c r="W312" s="6">
        <v>0</v>
      </c>
      <c r="X312" s="6">
        <v>0</v>
      </c>
      <c r="Y312" s="6">
        <v>0</v>
      </c>
      <c r="Z312" s="6">
        <v>0</v>
      </c>
      <c r="AA312" s="6">
        <v>0</v>
      </c>
      <c r="AB312" s="6">
        <v>0</v>
      </c>
    </row>
    <row r="313" spans="1:28" x14ac:dyDescent="0.25">
      <c r="A313" s="5" t="s">
        <v>1536</v>
      </c>
      <c r="B313" s="5" t="s">
        <v>43</v>
      </c>
      <c r="C313" s="5">
        <v>24</v>
      </c>
      <c r="D313" s="5">
        <v>0</v>
      </c>
      <c r="E313" s="5" t="s">
        <v>467</v>
      </c>
      <c r="F313" s="5" t="s">
        <v>1503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0</v>
      </c>
      <c r="U313" s="5">
        <v>0</v>
      </c>
      <c r="V313" s="5">
        <v>0</v>
      </c>
      <c r="W313" s="5">
        <v>0</v>
      </c>
      <c r="X313" s="5">
        <v>0</v>
      </c>
      <c r="Y313" s="5">
        <v>0</v>
      </c>
      <c r="Z313" s="5">
        <v>0</v>
      </c>
      <c r="AA313" s="5">
        <v>0</v>
      </c>
      <c r="AB313" s="5">
        <v>0</v>
      </c>
    </row>
    <row r="314" spans="1:28" x14ac:dyDescent="0.25">
      <c r="A314" s="6" t="s">
        <v>1537</v>
      </c>
      <c r="B314" s="6" t="s">
        <v>43</v>
      </c>
      <c r="C314" s="6">
        <v>24</v>
      </c>
      <c r="D314" s="6">
        <v>0</v>
      </c>
      <c r="E314" s="6" t="s">
        <v>111</v>
      </c>
      <c r="F314" s="6" t="s">
        <v>1503</v>
      </c>
      <c r="G314" s="6">
        <v>0</v>
      </c>
      <c r="H314" s="6">
        <v>0</v>
      </c>
      <c r="I314" s="6">
        <v>0</v>
      </c>
      <c r="J314" s="6">
        <v>0</v>
      </c>
      <c r="K314" s="6">
        <v>0</v>
      </c>
      <c r="L314" s="6">
        <v>0</v>
      </c>
      <c r="M314" s="6">
        <v>0</v>
      </c>
      <c r="N314" s="6">
        <v>0</v>
      </c>
      <c r="O314" s="6">
        <v>0</v>
      </c>
      <c r="P314" s="6">
        <v>0</v>
      </c>
      <c r="Q314" s="6">
        <v>0</v>
      </c>
      <c r="R314" s="6">
        <v>0</v>
      </c>
      <c r="S314" s="6">
        <v>0</v>
      </c>
      <c r="T314" s="6">
        <v>0</v>
      </c>
      <c r="U314" s="6">
        <v>0</v>
      </c>
      <c r="V314" s="6">
        <v>0</v>
      </c>
      <c r="W314" s="6">
        <v>0</v>
      </c>
      <c r="X314" s="6">
        <v>0</v>
      </c>
      <c r="Y314" s="6">
        <v>0</v>
      </c>
      <c r="Z314" s="6">
        <v>0</v>
      </c>
      <c r="AA314" s="6">
        <v>0</v>
      </c>
      <c r="AB314" s="6">
        <v>0</v>
      </c>
    </row>
    <row r="315" spans="1:28" x14ac:dyDescent="0.25">
      <c r="A315" s="5" t="s">
        <v>1538</v>
      </c>
      <c r="B315" s="5" t="s">
        <v>43</v>
      </c>
      <c r="C315" s="5">
        <v>30</v>
      </c>
      <c r="D315" s="5">
        <v>9</v>
      </c>
      <c r="E315" s="5" t="s">
        <v>559</v>
      </c>
      <c r="F315" s="5" t="s">
        <v>1503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0</v>
      </c>
      <c r="U315" s="5">
        <v>0</v>
      </c>
      <c r="V315" s="5">
        <v>0</v>
      </c>
      <c r="W315" s="5">
        <v>0</v>
      </c>
      <c r="X315" s="5">
        <v>0</v>
      </c>
      <c r="Y315" s="5">
        <v>0</v>
      </c>
      <c r="Z315" s="5">
        <v>0</v>
      </c>
      <c r="AA315" s="5">
        <v>0</v>
      </c>
      <c r="AB315" s="5">
        <v>0</v>
      </c>
    </row>
    <row r="316" spans="1:28" x14ac:dyDescent="0.25">
      <c r="A316" s="6" t="s">
        <v>1539</v>
      </c>
      <c r="B316" s="6" t="s">
        <v>43</v>
      </c>
      <c r="C316" s="6"/>
      <c r="D316" s="6">
        <v>0</v>
      </c>
      <c r="E316" s="6" t="s">
        <v>806</v>
      </c>
      <c r="F316" s="6" t="s">
        <v>1503</v>
      </c>
      <c r="G316" s="6">
        <v>0</v>
      </c>
      <c r="H316" s="6">
        <v>0</v>
      </c>
      <c r="I316" s="6">
        <v>0</v>
      </c>
      <c r="J316" s="6">
        <v>0</v>
      </c>
      <c r="K316" s="6">
        <v>0</v>
      </c>
      <c r="L316" s="6">
        <v>0</v>
      </c>
      <c r="M316" s="6">
        <v>0</v>
      </c>
      <c r="N316" s="6">
        <v>0</v>
      </c>
      <c r="O316" s="6">
        <v>0</v>
      </c>
      <c r="P316" s="6">
        <v>0</v>
      </c>
      <c r="Q316" s="6">
        <v>0</v>
      </c>
      <c r="R316" s="6">
        <v>0</v>
      </c>
      <c r="S316" s="6">
        <v>0</v>
      </c>
      <c r="T316" s="6">
        <v>0</v>
      </c>
      <c r="U316" s="6">
        <v>0</v>
      </c>
      <c r="V316" s="6">
        <v>0</v>
      </c>
      <c r="W316" s="6">
        <v>0</v>
      </c>
      <c r="X316" s="6">
        <v>0</v>
      </c>
      <c r="Y316" s="6">
        <v>0</v>
      </c>
      <c r="Z316" s="6">
        <v>0</v>
      </c>
      <c r="AA316" s="6">
        <v>0</v>
      </c>
      <c r="AB316" s="6">
        <v>0</v>
      </c>
    </row>
    <row r="317" spans="1:28" x14ac:dyDescent="0.25">
      <c r="A317" s="5" t="s">
        <v>1540</v>
      </c>
      <c r="B317" s="5" t="s">
        <v>43</v>
      </c>
      <c r="C317" s="5">
        <v>25</v>
      </c>
      <c r="D317" s="5">
        <v>5</v>
      </c>
      <c r="E317" s="5" t="s">
        <v>240</v>
      </c>
      <c r="F317" s="5" t="s">
        <v>1503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0</v>
      </c>
      <c r="U317" s="5">
        <v>0</v>
      </c>
      <c r="V317" s="5">
        <v>0</v>
      </c>
      <c r="W317" s="5">
        <v>0</v>
      </c>
      <c r="X317" s="5">
        <v>0</v>
      </c>
      <c r="Y317" s="5">
        <v>0</v>
      </c>
      <c r="Z317" s="5">
        <v>0</v>
      </c>
      <c r="AA317" s="5">
        <v>0</v>
      </c>
      <c r="AB317" s="5">
        <v>0</v>
      </c>
    </row>
    <row r="318" spans="1:28" x14ac:dyDescent="0.25">
      <c r="A318" s="6" t="s">
        <v>1541</v>
      </c>
      <c r="B318" s="6" t="s">
        <v>43</v>
      </c>
      <c r="C318" s="6">
        <v>21</v>
      </c>
      <c r="D318" s="6">
        <v>0</v>
      </c>
      <c r="E318" s="6" t="s">
        <v>213</v>
      </c>
      <c r="F318" s="6" t="s">
        <v>1503</v>
      </c>
      <c r="G318" s="6">
        <v>0</v>
      </c>
      <c r="H318" s="6">
        <v>0</v>
      </c>
      <c r="I318" s="6">
        <v>0</v>
      </c>
      <c r="J318" s="6">
        <v>0</v>
      </c>
      <c r="K318" s="6">
        <v>0</v>
      </c>
      <c r="L318" s="6">
        <v>0</v>
      </c>
      <c r="M318" s="6">
        <v>0</v>
      </c>
      <c r="N318" s="6">
        <v>0</v>
      </c>
      <c r="O318" s="6">
        <v>0</v>
      </c>
      <c r="P318" s="6">
        <v>0</v>
      </c>
      <c r="Q318" s="6">
        <v>0</v>
      </c>
      <c r="R318" s="6">
        <v>0</v>
      </c>
      <c r="S318" s="6">
        <v>0</v>
      </c>
      <c r="T318" s="6">
        <v>0</v>
      </c>
      <c r="U318" s="6">
        <v>0</v>
      </c>
      <c r="V318" s="6">
        <v>0</v>
      </c>
      <c r="W318" s="6">
        <v>0</v>
      </c>
      <c r="X318" s="6">
        <v>0</v>
      </c>
      <c r="Y318" s="6">
        <v>0</v>
      </c>
      <c r="Z318" s="6">
        <v>0</v>
      </c>
      <c r="AA318" s="6">
        <v>0</v>
      </c>
      <c r="AB318" s="6">
        <v>0</v>
      </c>
    </row>
    <row r="319" spans="1:28" x14ac:dyDescent="0.25">
      <c r="A319" s="5" t="s">
        <v>1542</v>
      </c>
      <c r="B319" s="5" t="s">
        <v>43</v>
      </c>
      <c r="C319" s="5">
        <v>27</v>
      </c>
      <c r="D319" s="5">
        <v>2</v>
      </c>
      <c r="E319" s="5" t="s">
        <v>138</v>
      </c>
      <c r="F319" s="5" t="s">
        <v>1503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0</v>
      </c>
      <c r="U319" s="5">
        <v>0</v>
      </c>
      <c r="V319" s="5">
        <v>0</v>
      </c>
      <c r="W319" s="5">
        <v>0</v>
      </c>
      <c r="X319" s="5">
        <v>0</v>
      </c>
      <c r="Y319" s="5">
        <v>0</v>
      </c>
      <c r="Z319" s="5">
        <v>0</v>
      </c>
      <c r="AA319" s="5">
        <v>0</v>
      </c>
      <c r="AB319" s="5">
        <v>0</v>
      </c>
    </row>
    <row r="320" spans="1:28" x14ac:dyDescent="0.25">
      <c r="A320" s="6" t="s">
        <v>1543</v>
      </c>
      <c r="B320" s="6" t="s">
        <v>43</v>
      </c>
      <c r="C320" s="6">
        <v>26</v>
      </c>
      <c r="D320" s="6">
        <v>1</v>
      </c>
      <c r="E320" s="6" t="s">
        <v>294</v>
      </c>
      <c r="F320" s="6" t="s">
        <v>1503</v>
      </c>
      <c r="G320" s="6">
        <v>0</v>
      </c>
      <c r="H320" s="6">
        <v>0</v>
      </c>
      <c r="I320" s="6">
        <v>0</v>
      </c>
      <c r="J320" s="6">
        <v>0</v>
      </c>
      <c r="K320" s="6">
        <v>0</v>
      </c>
      <c r="L320" s="6">
        <v>0</v>
      </c>
      <c r="M320" s="6">
        <v>0</v>
      </c>
      <c r="N320" s="6">
        <v>0</v>
      </c>
      <c r="O320" s="6">
        <v>0</v>
      </c>
      <c r="P320" s="6">
        <v>0</v>
      </c>
      <c r="Q320" s="6">
        <v>0</v>
      </c>
      <c r="R320" s="6">
        <v>0</v>
      </c>
      <c r="S320" s="6">
        <v>0</v>
      </c>
      <c r="T320" s="6">
        <v>0</v>
      </c>
      <c r="U320" s="6">
        <v>0</v>
      </c>
      <c r="V320" s="6">
        <v>0</v>
      </c>
      <c r="W320" s="6">
        <v>0</v>
      </c>
      <c r="X320" s="6">
        <v>0</v>
      </c>
      <c r="Y320" s="6">
        <v>0</v>
      </c>
      <c r="Z320" s="6">
        <v>0</v>
      </c>
      <c r="AA320" s="6">
        <v>0</v>
      </c>
      <c r="AB320" s="6">
        <v>0</v>
      </c>
    </row>
    <row r="321" spans="1:28" x14ac:dyDescent="0.25">
      <c r="A321" s="5" t="s">
        <v>1580</v>
      </c>
      <c r="B321" s="5" t="s">
        <v>43</v>
      </c>
      <c r="C321" s="5">
        <v>25</v>
      </c>
      <c r="D321" s="5">
        <v>4</v>
      </c>
      <c r="E321" s="5" t="s">
        <v>155</v>
      </c>
      <c r="F321" s="5" t="s">
        <v>1552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0</v>
      </c>
      <c r="U321" s="5">
        <v>0</v>
      </c>
      <c r="V321" s="5">
        <v>0</v>
      </c>
      <c r="W321" s="5">
        <v>0</v>
      </c>
      <c r="X321" s="5">
        <v>0</v>
      </c>
      <c r="Y321" s="5">
        <v>0</v>
      </c>
      <c r="Z321" s="5">
        <v>0</v>
      </c>
      <c r="AA321" s="5">
        <v>0</v>
      </c>
      <c r="AB321" s="5">
        <v>0</v>
      </c>
    </row>
    <row r="322" spans="1:28" x14ac:dyDescent="0.25">
      <c r="A322" s="6" t="s">
        <v>1581</v>
      </c>
      <c r="B322" s="6" t="s">
        <v>43</v>
      </c>
      <c r="C322" s="6">
        <v>23</v>
      </c>
      <c r="D322" s="6">
        <v>0</v>
      </c>
      <c r="E322" s="6" t="s">
        <v>105</v>
      </c>
      <c r="F322" s="6" t="s">
        <v>1552</v>
      </c>
      <c r="G322" s="6">
        <v>0</v>
      </c>
      <c r="H322" s="6">
        <v>0</v>
      </c>
      <c r="I322" s="6">
        <v>0</v>
      </c>
      <c r="J322" s="6">
        <v>0</v>
      </c>
      <c r="K322" s="6">
        <v>0</v>
      </c>
      <c r="L322" s="6">
        <v>0</v>
      </c>
      <c r="M322" s="6">
        <v>0</v>
      </c>
      <c r="N322" s="6">
        <v>0</v>
      </c>
      <c r="O322" s="6">
        <v>0</v>
      </c>
      <c r="P322" s="6">
        <v>0</v>
      </c>
      <c r="Q322" s="6">
        <v>0</v>
      </c>
      <c r="R322" s="6">
        <v>0</v>
      </c>
      <c r="S322" s="6">
        <v>0</v>
      </c>
      <c r="T322" s="6">
        <v>0</v>
      </c>
      <c r="U322" s="6">
        <v>0</v>
      </c>
      <c r="V322" s="6">
        <v>0</v>
      </c>
      <c r="W322" s="6">
        <v>0</v>
      </c>
      <c r="X322" s="6">
        <v>0</v>
      </c>
      <c r="Y322" s="6">
        <v>0</v>
      </c>
      <c r="Z322" s="6">
        <v>0</v>
      </c>
      <c r="AA322" s="6">
        <v>0</v>
      </c>
      <c r="AB322" s="6">
        <v>0</v>
      </c>
    </row>
    <row r="323" spans="1:28" x14ac:dyDescent="0.25">
      <c r="A323" s="5" t="s">
        <v>1582</v>
      </c>
      <c r="B323" s="5" t="s">
        <v>43</v>
      </c>
      <c r="C323" s="5">
        <v>30</v>
      </c>
      <c r="D323" s="5">
        <v>9</v>
      </c>
      <c r="E323" s="5" t="s">
        <v>173</v>
      </c>
      <c r="F323" s="5" t="s">
        <v>1552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0</v>
      </c>
      <c r="U323" s="5">
        <v>0</v>
      </c>
      <c r="V323" s="5">
        <v>0</v>
      </c>
      <c r="W323" s="5">
        <v>0</v>
      </c>
      <c r="X323" s="5">
        <v>0</v>
      </c>
      <c r="Y323" s="5">
        <v>0</v>
      </c>
      <c r="Z323" s="5">
        <v>0</v>
      </c>
      <c r="AA323" s="5">
        <v>0</v>
      </c>
      <c r="AB323" s="5">
        <v>0</v>
      </c>
    </row>
    <row r="324" spans="1:28" x14ac:dyDescent="0.25">
      <c r="A324" s="6" t="s">
        <v>1583</v>
      </c>
      <c r="B324" s="6" t="s">
        <v>43</v>
      </c>
      <c r="C324" s="6">
        <v>24</v>
      </c>
      <c r="D324" s="6">
        <v>2</v>
      </c>
      <c r="E324" s="6" t="s">
        <v>237</v>
      </c>
      <c r="F324" s="6" t="s">
        <v>1552</v>
      </c>
      <c r="G324" s="6">
        <v>0</v>
      </c>
      <c r="H324" s="6">
        <v>0</v>
      </c>
      <c r="I324" s="6">
        <v>0</v>
      </c>
      <c r="J324" s="6">
        <v>0</v>
      </c>
      <c r="K324" s="6">
        <v>0</v>
      </c>
      <c r="L324" s="6">
        <v>0</v>
      </c>
      <c r="M324" s="6">
        <v>0</v>
      </c>
      <c r="N324" s="6">
        <v>0</v>
      </c>
      <c r="O324" s="6">
        <v>0</v>
      </c>
      <c r="P324" s="6">
        <v>0</v>
      </c>
      <c r="Q324" s="6">
        <v>0</v>
      </c>
      <c r="R324" s="6">
        <v>0</v>
      </c>
      <c r="S324" s="6">
        <v>0</v>
      </c>
      <c r="T324" s="6">
        <v>0</v>
      </c>
      <c r="U324" s="6">
        <v>0</v>
      </c>
      <c r="V324" s="6">
        <v>0</v>
      </c>
      <c r="W324" s="6">
        <v>0</v>
      </c>
      <c r="X324" s="6">
        <v>0</v>
      </c>
      <c r="Y324" s="6">
        <v>0</v>
      </c>
      <c r="Z324" s="6">
        <v>0</v>
      </c>
      <c r="AA324" s="6">
        <v>0</v>
      </c>
      <c r="AB324" s="6">
        <v>0</v>
      </c>
    </row>
    <row r="325" spans="1:28" x14ac:dyDescent="0.25">
      <c r="A325" s="5" t="s">
        <v>1584</v>
      </c>
      <c r="B325" s="5" t="s">
        <v>43</v>
      </c>
      <c r="C325" s="5">
        <v>26</v>
      </c>
      <c r="D325" s="5">
        <v>3</v>
      </c>
      <c r="E325" s="5" t="s">
        <v>143</v>
      </c>
      <c r="F325" s="5" t="s">
        <v>1552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0</v>
      </c>
      <c r="U325" s="5">
        <v>0</v>
      </c>
      <c r="V325" s="5">
        <v>0</v>
      </c>
      <c r="W325" s="5">
        <v>0</v>
      </c>
      <c r="X325" s="5">
        <v>0</v>
      </c>
      <c r="Y325" s="5">
        <v>0</v>
      </c>
      <c r="Z325" s="5">
        <v>0</v>
      </c>
      <c r="AA325" s="5">
        <v>0</v>
      </c>
      <c r="AB325" s="5">
        <v>0</v>
      </c>
    </row>
    <row r="326" spans="1:28" x14ac:dyDescent="0.25">
      <c r="A326" s="6" t="s">
        <v>1585</v>
      </c>
      <c r="B326" s="6" t="s">
        <v>43</v>
      </c>
      <c r="C326" s="6">
        <v>25</v>
      </c>
      <c r="D326" s="6">
        <v>1</v>
      </c>
      <c r="E326" s="6" t="s">
        <v>218</v>
      </c>
      <c r="F326" s="6" t="s">
        <v>1552</v>
      </c>
      <c r="G326" s="6">
        <v>0</v>
      </c>
      <c r="H326" s="6">
        <v>0</v>
      </c>
      <c r="I326" s="6">
        <v>0</v>
      </c>
      <c r="J326" s="6">
        <v>0</v>
      </c>
      <c r="K326" s="6">
        <v>0</v>
      </c>
      <c r="L326" s="6">
        <v>0</v>
      </c>
      <c r="M326" s="6">
        <v>0</v>
      </c>
      <c r="N326" s="6">
        <v>0</v>
      </c>
      <c r="O326" s="6">
        <v>0</v>
      </c>
      <c r="P326" s="6">
        <v>0</v>
      </c>
      <c r="Q326" s="6">
        <v>0</v>
      </c>
      <c r="R326" s="6">
        <v>0</v>
      </c>
      <c r="S326" s="6">
        <v>0</v>
      </c>
      <c r="T326" s="6">
        <v>0</v>
      </c>
      <c r="U326" s="6">
        <v>0</v>
      </c>
      <c r="V326" s="6">
        <v>0</v>
      </c>
      <c r="W326" s="6">
        <v>0</v>
      </c>
      <c r="X326" s="6">
        <v>0</v>
      </c>
      <c r="Y326" s="6">
        <v>0</v>
      </c>
      <c r="Z326" s="6">
        <v>0</v>
      </c>
      <c r="AA326" s="6">
        <v>0</v>
      </c>
      <c r="AB326" s="6">
        <v>0</v>
      </c>
    </row>
    <row r="327" spans="1:28" x14ac:dyDescent="0.25">
      <c r="A327" s="5" t="s">
        <v>1586</v>
      </c>
      <c r="B327" s="5" t="s">
        <v>43</v>
      </c>
      <c r="C327" s="5">
        <v>26</v>
      </c>
      <c r="D327" s="5">
        <v>6</v>
      </c>
      <c r="E327" s="5" t="s">
        <v>458</v>
      </c>
      <c r="F327" s="5" t="s">
        <v>1552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0</v>
      </c>
      <c r="U327" s="5">
        <v>0</v>
      </c>
      <c r="V327" s="5">
        <v>0</v>
      </c>
      <c r="W327" s="5">
        <v>0</v>
      </c>
      <c r="X327" s="5">
        <v>0</v>
      </c>
      <c r="Y327" s="5">
        <v>0</v>
      </c>
      <c r="Z327" s="5">
        <v>0</v>
      </c>
      <c r="AA327" s="5">
        <v>0</v>
      </c>
      <c r="AB327" s="5">
        <v>0</v>
      </c>
    </row>
    <row r="328" spans="1:28" x14ac:dyDescent="0.25">
      <c r="A328" s="6" t="s">
        <v>1587</v>
      </c>
      <c r="B328" s="6" t="s">
        <v>43</v>
      </c>
      <c r="C328" s="6">
        <v>24</v>
      </c>
      <c r="D328" s="6">
        <v>1</v>
      </c>
      <c r="E328" s="6" t="s">
        <v>163</v>
      </c>
      <c r="F328" s="6" t="s">
        <v>1552</v>
      </c>
      <c r="G328" s="6">
        <v>0</v>
      </c>
      <c r="H328" s="6">
        <v>0</v>
      </c>
      <c r="I328" s="6">
        <v>0</v>
      </c>
      <c r="J328" s="6">
        <v>0</v>
      </c>
      <c r="K328" s="6">
        <v>0</v>
      </c>
      <c r="L328" s="6">
        <v>0</v>
      </c>
      <c r="M328" s="6">
        <v>0</v>
      </c>
      <c r="N328" s="6">
        <v>0</v>
      </c>
      <c r="O328" s="6">
        <v>0</v>
      </c>
      <c r="P328" s="6">
        <v>0</v>
      </c>
      <c r="Q328" s="6">
        <v>0</v>
      </c>
      <c r="R328" s="6">
        <v>0</v>
      </c>
      <c r="S328" s="6">
        <v>0</v>
      </c>
      <c r="T328" s="6">
        <v>0</v>
      </c>
      <c r="U328" s="6">
        <v>0</v>
      </c>
      <c r="V328" s="6">
        <v>0</v>
      </c>
      <c r="W328" s="6">
        <v>0</v>
      </c>
      <c r="X328" s="6">
        <v>0</v>
      </c>
      <c r="Y328" s="6">
        <v>0</v>
      </c>
      <c r="Z328" s="6">
        <v>0</v>
      </c>
      <c r="AA328" s="6">
        <v>0</v>
      </c>
      <c r="AB328" s="6">
        <v>0</v>
      </c>
    </row>
    <row r="329" spans="1:28" x14ac:dyDescent="0.25">
      <c r="A329" s="5" t="s">
        <v>1588</v>
      </c>
      <c r="B329" s="5" t="s">
        <v>43</v>
      </c>
      <c r="C329" s="5">
        <v>27</v>
      </c>
      <c r="D329" s="5">
        <v>5</v>
      </c>
      <c r="E329" s="5" t="s">
        <v>341</v>
      </c>
      <c r="F329" s="5" t="s">
        <v>1552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0</v>
      </c>
      <c r="U329" s="5">
        <v>0</v>
      </c>
      <c r="V329" s="5">
        <v>0</v>
      </c>
      <c r="W329" s="5">
        <v>0</v>
      </c>
      <c r="X329" s="5">
        <v>0</v>
      </c>
      <c r="Y329" s="5">
        <v>0</v>
      </c>
      <c r="Z329" s="5">
        <v>0</v>
      </c>
      <c r="AA329" s="5">
        <v>0</v>
      </c>
      <c r="AB329" s="5">
        <v>0</v>
      </c>
    </row>
    <row r="330" spans="1:28" x14ac:dyDescent="0.25">
      <c r="A330" s="6" t="s">
        <v>1589</v>
      </c>
      <c r="B330" s="6" t="s">
        <v>43</v>
      </c>
      <c r="C330" s="6">
        <v>30</v>
      </c>
      <c r="D330" s="6">
        <v>8</v>
      </c>
      <c r="E330" s="6" t="s">
        <v>1590</v>
      </c>
      <c r="F330" s="6" t="s">
        <v>1552</v>
      </c>
      <c r="G330" s="6">
        <v>0</v>
      </c>
      <c r="H330" s="6">
        <v>0</v>
      </c>
      <c r="I330" s="6">
        <v>0</v>
      </c>
      <c r="J330" s="6">
        <v>0</v>
      </c>
      <c r="K330" s="6">
        <v>0</v>
      </c>
      <c r="L330" s="6">
        <v>0</v>
      </c>
      <c r="M330" s="6">
        <v>0</v>
      </c>
      <c r="N330" s="6">
        <v>0</v>
      </c>
      <c r="O330" s="6">
        <v>0</v>
      </c>
      <c r="P330" s="6">
        <v>0</v>
      </c>
      <c r="Q330" s="6">
        <v>0</v>
      </c>
      <c r="R330" s="6">
        <v>0</v>
      </c>
      <c r="S330" s="6">
        <v>0</v>
      </c>
      <c r="T330" s="6">
        <v>0</v>
      </c>
      <c r="U330" s="6">
        <v>0</v>
      </c>
      <c r="V330" s="6">
        <v>0</v>
      </c>
      <c r="W330" s="6">
        <v>0</v>
      </c>
      <c r="X330" s="6">
        <v>0</v>
      </c>
      <c r="Y330" s="6">
        <v>0</v>
      </c>
      <c r="Z330" s="6">
        <v>0</v>
      </c>
      <c r="AA330" s="6">
        <v>0</v>
      </c>
      <c r="AB330" s="6">
        <v>0</v>
      </c>
    </row>
    <row r="331" spans="1:28" x14ac:dyDescent="0.25">
      <c r="A331" s="5" t="s">
        <v>1628</v>
      </c>
      <c r="B331" s="5" t="s">
        <v>43</v>
      </c>
      <c r="C331" s="5">
        <v>23</v>
      </c>
      <c r="D331" s="5">
        <v>0</v>
      </c>
      <c r="E331" s="5" t="s">
        <v>76</v>
      </c>
      <c r="F331" s="5" t="s">
        <v>1599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0</v>
      </c>
      <c r="U331" s="5">
        <v>0</v>
      </c>
      <c r="V331" s="5">
        <v>0</v>
      </c>
      <c r="W331" s="5">
        <v>0</v>
      </c>
      <c r="X331" s="5">
        <v>0</v>
      </c>
      <c r="Y331" s="5">
        <v>0</v>
      </c>
      <c r="Z331" s="5">
        <v>0</v>
      </c>
      <c r="AA331" s="5">
        <v>0</v>
      </c>
      <c r="AB331" s="5">
        <v>0</v>
      </c>
    </row>
    <row r="332" spans="1:28" x14ac:dyDescent="0.25">
      <c r="A332" s="6" t="s">
        <v>1629</v>
      </c>
      <c r="B332" s="6" t="s">
        <v>43</v>
      </c>
      <c r="C332" s="6">
        <v>29</v>
      </c>
      <c r="D332" s="6">
        <v>10</v>
      </c>
      <c r="E332" s="6" t="s">
        <v>307</v>
      </c>
      <c r="F332" s="6" t="s">
        <v>1599</v>
      </c>
      <c r="G332" s="6">
        <v>0</v>
      </c>
      <c r="H332" s="6">
        <v>0</v>
      </c>
      <c r="I332" s="6">
        <v>0</v>
      </c>
      <c r="J332" s="6">
        <v>0</v>
      </c>
      <c r="K332" s="6">
        <v>0</v>
      </c>
      <c r="L332" s="6">
        <v>0</v>
      </c>
      <c r="M332" s="6">
        <v>0</v>
      </c>
      <c r="N332" s="6">
        <v>0</v>
      </c>
      <c r="O332" s="6">
        <v>0</v>
      </c>
      <c r="P332" s="6">
        <v>0</v>
      </c>
      <c r="Q332" s="6">
        <v>0</v>
      </c>
      <c r="R332" s="6">
        <v>0</v>
      </c>
      <c r="S332" s="6">
        <v>0</v>
      </c>
      <c r="T332" s="6">
        <v>0</v>
      </c>
      <c r="U332" s="6">
        <v>0</v>
      </c>
      <c r="V332" s="6">
        <v>0</v>
      </c>
      <c r="W332" s="6">
        <v>0</v>
      </c>
      <c r="X332" s="6">
        <v>0</v>
      </c>
      <c r="Y332" s="6">
        <v>0</v>
      </c>
      <c r="Z332" s="6">
        <v>0</v>
      </c>
      <c r="AA332" s="6">
        <v>0</v>
      </c>
      <c r="AB332" s="6">
        <v>0</v>
      </c>
    </row>
    <row r="333" spans="1:28" x14ac:dyDescent="0.25">
      <c r="A333" s="5" t="s">
        <v>1630</v>
      </c>
      <c r="B333" s="5" t="s">
        <v>43</v>
      </c>
      <c r="C333" s="5">
        <v>27</v>
      </c>
      <c r="D333" s="5">
        <v>6</v>
      </c>
      <c r="E333" s="5" t="s">
        <v>227</v>
      </c>
      <c r="F333" s="5" t="s">
        <v>1599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0</v>
      </c>
      <c r="U333" s="5">
        <v>0</v>
      </c>
      <c r="V333" s="5">
        <v>0</v>
      </c>
      <c r="W333" s="5">
        <v>0</v>
      </c>
      <c r="X333" s="5">
        <v>0</v>
      </c>
      <c r="Y333" s="5">
        <v>0</v>
      </c>
      <c r="Z333" s="5">
        <v>0</v>
      </c>
      <c r="AA333" s="5">
        <v>0</v>
      </c>
      <c r="AB333" s="5">
        <v>0</v>
      </c>
    </row>
    <row r="334" spans="1:28" x14ac:dyDescent="0.25">
      <c r="A334" s="6" t="s">
        <v>1631</v>
      </c>
      <c r="B334" s="6" t="s">
        <v>43</v>
      </c>
      <c r="C334" s="6">
        <v>25</v>
      </c>
      <c r="D334" s="6">
        <v>1</v>
      </c>
      <c r="E334" s="6" t="s">
        <v>511</v>
      </c>
      <c r="F334" s="6" t="s">
        <v>1599</v>
      </c>
      <c r="G334" s="6">
        <v>0</v>
      </c>
      <c r="H334" s="6">
        <v>0</v>
      </c>
      <c r="I334" s="6">
        <v>0</v>
      </c>
      <c r="J334" s="6">
        <v>0</v>
      </c>
      <c r="K334" s="6">
        <v>0</v>
      </c>
      <c r="L334" s="6">
        <v>0</v>
      </c>
      <c r="M334" s="6">
        <v>0</v>
      </c>
      <c r="N334" s="6">
        <v>0</v>
      </c>
      <c r="O334" s="6">
        <v>0</v>
      </c>
      <c r="P334" s="6">
        <v>0</v>
      </c>
      <c r="Q334" s="6">
        <v>0</v>
      </c>
      <c r="R334" s="6">
        <v>0</v>
      </c>
      <c r="S334" s="6">
        <v>0</v>
      </c>
      <c r="T334" s="6">
        <v>0</v>
      </c>
      <c r="U334" s="6">
        <v>0</v>
      </c>
      <c r="V334" s="6">
        <v>0</v>
      </c>
      <c r="W334" s="6">
        <v>0</v>
      </c>
      <c r="X334" s="6">
        <v>0</v>
      </c>
      <c r="Y334" s="6">
        <v>0</v>
      </c>
      <c r="Z334" s="6">
        <v>0</v>
      </c>
      <c r="AA334" s="6">
        <v>0</v>
      </c>
      <c r="AB334" s="6">
        <v>0</v>
      </c>
    </row>
    <row r="335" spans="1:28" x14ac:dyDescent="0.25">
      <c r="A335" s="5" t="s">
        <v>1632</v>
      </c>
      <c r="B335" s="5" t="s">
        <v>43</v>
      </c>
      <c r="C335" s="5">
        <v>27</v>
      </c>
      <c r="D335" s="5">
        <v>7</v>
      </c>
      <c r="E335" s="5" t="s">
        <v>339</v>
      </c>
      <c r="F335" s="5" t="s">
        <v>1599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0</v>
      </c>
      <c r="U335" s="5">
        <v>0</v>
      </c>
      <c r="V335" s="5">
        <v>0</v>
      </c>
      <c r="W335" s="5">
        <v>0</v>
      </c>
      <c r="X335" s="5">
        <v>0</v>
      </c>
      <c r="Y335" s="5">
        <v>0</v>
      </c>
      <c r="Z335" s="5">
        <v>0</v>
      </c>
      <c r="AA335" s="5">
        <v>0</v>
      </c>
      <c r="AB335" s="5">
        <v>0</v>
      </c>
    </row>
    <row r="336" spans="1:28" x14ac:dyDescent="0.25">
      <c r="A336" s="6" t="s">
        <v>1633</v>
      </c>
      <c r="B336" s="6" t="s">
        <v>43</v>
      </c>
      <c r="C336" s="6">
        <v>22</v>
      </c>
      <c r="D336" s="6">
        <v>0</v>
      </c>
      <c r="E336" s="6" t="s">
        <v>232</v>
      </c>
      <c r="F336" s="6" t="s">
        <v>1599</v>
      </c>
      <c r="G336" s="6">
        <v>0</v>
      </c>
      <c r="H336" s="6">
        <v>0</v>
      </c>
      <c r="I336" s="6">
        <v>0</v>
      </c>
      <c r="J336" s="6">
        <v>0</v>
      </c>
      <c r="K336" s="6">
        <v>0</v>
      </c>
      <c r="L336" s="6">
        <v>0</v>
      </c>
      <c r="M336" s="6">
        <v>0</v>
      </c>
      <c r="N336" s="6">
        <v>0</v>
      </c>
      <c r="O336" s="6">
        <v>0</v>
      </c>
      <c r="P336" s="6">
        <v>0</v>
      </c>
      <c r="Q336" s="6">
        <v>0</v>
      </c>
      <c r="R336" s="6">
        <v>0</v>
      </c>
      <c r="S336" s="6">
        <v>0</v>
      </c>
      <c r="T336" s="6">
        <v>0</v>
      </c>
      <c r="U336" s="6">
        <v>0</v>
      </c>
      <c r="V336" s="6">
        <v>0</v>
      </c>
      <c r="W336" s="6">
        <v>0</v>
      </c>
      <c r="X336" s="6">
        <v>0</v>
      </c>
      <c r="Y336" s="6">
        <v>0</v>
      </c>
      <c r="Z336" s="6">
        <v>0</v>
      </c>
      <c r="AA336" s="6">
        <v>0</v>
      </c>
      <c r="AB336" s="6">
        <v>0</v>
      </c>
    </row>
    <row r="337" spans="1:28" x14ac:dyDescent="0.25">
      <c r="A337" s="5" t="s">
        <v>1634</v>
      </c>
      <c r="B337" s="5" t="s">
        <v>43</v>
      </c>
      <c r="C337" s="5">
        <v>23</v>
      </c>
      <c r="D337" s="5">
        <v>0</v>
      </c>
      <c r="E337" s="5" t="s">
        <v>148</v>
      </c>
      <c r="F337" s="5" t="s">
        <v>1599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0</v>
      </c>
      <c r="U337" s="5">
        <v>0</v>
      </c>
      <c r="V337" s="5">
        <v>0</v>
      </c>
      <c r="W337" s="5">
        <v>0</v>
      </c>
      <c r="X337" s="5">
        <v>0</v>
      </c>
      <c r="Y337" s="5">
        <v>0</v>
      </c>
      <c r="Z337" s="5">
        <v>0</v>
      </c>
      <c r="AA337" s="5">
        <v>0</v>
      </c>
      <c r="AB337" s="5">
        <v>0</v>
      </c>
    </row>
    <row r="338" spans="1:28" x14ac:dyDescent="0.25">
      <c r="A338" s="6" t="s">
        <v>1635</v>
      </c>
      <c r="B338" s="6" t="s">
        <v>43</v>
      </c>
      <c r="C338" s="6">
        <v>23</v>
      </c>
      <c r="D338" s="6">
        <v>0</v>
      </c>
      <c r="E338" s="6" t="s">
        <v>1636</v>
      </c>
      <c r="F338" s="6" t="s">
        <v>1599</v>
      </c>
      <c r="G338" s="6">
        <v>0</v>
      </c>
      <c r="H338" s="6">
        <v>0</v>
      </c>
      <c r="I338" s="6">
        <v>0</v>
      </c>
      <c r="J338" s="6">
        <v>0</v>
      </c>
      <c r="K338" s="6">
        <v>0</v>
      </c>
      <c r="L338" s="6">
        <v>0</v>
      </c>
      <c r="M338" s="6">
        <v>0</v>
      </c>
      <c r="N338" s="6">
        <v>0</v>
      </c>
      <c r="O338" s="6">
        <v>0</v>
      </c>
      <c r="P338" s="6">
        <v>0</v>
      </c>
      <c r="Q338" s="6">
        <v>0</v>
      </c>
      <c r="R338" s="6">
        <v>0</v>
      </c>
      <c r="S338" s="6">
        <v>0</v>
      </c>
      <c r="T338" s="6">
        <v>0</v>
      </c>
      <c r="U338" s="6">
        <v>0</v>
      </c>
      <c r="V338" s="6">
        <v>0</v>
      </c>
      <c r="W338" s="6">
        <v>0</v>
      </c>
      <c r="X338" s="6">
        <v>0</v>
      </c>
      <c r="Y338" s="6">
        <v>0</v>
      </c>
      <c r="Z338" s="6">
        <v>0</v>
      </c>
      <c r="AA338" s="6">
        <v>0</v>
      </c>
      <c r="AB338" s="6">
        <v>0</v>
      </c>
    </row>
    <row r="339" spans="1:28" x14ac:dyDescent="0.25">
      <c r="A339" s="5" t="s">
        <v>1637</v>
      </c>
      <c r="B339" s="5" t="s">
        <v>43</v>
      </c>
      <c r="C339" s="5">
        <v>28</v>
      </c>
      <c r="D339" s="5">
        <v>5</v>
      </c>
      <c r="E339" s="5" t="s">
        <v>681</v>
      </c>
      <c r="F339" s="5" t="s">
        <v>1599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0</v>
      </c>
      <c r="U339" s="5">
        <v>0</v>
      </c>
      <c r="V339" s="5">
        <v>0</v>
      </c>
      <c r="W339" s="5">
        <v>0</v>
      </c>
      <c r="X339" s="5">
        <v>0</v>
      </c>
      <c r="Y339" s="5">
        <v>0</v>
      </c>
      <c r="Z339" s="5">
        <v>0</v>
      </c>
      <c r="AA339" s="5">
        <v>0</v>
      </c>
      <c r="AB339" s="5">
        <v>0</v>
      </c>
    </row>
    <row r="340" spans="1:28" x14ac:dyDescent="0.25">
      <c r="A340" s="6" t="s">
        <v>1638</v>
      </c>
      <c r="B340" s="6" t="s">
        <v>43</v>
      </c>
      <c r="C340" s="6">
        <v>22</v>
      </c>
      <c r="D340" s="6">
        <v>0</v>
      </c>
      <c r="E340" s="6" t="s">
        <v>248</v>
      </c>
      <c r="F340" s="6" t="s">
        <v>1599</v>
      </c>
      <c r="G340" s="6">
        <v>0</v>
      </c>
      <c r="H340" s="6">
        <v>0</v>
      </c>
      <c r="I340" s="6">
        <v>0</v>
      </c>
      <c r="J340" s="6">
        <v>0</v>
      </c>
      <c r="K340" s="6">
        <v>0</v>
      </c>
      <c r="L340" s="6">
        <v>0</v>
      </c>
      <c r="M340" s="6">
        <v>0</v>
      </c>
      <c r="N340" s="6">
        <v>0</v>
      </c>
      <c r="O340" s="6">
        <v>0</v>
      </c>
      <c r="P340" s="6">
        <v>0</v>
      </c>
      <c r="Q340" s="6">
        <v>0</v>
      </c>
      <c r="R340" s="6">
        <v>0</v>
      </c>
      <c r="S340" s="6">
        <v>0</v>
      </c>
      <c r="T340" s="6">
        <v>0</v>
      </c>
      <c r="U340" s="6">
        <v>0</v>
      </c>
      <c r="V340" s="6">
        <v>0</v>
      </c>
      <c r="W340" s="6">
        <v>0</v>
      </c>
      <c r="X340" s="6">
        <v>0</v>
      </c>
      <c r="Y340" s="6">
        <v>0</v>
      </c>
      <c r="Z340" s="6">
        <v>0</v>
      </c>
      <c r="AA340" s="6">
        <v>0</v>
      </c>
      <c r="AB340" s="6">
        <v>0</v>
      </c>
    </row>
    <row r="341" spans="1:28" x14ac:dyDescent="0.25">
      <c r="A341" s="5" t="s">
        <v>1639</v>
      </c>
      <c r="B341" s="5" t="s">
        <v>43</v>
      </c>
      <c r="C341" s="5">
        <v>23</v>
      </c>
      <c r="D341" s="5">
        <v>2</v>
      </c>
      <c r="E341" s="5" t="s">
        <v>89</v>
      </c>
      <c r="F341" s="5" t="s">
        <v>1599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0</v>
      </c>
      <c r="U341" s="5">
        <v>0</v>
      </c>
      <c r="V341" s="5">
        <v>0</v>
      </c>
      <c r="W341" s="5">
        <v>0</v>
      </c>
      <c r="X341" s="5">
        <v>0</v>
      </c>
      <c r="Y341" s="5">
        <v>0</v>
      </c>
      <c r="Z341" s="5">
        <v>0</v>
      </c>
      <c r="AA341" s="5">
        <v>0</v>
      </c>
      <c r="AB341" s="5">
        <v>0</v>
      </c>
    </row>
    <row r="342" spans="1:28" x14ac:dyDescent="0.25">
      <c r="A342" s="5" t="s">
        <v>1678</v>
      </c>
      <c r="B342" s="5" t="s">
        <v>43</v>
      </c>
      <c r="C342" s="5">
        <v>23</v>
      </c>
      <c r="D342" s="5">
        <v>2</v>
      </c>
      <c r="E342" s="5" t="s">
        <v>175</v>
      </c>
      <c r="F342" s="5" t="s">
        <v>1648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0</v>
      </c>
      <c r="U342" s="5">
        <v>0</v>
      </c>
      <c r="V342" s="5">
        <v>0</v>
      </c>
      <c r="W342" s="5">
        <v>0</v>
      </c>
      <c r="X342" s="5">
        <v>0</v>
      </c>
      <c r="Y342" s="5">
        <v>0</v>
      </c>
      <c r="Z342" s="5">
        <v>0</v>
      </c>
      <c r="AA342" s="5">
        <v>0</v>
      </c>
      <c r="AB342" s="5">
        <v>0</v>
      </c>
    </row>
    <row r="343" spans="1:28" x14ac:dyDescent="0.25">
      <c r="A343" s="6" t="s">
        <v>1679</v>
      </c>
      <c r="B343" s="6" t="s">
        <v>43</v>
      </c>
      <c r="C343" s="6">
        <v>24</v>
      </c>
      <c r="D343" s="6">
        <v>0</v>
      </c>
      <c r="E343" s="6" t="s">
        <v>1045</v>
      </c>
      <c r="F343" s="6" t="s">
        <v>1648</v>
      </c>
      <c r="G343" s="6">
        <v>0</v>
      </c>
      <c r="H343" s="6">
        <v>0</v>
      </c>
      <c r="I343" s="6">
        <v>0</v>
      </c>
      <c r="J343" s="6">
        <v>0</v>
      </c>
      <c r="K343" s="6">
        <v>0</v>
      </c>
      <c r="L343" s="6">
        <v>0</v>
      </c>
      <c r="M343" s="6">
        <v>0</v>
      </c>
      <c r="N343" s="6">
        <v>0</v>
      </c>
      <c r="O343" s="6">
        <v>0</v>
      </c>
      <c r="P343" s="6">
        <v>0</v>
      </c>
      <c r="Q343" s="6">
        <v>0</v>
      </c>
      <c r="R343" s="6">
        <v>0</v>
      </c>
      <c r="S343" s="6">
        <v>0</v>
      </c>
      <c r="T343" s="6">
        <v>0</v>
      </c>
      <c r="U343" s="6">
        <v>0</v>
      </c>
      <c r="V343" s="6">
        <v>0</v>
      </c>
      <c r="W343" s="6">
        <v>0</v>
      </c>
      <c r="X343" s="6">
        <v>0</v>
      </c>
      <c r="Y343" s="6">
        <v>0</v>
      </c>
      <c r="Z343" s="6">
        <v>0</v>
      </c>
      <c r="AA343" s="6">
        <v>0</v>
      </c>
      <c r="AB343" s="6">
        <v>0</v>
      </c>
    </row>
    <row r="344" spans="1:28" x14ac:dyDescent="0.25">
      <c r="A344" s="5" t="s">
        <v>1680</v>
      </c>
      <c r="B344" s="5" t="s">
        <v>43</v>
      </c>
      <c r="C344" s="5">
        <v>23</v>
      </c>
      <c r="D344" s="5">
        <v>0</v>
      </c>
      <c r="E344" s="5" t="s">
        <v>111</v>
      </c>
      <c r="F344" s="5" t="s">
        <v>1648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0</v>
      </c>
      <c r="U344" s="5">
        <v>0</v>
      </c>
      <c r="V344" s="5">
        <v>0</v>
      </c>
      <c r="W344" s="5">
        <v>0</v>
      </c>
      <c r="X344" s="5">
        <v>0</v>
      </c>
      <c r="Y344" s="5">
        <v>0</v>
      </c>
      <c r="Z344" s="5">
        <v>0</v>
      </c>
      <c r="AA344" s="5">
        <v>0</v>
      </c>
      <c r="AB344" s="5">
        <v>0</v>
      </c>
    </row>
    <row r="345" spans="1:28" x14ac:dyDescent="0.25">
      <c r="A345" s="6" t="s">
        <v>1681</v>
      </c>
      <c r="B345" s="6" t="s">
        <v>43</v>
      </c>
      <c r="C345" s="6">
        <v>24</v>
      </c>
      <c r="D345" s="6">
        <v>0</v>
      </c>
      <c r="E345" s="6" t="s">
        <v>393</v>
      </c>
      <c r="F345" s="6" t="s">
        <v>1648</v>
      </c>
      <c r="G345" s="6">
        <v>0</v>
      </c>
      <c r="H345" s="6">
        <v>0</v>
      </c>
      <c r="I345" s="6">
        <v>0</v>
      </c>
      <c r="J345" s="6">
        <v>0</v>
      </c>
      <c r="K345" s="6">
        <v>0</v>
      </c>
      <c r="L345" s="6">
        <v>0</v>
      </c>
      <c r="M345" s="6">
        <v>0</v>
      </c>
      <c r="N345" s="6">
        <v>0</v>
      </c>
      <c r="O345" s="6">
        <v>0</v>
      </c>
      <c r="P345" s="6">
        <v>0</v>
      </c>
      <c r="Q345" s="6">
        <v>0</v>
      </c>
      <c r="R345" s="6">
        <v>0</v>
      </c>
      <c r="S345" s="6">
        <v>0</v>
      </c>
      <c r="T345" s="6">
        <v>0</v>
      </c>
      <c r="U345" s="6">
        <v>0</v>
      </c>
      <c r="V345" s="6">
        <v>0</v>
      </c>
      <c r="W345" s="6">
        <v>0</v>
      </c>
      <c r="X345" s="6">
        <v>0</v>
      </c>
      <c r="Y345" s="6">
        <v>0</v>
      </c>
      <c r="Z345" s="6">
        <v>0</v>
      </c>
      <c r="AA345" s="6">
        <v>0</v>
      </c>
      <c r="AB345" s="6">
        <v>0</v>
      </c>
    </row>
    <row r="346" spans="1:28" x14ac:dyDescent="0.25">
      <c r="A346" s="5" t="s">
        <v>1682</v>
      </c>
      <c r="B346" s="5" t="s">
        <v>43</v>
      </c>
      <c r="C346" s="5">
        <v>31</v>
      </c>
      <c r="D346" s="5">
        <v>10</v>
      </c>
      <c r="E346" s="5" t="s">
        <v>458</v>
      </c>
      <c r="F346" s="5" t="s">
        <v>1648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0</v>
      </c>
      <c r="U346" s="5">
        <v>0</v>
      </c>
      <c r="V346" s="5">
        <v>0</v>
      </c>
      <c r="W346" s="5">
        <v>0</v>
      </c>
      <c r="X346" s="5">
        <v>0</v>
      </c>
      <c r="Y346" s="5">
        <v>0</v>
      </c>
      <c r="Z346" s="5">
        <v>0</v>
      </c>
      <c r="AA346" s="5">
        <v>0</v>
      </c>
      <c r="AB346" s="5">
        <v>0</v>
      </c>
    </row>
    <row r="347" spans="1:28" x14ac:dyDescent="0.25">
      <c r="A347" s="6" t="s">
        <v>1683</v>
      </c>
      <c r="B347" s="6" t="s">
        <v>43</v>
      </c>
      <c r="C347" s="6">
        <v>23</v>
      </c>
      <c r="D347" s="6">
        <v>0</v>
      </c>
      <c r="E347" s="6" t="s">
        <v>173</v>
      </c>
      <c r="F347" s="6" t="s">
        <v>1648</v>
      </c>
      <c r="G347" s="6">
        <v>0</v>
      </c>
      <c r="H347" s="6">
        <v>0</v>
      </c>
      <c r="I347" s="6">
        <v>0</v>
      </c>
      <c r="J347" s="6">
        <v>0</v>
      </c>
      <c r="K347" s="6">
        <v>0</v>
      </c>
      <c r="L347" s="6">
        <v>0</v>
      </c>
      <c r="M347" s="6">
        <v>0</v>
      </c>
      <c r="N347" s="6">
        <v>0</v>
      </c>
      <c r="O347" s="6">
        <v>0</v>
      </c>
      <c r="P347" s="6">
        <v>0</v>
      </c>
      <c r="Q347" s="6">
        <v>0</v>
      </c>
      <c r="R347" s="6">
        <v>0</v>
      </c>
      <c r="S347" s="6">
        <v>0</v>
      </c>
      <c r="T347" s="6">
        <v>0</v>
      </c>
      <c r="U347" s="6">
        <v>0</v>
      </c>
      <c r="V347" s="6">
        <v>0</v>
      </c>
      <c r="W347" s="6">
        <v>0</v>
      </c>
      <c r="X347" s="6">
        <v>0</v>
      </c>
      <c r="Y347" s="6">
        <v>0</v>
      </c>
      <c r="Z347" s="6">
        <v>0</v>
      </c>
      <c r="AA347" s="6">
        <v>0</v>
      </c>
      <c r="AB347" s="6">
        <v>0</v>
      </c>
    </row>
    <row r="348" spans="1:28" x14ac:dyDescent="0.25">
      <c r="A348" s="5" t="s">
        <v>1684</v>
      </c>
      <c r="B348" s="5" t="s">
        <v>43</v>
      </c>
      <c r="C348" s="5">
        <v>24</v>
      </c>
      <c r="D348" s="5">
        <v>1</v>
      </c>
      <c r="E348" s="5" t="s">
        <v>1685</v>
      </c>
      <c r="F348" s="5" t="s">
        <v>1648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0</v>
      </c>
      <c r="U348" s="5">
        <v>0</v>
      </c>
      <c r="V348" s="5">
        <v>0</v>
      </c>
      <c r="W348" s="5">
        <v>0</v>
      </c>
      <c r="X348" s="5">
        <v>0</v>
      </c>
      <c r="Y348" s="5">
        <v>0</v>
      </c>
      <c r="Z348" s="5">
        <v>0</v>
      </c>
      <c r="AA348" s="5">
        <v>0</v>
      </c>
      <c r="AB348" s="5">
        <v>0</v>
      </c>
    </row>
    <row r="349" spans="1:28" x14ac:dyDescent="0.25">
      <c r="A349" s="6" t="s">
        <v>1686</v>
      </c>
      <c r="B349" s="6" t="s">
        <v>43</v>
      </c>
      <c r="C349" s="6">
        <v>24</v>
      </c>
      <c r="D349" s="6">
        <v>3</v>
      </c>
      <c r="E349" s="6" t="s">
        <v>227</v>
      </c>
      <c r="F349" s="6" t="s">
        <v>1648</v>
      </c>
      <c r="G349" s="6">
        <v>0</v>
      </c>
      <c r="H349" s="6">
        <v>0</v>
      </c>
      <c r="I349" s="6">
        <v>0</v>
      </c>
      <c r="J349" s="6">
        <v>0</v>
      </c>
      <c r="K349" s="6">
        <v>0</v>
      </c>
      <c r="L349" s="6">
        <v>0</v>
      </c>
      <c r="M349" s="6">
        <v>0</v>
      </c>
      <c r="N349" s="6">
        <v>0</v>
      </c>
      <c r="O349" s="6">
        <v>0</v>
      </c>
      <c r="P349" s="6">
        <v>0</v>
      </c>
      <c r="Q349" s="6">
        <v>0</v>
      </c>
      <c r="R349" s="6">
        <v>0</v>
      </c>
      <c r="S349" s="6">
        <v>0</v>
      </c>
      <c r="T349" s="6">
        <v>0</v>
      </c>
      <c r="U349" s="6">
        <v>0</v>
      </c>
      <c r="V349" s="6">
        <v>0</v>
      </c>
      <c r="W349" s="6">
        <v>0</v>
      </c>
      <c r="X349" s="6">
        <v>0</v>
      </c>
      <c r="Y349" s="6">
        <v>0</v>
      </c>
      <c r="Z349" s="6">
        <v>0</v>
      </c>
      <c r="AA349" s="6">
        <v>0</v>
      </c>
      <c r="AB349" s="6">
        <v>0</v>
      </c>
    </row>
    <row r="350" spans="1:28" x14ac:dyDescent="0.25">
      <c r="A350" s="5" t="s">
        <v>1687</v>
      </c>
      <c r="B350" s="5" t="s">
        <v>43</v>
      </c>
      <c r="C350" s="5">
        <v>30</v>
      </c>
      <c r="D350" s="5">
        <v>8</v>
      </c>
      <c r="E350" s="5" t="s">
        <v>136</v>
      </c>
      <c r="F350" s="5" t="s">
        <v>1648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0</v>
      </c>
      <c r="U350" s="5">
        <v>0</v>
      </c>
      <c r="V350" s="5">
        <v>0</v>
      </c>
      <c r="W350" s="5">
        <v>0</v>
      </c>
      <c r="X350" s="5">
        <v>0</v>
      </c>
      <c r="Y350" s="5">
        <v>0</v>
      </c>
      <c r="Z350" s="5">
        <v>0</v>
      </c>
      <c r="AA350" s="5">
        <v>0</v>
      </c>
      <c r="AB350" s="5">
        <v>0</v>
      </c>
    </row>
    <row r="351" spans="1:28" x14ac:dyDescent="0.25">
      <c r="A351" s="6" t="s">
        <v>1688</v>
      </c>
      <c r="B351" s="6" t="s">
        <v>43</v>
      </c>
      <c r="C351" s="6">
        <v>24</v>
      </c>
      <c r="D351" s="6">
        <v>2</v>
      </c>
      <c r="E351" s="6" t="s">
        <v>418</v>
      </c>
      <c r="F351" s="6" t="s">
        <v>1648</v>
      </c>
      <c r="G351" s="6">
        <v>0</v>
      </c>
      <c r="H351" s="6">
        <v>0</v>
      </c>
      <c r="I351" s="6">
        <v>0</v>
      </c>
      <c r="J351" s="6">
        <v>0</v>
      </c>
      <c r="K351" s="6">
        <v>0</v>
      </c>
      <c r="L351" s="6">
        <v>0</v>
      </c>
      <c r="M351" s="6">
        <v>0</v>
      </c>
      <c r="N351" s="6">
        <v>0</v>
      </c>
      <c r="O351" s="6">
        <v>0</v>
      </c>
      <c r="P351" s="6">
        <v>0</v>
      </c>
      <c r="Q351" s="6">
        <v>0</v>
      </c>
      <c r="R351" s="6">
        <v>0</v>
      </c>
      <c r="S351" s="6">
        <v>0</v>
      </c>
      <c r="T351" s="6">
        <v>0</v>
      </c>
      <c r="U351" s="6">
        <v>0</v>
      </c>
      <c r="V351" s="6">
        <v>0</v>
      </c>
      <c r="W351" s="6">
        <v>0</v>
      </c>
      <c r="X351" s="6">
        <v>0</v>
      </c>
      <c r="Y351" s="6">
        <v>0</v>
      </c>
      <c r="Z351" s="6">
        <v>0</v>
      </c>
      <c r="AA351" s="6">
        <v>0</v>
      </c>
      <c r="AB351" s="6">
        <v>0</v>
      </c>
    </row>
    <row r="352" spans="1:28" x14ac:dyDescent="0.25">
      <c r="A352" s="5" t="s">
        <v>1689</v>
      </c>
      <c r="B352" s="5" t="s">
        <v>43</v>
      </c>
      <c r="C352" s="5">
        <v>24</v>
      </c>
      <c r="D352" s="5">
        <v>1</v>
      </c>
      <c r="E352" s="5" t="s">
        <v>237</v>
      </c>
      <c r="F352" s="5" t="s">
        <v>1648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0</v>
      </c>
      <c r="U352" s="5">
        <v>0</v>
      </c>
      <c r="V352" s="5">
        <v>0</v>
      </c>
      <c r="W352" s="5">
        <v>0</v>
      </c>
      <c r="X352" s="5">
        <v>0</v>
      </c>
      <c r="Y352" s="5">
        <v>0</v>
      </c>
      <c r="Z352" s="5">
        <v>0</v>
      </c>
      <c r="AA352" s="5">
        <v>0</v>
      </c>
      <c r="AB352" s="5">
        <v>0</v>
      </c>
    </row>
    <row r="353" spans="1:28" x14ac:dyDescent="0.25">
      <c r="A353" s="5" t="s">
        <v>1728</v>
      </c>
      <c r="B353" s="5" t="s">
        <v>43</v>
      </c>
      <c r="C353" s="5">
        <v>23</v>
      </c>
      <c r="D353" s="5">
        <v>0</v>
      </c>
      <c r="E353" s="5" t="s">
        <v>418</v>
      </c>
      <c r="F353" s="5" t="s">
        <v>1699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0</v>
      </c>
      <c r="U353" s="5">
        <v>0</v>
      </c>
      <c r="V353" s="5">
        <v>0</v>
      </c>
      <c r="W353" s="5">
        <v>0</v>
      </c>
      <c r="X353" s="5">
        <v>0</v>
      </c>
      <c r="Y353" s="5">
        <v>0</v>
      </c>
      <c r="Z353" s="5">
        <v>0</v>
      </c>
      <c r="AA353" s="5">
        <v>0</v>
      </c>
      <c r="AB353" s="5">
        <v>0</v>
      </c>
    </row>
    <row r="354" spans="1:28" x14ac:dyDescent="0.25">
      <c r="A354" s="6" t="s">
        <v>1729</v>
      </c>
      <c r="B354" s="6" t="s">
        <v>43</v>
      </c>
      <c r="C354" s="6">
        <v>24</v>
      </c>
      <c r="D354" s="6">
        <v>0</v>
      </c>
      <c r="E354" s="6" t="s">
        <v>803</v>
      </c>
      <c r="F354" s="6" t="s">
        <v>1699</v>
      </c>
      <c r="G354" s="6">
        <v>0</v>
      </c>
      <c r="H354" s="6">
        <v>0</v>
      </c>
      <c r="I354" s="6">
        <v>0</v>
      </c>
      <c r="J354" s="6">
        <v>0</v>
      </c>
      <c r="K354" s="6">
        <v>0</v>
      </c>
      <c r="L354" s="6">
        <v>0</v>
      </c>
      <c r="M354" s="6">
        <v>0</v>
      </c>
      <c r="N354" s="6">
        <v>0</v>
      </c>
      <c r="O354" s="6">
        <v>0</v>
      </c>
      <c r="P354" s="6">
        <v>0</v>
      </c>
      <c r="Q354" s="6">
        <v>0</v>
      </c>
      <c r="R354" s="6">
        <v>0</v>
      </c>
      <c r="S354" s="6">
        <v>0</v>
      </c>
      <c r="T354" s="6">
        <v>0</v>
      </c>
      <c r="U354" s="6">
        <v>0</v>
      </c>
      <c r="V354" s="6">
        <v>0</v>
      </c>
      <c r="W354" s="6">
        <v>0</v>
      </c>
      <c r="X354" s="6">
        <v>0</v>
      </c>
      <c r="Y354" s="6">
        <v>0</v>
      </c>
      <c r="Z354" s="6">
        <v>0</v>
      </c>
      <c r="AA354" s="6">
        <v>0</v>
      </c>
      <c r="AB354" s="6">
        <v>0</v>
      </c>
    </row>
    <row r="355" spans="1:28" x14ac:dyDescent="0.25">
      <c r="A355" s="5" t="s">
        <v>1730</v>
      </c>
      <c r="B355" s="5" t="s">
        <v>43</v>
      </c>
      <c r="C355" s="5">
        <v>23</v>
      </c>
      <c r="D355" s="5">
        <v>3</v>
      </c>
      <c r="E355" s="5" t="s">
        <v>163</v>
      </c>
      <c r="F355" s="5" t="s">
        <v>1699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0</v>
      </c>
      <c r="U355" s="5">
        <v>0</v>
      </c>
      <c r="V355" s="5">
        <v>0</v>
      </c>
      <c r="W355" s="5">
        <v>0</v>
      </c>
      <c r="X355" s="5">
        <v>0</v>
      </c>
      <c r="Y355" s="5">
        <v>0</v>
      </c>
      <c r="Z355" s="5">
        <v>0</v>
      </c>
      <c r="AA355" s="5">
        <v>0</v>
      </c>
      <c r="AB355" s="5">
        <v>0</v>
      </c>
    </row>
    <row r="356" spans="1:28" x14ac:dyDescent="0.25">
      <c r="A356" s="6" t="s">
        <v>1731</v>
      </c>
      <c r="B356" s="6" t="s">
        <v>43</v>
      </c>
      <c r="C356" s="6">
        <v>23</v>
      </c>
      <c r="D356" s="6">
        <v>2</v>
      </c>
      <c r="E356" s="6" t="s">
        <v>339</v>
      </c>
      <c r="F356" s="6" t="s">
        <v>1699</v>
      </c>
      <c r="G356" s="6">
        <v>0</v>
      </c>
      <c r="H356" s="6">
        <v>0</v>
      </c>
      <c r="I356" s="6">
        <v>0</v>
      </c>
      <c r="J356" s="6">
        <v>0</v>
      </c>
      <c r="K356" s="6">
        <v>0</v>
      </c>
      <c r="L356" s="6">
        <v>0</v>
      </c>
      <c r="M356" s="6">
        <v>0</v>
      </c>
      <c r="N356" s="6">
        <v>0</v>
      </c>
      <c r="O356" s="6">
        <v>0</v>
      </c>
      <c r="P356" s="6">
        <v>0</v>
      </c>
      <c r="Q356" s="6">
        <v>0</v>
      </c>
      <c r="R356" s="6">
        <v>0</v>
      </c>
      <c r="S356" s="6">
        <v>0</v>
      </c>
      <c r="T356" s="6">
        <v>0</v>
      </c>
      <c r="U356" s="6">
        <v>0</v>
      </c>
      <c r="V356" s="6">
        <v>0</v>
      </c>
      <c r="W356" s="6">
        <v>0</v>
      </c>
      <c r="X356" s="6">
        <v>0</v>
      </c>
      <c r="Y356" s="6">
        <v>0</v>
      </c>
      <c r="Z356" s="6">
        <v>0</v>
      </c>
      <c r="AA356" s="6">
        <v>0</v>
      </c>
      <c r="AB356" s="6">
        <v>0</v>
      </c>
    </row>
    <row r="357" spans="1:28" x14ac:dyDescent="0.25">
      <c r="A357" s="5" t="s">
        <v>1732</v>
      </c>
      <c r="B357" s="5" t="s">
        <v>43</v>
      </c>
      <c r="C357" s="5">
        <v>28</v>
      </c>
      <c r="D357" s="5">
        <v>5</v>
      </c>
      <c r="E357" s="5" t="s">
        <v>803</v>
      </c>
      <c r="F357" s="5" t="s">
        <v>1699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0</v>
      </c>
      <c r="U357" s="5">
        <v>0</v>
      </c>
      <c r="V357" s="5">
        <v>0</v>
      </c>
      <c r="W357" s="5">
        <v>0</v>
      </c>
      <c r="X357" s="5">
        <v>0</v>
      </c>
      <c r="Y357" s="5">
        <v>0</v>
      </c>
      <c r="Z357" s="5">
        <v>0</v>
      </c>
      <c r="AA357" s="5">
        <v>0</v>
      </c>
      <c r="AB357" s="5">
        <v>0</v>
      </c>
    </row>
    <row r="358" spans="1:28" x14ac:dyDescent="0.25">
      <c r="A358" s="6" t="s">
        <v>1733</v>
      </c>
      <c r="B358" s="6" t="s">
        <v>43</v>
      </c>
      <c r="C358" s="6">
        <v>23</v>
      </c>
      <c r="D358" s="6">
        <v>1</v>
      </c>
      <c r="E358" s="6" t="s">
        <v>455</v>
      </c>
      <c r="F358" s="6" t="s">
        <v>1699</v>
      </c>
      <c r="G358" s="6">
        <v>0</v>
      </c>
      <c r="H358" s="6">
        <v>0</v>
      </c>
      <c r="I358" s="6">
        <v>0</v>
      </c>
      <c r="J358" s="6">
        <v>0</v>
      </c>
      <c r="K358" s="6">
        <v>0</v>
      </c>
      <c r="L358" s="6">
        <v>0</v>
      </c>
      <c r="M358" s="6">
        <v>0</v>
      </c>
      <c r="N358" s="6">
        <v>0</v>
      </c>
      <c r="O358" s="6">
        <v>0</v>
      </c>
      <c r="P358" s="6">
        <v>0</v>
      </c>
      <c r="Q358" s="6">
        <v>0</v>
      </c>
      <c r="R358" s="6">
        <v>0</v>
      </c>
      <c r="S358" s="6">
        <v>0</v>
      </c>
      <c r="T358" s="6">
        <v>0</v>
      </c>
      <c r="U358" s="6">
        <v>0</v>
      </c>
      <c r="V358" s="6">
        <v>0</v>
      </c>
      <c r="W358" s="6">
        <v>0</v>
      </c>
      <c r="X358" s="6">
        <v>0</v>
      </c>
      <c r="Y358" s="6">
        <v>0</v>
      </c>
      <c r="Z358" s="6">
        <v>0</v>
      </c>
      <c r="AA358" s="6">
        <v>0</v>
      </c>
      <c r="AB358" s="6">
        <v>0</v>
      </c>
    </row>
    <row r="359" spans="1:28" x14ac:dyDescent="0.25">
      <c r="A359" s="5" t="s">
        <v>1734</v>
      </c>
      <c r="B359" s="5" t="s">
        <v>43</v>
      </c>
      <c r="C359" s="5">
        <v>27</v>
      </c>
      <c r="D359" s="5">
        <v>5</v>
      </c>
      <c r="E359" s="5" t="s">
        <v>213</v>
      </c>
      <c r="F359" s="5" t="s">
        <v>1699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0</v>
      </c>
      <c r="U359" s="5">
        <v>0</v>
      </c>
      <c r="V359" s="5">
        <v>0</v>
      </c>
      <c r="W359" s="5">
        <v>0</v>
      </c>
      <c r="X359" s="5">
        <v>0</v>
      </c>
      <c r="Y359" s="5">
        <v>0</v>
      </c>
      <c r="Z359" s="5">
        <v>0</v>
      </c>
      <c r="AA359" s="5">
        <v>0</v>
      </c>
      <c r="AB359" s="5">
        <v>0</v>
      </c>
    </row>
    <row r="360" spans="1:28" x14ac:dyDescent="0.25">
      <c r="A360" s="6" t="s">
        <v>1735</v>
      </c>
      <c r="B360" s="6" t="s">
        <v>43</v>
      </c>
      <c r="C360" s="6">
        <v>24</v>
      </c>
      <c r="D360" s="6">
        <v>3</v>
      </c>
      <c r="E360" s="6" t="s">
        <v>82</v>
      </c>
      <c r="F360" s="6" t="s">
        <v>1699</v>
      </c>
      <c r="G360" s="6">
        <v>0</v>
      </c>
      <c r="H360" s="6">
        <v>0</v>
      </c>
      <c r="I360" s="6">
        <v>0</v>
      </c>
      <c r="J360" s="6">
        <v>0</v>
      </c>
      <c r="K360" s="6">
        <v>0</v>
      </c>
      <c r="L360" s="6">
        <v>0</v>
      </c>
      <c r="M360" s="6">
        <v>0</v>
      </c>
      <c r="N360" s="6">
        <v>0</v>
      </c>
      <c r="O360" s="6">
        <v>0</v>
      </c>
      <c r="P360" s="6">
        <v>0</v>
      </c>
      <c r="Q360" s="6">
        <v>0</v>
      </c>
      <c r="R360" s="6">
        <v>0</v>
      </c>
      <c r="S360" s="6">
        <v>0</v>
      </c>
      <c r="T360" s="6">
        <v>0</v>
      </c>
      <c r="U360" s="6">
        <v>0</v>
      </c>
      <c r="V360" s="6">
        <v>0</v>
      </c>
      <c r="W360" s="6">
        <v>0</v>
      </c>
      <c r="X360" s="6">
        <v>0</v>
      </c>
      <c r="Y360" s="6">
        <v>0</v>
      </c>
      <c r="Z360" s="6">
        <v>0</v>
      </c>
      <c r="AA360" s="6">
        <v>0</v>
      </c>
      <c r="AB360" s="6">
        <v>0</v>
      </c>
    </row>
    <row r="361" spans="1:28" x14ac:dyDescent="0.25">
      <c r="A361" s="5" t="s">
        <v>1736</v>
      </c>
      <c r="B361" s="5" t="s">
        <v>43</v>
      </c>
      <c r="C361" s="5">
        <v>29</v>
      </c>
      <c r="D361" s="5">
        <v>6</v>
      </c>
      <c r="E361" s="5" t="s">
        <v>559</v>
      </c>
      <c r="F361" s="5" t="s">
        <v>1699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0</v>
      </c>
      <c r="U361" s="5">
        <v>0</v>
      </c>
      <c r="V361" s="5">
        <v>0</v>
      </c>
      <c r="W361" s="5">
        <v>0</v>
      </c>
      <c r="X361" s="5">
        <v>0</v>
      </c>
      <c r="Y361" s="5">
        <v>0</v>
      </c>
      <c r="Z361" s="5">
        <v>0</v>
      </c>
      <c r="AA361" s="5">
        <v>0</v>
      </c>
      <c r="AB361" s="5">
        <v>0</v>
      </c>
    </row>
    <row r="362" spans="1:28" x14ac:dyDescent="0.25">
      <c r="A362" s="6" t="s">
        <v>1737</v>
      </c>
      <c r="B362" s="6" t="s">
        <v>43</v>
      </c>
      <c r="C362" s="6">
        <v>24</v>
      </c>
      <c r="D362" s="6">
        <v>0</v>
      </c>
      <c r="E362" s="6" t="s">
        <v>702</v>
      </c>
      <c r="F362" s="6" t="s">
        <v>1699</v>
      </c>
      <c r="G362" s="6">
        <v>0</v>
      </c>
      <c r="H362" s="6">
        <v>0</v>
      </c>
      <c r="I362" s="6">
        <v>0</v>
      </c>
      <c r="J362" s="6">
        <v>0</v>
      </c>
      <c r="K362" s="6">
        <v>0</v>
      </c>
      <c r="L362" s="6">
        <v>0</v>
      </c>
      <c r="M362" s="6">
        <v>0</v>
      </c>
      <c r="N362" s="6">
        <v>0</v>
      </c>
      <c r="O362" s="6">
        <v>0</v>
      </c>
      <c r="P362" s="6">
        <v>0</v>
      </c>
      <c r="Q362" s="6">
        <v>0</v>
      </c>
      <c r="R362" s="6">
        <v>0</v>
      </c>
      <c r="S362" s="6">
        <v>0</v>
      </c>
      <c r="T362" s="6">
        <v>0</v>
      </c>
      <c r="U362" s="6">
        <v>0</v>
      </c>
      <c r="V362" s="6">
        <v>0</v>
      </c>
      <c r="W362" s="6">
        <v>0</v>
      </c>
      <c r="X362" s="6">
        <v>0</v>
      </c>
      <c r="Y362" s="6">
        <v>0</v>
      </c>
      <c r="Z362" s="6">
        <v>0</v>
      </c>
      <c r="AA362" s="6">
        <v>0</v>
      </c>
      <c r="AB362" s="6">
        <v>0</v>
      </c>
    </row>
    <row r="363" spans="1:28" x14ac:dyDescent="0.25">
      <c r="A363" s="5" t="s">
        <v>1738</v>
      </c>
      <c r="B363" s="5" t="s">
        <v>43</v>
      </c>
      <c r="C363" s="5">
        <v>27</v>
      </c>
      <c r="D363" s="5">
        <v>7</v>
      </c>
      <c r="E363" s="5" t="s">
        <v>213</v>
      </c>
      <c r="F363" s="5" t="s">
        <v>1699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0</v>
      </c>
      <c r="V363" s="5">
        <v>0</v>
      </c>
      <c r="W363" s="5">
        <v>0</v>
      </c>
      <c r="X363" s="5">
        <v>0</v>
      </c>
      <c r="Y363" s="5">
        <v>0</v>
      </c>
      <c r="Z363" s="5">
        <v>0</v>
      </c>
      <c r="AA363" s="5">
        <v>0</v>
      </c>
      <c r="AB363" s="5">
        <v>0</v>
      </c>
    </row>
    <row r="364" spans="1:28" x14ac:dyDescent="0.25">
      <c r="A364" s="6" t="s">
        <v>1739</v>
      </c>
      <c r="B364" s="6" t="s">
        <v>43</v>
      </c>
      <c r="C364" s="6">
        <v>23</v>
      </c>
      <c r="D364" s="6">
        <v>0</v>
      </c>
      <c r="E364" s="6" t="s">
        <v>339</v>
      </c>
      <c r="F364" s="6" t="s">
        <v>1699</v>
      </c>
      <c r="G364" s="6">
        <v>0</v>
      </c>
      <c r="H364" s="6">
        <v>0</v>
      </c>
      <c r="I364" s="6">
        <v>0</v>
      </c>
      <c r="J364" s="6">
        <v>0</v>
      </c>
      <c r="K364" s="6">
        <v>0</v>
      </c>
      <c r="L364" s="6">
        <v>0</v>
      </c>
      <c r="M364" s="6">
        <v>0</v>
      </c>
      <c r="N364" s="6">
        <v>0</v>
      </c>
      <c r="O364" s="6">
        <v>0</v>
      </c>
      <c r="P364" s="6">
        <v>0</v>
      </c>
      <c r="Q364" s="6">
        <v>0</v>
      </c>
      <c r="R364" s="6">
        <v>0</v>
      </c>
      <c r="S364" s="6">
        <v>0</v>
      </c>
      <c r="T364" s="6">
        <v>0</v>
      </c>
      <c r="U364" s="6">
        <v>0</v>
      </c>
      <c r="V364" s="6">
        <v>0</v>
      </c>
      <c r="W364" s="6">
        <v>0</v>
      </c>
      <c r="X364" s="6">
        <v>0</v>
      </c>
      <c r="Y364" s="6">
        <v>0</v>
      </c>
      <c r="Z364" s="6">
        <v>0</v>
      </c>
      <c r="AA364" s="6">
        <v>0</v>
      </c>
      <c r="AB364" s="6">
        <v>0</v>
      </c>
    </row>
    <row r="365" spans="1:28" x14ac:dyDescent="0.25">
      <c r="A365" s="8" t="s">
        <v>1740</v>
      </c>
      <c r="B365" s="8" t="s">
        <v>43</v>
      </c>
      <c r="C365" s="8">
        <v>23</v>
      </c>
      <c r="D365" s="8">
        <v>0</v>
      </c>
      <c r="E365" s="8" t="s">
        <v>102</v>
      </c>
      <c r="F365" s="8" t="s">
        <v>1699</v>
      </c>
      <c r="G365" s="8">
        <v>0</v>
      </c>
      <c r="H365" s="8">
        <v>0</v>
      </c>
      <c r="I365" s="8">
        <v>0</v>
      </c>
      <c r="J365" s="8">
        <v>0</v>
      </c>
      <c r="K365" s="8">
        <v>0</v>
      </c>
      <c r="L365" s="8">
        <v>0</v>
      </c>
      <c r="M365" s="8">
        <v>0</v>
      </c>
      <c r="N365" s="8">
        <v>0</v>
      </c>
      <c r="O365" s="8">
        <v>0</v>
      </c>
      <c r="P365" s="8">
        <v>0</v>
      </c>
      <c r="Q365" s="8">
        <v>0</v>
      </c>
      <c r="R365" s="8">
        <v>0</v>
      </c>
      <c r="S365" s="8">
        <v>0</v>
      </c>
      <c r="T365" s="8">
        <v>0</v>
      </c>
      <c r="U365" s="8">
        <v>0</v>
      </c>
      <c r="V365" s="8">
        <v>0</v>
      </c>
      <c r="W365" s="8">
        <v>0</v>
      </c>
      <c r="X365" s="8">
        <v>0</v>
      </c>
      <c r="Y365" s="8">
        <v>0</v>
      </c>
      <c r="Z365" s="8">
        <v>0</v>
      </c>
      <c r="AA365" s="8">
        <v>0</v>
      </c>
      <c r="AB365" s="8">
        <v>0</v>
      </c>
    </row>
  </sheetData>
  <pageMargins left="0.7" right="0.7" top="0.75" bottom="0.75" header="0.3" footer="0.3"/>
  <tableParts count="1">
    <tablePart r:id="rId1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BC631-EEDD-4F36-9555-75A1DA96DA77}">
  <sheetPr codeName="Sheet37"/>
  <dimension ref="A1:AB167"/>
  <sheetViews>
    <sheetView tabSelected="1" workbookViewId="0"/>
  </sheetViews>
  <sheetFormatPr defaultRowHeight="15" x14ac:dyDescent="0.25"/>
  <cols>
    <col min="1" max="1" width="20.7109375" bestFit="1" customWidth="1"/>
    <col min="2" max="2" width="6.7109375" customWidth="1"/>
    <col min="3" max="3" width="6.5703125" customWidth="1"/>
    <col min="4" max="4" width="6.28515625" customWidth="1"/>
    <col min="5" max="5" width="19.42578125" bestFit="1" customWidth="1"/>
    <col min="6" max="6" width="7.7109375" customWidth="1"/>
    <col min="7" max="7" width="4.140625" customWidth="1"/>
    <col min="8" max="8" width="7.7109375" customWidth="1"/>
    <col min="9" max="9" width="6.85546875" customWidth="1"/>
    <col min="10" max="10" width="7.42578125" customWidth="1"/>
    <col min="11" max="11" width="7.140625" customWidth="1"/>
    <col min="12" max="12" width="5.5703125" customWidth="1"/>
    <col min="13" max="13" width="5.7109375" customWidth="1"/>
    <col min="14" max="14" width="7" customWidth="1"/>
    <col min="15" max="15" width="6.7109375" customWidth="1"/>
    <col min="16" max="16" width="5.5703125" customWidth="1"/>
    <col min="17" max="17" width="5.85546875" customWidth="1"/>
    <col min="18" max="18" width="9" customWidth="1"/>
    <col min="19" max="19" width="8.7109375" customWidth="1"/>
    <col min="20" max="20" width="6.7109375" customWidth="1"/>
    <col min="21" max="21" width="6.85546875" customWidth="1"/>
    <col min="22" max="22" width="7.85546875" customWidth="1"/>
    <col min="23" max="23" width="11.42578125" customWidth="1"/>
    <col min="24" max="25" width="7.7109375" bestFit="1" customWidth="1"/>
    <col min="26" max="26" width="10.5703125" customWidth="1"/>
    <col min="27" max="27" width="9.5703125" customWidth="1"/>
    <col min="28" max="28" width="11.28515625" customWidth="1"/>
  </cols>
  <sheetData>
    <row r="1" spans="1:28" x14ac:dyDescent="0.25">
      <c r="A1" s="7" t="s">
        <v>55</v>
      </c>
      <c r="B1" s="7" t="s">
        <v>56</v>
      </c>
      <c r="C1" s="7" t="s">
        <v>57</v>
      </c>
      <c r="D1" s="7" t="s">
        <v>58</v>
      </c>
      <c r="E1" s="7" t="s">
        <v>59</v>
      </c>
      <c r="F1" s="7" t="s">
        <v>52</v>
      </c>
      <c r="G1" s="7" t="s">
        <v>3</v>
      </c>
      <c r="H1" s="7" t="s">
        <v>4</v>
      </c>
      <c r="I1" s="7" t="s">
        <v>5</v>
      </c>
      <c r="J1" s="7" t="s">
        <v>6</v>
      </c>
      <c r="K1" s="7" t="s">
        <v>7</v>
      </c>
      <c r="L1" s="7" t="s">
        <v>8</v>
      </c>
      <c r="M1" s="7" t="s">
        <v>9</v>
      </c>
      <c r="N1" s="7" t="s">
        <v>10</v>
      </c>
      <c r="O1" s="7" t="s">
        <v>11</v>
      </c>
      <c r="P1" s="7" t="s">
        <v>12</v>
      </c>
      <c r="Q1" s="7" t="s">
        <v>13</v>
      </c>
      <c r="R1" s="7" t="s">
        <v>14</v>
      </c>
      <c r="S1" s="7" t="s">
        <v>15</v>
      </c>
      <c r="T1" s="7" t="s">
        <v>16</v>
      </c>
      <c r="U1" s="7" t="s">
        <v>17</v>
      </c>
      <c r="V1" s="7" t="s">
        <v>18</v>
      </c>
      <c r="W1" s="7" t="s">
        <v>19</v>
      </c>
      <c r="X1" s="7" t="s">
        <v>20</v>
      </c>
      <c r="Y1" s="7" t="s">
        <v>21</v>
      </c>
      <c r="Z1" s="7" t="s">
        <v>22</v>
      </c>
      <c r="AA1" s="7" t="s">
        <v>23</v>
      </c>
      <c r="AB1" s="7" t="s">
        <v>60</v>
      </c>
    </row>
    <row r="2" spans="1:28" x14ac:dyDescent="0.25">
      <c r="A2" s="5" t="s">
        <v>103</v>
      </c>
      <c r="B2" s="5" t="s">
        <v>38</v>
      </c>
      <c r="C2" s="5">
        <v>32</v>
      </c>
      <c r="D2" s="5">
        <v>11</v>
      </c>
      <c r="E2" s="5" t="s">
        <v>102</v>
      </c>
      <c r="F2" s="5" t="s">
        <v>25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f>($J2*0.04)+($K2*4)+($L2*-2)+($N2*0.1)+($O2*6)+($Q2)+($R2*0.1)+($S2*6)+($T2*-2)</f>
        <v>0</v>
      </c>
      <c r="W2" s="5" t="e">
        <f t="shared" ref="W2:W7" si="0">$P2/$H$33</f>
        <v>#DIV/0!</v>
      </c>
      <c r="X2" s="5" t="e">
        <f t="shared" ref="X2:X7" si="1">$N2/$M2</f>
        <v>#DIV/0!</v>
      </c>
      <c r="Y2" s="5" t="e">
        <f t="shared" ref="Y2:Z7" si="2">$R2/$Q2</f>
        <v>#DIV/0!</v>
      </c>
      <c r="Z2" s="5" t="e">
        <f t="shared" si="2"/>
        <v>#DIV/0!</v>
      </c>
      <c r="AA2" s="5" t="e">
        <f t="shared" ref="AA2:AA7" si="3">$J2/$H2</f>
        <v>#DIV/0!</v>
      </c>
      <c r="AB2" s="5">
        <f t="shared" ref="AB2:AB7" si="4">($J2*Cp_yd)+($K2*Cp_td)+($L2*Cint)+($M2*Ccar)+($N2*Cr_td)+($O2*Cr_yd)+(Q2*Crec)+($R2*Crec_yd)+($S2*Crec_td)+($T2*Cfmb)+($U2*Ctp_c)</f>
        <v>0</v>
      </c>
    </row>
    <row r="3" spans="1:28" x14ac:dyDescent="0.25">
      <c r="A3" s="6" t="s">
        <v>104</v>
      </c>
      <c r="B3" s="6" t="s">
        <v>38</v>
      </c>
      <c r="C3" s="6">
        <v>25</v>
      </c>
      <c r="D3" s="6">
        <v>0</v>
      </c>
      <c r="E3" s="6" t="s">
        <v>105</v>
      </c>
      <c r="F3" s="6" t="s">
        <v>25</v>
      </c>
      <c r="G3" s="6">
        <v>0</v>
      </c>
      <c r="H3" s="6">
        <v>0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  <c r="R3" s="6">
        <v>0</v>
      </c>
      <c r="S3" s="6">
        <v>0</v>
      </c>
      <c r="T3" s="6">
        <v>0</v>
      </c>
      <c r="U3" s="6">
        <v>0</v>
      </c>
      <c r="V3" s="6">
        <f t="shared" ref="V3:V7" si="5">($J3*0.04)+($K3*4)+($L3*-2)+($N3*0.1)+($O3*6)+($Q3)+($R3*0.1)+($S3*6)+($T3*-2)</f>
        <v>0</v>
      </c>
      <c r="W3" s="6" t="e">
        <f t="shared" si="0"/>
        <v>#DIV/0!</v>
      </c>
      <c r="X3" s="6" t="e">
        <f t="shared" si="1"/>
        <v>#DIV/0!</v>
      </c>
      <c r="Y3" s="6" t="e">
        <f t="shared" si="2"/>
        <v>#DIV/0!</v>
      </c>
      <c r="Z3" s="6" t="e">
        <f t="shared" si="2"/>
        <v>#DIV/0!</v>
      </c>
      <c r="AA3" s="6" t="e">
        <f t="shared" si="3"/>
        <v>#DIV/0!</v>
      </c>
      <c r="AB3" s="6">
        <f t="shared" si="4"/>
        <v>0</v>
      </c>
    </row>
    <row r="4" spans="1:28" x14ac:dyDescent="0.25">
      <c r="A4" s="5" t="s">
        <v>106</v>
      </c>
      <c r="B4" s="5" t="s">
        <v>38</v>
      </c>
      <c r="C4" s="5">
        <v>23</v>
      </c>
      <c r="D4" s="5">
        <v>2</v>
      </c>
      <c r="E4" s="5" t="s">
        <v>107</v>
      </c>
      <c r="F4" s="5" t="s">
        <v>25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f t="shared" si="5"/>
        <v>0</v>
      </c>
      <c r="W4" s="5" t="e">
        <f t="shared" si="0"/>
        <v>#DIV/0!</v>
      </c>
      <c r="X4" s="5" t="e">
        <f t="shared" si="1"/>
        <v>#DIV/0!</v>
      </c>
      <c r="Y4" s="5" t="e">
        <f t="shared" si="2"/>
        <v>#DIV/0!</v>
      </c>
      <c r="Z4" s="5" t="e">
        <f t="shared" si="2"/>
        <v>#DIV/0!</v>
      </c>
      <c r="AA4" s="5" t="e">
        <f t="shared" si="3"/>
        <v>#DIV/0!</v>
      </c>
      <c r="AB4" s="5">
        <f t="shared" si="4"/>
        <v>0</v>
      </c>
    </row>
    <row r="5" spans="1:28" x14ac:dyDescent="0.25">
      <c r="A5" s="6" t="s">
        <v>108</v>
      </c>
      <c r="B5" s="6" t="s">
        <v>38</v>
      </c>
      <c r="C5" s="6">
        <v>26</v>
      </c>
      <c r="D5" s="6">
        <v>1</v>
      </c>
      <c r="E5" s="6" t="s">
        <v>93</v>
      </c>
      <c r="F5" s="6" t="s">
        <v>25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  <c r="P5" s="6">
        <v>0</v>
      </c>
      <c r="Q5" s="6">
        <v>0</v>
      </c>
      <c r="R5" s="6">
        <v>0</v>
      </c>
      <c r="S5" s="6">
        <v>0</v>
      </c>
      <c r="T5" s="6">
        <v>0</v>
      </c>
      <c r="U5" s="6">
        <v>0</v>
      </c>
      <c r="V5" s="6">
        <f t="shared" si="5"/>
        <v>0</v>
      </c>
      <c r="W5" s="6" t="e">
        <f t="shared" si="0"/>
        <v>#DIV/0!</v>
      </c>
      <c r="X5" s="6" t="e">
        <f t="shared" si="1"/>
        <v>#DIV/0!</v>
      </c>
      <c r="Y5" s="6" t="e">
        <f t="shared" si="2"/>
        <v>#DIV/0!</v>
      </c>
      <c r="Z5" s="6" t="e">
        <f t="shared" si="2"/>
        <v>#DIV/0!</v>
      </c>
      <c r="AA5" s="6" t="e">
        <f t="shared" si="3"/>
        <v>#DIV/0!</v>
      </c>
      <c r="AB5" s="6">
        <f t="shared" si="4"/>
        <v>0</v>
      </c>
    </row>
    <row r="6" spans="1:28" x14ac:dyDescent="0.25">
      <c r="A6" s="5" t="s">
        <v>109</v>
      </c>
      <c r="B6" s="5" t="s">
        <v>38</v>
      </c>
      <c r="C6" s="5">
        <v>29</v>
      </c>
      <c r="D6" s="5">
        <v>9</v>
      </c>
      <c r="E6" s="5" t="s">
        <v>66</v>
      </c>
      <c r="F6" s="5" t="s">
        <v>25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0</v>
      </c>
      <c r="N6" s="5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f t="shared" si="5"/>
        <v>0</v>
      </c>
      <c r="W6" s="5" t="e">
        <f t="shared" si="0"/>
        <v>#DIV/0!</v>
      </c>
      <c r="X6" s="5" t="e">
        <f t="shared" si="1"/>
        <v>#DIV/0!</v>
      </c>
      <c r="Y6" s="5" t="e">
        <f t="shared" si="2"/>
        <v>#DIV/0!</v>
      </c>
      <c r="Z6" s="5" t="e">
        <f t="shared" si="2"/>
        <v>#DIV/0!</v>
      </c>
      <c r="AA6" s="5" t="e">
        <f t="shared" si="3"/>
        <v>#DIV/0!</v>
      </c>
      <c r="AB6" s="5">
        <f t="shared" si="4"/>
        <v>0</v>
      </c>
    </row>
    <row r="7" spans="1:28" x14ac:dyDescent="0.25">
      <c r="A7" s="6" t="s">
        <v>110</v>
      </c>
      <c r="B7" s="6" t="s">
        <v>38</v>
      </c>
      <c r="C7" s="6">
        <v>26</v>
      </c>
      <c r="D7" s="6">
        <v>2</v>
      </c>
      <c r="E7" s="6" t="s">
        <v>111</v>
      </c>
      <c r="F7" s="6" t="s">
        <v>25</v>
      </c>
      <c r="G7" s="6">
        <v>0</v>
      </c>
      <c r="H7" s="6">
        <v>0</v>
      </c>
      <c r="I7" s="6">
        <v>0</v>
      </c>
      <c r="J7" s="6">
        <v>0</v>
      </c>
      <c r="K7" s="6">
        <v>0</v>
      </c>
      <c r="L7" s="6">
        <v>0</v>
      </c>
      <c r="M7" s="6">
        <v>0</v>
      </c>
      <c r="N7" s="6">
        <v>0</v>
      </c>
      <c r="O7" s="6">
        <v>0</v>
      </c>
      <c r="P7" s="6">
        <v>0</v>
      </c>
      <c r="Q7" s="6">
        <v>0</v>
      </c>
      <c r="R7" s="6">
        <v>0</v>
      </c>
      <c r="S7" s="6">
        <v>0</v>
      </c>
      <c r="T7" s="6">
        <v>0</v>
      </c>
      <c r="U7" s="6">
        <v>0</v>
      </c>
      <c r="V7" s="6">
        <f t="shared" si="5"/>
        <v>0</v>
      </c>
      <c r="W7" s="6" t="e">
        <f t="shared" si="0"/>
        <v>#DIV/0!</v>
      </c>
      <c r="X7" s="6" t="e">
        <f t="shared" si="1"/>
        <v>#DIV/0!</v>
      </c>
      <c r="Y7" s="6" t="e">
        <f t="shared" si="2"/>
        <v>#DIV/0!</v>
      </c>
      <c r="Z7" s="6" t="e">
        <f t="shared" si="2"/>
        <v>#DIV/0!</v>
      </c>
      <c r="AA7" s="6" t="e">
        <f t="shared" si="3"/>
        <v>#DIV/0!</v>
      </c>
      <c r="AB7" s="6">
        <f t="shared" si="4"/>
        <v>0</v>
      </c>
    </row>
    <row r="8" spans="1:28" x14ac:dyDescent="0.25">
      <c r="A8" s="5" t="s">
        <v>171</v>
      </c>
      <c r="B8" s="5" t="s">
        <v>38</v>
      </c>
      <c r="C8" s="5">
        <v>24</v>
      </c>
      <c r="D8" s="5">
        <v>1</v>
      </c>
      <c r="E8" s="5" t="s">
        <v>102</v>
      </c>
      <c r="F8" s="5" t="s">
        <v>114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</row>
    <row r="9" spans="1:28" x14ac:dyDescent="0.25">
      <c r="A9" s="6" t="s">
        <v>172</v>
      </c>
      <c r="B9" s="6" t="s">
        <v>38</v>
      </c>
      <c r="C9" s="6">
        <v>23</v>
      </c>
      <c r="D9" s="6">
        <v>2</v>
      </c>
      <c r="E9" s="6" t="s">
        <v>173</v>
      </c>
      <c r="F9" s="6" t="s">
        <v>114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R9" s="6">
        <v>0</v>
      </c>
      <c r="S9" s="6">
        <v>0</v>
      </c>
      <c r="T9" s="6">
        <v>0</v>
      </c>
      <c r="U9" s="6">
        <v>0</v>
      </c>
      <c r="V9" s="6">
        <v>0</v>
      </c>
      <c r="W9" s="6">
        <v>0</v>
      </c>
      <c r="X9" s="6">
        <v>0</v>
      </c>
      <c r="Y9" s="6">
        <v>0</v>
      </c>
      <c r="Z9" s="6">
        <v>0</v>
      </c>
      <c r="AA9" s="6">
        <v>0</v>
      </c>
      <c r="AB9" s="6">
        <v>0</v>
      </c>
    </row>
    <row r="10" spans="1:28" x14ac:dyDescent="0.25">
      <c r="A10" s="5" t="s">
        <v>174</v>
      </c>
      <c r="B10" s="5" t="s">
        <v>38</v>
      </c>
      <c r="C10" s="5">
        <v>25</v>
      </c>
      <c r="D10" s="5">
        <v>3</v>
      </c>
      <c r="E10" s="5" t="s">
        <v>175</v>
      </c>
      <c r="F10" s="5" t="s">
        <v>114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</row>
    <row r="11" spans="1:28" x14ac:dyDescent="0.25">
      <c r="A11" s="6" t="s">
        <v>176</v>
      </c>
      <c r="B11" s="6" t="s">
        <v>38</v>
      </c>
      <c r="C11" s="6">
        <v>28</v>
      </c>
      <c r="D11" s="6">
        <v>3</v>
      </c>
      <c r="E11" s="6" t="s">
        <v>100</v>
      </c>
      <c r="F11" s="6" t="s">
        <v>114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S11" s="6">
        <v>0</v>
      </c>
      <c r="T11" s="6">
        <v>0</v>
      </c>
      <c r="U11" s="6">
        <v>0</v>
      </c>
      <c r="V11" s="6">
        <v>0</v>
      </c>
      <c r="W11" s="6">
        <v>0</v>
      </c>
      <c r="X11" s="6">
        <v>0</v>
      </c>
      <c r="Y11" s="6">
        <v>0</v>
      </c>
      <c r="Z11" s="6">
        <v>0</v>
      </c>
      <c r="AA11" s="6">
        <v>0</v>
      </c>
      <c r="AB11" s="6">
        <v>0</v>
      </c>
    </row>
    <row r="12" spans="1:28" x14ac:dyDescent="0.25">
      <c r="A12" s="5" t="s">
        <v>177</v>
      </c>
      <c r="B12" s="5" t="s">
        <v>38</v>
      </c>
      <c r="C12" s="5">
        <v>22</v>
      </c>
      <c r="D12" s="5">
        <v>3</v>
      </c>
      <c r="E12" s="5" t="s">
        <v>178</v>
      </c>
      <c r="F12" s="5" t="s">
        <v>114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</row>
    <row r="13" spans="1:28" x14ac:dyDescent="0.25">
      <c r="A13" s="6" t="s">
        <v>179</v>
      </c>
      <c r="B13" s="6" t="s">
        <v>38</v>
      </c>
      <c r="C13" s="6">
        <v>31</v>
      </c>
      <c r="D13" s="6">
        <v>8</v>
      </c>
      <c r="E13" s="6" t="s">
        <v>180</v>
      </c>
      <c r="F13" s="6" t="s">
        <v>114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S13" s="6">
        <v>0</v>
      </c>
      <c r="T13" s="6">
        <v>0</v>
      </c>
      <c r="U13" s="6">
        <v>0</v>
      </c>
      <c r="V13" s="6">
        <v>0</v>
      </c>
      <c r="W13" s="6">
        <v>0</v>
      </c>
      <c r="X13" s="6">
        <v>0</v>
      </c>
      <c r="Y13" s="6">
        <v>0</v>
      </c>
      <c r="Z13" s="6">
        <v>0</v>
      </c>
      <c r="AA13" s="6">
        <v>0</v>
      </c>
      <c r="AB13" s="6">
        <v>0</v>
      </c>
    </row>
    <row r="14" spans="1:28" x14ac:dyDescent="0.25">
      <c r="A14" s="5" t="s">
        <v>242</v>
      </c>
      <c r="B14" s="5" t="s">
        <v>38</v>
      </c>
      <c r="C14" s="5">
        <v>27</v>
      </c>
      <c r="D14" s="5">
        <v>6</v>
      </c>
      <c r="E14" s="5" t="s">
        <v>68</v>
      </c>
      <c r="F14" s="5" t="s">
        <v>184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</row>
    <row r="15" spans="1:28" x14ac:dyDescent="0.25">
      <c r="A15" s="6" t="s">
        <v>243</v>
      </c>
      <c r="B15" s="6" t="s">
        <v>38</v>
      </c>
      <c r="C15" s="6">
        <v>24</v>
      </c>
      <c r="D15" s="6">
        <v>2</v>
      </c>
      <c r="E15" s="6" t="s">
        <v>244</v>
      </c>
      <c r="F15" s="6" t="s">
        <v>184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R15" s="6">
        <v>0</v>
      </c>
      <c r="S15" s="6">
        <v>0</v>
      </c>
      <c r="T15" s="6">
        <v>0</v>
      </c>
      <c r="U15" s="6">
        <v>0</v>
      </c>
      <c r="V15" s="6">
        <v>0</v>
      </c>
      <c r="W15" s="6">
        <v>0</v>
      </c>
      <c r="X15" s="6">
        <v>0</v>
      </c>
      <c r="Y15" s="6">
        <v>0</v>
      </c>
      <c r="Z15" s="6">
        <v>0</v>
      </c>
      <c r="AA15" s="6">
        <v>0</v>
      </c>
      <c r="AB15" s="6">
        <v>0</v>
      </c>
    </row>
    <row r="16" spans="1:28" x14ac:dyDescent="0.25">
      <c r="A16" s="5" t="s">
        <v>245</v>
      </c>
      <c r="B16" s="5" t="s">
        <v>38</v>
      </c>
      <c r="C16" s="5">
        <v>23</v>
      </c>
      <c r="D16" s="5">
        <v>2</v>
      </c>
      <c r="E16" s="5" t="s">
        <v>246</v>
      </c>
      <c r="F16" s="5" t="s">
        <v>184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</row>
    <row r="17" spans="1:28" x14ac:dyDescent="0.25">
      <c r="A17" s="5" t="s">
        <v>303</v>
      </c>
      <c r="B17" s="5" t="s">
        <v>38</v>
      </c>
      <c r="C17" s="5">
        <v>23</v>
      </c>
      <c r="D17" s="5">
        <v>0</v>
      </c>
      <c r="E17" s="5" t="s">
        <v>207</v>
      </c>
      <c r="F17" s="5" t="s">
        <v>250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</row>
    <row r="18" spans="1:28" x14ac:dyDescent="0.25">
      <c r="A18" s="6" t="s">
        <v>304</v>
      </c>
      <c r="B18" s="6" t="s">
        <v>38</v>
      </c>
      <c r="C18" s="6">
        <v>26</v>
      </c>
      <c r="D18" s="6">
        <v>5</v>
      </c>
      <c r="E18" s="6" t="s">
        <v>240</v>
      </c>
      <c r="F18" s="6" t="s">
        <v>250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S18" s="6">
        <v>0</v>
      </c>
      <c r="T18" s="6">
        <v>0</v>
      </c>
      <c r="U18" s="6">
        <v>0</v>
      </c>
      <c r="V18" s="6">
        <v>0</v>
      </c>
      <c r="W18" s="6">
        <v>0</v>
      </c>
      <c r="X18" s="6">
        <v>0</v>
      </c>
      <c r="Y18" s="6">
        <v>0</v>
      </c>
      <c r="Z18" s="6">
        <v>0</v>
      </c>
      <c r="AA18" s="6">
        <v>0</v>
      </c>
      <c r="AB18" s="6">
        <v>0</v>
      </c>
    </row>
    <row r="19" spans="1:28" x14ac:dyDescent="0.25">
      <c r="A19" s="5" t="s">
        <v>305</v>
      </c>
      <c r="B19" s="5" t="s">
        <v>38</v>
      </c>
      <c r="C19" s="5">
        <v>24</v>
      </c>
      <c r="D19" s="5">
        <v>2</v>
      </c>
      <c r="E19" s="5" t="s">
        <v>168</v>
      </c>
      <c r="F19" s="5" t="s">
        <v>250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</row>
    <row r="20" spans="1:28" x14ac:dyDescent="0.25">
      <c r="A20" s="6" t="s">
        <v>306</v>
      </c>
      <c r="B20" s="6" t="s">
        <v>38</v>
      </c>
      <c r="C20" s="6">
        <v>27</v>
      </c>
      <c r="D20" s="6">
        <v>4</v>
      </c>
      <c r="E20" s="6" t="s">
        <v>307</v>
      </c>
      <c r="F20" s="6" t="s">
        <v>250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R20" s="6">
        <v>0</v>
      </c>
      <c r="S20" s="6">
        <v>0</v>
      </c>
      <c r="T20" s="6">
        <v>0</v>
      </c>
      <c r="U20" s="6">
        <v>0</v>
      </c>
      <c r="V20" s="6">
        <v>0</v>
      </c>
      <c r="W20" s="6">
        <v>0</v>
      </c>
      <c r="X20" s="6">
        <v>0</v>
      </c>
      <c r="Y20" s="6">
        <v>0</v>
      </c>
      <c r="Z20" s="6">
        <v>0</v>
      </c>
      <c r="AA20" s="6">
        <v>0</v>
      </c>
      <c r="AB20" s="6">
        <v>0</v>
      </c>
    </row>
    <row r="21" spans="1:28" x14ac:dyDescent="0.25">
      <c r="A21" s="5" t="s">
        <v>355</v>
      </c>
      <c r="B21" s="5" t="s">
        <v>38</v>
      </c>
      <c r="C21" s="5">
        <v>29</v>
      </c>
      <c r="D21" s="5">
        <v>6</v>
      </c>
      <c r="E21" s="5" t="s">
        <v>341</v>
      </c>
      <c r="F21" s="5" t="s">
        <v>311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</row>
    <row r="22" spans="1:28" x14ac:dyDescent="0.25">
      <c r="A22" s="6" t="s">
        <v>356</v>
      </c>
      <c r="B22" s="6" t="s">
        <v>38</v>
      </c>
      <c r="C22" s="6">
        <v>26</v>
      </c>
      <c r="D22" s="6">
        <v>3</v>
      </c>
      <c r="E22" s="6" t="s">
        <v>357</v>
      </c>
      <c r="F22" s="6" t="s">
        <v>311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S22" s="6">
        <v>0</v>
      </c>
      <c r="T22" s="6">
        <v>0</v>
      </c>
      <c r="U22" s="6">
        <v>0</v>
      </c>
      <c r="V22" s="6">
        <v>0</v>
      </c>
      <c r="W22" s="6">
        <v>0</v>
      </c>
      <c r="X22" s="6">
        <v>0</v>
      </c>
      <c r="Y22" s="6">
        <v>0</v>
      </c>
      <c r="Z22" s="6">
        <v>0</v>
      </c>
      <c r="AA22" s="6">
        <v>0</v>
      </c>
      <c r="AB22" s="6">
        <v>0</v>
      </c>
    </row>
    <row r="23" spans="1:28" x14ac:dyDescent="0.25">
      <c r="A23" s="5" t="s">
        <v>358</v>
      </c>
      <c r="B23" s="5" t="s">
        <v>38</v>
      </c>
      <c r="C23" s="5">
        <v>26</v>
      </c>
      <c r="D23" s="5">
        <v>2</v>
      </c>
      <c r="E23" s="5" t="s">
        <v>227</v>
      </c>
      <c r="F23" s="5" t="s">
        <v>311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</row>
    <row r="24" spans="1:28" x14ac:dyDescent="0.25">
      <c r="A24" s="6" t="s">
        <v>359</v>
      </c>
      <c r="B24" s="6" t="s">
        <v>38</v>
      </c>
      <c r="C24" s="6">
        <v>27</v>
      </c>
      <c r="D24" s="6">
        <v>6</v>
      </c>
      <c r="E24" s="6" t="s">
        <v>360</v>
      </c>
      <c r="F24" s="6" t="s">
        <v>311</v>
      </c>
      <c r="G24" s="6">
        <v>0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R24" s="6">
        <v>0</v>
      </c>
      <c r="S24" s="6">
        <v>0</v>
      </c>
      <c r="T24" s="6">
        <v>0</v>
      </c>
      <c r="U24" s="6">
        <v>0</v>
      </c>
      <c r="V24" s="6">
        <v>0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</row>
    <row r="25" spans="1:28" x14ac:dyDescent="0.25">
      <c r="A25" s="5" t="s">
        <v>414</v>
      </c>
      <c r="B25" s="5" t="s">
        <v>38</v>
      </c>
      <c r="C25" s="5">
        <v>26</v>
      </c>
      <c r="D25" s="5">
        <v>4</v>
      </c>
      <c r="E25" s="5" t="s">
        <v>415</v>
      </c>
      <c r="F25" s="5" t="s">
        <v>364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</row>
    <row r="26" spans="1:28" x14ac:dyDescent="0.25">
      <c r="A26" s="6" t="s">
        <v>416</v>
      </c>
      <c r="B26" s="6" t="s">
        <v>38</v>
      </c>
      <c r="C26" s="6">
        <v>24</v>
      </c>
      <c r="D26" s="6">
        <v>4</v>
      </c>
      <c r="E26" s="6" t="s">
        <v>362</v>
      </c>
      <c r="F26" s="6" t="s">
        <v>364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v>0</v>
      </c>
      <c r="W26" s="6">
        <v>0</v>
      </c>
      <c r="X26" s="6">
        <v>0</v>
      </c>
      <c r="Y26" s="6">
        <v>0</v>
      </c>
      <c r="Z26" s="6">
        <v>0</v>
      </c>
      <c r="AA26" s="6">
        <v>0</v>
      </c>
      <c r="AB26" s="6">
        <v>0</v>
      </c>
    </row>
    <row r="27" spans="1:28" x14ac:dyDescent="0.25">
      <c r="A27" s="5" t="s">
        <v>417</v>
      </c>
      <c r="B27" s="5" t="s">
        <v>38</v>
      </c>
      <c r="C27" s="5">
        <v>39</v>
      </c>
      <c r="D27" s="5">
        <v>18</v>
      </c>
      <c r="E27" s="5" t="s">
        <v>418</v>
      </c>
      <c r="F27" s="5" t="s">
        <v>364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</row>
    <row r="28" spans="1:28" x14ac:dyDescent="0.25">
      <c r="A28" s="6" t="s">
        <v>419</v>
      </c>
      <c r="B28" s="6" t="s">
        <v>38</v>
      </c>
      <c r="C28" s="6">
        <v>25</v>
      </c>
      <c r="D28" s="6">
        <v>4</v>
      </c>
      <c r="E28" s="6" t="s">
        <v>300</v>
      </c>
      <c r="F28" s="6" t="s">
        <v>364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S28" s="6">
        <v>0</v>
      </c>
      <c r="T28" s="6">
        <v>0</v>
      </c>
      <c r="U28" s="6">
        <v>0</v>
      </c>
      <c r="V28" s="6">
        <v>0</v>
      </c>
      <c r="W28" s="6">
        <v>0</v>
      </c>
      <c r="X28" s="6">
        <v>0</v>
      </c>
      <c r="Y28" s="6">
        <v>0</v>
      </c>
      <c r="Z28" s="6">
        <v>0</v>
      </c>
      <c r="AA28" s="6">
        <v>0</v>
      </c>
      <c r="AB28" s="6">
        <v>0</v>
      </c>
    </row>
    <row r="29" spans="1:28" x14ac:dyDescent="0.25">
      <c r="A29" s="5" t="s">
        <v>420</v>
      </c>
      <c r="B29" s="5" t="s">
        <v>38</v>
      </c>
      <c r="C29" s="5"/>
      <c r="D29" s="5">
        <v>0</v>
      </c>
      <c r="E29" s="5" t="s">
        <v>421</v>
      </c>
      <c r="F29" s="5" t="s">
        <v>364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</row>
    <row r="30" spans="1:28" x14ac:dyDescent="0.25">
      <c r="A30" s="5" t="s">
        <v>470</v>
      </c>
      <c r="B30" s="5" t="s">
        <v>38</v>
      </c>
      <c r="C30" s="5">
        <v>26</v>
      </c>
      <c r="D30" s="5">
        <v>4</v>
      </c>
      <c r="E30" s="5" t="s">
        <v>418</v>
      </c>
      <c r="F30" s="5" t="s">
        <v>425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</row>
    <row r="31" spans="1:28" x14ac:dyDescent="0.25">
      <c r="A31" s="6" t="s">
        <v>471</v>
      </c>
      <c r="B31" s="6" t="s">
        <v>38</v>
      </c>
      <c r="C31" s="6">
        <v>27</v>
      </c>
      <c r="D31" s="6">
        <v>2</v>
      </c>
      <c r="E31" s="6" t="s">
        <v>339</v>
      </c>
      <c r="F31" s="6" t="s">
        <v>425</v>
      </c>
      <c r="G31" s="6">
        <v>0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R31" s="6">
        <v>0</v>
      </c>
      <c r="S31" s="6">
        <v>0</v>
      </c>
      <c r="T31" s="6">
        <v>0</v>
      </c>
      <c r="U31" s="6">
        <v>0</v>
      </c>
      <c r="V31" s="6">
        <v>0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</row>
    <row r="32" spans="1:28" x14ac:dyDescent="0.25">
      <c r="A32" s="5" t="s">
        <v>472</v>
      </c>
      <c r="B32" s="5" t="s">
        <v>38</v>
      </c>
      <c r="C32" s="5">
        <v>28</v>
      </c>
      <c r="D32" s="5">
        <v>4</v>
      </c>
      <c r="E32" s="5" t="s">
        <v>473</v>
      </c>
      <c r="F32" s="5" t="s">
        <v>425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</row>
    <row r="33" spans="1:28" x14ac:dyDescent="0.25">
      <c r="A33" s="6" t="s">
        <v>474</v>
      </c>
      <c r="B33" s="6" t="s">
        <v>38</v>
      </c>
      <c r="C33" s="6">
        <v>27</v>
      </c>
      <c r="D33" s="6">
        <v>5</v>
      </c>
      <c r="E33" s="6" t="s">
        <v>86</v>
      </c>
      <c r="F33" s="6" t="s">
        <v>425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R33" s="6">
        <v>0</v>
      </c>
      <c r="S33" s="6">
        <v>0</v>
      </c>
      <c r="T33" s="6">
        <v>0</v>
      </c>
      <c r="U33" s="6">
        <v>0</v>
      </c>
      <c r="V33" s="6">
        <v>0</v>
      </c>
      <c r="W33" s="6">
        <v>0</v>
      </c>
      <c r="X33" s="6">
        <v>0</v>
      </c>
      <c r="Y33" s="6">
        <v>0</v>
      </c>
      <c r="Z33" s="6">
        <v>0</v>
      </c>
      <c r="AA33" s="6">
        <v>0</v>
      </c>
      <c r="AB33" s="6">
        <v>0</v>
      </c>
    </row>
    <row r="34" spans="1:28" x14ac:dyDescent="0.25">
      <c r="A34" s="5" t="s">
        <v>475</v>
      </c>
      <c r="B34" s="5" t="s">
        <v>38</v>
      </c>
      <c r="C34" s="5">
        <v>25</v>
      </c>
      <c r="D34" s="5">
        <v>5</v>
      </c>
      <c r="E34" s="5" t="s">
        <v>153</v>
      </c>
      <c r="F34" s="5" t="s">
        <v>425</v>
      </c>
      <c r="G34" s="5">
        <v>0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</row>
    <row r="35" spans="1:28" x14ac:dyDescent="0.25">
      <c r="A35" s="6" t="s">
        <v>476</v>
      </c>
      <c r="B35" s="6" t="s">
        <v>38</v>
      </c>
      <c r="C35" s="6">
        <v>24</v>
      </c>
      <c r="D35" s="6">
        <v>0</v>
      </c>
      <c r="E35" s="6" t="s">
        <v>70</v>
      </c>
      <c r="F35" s="6" t="s">
        <v>425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S35" s="6">
        <v>0</v>
      </c>
      <c r="T35" s="6">
        <v>0</v>
      </c>
      <c r="U35" s="6">
        <v>0</v>
      </c>
      <c r="V35" s="6">
        <v>0</v>
      </c>
      <c r="W35" s="6">
        <v>0</v>
      </c>
      <c r="X35" s="6">
        <v>0</v>
      </c>
      <c r="Y35" s="6">
        <v>0</v>
      </c>
      <c r="Z35" s="6">
        <v>0</v>
      </c>
      <c r="AA35" s="6">
        <v>0</v>
      </c>
      <c r="AB35" s="6">
        <v>0</v>
      </c>
    </row>
    <row r="36" spans="1:28" x14ac:dyDescent="0.25">
      <c r="A36" s="5" t="s">
        <v>521</v>
      </c>
      <c r="B36" s="5" t="s">
        <v>38</v>
      </c>
      <c r="C36" s="5">
        <v>31</v>
      </c>
      <c r="D36" s="5">
        <v>6</v>
      </c>
      <c r="E36" s="5" t="s">
        <v>282</v>
      </c>
      <c r="F36" s="5" t="s">
        <v>479</v>
      </c>
      <c r="G36" s="5">
        <v>0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Z36" s="5">
        <v>0</v>
      </c>
      <c r="AA36" s="5">
        <v>0</v>
      </c>
      <c r="AB36" s="5">
        <v>0</v>
      </c>
    </row>
    <row r="37" spans="1:28" x14ac:dyDescent="0.25">
      <c r="A37" s="6" t="s">
        <v>522</v>
      </c>
      <c r="B37" s="6" t="s">
        <v>38</v>
      </c>
      <c r="C37" s="6">
        <v>25</v>
      </c>
      <c r="D37" s="6">
        <v>4</v>
      </c>
      <c r="E37" s="6" t="s">
        <v>523</v>
      </c>
      <c r="F37" s="6" t="s">
        <v>479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R37" s="6">
        <v>0</v>
      </c>
      <c r="S37" s="6">
        <v>0</v>
      </c>
      <c r="T37" s="6">
        <v>0</v>
      </c>
      <c r="U37" s="6">
        <v>0</v>
      </c>
      <c r="V37" s="6">
        <v>0</v>
      </c>
      <c r="W37" s="6">
        <v>0</v>
      </c>
      <c r="X37" s="6">
        <v>0</v>
      </c>
      <c r="Y37" s="6">
        <v>0</v>
      </c>
      <c r="Z37" s="6">
        <v>0</v>
      </c>
      <c r="AA37" s="6">
        <v>0</v>
      </c>
      <c r="AB37" s="6">
        <v>0</v>
      </c>
    </row>
    <row r="38" spans="1:28" x14ac:dyDescent="0.25">
      <c r="A38" s="5" t="s">
        <v>524</v>
      </c>
      <c r="B38" s="5" t="s">
        <v>38</v>
      </c>
      <c r="C38" s="5">
        <v>25</v>
      </c>
      <c r="D38" s="5">
        <v>3</v>
      </c>
      <c r="E38" s="5" t="s">
        <v>153</v>
      </c>
      <c r="F38" s="5" t="s">
        <v>479</v>
      </c>
      <c r="G38" s="5">
        <v>0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</row>
    <row r="39" spans="1:28" x14ac:dyDescent="0.25">
      <c r="A39" s="6" t="s">
        <v>525</v>
      </c>
      <c r="B39" s="6" t="s">
        <v>38</v>
      </c>
      <c r="C39" s="6">
        <v>25</v>
      </c>
      <c r="D39" s="6">
        <v>0</v>
      </c>
      <c r="E39" s="6" t="s">
        <v>526</v>
      </c>
      <c r="F39" s="6" t="s">
        <v>479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R39" s="6">
        <v>0</v>
      </c>
      <c r="S39" s="6">
        <v>0</v>
      </c>
      <c r="T39" s="6">
        <v>0</v>
      </c>
      <c r="U39" s="6">
        <v>0</v>
      </c>
      <c r="V39" s="6">
        <v>0</v>
      </c>
      <c r="W39" s="6">
        <v>0</v>
      </c>
      <c r="X39" s="6">
        <v>0</v>
      </c>
      <c r="Y39" s="6">
        <v>0</v>
      </c>
      <c r="Z39" s="6">
        <v>0</v>
      </c>
      <c r="AA39" s="6">
        <v>0</v>
      </c>
      <c r="AB39" s="6">
        <v>0</v>
      </c>
    </row>
    <row r="40" spans="1:28" x14ac:dyDescent="0.25">
      <c r="A40" s="5" t="s">
        <v>527</v>
      </c>
      <c r="B40" s="5" t="s">
        <v>38</v>
      </c>
      <c r="C40" s="5">
        <v>23</v>
      </c>
      <c r="D40" s="5">
        <v>1</v>
      </c>
      <c r="E40" s="5" t="s">
        <v>523</v>
      </c>
      <c r="F40" s="5" t="s">
        <v>479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Z40" s="5">
        <v>0</v>
      </c>
      <c r="AA40" s="5">
        <v>0</v>
      </c>
      <c r="AB40" s="5">
        <v>0</v>
      </c>
    </row>
    <row r="41" spans="1:28" x14ac:dyDescent="0.25">
      <c r="A41" s="5" t="s">
        <v>577</v>
      </c>
      <c r="B41" s="5" t="s">
        <v>38</v>
      </c>
      <c r="C41" s="5">
        <v>24</v>
      </c>
      <c r="D41" s="5">
        <v>0</v>
      </c>
      <c r="E41" s="5" t="s">
        <v>143</v>
      </c>
      <c r="F41" s="5" t="s">
        <v>530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</row>
    <row r="42" spans="1:28" x14ac:dyDescent="0.25">
      <c r="A42" s="6" t="s">
        <v>578</v>
      </c>
      <c r="B42" s="6" t="s">
        <v>38</v>
      </c>
      <c r="C42" s="6">
        <v>24</v>
      </c>
      <c r="D42" s="6">
        <v>2</v>
      </c>
      <c r="E42" s="6" t="s">
        <v>72</v>
      </c>
      <c r="F42" s="6" t="s">
        <v>530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R42" s="6">
        <v>0</v>
      </c>
      <c r="S42" s="6">
        <v>0</v>
      </c>
      <c r="T42" s="6">
        <v>0</v>
      </c>
      <c r="U42" s="6">
        <v>0</v>
      </c>
      <c r="V42" s="6">
        <v>0</v>
      </c>
      <c r="W42" s="6">
        <v>0</v>
      </c>
      <c r="X42" s="6">
        <v>0</v>
      </c>
      <c r="Y42" s="6">
        <v>0</v>
      </c>
      <c r="Z42" s="6">
        <v>0</v>
      </c>
      <c r="AA42" s="6">
        <v>0</v>
      </c>
      <c r="AB42" s="6">
        <v>0</v>
      </c>
    </row>
    <row r="43" spans="1:28" x14ac:dyDescent="0.25">
      <c r="A43" s="5" t="s">
        <v>579</v>
      </c>
      <c r="B43" s="5" t="s">
        <v>38</v>
      </c>
      <c r="C43" s="5">
        <v>25</v>
      </c>
      <c r="D43" s="5">
        <v>1</v>
      </c>
      <c r="E43" s="5" t="s">
        <v>70</v>
      </c>
      <c r="F43" s="5" t="s">
        <v>530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Z43" s="5">
        <v>0</v>
      </c>
      <c r="AA43" s="5">
        <v>0</v>
      </c>
      <c r="AB43" s="5">
        <v>0</v>
      </c>
    </row>
    <row r="44" spans="1:28" x14ac:dyDescent="0.25">
      <c r="A44" s="6" t="s">
        <v>580</v>
      </c>
      <c r="B44" s="6" t="s">
        <v>38</v>
      </c>
      <c r="C44" s="6">
        <v>24</v>
      </c>
      <c r="D44" s="6">
        <v>2</v>
      </c>
      <c r="E44" s="6" t="s">
        <v>360</v>
      </c>
      <c r="F44" s="6" t="s">
        <v>530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R44" s="6">
        <v>0</v>
      </c>
      <c r="S44" s="6">
        <v>0</v>
      </c>
      <c r="T44" s="6">
        <v>0</v>
      </c>
      <c r="U44" s="6">
        <v>0</v>
      </c>
      <c r="V44" s="6">
        <v>0</v>
      </c>
      <c r="W44" s="6">
        <v>0</v>
      </c>
      <c r="X44" s="6">
        <v>0</v>
      </c>
      <c r="Y44" s="6">
        <v>0</v>
      </c>
      <c r="Z44" s="6">
        <v>0</v>
      </c>
      <c r="AA44" s="6">
        <v>0</v>
      </c>
      <c r="AB44" s="6">
        <v>0</v>
      </c>
    </row>
    <row r="45" spans="1:28" x14ac:dyDescent="0.25">
      <c r="A45" s="5" t="s">
        <v>581</v>
      </c>
      <c r="B45" s="5" t="s">
        <v>38</v>
      </c>
      <c r="C45" s="5">
        <v>25</v>
      </c>
      <c r="D45" s="5">
        <v>4</v>
      </c>
      <c r="E45" s="5" t="s">
        <v>105</v>
      </c>
      <c r="F45" s="5" t="s">
        <v>530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Z45" s="5">
        <v>0</v>
      </c>
      <c r="AA45" s="5">
        <v>0</v>
      </c>
      <c r="AB45" s="5">
        <v>0</v>
      </c>
    </row>
    <row r="46" spans="1:28" x14ac:dyDescent="0.25">
      <c r="A46" s="5" t="s">
        <v>638</v>
      </c>
      <c r="B46" s="5" t="s">
        <v>38</v>
      </c>
      <c r="C46" s="5">
        <v>24</v>
      </c>
      <c r="D46" s="5">
        <v>0</v>
      </c>
      <c r="E46" s="5" t="s">
        <v>341</v>
      </c>
      <c r="F46" s="5" t="s">
        <v>584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>
        <v>0</v>
      </c>
      <c r="AA46" s="5">
        <v>0</v>
      </c>
      <c r="AB46" s="5">
        <v>0</v>
      </c>
    </row>
    <row r="47" spans="1:28" x14ac:dyDescent="0.25">
      <c r="A47" s="6" t="s">
        <v>639</v>
      </c>
      <c r="B47" s="6" t="s">
        <v>38</v>
      </c>
      <c r="C47" s="6">
        <v>23</v>
      </c>
      <c r="D47" s="6">
        <v>2</v>
      </c>
      <c r="E47" s="6" t="s">
        <v>418</v>
      </c>
      <c r="F47" s="6" t="s">
        <v>584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R47" s="6">
        <v>0</v>
      </c>
      <c r="S47" s="6">
        <v>0</v>
      </c>
      <c r="T47" s="6">
        <v>0</v>
      </c>
      <c r="U47" s="6">
        <v>0</v>
      </c>
      <c r="V47" s="6">
        <v>0</v>
      </c>
      <c r="W47" s="6">
        <v>0</v>
      </c>
      <c r="X47" s="6">
        <v>0</v>
      </c>
      <c r="Y47" s="6">
        <v>0</v>
      </c>
      <c r="Z47" s="6">
        <v>0</v>
      </c>
      <c r="AA47" s="6">
        <v>0</v>
      </c>
      <c r="AB47" s="6">
        <v>0</v>
      </c>
    </row>
    <row r="48" spans="1:28" x14ac:dyDescent="0.25">
      <c r="A48" s="5" t="s">
        <v>640</v>
      </c>
      <c r="B48" s="5" t="s">
        <v>38</v>
      </c>
      <c r="C48" s="5">
        <v>26</v>
      </c>
      <c r="D48" s="5">
        <v>2</v>
      </c>
      <c r="E48" s="5" t="s">
        <v>155</v>
      </c>
      <c r="F48" s="5" t="s">
        <v>584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Z48" s="5">
        <v>0</v>
      </c>
      <c r="AA48" s="5">
        <v>0</v>
      </c>
      <c r="AB48" s="5">
        <v>0</v>
      </c>
    </row>
    <row r="49" spans="1:28" x14ac:dyDescent="0.25">
      <c r="A49" s="6" t="s">
        <v>641</v>
      </c>
      <c r="B49" s="6" t="s">
        <v>38</v>
      </c>
      <c r="C49" s="6">
        <v>31</v>
      </c>
      <c r="D49" s="6">
        <v>8</v>
      </c>
      <c r="E49" s="6" t="s">
        <v>642</v>
      </c>
      <c r="F49" s="6" t="s">
        <v>584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R49" s="6">
        <v>0</v>
      </c>
      <c r="S49" s="6">
        <v>0</v>
      </c>
      <c r="T49" s="6">
        <v>0</v>
      </c>
      <c r="U49" s="6">
        <v>0</v>
      </c>
      <c r="V49" s="6">
        <v>0</v>
      </c>
      <c r="W49" s="6">
        <v>0</v>
      </c>
      <c r="X49" s="6">
        <v>0</v>
      </c>
      <c r="Y49" s="6">
        <v>0</v>
      </c>
      <c r="Z49" s="6">
        <v>0</v>
      </c>
      <c r="AA49" s="6">
        <v>0</v>
      </c>
      <c r="AB49" s="6">
        <v>0</v>
      </c>
    </row>
    <row r="50" spans="1:28" x14ac:dyDescent="0.25">
      <c r="A50" s="5" t="s">
        <v>643</v>
      </c>
      <c r="B50" s="5" t="s">
        <v>38</v>
      </c>
      <c r="C50" s="5">
        <v>25</v>
      </c>
      <c r="D50" s="5">
        <v>4</v>
      </c>
      <c r="E50" s="5" t="s">
        <v>613</v>
      </c>
      <c r="F50" s="5" t="s">
        <v>584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0</v>
      </c>
    </row>
    <row r="51" spans="1:28" x14ac:dyDescent="0.25">
      <c r="A51" s="5" t="s">
        <v>695</v>
      </c>
      <c r="B51" s="5" t="s">
        <v>38</v>
      </c>
      <c r="C51" s="5">
        <v>28</v>
      </c>
      <c r="D51" s="5">
        <v>6</v>
      </c>
      <c r="E51" s="5" t="s">
        <v>86</v>
      </c>
      <c r="F51" s="5" t="s">
        <v>647</v>
      </c>
      <c r="G51" s="5">
        <v>0</v>
      </c>
      <c r="H51" s="5">
        <v>0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Z51" s="5">
        <v>0</v>
      </c>
      <c r="AA51" s="5">
        <v>0</v>
      </c>
      <c r="AB51" s="5">
        <v>0</v>
      </c>
    </row>
    <row r="52" spans="1:28" x14ac:dyDescent="0.25">
      <c r="A52" s="6" t="s">
        <v>696</v>
      </c>
      <c r="B52" s="6" t="s">
        <v>38</v>
      </c>
      <c r="C52" s="6">
        <v>28</v>
      </c>
      <c r="D52" s="6">
        <v>3</v>
      </c>
      <c r="E52" s="6" t="s">
        <v>697</v>
      </c>
      <c r="F52" s="6" t="s">
        <v>647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S52" s="6">
        <v>0</v>
      </c>
      <c r="T52" s="6">
        <v>0</v>
      </c>
      <c r="U52" s="6">
        <v>0</v>
      </c>
      <c r="V52" s="6">
        <v>0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</row>
    <row r="53" spans="1:28" x14ac:dyDescent="0.25">
      <c r="A53" s="5" t="s">
        <v>698</v>
      </c>
      <c r="B53" s="5" t="s">
        <v>38</v>
      </c>
      <c r="C53" s="5">
        <v>22</v>
      </c>
      <c r="D53" s="5">
        <v>0</v>
      </c>
      <c r="E53" s="5" t="s">
        <v>100</v>
      </c>
      <c r="F53" s="5" t="s">
        <v>647</v>
      </c>
      <c r="G53" s="5">
        <v>0</v>
      </c>
      <c r="H53" s="5">
        <v>0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Z53" s="5">
        <v>0</v>
      </c>
      <c r="AA53" s="5">
        <v>0</v>
      </c>
      <c r="AB53" s="5">
        <v>0</v>
      </c>
    </row>
    <row r="54" spans="1:28" x14ac:dyDescent="0.25">
      <c r="A54" s="6" t="s">
        <v>699</v>
      </c>
      <c r="B54" s="6" t="s">
        <v>38</v>
      </c>
      <c r="C54" s="6">
        <v>24</v>
      </c>
      <c r="D54" s="6">
        <v>2</v>
      </c>
      <c r="E54" s="6" t="s">
        <v>333</v>
      </c>
      <c r="F54" s="6" t="s">
        <v>647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R54" s="6">
        <v>0</v>
      </c>
      <c r="S54" s="6">
        <v>0</v>
      </c>
      <c r="T54" s="6">
        <v>0</v>
      </c>
      <c r="U54" s="6">
        <v>0</v>
      </c>
      <c r="V54" s="6">
        <v>0</v>
      </c>
      <c r="W54" s="6">
        <v>0</v>
      </c>
      <c r="X54" s="6">
        <v>0</v>
      </c>
      <c r="Y54" s="6">
        <v>0</v>
      </c>
      <c r="Z54" s="6">
        <v>0</v>
      </c>
      <c r="AA54" s="6">
        <v>0</v>
      </c>
      <c r="AB54" s="6">
        <v>0</v>
      </c>
    </row>
    <row r="55" spans="1:28" x14ac:dyDescent="0.25">
      <c r="A55" s="5" t="s">
        <v>700</v>
      </c>
      <c r="B55" s="5" t="s">
        <v>38</v>
      </c>
      <c r="C55" s="5">
        <v>24</v>
      </c>
      <c r="D55" s="5">
        <v>3</v>
      </c>
      <c r="E55" s="5" t="s">
        <v>362</v>
      </c>
      <c r="F55" s="5" t="s">
        <v>647</v>
      </c>
      <c r="G55" s="5">
        <v>0</v>
      </c>
      <c r="H55" s="5">
        <v>0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Z55" s="5">
        <v>0</v>
      </c>
      <c r="AA55" s="5">
        <v>0</v>
      </c>
      <c r="AB55" s="5">
        <v>0</v>
      </c>
    </row>
    <row r="56" spans="1:28" x14ac:dyDescent="0.25">
      <c r="A56" s="5" t="s">
        <v>749</v>
      </c>
      <c r="B56" s="5" t="s">
        <v>38</v>
      </c>
      <c r="C56" s="5">
        <v>24</v>
      </c>
      <c r="D56" s="5">
        <v>1</v>
      </c>
      <c r="E56" s="5" t="s">
        <v>248</v>
      </c>
      <c r="F56" s="5" t="s">
        <v>704</v>
      </c>
      <c r="G56" s="5">
        <v>0</v>
      </c>
      <c r="H56" s="5">
        <v>0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Z56" s="5">
        <v>0</v>
      </c>
      <c r="AA56" s="5">
        <v>0</v>
      </c>
      <c r="AB56" s="5">
        <v>0</v>
      </c>
    </row>
    <row r="57" spans="1:28" x14ac:dyDescent="0.25">
      <c r="A57" s="6" t="s">
        <v>750</v>
      </c>
      <c r="B57" s="6" t="s">
        <v>38</v>
      </c>
      <c r="C57" s="6">
        <v>26</v>
      </c>
      <c r="D57" s="6">
        <v>4</v>
      </c>
      <c r="E57" s="6" t="s">
        <v>455</v>
      </c>
      <c r="F57" s="6" t="s">
        <v>704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S57" s="6">
        <v>0</v>
      </c>
      <c r="T57" s="6">
        <v>0</v>
      </c>
      <c r="U57" s="6">
        <v>0</v>
      </c>
      <c r="V57" s="6">
        <v>0</v>
      </c>
      <c r="W57" s="6">
        <v>0</v>
      </c>
      <c r="X57" s="6">
        <v>0</v>
      </c>
      <c r="Y57" s="6">
        <v>0</v>
      </c>
      <c r="Z57" s="6">
        <v>0</v>
      </c>
      <c r="AA57" s="6">
        <v>0</v>
      </c>
      <c r="AB57" s="6">
        <v>0</v>
      </c>
    </row>
    <row r="58" spans="1:28" x14ac:dyDescent="0.25">
      <c r="A58" s="5" t="s">
        <v>751</v>
      </c>
      <c r="B58" s="5" t="s">
        <v>38</v>
      </c>
      <c r="C58" s="5">
        <v>26</v>
      </c>
      <c r="D58" s="5">
        <v>4</v>
      </c>
      <c r="E58" s="5" t="s">
        <v>136</v>
      </c>
      <c r="F58" s="5" t="s">
        <v>704</v>
      </c>
      <c r="G58" s="5">
        <v>0</v>
      </c>
      <c r="H58" s="5">
        <v>0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Z58" s="5">
        <v>0</v>
      </c>
      <c r="AA58" s="5">
        <v>0</v>
      </c>
      <c r="AB58" s="5">
        <v>0</v>
      </c>
    </row>
    <row r="59" spans="1:28" x14ac:dyDescent="0.25">
      <c r="A59" s="6" t="s">
        <v>752</v>
      </c>
      <c r="B59" s="6" t="s">
        <v>38</v>
      </c>
      <c r="C59" s="6">
        <v>22</v>
      </c>
      <c r="D59" s="6">
        <v>0</v>
      </c>
      <c r="E59" s="6" t="s">
        <v>753</v>
      </c>
      <c r="F59" s="6" t="s">
        <v>704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R59" s="6">
        <v>0</v>
      </c>
      <c r="S59" s="6">
        <v>0</v>
      </c>
      <c r="T59" s="6">
        <v>0</v>
      </c>
      <c r="U59" s="6">
        <v>0</v>
      </c>
      <c r="V59" s="6">
        <v>0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</row>
    <row r="60" spans="1:28" x14ac:dyDescent="0.25">
      <c r="A60" s="5" t="s">
        <v>800</v>
      </c>
      <c r="B60" s="5" t="s">
        <v>38</v>
      </c>
      <c r="C60" s="5">
        <v>23</v>
      </c>
      <c r="D60" s="5">
        <v>3</v>
      </c>
      <c r="E60" s="5" t="s">
        <v>397</v>
      </c>
      <c r="F60" s="5" t="s">
        <v>756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</row>
    <row r="61" spans="1:28" x14ac:dyDescent="0.25">
      <c r="A61" s="6" t="s">
        <v>801</v>
      </c>
      <c r="B61" s="6" t="s">
        <v>38</v>
      </c>
      <c r="C61" s="6">
        <v>24</v>
      </c>
      <c r="D61" s="6">
        <v>2</v>
      </c>
      <c r="E61" s="6" t="s">
        <v>333</v>
      </c>
      <c r="F61" s="6" t="s">
        <v>756</v>
      </c>
      <c r="G61" s="6">
        <v>0</v>
      </c>
      <c r="H61" s="6">
        <v>0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R61" s="6">
        <v>0</v>
      </c>
      <c r="S61" s="6">
        <v>0</v>
      </c>
      <c r="T61" s="6">
        <v>0</v>
      </c>
      <c r="U61" s="6">
        <v>0</v>
      </c>
      <c r="V61" s="6">
        <v>0</v>
      </c>
      <c r="W61" s="6">
        <v>0</v>
      </c>
      <c r="X61" s="6">
        <v>0</v>
      </c>
      <c r="Y61" s="6">
        <v>0</v>
      </c>
      <c r="Z61" s="6">
        <v>0</v>
      </c>
      <c r="AA61" s="6">
        <v>0</v>
      </c>
      <c r="AB61" s="6">
        <v>0</v>
      </c>
    </row>
    <row r="62" spans="1:28" x14ac:dyDescent="0.25">
      <c r="A62" s="5" t="s">
        <v>802</v>
      </c>
      <c r="B62" s="5" t="s">
        <v>38</v>
      </c>
      <c r="C62" s="5">
        <v>23</v>
      </c>
      <c r="D62" s="5">
        <v>0</v>
      </c>
      <c r="E62" s="5" t="s">
        <v>803</v>
      </c>
      <c r="F62" s="5" t="s">
        <v>756</v>
      </c>
      <c r="G62" s="5">
        <v>0</v>
      </c>
      <c r="H62" s="5">
        <v>0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Z62" s="5">
        <v>0</v>
      </c>
      <c r="AA62" s="5">
        <v>0</v>
      </c>
      <c r="AB62" s="5">
        <v>0</v>
      </c>
    </row>
    <row r="63" spans="1:28" x14ac:dyDescent="0.25">
      <c r="A63" s="6" t="s">
        <v>804</v>
      </c>
      <c r="B63" s="6" t="s">
        <v>38</v>
      </c>
      <c r="C63" s="6">
        <v>23</v>
      </c>
      <c r="D63" s="6">
        <v>2</v>
      </c>
      <c r="E63" s="6" t="s">
        <v>111</v>
      </c>
      <c r="F63" s="6" t="s">
        <v>756</v>
      </c>
      <c r="G63" s="6">
        <v>0</v>
      </c>
      <c r="H63" s="6">
        <v>0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R63" s="6">
        <v>0</v>
      </c>
      <c r="S63" s="6">
        <v>0</v>
      </c>
      <c r="T63" s="6">
        <v>0</v>
      </c>
      <c r="U63" s="6">
        <v>0</v>
      </c>
      <c r="V63" s="6">
        <v>0</v>
      </c>
      <c r="W63" s="6">
        <v>0</v>
      </c>
      <c r="X63" s="6">
        <v>0</v>
      </c>
      <c r="Y63" s="6">
        <v>0</v>
      </c>
      <c r="Z63" s="6">
        <v>0</v>
      </c>
      <c r="AA63" s="6">
        <v>0</v>
      </c>
      <c r="AB63" s="6">
        <v>0</v>
      </c>
    </row>
    <row r="64" spans="1:28" x14ac:dyDescent="0.25">
      <c r="A64" s="5" t="s">
        <v>805</v>
      </c>
      <c r="B64" s="5" t="s">
        <v>38</v>
      </c>
      <c r="C64" s="5">
        <v>29</v>
      </c>
      <c r="D64" s="5">
        <v>4</v>
      </c>
      <c r="E64" s="5" t="s">
        <v>806</v>
      </c>
      <c r="F64" s="5" t="s">
        <v>756</v>
      </c>
      <c r="G64" s="5">
        <v>0</v>
      </c>
      <c r="H64" s="5">
        <v>0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</row>
    <row r="65" spans="1:28" x14ac:dyDescent="0.25">
      <c r="A65" s="6" t="s">
        <v>807</v>
      </c>
      <c r="B65" s="6" t="s">
        <v>38</v>
      </c>
      <c r="C65" s="6">
        <v>27</v>
      </c>
      <c r="D65" s="6">
        <v>6</v>
      </c>
      <c r="E65" s="6" t="s">
        <v>102</v>
      </c>
      <c r="F65" s="6" t="s">
        <v>756</v>
      </c>
      <c r="G65" s="6">
        <v>0</v>
      </c>
      <c r="H65" s="6">
        <v>0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R65" s="6">
        <v>0</v>
      </c>
      <c r="S65" s="6">
        <v>0</v>
      </c>
      <c r="T65" s="6">
        <v>0</v>
      </c>
      <c r="U65" s="6">
        <v>0</v>
      </c>
      <c r="V65" s="6">
        <v>0</v>
      </c>
      <c r="W65" s="6">
        <v>0</v>
      </c>
      <c r="X65" s="6">
        <v>0</v>
      </c>
      <c r="Y65" s="6">
        <v>0</v>
      </c>
      <c r="Z65" s="6">
        <v>0</v>
      </c>
      <c r="AA65" s="6">
        <v>0</v>
      </c>
      <c r="AB65" s="6">
        <v>0</v>
      </c>
    </row>
    <row r="66" spans="1:28" x14ac:dyDescent="0.25">
      <c r="A66" s="5" t="s">
        <v>808</v>
      </c>
      <c r="B66" s="5" t="s">
        <v>38</v>
      </c>
      <c r="C66" s="5">
        <v>31</v>
      </c>
      <c r="D66" s="5">
        <v>8</v>
      </c>
      <c r="E66" s="5" t="s">
        <v>726</v>
      </c>
      <c r="F66" s="5" t="s">
        <v>756</v>
      </c>
      <c r="G66" s="5">
        <v>0</v>
      </c>
      <c r="H66" s="5">
        <v>0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</row>
    <row r="67" spans="1:28" x14ac:dyDescent="0.25">
      <c r="A67" s="5" t="s">
        <v>855</v>
      </c>
      <c r="B67" s="5" t="s">
        <v>38</v>
      </c>
      <c r="C67" s="5">
        <v>29</v>
      </c>
      <c r="D67" s="5">
        <v>6</v>
      </c>
      <c r="E67" s="5" t="s">
        <v>856</v>
      </c>
      <c r="F67" s="5" t="s">
        <v>811</v>
      </c>
      <c r="G67" s="5">
        <v>0</v>
      </c>
      <c r="H67" s="5">
        <v>0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Z67" s="5">
        <v>0</v>
      </c>
      <c r="AA67" s="5">
        <v>0</v>
      </c>
      <c r="AB67" s="5">
        <v>0</v>
      </c>
    </row>
    <row r="68" spans="1:28" x14ac:dyDescent="0.25">
      <c r="A68" s="6" t="s">
        <v>857</v>
      </c>
      <c r="B68" s="6" t="s">
        <v>38</v>
      </c>
      <c r="C68" s="6">
        <v>29</v>
      </c>
      <c r="D68" s="6">
        <v>6</v>
      </c>
      <c r="E68" s="6" t="s">
        <v>205</v>
      </c>
      <c r="F68" s="6" t="s">
        <v>811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R68" s="6">
        <v>0</v>
      </c>
      <c r="S68" s="6">
        <v>0</v>
      </c>
      <c r="T68" s="6">
        <v>0</v>
      </c>
      <c r="U68" s="6">
        <v>0</v>
      </c>
      <c r="V68" s="6">
        <v>0</v>
      </c>
      <c r="W68" s="6">
        <v>0</v>
      </c>
      <c r="X68" s="6">
        <v>0</v>
      </c>
      <c r="Y68" s="6">
        <v>0</v>
      </c>
      <c r="Z68" s="6">
        <v>0</v>
      </c>
      <c r="AA68" s="6">
        <v>0</v>
      </c>
      <c r="AB68" s="6">
        <v>0</v>
      </c>
    </row>
    <row r="69" spans="1:28" x14ac:dyDescent="0.25">
      <c r="A69" s="5" t="s">
        <v>858</v>
      </c>
      <c r="B69" s="5" t="s">
        <v>38</v>
      </c>
      <c r="C69" s="5">
        <v>26</v>
      </c>
      <c r="D69" s="5">
        <v>2</v>
      </c>
      <c r="E69" s="5" t="s">
        <v>105</v>
      </c>
      <c r="F69" s="5" t="s">
        <v>811</v>
      </c>
      <c r="G69" s="5">
        <v>0</v>
      </c>
      <c r="H69" s="5">
        <v>0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Z69" s="5">
        <v>0</v>
      </c>
      <c r="AA69" s="5">
        <v>0</v>
      </c>
      <c r="AB69" s="5">
        <v>0</v>
      </c>
    </row>
    <row r="70" spans="1:28" x14ac:dyDescent="0.25">
      <c r="A70" s="6" t="s">
        <v>859</v>
      </c>
      <c r="B70" s="6" t="s">
        <v>38</v>
      </c>
      <c r="C70" s="6">
        <v>25</v>
      </c>
      <c r="D70" s="6">
        <v>3</v>
      </c>
      <c r="E70" s="6" t="s">
        <v>237</v>
      </c>
      <c r="F70" s="6" t="s">
        <v>811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U70" s="6">
        <v>0</v>
      </c>
      <c r="V70" s="6">
        <v>0</v>
      </c>
      <c r="W70" s="6">
        <v>0</v>
      </c>
      <c r="X70" s="6">
        <v>0</v>
      </c>
      <c r="Y70" s="6">
        <v>0</v>
      </c>
      <c r="Z70" s="6">
        <v>0</v>
      </c>
      <c r="AA70" s="6">
        <v>0</v>
      </c>
      <c r="AB70" s="6">
        <v>0</v>
      </c>
    </row>
    <row r="71" spans="1:28" x14ac:dyDescent="0.25">
      <c r="A71" s="5" t="s">
        <v>860</v>
      </c>
      <c r="B71" s="5" t="s">
        <v>38</v>
      </c>
      <c r="C71" s="5">
        <v>26</v>
      </c>
      <c r="D71" s="5">
        <v>1</v>
      </c>
      <c r="E71" s="5" t="s">
        <v>244</v>
      </c>
      <c r="F71" s="5" t="s">
        <v>811</v>
      </c>
      <c r="G71" s="5">
        <v>0</v>
      </c>
      <c r="H71" s="5">
        <v>0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Z71" s="5">
        <v>0</v>
      </c>
      <c r="AA71" s="5">
        <v>0</v>
      </c>
      <c r="AB71" s="5">
        <v>0</v>
      </c>
    </row>
    <row r="72" spans="1:28" x14ac:dyDescent="0.25">
      <c r="A72" s="6" t="s">
        <v>861</v>
      </c>
      <c r="B72" s="6" t="s">
        <v>38</v>
      </c>
      <c r="C72" s="6">
        <v>24</v>
      </c>
      <c r="D72" s="6">
        <v>0</v>
      </c>
      <c r="E72" s="6" t="s">
        <v>397</v>
      </c>
      <c r="F72" s="6" t="s">
        <v>811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S72" s="6">
        <v>0</v>
      </c>
      <c r="T72" s="6">
        <v>0</v>
      </c>
      <c r="U72" s="6">
        <v>0</v>
      </c>
      <c r="V72" s="6">
        <v>0</v>
      </c>
      <c r="W72" s="6">
        <v>0</v>
      </c>
      <c r="X72" s="6">
        <v>0</v>
      </c>
      <c r="Y72" s="6">
        <v>0</v>
      </c>
      <c r="Z72" s="6">
        <v>0</v>
      </c>
      <c r="AA72" s="6">
        <v>0</v>
      </c>
      <c r="AB72" s="6">
        <v>0</v>
      </c>
    </row>
    <row r="73" spans="1:28" x14ac:dyDescent="0.25">
      <c r="A73" s="5" t="s">
        <v>862</v>
      </c>
      <c r="B73" s="5" t="s">
        <v>38</v>
      </c>
      <c r="C73" s="5">
        <v>25</v>
      </c>
      <c r="D73" s="5">
        <v>2</v>
      </c>
      <c r="E73" s="5" t="s">
        <v>616</v>
      </c>
      <c r="F73" s="5" t="s">
        <v>811</v>
      </c>
      <c r="G73" s="5">
        <v>0</v>
      </c>
      <c r="H73" s="5">
        <v>0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Z73" s="5">
        <v>0</v>
      </c>
      <c r="AA73" s="5">
        <v>0</v>
      </c>
      <c r="AB73" s="5">
        <v>0</v>
      </c>
    </row>
    <row r="74" spans="1:28" x14ac:dyDescent="0.25">
      <c r="A74" s="6" t="s">
        <v>863</v>
      </c>
      <c r="B74" s="6" t="s">
        <v>38</v>
      </c>
      <c r="C74" s="6">
        <v>28</v>
      </c>
      <c r="D74" s="6">
        <v>6</v>
      </c>
      <c r="E74" s="6" t="s">
        <v>307</v>
      </c>
      <c r="F74" s="6" t="s">
        <v>811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S74" s="6">
        <v>0</v>
      </c>
      <c r="T74" s="6">
        <v>0</v>
      </c>
      <c r="U74" s="6">
        <v>0</v>
      </c>
      <c r="V74" s="6">
        <v>0</v>
      </c>
      <c r="W74" s="6">
        <v>0</v>
      </c>
      <c r="X74" s="6">
        <v>0</v>
      </c>
      <c r="Y74" s="6">
        <v>0</v>
      </c>
      <c r="Z74" s="6">
        <v>0</v>
      </c>
      <c r="AA74" s="6">
        <v>0</v>
      </c>
      <c r="AB74" s="6">
        <v>0</v>
      </c>
    </row>
    <row r="75" spans="1:28" x14ac:dyDescent="0.25">
      <c r="A75" s="5" t="s">
        <v>906</v>
      </c>
      <c r="B75" s="5" t="s">
        <v>38</v>
      </c>
      <c r="C75" s="5">
        <v>28</v>
      </c>
      <c r="D75" s="5">
        <v>7</v>
      </c>
      <c r="E75" s="5" t="s">
        <v>240</v>
      </c>
      <c r="F75" s="5" t="s">
        <v>866</v>
      </c>
      <c r="G75" s="5">
        <v>0</v>
      </c>
      <c r="H75" s="5">
        <v>0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 s="5">
        <v>0</v>
      </c>
      <c r="O75" s="5">
        <v>0</v>
      </c>
      <c r="P75" s="5">
        <v>0</v>
      </c>
      <c r="Q75" s="5">
        <v>0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Z75" s="5">
        <v>0</v>
      </c>
      <c r="AA75" s="5">
        <v>0</v>
      </c>
      <c r="AB75" s="5">
        <v>0</v>
      </c>
    </row>
    <row r="76" spans="1:28" x14ac:dyDescent="0.25">
      <c r="A76" s="6" t="s">
        <v>907</v>
      </c>
      <c r="B76" s="6" t="s">
        <v>38</v>
      </c>
      <c r="C76" s="6">
        <v>25</v>
      </c>
      <c r="D76" s="6">
        <v>3</v>
      </c>
      <c r="E76" s="6" t="s">
        <v>213</v>
      </c>
      <c r="F76" s="6" t="s">
        <v>866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R76" s="6">
        <v>0</v>
      </c>
      <c r="S76" s="6">
        <v>0</v>
      </c>
      <c r="T76" s="6">
        <v>0</v>
      </c>
      <c r="U76" s="6">
        <v>0</v>
      </c>
      <c r="V76" s="6">
        <v>0</v>
      </c>
      <c r="W76" s="6">
        <v>0</v>
      </c>
      <c r="X76" s="6">
        <v>0</v>
      </c>
      <c r="Y76" s="6">
        <v>0</v>
      </c>
      <c r="Z76" s="6">
        <v>0</v>
      </c>
      <c r="AA76" s="6">
        <v>0</v>
      </c>
      <c r="AB76" s="6">
        <v>0</v>
      </c>
    </row>
    <row r="77" spans="1:28" x14ac:dyDescent="0.25">
      <c r="A77" s="5" t="s">
        <v>908</v>
      </c>
      <c r="B77" s="5" t="s">
        <v>38</v>
      </c>
      <c r="C77" s="5">
        <v>25</v>
      </c>
      <c r="D77" s="5">
        <v>1</v>
      </c>
      <c r="E77" s="5" t="s">
        <v>909</v>
      </c>
      <c r="F77" s="5" t="s">
        <v>866</v>
      </c>
      <c r="G77" s="5">
        <v>0</v>
      </c>
      <c r="H77" s="5">
        <v>0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 s="5">
        <v>0</v>
      </c>
      <c r="O77" s="5">
        <v>0</v>
      </c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0</v>
      </c>
      <c r="Z77" s="5">
        <v>0</v>
      </c>
      <c r="AA77" s="5">
        <v>0</v>
      </c>
      <c r="AB77" s="5">
        <v>0</v>
      </c>
    </row>
    <row r="78" spans="1:28" x14ac:dyDescent="0.25">
      <c r="A78" s="6" t="s">
        <v>910</v>
      </c>
      <c r="B78" s="6" t="s">
        <v>38</v>
      </c>
      <c r="C78" s="6">
        <v>25</v>
      </c>
      <c r="D78" s="6">
        <v>1</v>
      </c>
      <c r="E78" s="6" t="s">
        <v>335</v>
      </c>
      <c r="F78" s="6" t="s">
        <v>866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S78" s="6">
        <v>0</v>
      </c>
      <c r="T78" s="6">
        <v>0</v>
      </c>
      <c r="U78" s="6">
        <v>0</v>
      </c>
      <c r="V78" s="6">
        <v>0</v>
      </c>
      <c r="W78" s="6">
        <v>0</v>
      </c>
      <c r="X78" s="6">
        <v>0</v>
      </c>
      <c r="Y78" s="6">
        <v>0</v>
      </c>
      <c r="Z78" s="6">
        <v>0</v>
      </c>
      <c r="AA78" s="6">
        <v>0</v>
      </c>
      <c r="AB78" s="6">
        <v>0</v>
      </c>
    </row>
    <row r="79" spans="1:28" x14ac:dyDescent="0.25">
      <c r="A79" s="5" t="s">
        <v>911</v>
      </c>
      <c r="B79" s="5" t="s">
        <v>38</v>
      </c>
      <c r="C79" s="5">
        <v>27</v>
      </c>
      <c r="D79" s="5">
        <v>2</v>
      </c>
      <c r="E79" s="5" t="s">
        <v>912</v>
      </c>
      <c r="F79" s="5" t="s">
        <v>866</v>
      </c>
      <c r="G79" s="5">
        <v>0</v>
      </c>
      <c r="H79" s="5">
        <v>0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 s="5">
        <v>0</v>
      </c>
      <c r="O79" s="5">
        <v>0</v>
      </c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0</v>
      </c>
      <c r="Z79" s="5">
        <v>0</v>
      </c>
      <c r="AA79" s="5">
        <v>0</v>
      </c>
      <c r="AB79" s="5">
        <v>0</v>
      </c>
    </row>
    <row r="80" spans="1:28" x14ac:dyDescent="0.25">
      <c r="A80" s="6" t="s">
        <v>913</v>
      </c>
      <c r="B80" s="6" t="s">
        <v>38</v>
      </c>
      <c r="C80" s="6">
        <v>22</v>
      </c>
      <c r="D80" s="6">
        <v>0</v>
      </c>
      <c r="E80" s="6" t="s">
        <v>339</v>
      </c>
      <c r="F80" s="6" t="s">
        <v>866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S80" s="6">
        <v>0</v>
      </c>
      <c r="T80" s="6">
        <v>0</v>
      </c>
      <c r="U80" s="6">
        <v>0</v>
      </c>
      <c r="V80" s="6">
        <v>0</v>
      </c>
      <c r="W80" s="6">
        <v>0</v>
      </c>
      <c r="X80" s="6">
        <v>0</v>
      </c>
      <c r="Y80" s="6">
        <v>0</v>
      </c>
      <c r="Z80" s="6">
        <v>0</v>
      </c>
      <c r="AA80" s="6">
        <v>0</v>
      </c>
      <c r="AB80" s="6">
        <v>0</v>
      </c>
    </row>
    <row r="81" spans="1:28" x14ac:dyDescent="0.25">
      <c r="A81" s="5" t="s">
        <v>960</v>
      </c>
      <c r="B81" s="5" t="s">
        <v>38</v>
      </c>
      <c r="C81" s="5">
        <v>32</v>
      </c>
      <c r="D81" s="5">
        <v>9</v>
      </c>
      <c r="E81" s="5" t="s">
        <v>68</v>
      </c>
      <c r="F81" s="5" t="s">
        <v>916</v>
      </c>
      <c r="G81" s="5">
        <v>0</v>
      </c>
      <c r="H81" s="5">
        <v>0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 s="5">
        <v>0</v>
      </c>
      <c r="O81" s="5">
        <v>0</v>
      </c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0</v>
      </c>
      <c r="Z81" s="5">
        <v>0</v>
      </c>
      <c r="AA81" s="5">
        <v>0</v>
      </c>
      <c r="AB81" s="5">
        <v>0</v>
      </c>
    </row>
    <row r="82" spans="1:28" x14ac:dyDescent="0.25">
      <c r="A82" s="6" t="s">
        <v>961</v>
      </c>
      <c r="B82" s="6" t="s">
        <v>38</v>
      </c>
      <c r="C82" s="6">
        <v>27</v>
      </c>
      <c r="D82" s="6">
        <v>3</v>
      </c>
      <c r="E82" s="6" t="s">
        <v>613</v>
      </c>
      <c r="F82" s="6" t="s">
        <v>916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6">
        <v>0</v>
      </c>
      <c r="O82" s="6">
        <v>0</v>
      </c>
      <c r="P82" s="6">
        <v>0</v>
      </c>
      <c r="Q82" s="6">
        <v>0</v>
      </c>
      <c r="R82" s="6">
        <v>0</v>
      </c>
      <c r="S82" s="6">
        <v>0</v>
      </c>
      <c r="T82" s="6">
        <v>0</v>
      </c>
      <c r="U82" s="6">
        <v>0</v>
      </c>
      <c r="V82" s="6">
        <v>0</v>
      </c>
      <c r="W82" s="6">
        <v>0</v>
      </c>
      <c r="X82" s="6">
        <v>0</v>
      </c>
      <c r="Y82" s="6">
        <v>0</v>
      </c>
      <c r="Z82" s="6">
        <v>0</v>
      </c>
      <c r="AA82" s="6">
        <v>0</v>
      </c>
      <c r="AB82" s="6">
        <v>0</v>
      </c>
    </row>
    <row r="83" spans="1:28" x14ac:dyDescent="0.25">
      <c r="A83" s="5" t="s">
        <v>962</v>
      </c>
      <c r="B83" s="5" t="s">
        <v>38</v>
      </c>
      <c r="C83" s="5">
        <v>27</v>
      </c>
      <c r="D83" s="5">
        <v>1</v>
      </c>
      <c r="E83" s="5" t="s">
        <v>82</v>
      </c>
      <c r="F83" s="5" t="s">
        <v>916</v>
      </c>
      <c r="G83" s="5">
        <v>0</v>
      </c>
      <c r="H83" s="5">
        <v>0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 s="5">
        <v>0</v>
      </c>
      <c r="O83" s="5">
        <v>0</v>
      </c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0</v>
      </c>
      <c r="Z83" s="5">
        <v>0</v>
      </c>
      <c r="AA83" s="5">
        <v>0</v>
      </c>
      <c r="AB83" s="5">
        <v>0</v>
      </c>
    </row>
    <row r="84" spans="1:28" x14ac:dyDescent="0.25">
      <c r="A84" s="6" t="s">
        <v>963</v>
      </c>
      <c r="B84" s="6" t="s">
        <v>38</v>
      </c>
      <c r="C84" s="6">
        <v>27</v>
      </c>
      <c r="D84" s="6">
        <v>3</v>
      </c>
      <c r="E84" s="6" t="s">
        <v>964</v>
      </c>
      <c r="F84" s="6" t="s">
        <v>916</v>
      </c>
      <c r="G84" s="6">
        <v>0</v>
      </c>
      <c r="H84" s="6">
        <v>0</v>
      </c>
      <c r="I84" s="6">
        <v>0</v>
      </c>
      <c r="J84" s="6">
        <v>0</v>
      </c>
      <c r="K84" s="6">
        <v>0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  <c r="S84" s="6">
        <v>0</v>
      </c>
      <c r="T84" s="6">
        <v>0</v>
      </c>
      <c r="U84" s="6">
        <v>0</v>
      </c>
      <c r="V84" s="6">
        <v>0</v>
      </c>
      <c r="W84" s="6">
        <v>0</v>
      </c>
      <c r="X84" s="6">
        <v>0</v>
      </c>
      <c r="Y84" s="6">
        <v>0</v>
      </c>
      <c r="Z84" s="6">
        <v>0</v>
      </c>
      <c r="AA84" s="6">
        <v>0</v>
      </c>
      <c r="AB84" s="6">
        <v>0</v>
      </c>
    </row>
    <row r="85" spans="1:28" x14ac:dyDescent="0.25">
      <c r="A85" s="5" t="s">
        <v>965</v>
      </c>
      <c r="B85" s="5" t="s">
        <v>38</v>
      </c>
      <c r="C85" s="5">
        <v>22</v>
      </c>
      <c r="D85" s="5">
        <v>0</v>
      </c>
      <c r="E85" s="5" t="s">
        <v>298</v>
      </c>
      <c r="F85" s="5" t="s">
        <v>916</v>
      </c>
      <c r="G85" s="5">
        <v>0</v>
      </c>
      <c r="H85" s="5">
        <v>0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 s="5">
        <v>0</v>
      </c>
      <c r="O85" s="5">
        <v>0</v>
      </c>
      <c r="P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0</v>
      </c>
      <c r="Z85" s="5">
        <v>0</v>
      </c>
      <c r="AA85" s="5">
        <v>0</v>
      </c>
      <c r="AB85" s="5">
        <v>0</v>
      </c>
    </row>
    <row r="86" spans="1:28" x14ac:dyDescent="0.25">
      <c r="A86" s="6" t="s">
        <v>966</v>
      </c>
      <c r="B86" s="6" t="s">
        <v>38</v>
      </c>
      <c r="C86" s="6">
        <v>24</v>
      </c>
      <c r="D86" s="6">
        <v>3</v>
      </c>
      <c r="E86" s="6" t="s">
        <v>697</v>
      </c>
      <c r="F86" s="6" t="s">
        <v>916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0</v>
      </c>
      <c r="N86" s="6">
        <v>0</v>
      </c>
      <c r="O86" s="6">
        <v>0</v>
      </c>
      <c r="P86" s="6">
        <v>0</v>
      </c>
      <c r="Q86" s="6">
        <v>0</v>
      </c>
      <c r="R86" s="6">
        <v>0</v>
      </c>
      <c r="S86" s="6">
        <v>0</v>
      </c>
      <c r="T86" s="6">
        <v>0</v>
      </c>
      <c r="U86" s="6">
        <v>0</v>
      </c>
      <c r="V86" s="6">
        <v>0</v>
      </c>
      <c r="W86" s="6">
        <v>0</v>
      </c>
      <c r="X86" s="6">
        <v>0</v>
      </c>
      <c r="Y86" s="6">
        <v>0</v>
      </c>
      <c r="Z86" s="6">
        <v>0</v>
      </c>
      <c r="AA86" s="6">
        <v>0</v>
      </c>
      <c r="AB86" s="6">
        <v>0</v>
      </c>
    </row>
    <row r="87" spans="1:28" x14ac:dyDescent="0.25">
      <c r="A87" s="5" t="s">
        <v>1014</v>
      </c>
      <c r="B87" s="5" t="s">
        <v>38</v>
      </c>
      <c r="C87" s="5">
        <v>29</v>
      </c>
      <c r="D87" s="5">
        <v>7</v>
      </c>
      <c r="E87" s="5" t="s">
        <v>519</v>
      </c>
      <c r="F87" s="5" t="s">
        <v>969</v>
      </c>
      <c r="G87" s="5">
        <v>0</v>
      </c>
      <c r="H87" s="5">
        <v>0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 s="5">
        <v>0</v>
      </c>
      <c r="O87" s="5">
        <v>0</v>
      </c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0</v>
      </c>
      <c r="Z87" s="5">
        <v>0</v>
      </c>
      <c r="AA87" s="5">
        <v>0</v>
      </c>
      <c r="AB87" s="5">
        <v>0</v>
      </c>
    </row>
    <row r="88" spans="1:28" x14ac:dyDescent="0.25">
      <c r="A88" s="6" t="s">
        <v>1015</v>
      </c>
      <c r="B88" s="6" t="s">
        <v>38</v>
      </c>
      <c r="C88" s="6">
        <v>22</v>
      </c>
      <c r="D88" s="6">
        <v>0</v>
      </c>
      <c r="E88" s="6" t="s">
        <v>418</v>
      </c>
      <c r="F88" s="6" t="s">
        <v>969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0</v>
      </c>
      <c r="Q88" s="6">
        <v>0</v>
      </c>
      <c r="R88" s="6">
        <v>0</v>
      </c>
      <c r="S88" s="6">
        <v>0</v>
      </c>
      <c r="T88" s="6">
        <v>0</v>
      </c>
      <c r="U88" s="6">
        <v>0</v>
      </c>
      <c r="V88" s="6">
        <v>0</v>
      </c>
      <c r="W88" s="6">
        <v>0</v>
      </c>
      <c r="X88" s="6">
        <v>0</v>
      </c>
      <c r="Y88" s="6">
        <v>0</v>
      </c>
      <c r="Z88" s="6">
        <v>0</v>
      </c>
      <c r="AA88" s="6">
        <v>0</v>
      </c>
      <c r="AB88" s="6">
        <v>0</v>
      </c>
    </row>
    <row r="89" spans="1:28" x14ac:dyDescent="0.25">
      <c r="A89" s="5" t="s">
        <v>1016</v>
      </c>
      <c r="B89" s="5" t="s">
        <v>38</v>
      </c>
      <c r="C89" s="5">
        <v>25</v>
      </c>
      <c r="D89" s="5">
        <v>1</v>
      </c>
      <c r="E89" s="5" t="s">
        <v>205</v>
      </c>
      <c r="F89" s="5" t="s">
        <v>969</v>
      </c>
      <c r="G89" s="5">
        <v>0</v>
      </c>
      <c r="H89" s="5">
        <v>0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 s="5">
        <v>0</v>
      </c>
      <c r="O89" s="5">
        <v>0</v>
      </c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0</v>
      </c>
      <c r="Z89" s="5">
        <v>0</v>
      </c>
      <c r="AA89" s="5">
        <v>0</v>
      </c>
      <c r="AB89" s="5">
        <v>0</v>
      </c>
    </row>
    <row r="90" spans="1:28" x14ac:dyDescent="0.25">
      <c r="A90" s="6" t="s">
        <v>1017</v>
      </c>
      <c r="B90" s="6" t="s">
        <v>38</v>
      </c>
      <c r="C90" s="6">
        <v>24</v>
      </c>
      <c r="D90" s="6">
        <v>3</v>
      </c>
      <c r="E90" s="6" t="s">
        <v>173</v>
      </c>
      <c r="F90" s="6" t="s">
        <v>969</v>
      </c>
      <c r="G90" s="6">
        <v>0</v>
      </c>
      <c r="H90" s="6">
        <v>0</v>
      </c>
      <c r="I90" s="6">
        <v>0</v>
      </c>
      <c r="J90" s="6">
        <v>0</v>
      </c>
      <c r="K90" s="6">
        <v>0</v>
      </c>
      <c r="L90" s="6">
        <v>0</v>
      </c>
      <c r="M90" s="6">
        <v>0</v>
      </c>
      <c r="N90" s="6">
        <v>0</v>
      </c>
      <c r="O90" s="6">
        <v>0</v>
      </c>
      <c r="P90" s="6">
        <v>0</v>
      </c>
      <c r="Q90" s="6">
        <v>0</v>
      </c>
      <c r="R90" s="6">
        <v>0</v>
      </c>
      <c r="S90" s="6">
        <v>0</v>
      </c>
      <c r="T90" s="6">
        <v>0</v>
      </c>
      <c r="U90" s="6">
        <v>0</v>
      </c>
      <c r="V90" s="6">
        <v>0</v>
      </c>
      <c r="W90" s="6">
        <v>0</v>
      </c>
      <c r="X90" s="6">
        <v>0</v>
      </c>
      <c r="Y90" s="6">
        <v>0</v>
      </c>
      <c r="Z90" s="6">
        <v>0</v>
      </c>
      <c r="AA90" s="6">
        <v>0</v>
      </c>
      <c r="AB90" s="6">
        <v>0</v>
      </c>
    </row>
    <row r="91" spans="1:28" x14ac:dyDescent="0.25">
      <c r="A91" s="5" t="s">
        <v>1018</v>
      </c>
      <c r="B91" s="5" t="s">
        <v>38</v>
      </c>
      <c r="C91" s="5">
        <v>26</v>
      </c>
      <c r="D91" s="5">
        <v>4</v>
      </c>
      <c r="E91" s="5" t="s">
        <v>1019</v>
      </c>
      <c r="F91" s="5" t="s">
        <v>969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Z91" s="5">
        <v>0</v>
      </c>
      <c r="AA91" s="5">
        <v>0</v>
      </c>
      <c r="AB91" s="5">
        <v>0</v>
      </c>
    </row>
    <row r="92" spans="1:28" x14ac:dyDescent="0.25">
      <c r="A92" s="5" t="s">
        <v>1066</v>
      </c>
      <c r="B92" s="5" t="s">
        <v>38</v>
      </c>
      <c r="C92" s="5">
        <v>22</v>
      </c>
      <c r="D92" s="5">
        <v>0</v>
      </c>
      <c r="E92" s="5" t="s">
        <v>458</v>
      </c>
      <c r="F92" s="5" t="s">
        <v>1021</v>
      </c>
      <c r="G92" s="5">
        <v>0</v>
      </c>
      <c r="H92" s="5">
        <v>0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Z92" s="5">
        <v>0</v>
      </c>
      <c r="AA92" s="5">
        <v>0</v>
      </c>
      <c r="AB92" s="5">
        <v>0</v>
      </c>
    </row>
    <row r="93" spans="1:28" x14ac:dyDescent="0.25">
      <c r="A93" s="6" t="s">
        <v>1067</v>
      </c>
      <c r="B93" s="6" t="s">
        <v>38</v>
      </c>
      <c r="C93" s="6">
        <v>30</v>
      </c>
      <c r="D93" s="6">
        <v>8</v>
      </c>
      <c r="E93" s="6" t="s">
        <v>1068</v>
      </c>
      <c r="F93" s="6" t="s">
        <v>1021</v>
      </c>
      <c r="G93" s="6">
        <v>0</v>
      </c>
      <c r="H93" s="6">
        <v>0</v>
      </c>
      <c r="I93" s="6">
        <v>0</v>
      </c>
      <c r="J93" s="6">
        <v>0</v>
      </c>
      <c r="K93" s="6">
        <v>0</v>
      </c>
      <c r="L93" s="6">
        <v>0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R93" s="6">
        <v>0</v>
      </c>
      <c r="S93" s="6">
        <v>0</v>
      </c>
      <c r="T93" s="6">
        <v>0</v>
      </c>
      <c r="U93" s="6">
        <v>0</v>
      </c>
      <c r="V93" s="6">
        <v>0</v>
      </c>
      <c r="W93" s="6">
        <v>0</v>
      </c>
      <c r="X93" s="6">
        <v>0</v>
      </c>
      <c r="Y93" s="6">
        <v>0</v>
      </c>
      <c r="Z93" s="6">
        <v>0</v>
      </c>
      <c r="AA93" s="6">
        <v>0</v>
      </c>
      <c r="AB93" s="6">
        <v>0</v>
      </c>
    </row>
    <row r="94" spans="1:28" x14ac:dyDescent="0.25">
      <c r="A94" s="5" t="s">
        <v>1069</v>
      </c>
      <c r="B94" s="5" t="s">
        <v>38</v>
      </c>
      <c r="C94" s="5">
        <v>26</v>
      </c>
      <c r="D94" s="5">
        <v>4</v>
      </c>
      <c r="E94" s="5" t="s">
        <v>62</v>
      </c>
      <c r="F94" s="5" t="s">
        <v>1021</v>
      </c>
      <c r="G94" s="5">
        <v>0</v>
      </c>
      <c r="H94" s="5">
        <v>0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Z94" s="5">
        <v>0</v>
      </c>
      <c r="AA94" s="5">
        <v>0</v>
      </c>
      <c r="AB94" s="5">
        <v>0</v>
      </c>
    </row>
    <row r="95" spans="1:28" x14ac:dyDescent="0.25">
      <c r="A95" s="6" t="s">
        <v>1070</v>
      </c>
      <c r="B95" s="6" t="s">
        <v>38</v>
      </c>
      <c r="C95" s="6">
        <v>26</v>
      </c>
      <c r="D95" s="6">
        <v>2</v>
      </c>
      <c r="E95" s="6" t="s">
        <v>93</v>
      </c>
      <c r="F95" s="6" t="s">
        <v>1021</v>
      </c>
      <c r="G95" s="6">
        <v>0</v>
      </c>
      <c r="H95" s="6">
        <v>0</v>
      </c>
      <c r="I95" s="6">
        <v>0</v>
      </c>
      <c r="J95" s="6">
        <v>0</v>
      </c>
      <c r="K95" s="6">
        <v>0</v>
      </c>
      <c r="L95" s="6">
        <v>0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R95" s="6">
        <v>0</v>
      </c>
      <c r="S95" s="6">
        <v>0</v>
      </c>
      <c r="T95" s="6">
        <v>0</v>
      </c>
      <c r="U95" s="6">
        <v>0</v>
      </c>
      <c r="V95" s="6">
        <v>0</v>
      </c>
      <c r="W95" s="6">
        <v>0</v>
      </c>
      <c r="X95" s="6">
        <v>0</v>
      </c>
      <c r="Y95" s="6">
        <v>0</v>
      </c>
      <c r="Z95" s="6">
        <v>0</v>
      </c>
      <c r="AA95" s="6">
        <v>0</v>
      </c>
      <c r="AB95" s="6">
        <v>0</v>
      </c>
    </row>
    <row r="96" spans="1:28" x14ac:dyDescent="0.25">
      <c r="A96" s="5" t="s">
        <v>1071</v>
      </c>
      <c r="B96" s="5" t="s">
        <v>38</v>
      </c>
      <c r="C96" s="5">
        <v>24</v>
      </c>
      <c r="D96" s="5">
        <v>3</v>
      </c>
      <c r="E96" s="5" t="s">
        <v>235</v>
      </c>
      <c r="F96" s="5" t="s">
        <v>1021</v>
      </c>
      <c r="G96" s="5">
        <v>0</v>
      </c>
      <c r="H96" s="5">
        <v>0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 s="5">
        <v>0</v>
      </c>
      <c r="O96" s="5">
        <v>0</v>
      </c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Z96" s="5">
        <v>0</v>
      </c>
      <c r="AA96" s="5">
        <v>0</v>
      </c>
      <c r="AB96" s="5">
        <v>0</v>
      </c>
    </row>
    <row r="97" spans="1:28" x14ac:dyDescent="0.25">
      <c r="A97" s="6" t="s">
        <v>1072</v>
      </c>
      <c r="B97" s="6" t="s">
        <v>38</v>
      </c>
      <c r="C97" s="6">
        <v>24</v>
      </c>
      <c r="D97" s="6">
        <v>1</v>
      </c>
      <c r="E97" s="6" t="s">
        <v>1012</v>
      </c>
      <c r="F97" s="6" t="s">
        <v>1021</v>
      </c>
      <c r="G97" s="6">
        <v>0</v>
      </c>
      <c r="H97" s="6">
        <v>0</v>
      </c>
      <c r="I97" s="6">
        <v>0</v>
      </c>
      <c r="J97" s="6">
        <v>0</v>
      </c>
      <c r="K97" s="6">
        <v>0</v>
      </c>
      <c r="L97" s="6">
        <v>0</v>
      </c>
      <c r="M97" s="6">
        <v>0</v>
      </c>
      <c r="N97" s="6">
        <v>0</v>
      </c>
      <c r="O97" s="6">
        <v>0</v>
      </c>
      <c r="P97" s="6">
        <v>0</v>
      </c>
      <c r="Q97" s="6">
        <v>0</v>
      </c>
      <c r="R97" s="6">
        <v>0</v>
      </c>
      <c r="S97" s="6">
        <v>0</v>
      </c>
      <c r="T97" s="6">
        <v>0</v>
      </c>
      <c r="U97" s="6">
        <v>0</v>
      </c>
      <c r="V97" s="6">
        <v>0</v>
      </c>
      <c r="W97" s="6">
        <v>0</v>
      </c>
      <c r="X97" s="6">
        <v>0</v>
      </c>
      <c r="Y97" s="6">
        <v>0</v>
      </c>
      <c r="Z97" s="6">
        <v>0</v>
      </c>
      <c r="AA97" s="6">
        <v>0</v>
      </c>
      <c r="AB97" s="6">
        <v>0</v>
      </c>
    </row>
    <row r="98" spans="1:28" x14ac:dyDescent="0.25">
      <c r="A98" s="5" t="s">
        <v>1120</v>
      </c>
      <c r="B98" s="5" t="s">
        <v>38</v>
      </c>
      <c r="C98" s="5">
        <v>25</v>
      </c>
      <c r="D98" s="5">
        <v>1</v>
      </c>
      <c r="E98" s="5" t="s">
        <v>207</v>
      </c>
      <c r="F98" s="5" t="s">
        <v>1075</v>
      </c>
      <c r="G98" s="5">
        <v>0</v>
      </c>
      <c r="H98" s="5">
        <v>0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 s="5">
        <v>0</v>
      </c>
      <c r="O98" s="5">
        <v>0</v>
      </c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Z98" s="5">
        <v>0</v>
      </c>
      <c r="AA98" s="5">
        <v>0</v>
      </c>
      <c r="AB98" s="5">
        <v>0</v>
      </c>
    </row>
    <row r="99" spans="1:28" x14ac:dyDescent="0.25">
      <c r="A99" s="6" t="s">
        <v>1121</v>
      </c>
      <c r="B99" s="6" t="s">
        <v>38</v>
      </c>
      <c r="C99" s="6">
        <v>29</v>
      </c>
      <c r="D99" s="6">
        <v>7</v>
      </c>
      <c r="E99" s="6" t="s">
        <v>272</v>
      </c>
      <c r="F99" s="6" t="s">
        <v>1075</v>
      </c>
      <c r="G99" s="6">
        <v>0</v>
      </c>
      <c r="H99" s="6">
        <v>0</v>
      </c>
      <c r="I99" s="6">
        <v>0</v>
      </c>
      <c r="J99" s="6">
        <v>0</v>
      </c>
      <c r="K99" s="6">
        <v>0</v>
      </c>
      <c r="L99" s="6">
        <v>0</v>
      </c>
      <c r="M99" s="6">
        <v>0</v>
      </c>
      <c r="N99" s="6">
        <v>0</v>
      </c>
      <c r="O99" s="6">
        <v>0</v>
      </c>
      <c r="P99" s="6">
        <v>0</v>
      </c>
      <c r="Q99" s="6">
        <v>0</v>
      </c>
      <c r="R99" s="6">
        <v>0</v>
      </c>
      <c r="S99" s="6">
        <v>0</v>
      </c>
      <c r="T99" s="6">
        <v>0</v>
      </c>
      <c r="U99" s="6">
        <v>0</v>
      </c>
      <c r="V99" s="6">
        <v>0</v>
      </c>
      <c r="W99" s="6">
        <v>0</v>
      </c>
      <c r="X99" s="6">
        <v>0</v>
      </c>
      <c r="Y99" s="6">
        <v>0</v>
      </c>
      <c r="Z99" s="6">
        <v>0</v>
      </c>
      <c r="AA99" s="6">
        <v>0</v>
      </c>
      <c r="AB99" s="6">
        <v>0</v>
      </c>
    </row>
    <row r="100" spans="1:28" x14ac:dyDescent="0.25">
      <c r="A100" s="5" t="s">
        <v>1122</v>
      </c>
      <c r="B100" s="5" t="s">
        <v>38</v>
      </c>
      <c r="C100" s="5">
        <v>28</v>
      </c>
      <c r="D100" s="5">
        <v>8</v>
      </c>
      <c r="E100" s="5" t="s">
        <v>102</v>
      </c>
      <c r="F100" s="5" t="s">
        <v>1075</v>
      </c>
      <c r="G100" s="5">
        <v>0</v>
      </c>
      <c r="H100" s="5">
        <v>0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Z100" s="5">
        <v>0</v>
      </c>
      <c r="AA100" s="5">
        <v>0</v>
      </c>
      <c r="AB100" s="5">
        <v>0</v>
      </c>
    </row>
    <row r="101" spans="1:28" x14ac:dyDescent="0.25">
      <c r="A101" s="6" t="s">
        <v>1123</v>
      </c>
      <c r="B101" s="6" t="s">
        <v>38</v>
      </c>
      <c r="C101" s="6">
        <v>26</v>
      </c>
      <c r="D101" s="6">
        <v>4</v>
      </c>
      <c r="E101" s="6" t="s">
        <v>415</v>
      </c>
      <c r="F101" s="6" t="s">
        <v>1075</v>
      </c>
      <c r="G101" s="6">
        <v>0</v>
      </c>
      <c r="H101" s="6">
        <v>0</v>
      </c>
      <c r="I101" s="6">
        <v>0</v>
      </c>
      <c r="J101" s="6">
        <v>0</v>
      </c>
      <c r="K101" s="6">
        <v>0</v>
      </c>
      <c r="L101" s="6">
        <v>0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R101" s="6">
        <v>0</v>
      </c>
      <c r="S101" s="6">
        <v>0</v>
      </c>
      <c r="T101" s="6">
        <v>0</v>
      </c>
      <c r="U101" s="6">
        <v>0</v>
      </c>
      <c r="V101" s="6">
        <v>0</v>
      </c>
      <c r="W101" s="6">
        <v>0</v>
      </c>
      <c r="X101" s="6">
        <v>0</v>
      </c>
      <c r="Y101" s="6">
        <v>0</v>
      </c>
      <c r="Z101" s="6">
        <v>0</v>
      </c>
      <c r="AA101" s="6">
        <v>0</v>
      </c>
      <c r="AB101" s="6">
        <v>0</v>
      </c>
    </row>
    <row r="102" spans="1:28" x14ac:dyDescent="0.25">
      <c r="A102" s="5" t="s">
        <v>1124</v>
      </c>
      <c r="B102" s="5" t="s">
        <v>38</v>
      </c>
      <c r="C102" s="5">
        <v>22</v>
      </c>
      <c r="D102" s="5">
        <v>0</v>
      </c>
      <c r="E102" s="5" t="s">
        <v>362</v>
      </c>
      <c r="F102" s="5" t="s">
        <v>1075</v>
      </c>
      <c r="G102" s="5">
        <v>0</v>
      </c>
      <c r="H102" s="5">
        <v>0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Z102" s="5">
        <v>0</v>
      </c>
      <c r="AA102" s="5">
        <v>0</v>
      </c>
      <c r="AB102" s="5">
        <v>0</v>
      </c>
    </row>
    <row r="103" spans="1:28" x14ac:dyDescent="0.25">
      <c r="A103" s="5" t="s">
        <v>1166</v>
      </c>
      <c r="B103" s="5" t="s">
        <v>38</v>
      </c>
      <c r="C103" s="5">
        <v>25</v>
      </c>
      <c r="D103" s="5">
        <v>2</v>
      </c>
      <c r="E103" s="5" t="s">
        <v>1167</v>
      </c>
      <c r="F103" s="5" t="s">
        <v>1127</v>
      </c>
      <c r="G103" s="5">
        <v>0</v>
      </c>
      <c r="H103" s="5">
        <v>0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Z103" s="5">
        <v>0</v>
      </c>
      <c r="AA103" s="5">
        <v>0</v>
      </c>
      <c r="AB103" s="5">
        <v>0</v>
      </c>
    </row>
    <row r="104" spans="1:28" x14ac:dyDescent="0.25">
      <c r="A104" s="6" t="s">
        <v>1168</v>
      </c>
      <c r="B104" s="6" t="s">
        <v>38</v>
      </c>
      <c r="C104" s="6">
        <v>22</v>
      </c>
      <c r="D104" s="6">
        <v>0</v>
      </c>
      <c r="E104" s="6" t="s">
        <v>102</v>
      </c>
      <c r="F104" s="6" t="s">
        <v>1127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R104" s="6">
        <v>0</v>
      </c>
      <c r="S104" s="6">
        <v>0</v>
      </c>
      <c r="T104" s="6">
        <v>0</v>
      </c>
      <c r="U104" s="6">
        <v>0</v>
      </c>
      <c r="V104" s="6">
        <v>0</v>
      </c>
      <c r="W104" s="6">
        <v>0</v>
      </c>
      <c r="X104" s="6">
        <v>0</v>
      </c>
      <c r="Y104" s="6">
        <v>0</v>
      </c>
      <c r="Z104" s="6">
        <v>0</v>
      </c>
      <c r="AA104" s="6">
        <v>0</v>
      </c>
      <c r="AB104" s="6">
        <v>0</v>
      </c>
    </row>
    <row r="105" spans="1:28" x14ac:dyDescent="0.25">
      <c r="A105" s="5" t="s">
        <v>1169</v>
      </c>
      <c r="B105" s="5" t="s">
        <v>38</v>
      </c>
      <c r="C105" s="5">
        <v>23</v>
      </c>
      <c r="D105" s="5">
        <v>0</v>
      </c>
      <c r="E105" s="5" t="s">
        <v>1170</v>
      </c>
      <c r="F105" s="5" t="s">
        <v>1127</v>
      </c>
      <c r="G105" s="5">
        <v>0</v>
      </c>
      <c r="H105" s="5">
        <v>0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Z105" s="5">
        <v>0</v>
      </c>
      <c r="AA105" s="5">
        <v>0</v>
      </c>
      <c r="AB105" s="5">
        <v>0</v>
      </c>
    </row>
    <row r="106" spans="1:28" x14ac:dyDescent="0.25">
      <c r="A106" s="6" t="s">
        <v>1171</v>
      </c>
      <c r="B106" s="6" t="s">
        <v>38</v>
      </c>
      <c r="C106" s="6">
        <v>30</v>
      </c>
      <c r="D106" s="6">
        <v>9</v>
      </c>
      <c r="E106" s="6" t="s">
        <v>215</v>
      </c>
      <c r="F106" s="6" t="s">
        <v>1127</v>
      </c>
      <c r="G106" s="6">
        <v>0</v>
      </c>
      <c r="H106" s="6">
        <v>0</v>
      </c>
      <c r="I106" s="6">
        <v>0</v>
      </c>
      <c r="J106" s="6">
        <v>0</v>
      </c>
      <c r="K106" s="6">
        <v>0</v>
      </c>
      <c r="L106" s="6">
        <v>0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R106" s="6">
        <v>0</v>
      </c>
      <c r="S106" s="6">
        <v>0</v>
      </c>
      <c r="T106" s="6">
        <v>0</v>
      </c>
      <c r="U106" s="6">
        <v>0</v>
      </c>
      <c r="V106" s="6">
        <v>0</v>
      </c>
      <c r="W106" s="6">
        <v>0</v>
      </c>
      <c r="X106" s="6">
        <v>0</v>
      </c>
      <c r="Y106" s="6">
        <v>0</v>
      </c>
      <c r="Z106" s="6">
        <v>0</v>
      </c>
      <c r="AA106" s="6">
        <v>0</v>
      </c>
      <c r="AB106" s="6">
        <v>0</v>
      </c>
    </row>
    <row r="107" spans="1:28" x14ac:dyDescent="0.25">
      <c r="A107" s="5" t="s">
        <v>1172</v>
      </c>
      <c r="B107" s="5" t="s">
        <v>38</v>
      </c>
      <c r="C107" s="5">
        <v>29</v>
      </c>
      <c r="D107" s="5">
        <v>6</v>
      </c>
      <c r="E107" s="5" t="s">
        <v>1173</v>
      </c>
      <c r="F107" s="5" t="s">
        <v>1127</v>
      </c>
      <c r="G107" s="5">
        <v>0</v>
      </c>
      <c r="H107" s="5">
        <v>0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Z107" s="5">
        <v>0</v>
      </c>
      <c r="AA107" s="5">
        <v>0</v>
      </c>
      <c r="AB107" s="5">
        <v>0</v>
      </c>
    </row>
    <row r="108" spans="1:28" x14ac:dyDescent="0.25">
      <c r="A108" s="5" t="s">
        <v>1215</v>
      </c>
      <c r="B108" s="5" t="s">
        <v>38</v>
      </c>
      <c r="C108" s="5">
        <v>26</v>
      </c>
      <c r="D108" s="5">
        <v>5</v>
      </c>
      <c r="E108" s="5" t="s">
        <v>100</v>
      </c>
      <c r="F108" s="5" t="s">
        <v>1176</v>
      </c>
      <c r="G108" s="5">
        <v>0</v>
      </c>
      <c r="H108" s="5">
        <v>0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Z108" s="5">
        <v>0</v>
      </c>
      <c r="AA108" s="5">
        <v>0</v>
      </c>
      <c r="AB108" s="5">
        <v>0</v>
      </c>
    </row>
    <row r="109" spans="1:28" x14ac:dyDescent="0.25">
      <c r="A109" s="6" t="s">
        <v>1216</v>
      </c>
      <c r="B109" s="6" t="s">
        <v>38</v>
      </c>
      <c r="C109" s="6">
        <v>28</v>
      </c>
      <c r="D109" s="6">
        <v>6</v>
      </c>
      <c r="E109" s="6" t="s">
        <v>205</v>
      </c>
      <c r="F109" s="6" t="s">
        <v>1176</v>
      </c>
      <c r="G109" s="6">
        <v>0</v>
      </c>
      <c r="H109" s="6">
        <v>0</v>
      </c>
      <c r="I109" s="6">
        <v>0</v>
      </c>
      <c r="J109" s="6">
        <v>0</v>
      </c>
      <c r="K109" s="6">
        <v>0</v>
      </c>
      <c r="L109" s="6">
        <v>0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R109" s="6">
        <v>0</v>
      </c>
      <c r="S109" s="6">
        <v>0</v>
      </c>
      <c r="T109" s="6">
        <v>0</v>
      </c>
      <c r="U109" s="6">
        <v>0</v>
      </c>
      <c r="V109" s="6">
        <v>0</v>
      </c>
      <c r="W109" s="6">
        <v>0</v>
      </c>
      <c r="X109" s="6">
        <v>0</v>
      </c>
      <c r="Y109" s="6">
        <v>0</v>
      </c>
      <c r="Z109" s="6">
        <v>0</v>
      </c>
      <c r="AA109" s="6">
        <v>0</v>
      </c>
      <c r="AB109" s="6">
        <v>0</v>
      </c>
    </row>
    <row r="110" spans="1:28" x14ac:dyDescent="0.25">
      <c r="A110" s="5" t="s">
        <v>1217</v>
      </c>
      <c r="B110" s="5" t="s">
        <v>38</v>
      </c>
      <c r="C110" s="5">
        <v>24</v>
      </c>
      <c r="D110" s="5">
        <v>2</v>
      </c>
      <c r="E110" s="5" t="s">
        <v>341</v>
      </c>
      <c r="F110" s="5" t="s">
        <v>1176</v>
      </c>
      <c r="G110" s="5">
        <v>0</v>
      </c>
      <c r="H110" s="5">
        <v>0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Z110" s="5">
        <v>0</v>
      </c>
      <c r="AA110" s="5">
        <v>0</v>
      </c>
      <c r="AB110" s="5">
        <v>0</v>
      </c>
    </row>
    <row r="111" spans="1:28" x14ac:dyDescent="0.25">
      <c r="A111" s="6" t="s">
        <v>1218</v>
      </c>
      <c r="B111" s="6" t="s">
        <v>38</v>
      </c>
      <c r="C111" s="6">
        <v>26</v>
      </c>
      <c r="D111" s="6">
        <v>5</v>
      </c>
      <c r="E111" s="6" t="s">
        <v>894</v>
      </c>
      <c r="F111" s="6" t="s">
        <v>1176</v>
      </c>
      <c r="G111" s="6">
        <v>0</v>
      </c>
      <c r="H111" s="6">
        <v>0</v>
      </c>
      <c r="I111" s="6">
        <v>0</v>
      </c>
      <c r="J111" s="6">
        <v>0</v>
      </c>
      <c r="K111" s="6">
        <v>0</v>
      </c>
      <c r="L111" s="6">
        <v>0</v>
      </c>
      <c r="M111" s="6">
        <v>0</v>
      </c>
      <c r="N111" s="6">
        <v>0</v>
      </c>
      <c r="O111" s="6">
        <v>0</v>
      </c>
      <c r="P111" s="6">
        <v>0</v>
      </c>
      <c r="Q111" s="6">
        <v>0</v>
      </c>
      <c r="R111" s="6">
        <v>0</v>
      </c>
      <c r="S111" s="6">
        <v>0</v>
      </c>
      <c r="T111" s="6">
        <v>0</v>
      </c>
      <c r="U111" s="6">
        <v>0</v>
      </c>
      <c r="V111" s="6">
        <v>0</v>
      </c>
      <c r="W111" s="6">
        <v>0</v>
      </c>
      <c r="X111" s="6">
        <v>0</v>
      </c>
      <c r="Y111" s="6">
        <v>0</v>
      </c>
      <c r="Z111" s="6">
        <v>0</v>
      </c>
      <c r="AA111" s="6">
        <v>0</v>
      </c>
      <c r="AB111" s="6">
        <v>0</v>
      </c>
    </row>
    <row r="112" spans="1:28" x14ac:dyDescent="0.25">
      <c r="A112" s="5" t="s">
        <v>1219</v>
      </c>
      <c r="B112" s="5" t="s">
        <v>38</v>
      </c>
      <c r="C112" s="5">
        <v>23</v>
      </c>
      <c r="D112" s="5">
        <v>0</v>
      </c>
      <c r="E112" s="5" t="s">
        <v>393</v>
      </c>
      <c r="F112" s="5" t="s">
        <v>1176</v>
      </c>
      <c r="G112" s="5">
        <v>0</v>
      </c>
      <c r="H112" s="5">
        <v>0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Z112" s="5">
        <v>0</v>
      </c>
      <c r="AA112" s="5">
        <v>0</v>
      </c>
      <c r="AB112" s="5">
        <v>0</v>
      </c>
    </row>
    <row r="113" spans="1:28" x14ac:dyDescent="0.25">
      <c r="A113" s="5" t="s">
        <v>1263</v>
      </c>
      <c r="B113" s="5" t="s">
        <v>38</v>
      </c>
      <c r="C113" s="5">
        <v>28</v>
      </c>
      <c r="D113" s="5">
        <v>6</v>
      </c>
      <c r="E113" s="5" t="s">
        <v>998</v>
      </c>
      <c r="F113" s="5" t="s">
        <v>1222</v>
      </c>
      <c r="G113" s="5">
        <v>0</v>
      </c>
      <c r="H113" s="5">
        <v>0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Z113" s="5">
        <v>0</v>
      </c>
      <c r="AA113" s="5">
        <v>0</v>
      </c>
      <c r="AB113" s="5">
        <v>0</v>
      </c>
    </row>
    <row r="114" spans="1:28" x14ac:dyDescent="0.25">
      <c r="A114" s="6" t="s">
        <v>1264</v>
      </c>
      <c r="B114" s="6" t="s">
        <v>38</v>
      </c>
      <c r="C114" s="6">
        <v>27</v>
      </c>
      <c r="D114" s="6">
        <v>6</v>
      </c>
      <c r="E114" s="6" t="s">
        <v>339</v>
      </c>
      <c r="F114" s="6" t="s">
        <v>1222</v>
      </c>
      <c r="G114" s="6">
        <v>0</v>
      </c>
      <c r="H114" s="6">
        <v>0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R114" s="6">
        <v>0</v>
      </c>
      <c r="S114" s="6">
        <v>0</v>
      </c>
      <c r="T114" s="6">
        <v>0</v>
      </c>
      <c r="U114" s="6">
        <v>0</v>
      </c>
      <c r="V114" s="6">
        <v>0</v>
      </c>
      <c r="W114" s="6">
        <v>0</v>
      </c>
      <c r="X114" s="6">
        <v>0</v>
      </c>
      <c r="Y114" s="6">
        <v>0</v>
      </c>
      <c r="Z114" s="6">
        <v>0</v>
      </c>
      <c r="AA114" s="6">
        <v>0</v>
      </c>
      <c r="AB114" s="6">
        <v>0</v>
      </c>
    </row>
    <row r="115" spans="1:28" x14ac:dyDescent="0.25">
      <c r="A115" s="5" t="s">
        <v>1265</v>
      </c>
      <c r="B115" s="5" t="s">
        <v>38</v>
      </c>
      <c r="C115" s="5">
        <v>28</v>
      </c>
      <c r="D115" s="5">
        <v>8</v>
      </c>
      <c r="E115" s="5" t="s">
        <v>175</v>
      </c>
      <c r="F115" s="5" t="s">
        <v>1222</v>
      </c>
      <c r="G115" s="5">
        <v>0</v>
      </c>
      <c r="H115" s="5">
        <v>0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Z115" s="5">
        <v>0</v>
      </c>
      <c r="AA115" s="5">
        <v>0</v>
      </c>
      <c r="AB115" s="5">
        <v>0</v>
      </c>
    </row>
    <row r="116" spans="1:28" x14ac:dyDescent="0.25">
      <c r="A116" s="6" t="s">
        <v>1266</v>
      </c>
      <c r="B116" s="6" t="s">
        <v>38</v>
      </c>
      <c r="C116" s="6">
        <v>25</v>
      </c>
      <c r="D116" s="6">
        <v>0</v>
      </c>
      <c r="E116" s="6" t="s">
        <v>574</v>
      </c>
      <c r="F116" s="6" t="s">
        <v>1222</v>
      </c>
      <c r="G116" s="6">
        <v>0</v>
      </c>
      <c r="H116" s="6">
        <v>0</v>
      </c>
      <c r="I116" s="6">
        <v>0</v>
      </c>
      <c r="J116" s="6">
        <v>0</v>
      </c>
      <c r="K116" s="6">
        <v>0</v>
      </c>
      <c r="L116" s="6">
        <v>0</v>
      </c>
      <c r="M116" s="6">
        <v>0</v>
      </c>
      <c r="N116" s="6">
        <v>0</v>
      </c>
      <c r="O116" s="6">
        <v>0</v>
      </c>
      <c r="P116" s="6">
        <v>0</v>
      </c>
      <c r="Q116" s="6">
        <v>0</v>
      </c>
      <c r="R116" s="6">
        <v>0</v>
      </c>
      <c r="S116" s="6">
        <v>0</v>
      </c>
      <c r="T116" s="6">
        <v>0</v>
      </c>
      <c r="U116" s="6">
        <v>0</v>
      </c>
      <c r="V116" s="6">
        <v>0</v>
      </c>
      <c r="W116" s="6">
        <v>0</v>
      </c>
      <c r="X116" s="6">
        <v>0</v>
      </c>
      <c r="Y116" s="6">
        <v>0</v>
      </c>
      <c r="Z116" s="6">
        <v>0</v>
      </c>
      <c r="AA116" s="6">
        <v>0</v>
      </c>
      <c r="AB116" s="6">
        <v>0</v>
      </c>
    </row>
    <row r="117" spans="1:28" x14ac:dyDescent="0.25">
      <c r="A117" s="5" t="s">
        <v>1267</v>
      </c>
      <c r="B117" s="5" t="s">
        <v>38</v>
      </c>
      <c r="C117" s="5">
        <v>27</v>
      </c>
      <c r="D117" s="5">
        <v>1</v>
      </c>
      <c r="E117" s="5" t="s">
        <v>744</v>
      </c>
      <c r="F117" s="5" t="s">
        <v>1222</v>
      </c>
      <c r="G117" s="5">
        <v>0</v>
      </c>
      <c r="H117" s="5">
        <v>0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Z117" s="5">
        <v>0</v>
      </c>
      <c r="AA117" s="5">
        <v>0</v>
      </c>
      <c r="AB117" s="5">
        <v>0</v>
      </c>
    </row>
    <row r="118" spans="1:28" x14ac:dyDescent="0.25">
      <c r="A118" s="5" t="s">
        <v>1312</v>
      </c>
      <c r="B118" s="5" t="s">
        <v>38</v>
      </c>
      <c r="C118" s="5">
        <v>36</v>
      </c>
      <c r="D118" s="5">
        <v>13</v>
      </c>
      <c r="E118" s="5" t="s">
        <v>397</v>
      </c>
      <c r="F118" s="5" t="s">
        <v>1270</v>
      </c>
      <c r="G118" s="5">
        <v>0</v>
      </c>
      <c r="H118" s="5">
        <v>0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Z118" s="5">
        <v>0</v>
      </c>
      <c r="AA118" s="5">
        <v>0</v>
      </c>
      <c r="AB118" s="5">
        <v>0</v>
      </c>
    </row>
    <row r="119" spans="1:28" x14ac:dyDescent="0.25">
      <c r="A119" s="6" t="s">
        <v>1313</v>
      </c>
      <c r="B119" s="6" t="s">
        <v>38</v>
      </c>
      <c r="C119" s="6">
        <v>32</v>
      </c>
      <c r="D119" s="6">
        <v>7</v>
      </c>
      <c r="E119" s="6" t="s">
        <v>82</v>
      </c>
      <c r="F119" s="6" t="s">
        <v>1270</v>
      </c>
      <c r="G119" s="6">
        <v>0</v>
      </c>
      <c r="H119" s="6">
        <v>0</v>
      </c>
      <c r="I119" s="6">
        <v>0</v>
      </c>
      <c r="J119" s="6">
        <v>0</v>
      </c>
      <c r="K119" s="6">
        <v>0</v>
      </c>
      <c r="L119" s="6">
        <v>0</v>
      </c>
      <c r="M119" s="6">
        <v>0</v>
      </c>
      <c r="N119" s="6">
        <v>0</v>
      </c>
      <c r="O119" s="6">
        <v>0</v>
      </c>
      <c r="P119" s="6">
        <v>0</v>
      </c>
      <c r="Q119" s="6">
        <v>0</v>
      </c>
      <c r="R119" s="6">
        <v>0</v>
      </c>
      <c r="S119" s="6">
        <v>0</v>
      </c>
      <c r="T119" s="6">
        <v>0</v>
      </c>
      <c r="U119" s="6">
        <v>0</v>
      </c>
      <c r="V119" s="6">
        <v>0</v>
      </c>
      <c r="W119" s="6">
        <v>0</v>
      </c>
      <c r="X119" s="6">
        <v>0</v>
      </c>
      <c r="Y119" s="6">
        <v>0</v>
      </c>
      <c r="Z119" s="6">
        <v>0</v>
      </c>
      <c r="AA119" s="6">
        <v>0</v>
      </c>
      <c r="AB119" s="6">
        <v>0</v>
      </c>
    </row>
    <row r="120" spans="1:28" x14ac:dyDescent="0.25">
      <c r="A120" s="5" t="s">
        <v>1314</v>
      </c>
      <c r="B120" s="5" t="s">
        <v>38</v>
      </c>
      <c r="C120" s="5">
        <v>29</v>
      </c>
      <c r="D120" s="5">
        <v>7</v>
      </c>
      <c r="E120" s="5" t="s">
        <v>74</v>
      </c>
      <c r="F120" s="5" t="s">
        <v>1270</v>
      </c>
      <c r="G120" s="5">
        <v>0</v>
      </c>
      <c r="H120" s="5">
        <v>0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Z120" s="5">
        <v>0</v>
      </c>
      <c r="AA120" s="5">
        <v>0</v>
      </c>
      <c r="AB120" s="5">
        <v>0</v>
      </c>
    </row>
    <row r="121" spans="1:28" x14ac:dyDescent="0.25">
      <c r="A121" s="6" t="s">
        <v>1315</v>
      </c>
      <c r="B121" s="6" t="s">
        <v>38</v>
      </c>
      <c r="C121" s="6">
        <v>29</v>
      </c>
      <c r="D121" s="6">
        <v>9</v>
      </c>
      <c r="E121" s="6" t="s">
        <v>339</v>
      </c>
      <c r="F121" s="6" t="s">
        <v>1270</v>
      </c>
      <c r="G121" s="6">
        <v>0</v>
      </c>
      <c r="H121" s="6">
        <v>0</v>
      </c>
      <c r="I121" s="6">
        <v>0</v>
      </c>
      <c r="J121" s="6">
        <v>0</v>
      </c>
      <c r="K121" s="6">
        <v>0</v>
      </c>
      <c r="L121" s="6">
        <v>0</v>
      </c>
      <c r="M121" s="6">
        <v>0</v>
      </c>
      <c r="N121" s="6">
        <v>0</v>
      </c>
      <c r="O121" s="6">
        <v>0</v>
      </c>
      <c r="P121" s="6">
        <v>0</v>
      </c>
      <c r="Q121" s="6">
        <v>0</v>
      </c>
      <c r="R121" s="6">
        <v>0</v>
      </c>
      <c r="S121" s="6">
        <v>0</v>
      </c>
      <c r="T121" s="6">
        <v>0</v>
      </c>
      <c r="U121" s="6">
        <v>0</v>
      </c>
      <c r="V121" s="6">
        <v>0</v>
      </c>
      <c r="W121" s="6">
        <v>0</v>
      </c>
      <c r="X121" s="6">
        <v>0</v>
      </c>
      <c r="Y121" s="6">
        <v>0</v>
      </c>
      <c r="Z121" s="6">
        <v>0</v>
      </c>
      <c r="AA121" s="6">
        <v>0</v>
      </c>
      <c r="AB121" s="6">
        <v>0</v>
      </c>
    </row>
    <row r="122" spans="1:28" x14ac:dyDescent="0.25">
      <c r="A122" s="5" t="s">
        <v>1316</v>
      </c>
      <c r="B122" s="5" t="s">
        <v>38</v>
      </c>
      <c r="C122" s="5">
        <v>26</v>
      </c>
      <c r="D122" s="5">
        <v>4</v>
      </c>
      <c r="E122" s="5" t="s">
        <v>205</v>
      </c>
      <c r="F122" s="5" t="s">
        <v>1270</v>
      </c>
      <c r="G122" s="5">
        <v>0</v>
      </c>
      <c r="H122" s="5">
        <v>0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Z122" s="5">
        <v>0</v>
      </c>
      <c r="AA122" s="5">
        <v>0</v>
      </c>
      <c r="AB122" s="5">
        <v>0</v>
      </c>
    </row>
    <row r="123" spans="1:28" x14ac:dyDescent="0.25">
      <c r="A123" s="6" t="s">
        <v>1317</v>
      </c>
      <c r="B123" s="6" t="s">
        <v>38</v>
      </c>
      <c r="C123" s="6">
        <v>25</v>
      </c>
      <c r="D123" s="6">
        <v>1</v>
      </c>
      <c r="E123" s="6" t="s">
        <v>74</v>
      </c>
      <c r="F123" s="6" t="s">
        <v>1270</v>
      </c>
      <c r="G123" s="6">
        <v>0</v>
      </c>
      <c r="H123" s="6">
        <v>0</v>
      </c>
      <c r="I123" s="6">
        <v>0</v>
      </c>
      <c r="J123" s="6">
        <v>0</v>
      </c>
      <c r="K123" s="6">
        <v>0</v>
      </c>
      <c r="L123" s="6">
        <v>0</v>
      </c>
      <c r="M123" s="6">
        <v>0</v>
      </c>
      <c r="N123" s="6">
        <v>0</v>
      </c>
      <c r="O123" s="6">
        <v>0</v>
      </c>
      <c r="P123" s="6">
        <v>0</v>
      </c>
      <c r="Q123" s="6">
        <v>0</v>
      </c>
      <c r="R123" s="6">
        <v>0</v>
      </c>
      <c r="S123" s="6">
        <v>0</v>
      </c>
      <c r="T123" s="6">
        <v>0</v>
      </c>
      <c r="U123" s="6">
        <v>0</v>
      </c>
      <c r="V123" s="6">
        <v>0</v>
      </c>
      <c r="W123" s="6">
        <v>0</v>
      </c>
      <c r="X123" s="6">
        <v>0</v>
      </c>
      <c r="Y123" s="6">
        <v>0</v>
      </c>
      <c r="Z123" s="6">
        <v>0</v>
      </c>
      <c r="AA123" s="6">
        <v>0</v>
      </c>
      <c r="AB123" s="6">
        <v>0</v>
      </c>
    </row>
    <row r="124" spans="1:28" x14ac:dyDescent="0.25">
      <c r="A124" s="5" t="s">
        <v>1359</v>
      </c>
      <c r="B124" s="5" t="s">
        <v>38</v>
      </c>
      <c r="C124" s="5">
        <v>22</v>
      </c>
      <c r="D124" s="5">
        <v>2</v>
      </c>
      <c r="E124" s="5" t="s">
        <v>795</v>
      </c>
      <c r="F124" s="5" t="s">
        <v>1320</v>
      </c>
      <c r="G124" s="5">
        <v>0</v>
      </c>
      <c r="H124" s="5">
        <v>0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Z124" s="5">
        <v>0</v>
      </c>
      <c r="AA124" s="5">
        <v>0</v>
      </c>
      <c r="AB124" s="5">
        <v>0</v>
      </c>
    </row>
    <row r="125" spans="1:28" x14ac:dyDescent="0.25">
      <c r="A125" s="6" t="s">
        <v>1360</v>
      </c>
      <c r="B125" s="6" t="s">
        <v>38</v>
      </c>
      <c r="C125" s="6">
        <v>25</v>
      </c>
      <c r="D125" s="6">
        <v>3</v>
      </c>
      <c r="E125" s="6" t="s">
        <v>173</v>
      </c>
      <c r="F125" s="6" t="s">
        <v>1320</v>
      </c>
      <c r="G125" s="6">
        <v>0</v>
      </c>
      <c r="H125" s="6">
        <v>0</v>
      </c>
      <c r="I125" s="6">
        <v>0</v>
      </c>
      <c r="J125" s="6">
        <v>0</v>
      </c>
      <c r="K125" s="6">
        <v>0</v>
      </c>
      <c r="L125" s="6">
        <v>0</v>
      </c>
      <c r="M125" s="6">
        <v>0</v>
      </c>
      <c r="N125" s="6">
        <v>0</v>
      </c>
      <c r="O125" s="6">
        <v>0</v>
      </c>
      <c r="P125" s="6">
        <v>0</v>
      </c>
      <c r="Q125" s="6">
        <v>0</v>
      </c>
      <c r="R125" s="6">
        <v>0</v>
      </c>
      <c r="S125" s="6">
        <v>0</v>
      </c>
      <c r="T125" s="6">
        <v>0</v>
      </c>
      <c r="U125" s="6">
        <v>0</v>
      </c>
      <c r="V125" s="6">
        <v>0</v>
      </c>
      <c r="W125" s="6">
        <v>0</v>
      </c>
      <c r="X125" s="6">
        <v>0</v>
      </c>
      <c r="Y125" s="6">
        <v>0</v>
      </c>
      <c r="Z125" s="6">
        <v>0</v>
      </c>
      <c r="AA125" s="6">
        <v>0</v>
      </c>
      <c r="AB125" s="6">
        <v>0</v>
      </c>
    </row>
    <row r="126" spans="1:28" x14ac:dyDescent="0.25">
      <c r="A126" s="5" t="s">
        <v>1361</v>
      </c>
      <c r="B126" s="5" t="s">
        <v>38</v>
      </c>
      <c r="C126" s="5">
        <v>23</v>
      </c>
      <c r="D126" s="5">
        <v>0</v>
      </c>
      <c r="E126" s="5" t="s">
        <v>220</v>
      </c>
      <c r="F126" s="5" t="s">
        <v>1320</v>
      </c>
      <c r="G126" s="5">
        <v>0</v>
      </c>
      <c r="H126" s="5">
        <v>0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Z126" s="5">
        <v>0</v>
      </c>
      <c r="AA126" s="5">
        <v>0</v>
      </c>
      <c r="AB126" s="5">
        <v>0</v>
      </c>
    </row>
    <row r="127" spans="1:28" x14ac:dyDescent="0.25">
      <c r="A127" s="6" t="s">
        <v>1362</v>
      </c>
      <c r="B127" s="6" t="s">
        <v>38</v>
      </c>
      <c r="C127" s="6">
        <v>28</v>
      </c>
      <c r="D127" s="6">
        <v>5</v>
      </c>
      <c r="E127" s="6" t="s">
        <v>235</v>
      </c>
      <c r="F127" s="6" t="s">
        <v>1320</v>
      </c>
      <c r="G127" s="6">
        <v>0</v>
      </c>
      <c r="H127" s="6">
        <v>0</v>
      </c>
      <c r="I127" s="6">
        <v>0</v>
      </c>
      <c r="J127" s="6">
        <v>0</v>
      </c>
      <c r="K127" s="6">
        <v>0</v>
      </c>
      <c r="L127" s="6">
        <v>0</v>
      </c>
      <c r="M127" s="6">
        <v>0</v>
      </c>
      <c r="N127" s="6">
        <v>0</v>
      </c>
      <c r="O127" s="6">
        <v>0</v>
      </c>
      <c r="P127" s="6">
        <v>0</v>
      </c>
      <c r="Q127" s="6">
        <v>0</v>
      </c>
      <c r="R127" s="6">
        <v>0</v>
      </c>
      <c r="S127" s="6">
        <v>0</v>
      </c>
      <c r="T127" s="6">
        <v>0</v>
      </c>
      <c r="U127" s="6">
        <v>0</v>
      </c>
      <c r="V127" s="6">
        <v>0</v>
      </c>
      <c r="W127" s="6">
        <v>0</v>
      </c>
      <c r="X127" s="6">
        <v>0</v>
      </c>
      <c r="Y127" s="6">
        <v>0</v>
      </c>
      <c r="Z127" s="6">
        <v>0</v>
      </c>
      <c r="AA127" s="6">
        <v>0</v>
      </c>
      <c r="AB127" s="6">
        <v>0</v>
      </c>
    </row>
    <row r="128" spans="1:28" x14ac:dyDescent="0.25">
      <c r="A128" s="5" t="s">
        <v>1406</v>
      </c>
      <c r="B128" s="5" t="s">
        <v>38</v>
      </c>
      <c r="C128" s="5">
        <v>28</v>
      </c>
      <c r="D128" s="5">
        <v>6</v>
      </c>
      <c r="E128" s="5" t="s">
        <v>309</v>
      </c>
      <c r="F128" s="5" t="s">
        <v>1365</v>
      </c>
      <c r="G128" s="5">
        <v>0</v>
      </c>
      <c r="H128" s="5">
        <v>0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Z128" s="5">
        <v>0</v>
      </c>
      <c r="AA128" s="5">
        <v>0</v>
      </c>
      <c r="AB128" s="5">
        <v>0</v>
      </c>
    </row>
    <row r="129" spans="1:28" x14ac:dyDescent="0.25">
      <c r="A129" s="6" t="s">
        <v>1407</v>
      </c>
      <c r="B129" s="6" t="s">
        <v>38</v>
      </c>
      <c r="C129" s="6">
        <v>24</v>
      </c>
      <c r="D129" s="6">
        <v>0</v>
      </c>
      <c r="E129" s="6" t="s">
        <v>455</v>
      </c>
      <c r="F129" s="6" t="s">
        <v>1365</v>
      </c>
      <c r="G129" s="6">
        <v>0</v>
      </c>
      <c r="H129" s="6">
        <v>0</v>
      </c>
      <c r="I129" s="6">
        <v>0</v>
      </c>
      <c r="J129" s="6">
        <v>0</v>
      </c>
      <c r="K129" s="6">
        <v>0</v>
      </c>
      <c r="L129" s="6">
        <v>0</v>
      </c>
      <c r="M129" s="6">
        <v>0</v>
      </c>
      <c r="N129" s="6">
        <v>0</v>
      </c>
      <c r="O129" s="6">
        <v>0</v>
      </c>
      <c r="P129" s="6">
        <v>0</v>
      </c>
      <c r="Q129" s="6">
        <v>0</v>
      </c>
      <c r="R129" s="6">
        <v>0</v>
      </c>
      <c r="S129" s="6">
        <v>0</v>
      </c>
      <c r="T129" s="6">
        <v>0</v>
      </c>
      <c r="U129" s="6">
        <v>0</v>
      </c>
      <c r="V129" s="6">
        <v>0</v>
      </c>
      <c r="W129" s="6">
        <v>0</v>
      </c>
      <c r="X129" s="6">
        <v>0</v>
      </c>
      <c r="Y129" s="6">
        <v>0</v>
      </c>
      <c r="Z129" s="6">
        <v>0</v>
      </c>
      <c r="AA129" s="6">
        <v>0</v>
      </c>
      <c r="AB129" s="6">
        <v>0</v>
      </c>
    </row>
    <row r="130" spans="1:28" x14ac:dyDescent="0.25">
      <c r="A130" s="5" t="s">
        <v>1408</v>
      </c>
      <c r="B130" s="5" t="s">
        <v>38</v>
      </c>
      <c r="C130" s="5">
        <v>24</v>
      </c>
      <c r="D130" s="5">
        <v>0</v>
      </c>
      <c r="E130" s="5" t="s">
        <v>98</v>
      </c>
      <c r="F130" s="5" t="s">
        <v>1365</v>
      </c>
      <c r="G130" s="5">
        <v>0</v>
      </c>
      <c r="H130" s="5">
        <v>0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0</v>
      </c>
      <c r="Q130" s="5">
        <v>0</v>
      </c>
      <c r="R130" s="5">
        <v>0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Z130" s="5">
        <v>0</v>
      </c>
      <c r="AA130" s="5">
        <v>0</v>
      </c>
      <c r="AB130" s="5">
        <v>0</v>
      </c>
    </row>
    <row r="131" spans="1:28" x14ac:dyDescent="0.25">
      <c r="A131" s="6" t="s">
        <v>1409</v>
      </c>
      <c r="B131" s="6" t="s">
        <v>38</v>
      </c>
      <c r="C131" s="6">
        <v>23</v>
      </c>
      <c r="D131" s="6">
        <v>2</v>
      </c>
      <c r="E131" s="6" t="s">
        <v>213</v>
      </c>
      <c r="F131" s="6" t="s">
        <v>1365</v>
      </c>
      <c r="G131" s="6">
        <v>0</v>
      </c>
      <c r="H131" s="6">
        <v>0</v>
      </c>
      <c r="I131" s="6">
        <v>0</v>
      </c>
      <c r="J131" s="6">
        <v>0</v>
      </c>
      <c r="K131" s="6">
        <v>0</v>
      </c>
      <c r="L131" s="6">
        <v>0</v>
      </c>
      <c r="M131" s="6">
        <v>0</v>
      </c>
      <c r="N131" s="6">
        <v>0</v>
      </c>
      <c r="O131" s="6">
        <v>0</v>
      </c>
      <c r="P131" s="6">
        <v>0</v>
      </c>
      <c r="Q131" s="6">
        <v>0</v>
      </c>
      <c r="R131" s="6">
        <v>0</v>
      </c>
      <c r="S131" s="6">
        <v>0</v>
      </c>
      <c r="T131" s="6">
        <v>0</v>
      </c>
      <c r="U131" s="6">
        <v>0</v>
      </c>
      <c r="V131" s="6">
        <v>0</v>
      </c>
      <c r="W131" s="6">
        <v>0</v>
      </c>
      <c r="X131" s="6">
        <v>0</v>
      </c>
      <c r="Y131" s="6">
        <v>0</v>
      </c>
      <c r="Z131" s="6">
        <v>0</v>
      </c>
      <c r="AA131" s="6">
        <v>0</v>
      </c>
      <c r="AB131" s="6">
        <v>0</v>
      </c>
    </row>
    <row r="132" spans="1:28" x14ac:dyDescent="0.25">
      <c r="A132" s="5" t="s">
        <v>1410</v>
      </c>
      <c r="B132" s="5" t="s">
        <v>38</v>
      </c>
      <c r="C132" s="5">
        <v>30</v>
      </c>
      <c r="D132" s="5">
        <v>9</v>
      </c>
      <c r="E132" s="5" t="s">
        <v>464</v>
      </c>
      <c r="F132" s="5" t="s">
        <v>1365</v>
      </c>
      <c r="G132" s="5">
        <v>0</v>
      </c>
      <c r="H132" s="5">
        <v>0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0</v>
      </c>
      <c r="Q132" s="5">
        <v>0</v>
      </c>
      <c r="R132" s="5">
        <v>0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Z132" s="5">
        <v>0</v>
      </c>
      <c r="AA132" s="5">
        <v>0</v>
      </c>
      <c r="AB132" s="5">
        <v>0</v>
      </c>
    </row>
    <row r="133" spans="1:28" x14ac:dyDescent="0.25">
      <c r="A133" s="5" t="s">
        <v>1449</v>
      </c>
      <c r="B133" s="5" t="s">
        <v>38</v>
      </c>
      <c r="C133" s="5">
        <v>28</v>
      </c>
      <c r="D133" s="5">
        <v>7</v>
      </c>
      <c r="E133" s="5" t="s">
        <v>1450</v>
      </c>
      <c r="F133" s="5" t="s">
        <v>1413</v>
      </c>
      <c r="G133" s="5">
        <v>0</v>
      </c>
      <c r="H133" s="5">
        <v>0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0</v>
      </c>
      <c r="Q133" s="5">
        <v>0</v>
      </c>
      <c r="R133" s="5">
        <v>0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Z133" s="5">
        <v>0</v>
      </c>
      <c r="AA133" s="5">
        <v>0</v>
      </c>
      <c r="AB133" s="5">
        <v>0</v>
      </c>
    </row>
    <row r="134" spans="1:28" x14ac:dyDescent="0.25">
      <c r="A134" s="6" t="s">
        <v>1451</v>
      </c>
      <c r="B134" s="6" t="s">
        <v>38</v>
      </c>
      <c r="C134" s="6">
        <v>24</v>
      </c>
      <c r="D134" s="6">
        <v>2</v>
      </c>
      <c r="E134" s="6" t="s">
        <v>237</v>
      </c>
      <c r="F134" s="6" t="s">
        <v>1413</v>
      </c>
      <c r="G134" s="6">
        <v>0</v>
      </c>
      <c r="H134" s="6">
        <v>0</v>
      </c>
      <c r="I134" s="6">
        <v>0</v>
      </c>
      <c r="J134" s="6">
        <v>0</v>
      </c>
      <c r="K134" s="6">
        <v>0</v>
      </c>
      <c r="L134" s="6">
        <v>0</v>
      </c>
      <c r="M134" s="6">
        <v>0</v>
      </c>
      <c r="N134" s="6">
        <v>0</v>
      </c>
      <c r="O134" s="6">
        <v>0</v>
      </c>
      <c r="P134" s="6">
        <v>0</v>
      </c>
      <c r="Q134" s="6">
        <v>0</v>
      </c>
      <c r="R134" s="6">
        <v>0</v>
      </c>
      <c r="S134" s="6">
        <v>0</v>
      </c>
      <c r="T134" s="6">
        <v>0</v>
      </c>
      <c r="U134" s="6">
        <v>0</v>
      </c>
      <c r="V134" s="6">
        <v>0</v>
      </c>
      <c r="W134" s="6">
        <v>0</v>
      </c>
      <c r="X134" s="6">
        <v>0</v>
      </c>
      <c r="Y134" s="6">
        <v>0</v>
      </c>
      <c r="Z134" s="6">
        <v>0</v>
      </c>
      <c r="AA134" s="6">
        <v>0</v>
      </c>
      <c r="AB134" s="6">
        <v>0</v>
      </c>
    </row>
    <row r="135" spans="1:28" x14ac:dyDescent="0.25">
      <c r="A135" s="5" t="s">
        <v>1452</v>
      </c>
      <c r="B135" s="5" t="s">
        <v>38</v>
      </c>
      <c r="C135" s="5">
        <v>28</v>
      </c>
      <c r="D135" s="5">
        <v>6</v>
      </c>
      <c r="E135" s="5" t="s">
        <v>753</v>
      </c>
      <c r="F135" s="5" t="s">
        <v>1413</v>
      </c>
      <c r="G135" s="5">
        <v>0</v>
      </c>
      <c r="H135" s="5">
        <v>0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 s="5">
        <v>0</v>
      </c>
      <c r="O135" s="5">
        <v>0</v>
      </c>
      <c r="P135" s="5">
        <v>0</v>
      </c>
      <c r="Q135" s="5">
        <v>0</v>
      </c>
      <c r="R135" s="5">
        <v>0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Z135" s="5">
        <v>0</v>
      </c>
      <c r="AA135" s="5">
        <v>0</v>
      </c>
      <c r="AB135" s="5">
        <v>0</v>
      </c>
    </row>
    <row r="136" spans="1:28" x14ac:dyDescent="0.25">
      <c r="A136" s="6" t="s">
        <v>1453</v>
      </c>
      <c r="B136" s="6" t="s">
        <v>38</v>
      </c>
      <c r="C136" s="6">
        <v>25</v>
      </c>
      <c r="D136" s="6">
        <v>3</v>
      </c>
      <c r="E136" s="6" t="s">
        <v>806</v>
      </c>
      <c r="F136" s="6" t="s">
        <v>1413</v>
      </c>
      <c r="G136" s="6">
        <v>0</v>
      </c>
      <c r="H136" s="6">
        <v>0</v>
      </c>
      <c r="I136" s="6">
        <v>0</v>
      </c>
      <c r="J136" s="6">
        <v>0</v>
      </c>
      <c r="K136" s="6">
        <v>0</v>
      </c>
      <c r="L136" s="6">
        <v>0</v>
      </c>
      <c r="M136" s="6">
        <v>0</v>
      </c>
      <c r="N136" s="6">
        <v>0</v>
      </c>
      <c r="O136" s="6">
        <v>0</v>
      </c>
      <c r="P136" s="6">
        <v>0</v>
      </c>
      <c r="Q136" s="6">
        <v>0</v>
      </c>
      <c r="R136" s="6">
        <v>0</v>
      </c>
      <c r="S136" s="6">
        <v>0</v>
      </c>
      <c r="T136" s="6">
        <v>0</v>
      </c>
      <c r="U136" s="6">
        <v>0</v>
      </c>
      <c r="V136" s="6">
        <v>0</v>
      </c>
      <c r="W136" s="6">
        <v>0</v>
      </c>
      <c r="X136" s="6">
        <v>0</v>
      </c>
      <c r="Y136" s="6">
        <v>0</v>
      </c>
      <c r="Z136" s="6">
        <v>0</v>
      </c>
      <c r="AA136" s="6">
        <v>0</v>
      </c>
      <c r="AB136" s="6">
        <v>0</v>
      </c>
    </row>
    <row r="137" spans="1:28" x14ac:dyDescent="0.25">
      <c r="A137" s="5" t="s">
        <v>1454</v>
      </c>
      <c r="B137" s="5" t="s">
        <v>38</v>
      </c>
      <c r="C137" s="5">
        <v>24</v>
      </c>
      <c r="D137" s="5">
        <v>0</v>
      </c>
      <c r="E137" s="5" t="s">
        <v>84</v>
      </c>
      <c r="F137" s="5" t="s">
        <v>1413</v>
      </c>
      <c r="G137" s="5">
        <v>0</v>
      </c>
      <c r="H137" s="5">
        <v>0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0</v>
      </c>
      <c r="Q137" s="5">
        <v>0</v>
      </c>
      <c r="R137" s="5">
        <v>0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Z137" s="5">
        <v>0</v>
      </c>
      <c r="AA137" s="5">
        <v>0</v>
      </c>
      <c r="AB137" s="5">
        <v>0</v>
      </c>
    </row>
    <row r="138" spans="1:28" x14ac:dyDescent="0.25">
      <c r="A138" s="5" t="s">
        <v>1497</v>
      </c>
      <c r="B138" s="5" t="s">
        <v>38</v>
      </c>
      <c r="C138" s="5">
        <v>24</v>
      </c>
      <c r="D138" s="5">
        <v>3</v>
      </c>
      <c r="E138" s="5" t="s">
        <v>339</v>
      </c>
      <c r="F138" s="5" t="s">
        <v>1457</v>
      </c>
      <c r="G138" s="5">
        <v>0</v>
      </c>
      <c r="H138" s="5">
        <v>0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 s="5">
        <v>0</v>
      </c>
      <c r="O138" s="5">
        <v>0</v>
      </c>
      <c r="P138" s="5">
        <v>0</v>
      </c>
      <c r="Q138" s="5">
        <v>0</v>
      </c>
      <c r="R138" s="5">
        <v>0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Z138" s="5">
        <v>0</v>
      </c>
      <c r="AA138" s="5">
        <v>0</v>
      </c>
      <c r="AB138" s="5">
        <v>0</v>
      </c>
    </row>
    <row r="139" spans="1:28" x14ac:dyDescent="0.25">
      <c r="A139" s="6" t="s">
        <v>1498</v>
      </c>
      <c r="B139" s="6" t="s">
        <v>38</v>
      </c>
      <c r="C139" s="6">
        <v>26</v>
      </c>
      <c r="D139" s="6">
        <v>5</v>
      </c>
      <c r="E139" s="6" t="s">
        <v>105</v>
      </c>
      <c r="F139" s="6" t="s">
        <v>1457</v>
      </c>
      <c r="G139" s="6">
        <v>0</v>
      </c>
      <c r="H139" s="6">
        <v>0</v>
      </c>
      <c r="I139" s="6">
        <v>0</v>
      </c>
      <c r="J139" s="6">
        <v>0</v>
      </c>
      <c r="K139" s="6">
        <v>0</v>
      </c>
      <c r="L139" s="6">
        <v>0</v>
      </c>
      <c r="M139" s="6">
        <v>0</v>
      </c>
      <c r="N139" s="6">
        <v>0</v>
      </c>
      <c r="O139" s="6">
        <v>0</v>
      </c>
      <c r="P139" s="6">
        <v>0</v>
      </c>
      <c r="Q139" s="6">
        <v>0</v>
      </c>
      <c r="R139" s="6">
        <v>0</v>
      </c>
      <c r="S139" s="6">
        <v>0</v>
      </c>
      <c r="T139" s="6">
        <v>0</v>
      </c>
      <c r="U139" s="6">
        <v>0</v>
      </c>
      <c r="V139" s="6">
        <v>0</v>
      </c>
      <c r="W139" s="6">
        <v>0</v>
      </c>
      <c r="X139" s="6">
        <v>0</v>
      </c>
      <c r="Y139" s="6">
        <v>0</v>
      </c>
      <c r="Z139" s="6">
        <v>0</v>
      </c>
      <c r="AA139" s="6">
        <v>0</v>
      </c>
      <c r="AB139" s="6">
        <v>0</v>
      </c>
    </row>
    <row r="140" spans="1:28" x14ac:dyDescent="0.25">
      <c r="A140" s="5" t="s">
        <v>1499</v>
      </c>
      <c r="B140" s="5" t="s">
        <v>38</v>
      </c>
      <c r="C140" s="5">
        <v>24</v>
      </c>
      <c r="D140" s="5">
        <v>2</v>
      </c>
      <c r="E140" s="5" t="s">
        <v>744</v>
      </c>
      <c r="F140" s="5" t="s">
        <v>1457</v>
      </c>
      <c r="G140" s="5">
        <v>0</v>
      </c>
      <c r="H140" s="5">
        <v>0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 s="5">
        <v>0</v>
      </c>
      <c r="O140" s="5">
        <v>0</v>
      </c>
      <c r="P140" s="5">
        <v>0</v>
      </c>
      <c r="Q140" s="5">
        <v>0</v>
      </c>
      <c r="R140" s="5">
        <v>0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Z140" s="5">
        <v>0</v>
      </c>
      <c r="AA140" s="5">
        <v>0</v>
      </c>
      <c r="AB140" s="5">
        <v>0</v>
      </c>
    </row>
    <row r="141" spans="1:28" x14ac:dyDescent="0.25">
      <c r="A141" s="6" t="s">
        <v>1500</v>
      </c>
      <c r="B141" s="6" t="s">
        <v>38</v>
      </c>
      <c r="C141" s="6">
        <v>21</v>
      </c>
      <c r="D141" s="6">
        <v>0</v>
      </c>
      <c r="E141" s="6" t="s">
        <v>173</v>
      </c>
      <c r="F141" s="6" t="s">
        <v>1457</v>
      </c>
      <c r="G141" s="6">
        <v>0</v>
      </c>
      <c r="H141" s="6">
        <v>0</v>
      </c>
      <c r="I141" s="6">
        <v>0</v>
      </c>
      <c r="J141" s="6">
        <v>0</v>
      </c>
      <c r="K141" s="6">
        <v>0</v>
      </c>
      <c r="L141" s="6">
        <v>0</v>
      </c>
      <c r="M141" s="6">
        <v>0</v>
      </c>
      <c r="N141" s="6">
        <v>0</v>
      </c>
      <c r="O141" s="6">
        <v>0</v>
      </c>
      <c r="P141" s="6">
        <v>0</v>
      </c>
      <c r="Q141" s="6">
        <v>0</v>
      </c>
      <c r="R141" s="6">
        <v>0</v>
      </c>
      <c r="S141" s="6">
        <v>0</v>
      </c>
      <c r="T141" s="6">
        <v>0</v>
      </c>
      <c r="U141" s="6">
        <v>0</v>
      </c>
      <c r="V141" s="6">
        <v>0</v>
      </c>
      <c r="W141" s="6">
        <v>0</v>
      </c>
      <c r="X141" s="6">
        <v>0</v>
      </c>
      <c r="Y141" s="6">
        <v>0</v>
      </c>
      <c r="Z141" s="6">
        <v>0</v>
      </c>
      <c r="AA141" s="6">
        <v>0</v>
      </c>
      <c r="AB141" s="6">
        <v>0</v>
      </c>
    </row>
    <row r="142" spans="1:28" x14ac:dyDescent="0.25">
      <c r="A142" s="5" t="s">
        <v>1546</v>
      </c>
      <c r="B142" s="5" t="s">
        <v>38</v>
      </c>
      <c r="C142" s="5">
        <v>27</v>
      </c>
      <c r="D142" s="5">
        <v>6</v>
      </c>
      <c r="E142" s="5" t="s">
        <v>86</v>
      </c>
      <c r="F142" s="5" t="s">
        <v>1503</v>
      </c>
      <c r="G142" s="5">
        <v>0</v>
      </c>
      <c r="H142" s="5">
        <v>0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 s="5">
        <v>0</v>
      </c>
      <c r="O142" s="5">
        <v>0</v>
      </c>
      <c r="P142" s="5">
        <v>0</v>
      </c>
      <c r="Q142" s="5">
        <v>0</v>
      </c>
      <c r="R142" s="5">
        <v>0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Z142" s="5">
        <v>0</v>
      </c>
      <c r="AA142" s="5">
        <v>0</v>
      </c>
      <c r="AB142" s="5">
        <v>0</v>
      </c>
    </row>
    <row r="143" spans="1:28" x14ac:dyDescent="0.25">
      <c r="A143" s="6" t="s">
        <v>1547</v>
      </c>
      <c r="B143" s="6" t="s">
        <v>38</v>
      </c>
      <c r="C143" s="6">
        <v>25</v>
      </c>
      <c r="D143" s="6">
        <v>5</v>
      </c>
      <c r="E143" s="6" t="s">
        <v>100</v>
      </c>
      <c r="F143" s="6" t="s">
        <v>1503</v>
      </c>
      <c r="G143" s="6">
        <v>0</v>
      </c>
      <c r="H143" s="6">
        <v>0</v>
      </c>
      <c r="I143" s="6">
        <v>0</v>
      </c>
      <c r="J143" s="6">
        <v>0</v>
      </c>
      <c r="K143" s="6">
        <v>0</v>
      </c>
      <c r="L143" s="6">
        <v>0</v>
      </c>
      <c r="M143" s="6">
        <v>0</v>
      </c>
      <c r="N143" s="6">
        <v>0</v>
      </c>
      <c r="O143" s="6">
        <v>0</v>
      </c>
      <c r="P143" s="6">
        <v>0</v>
      </c>
      <c r="Q143" s="6">
        <v>0</v>
      </c>
      <c r="R143" s="6">
        <v>0</v>
      </c>
      <c r="S143" s="6">
        <v>0</v>
      </c>
      <c r="T143" s="6">
        <v>0</v>
      </c>
      <c r="U143" s="6">
        <v>0</v>
      </c>
      <c r="V143" s="6">
        <v>0</v>
      </c>
      <c r="W143" s="6">
        <v>0</v>
      </c>
      <c r="X143" s="6">
        <v>0</v>
      </c>
      <c r="Y143" s="6">
        <v>0</v>
      </c>
      <c r="Z143" s="6">
        <v>0</v>
      </c>
      <c r="AA143" s="6">
        <v>0</v>
      </c>
      <c r="AB143" s="6">
        <v>0</v>
      </c>
    </row>
    <row r="144" spans="1:28" x14ac:dyDescent="0.25">
      <c r="A144" s="5" t="s">
        <v>1548</v>
      </c>
      <c r="B144" s="5" t="s">
        <v>38</v>
      </c>
      <c r="C144" s="5">
        <v>24</v>
      </c>
      <c r="D144" s="5">
        <v>0</v>
      </c>
      <c r="E144" s="5" t="s">
        <v>64</v>
      </c>
      <c r="F144" s="5" t="s">
        <v>1503</v>
      </c>
      <c r="G144" s="5">
        <v>0</v>
      </c>
      <c r="H144" s="5">
        <v>0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 s="5">
        <v>0</v>
      </c>
      <c r="O144" s="5">
        <v>0</v>
      </c>
      <c r="P144" s="5">
        <v>0</v>
      </c>
      <c r="Q144" s="5">
        <v>0</v>
      </c>
      <c r="R144" s="5">
        <v>0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Z144" s="5">
        <v>0</v>
      </c>
      <c r="AA144" s="5">
        <v>0</v>
      </c>
      <c r="AB144" s="5">
        <v>0</v>
      </c>
    </row>
    <row r="145" spans="1:28" x14ac:dyDescent="0.25">
      <c r="A145" s="6" t="s">
        <v>1549</v>
      </c>
      <c r="B145" s="6" t="s">
        <v>38</v>
      </c>
      <c r="C145" s="6">
        <v>26</v>
      </c>
      <c r="D145" s="6">
        <v>2</v>
      </c>
      <c r="E145" s="6" t="s">
        <v>232</v>
      </c>
      <c r="F145" s="6" t="s">
        <v>1503</v>
      </c>
      <c r="G145" s="6">
        <v>0</v>
      </c>
      <c r="H145" s="6">
        <v>0</v>
      </c>
      <c r="I145" s="6">
        <v>0</v>
      </c>
      <c r="J145" s="6">
        <v>0</v>
      </c>
      <c r="K145" s="6">
        <v>0</v>
      </c>
      <c r="L145" s="6">
        <v>0</v>
      </c>
      <c r="M145" s="6">
        <v>0</v>
      </c>
      <c r="N145" s="6">
        <v>0</v>
      </c>
      <c r="O145" s="6">
        <v>0</v>
      </c>
      <c r="P145" s="6">
        <v>0</v>
      </c>
      <c r="Q145" s="6">
        <v>0</v>
      </c>
      <c r="R145" s="6">
        <v>0</v>
      </c>
      <c r="S145" s="6">
        <v>0</v>
      </c>
      <c r="T145" s="6">
        <v>0</v>
      </c>
      <c r="U145" s="6">
        <v>0</v>
      </c>
      <c r="V145" s="6">
        <v>0</v>
      </c>
      <c r="W145" s="6">
        <v>0</v>
      </c>
      <c r="X145" s="6">
        <v>0</v>
      </c>
      <c r="Y145" s="6">
        <v>0</v>
      </c>
      <c r="Z145" s="6">
        <v>0</v>
      </c>
      <c r="AA145" s="6">
        <v>0</v>
      </c>
      <c r="AB145" s="6">
        <v>0</v>
      </c>
    </row>
    <row r="146" spans="1:28" x14ac:dyDescent="0.25">
      <c r="A146" s="5" t="s">
        <v>1592</v>
      </c>
      <c r="B146" s="5" t="s">
        <v>38</v>
      </c>
      <c r="C146" s="5">
        <v>28</v>
      </c>
      <c r="D146" s="5">
        <v>6</v>
      </c>
      <c r="E146" s="5" t="s">
        <v>211</v>
      </c>
      <c r="F146" s="5" t="s">
        <v>1552</v>
      </c>
      <c r="G146" s="5">
        <v>0</v>
      </c>
      <c r="H146" s="5">
        <v>0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 s="5">
        <v>0</v>
      </c>
      <c r="O146" s="5">
        <v>0</v>
      </c>
      <c r="P146" s="5">
        <v>0</v>
      </c>
      <c r="Q146" s="5">
        <v>0</v>
      </c>
      <c r="R146" s="5">
        <v>0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Z146" s="5">
        <v>0</v>
      </c>
      <c r="AA146" s="5">
        <v>0</v>
      </c>
      <c r="AB146" s="5">
        <v>0</v>
      </c>
    </row>
    <row r="147" spans="1:28" x14ac:dyDescent="0.25">
      <c r="A147" s="6" t="s">
        <v>1593</v>
      </c>
      <c r="B147" s="6" t="s">
        <v>38</v>
      </c>
      <c r="C147" s="6">
        <v>28</v>
      </c>
      <c r="D147" s="6">
        <v>5</v>
      </c>
      <c r="E147" s="6" t="s">
        <v>72</v>
      </c>
      <c r="F147" s="6" t="s">
        <v>1552</v>
      </c>
      <c r="G147" s="6">
        <v>0</v>
      </c>
      <c r="H147" s="6">
        <v>0</v>
      </c>
      <c r="I147" s="6">
        <v>0</v>
      </c>
      <c r="J147" s="6">
        <v>0</v>
      </c>
      <c r="K147" s="6">
        <v>0</v>
      </c>
      <c r="L147" s="6">
        <v>0</v>
      </c>
      <c r="M147" s="6">
        <v>0</v>
      </c>
      <c r="N147" s="6">
        <v>0</v>
      </c>
      <c r="O147" s="6">
        <v>0</v>
      </c>
      <c r="P147" s="6">
        <v>0</v>
      </c>
      <c r="Q147" s="6">
        <v>0</v>
      </c>
      <c r="R147" s="6">
        <v>0</v>
      </c>
      <c r="S147" s="6">
        <v>0</v>
      </c>
      <c r="T147" s="6">
        <v>0</v>
      </c>
      <c r="U147" s="6">
        <v>0</v>
      </c>
      <c r="V147" s="6">
        <v>0</v>
      </c>
      <c r="W147" s="6">
        <v>0</v>
      </c>
      <c r="X147" s="6">
        <v>0</v>
      </c>
      <c r="Y147" s="6">
        <v>0</v>
      </c>
      <c r="Z147" s="6">
        <v>0</v>
      </c>
      <c r="AA147" s="6">
        <v>0</v>
      </c>
      <c r="AB147" s="6">
        <v>0</v>
      </c>
    </row>
    <row r="148" spans="1:28" x14ac:dyDescent="0.25">
      <c r="A148" s="5" t="s">
        <v>1594</v>
      </c>
      <c r="B148" s="5" t="s">
        <v>38</v>
      </c>
      <c r="C148" s="5">
        <v>29</v>
      </c>
      <c r="D148" s="5">
        <v>7</v>
      </c>
      <c r="E148" s="5" t="s">
        <v>100</v>
      </c>
      <c r="F148" s="5" t="s">
        <v>1552</v>
      </c>
      <c r="G148" s="5">
        <v>0</v>
      </c>
      <c r="H148" s="5">
        <v>0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 s="5">
        <v>0</v>
      </c>
      <c r="O148" s="5">
        <v>0</v>
      </c>
      <c r="P148" s="5">
        <v>0</v>
      </c>
      <c r="Q148" s="5">
        <v>0</v>
      </c>
      <c r="R148" s="5">
        <v>0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Z148" s="5">
        <v>0</v>
      </c>
      <c r="AA148" s="5">
        <v>0</v>
      </c>
      <c r="AB148" s="5">
        <v>0</v>
      </c>
    </row>
    <row r="149" spans="1:28" x14ac:dyDescent="0.25">
      <c r="A149" s="6" t="s">
        <v>1595</v>
      </c>
      <c r="B149" s="6" t="s">
        <v>38</v>
      </c>
      <c r="C149" s="6">
        <v>23</v>
      </c>
      <c r="D149" s="6">
        <v>0</v>
      </c>
      <c r="E149" s="6" t="s">
        <v>153</v>
      </c>
      <c r="F149" s="6" t="s">
        <v>1552</v>
      </c>
      <c r="G149" s="6">
        <v>0</v>
      </c>
      <c r="H149" s="6">
        <v>0</v>
      </c>
      <c r="I149" s="6">
        <v>0</v>
      </c>
      <c r="J149" s="6">
        <v>0</v>
      </c>
      <c r="K149" s="6">
        <v>0</v>
      </c>
      <c r="L149" s="6">
        <v>0</v>
      </c>
      <c r="M149" s="6">
        <v>0</v>
      </c>
      <c r="N149" s="6">
        <v>0</v>
      </c>
      <c r="O149" s="6">
        <v>0</v>
      </c>
      <c r="P149" s="6">
        <v>0</v>
      </c>
      <c r="Q149" s="6">
        <v>0</v>
      </c>
      <c r="R149" s="6">
        <v>0</v>
      </c>
      <c r="S149" s="6">
        <v>0</v>
      </c>
      <c r="T149" s="6">
        <v>0</v>
      </c>
      <c r="U149" s="6">
        <v>0</v>
      </c>
      <c r="V149" s="6">
        <v>0</v>
      </c>
      <c r="W149" s="6">
        <v>0</v>
      </c>
      <c r="X149" s="6">
        <v>0</v>
      </c>
      <c r="Y149" s="6">
        <v>0</v>
      </c>
      <c r="Z149" s="6">
        <v>0</v>
      </c>
      <c r="AA149" s="6">
        <v>0</v>
      </c>
      <c r="AB149" s="6">
        <v>0</v>
      </c>
    </row>
    <row r="150" spans="1:28" x14ac:dyDescent="0.25">
      <c r="A150" s="5" t="s">
        <v>1596</v>
      </c>
      <c r="B150" s="5" t="s">
        <v>38</v>
      </c>
      <c r="C150" s="5">
        <v>23</v>
      </c>
      <c r="D150" s="5">
        <v>0</v>
      </c>
      <c r="E150" s="5" t="s">
        <v>68</v>
      </c>
      <c r="F150" s="5" t="s">
        <v>1552</v>
      </c>
      <c r="G150" s="5">
        <v>0</v>
      </c>
      <c r="H150" s="5">
        <v>0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 s="5">
        <v>0</v>
      </c>
      <c r="O150" s="5">
        <v>0</v>
      </c>
      <c r="P150" s="5">
        <v>0</v>
      </c>
      <c r="Q150" s="5">
        <v>0</v>
      </c>
      <c r="R150" s="5">
        <v>0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Z150" s="5">
        <v>0</v>
      </c>
      <c r="AA150" s="5">
        <v>0</v>
      </c>
      <c r="AB150" s="5">
        <v>0</v>
      </c>
    </row>
    <row r="151" spans="1:28" x14ac:dyDescent="0.25">
      <c r="A151" s="5" t="s">
        <v>1641</v>
      </c>
      <c r="B151" s="5" t="s">
        <v>38</v>
      </c>
      <c r="C151" s="5">
        <v>26</v>
      </c>
      <c r="D151" s="5">
        <v>2</v>
      </c>
      <c r="E151" s="5" t="s">
        <v>423</v>
      </c>
      <c r="F151" s="5" t="s">
        <v>1599</v>
      </c>
      <c r="G151" s="5">
        <v>0</v>
      </c>
      <c r="H151" s="5">
        <v>0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 s="5">
        <v>0</v>
      </c>
      <c r="O151" s="5">
        <v>0</v>
      </c>
      <c r="P151" s="5">
        <v>0</v>
      </c>
      <c r="Q151" s="5">
        <v>0</v>
      </c>
      <c r="R151" s="5">
        <v>0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Z151" s="5">
        <v>0</v>
      </c>
      <c r="AA151" s="5">
        <v>0</v>
      </c>
      <c r="AB151" s="5">
        <v>0</v>
      </c>
    </row>
    <row r="152" spans="1:28" x14ac:dyDescent="0.25">
      <c r="A152" s="6" t="s">
        <v>1642</v>
      </c>
      <c r="B152" s="6" t="s">
        <v>38</v>
      </c>
      <c r="C152" s="6">
        <v>23</v>
      </c>
      <c r="D152" s="6">
        <v>0</v>
      </c>
      <c r="E152" s="6" t="s">
        <v>62</v>
      </c>
      <c r="F152" s="6" t="s">
        <v>1599</v>
      </c>
      <c r="G152" s="6">
        <v>0</v>
      </c>
      <c r="H152" s="6">
        <v>0</v>
      </c>
      <c r="I152" s="6">
        <v>0</v>
      </c>
      <c r="J152" s="6">
        <v>0</v>
      </c>
      <c r="K152" s="6">
        <v>0</v>
      </c>
      <c r="L152" s="6">
        <v>0</v>
      </c>
      <c r="M152" s="6">
        <v>0</v>
      </c>
      <c r="N152" s="6">
        <v>0</v>
      </c>
      <c r="O152" s="6">
        <v>0</v>
      </c>
      <c r="P152" s="6">
        <v>0</v>
      </c>
      <c r="Q152" s="6">
        <v>0</v>
      </c>
      <c r="R152" s="6">
        <v>0</v>
      </c>
      <c r="S152" s="6">
        <v>0</v>
      </c>
      <c r="T152" s="6">
        <v>0</v>
      </c>
      <c r="U152" s="6">
        <v>0</v>
      </c>
      <c r="V152" s="6">
        <v>0</v>
      </c>
      <c r="W152" s="6">
        <v>0</v>
      </c>
      <c r="X152" s="6">
        <v>0</v>
      </c>
      <c r="Y152" s="6">
        <v>0</v>
      </c>
      <c r="Z152" s="6">
        <v>0</v>
      </c>
      <c r="AA152" s="6">
        <v>0</v>
      </c>
      <c r="AB152" s="6">
        <v>0</v>
      </c>
    </row>
    <row r="153" spans="1:28" x14ac:dyDescent="0.25">
      <c r="A153" s="5" t="s">
        <v>1643</v>
      </c>
      <c r="B153" s="5" t="s">
        <v>38</v>
      </c>
      <c r="C153" s="5">
        <v>25</v>
      </c>
      <c r="D153" s="5">
        <v>2</v>
      </c>
      <c r="E153" s="5" t="s">
        <v>225</v>
      </c>
      <c r="F153" s="5" t="s">
        <v>1599</v>
      </c>
      <c r="G153" s="5">
        <v>0</v>
      </c>
      <c r="H153" s="5">
        <v>0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 s="5">
        <v>0</v>
      </c>
      <c r="O153" s="5">
        <v>0</v>
      </c>
      <c r="P153" s="5">
        <v>0</v>
      </c>
      <c r="Q153" s="5">
        <v>0</v>
      </c>
      <c r="R153" s="5">
        <v>0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Z153" s="5">
        <v>0</v>
      </c>
      <c r="AA153" s="5">
        <v>0</v>
      </c>
      <c r="AB153" s="5">
        <v>0</v>
      </c>
    </row>
    <row r="154" spans="1:28" x14ac:dyDescent="0.25">
      <c r="A154" s="6" t="s">
        <v>1644</v>
      </c>
      <c r="B154" s="6" t="s">
        <v>38</v>
      </c>
      <c r="C154" s="6">
        <v>24</v>
      </c>
      <c r="D154" s="6">
        <v>2</v>
      </c>
      <c r="E154" s="6" t="s">
        <v>86</v>
      </c>
      <c r="F154" s="6" t="s">
        <v>1599</v>
      </c>
      <c r="G154" s="6">
        <v>0</v>
      </c>
      <c r="H154" s="6">
        <v>0</v>
      </c>
      <c r="I154" s="6">
        <v>0</v>
      </c>
      <c r="J154" s="6">
        <v>0</v>
      </c>
      <c r="K154" s="6">
        <v>0</v>
      </c>
      <c r="L154" s="6">
        <v>0</v>
      </c>
      <c r="M154" s="6">
        <v>0</v>
      </c>
      <c r="N154" s="6">
        <v>0</v>
      </c>
      <c r="O154" s="6">
        <v>0</v>
      </c>
      <c r="P154" s="6">
        <v>0</v>
      </c>
      <c r="Q154" s="6">
        <v>0</v>
      </c>
      <c r="R154" s="6">
        <v>0</v>
      </c>
      <c r="S154" s="6">
        <v>0</v>
      </c>
      <c r="T154" s="6">
        <v>0</v>
      </c>
      <c r="U154" s="6">
        <v>0</v>
      </c>
      <c r="V154" s="6">
        <v>0</v>
      </c>
      <c r="W154" s="6">
        <v>0</v>
      </c>
      <c r="X154" s="6">
        <v>0</v>
      </c>
      <c r="Y154" s="6">
        <v>0</v>
      </c>
      <c r="Z154" s="6">
        <v>0</v>
      </c>
      <c r="AA154" s="6">
        <v>0</v>
      </c>
      <c r="AB154" s="6">
        <v>0</v>
      </c>
    </row>
    <row r="155" spans="1:28" x14ac:dyDescent="0.25">
      <c r="A155" s="5" t="s">
        <v>1645</v>
      </c>
      <c r="B155" s="5" t="s">
        <v>38</v>
      </c>
      <c r="C155" s="5">
        <v>24</v>
      </c>
      <c r="D155" s="5">
        <v>0</v>
      </c>
      <c r="E155" s="5" t="s">
        <v>1345</v>
      </c>
      <c r="F155" s="5" t="s">
        <v>1599</v>
      </c>
      <c r="G155" s="5">
        <v>0</v>
      </c>
      <c r="H155" s="5">
        <v>0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 s="5">
        <v>0</v>
      </c>
      <c r="O155" s="5">
        <v>0</v>
      </c>
      <c r="P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Z155" s="5">
        <v>0</v>
      </c>
      <c r="AA155" s="5">
        <v>0</v>
      </c>
      <c r="AB155" s="5">
        <v>0</v>
      </c>
    </row>
    <row r="156" spans="1:28" x14ac:dyDescent="0.25">
      <c r="A156" s="5" t="s">
        <v>1691</v>
      </c>
      <c r="B156" s="5" t="s">
        <v>38</v>
      </c>
      <c r="C156" s="5">
        <v>26</v>
      </c>
      <c r="D156" s="5">
        <v>1</v>
      </c>
      <c r="E156" s="5" t="s">
        <v>362</v>
      </c>
      <c r="F156" s="5" t="s">
        <v>1648</v>
      </c>
      <c r="G156" s="5">
        <v>0</v>
      </c>
      <c r="H156" s="5">
        <v>0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 s="5">
        <v>0</v>
      </c>
      <c r="O156" s="5">
        <v>0</v>
      </c>
      <c r="P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Z156" s="5">
        <v>0</v>
      </c>
      <c r="AA156" s="5">
        <v>0</v>
      </c>
      <c r="AB156" s="5">
        <v>0</v>
      </c>
    </row>
    <row r="157" spans="1:28" x14ac:dyDescent="0.25">
      <c r="A157" s="6" t="s">
        <v>1692</v>
      </c>
      <c r="B157" s="6" t="s">
        <v>38</v>
      </c>
      <c r="C157" s="6">
        <v>26</v>
      </c>
      <c r="D157" s="6">
        <v>1</v>
      </c>
      <c r="E157" s="6" t="s">
        <v>170</v>
      </c>
      <c r="F157" s="6" t="s">
        <v>1648</v>
      </c>
      <c r="G157" s="6">
        <v>0</v>
      </c>
      <c r="H157" s="6">
        <v>0</v>
      </c>
      <c r="I157" s="6">
        <v>0</v>
      </c>
      <c r="J157" s="6">
        <v>0</v>
      </c>
      <c r="K157" s="6">
        <v>0</v>
      </c>
      <c r="L157" s="6">
        <v>0</v>
      </c>
      <c r="M157" s="6">
        <v>0</v>
      </c>
      <c r="N157" s="6">
        <v>0</v>
      </c>
      <c r="O157" s="6">
        <v>0</v>
      </c>
      <c r="P157" s="6">
        <v>0</v>
      </c>
      <c r="Q157" s="6">
        <v>0</v>
      </c>
      <c r="R157" s="6">
        <v>0</v>
      </c>
      <c r="S157" s="6">
        <v>0</v>
      </c>
      <c r="T157" s="6">
        <v>0</v>
      </c>
      <c r="U157" s="6">
        <v>0</v>
      </c>
      <c r="V157" s="6">
        <v>0</v>
      </c>
      <c r="W157" s="6">
        <v>0</v>
      </c>
      <c r="X157" s="6">
        <v>0</v>
      </c>
      <c r="Y157" s="6">
        <v>0</v>
      </c>
      <c r="Z157" s="6">
        <v>0</v>
      </c>
      <c r="AA157" s="6">
        <v>0</v>
      </c>
      <c r="AB157" s="6">
        <v>0</v>
      </c>
    </row>
    <row r="158" spans="1:28" x14ac:dyDescent="0.25">
      <c r="A158" s="5" t="s">
        <v>1693</v>
      </c>
      <c r="B158" s="5" t="s">
        <v>38</v>
      </c>
      <c r="C158" s="5">
        <v>23</v>
      </c>
      <c r="D158" s="5">
        <v>2</v>
      </c>
      <c r="E158" s="5" t="s">
        <v>232</v>
      </c>
      <c r="F158" s="5" t="s">
        <v>1648</v>
      </c>
      <c r="G158" s="5">
        <v>0</v>
      </c>
      <c r="H158" s="5">
        <v>0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 s="5">
        <v>0</v>
      </c>
      <c r="O158" s="5">
        <v>0</v>
      </c>
      <c r="P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Z158" s="5">
        <v>0</v>
      </c>
      <c r="AA158" s="5">
        <v>0</v>
      </c>
      <c r="AB158" s="5">
        <v>0</v>
      </c>
    </row>
    <row r="159" spans="1:28" x14ac:dyDescent="0.25">
      <c r="A159" s="6" t="s">
        <v>1694</v>
      </c>
      <c r="B159" s="6" t="s">
        <v>38</v>
      </c>
      <c r="C159" s="6">
        <v>28</v>
      </c>
      <c r="D159" s="6">
        <v>3</v>
      </c>
      <c r="E159" s="6" t="s">
        <v>616</v>
      </c>
      <c r="F159" s="6" t="s">
        <v>1648</v>
      </c>
      <c r="G159" s="6">
        <v>0</v>
      </c>
      <c r="H159" s="6">
        <v>0</v>
      </c>
      <c r="I159" s="6">
        <v>0</v>
      </c>
      <c r="J159" s="6">
        <v>0</v>
      </c>
      <c r="K159" s="6">
        <v>0</v>
      </c>
      <c r="L159" s="6">
        <v>0</v>
      </c>
      <c r="M159" s="6">
        <v>0</v>
      </c>
      <c r="N159" s="6">
        <v>0</v>
      </c>
      <c r="O159" s="6">
        <v>0</v>
      </c>
      <c r="P159" s="6">
        <v>0</v>
      </c>
      <c r="Q159" s="6">
        <v>0</v>
      </c>
      <c r="R159" s="6">
        <v>0</v>
      </c>
      <c r="S159" s="6">
        <v>0</v>
      </c>
      <c r="T159" s="6">
        <v>0</v>
      </c>
      <c r="U159" s="6">
        <v>0</v>
      </c>
      <c r="V159" s="6">
        <v>0</v>
      </c>
      <c r="W159" s="6">
        <v>0</v>
      </c>
      <c r="X159" s="6">
        <v>0</v>
      </c>
      <c r="Y159" s="6">
        <v>0</v>
      </c>
      <c r="Z159" s="6">
        <v>0</v>
      </c>
      <c r="AA159" s="6">
        <v>0</v>
      </c>
      <c r="AB159" s="6">
        <v>0</v>
      </c>
    </row>
    <row r="160" spans="1:28" x14ac:dyDescent="0.25">
      <c r="A160" s="5" t="s">
        <v>1695</v>
      </c>
      <c r="B160" s="5" t="s">
        <v>38</v>
      </c>
      <c r="C160" s="5">
        <v>25</v>
      </c>
      <c r="D160" s="5">
        <v>1</v>
      </c>
      <c r="E160" s="5" t="s">
        <v>150</v>
      </c>
      <c r="F160" s="5" t="s">
        <v>1648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0</v>
      </c>
      <c r="O160" s="5">
        <v>0</v>
      </c>
      <c r="P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Z160" s="5">
        <v>0</v>
      </c>
      <c r="AA160" s="5">
        <v>0</v>
      </c>
      <c r="AB160" s="5">
        <v>0</v>
      </c>
    </row>
    <row r="161" spans="1:28" x14ac:dyDescent="0.25">
      <c r="A161" s="6" t="s">
        <v>1696</v>
      </c>
      <c r="B161" s="6" t="s">
        <v>38</v>
      </c>
      <c r="C161" s="6">
        <v>27</v>
      </c>
      <c r="D161" s="6">
        <v>5</v>
      </c>
      <c r="E161" s="6" t="s">
        <v>344</v>
      </c>
      <c r="F161" s="6" t="s">
        <v>1648</v>
      </c>
      <c r="G161" s="6">
        <v>0</v>
      </c>
      <c r="H161" s="6">
        <v>0</v>
      </c>
      <c r="I161" s="6">
        <v>0</v>
      </c>
      <c r="J161" s="6">
        <v>0</v>
      </c>
      <c r="K161" s="6">
        <v>0</v>
      </c>
      <c r="L161" s="6">
        <v>0</v>
      </c>
      <c r="M161" s="6">
        <v>0</v>
      </c>
      <c r="N161" s="6">
        <v>0</v>
      </c>
      <c r="O161" s="6">
        <v>0</v>
      </c>
      <c r="P161" s="6">
        <v>0</v>
      </c>
      <c r="Q161" s="6">
        <v>0</v>
      </c>
      <c r="R161" s="6">
        <v>0</v>
      </c>
      <c r="S161" s="6">
        <v>0</v>
      </c>
      <c r="T161" s="6">
        <v>0</v>
      </c>
      <c r="U161" s="6">
        <v>0</v>
      </c>
      <c r="V161" s="6">
        <v>0</v>
      </c>
      <c r="W161" s="6">
        <v>0</v>
      </c>
      <c r="X161" s="6">
        <v>0</v>
      </c>
      <c r="Y161" s="6">
        <v>0</v>
      </c>
      <c r="Z161" s="6">
        <v>0</v>
      </c>
      <c r="AA161" s="6">
        <v>0</v>
      </c>
      <c r="AB161" s="6">
        <v>0</v>
      </c>
    </row>
    <row r="162" spans="1:28" x14ac:dyDescent="0.25">
      <c r="A162" s="5" t="s">
        <v>1741</v>
      </c>
      <c r="B162" s="5" t="s">
        <v>38</v>
      </c>
      <c r="C162" s="5">
        <v>25</v>
      </c>
      <c r="D162" s="5">
        <v>3</v>
      </c>
      <c r="E162" s="5" t="s">
        <v>296</v>
      </c>
      <c r="F162" s="5" t="s">
        <v>1699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0</v>
      </c>
      <c r="O162" s="5">
        <v>0</v>
      </c>
      <c r="P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Z162" s="5">
        <v>0</v>
      </c>
      <c r="AA162" s="5">
        <v>0</v>
      </c>
      <c r="AB162" s="5">
        <v>0</v>
      </c>
    </row>
    <row r="163" spans="1:28" x14ac:dyDescent="0.25">
      <c r="A163" s="6" t="s">
        <v>1742</v>
      </c>
      <c r="B163" s="6" t="s">
        <v>38</v>
      </c>
      <c r="C163" s="6">
        <v>26</v>
      </c>
      <c r="D163" s="6">
        <v>1</v>
      </c>
      <c r="E163" s="6" t="s">
        <v>1743</v>
      </c>
      <c r="F163" s="6" t="s">
        <v>1699</v>
      </c>
      <c r="G163" s="6">
        <v>0</v>
      </c>
      <c r="H163" s="6">
        <v>0</v>
      </c>
      <c r="I163" s="6">
        <v>0</v>
      </c>
      <c r="J163" s="6">
        <v>0</v>
      </c>
      <c r="K163" s="6">
        <v>0</v>
      </c>
      <c r="L163" s="6">
        <v>0</v>
      </c>
      <c r="M163" s="6">
        <v>0</v>
      </c>
      <c r="N163" s="6">
        <v>0</v>
      </c>
      <c r="O163" s="6">
        <v>0</v>
      </c>
      <c r="P163" s="6">
        <v>0</v>
      </c>
      <c r="Q163" s="6">
        <v>0</v>
      </c>
      <c r="R163" s="6">
        <v>0</v>
      </c>
      <c r="S163" s="6">
        <v>0</v>
      </c>
      <c r="T163" s="6">
        <v>0</v>
      </c>
      <c r="U163" s="6">
        <v>0</v>
      </c>
      <c r="V163" s="6">
        <v>0</v>
      </c>
      <c r="W163" s="6">
        <v>0</v>
      </c>
      <c r="X163" s="6">
        <v>0</v>
      </c>
      <c r="Y163" s="6">
        <v>0</v>
      </c>
      <c r="Z163" s="6">
        <v>0</v>
      </c>
      <c r="AA163" s="6">
        <v>0</v>
      </c>
      <c r="AB163" s="6">
        <v>0</v>
      </c>
    </row>
    <row r="164" spans="1:28" x14ac:dyDescent="0.25">
      <c r="A164" s="5" t="s">
        <v>1744</v>
      </c>
      <c r="B164" s="5" t="s">
        <v>38</v>
      </c>
      <c r="C164" s="5">
        <v>24</v>
      </c>
      <c r="D164" s="5">
        <v>2</v>
      </c>
      <c r="E164" s="5" t="s">
        <v>155</v>
      </c>
      <c r="F164" s="5" t="s">
        <v>1699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0</v>
      </c>
      <c r="O164" s="5">
        <v>0</v>
      </c>
      <c r="P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Z164" s="5">
        <v>0</v>
      </c>
      <c r="AA164" s="5">
        <v>0</v>
      </c>
      <c r="AB164" s="5">
        <v>0</v>
      </c>
    </row>
    <row r="165" spans="1:28" x14ac:dyDescent="0.25">
      <c r="A165" s="6" t="s">
        <v>1745</v>
      </c>
      <c r="B165" s="6" t="s">
        <v>38</v>
      </c>
      <c r="C165" s="6">
        <v>26</v>
      </c>
      <c r="D165" s="6">
        <v>4</v>
      </c>
      <c r="E165" s="6" t="s">
        <v>102</v>
      </c>
      <c r="F165" s="6" t="s">
        <v>1699</v>
      </c>
      <c r="G165" s="6">
        <v>0</v>
      </c>
      <c r="H165" s="6">
        <v>0</v>
      </c>
      <c r="I165" s="6">
        <v>0</v>
      </c>
      <c r="J165" s="6">
        <v>0</v>
      </c>
      <c r="K165" s="6">
        <v>0</v>
      </c>
      <c r="L165" s="6">
        <v>0</v>
      </c>
      <c r="M165" s="6">
        <v>0</v>
      </c>
      <c r="N165" s="6">
        <v>0</v>
      </c>
      <c r="O165" s="6">
        <v>0</v>
      </c>
      <c r="P165" s="6">
        <v>0</v>
      </c>
      <c r="Q165" s="6">
        <v>0</v>
      </c>
      <c r="R165" s="6">
        <v>0</v>
      </c>
      <c r="S165" s="6">
        <v>0</v>
      </c>
      <c r="T165" s="6">
        <v>0</v>
      </c>
      <c r="U165" s="6">
        <v>0</v>
      </c>
      <c r="V165" s="6">
        <v>0</v>
      </c>
      <c r="W165" s="6">
        <v>0</v>
      </c>
      <c r="X165" s="6">
        <v>0</v>
      </c>
      <c r="Y165" s="6">
        <v>0</v>
      </c>
      <c r="Z165" s="6">
        <v>0</v>
      </c>
      <c r="AA165" s="6">
        <v>0</v>
      </c>
      <c r="AB165" s="6">
        <v>0</v>
      </c>
    </row>
    <row r="166" spans="1:28" x14ac:dyDescent="0.25">
      <c r="A166" s="5" t="s">
        <v>1746</v>
      </c>
      <c r="B166" s="5" t="s">
        <v>38</v>
      </c>
      <c r="C166" s="5">
        <v>32</v>
      </c>
      <c r="D166" s="5">
        <v>9</v>
      </c>
      <c r="E166" s="5" t="s">
        <v>333</v>
      </c>
      <c r="F166" s="5" t="s">
        <v>1699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0</v>
      </c>
      <c r="O166" s="5">
        <v>0</v>
      </c>
      <c r="P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Z166" s="5">
        <v>0</v>
      </c>
      <c r="AA166" s="5">
        <v>0</v>
      </c>
      <c r="AB166" s="5">
        <v>0</v>
      </c>
    </row>
    <row r="167" spans="1:28" x14ac:dyDescent="0.25">
      <c r="A167" s="9" t="s">
        <v>1747</v>
      </c>
      <c r="B167" s="9" t="s">
        <v>38</v>
      </c>
      <c r="C167" s="9">
        <v>23</v>
      </c>
      <c r="D167" s="9">
        <v>2</v>
      </c>
      <c r="E167" s="9" t="s">
        <v>736</v>
      </c>
      <c r="F167" s="9" t="s">
        <v>1699</v>
      </c>
      <c r="G167" s="9">
        <v>0</v>
      </c>
      <c r="H167" s="9">
        <v>0</v>
      </c>
      <c r="I167" s="9">
        <v>0</v>
      </c>
      <c r="J167" s="9">
        <v>0</v>
      </c>
      <c r="K167" s="9">
        <v>0</v>
      </c>
      <c r="L167" s="9">
        <v>0</v>
      </c>
      <c r="M167" s="9">
        <v>0</v>
      </c>
      <c r="N167" s="9">
        <v>0</v>
      </c>
      <c r="O167" s="9">
        <v>0</v>
      </c>
      <c r="P167" s="9">
        <v>0</v>
      </c>
      <c r="Q167" s="9">
        <v>0</v>
      </c>
      <c r="R167" s="9">
        <v>0</v>
      </c>
      <c r="S167" s="9">
        <v>0</v>
      </c>
      <c r="T167" s="9">
        <v>0</v>
      </c>
      <c r="U167" s="9">
        <v>0</v>
      </c>
      <c r="V167" s="9">
        <v>0</v>
      </c>
      <c r="W167" s="9">
        <v>0</v>
      </c>
      <c r="X167" s="9">
        <v>0</v>
      </c>
      <c r="Y167" s="9">
        <v>0</v>
      </c>
      <c r="Z167" s="9">
        <v>0</v>
      </c>
      <c r="AA167" s="9">
        <v>0</v>
      </c>
      <c r="AB167" s="9"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37</vt:i4>
      </vt:variant>
      <vt:variant>
        <vt:lpstr>Named Ranges</vt:lpstr>
      </vt:variant>
      <vt:variant>
        <vt:i4>11</vt:i4>
      </vt:variant>
    </vt:vector>
  </HeadingPairs>
  <TitlesOfParts>
    <vt:vector size="48" baseType="lpstr">
      <vt:lpstr>Admin</vt:lpstr>
      <vt:lpstr>ARI</vt:lpstr>
      <vt:lpstr>ATL</vt:lpstr>
      <vt:lpstr>BAL</vt:lpstr>
      <vt:lpstr>BUF</vt:lpstr>
      <vt:lpstr>CAR</vt:lpstr>
      <vt:lpstr>CHI</vt:lpstr>
      <vt:lpstr>CIN</vt:lpstr>
      <vt:lpstr>CLE</vt:lpstr>
      <vt:lpstr>DAL</vt:lpstr>
      <vt:lpstr>DEN</vt:lpstr>
      <vt:lpstr>DET</vt:lpstr>
      <vt:lpstr>GB</vt:lpstr>
      <vt:lpstr>HOU</vt:lpstr>
      <vt:lpstr>IND</vt:lpstr>
      <vt:lpstr>JAX</vt:lpstr>
      <vt:lpstr>KC</vt:lpstr>
      <vt:lpstr>LAC</vt:lpstr>
      <vt:lpstr>LAR</vt:lpstr>
      <vt:lpstr>LV</vt:lpstr>
      <vt:lpstr>MIA</vt:lpstr>
      <vt:lpstr>MIN</vt:lpstr>
      <vt:lpstr>NE</vt:lpstr>
      <vt:lpstr>NO</vt:lpstr>
      <vt:lpstr>NYG</vt:lpstr>
      <vt:lpstr>NYJ</vt:lpstr>
      <vt:lpstr>PHI</vt:lpstr>
      <vt:lpstr>PIT</vt:lpstr>
      <vt:lpstr>SEA</vt:lpstr>
      <vt:lpstr>SF</vt:lpstr>
      <vt:lpstr>TB</vt:lpstr>
      <vt:lpstr>TEN</vt:lpstr>
      <vt:lpstr>WAS</vt:lpstr>
      <vt:lpstr>Combined_QB</vt:lpstr>
      <vt:lpstr>Combined_RB</vt:lpstr>
      <vt:lpstr>Combined_WR</vt:lpstr>
      <vt:lpstr>Combined_TE</vt:lpstr>
      <vt:lpstr>Ccar</vt:lpstr>
      <vt:lpstr>Cfmb</vt:lpstr>
      <vt:lpstr>Cint</vt:lpstr>
      <vt:lpstr>Cp_td</vt:lpstr>
      <vt:lpstr>Cp_yd</vt:lpstr>
      <vt:lpstr>Cr_td</vt:lpstr>
      <vt:lpstr>Cr_yd</vt:lpstr>
      <vt:lpstr>Crec</vt:lpstr>
      <vt:lpstr>Crec_td</vt:lpstr>
      <vt:lpstr>Crec_yd</vt:lpstr>
      <vt:lpstr>Ctp_c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tayta</dc:creator>
  <cp:lastModifiedBy>Taylor Davis</cp:lastModifiedBy>
  <dcterms:created xsi:type="dcterms:W3CDTF">2023-08-18T01:05:42Z</dcterms:created>
  <dcterms:modified xsi:type="dcterms:W3CDTF">2023-08-24T06:42:07Z</dcterms:modified>
</cp:coreProperties>
</file>